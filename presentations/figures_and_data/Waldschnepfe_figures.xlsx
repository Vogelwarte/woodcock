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vogelwarte-my.sharepoint.com/personal/steffen_oppel_vogelwarte_ch/Documents/Woodcock/presentations/figures_and_data/"/>
    </mc:Choice>
  </mc:AlternateContent>
  <xr:revisionPtr revIDLastSave="161" documentId="8_{BDACA73E-752D-428A-81A4-9B628C51B239}" xr6:coauthVersionLast="47" xr6:coauthVersionMax="47" xr10:uidLastSave="{A0447D75-5016-49D8-94B5-22646E51F59D}"/>
  <bookViews>
    <workbookView xWindow="-120" yWindow="-120" windowWidth="29040" windowHeight="15840" tabRatio="500" activeTab="3" xr2:uid="{00000000-000D-0000-FFFF-FFFF00000000}"/>
  </bookViews>
  <sheets>
    <sheet name="total_pro_jahr" sheetId="1" r:id="rId1"/>
    <sheet name="2024_pro_kanton" sheetId="3" r:id="rId2"/>
    <sheet name="Tabelle" sheetId="4" r:id="rId3"/>
    <sheet name="Zeitreihe_Kantone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2" i="4" l="1"/>
  <c r="AA11" i="4"/>
  <c r="AA10" i="4"/>
  <c r="AA9" i="4"/>
  <c r="AA8" i="4"/>
  <c r="AA7" i="4"/>
  <c r="AA6" i="4"/>
  <c r="AA5" i="4" l="1"/>
</calcChain>
</file>

<file path=xl/sharedStrings.xml><?xml version="1.0" encoding="utf-8"?>
<sst xmlns="http://schemas.openxmlformats.org/spreadsheetml/2006/main" count="60" uniqueCount="51">
  <si>
    <t>Waldschnepfe, 1985 bis 2024</t>
  </si>
  <si>
    <t>Abschuss, Ganze Schweiz</t>
  </si>
  <si>
    <t>Jahr</t>
  </si>
  <si>
    <t>unbestimmt</t>
  </si>
  <si>
    <t>https://www.jagdstatistik.ch</t>
  </si>
  <si>
    <t>Anzahl</t>
  </si>
  <si>
    <t>Zürich</t>
  </si>
  <si>
    <t>Zug</t>
  </si>
  <si>
    <t>Wallis</t>
  </si>
  <si>
    <t>Waadt</t>
  </si>
  <si>
    <t>Uri</t>
  </si>
  <si>
    <t>Thurgau</t>
  </si>
  <si>
    <t>Tessin</t>
  </si>
  <si>
    <t>St. Gallen</t>
  </si>
  <si>
    <t>Solothurn</t>
  </si>
  <si>
    <t>Schwyz</t>
  </si>
  <si>
    <t>Schaffhausen</t>
  </si>
  <si>
    <t>Neuenburg</t>
  </si>
  <si>
    <t>Luzern</t>
  </si>
  <si>
    <t>Jura</t>
  </si>
  <si>
    <t>Graubünden</t>
  </si>
  <si>
    <t>Glarus</t>
  </si>
  <si>
    <t>Genf</t>
  </si>
  <si>
    <t>Freiburg</t>
  </si>
  <si>
    <t>Bern</t>
  </si>
  <si>
    <t>Baselland</t>
  </si>
  <si>
    <t>Basel Stadt</t>
  </si>
  <si>
    <t>Appenzell I.Rh.</t>
  </si>
  <si>
    <t>Appenzell A.Rh.</t>
  </si>
  <si>
    <t>Aargau</t>
  </si>
  <si>
    <t>Gebiet</t>
  </si>
  <si>
    <t>Waldschnepfe, 2024</t>
  </si>
  <si>
    <t>Jagdvorschriften Kantone</t>
  </si>
  <si>
    <t>BE</t>
  </si>
  <si>
    <t>FR</t>
  </si>
  <si>
    <t>JU</t>
  </si>
  <si>
    <t>NE</t>
  </si>
  <si>
    <t>TI</t>
  </si>
  <si>
    <t>VD</t>
  </si>
  <si>
    <t>VS</t>
  </si>
  <si>
    <t>Switzerland</t>
  </si>
  <si>
    <t>September</t>
  </si>
  <si>
    <t>1. - 15.</t>
  </si>
  <si>
    <t>16. - 30.</t>
  </si>
  <si>
    <t>October</t>
  </si>
  <si>
    <t>November</t>
  </si>
  <si>
    <t>December</t>
  </si>
  <si>
    <t>Harvest 2024</t>
  </si>
  <si>
    <t>Neuchâtel</t>
  </si>
  <si>
    <t>Vaud</t>
  </si>
  <si>
    <t>Ticino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</si>
</sst>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2" borderId="3" xfId="0" applyFill="1" applyBorder="1"/>
    <xf numFmtId="0" fontId="0" fillId="2" borderId="2" xfId="0" applyFill="1" applyBorder="1"/>
    <xf numFmtId="0" fontId="0" fillId="3" borderId="2" xfId="0" applyFill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0" fontId="0" fillId="0" borderId="2" xfId="0" applyBorder="1" applyAlignment="1">
      <alignment horizontal="center"/>
    </xf>
    <xf numFmtId="17" fontId="0" fillId="0" borderId="2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total_pro_jahr!$B$3</c:f>
              <c:strCache>
                <c:ptCount val="1"/>
                <c:pt idx="0">
                  <c:v>Anzahl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total_pro_jahr!$A$19:$A$43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total_pro_jahr!$B$19:$B$43</c:f>
              <c:numCache>
                <c:formatCode>General</c:formatCode>
                <c:ptCount val="25"/>
                <c:pt idx="0">
                  <c:v>2199</c:v>
                </c:pt>
                <c:pt idx="1">
                  <c:v>2584</c:v>
                </c:pt>
                <c:pt idx="2">
                  <c:v>1062</c:v>
                </c:pt>
                <c:pt idx="3">
                  <c:v>1577</c:v>
                </c:pt>
                <c:pt idx="4">
                  <c:v>1938</c:v>
                </c:pt>
                <c:pt idx="5">
                  <c:v>2027</c:v>
                </c:pt>
                <c:pt idx="6">
                  <c:v>2018</c:v>
                </c:pt>
                <c:pt idx="7">
                  <c:v>2279</c:v>
                </c:pt>
                <c:pt idx="8">
                  <c:v>2508</c:v>
                </c:pt>
                <c:pt idx="9">
                  <c:v>1948</c:v>
                </c:pt>
                <c:pt idx="10">
                  <c:v>1483</c:v>
                </c:pt>
                <c:pt idx="11">
                  <c:v>2386</c:v>
                </c:pt>
                <c:pt idx="12">
                  <c:v>1591</c:v>
                </c:pt>
                <c:pt idx="13">
                  <c:v>1666</c:v>
                </c:pt>
                <c:pt idx="14">
                  <c:v>2064</c:v>
                </c:pt>
                <c:pt idx="15">
                  <c:v>2474</c:v>
                </c:pt>
                <c:pt idx="16">
                  <c:v>1905</c:v>
                </c:pt>
                <c:pt idx="17">
                  <c:v>1572</c:v>
                </c:pt>
                <c:pt idx="18">
                  <c:v>2146</c:v>
                </c:pt>
                <c:pt idx="19">
                  <c:v>1819</c:v>
                </c:pt>
                <c:pt idx="20">
                  <c:v>1424</c:v>
                </c:pt>
                <c:pt idx="21">
                  <c:v>1587</c:v>
                </c:pt>
                <c:pt idx="22">
                  <c:v>1805</c:v>
                </c:pt>
                <c:pt idx="23">
                  <c:v>1157</c:v>
                </c:pt>
                <c:pt idx="24">
                  <c:v>2120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3-4508-8B76-F4B235701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4256632"/>
        <c:axId val="384256992"/>
      </c:barChart>
      <c:catAx>
        <c:axId val="38425663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84256992"/>
        <c:crosses val="autoZero"/>
        <c:auto val="1"/>
        <c:lblAlgn val="ctr"/>
        <c:lblOffset val="100"/>
        <c:tickLblSkip val="4"/>
        <c:noMultiLvlLbl val="0"/>
      </c:catAx>
      <c:valAx>
        <c:axId val="38425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8425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Zeitreihe_Kantone!$C$3</c:f>
              <c:strCache>
                <c:ptCount val="1"/>
                <c:pt idx="0">
                  <c:v>Neuchâtel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Zeitreihe_Kantone!$A$4:$A$28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Zeitreihe_Kantone!$C$4:$C$28</c:f>
              <c:numCache>
                <c:formatCode>General</c:formatCode>
                <c:ptCount val="25"/>
                <c:pt idx="0">
                  <c:v>225</c:v>
                </c:pt>
                <c:pt idx="1">
                  <c:v>211</c:v>
                </c:pt>
                <c:pt idx="2">
                  <c:v>88</c:v>
                </c:pt>
                <c:pt idx="3">
                  <c:v>70</c:v>
                </c:pt>
                <c:pt idx="4">
                  <c:v>169</c:v>
                </c:pt>
                <c:pt idx="5">
                  <c:v>244</c:v>
                </c:pt>
                <c:pt idx="6">
                  <c:v>197</c:v>
                </c:pt>
                <c:pt idx="7">
                  <c:v>213</c:v>
                </c:pt>
                <c:pt idx="8">
                  <c:v>177</c:v>
                </c:pt>
                <c:pt idx="9">
                  <c:v>164</c:v>
                </c:pt>
                <c:pt idx="10">
                  <c:v>120</c:v>
                </c:pt>
                <c:pt idx="11">
                  <c:v>325</c:v>
                </c:pt>
                <c:pt idx="12">
                  <c:v>142</c:v>
                </c:pt>
                <c:pt idx="13">
                  <c:v>153</c:v>
                </c:pt>
                <c:pt idx="14">
                  <c:v>239</c:v>
                </c:pt>
                <c:pt idx="15">
                  <c:v>214</c:v>
                </c:pt>
                <c:pt idx="16">
                  <c:v>137</c:v>
                </c:pt>
                <c:pt idx="17">
                  <c:v>89</c:v>
                </c:pt>
                <c:pt idx="18">
                  <c:v>185</c:v>
                </c:pt>
                <c:pt idx="19">
                  <c:v>129</c:v>
                </c:pt>
                <c:pt idx="20">
                  <c:v>95</c:v>
                </c:pt>
                <c:pt idx="21">
                  <c:v>125</c:v>
                </c:pt>
                <c:pt idx="22">
                  <c:v>122</c:v>
                </c:pt>
                <c:pt idx="23">
                  <c:v>84</c:v>
                </c:pt>
                <c:pt idx="2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6-4BEC-80CA-4FEE4301A66E}"/>
            </c:ext>
          </c:extLst>
        </c:ser>
        <c:ser>
          <c:idx val="1"/>
          <c:order val="1"/>
          <c:tx>
            <c:strRef>
              <c:f>Zeitreihe_Kantone!$D$3</c:f>
              <c:strCache>
                <c:ptCount val="1"/>
                <c:pt idx="0">
                  <c:v>Vaud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Zeitreihe_Kantone!$D$4:$D$28</c:f>
              <c:numCache>
                <c:formatCode>General</c:formatCode>
                <c:ptCount val="25"/>
                <c:pt idx="0">
                  <c:v>177</c:v>
                </c:pt>
                <c:pt idx="1">
                  <c:v>164</c:v>
                </c:pt>
                <c:pt idx="2">
                  <c:v>65</c:v>
                </c:pt>
                <c:pt idx="3">
                  <c:v>72</c:v>
                </c:pt>
                <c:pt idx="4">
                  <c:v>113</c:v>
                </c:pt>
                <c:pt idx="5">
                  <c:v>161</c:v>
                </c:pt>
                <c:pt idx="6">
                  <c:v>130</c:v>
                </c:pt>
                <c:pt idx="7">
                  <c:v>133</c:v>
                </c:pt>
                <c:pt idx="8">
                  <c:v>96</c:v>
                </c:pt>
                <c:pt idx="9">
                  <c:v>83</c:v>
                </c:pt>
                <c:pt idx="10">
                  <c:v>94</c:v>
                </c:pt>
                <c:pt idx="11">
                  <c:v>150</c:v>
                </c:pt>
                <c:pt idx="12">
                  <c:v>64</c:v>
                </c:pt>
                <c:pt idx="13">
                  <c:v>93</c:v>
                </c:pt>
                <c:pt idx="14">
                  <c:v>115</c:v>
                </c:pt>
                <c:pt idx="15">
                  <c:v>118</c:v>
                </c:pt>
                <c:pt idx="16">
                  <c:v>74</c:v>
                </c:pt>
                <c:pt idx="17">
                  <c:v>97</c:v>
                </c:pt>
                <c:pt idx="18">
                  <c:v>108</c:v>
                </c:pt>
                <c:pt idx="19">
                  <c:v>90</c:v>
                </c:pt>
                <c:pt idx="20">
                  <c:v>82</c:v>
                </c:pt>
                <c:pt idx="21">
                  <c:v>87</c:v>
                </c:pt>
                <c:pt idx="22">
                  <c:v>82</c:v>
                </c:pt>
                <c:pt idx="23">
                  <c:v>43</c:v>
                </c:pt>
                <c:pt idx="2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16-4BEC-80CA-4FEE4301A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427168"/>
        <c:axId val="793416368"/>
      </c:barChart>
      <c:catAx>
        <c:axId val="79342716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341636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79341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342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Zeitreihe_Kantone!$B$3</c:f>
              <c:strCache>
                <c:ptCount val="1"/>
                <c:pt idx="0">
                  <c:v>Ticino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Zeitreihe_Kantone!$A$4:$A$28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Zeitreihe_Kantone!$B$4:$B$28</c:f>
              <c:numCache>
                <c:formatCode>General</c:formatCode>
                <c:ptCount val="25"/>
                <c:pt idx="0">
                  <c:v>1650</c:v>
                </c:pt>
                <c:pt idx="1">
                  <c:v>2093</c:v>
                </c:pt>
                <c:pt idx="2">
                  <c:v>827</c:v>
                </c:pt>
                <c:pt idx="3">
                  <c:v>1337</c:v>
                </c:pt>
                <c:pt idx="4">
                  <c:v>1572</c:v>
                </c:pt>
                <c:pt idx="5">
                  <c:v>1507</c:v>
                </c:pt>
                <c:pt idx="6">
                  <c:v>1554</c:v>
                </c:pt>
                <c:pt idx="7">
                  <c:v>1810</c:v>
                </c:pt>
                <c:pt idx="8">
                  <c:v>2132</c:v>
                </c:pt>
                <c:pt idx="9">
                  <c:v>1551</c:v>
                </c:pt>
                <c:pt idx="10">
                  <c:v>1160</c:v>
                </c:pt>
                <c:pt idx="11">
                  <c:v>1745</c:v>
                </c:pt>
                <c:pt idx="12">
                  <c:v>1292</c:v>
                </c:pt>
                <c:pt idx="13">
                  <c:v>1281</c:v>
                </c:pt>
                <c:pt idx="14">
                  <c:v>1564</c:v>
                </c:pt>
                <c:pt idx="15">
                  <c:v>1922</c:v>
                </c:pt>
                <c:pt idx="16">
                  <c:v>1527</c:v>
                </c:pt>
                <c:pt idx="17">
                  <c:v>1239</c:v>
                </c:pt>
                <c:pt idx="18">
                  <c:v>1657</c:v>
                </c:pt>
                <c:pt idx="19">
                  <c:v>1427</c:v>
                </c:pt>
                <c:pt idx="20">
                  <c:v>1132</c:v>
                </c:pt>
                <c:pt idx="21">
                  <c:v>1256</c:v>
                </c:pt>
                <c:pt idx="22">
                  <c:v>1447</c:v>
                </c:pt>
                <c:pt idx="23">
                  <c:v>913</c:v>
                </c:pt>
                <c:pt idx="24">
                  <c:v>1864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D-4E49-8405-A2E8E6FAA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427168"/>
        <c:axId val="793416368"/>
      </c:barChart>
      <c:catAx>
        <c:axId val="79342716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341636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79341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342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723899</xdr:colOff>
      <xdr:row>3</xdr:row>
      <xdr:rowOff>161924</xdr:rowOff>
    </xdr:from>
    <xdr:to>
      <xdr:col>12</xdr:col>
      <xdr:colOff>495300</xdr:colOff>
      <xdr:row>29</xdr:row>
      <xdr:rowOff>123825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CDD8BCC-D156-6CB2-B43E-F80E100DD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447674</xdr:colOff>
      <xdr:row>1</xdr:row>
      <xdr:rowOff>171450</xdr:rowOff>
    </xdr:from>
    <xdr:to>
      <xdr:col>14</xdr:col>
      <xdr:colOff>66675</xdr:colOff>
      <xdr:row>24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0AF00E6-14E6-B0C8-861E-28FEC357E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447674</xdr:colOff>
      <xdr:row>25</xdr:row>
      <xdr:rowOff>85725</xdr:rowOff>
    </xdr:from>
    <xdr:to>
      <xdr:col>14</xdr:col>
      <xdr:colOff>66675</xdr:colOff>
      <xdr:row>48</xdr:row>
      <xdr:rowOff>66675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8EAE948-F4B7-F6C0-8E12-4EE09B57A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workbookViewId="0">
      <selection activeCell="O21" sqref="O21"/>
    </sheetView>
  </sheetViews>
  <sheetFormatPr baseColWidth="10" defaultRowHeight="15" x14ac:dyDescent="0.25"/>
  <cols>
    <col min="1" max="1" width="7.28515625" customWidth="1"/>
    <col min="2" max="2" width="11.85546875" bestFit="1" customWidth="1"/>
  </cols>
  <sheetData>
    <row r="1" spans="1:2" x14ac:dyDescent="0.25">
      <c r="A1" s="13" t="s">
        <v>0</v>
      </c>
      <c r="B1" s="13"/>
    </row>
    <row r="2" spans="1:2" x14ac:dyDescent="0.25">
      <c r="A2" s="13" t="s">
        <v>1</v>
      </c>
      <c r="B2" s="13"/>
    </row>
    <row r="3" spans="1:2" x14ac:dyDescent="0.25">
      <c r="A3" s="1" t="s">
        <v>2</v>
      </c>
      <c r="B3" s="1" t="s">
        <v>5</v>
      </c>
    </row>
    <row r="4" spans="1:2" x14ac:dyDescent="0.25">
      <c r="A4" s="2">
        <v>1985</v>
      </c>
      <c r="B4">
        <v>1514</v>
      </c>
    </row>
    <row r="5" spans="1:2" x14ac:dyDescent="0.25">
      <c r="A5" s="2">
        <v>1986</v>
      </c>
      <c r="B5">
        <v>1606</v>
      </c>
    </row>
    <row r="6" spans="1:2" x14ac:dyDescent="0.25">
      <c r="A6" s="2">
        <v>1987</v>
      </c>
      <c r="B6">
        <v>1383</v>
      </c>
    </row>
    <row r="7" spans="1:2" x14ac:dyDescent="0.25">
      <c r="A7" s="2">
        <v>1988</v>
      </c>
      <c r="B7">
        <v>2271</v>
      </c>
    </row>
    <row r="8" spans="1:2" x14ac:dyDescent="0.25">
      <c r="A8" s="2">
        <v>1989</v>
      </c>
      <c r="B8">
        <v>1583</v>
      </c>
    </row>
    <row r="9" spans="1:2" x14ac:dyDescent="0.25">
      <c r="A9" s="2">
        <v>1990</v>
      </c>
      <c r="B9">
        <v>2017</v>
      </c>
    </row>
    <row r="10" spans="1:2" x14ac:dyDescent="0.25">
      <c r="A10" s="2">
        <v>1991</v>
      </c>
      <c r="B10">
        <v>1312</v>
      </c>
    </row>
    <row r="11" spans="1:2" x14ac:dyDescent="0.25">
      <c r="A11" s="2">
        <v>1992</v>
      </c>
      <c r="B11">
        <v>795</v>
      </c>
    </row>
    <row r="12" spans="1:2" x14ac:dyDescent="0.25">
      <c r="A12" s="2">
        <v>1993</v>
      </c>
      <c r="B12">
        <v>1210</v>
      </c>
    </row>
    <row r="13" spans="1:2" x14ac:dyDescent="0.25">
      <c r="A13" s="2">
        <v>1994</v>
      </c>
      <c r="B13">
        <v>2171</v>
      </c>
    </row>
    <row r="14" spans="1:2" x14ac:dyDescent="0.25">
      <c r="A14" s="2">
        <v>1995</v>
      </c>
      <c r="B14">
        <v>2529</v>
      </c>
    </row>
    <row r="15" spans="1:2" x14ac:dyDescent="0.25">
      <c r="A15" s="2">
        <v>1996</v>
      </c>
      <c r="B15">
        <v>1878</v>
      </c>
    </row>
    <row r="16" spans="1:2" x14ac:dyDescent="0.25">
      <c r="A16" s="2">
        <v>1997</v>
      </c>
      <c r="B16">
        <v>1952</v>
      </c>
    </row>
    <row r="17" spans="1:2" x14ac:dyDescent="0.25">
      <c r="A17" s="2">
        <v>1998</v>
      </c>
      <c r="B17">
        <v>1411</v>
      </c>
    </row>
    <row r="18" spans="1:2" x14ac:dyDescent="0.25">
      <c r="A18" s="2">
        <v>1999</v>
      </c>
      <c r="B18">
        <v>1847</v>
      </c>
    </row>
    <row r="19" spans="1:2" x14ac:dyDescent="0.25">
      <c r="A19" s="2">
        <v>2000</v>
      </c>
      <c r="B19">
        <v>2199</v>
      </c>
    </row>
    <row r="20" spans="1:2" x14ac:dyDescent="0.25">
      <c r="A20" s="2">
        <v>2001</v>
      </c>
      <c r="B20">
        <v>2584</v>
      </c>
    </row>
    <row r="21" spans="1:2" x14ac:dyDescent="0.25">
      <c r="A21" s="2">
        <v>2002</v>
      </c>
      <c r="B21">
        <v>1062</v>
      </c>
    </row>
    <row r="22" spans="1:2" x14ac:dyDescent="0.25">
      <c r="A22" s="2">
        <v>2003</v>
      </c>
      <c r="B22">
        <v>1577</v>
      </c>
    </row>
    <row r="23" spans="1:2" x14ac:dyDescent="0.25">
      <c r="A23" s="2">
        <v>2004</v>
      </c>
      <c r="B23">
        <v>1938</v>
      </c>
    </row>
    <row r="24" spans="1:2" x14ac:dyDescent="0.25">
      <c r="A24" s="2">
        <v>2005</v>
      </c>
      <c r="B24">
        <v>2027</v>
      </c>
    </row>
    <row r="25" spans="1:2" x14ac:dyDescent="0.25">
      <c r="A25" s="2">
        <v>2006</v>
      </c>
      <c r="B25">
        <v>2018</v>
      </c>
    </row>
    <row r="26" spans="1:2" x14ac:dyDescent="0.25">
      <c r="A26" s="2">
        <v>2007</v>
      </c>
      <c r="B26">
        <v>2279</v>
      </c>
    </row>
    <row r="27" spans="1:2" x14ac:dyDescent="0.25">
      <c r="A27" s="2">
        <v>2008</v>
      </c>
      <c r="B27">
        <v>2508</v>
      </c>
    </row>
    <row r="28" spans="1:2" x14ac:dyDescent="0.25">
      <c r="A28" s="2">
        <v>2009</v>
      </c>
      <c r="B28">
        <v>1948</v>
      </c>
    </row>
    <row r="29" spans="1:2" x14ac:dyDescent="0.25">
      <c r="A29" s="2">
        <v>2010</v>
      </c>
      <c r="B29">
        <v>1483</v>
      </c>
    </row>
    <row r="30" spans="1:2" x14ac:dyDescent="0.25">
      <c r="A30" s="2">
        <v>2011</v>
      </c>
      <c r="B30">
        <v>2386</v>
      </c>
    </row>
    <row r="31" spans="1:2" x14ac:dyDescent="0.25">
      <c r="A31" s="2">
        <v>2012</v>
      </c>
      <c r="B31">
        <v>1591</v>
      </c>
    </row>
    <row r="32" spans="1:2" x14ac:dyDescent="0.25">
      <c r="A32" s="2">
        <v>2013</v>
      </c>
      <c r="B32">
        <v>1666</v>
      </c>
    </row>
    <row r="33" spans="1:2" x14ac:dyDescent="0.25">
      <c r="A33" s="2">
        <v>2014</v>
      </c>
      <c r="B33">
        <v>2064</v>
      </c>
    </row>
    <row r="34" spans="1:2" x14ac:dyDescent="0.25">
      <c r="A34" s="2">
        <v>2015</v>
      </c>
      <c r="B34">
        <v>2474</v>
      </c>
    </row>
    <row r="35" spans="1:2" x14ac:dyDescent="0.25">
      <c r="A35" s="2">
        <v>2016</v>
      </c>
      <c r="B35">
        <v>1905</v>
      </c>
    </row>
    <row r="36" spans="1:2" x14ac:dyDescent="0.25">
      <c r="A36" s="2">
        <v>2017</v>
      </c>
      <c r="B36">
        <v>1572</v>
      </c>
    </row>
    <row r="37" spans="1:2" x14ac:dyDescent="0.25">
      <c r="A37" s="2">
        <v>2018</v>
      </c>
      <c r="B37">
        <v>2146</v>
      </c>
    </row>
    <row r="38" spans="1:2" x14ac:dyDescent="0.25">
      <c r="A38" s="2">
        <v>2019</v>
      </c>
      <c r="B38">
        <v>1819</v>
      </c>
    </row>
    <row r="39" spans="1:2" x14ac:dyDescent="0.25">
      <c r="A39" s="2">
        <v>2020</v>
      </c>
      <c r="B39">
        <v>1424</v>
      </c>
    </row>
    <row r="40" spans="1:2" x14ac:dyDescent="0.25">
      <c r="A40" s="2">
        <v>2021</v>
      </c>
      <c r="B40">
        <v>1587</v>
      </c>
    </row>
    <row r="41" spans="1:2" x14ac:dyDescent="0.25">
      <c r="A41" s="2">
        <v>2022</v>
      </c>
      <c r="B41">
        <v>1805</v>
      </c>
    </row>
    <row r="42" spans="1:2" x14ac:dyDescent="0.25">
      <c r="A42" s="2">
        <v>2023</v>
      </c>
      <c r="B42">
        <v>1157</v>
      </c>
    </row>
    <row r="43" spans="1:2" x14ac:dyDescent="0.25">
      <c r="A43" s="2">
        <v>2024</v>
      </c>
      <c r="B43">
        <v>2120</v>
      </c>
    </row>
    <row r="44" spans="1:2" x14ac:dyDescent="0.25">
      <c r="A44" s="14" t="s">
        <v>4</v>
      </c>
      <c r="B44" s="15"/>
    </row>
  </sheetData>
  <mergeCells count="3">
    <mergeCell ref="A1:B1"/>
    <mergeCell ref="A2:B2"/>
    <mergeCell ref="A44:B44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41B6-1EA5-490B-B3C3-BE114C830C13}">
  <dimension ref="A1:B28"/>
  <sheetViews>
    <sheetView workbookViewId="0">
      <selection activeCell="K16" sqref="K16"/>
    </sheetView>
  </sheetViews>
  <sheetFormatPr baseColWidth="10" defaultRowHeight="15" x14ac:dyDescent="0.25"/>
  <cols>
    <col min="1" max="1" width="20.28515625" customWidth="1"/>
    <col min="2" max="2" width="13.42578125" customWidth="1"/>
  </cols>
  <sheetData>
    <row r="1" spans="1:2" x14ac:dyDescent="0.25">
      <c r="A1" s="14" t="s">
        <v>31</v>
      </c>
      <c r="B1" s="15"/>
    </row>
    <row r="2" spans="1:2" x14ac:dyDescent="0.25">
      <c r="A2" s="14" t="s">
        <v>1</v>
      </c>
      <c r="B2" s="15"/>
    </row>
    <row r="3" spans="1:2" x14ac:dyDescent="0.25">
      <c r="A3" s="1" t="s">
        <v>30</v>
      </c>
      <c r="B3" s="1" t="s">
        <v>3</v>
      </c>
    </row>
    <row r="4" spans="1:2" x14ac:dyDescent="0.25">
      <c r="A4" t="s">
        <v>29</v>
      </c>
      <c r="B4">
        <v>0</v>
      </c>
    </row>
    <row r="5" spans="1:2" x14ac:dyDescent="0.25">
      <c r="A5" t="s">
        <v>28</v>
      </c>
      <c r="B5">
        <v>0</v>
      </c>
    </row>
    <row r="6" spans="1:2" x14ac:dyDescent="0.25">
      <c r="A6" t="s">
        <v>27</v>
      </c>
      <c r="B6">
        <v>0</v>
      </c>
    </row>
    <row r="7" spans="1:2" x14ac:dyDescent="0.25">
      <c r="A7" t="s">
        <v>26</v>
      </c>
      <c r="B7">
        <v>0</v>
      </c>
    </row>
    <row r="8" spans="1:2" x14ac:dyDescent="0.25">
      <c r="A8" t="s">
        <v>25</v>
      </c>
      <c r="B8">
        <v>0</v>
      </c>
    </row>
    <row r="9" spans="1:2" x14ac:dyDescent="0.25">
      <c r="A9" t="s">
        <v>24</v>
      </c>
      <c r="B9">
        <v>25</v>
      </c>
    </row>
    <row r="10" spans="1:2" x14ac:dyDescent="0.25">
      <c r="A10" t="s">
        <v>23</v>
      </c>
      <c r="B10">
        <v>63</v>
      </c>
    </row>
    <row r="11" spans="1:2" x14ac:dyDescent="0.25">
      <c r="A11" t="s">
        <v>22</v>
      </c>
      <c r="B11">
        <v>0</v>
      </c>
    </row>
    <row r="12" spans="1:2" x14ac:dyDescent="0.25">
      <c r="A12" t="s">
        <v>21</v>
      </c>
      <c r="B12">
        <v>0</v>
      </c>
    </row>
    <row r="13" spans="1:2" x14ac:dyDescent="0.25">
      <c r="A13" t="s">
        <v>20</v>
      </c>
      <c r="B13">
        <v>0</v>
      </c>
    </row>
    <row r="14" spans="1:2" x14ac:dyDescent="0.25">
      <c r="A14" t="s">
        <v>19</v>
      </c>
      <c r="B14">
        <v>32</v>
      </c>
    </row>
    <row r="15" spans="1:2" x14ac:dyDescent="0.25">
      <c r="A15" t="s">
        <v>18</v>
      </c>
      <c r="B15">
        <v>0</v>
      </c>
    </row>
    <row r="16" spans="1:2" x14ac:dyDescent="0.25">
      <c r="A16" t="s">
        <v>17</v>
      </c>
      <c r="B16">
        <v>65</v>
      </c>
    </row>
    <row r="17" spans="1:2" x14ac:dyDescent="0.25">
      <c r="A17" t="s">
        <v>16</v>
      </c>
      <c r="B17">
        <v>0</v>
      </c>
    </row>
    <row r="18" spans="1:2" x14ac:dyDescent="0.25">
      <c r="A18" t="s">
        <v>15</v>
      </c>
      <c r="B18">
        <v>0</v>
      </c>
    </row>
    <row r="19" spans="1:2" x14ac:dyDescent="0.25">
      <c r="A19" t="s">
        <v>14</v>
      </c>
      <c r="B19">
        <v>0</v>
      </c>
    </row>
    <row r="20" spans="1:2" x14ac:dyDescent="0.25">
      <c r="A20" t="s">
        <v>13</v>
      </c>
      <c r="B20">
        <v>0</v>
      </c>
    </row>
    <row r="21" spans="1:2" x14ac:dyDescent="0.25">
      <c r="A21" t="s">
        <v>12</v>
      </c>
      <c r="B21">
        <v>1864</v>
      </c>
    </row>
    <row r="22" spans="1:2" x14ac:dyDescent="0.25">
      <c r="A22" t="s">
        <v>11</v>
      </c>
      <c r="B22">
        <v>0</v>
      </c>
    </row>
    <row r="23" spans="1:2" x14ac:dyDescent="0.25">
      <c r="A23" t="s">
        <v>10</v>
      </c>
      <c r="B23">
        <v>0</v>
      </c>
    </row>
    <row r="24" spans="1:2" x14ac:dyDescent="0.25">
      <c r="A24" t="s">
        <v>9</v>
      </c>
      <c r="B24">
        <v>67</v>
      </c>
    </row>
    <row r="25" spans="1:2" x14ac:dyDescent="0.25">
      <c r="A25" t="s">
        <v>8</v>
      </c>
      <c r="B25">
        <v>4</v>
      </c>
    </row>
    <row r="26" spans="1:2" x14ac:dyDescent="0.25">
      <c r="A26" t="s">
        <v>7</v>
      </c>
      <c r="B26">
        <v>0</v>
      </c>
    </row>
    <row r="27" spans="1:2" x14ac:dyDescent="0.25">
      <c r="A27" t="s">
        <v>6</v>
      </c>
      <c r="B27">
        <v>0</v>
      </c>
    </row>
    <row r="28" spans="1:2" x14ac:dyDescent="0.25">
      <c r="A28" s="14" t="s">
        <v>4</v>
      </c>
      <c r="B28" s="15"/>
    </row>
  </sheetData>
  <mergeCells count="3">
    <mergeCell ref="A1:B1"/>
    <mergeCell ref="A2:B2"/>
    <mergeCell ref="A28:B28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1D24-B722-4BFD-B839-8DC2AC415FAB}">
  <dimension ref="A1:AA12"/>
  <sheetViews>
    <sheetView workbookViewId="0">
      <selection activeCell="X31" sqref="X31"/>
    </sheetView>
  </sheetViews>
  <sheetFormatPr baseColWidth="10" defaultRowHeight="15" x14ac:dyDescent="0.25"/>
  <cols>
    <col min="3" max="26" width="2.7109375" customWidth="1"/>
    <col min="27" max="27" width="14" style="3" customWidth="1"/>
  </cols>
  <sheetData>
    <row r="1" spans="1:27" x14ac:dyDescent="0.25">
      <c r="A1" t="s">
        <v>32</v>
      </c>
    </row>
    <row r="3" spans="1:27" x14ac:dyDescent="0.25">
      <c r="C3" s="14" t="s">
        <v>41</v>
      </c>
      <c r="D3" s="14"/>
      <c r="E3" s="14"/>
      <c r="F3" s="14"/>
      <c r="G3" s="14"/>
      <c r="H3" s="14"/>
      <c r="I3" s="16" t="s">
        <v>44</v>
      </c>
      <c r="J3" s="14"/>
      <c r="K3" s="14"/>
      <c r="L3" s="14"/>
      <c r="M3" s="14"/>
      <c r="N3" s="14"/>
      <c r="O3" s="16" t="s">
        <v>45</v>
      </c>
      <c r="P3" s="14"/>
      <c r="Q3" s="14"/>
      <c r="R3" s="14"/>
      <c r="S3" s="14"/>
      <c r="T3" s="14"/>
      <c r="U3" s="16" t="s">
        <v>46</v>
      </c>
      <c r="V3" s="14"/>
      <c r="W3" s="14"/>
      <c r="X3" s="14"/>
      <c r="Y3" s="14"/>
      <c r="Z3" s="14"/>
      <c r="AA3" s="8"/>
    </row>
    <row r="4" spans="1:27" x14ac:dyDescent="0.25">
      <c r="C4" s="18" t="s">
        <v>42</v>
      </c>
      <c r="D4" s="14"/>
      <c r="E4" s="14"/>
      <c r="F4" s="14" t="s">
        <v>43</v>
      </c>
      <c r="G4" s="14"/>
      <c r="H4" s="14"/>
      <c r="I4" s="17" t="s">
        <v>42</v>
      </c>
      <c r="J4" s="14"/>
      <c r="K4" s="14"/>
      <c r="L4" s="14" t="s">
        <v>43</v>
      </c>
      <c r="M4" s="14"/>
      <c r="N4" s="14"/>
      <c r="O4" s="17" t="s">
        <v>42</v>
      </c>
      <c r="P4" s="14"/>
      <c r="Q4" s="14"/>
      <c r="R4" s="14" t="s">
        <v>43</v>
      </c>
      <c r="S4" s="14"/>
      <c r="T4" s="14"/>
      <c r="U4" s="17" t="s">
        <v>42</v>
      </c>
      <c r="V4" s="14"/>
      <c r="W4" s="14"/>
      <c r="X4" s="14" t="s">
        <v>43</v>
      </c>
      <c r="Y4" s="14"/>
      <c r="Z4" s="14"/>
      <c r="AA4" s="8" t="s">
        <v>47</v>
      </c>
    </row>
    <row r="5" spans="1:27" x14ac:dyDescent="0.25">
      <c r="B5" t="s">
        <v>40</v>
      </c>
      <c r="C5" s="6"/>
      <c r="D5" s="6"/>
      <c r="E5" s="6"/>
      <c r="F5" s="7"/>
      <c r="G5" s="7"/>
      <c r="H5" s="7"/>
      <c r="I5" s="9"/>
      <c r="J5" s="7"/>
      <c r="K5" s="7"/>
      <c r="L5" s="7"/>
      <c r="M5" s="7"/>
      <c r="N5" s="7"/>
      <c r="O5" s="9"/>
      <c r="P5" s="7"/>
      <c r="Q5" s="7"/>
      <c r="R5" s="7"/>
      <c r="S5" s="7"/>
      <c r="T5" s="7"/>
      <c r="U5" s="9"/>
      <c r="V5" s="7"/>
      <c r="W5" s="7"/>
      <c r="X5" s="6"/>
      <c r="Y5" s="6"/>
      <c r="Z5" s="6"/>
      <c r="AA5" s="12">
        <f>SUM(AA6:AA12)</f>
        <v>2120</v>
      </c>
    </row>
    <row r="6" spans="1:27" x14ac:dyDescent="0.25">
      <c r="B6" t="s">
        <v>33</v>
      </c>
      <c r="C6" s="5"/>
      <c r="D6" s="5"/>
      <c r="E6" s="5"/>
      <c r="F6" s="5"/>
      <c r="G6" s="5"/>
      <c r="H6" s="5"/>
      <c r="I6" s="10"/>
      <c r="J6" s="4"/>
      <c r="K6" s="4"/>
      <c r="L6" s="4"/>
      <c r="M6" s="4"/>
      <c r="N6" s="4"/>
      <c r="O6" s="10"/>
      <c r="P6" s="4"/>
      <c r="Q6" s="4"/>
      <c r="R6" s="5"/>
      <c r="S6" s="5"/>
      <c r="T6" s="5"/>
      <c r="U6" s="11"/>
      <c r="V6" s="5"/>
      <c r="W6" s="5"/>
      <c r="X6" s="5"/>
      <c r="Y6" s="5"/>
      <c r="Z6" s="5"/>
      <c r="AA6" s="8">
        <f>'2024_pro_kanton'!B9</f>
        <v>25</v>
      </c>
    </row>
    <row r="7" spans="1:27" x14ac:dyDescent="0.25">
      <c r="B7" t="s">
        <v>34</v>
      </c>
      <c r="C7" s="5"/>
      <c r="D7" s="5"/>
      <c r="E7" s="5"/>
      <c r="F7" s="5"/>
      <c r="G7" s="5"/>
      <c r="H7" s="5"/>
      <c r="I7" s="11"/>
      <c r="J7" s="5"/>
      <c r="K7" s="5"/>
      <c r="L7" s="5"/>
      <c r="M7" s="4"/>
      <c r="N7" s="4"/>
      <c r="O7" s="10"/>
      <c r="P7" s="4"/>
      <c r="Q7" s="4"/>
      <c r="R7" s="4"/>
      <c r="S7" s="4"/>
      <c r="T7" s="4"/>
      <c r="U7" s="10"/>
      <c r="V7" s="4"/>
      <c r="W7" s="4"/>
      <c r="X7" s="5"/>
      <c r="Y7" s="5"/>
      <c r="Z7" s="5"/>
      <c r="AA7" s="8">
        <f>'2024_pro_kanton'!B10</f>
        <v>63</v>
      </c>
    </row>
    <row r="8" spans="1:27" x14ac:dyDescent="0.25">
      <c r="B8" t="s">
        <v>35</v>
      </c>
      <c r="C8" s="5"/>
      <c r="D8" s="5"/>
      <c r="E8" s="5"/>
      <c r="F8" s="4"/>
      <c r="G8" s="4"/>
      <c r="H8" s="4"/>
      <c r="I8" s="10"/>
      <c r="J8" s="4"/>
      <c r="K8" s="4"/>
      <c r="L8" s="4"/>
      <c r="M8" s="4"/>
      <c r="N8" s="4"/>
      <c r="O8" s="10"/>
      <c r="P8" s="4"/>
      <c r="Q8" s="4"/>
      <c r="R8" s="4"/>
      <c r="S8" s="4"/>
      <c r="T8" s="4"/>
      <c r="U8" s="10"/>
      <c r="V8" s="4"/>
      <c r="W8" s="4"/>
      <c r="X8" s="5"/>
      <c r="Y8" s="5"/>
      <c r="Z8" s="5"/>
      <c r="AA8" s="8">
        <f>'2024_pro_kanton'!B14</f>
        <v>32</v>
      </c>
    </row>
    <row r="9" spans="1:27" x14ac:dyDescent="0.25">
      <c r="B9" t="s">
        <v>36</v>
      </c>
      <c r="C9" s="5"/>
      <c r="D9" s="5"/>
      <c r="E9" s="5"/>
      <c r="F9" s="5"/>
      <c r="G9" s="5"/>
      <c r="H9" s="5"/>
      <c r="I9" s="11"/>
      <c r="J9" s="5"/>
      <c r="K9" s="5"/>
      <c r="L9" s="5"/>
      <c r="M9" s="4"/>
      <c r="N9" s="4"/>
      <c r="O9" s="10"/>
      <c r="P9" s="4"/>
      <c r="Q9" s="4"/>
      <c r="R9" s="4"/>
      <c r="S9" s="4"/>
      <c r="T9" s="4"/>
      <c r="U9" s="10"/>
      <c r="V9" s="4"/>
      <c r="W9" s="4"/>
      <c r="X9" s="5"/>
      <c r="Y9" s="5"/>
      <c r="Z9" s="5"/>
      <c r="AA9" s="8">
        <f>'2024_pro_kanton'!B16</f>
        <v>65</v>
      </c>
    </row>
    <row r="10" spans="1:27" x14ac:dyDescent="0.25">
      <c r="B10" t="s">
        <v>37</v>
      </c>
      <c r="C10" s="5"/>
      <c r="D10" s="5"/>
      <c r="E10" s="5"/>
      <c r="F10" s="5"/>
      <c r="G10" s="5"/>
      <c r="H10" s="5"/>
      <c r="I10" s="11"/>
      <c r="J10" s="5"/>
      <c r="K10" s="5"/>
      <c r="L10" s="4"/>
      <c r="M10" s="4"/>
      <c r="N10" s="4"/>
      <c r="O10" s="10"/>
      <c r="P10" s="4"/>
      <c r="Q10" s="4"/>
      <c r="R10" s="4"/>
      <c r="S10" s="4"/>
      <c r="T10" s="4"/>
      <c r="U10" s="11"/>
      <c r="V10" s="5"/>
      <c r="W10" s="5"/>
      <c r="X10" s="5"/>
      <c r="Y10" s="5"/>
      <c r="Z10" s="5"/>
      <c r="AA10" s="8">
        <f>'2024_pro_kanton'!B21</f>
        <v>1864</v>
      </c>
    </row>
    <row r="11" spans="1:27" x14ac:dyDescent="0.25">
      <c r="B11" t="s">
        <v>38</v>
      </c>
      <c r="C11" s="5"/>
      <c r="D11" s="5"/>
      <c r="E11" s="5"/>
      <c r="F11" s="5"/>
      <c r="G11" s="5"/>
      <c r="H11" s="5"/>
      <c r="I11" s="11"/>
      <c r="J11" s="5"/>
      <c r="K11" s="5"/>
      <c r="L11" s="5"/>
      <c r="M11" s="4"/>
      <c r="N11" s="4"/>
      <c r="O11" s="10"/>
      <c r="P11" s="4"/>
      <c r="Q11" s="4"/>
      <c r="R11" s="4"/>
      <c r="S11" s="4"/>
      <c r="T11" s="4"/>
      <c r="U11" s="10"/>
      <c r="V11" s="4"/>
      <c r="W11" s="4"/>
      <c r="X11" s="5"/>
      <c r="Y11" s="5"/>
      <c r="Z11" s="5"/>
      <c r="AA11" s="8">
        <f>'2024_pro_kanton'!B24</f>
        <v>67</v>
      </c>
    </row>
    <row r="12" spans="1:27" x14ac:dyDescent="0.25">
      <c r="B12" t="s">
        <v>39</v>
      </c>
      <c r="C12" s="5"/>
      <c r="D12" s="5"/>
      <c r="E12" s="5"/>
      <c r="F12" s="5"/>
      <c r="G12" s="5"/>
      <c r="H12" s="5"/>
      <c r="I12" s="11"/>
      <c r="J12" s="5"/>
      <c r="K12" s="5"/>
      <c r="L12" s="5"/>
      <c r="M12" s="4"/>
      <c r="N12" s="4"/>
      <c r="O12" s="10"/>
      <c r="P12" s="4"/>
      <c r="Q12" s="4"/>
      <c r="R12" s="4"/>
      <c r="S12" s="4"/>
      <c r="T12" s="4"/>
      <c r="U12" s="11"/>
      <c r="V12" s="5"/>
      <c r="W12" s="5"/>
      <c r="X12" s="5"/>
      <c r="Y12" s="5"/>
      <c r="Z12" s="5"/>
      <c r="AA12" s="8">
        <f>'2024_pro_kanton'!B25</f>
        <v>4</v>
      </c>
    </row>
  </sheetData>
  <mergeCells count="12">
    <mergeCell ref="C3:H3"/>
    <mergeCell ref="C4:E4"/>
    <mergeCell ref="F4:H4"/>
    <mergeCell ref="I3:N3"/>
    <mergeCell ref="I4:K4"/>
    <mergeCell ref="L4:N4"/>
    <mergeCell ref="O3:T3"/>
    <mergeCell ref="U3:Z3"/>
    <mergeCell ref="O4:Q4"/>
    <mergeCell ref="R4:T4"/>
    <mergeCell ref="U4:W4"/>
    <mergeCell ref="X4:Z4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4619-9237-4D7C-8710-10F05A0E2FD7}">
  <dimension ref="A1:D29"/>
  <sheetViews>
    <sheetView tabSelected="1" topLeftCell="A3" workbookViewId="0">
      <selection activeCell="P21" sqref="P21"/>
    </sheetView>
  </sheetViews>
  <sheetFormatPr baseColWidth="10" defaultRowHeight="15" x14ac:dyDescent="0.25"/>
  <cols>
    <col min="1" max="1" width="6" customWidth="1"/>
    <col min="2" max="2" width="13.42578125" customWidth="1"/>
  </cols>
  <sheetData>
    <row r="1" spans="1:4" x14ac:dyDescent="0.25">
      <c r="A1" s="14"/>
      <c r="B1" s="15"/>
    </row>
    <row r="2" spans="1:4" x14ac:dyDescent="0.25">
      <c r="A2" s="14"/>
      <c r="B2" s="15"/>
    </row>
    <row r="3" spans="1:4" x14ac:dyDescent="0.25">
      <c r="A3" s="20" t="s">
        <v>2</v>
      </c>
      <c r="B3" s="19" t="s">
        <v>50</v>
      </c>
      <c r="C3" s="19" t="s">
        <v>48</v>
      </c>
      <c r="D3" s="19" t="s">
        <v>49</v>
      </c>
    </row>
    <row r="4" spans="1:4" x14ac:dyDescent="0.25">
      <c r="A4" s="2">
        <v>2000</v>
      </c>
      <c r="B4">
        <v>1650</v>
      </c>
      <c r="C4">
        <v>225</v>
      </c>
      <c r="D4">
        <v>177</v>
      </c>
    </row>
    <row r="5" spans="1:4" x14ac:dyDescent="0.25">
      <c r="A5" s="2">
        <v>2001</v>
      </c>
      <c r="B5">
        <v>2093</v>
      </c>
      <c r="C5">
        <v>211</v>
      </c>
      <c r="D5">
        <v>164</v>
      </c>
    </row>
    <row r="6" spans="1:4" x14ac:dyDescent="0.25">
      <c r="A6" s="2">
        <v>2002</v>
      </c>
      <c r="B6">
        <v>827</v>
      </c>
      <c r="C6">
        <v>88</v>
      </c>
      <c r="D6">
        <v>65</v>
      </c>
    </row>
    <row r="7" spans="1:4" x14ac:dyDescent="0.25">
      <c r="A7" s="2">
        <v>2003</v>
      </c>
      <c r="B7">
        <v>1337</v>
      </c>
      <c r="C7">
        <v>70</v>
      </c>
      <c r="D7">
        <v>72</v>
      </c>
    </row>
    <row r="8" spans="1:4" x14ac:dyDescent="0.25">
      <c r="A8" s="2">
        <v>2004</v>
      </c>
      <c r="B8">
        <v>1572</v>
      </c>
      <c r="C8">
        <v>169</v>
      </c>
      <c r="D8">
        <v>113</v>
      </c>
    </row>
    <row r="9" spans="1:4" x14ac:dyDescent="0.25">
      <c r="A9" s="2">
        <v>2005</v>
      </c>
      <c r="B9">
        <v>1507</v>
      </c>
      <c r="C9">
        <v>244</v>
      </c>
      <c r="D9">
        <v>161</v>
      </c>
    </row>
    <row r="10" spans="1:4" x14ac:dyDescent="0.25">
      <c r="A10" s="2">
        <v>2006</v>
      </c>
      <c r="B10">
        <v>1554</v>
      </c>
      <c r="C10">
        <v>197</v>
      </c>
      <c r="D10">
        <v>130</v>
      </c>
    </row>
    <row r="11" spans="1:4" x14ac:dyDescent="0.25">
      <c r="A11" s="2">
        <v>2007</v>
      </c>
      <c r="B11">
        <v>1810</v>
      </c>
      <c r="C11">
        <v>213</v>
      </c>
      <c r="D11">
        <v>133</v>
      </c>
    </row>
    <row r="12" spans="1:4" x14ac:dyDescent="0.25">
      <c r="A12" s="2">
        <v>2008</v>
      </c>
      <c r="B12">
        <v>2132</v>
      </c>
      <c r="C12">
        <v>177</v>
      </c>
      <c r="D12">
        <v>96</v>
      </c>
    </row>
    <row r="13" spans="1:4" x14ac:dyDescent="0.25">
      <c r="A13" s="2">
        <v>2009</v>
      </c>
      <c r="B13">
        <v>1551</v>
      </c>
      <c r="C13">
        <v>164</v>
      </c>
      <c r="D13">
        <v>83</v>
      </c>
    </row>
    <row r="14" spans="1:4" x14ac:dyDescent="0.25">
      <c r="A14" s="2">
        <v>2010</v>
      </c>
      <c r="B14">
        <v>1160</v>
      </c>
      <c r="C14">
        <v>120</v>
      </c>
      <c r="D14">
        <v>94</v>
      </c>
    </row>
    <row r="15" spans="1:4" x14ac:dyDescent="0.25">
      <c r="A15" s="2">
        <v>2011</v>
      </c>
      <c r="B15">
        <v>1745</v>
      </c>
      <c r="C15">
        <v>325</v>
      </c>
      <c r="D15">
        <v>150</v>
      </c>
    </row>
    <row r="16" spans="1:4" x14ac:dyDescent="0.25">
      <c r="A16" s="2">
        <v>2012</v>
      </c>
      <c r="B16">
        <v>1292</v>
      </c>
      <c r="C16">
        <v>142</v>
      </c>
      <c r="D16">
        <v>64</v>
      </c>
    </row>
    <row r="17" spans="1:4" x14ac:dyDescent="0.25">
      <c r="A17" s="2">
        <v>2013</v>
      </c>
      <c r="B17">
        <v>1281</v>
      </c>
      <c r="C17">
        <v>153</v>
      </c>
      <c r="D17">
        <v>93</v>
      </c>
    </row>
    <row r="18" spans="1:4" x14ac:dyDescent="0.25">
      <c r="A18" s="2">
        <v>2014</v>
      </c>
      <c r="B18">
        <v>1564</v>
      </c>
      <c r="C18">
        <v>239</v>
      </c>
      <c r="D18">
        <v>115</v>
      </c>
    </row>
    <row r="19" spans="1:4" x14ac:dyDescent="0.25">
      <c r="A19" s="2">
        <v>2015</v>
      </c>
      <c r="B19">
        <v>1922</v>
      </c>
      <c r="C19">
        <v>214</v>
      </c>
      <c r="D19">
        <v>118</v>
      </c>
    </row>
    <row r="20" spans="1:4" x14ac:dyDescent="0.25">
      <c r="A20" s="2">
        <v>2016</v>
      </c>
      <c r="B20">
        <v>1527</v>
      </c>
      <c r="C20">
        <v>137</v>
      </c>
      <c r="D20">
        <v>74</v>
      </c>
    </row>
    <row r="21" spans="1:4" x14ac:dyDescent="0.25">
      <c r="A21" s="2">
        <v>2017</v>
      </c>
      <c r="B21">
        <v>1239</v>
      </c>
      <c r="C21">
        <v>89</v>
      </c>
      <c r="D21">
        <v>97</v>
      </c>
    </row>
    <row r="22" spans="1:4" x14ac:dyDescent="0.25">
      <c r="A22" s="2">
        <v>2018</v>
      </c>
      <c r="B22">
        <v>1657</v>
      </c>
      <c r="C22">
        <v>185</v>
      </c>
      <c r="D22">
        <v>108</v>
      </c>
    </row>
    <row r="23" spans="1:4" x14ac:dyDescent="0.25">
      <c r="A23" s="2">
        <v>2019</v>
      </c>
      <c r="B23">
        <v>1427</v>
      </c>
      <c r="C23">
        <v>129</v>
      </c>
      <c r="D23">
        <v>90</v>
      </c>
    </row>
    <row r="24" spans="1:4" x14ac:dyDescent="0.25">
      <c r="A24" s="2">
        <v>2020</v>
      </c>
      <c r="B24">
        <v>1132</v>
      </c>
      <c r="C24">
        <v>95</v>
      </c>
      <c r="D24">
        <v>82</v>
      </c>
    </row>
    <row r="25" spans="1:4" x14ac:dyDescent="0.25">
      <c r="A25" s="2">
        <v>2021</v>
      </c>
      <c r="B25">
        <v>1256</v>
      </c>
      <c r="C25">
        <v>125</v>
      </c>
      <c r="D25">
        <v>87</v>
      </c>
    </row>
    <row r="26" spans="1:4" x14ac:dyDescent="0.25">
      <c r="A26" s="2">
        <v>2022</v>
      </c>
      <c r="B26">
        <v>1447</v>
      </c>
      <c r="C26">
        <v>122</v>
      </c>
      <c r="D26">
        <v>82</v>
      </c>
    </row>
    <row r="27" spans="1:4" x14ac:dyDescent="0.25">
      <c r="A27" s="2">
        <v>2023</v>
      </c>
      <c r="B27">
        <v>913</v>
      </c>
      <c r="C27">
        <v>84</v>
      </c>
      <c r="D27">
        <v>43</v>
      </c>
    </row>
    <row r="28" spans="1:4" x14ac:dyDescent="0.25">
      <c r="A28" s="2">
        <v>2024</v>
      </c>
      <c r="B28">
        <v>1864</v>
      </c>
      <c r="C28">
        <v>65</v>
      </c>
      <c r="D28">
        <v>67</v>
      </c>
    </row>
    <row r="29" spans="1:4" x14ac:dyDescent="0.25">
      <c r="A29" s="14"/>
      <c r="B29" s="15"/>
    </row>
  </sheetData>
  <mergeCells count="3">
    <mergeCell ref="A1:B1"/>
    <mergeCell ref="A2:B2"/>
    <mergeCell ref="A29:B29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total_pro_jahr</vt:lpstr>
      <vt:lpstr>2024_pro_kanton</vt:lpstr>
      <vt:lpstr>Tabelle</vt:lpstr>
      <vt:lpstr>Zeitreihe_Kantone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Mollet</dc:creator>
  <cp:lastModifiedBy>Pierre Mollet</cp:lastModifiedBy>
  <dcterms:created xsi:type="dcterms:W3CDTF">2025-10-03T07:12:47Z</dcterms:created>
  <dcterms:modified xsi:type="dcterms:W3CDTF">2025-10-06T13:30:28Z</dcterms:modified>
</cp:coreProperties>
</file>