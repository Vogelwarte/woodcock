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vogelwarte-my.sharepoint.com/personal/steffen_oppel_vogelwarte_ch/Documents/Woodcock/data/pm_table/"/>
    </mc:Choice>
  </mc:AlternateContent>
  <xr:revisionPtr revIDLastSave="442" documentId="8_{212D39D2-EEBD-4A36-ADFE-2EEA6DD39B57}" xr6:coauthVersionLast="47" xr6:coauthVersionMax="47" xr10:uidLastSave="{ED4F902E-EACE-4DD8-A025-84D2E14D35C5}"/>
  <bookViews>
    <workbookView xWindow="-120" yWindow="-120" windowWidth="38640" windowHeight="21240" activeTab="2" xr2:uid="{00000000-000D-0000-FFFF-FFFF00000000}"/>
  </bookViews>
  <sheets>
    <sheet name="Data_all" sheetId="3" r:id="rId1"/>
    <sheet name="Data_Individuals" sheetId="7" r:id="rId2"/>
    <sheet name="Tabelle1" sheetId="4" r:id="rId3"/>
  </sheets>
  <definedNames>
    <definedName name="_xlnm._FilterDatabase" localSheetId="0" hidden="1">Data_all!$A$1:$P$1161</definedName>
    <definedName name="_xlnm._FilterDatabase" localSheetId="1" hidden="1">Data_Individuals!$A$1:$Q$473</definedName>
    <definedName name="_xlnm.Print_Area" localSheetId="2">Tabelle1!$A$1:$C$20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4" l="1"/>
  <c r="A24" i="7"/>
  <c r="D24" i="7"/>
  <c r="E24" i="7"/>
  <c r="F24" i="7"/>
  <c r="F473" i="7"/>
  <c r="E473" i="7"/>
  <c r="D473" i="7"/>
  <c r="A473" i="7"/>
  <c r="F472" i="7"/>
  <c r="E472" i="7"/>
  <c r="D472" i="7"/>
  <c r="A472" i="7"/>
  <c r="F471" i="7"/>
  <c r="E471" i="7"/>
  <c r="D471" i="7"/>
  <c r="A471" i="7"/>
  <c r="F470" i="7"/>
  <c r="E470" i="7"/>
  <c r="D470" i="7"/>
  <c r="A470" i="7"/>
  <c r="F469" i="7"/>
  <c r="E469" i="7"/>
  <c r="D469" i="7"/>
  <c r="A469" i="7"/>
  <c r="F468" i="7"/>
  <c r="E468" i="7"/>
  <c r="D468" i="7"/>
  <c r="A468" i="7"/>
  <c r="F467" i="7"/>
  <c r="E467" i="7"/>
  <c r="D467" i="7"/>
  <c r="A467" i="7"/>
  <c r="F466" i="7"/>
  <c r="E466" i="7"/>
  <c r="D466" i="7"/>
  <c r="A466" i="7"/>
  <c r="F465" i="7"/>
  <c r="E465" i="7"/>
  <c r="D465" i="7"/>
  <c r="A465" i="7"/>
  <c r="F464" i="7"/>
  <c r="E464" i="7"/>
  <c r="D464" i="7"/>
  <c r="A464" i="7"/>
  <c r="F463" i="7"/>
  <c r="E463" i="7"/>
  <c r="D463" i="7"/>
  <c r="A463" i="7"/>
  <c r="F462" i="7"/>
  <c r="E462" i="7"/>
  <c r="D462" i="7"/>
  <c r="A462" i="7"/>
  <c r="F461" i="7"/>
  <c r="E461" i="7"/>
  <c r="D461" i="7"/>
  <c r="A461" i="7"/>
  <c r="F460" i="7"/>
  <c r="E460" i="7"/>
  <c r="D460" i="7"/>
  <c r="A460" i="7"/>
  <c r="F459" i="7"/>
  <c r="E459" i="7"/>
  <c r="D459" i="7"/>
  <c r="A459" i="7"/>
  <c r="F458" i="7"/>
  <c r="E458" i="7"/>
  <c r="D458" i="7"/>
  <c r="A458" i="7"/>
  <c r="F457" i="7"/>
  <c r="E457" i="7"/>
  <c r="D457" i="7"/>
  <c r="A457" i="7"/>
  <c r="F456" i="7"/>
  <c r="E456" i="7"/>
  <c r="D456" i="7"/>
  <c r="A456" i="7"/>
  <c r="F455" i="7"/>
  <c r="E455" i="7"/>
  <c r="D455" i="7"/>
  <c r="A455" i="7"/>
  <c r="F454" i="7"/>
  <c r="E454" i="7"/>
  <c r="D454" i="7"/>
  <c r="A454" i="7"/>
  <c r="F453" i="7"/>
  <c r="E453" i="7"/>
  <c r="D453" i="7"/>
  <c r="A453" i="7"/>
  <c r="F452" i="7"/>
  <c r="E452" i="7"/>
  <c r="D452" i="7"/>
  <c r="A452" i="7"/>
  <c r="F451" i="7"/>
  <c r="E451" i="7"/>
  <c r="D451" i="7"/>
  <c r="A451" i="7"/>
  <c r="F450" i="7"/>
  <c r="E450" i="7"/>
  <c r="D450" i="7"/>
  <c r="A450" i="7"/>
  <c r="F449" i="7"/>
  <c r="E449" i="7"/>
  <c r="D449" i="7"/>
  <c r="A449" i="7"/>
  <c r="F448" i="7"/>
  <c r="E448" i="7"/>
  <c r="D448" i="7"/>
  <c r="A448" i="7"/>
  <c r="F447" i="7"/>
  <c r="E447" i="7"/>
  <c r="D447" i="7"/>
  <c r="A447" i="7"/>
  <c r="F446" i="7"/>
  <c r="E446" i="7"/>
  <c r="D446" i="7"/>
  <c r="A446" i="7"/>
  <c r="F445" i="7"/>
  <c r="E445" i="7"/>
  <c r="D445" i="7"/>
  <c r="A445" i="7"/>
  <c r="F444" i="7"/>
  <c r="E444" i="7"/>
  <c r="D444" i="7"/>
  <c r="A444" i="7"/>
  <c r="F443" i="7"/>
  <c r="E443" i="7"/>
  <c r="D443" i="7"/>
  <c r="A443" i="7"/>
  <c r="F442" i="7"/>
  <c r="E442" i="7"/>
  <c r="D442" i="7"/>
  <c r="A442" i="7"/>
  <c r="F441" i="7"/>
  <c r="E441" i="7"/>
  <c r="D441" i="7"/>
  <c r="A441" i="7"/>
  <c r="F440" i="7"/>
  <c r="E440" i="7"/>
  <c r="D440" i="7"/>
  <c r="A440" i="7"/>
  <c r="F439" i="7"/>
  <c r="E439" i="7"/>
  <c r="D439" i="7"/>
  <c r="A439" i="7"/>
  <c r="F438" i="7"/>
  <c r="E438" i="7"/>
  <c r="D438" i="7"/>
  <c r="A438" i="7"/>
  <c r="F437" i="7"/>
  <c r="E437" i="7"/>
  <c r="D437" i="7"/>
  <c r="A437" i="7"/>
  <c r="F436" i="7"/>
  <c r="E436" i="7"/>
  <c r="D436" i="7"/>
  <c r="A436" i="7"/>
  <c r="F435" i="7"/>
  <c r="E435" i="7"/>
  <c r="D435" i="7"/>
  <c r="A435" i="7"/>
  <c r="F434" i="7"/>
  <c r="E434" i="7"/>
  <c r="D434" i="7"/>
  <c r="A434" i="7"/>
  <c r="F433" i="7"/>
  <c r="E433" i="7"/>
  <c r="D433" i="7"/>
  <c r="A433" i="7"/>
  <c r="F432" i="7"/>
  <c r="E432" i="7"/>
  <c r="D432" i="7"/>
  <c r="A432" i="7"/>
  <c r="F431" i="7"/>
  <c r="E431" i="7"/>
  <c r="D431" i="7"/>
  <c r="A431" i="7"/>
  <c r="F430" i="7"/>
  <c r="E430" i="7"/>
  <c r="D430" i="7"/>
  <c r="A430" i="7"/>
  <c r="F429" i="7"/>
  <c r="E429" i="7"/>
  <c r="D429" i="7"/>
  <c r="A429" i="7"/>
  <c r="F428" i="7"/>
  <c r="E428" i="7"/>
  <c r="D428" i="7"/>
  <c r="A428" i="7"/>
  <c r="F427" i="7"/>
  <c r="E427" i="7"/>
  <c r="D427" i="7"/>
  <c r="A427" i="7"/>
  <c r="F426" i="7"/>
  <c r="E426" i="7"/>
  <c r="D426" i="7"/>
  <c r="A426" i="7"/>
  <c r="F425" i="7"/>
  <c r="E425" i="7"/>
  <c r="D425" i="7"/>
  <c r="A425" i="7"/>
  <c r="F424" i="7"/>
  <c r="E424" i="7"/>
  <c r="D424" i="7"/>
  <c r="A424" i="7"/>
  <c r="F423" i="7"/>
  <c r="E423" i="7"/>
  <c r="D423" i="7"/>
  <c r="A423" i="7"/>
  <c r="F422" i="7"/>
  <c r="E422" i="7"/>
  <c r="D422" i="7"/>
  <c r="A422" i="7"/>
  <c r="F421" i="7"/>
  <c r="E421" i="7"/>
  <c r="D421" i="7"/>
  <c r="A421" i="7"/>
  <c r="F420" i="7"/>
  <c r="E420" i="7"/>
  <c r="D420" i="7"/>
  <c r="A420" i="7"/>
  <c r="F419" i="7"/>
  <c r="E419" i="7"/>
  <c r="D419" i="7"/>
  <c r="A419" i="7"/>
  <c r="F418" i="7"/>
  <c r="E418" i="7"/>
  <c r="D418" i="7"/>
  <c r="A418" i="7"/>
  <c r="F417" i="7"/>
  <c r="E417" i="7"/>
  <c r="D417" i="7"/>
  <c r="A417" i="7"/>
  <c r="F320" i="7"/>
  <c r="E320" i="7"/>
  <c r="D320" i="7"/>
  <c r="A320" i="7"/>
  <c r="F319" i="7"/>
  <c r="E319" i="7"/>
  <c r="D319" i="7"/>
  <c r="A319" i="7"/>
  <c r="F318" i="7"/>
  <c r="E318" i="7"/>
  <c r="D318" i="7"/>
  <c r="A318" i="7"/>
  <c r="F317" i="7"/>
  <c r="E317" i="7"/>
  <c r="D317" i="7"/>
  <c r="A317" i="7"/>
  <c r="F316" i="7"/>
  <c r="E316" i="7"/>
  <c r="D316" i="7"/>
  <c r="A316" i="7"/>
  <c r="F315" i="7"/>
  <c r="E315" i="7"/>
  <c r="D315" i="7"/>
  <c r="A315" i="7"/>
  <c r="F314" i="7"/>
  <c r="E314" i="7"/>
  <c r="D314" i="7"/>
  <c r="A314" i="7"/>
  <c r="F313" i="7"/>
  <c r="E313" i="7"/>
  <c r="D313" i="7"/>
  <c r="A313" i="7"/>
  <c r="F312" i="7"/>
  <c r="E312" i="7"/>
  <c r="D312" i="7"/>
  <c r="A312" i="7"/>
  <c r="F311" i="7"/>
  <c r="E311" i="7"/>
  <c r="D311" i="7"/>
  <c r="A311" i="7"/>
  <c r="F310" i="7"/>
  <c r="E310" i="7"/>
  <c r="D310" i="7"/>
  <c r="A310" i="7"/>
  <c r="F309" i="7"/>
  <c r="E309" i="7"/>
  <c r="D309" i="7"/>
  <c r="A309" i="7"/>
  <c r="F308" i="7"/>
  <c r="E308" i="7"/>
  <c r="D308" i="7"/>
  <c r="A308" i="7"/>
  <c r="F307" i="7"/>
  <c r="E307" i="7"/>
  <c r="D307" i="7"/>
  <c r="A307" i="7"/>
  <c r="F306" i="7"/>
  <c r="E306" i="7"/>
  <c r="D306" i="7"/>
  <c r="A306" i="7"/>
  <c r="F305" i="7"/>
  <c r="E305" i="7"/>
  <c r="D305" i="7"/>
  <c r="A305" i="7"/>
  <c r="F304" i="7"/>
  <c r="E304" i="7"/>
  <c r="D304" i="7"/>
  <c r="A304" i="7"/>
  <c r="F303" i="7"/>
  <c r="E303" i="7"/>
  <c r="D303" i="7"/>
  <c r="A303" i="7"/>
  <c r="F302" i="7"/>
  <c r="E302" i="7"/>
  <c r="D302" i="7"/>
  <c r="A302" i="7"/>
  <c r="F301" i="7"/>
  <c r="E301" i="7"/>
  <c r="D301" i="7"/>
  <c r="A301" i="7"/>
  <c r="F300" i="7"/>
  <c r="E300" i="7"/>
  <c r="D300" i="7"/>
  <c r="A300" i="7"/>
  <c r="F299" i="7"/>
  <c r="E299" i="7"/>
  <c r="D299" i="7"/>
  <c r="A299" i="7"/>
  <c r="F298" i="7"/>
  <c r="E298" i="7"/>
  <c r="D298" i="7"/>
  <c r="A298" i="7"/>
  <c r="F297" i="7"/>
  <c r="E297" i="7"/>
  <c r="D297" i="7"/>
  <c r="A297" i="7"/>
  <c r="F296" i="7"/>
  <c r="E296" i="7"/>
  <c r="D296" i="7"/>
  <c r="A296" i="7"/>
  <c r="F295" i="7"/>
  <c r="E295" i="7"/>
  <c r="D295" i="7"/>
  <c r="A295" i="7"/>
  <c r="F294" i="7"/>
  <c r="E294" i="7"/>
  <c r="D294" i="7"/>
  <c r="A294" i="7"/>
  <c r="F293" i="7"/>
  <c r="E293" i="7"/>
  <c r="D293" i="7"/>
  <c r="A293" i="7"/>
  <c r="F292" i="7"/>
  <c r="E292" i="7"/>
  <c r="D292" i="7"/>
  <c r="A292" i="7"/>
  <c r="F291" i="7"/>
  <c r="E291" i="7"/>
  <c r="D291" i="7"/>
  <c r="A291" i="7"/>
  <c r="F290" i="7"/>
  <c r="E290" i="7"/>
  <c r="D290" i="7"/>
  <c r="A290" i="7"/>
  <c r="F289" i="7"/>
  <c r="E289" i="7"/>
  <c r="D289" i="7"/>
  <c r="A289" i="7"/>
  <c r="F288" i="7"/>
  <c r="E288" i="7"/>
  <c r="D288" i="7"/>
  <c r="A288" i="7"/>
  <c r="F287" i="7"/>
  <c r="E287" i="7"/>
  <c r="D287" i="7"/>
  <c r="A287" i="7"/>
  <c r="F286" i="7"/>
  <c r="E286" i="7"/>
  <c r="D286" i="7"/>
  <c r="A286" i="7"/>
  <c r="F285" i="7"/>
  <c r="E285" i="7"/>
  <c r="D285" i="7"/>
  <c r="A285" i="7"/>
  <c r="F284" i="7"/>
  <c r="E284" i="7"/>
  <c r="D284" i="7"/>
  <c r="A284" i="7"/>
  <c r="F283" i="7"/>
  <c r="E283" i="7"/>
  <c r="D283" i="7"/>
  <c r="A283" i="7"/>
  <c r="F282" i="7"/>
  <c r="E282" i="7"/>
  <c r="D282" i="7"/>
  <c r="A282" i="7"/>
  <c r="F281" i="7"/>
  <c r="E281" i="7"/>
  <c r="D281" i="7"/>
  <c r="A281" i="7"/>
  <c r="F280" i="7"/>
  <c r="E280" i="7"/>
  <c r="D280" i="7"/>
  <c r="A280" i="7"/>
  <c r="F279" i="7"/>
  <c r="E279" i="7"/>
  <c r="D279" i="7"/>
  <c r="A279" i="7"/>
  <c r="F278" i="7"/>
  <c r="E278" i="7"/>
  <c r="D278" i="7"/>
  <c r="A278" i="7"/>
  <c r="F277" i="7"/>
  <c r="E277" i="7"/>
  <c r="D277" i="7"/>
  <c r="A277" i="7"/>
  <c r="F276" i="7"/>
  <c r="E276" i="7"/>
  <c r="D276" i="7"/>
  <c r="A276" i="7"/>
  <c r="F275" i="7"/>
  <c r="E275" i="7"/>
  <c r="D275" i="7"/>
  <c r="A275" i="7"/>
  <c r="F274" i="7"/>
  <c r="E274" i="7"/>
  <c r="D274" i="7"/>
  <c r="A274" i="7"/>
  <c r="F110" i="7"/>
  <c r="E110" i="7"/>
  <c r="D110" i="7"/>
  <c r="A110" i="7"/>
  <c r="F109" i="7"/>
  <c r="E109" i="7"/>
  <c r="D109" i="7"/>
  <c r="A109" i="7"/>
  <c r="F108" i="7"/>
  <c r="E108" i="7"/>
  <c r="D108" i="7"/>
  <c r="A108" i="7"/>
  <c r="F107" i="7"/>
  <c r="E107" i="7"/>
  <c r="D107" i="7"/>
  <c r="A107" i="7"/>
  <c r="F94" i="7"/>
  <c r="E94" i="7"/>
  <c r="D94" i="7"/>
  <c r="A94" i="7"/>
  <c r="F93" i="7"/>
  <c r="E93" i="7"/>
  <c r="D93" i="7"/>
  <c r="A93" i="7"/>
  <c r="F92" i="7"/>
  <c r="E92" i="7"/>
  <c r="D92" i="7"/>
  <c r="A92" i="7"/>
  <c r="F91" i="7"/>
  <c r="E91" i="7"/>
  <c r="D91" i="7"/>
  <c r="A91" i="7"/>
  <c r="F90" i="7"/>
  <c r="E90" i="7"/>
  <c r="D90" i="7"/>
  <c r="A90" i="7"/>
  <c r="F55" i="7"/>
  <c r="E55" i="7"/>
  <c r="D55" i="7"/>
  <c r="A55" i="7"/>
  <c r="F54" i="7"/>
  <c r="E54" i="7"/>
  <c r="D54" i="7"/>
  <c r="A54" i="7"/>
  <c r="F53" i="7"/>
  <c r="E53" i="7"/>
  <c r="D53" i="7"/>
  <c r="A53" i="7"/>
  <c r="F52" i="7"/>
  <c r="E52" i="7"/>
  <c r="D52" i="7"/>
  <c r="A52" i="7"/>
  <c r="F51" i="7"/>
  <c r="E51" i="7"/>
  <c r="D51" i="7"/>
  <c r="A51" i="7"/>
  <c r="F50" i="7"/>
  <c r="E50" i="7"/>
  <c r="D50" i="7"/>
  <c r="A50" i="7"/>
  <c r="F26" i="7"/>
  <c r="E26" i="7"/>
  <c r="D26" i="7"/>
  <c r="A26" i="7"/>
  <c r="F25" i="7"/>
  <c r="E25" i="7"/>
  <c r="D25" i="7"/>
  <c r="A25" i="7"/>
  <c r="F23" i="7"/>
  <c r="E23" i="7"/>
  <c r="D23" i="7"/>
  <c r="A23" i="7"/>
  <c r="F22" i="7"/>
  <c r="E22" i="7"/>
  <c r="D22" i="7"/>
  <c r="A22" i="7"/>
  <c r="F21" i="7"/>
  <c r="E21" i="7"/>
  <c r="D21" i="7"/>
  <c r="A21" i="7"/>
  <c r="F20" i="7"/>
  <c r="E20" i="7"/>
  <c r="D20" i="7"/>
  <c r="A20" i="7"/>
  <c r="F19" i="7"/>
  <c r="E19" i="7"/>
  <c r="D19" i="7"/>
  <c r="A19" i="7"/>
  <c r="F18" i="7"/>
  <c r="E18" i="7"/>
  <c r="D18" i="7"/>
  <c r="A18" i="7"/>
  <c r="F17" i="7"/>
  <c r="E17" i="7"/>
  <c r="D17" i="7"/>
  <c r="A17" i="7"/>
  <c r="F16" i="7"/>
  <c r="E16" i="7"/>
  <c r="D16" i="7"/>
  <c r="A16" i="7"/>
  <c r="F6" i="7"/>
  <c r="E6" i="7"/>
  <c r="D6" i="7"/>
  <c r="A6" i="7"/>
  <c r="F5" i="7"/>
  <c r="E5" i="7"/>
  <c r="D5" i="7"/>
  <c r="A5" i="7"/>
  <c r="F416" i="7"/>
  <c r="E416" i="7"/>
  <c r="D416" i="7"/>
  <c r="A416" i="7"/>
  <c r="F415" i="7"/>
  <c r="E415" i="7"/>
  <c r="D415" i="7"/>
  <c r="A415" i="7"/>
  <c r="F414" i="7"/>
  <c r="E414" i="7"/>
  <c r="D414" i="7"/>
  <c r="A414" i="7"/>
  <c r="F413" i="7"/>
  <c r="E413" i="7"/>
  <c r="D413" i="7"/>
  <c r="A413" i="7"/>
  <c r="F412" i="7"/>
  <c r="E412" i="7"/>
  <c r="D412" i="7"/>
  <c r="A412" i="7"/>
  <c r="F411" i="7"/>
  <c r="E411" i="7"/>
  <c r="D411" i="7"/>
  <c r="A411" i="7"/>
  <c r="F410" i="7"/>
  <c r="E410" i="7"/>
  <c r="D410" i="7"/>
  <c r="A410" i="7"/>
  <c r="F409" i="7"/>
  <c r="E409" i="7"/>
  <c r="D409" i="7"/>
  <c r="A409" i="7"/>
  <c r="F408" i="7"/>
  <c r="E408" i="7"/>
  <c r="D408" i="7"/>
  <c r="A408" i="7"/>
  <c r="F407" i="7"/>
  <c r="E407" i="7"/>
  <c r="D407" i="7"/>
  <c r="A407" i="7"/>
  <c r="F406" i="7"/>
  <c r="E406" i="7"/>
  <c r="D406" i="7"/>
  <c r="A406" i="7"/>
  <c r="F405" i="7"/>
  <c r="E405" i="7"/>
  <c r="D405" i="7"/>
  <c r="A405" i="7"/>
  <c r="F404" i="7"/>
  <c r="E404" i="7"/>
  <c r="D404" i="7"/>
  <c r="A404" i="7"/>
  <c r="F403" i="7"/>
  <c r="E403" i="7"/>
  <c r="D403" i="7"/>
  <c r="A403" i="7"/>
  <c r="F402" i="7"/>
  <c r="E402" i="7"/>
  <c r="D402" i="7"/>
  <c r="A402" i="7"/>
  <c r="F401" i="7"/>
  <c r="E401" i="7"/>
  <c r="D401" i="7"/>
  <c r="A401" i="7"/>
  <c r="F400" i="7"/>
  <c r="E400" i="7"/>
  <c r="D400" i="7"/>
  <c r="A400" i="7"/>
  <c r="F399" i="7"/>
  <c r="E399" i="7"/>
  <c r="D399" i="7"/>
  <c r="A399" i="7"/>
  <c r="F398" i="7"/>
  <c r="E398" i="7"/>
  <c r="D398" i="7"/>
  <c r="A398" i="7"/>
  <c r="F397" i="7"/>
  <c r="E397" i="7"/>
  <c r="D397" i="7"/>
  <c r="A397" i="7"/>
  <c r="F396" i="7"/>
  <c r="E396" i="7"/>
  <c r="D396" i="7"/>
  <c r="A396" i="7"/>
  <c r="F273" i="7"/>
  <c r="E273" i="7"/>
  <c r="D273" i="7"/>
  <c r="A273" i="7"/>
  <c r="F272" i="7"/>
  <c r="E272" i="7"/>
  <c r="D272" i="7"/>
  <c r="A272" i="7"/>
  <c r="F271" i="7"/>
  <c r="E271" i="7"/>
  <c r="D271" i="7"/>
  <c r="A271" i="7"/>
  <c r="F270" i="7"/>
  <c r="E270" i="7"/>
  <c r="D270" i="7"/>
  <c r="A270" i="7"/>
  <c r="F269" i="7"/>
  <c r="E269" i="7"/>
  <c r="D269" i="7"/>
  <c r="A269" i="7"/>
  <c r="F268" i="7"/>
  <c r="E268" i="7"/>
  <c r="D268" i="7"/>
  <c r="A268" i="7"/>
  <c r="F267" i="7"/>
  <c r="E267" i="7"/>
  <c r="D267" i="7"/>
  <c r="A267" i="7"/>
  <c r="F266" i="7"/>
  <c r="E266" i="7"/>
  <c r="D266" i="7"/>
  <c r="A266" i="7"/>
  <c r="F265" i="7"/>
  <c r="E265" i="7"/>
  <c r="D265" i="7"/>
  <c r="A265" i="7"/>
  <c r="F264" i="7"/>
  <c r="E264" i="7"/>
  <c r="D264" i="7"/>
  <c r="A264" i="7"/>
  <c r="F263" i="7"/>
  <c r="E263" i="7"/>
  <c r="D263" i="7"/>
  <c r="A263" i="7"/>
  <c r="F262" i="7"/>
  <c r="E262" i="7"/>
  <c r="D262" i="7"/>
  <c r="A262" i="7"/>
  <c r="F261" i="7"/>
  <c r="E261" i="7"/>
  <c r="D261" i="7"/>
  <c r="A261" i="7"/>
  <c r="F260" i="7"/>
  <c r="E260" i="7"/>
  <c r="D260" i="7"/>
  <c r="A260" i="7"/>
  <c r="F259" i="7"/>
  <c r="E259" i="7"/>
  <c r="D259" i="7"/>
  <c r="A259" i="7"/>
  <c r="F258" i="7"/>
  <c r="E258" i="7"/>
  <c r="D258" i="7"/>
  <c r="A258" i="7"/>
  <c r="F257" i="7"/>
  <c r="E257" i="7"/>
  <c r="D257" i="7"/>
  <c r="A257" i="7"/>
  <c r="F256" i="7"/>
  <c r="E256" i="7"/>
  <c r="D256" i="7"/>
  <c r="A256" i="7"/>
  <c r="F255" i="7"/>
  <c r="E255" i="7"/>
  <c r="D255" i="7"/>
  <c r="A255" i="7"/>
  <c r="F254" i="7"/>
  <c r="E254" i="7"/>
  <c r="D254" i="7"/>
  <c r="A254" i="7"/>
  <c r="F253" i="7"/>
  <c r="E253" i="7"/>
  <c r="D253" i="7"/>
  <c r="A253" i="7"/>
  <c r="F252" i="7"/>
  <c r="E252" i="7"/>
  <c r="D252" i="7"/>
  <c r="A252" i="7"/>
  <c r="F251" i="7"/>
  <c r="E251" i="7"/>
  <c r="D251" i="7"/>
  <c r="A251" i="7"/>
  <c r="F250" i="7"/>
  <c r="E250" i="7"/>
  <c r="D250" i="7"/>
  <c r="A250" i="7"/>
  <c r="F249" i="7"/>
  <c r="E249" i="7"/>
  <c r="D249" i="7"/>
  <c r="A249" i="7"/>
  <c r="F248" i="7"/>
  <c r="E248" i="7"/>
  <c r="D248" i="7"/>
  <c r="A248" i="7"/>
  <c r="F247" i="7"/>
  <c r="E247" i="7"/>
  <c r="D247" i="7"/>
  <c r="A247" i="7"/>
  <c r="F246" i="7"/>
  <c r="E246" i="7"/>
  <c r="D246" i="7"/>
  <c r="A246" i="7"/>
  <c r="F245" i="7"/>
  <c r="E245" i="7"/>
  <c r="D245" i="7"/>
  <c r="A245" i="7"/>
  <c r="F244" i="7"/>
  <c r="E244" i="7"/>
  <c r="D244" i="7"/>
  <c r="A244" i="7"/>
  <c r="F243" i="7"/>
  <c r="E243" i="7"/>
  <c r="D243" i="7"/>
  <c r="A243" i="7"/>
  <c r="F242" i="7"/>
  <c r="E242" i="7"/>
  <c r="D242" i="7"/>
  <c r="A242" i="7"/>
  <c r="F241" i="7"/>
  <c r="E241" i="7"/>
  <c r="D241" i="7"/>
  <c r="A241" i="7"/>
  <c r="F240" i="7"/>
  <c r="E240" i="7"/>
  <c r="D240" i="7"/>
  <c r="A240" i="7"/>
  <c r="F239" i="7"/>
  <c r="E239" i="7"/>
  <c r="D239" i="7"/>
  <c r="A239" i="7"/>
  <c r="F238" i="7"/>
  <c r="E238" i="7"/>
  <c r="D238" i="7"/>
  <c r="A238" i="7"/>
  <c r="F237" i="7"/>
  <c r="E237" i="7"/>
  <c r="D237" i="7"/>
  <c r="A237" i="7"/>
  <c r="F236" i="7"/>
  <c r="E236" i="7"/>
  <c r="D236" i="7"/>
  <c r="A236" i="7"/>
  <c r="F235" i="7"/>
  <c r="E235" i="7"/>
  <c r="D235" i="7"/>
  <c r="A235" i="7"/>
  <c r="F234" i="7"/>
  <c r="E234" i="7"/>
  <c r="D234" i="7"/>
  <c r="A234" i="7"/>
  <c r="F233" i="7"/>
  <c r="E233" i="7"/>
  <c r="D233" i="7"/>
  <c r="A233" i="7"/>
  <c r="F232" i="7"/>
  <c r="E232" i="7"/>
  <c r="D232" i="7"/>
  <c r="A232" i="7"/>
  <c r="F231" i="7"/>
  <c r="E231" i="7"/>
  <c r="D231" i="7"/>
  <c r="A231" i="7"/>
  <c r="F230" i="7"/>
  <c r="E230" i="7"/>
  <c r="D230" i="7"/>
  <c r="A230" i="7"/>
  <c r="F229" i="7"/>
  <c r="E229" i="7"/>
  <c r="D229" i="7"/>
  <c r="A229" i="7"/>
  <c r="F228" i="7"/>
  <c r="E228" i="7"/>
  <c r="D228" i="7"/>
  <c r="A228" i="7"/>
  <c r="F227" i="7"/>
  <c r="E227" i="7"/>
  <c r="D227" i="7"/>
  <c r="A227" i="7"/>
  <c r="F4" i="7"/>
  <c r="E4" i="7"/>
  <c r="D4" i="7"/>
  <c r="A4" i="7"/>
  <c r="F3" i="7"/>
  <c r="E3" i="7"/>
  <c r="D3" i="7"/>
  <c r="A3" i="7"/>
  <c r="F395" i="7"/>
  <c r="E395" i="7"/>
  <c r="D395" i="7"/>
  <c r="A395" i="7"/>
  <c r="F394" i="7"/>
  <c r="E394" i="7"/>
  <c r="D394" i="7"/>
  <c r="A394" i="7"/>
  <c r="F393" i="7"/>
  <c r="E393" i="7"/>
  <c r="D393" i="7"/>
  <c r="A393" i="7"/>
  <c r="F392" i="7"/>
  <c r="E392" i="7"/>
  <c r="D392" i="7"/>
  <c r="A392" i="7"/>
  <c r="F391" i="7"/>
  <c r="E391" i="7"/>
  <c r="D391" i="7"/>
  <c r="A391" i="7"/>
  <c r="F390" i="7"/>
  <c r="E390" i="7"/>
  <c r="D390" i="7"/>
  <c r="A390" i="7"/>
  <c r="F389" i="7"/>
  <c r="E389" i="7"/>
  <c r="D389" i="7"/>
  <c r="A389" i="7"/>
  <c r="F388" i="7"/>
  <c r="E388" i="7"/>
  <c r="D388" i="7"/>
  <c r="A388" i="7"/>
  <c r="F387" i="7"/>
  <c r="E387" i="7"/>
  <c r="D387" i="7"/>
  <c r="A387" i="7"/>
  <c r="F386" i="7"/>
  <c r="E386" i="7"/>
  <c r="D386" i="7"/>
  <c r="A386" i="7"/>
  <c r="F385" i="7"/>
  <c r="E385" i="7"/>
  <c r="D385" i="7"/>
  <c r="A385" i="7"/>
  <c r="F384" i="7"/>
  <c r="E384" i="7"/>
  <c r="D384" i="7"/>
  <c r="A384" i="7"/>
  <c r="F383" i="7"/>
  <c r="E383" i="7"/>
  <c r="D383" i="7"/>
  <c r="A383" i="7"/>
  <c r="F382" i="7"/>
  <c r="E382" i="7"/>
  <c r="D382" i="7"/>
  <c r="A382" i="7"/>
  <c r="F381" i="7"/>
  <c r="E381" i="7"/>
  <c r="D381" i="7"/>
  <c r="A381" i="7"/>
  <c r="F380" i="7"/>
  <c r="E380" i="7"/>
  <c r="D380" i="7"/>
  <c r="A380" i="7"/>
  <c r="F379" i="7"/>
  <c r="E379" i="7"/>
  <c r="D379" i="7"/>
  <c r="A379" i="7"/>
  <c r="F378" i="7"/>
  <c r="E378" i="7"/>
  <c r="D378" i="7"/>
  <c r="A378" i="7"/>
  <c r="F377" i="7"/>
  <c r="E377" i="7"/>
  <c r="D377" i="7"/>
  <c r="A377" i="7"/>
  <c r="F376" i="7"/>
  <c r="E376" i="7"/>
  <c r="D376" i="7"/>
  <c r="A376" i="7"/>
  <c r="F375" i="7"/>
  <c r="E375" i="7"/>
  <c r="D375" i="7"/>
  <c r="A375" i="7"/>
  <c r="F374" i="7"/>
  <c r="E374" i="7"/>
  <c r="D374" i="7"/>
  <c r="A374" i="7"/>
  <c r="F373" i="7"/>
  <c r="E373" i="7"/>
  <c r="D373" i="7"/>
  <c r="A373" i="7"/>
  <c r="F372" i="7"/>
  <c r="E372" i="7"/>
  <c r="D372" i="7"/>
  <c r="A372" i="7"/>
  <c r="F371" i="7"/>
  <c r="E371" i="7"/>
  <c r="D371" i="7"/>
  <c r="A371" i="7"/>
  <c r="F370" i="7"/>
  <c r="E370" i="7"/>
  <c r="D370" i="7"/>
  <c r="A370" i="7"/>
  <c r="F369" i="7"/>
  <c r="E369" i="7"/>
  <c r="D369" i="7"/>
  <c r="A369" i="7"/>
  <c r="F368" i="7"/>
  <c r="E368" i="7"/>
  <c r="D368" i="7"/>
  <c r="A368" i="7"/>
  <c r="F367" i="7"/>
  <c r="E367" i="7"/>
  <c r="D367" i="7"/>
  <c r="A367" i="7"/>
  <c r="F366" i="7"/>
  <c r="E366" i="7"/>
  <c r="D366" i="7"/>
  <c r="A366" i="7"/>
  <c r="F365" i="7"/>
  <c r="E365" i="7"/>
  <c r="D365" i="7"/>
  <c r="A365" i="7"/>
  <c r="F364" i="7"/>
  <c r="E364" i="7"/>
  <c r="D364" i="7"/>
  <c r="A364" i="7"/>
  <c r="F226" i="7"/>
  <c r="E226" i="7"/>
  <c r="D226" i="7"/>
  <c r="A226" i="7"/>
  <c r="F225" i="7"/>
  <c r="E225" i="7"/>
  <c r="D225" i="7"/>
  <c r="A225" i="7"/>
  <c r="F224" i="7"/>
  <c r="E224" i="7"/>
  <c r="D224" i="7"/>
  <c r="A224" i="7"/>
  <c r="F223" i="7"/>
  <c r="E223" i="7"/>
  <c r="D223" i="7"/>
  <c r="A223" i="7"/>
  <c r="F222" i="7"/>
  <c r="E222" i="7"/>
  <c r="D222" i="7"/>
  <c r="A222" i="7"/>
  <c r="F221" i="7"/>
  <c r="E221" i="7"/>
  <c r="D221" i="7"/>
  <c r="A221" i="7"/>
  <c r="F220" i="7"/>
  <c r="E220" i="7"/>
  <c r="D220" i="7"/>
  <c r="A220" i="7"/>
  <c r="F219" i="7"/>
  <c r="E219" i="7"/>
  <c r="D219" i="7"/>
  <c r="A219" i="7"/>
  <c r="F218" i="7"/>
  <c r="E218" i="7"/>
  <c r="D218" i="7"/>
  <c r="A218" i="7"/>
  <c r="F217" i="7"/>
  <c r="E217" i="7"/>
  <c r="D217" i="7"/>
  <c r="A217" i="7"/>
  <c r="F216" i="7"/>
  <c r="E216" i="7"/>
  <c r="D216" i="7"/>
  <c r="A216" i="7"/>
  <c r="F215" i="7"/>
  <c r="E215" i="7"/>
  <c r="D215" i="7"/>
  <c r="A215" i="7"/>
  <c r="F214" i="7"/>
  <c r="E214" i="7"/>
  <c r="D214" i="7"/>
  <c r="A214" i="7"/>
  <c r="F213" i="7"/>
  <c r="E213" i="7"/>
  <c r="D213" i="7"/>
  <c r="A213" i="7"/>
  <c r="F212" i="7"/>
  <c r="E212" i="7"/>
  <c r="D212" i="7"/>
  <c r="A212" i="7"/>
  <c r="F211" i="7"/>
  <c r="E211" i="7"/>
  <c r="D211" i="7"/>
  <c r="A211" i="7"/>
  <c r="F210" i="7"/>
  <c r="E210" i="7"/>
  <c r="D210" i="7"/>
  <c r="A210" i="7"/>
  <c r="F209" i="7"/>
  <c r="E209" i="7"/>
  <c r="D209" i="7"/>
  <c r="A209" i="7"/>
  <c r="F208" i="7"/>
  <c r="E208" i="7"/>
  <c r="D208" i="7"/>
  <c r="A208" i="7"/>
  <c r="F207" i="7"/>
  <c r="E207" i="7"/>
  <c r="D207" i="7"/>
  <c r="A207" i="7"/>
  <c r="F206" i="7"/>
  <c r="E206" i="7"/>
  <c r="D206" i="7"/>
  <c r="A206" i="7"/>
  <c r="F205" i="7"/>
  <c r="E205" i="7"/>
  <c r="D205" i="7"/>
  <c r="A205" i="7"/>
  <c r="F204" i="7"/>
  <c r="E204" i="7"/>
  <c r="D204" i="7"/>
  <c r="A204" i="7"/>
  <c r="F203" i="7"/>
  <c r="E203" i="7"/>
  <c r="D203" i="7"/>
  <c r="A203" i="7"/>
  <c r="F202" i="7"/>
  <c r="E202" i="7"/>
  <c r="D202" i="7"/>
  <c r="A202" i="7"/>
  <c r="F201" i="7"/>
  <c r="E201" i="7"/>
  <c r="D201" i="7"/>
  <c r="A201" i="7"/>
  <c r="F200" i="7"/>
  <c r="E200" i="7"/>
  <c r="D200" i="7"/>
  <c r="A200" i="7"/>
  <c r="F199" i="7"/>
  <c r="E199" i="7"/>
  <c r="D199" i="7"/>
  <c r="A199" i="7"/>
  <c r="F198" i="7"/>
  <c r="E198" i="7"/>
  <c r="D198" i="7"/>
  <c r="A198" i="7"/>
  <c r="F197" i="7"/>
  <c r="E197" i="7"/>
  <c r="D197" i="7"/>
  <c r="A197" i="7"/>
  <c r="F196" i="7"/>
  <c r="E196" i="7"/>
  <c r="D196" i="7"/>
  <c r="A196" i="7"/>
  <c r="F195" i="7"/>
  <c r="E195" i="7"/>
  <c r="D195" i="7"/>
  <c r="A195" i="7"/>
  <c r="F194" i="7"/>
  <c r="E194" i="7"/>
  <c r="D194" i="7"/>
  <c r="A194" i="7"/>
  <c r="F193" i="7"/>
  <c r="E193" i="7"/>
  <c r="D193" i="7"/>
  <c r="A193" i="7"/>
  <c r="F192" i="7"/>
  <c r="E192" i="7"/>
  <c r="D192" i="7"/>
  <c r="A192" i="7"/>
  <c r="F191" i="7"/>
  <c r="E191" i="7"/>
  <c r="D191" i="7"/>
  <c r="A191" i="7"/>
  <c r="F190" i="7"/>
  <c r="E190" i="7"/>
  <c r="D190" i="7"/>
  <c r="A190" i="7"/>
  <c r="F189" i="7"/>
  <c r="E189" i="7"/>
  <c r="D189" i="7"/>
  <c r="A189" i="7"/>
  <c r="F188" i="7"/>
  <c r="E188" i="7"/>
  <c r="D188" i="7"/>
  <c r="A188" i="7"/>
  <c r="F187" i="7"/>
  <c r="E187" i="7"/>
  <c r="D187" i="7"/>
  <c r="A187" i="7"/>
  <c r="F186" i="7"/>
  <c r="E186" i="7"/>
  <c r="D186" i="7"/>
  <c r="A186" i="7"/>
  <c r="F151" i="7"/>
  <c r="E151" i="7"/>
  <c r="D151" i="7"/>
  <c r="A151" i="7"/>
  <c r="F150" i="7"/>
  <c r="E150" i="7"/>
  <c r="D150" i="7"/>
  <c r="A150" i="7"/>
  <c r="F149" i="7"/>
  <c r="E149" i="7"/>
  <c r="D149" i="7"/>
  <c r="A149" i="7"/>
  <c r="F148" i="7"/>
  <c r="E148" i="7"/>
  <c r="D148" i="7"/>
  <c r="A148" i="7"/>
  <c r="F147" i="7"/>
  <c r="E147" i="7"/>
  <c r="D147" i="7"/>
  <c r="A147" i="7"/>
  <c r="F89" i="7"/>
  <c r="E89" i="7"/>
  <c r="D89" i="7"/>
  <c r="A89" i="7"/>
  <c r="F88" i="7"/>
  <c r="E88" i="7"/>
  <c r="D88" i="7"/>
  <c r="A88" i="7"/>
  <c r="F87" i="7"/>
  <c r="E87" i="7"/>
  <c r="D87" i="7"/>
  <c r="A87" i="7"/>
  <c r="F86" i="7"/>
  <c r="E86" i="7"/>
  <c r="D86" i="7"/>
  <c r="A86" i="7"/>
  <c r="F85" i="7"/>
  <c r="E85" i="7"/>
  <c r="D85" i="7"/>
  <c r="A85" i="7"/>
  <c r="F49" i="7"/>
  <c r="E49" i="7"/>
  <c r="D49" i="7"/>
  <c r="A49" i="7"/>
  <c r="F48" i="7"/>
  <c r="E48" i="7"/>
  <c r="D48" i="7"/>
  <c r="A48" i="7"/>
  <c r="F47" i="7"/>
  <c r="E47" i="7"/>
  <c r="D47" i="7"/>
  <c r="A47" i="7"/>
  <c r="F46" i="7"/>
  <c r="E46" i="7"/>
  <c r="D46" i="7"/>
  <c r="A46" i="7"/>
  <c r="F45" i="7"/>
  <c r="E45" i="7"/>
  <c r="D45" i="7"/>
  <c r="A45" i="7"/>
  <c r="F44" i="7"/>
  <c r="E44" i="7"/>
  <c r="D44" i="7"/>
  <c r="A44" i="7"/>
  <c r="F15" i="7"/>
  <c r="E15" i="7"/>
  <c r="D15" i="7"/>
  <c r="A15" i="7"/>
  <c r="F14" i="7"/>
  <c r="E14" i="7"/>
  <c r="D14" i="7"/>
  <c r="A14" i="7"/>
  <c r="F13" i="7"/>
  <c r="E13" i="7"/>
  <c r="D13" i="7"/>
  <c r="A13" i="7"/>
  <c r="F12" i="7"/>
  <c r="E12" i="7"/>
  <c r="D12" i="7"/>
  <c r="A12" i="7"/>
  <c r="F11" i="7"/>
  <c r="E11" i="7"/>
  <c r="D11" i="7"/>
  <c r="A11" i="7"/>
  <c r="F10" i="7"/>
  <c r="E10" i="7"/>
  <c r="D10" i="7"/>
  <c r="A10" i="7"/>
  <c r="F9" i="7"/>
  <c r="E9" i="7"/>
  <c r="D9" i="7"/>
  <c r="A9" i="7"/>
  <c r="F8" i="7"/>
  <c r="E8" i="7"/>
  <c r="D8" i="7"/>
  <c r="A8" i="7"/>
  <c r="F2" i="7"/>
  <c r="E2" i="7"/>
  <c r="D2" i="7"/>
  <c r="A2" i="7"/>
  <c r="F363" i="7"/>
  <c r="E363" i="7"/>
  <c r="D363" i="7"/>
  <c r="A363" i="7"/>
  <c r="F362" i="7"/>
  <c r="E362" i="7"/>
  <c r="D362" i="7"/>
  <c r="A362" i="7"/>
  <c r="F361" i="7"/>
  <c r="E361" i="7"/>
  <c r="D361" i="7"/>
  <c r="A361" i="7"/>
  <c r="F360" i="7"/>
  <c r="E360" i="7"/>
  <c r="D360" i="7"/>
  <c r="A360" i="7"/>
  <c r="F359" i="7"/>
  <c r="E359" i="7"/>
  <c r="D359" i="7"/>
  <c r="A359" i="7"/>
  <c r="F358" i="7"/>
  <c r="E358" i="7"/>
  <c r="D358" i="7"/>
  <c r="A358" i="7"/>
  <c r="F357" i="7"/>
  <c r="E357" i="7"/>
  <c r="D357" i="7"/>
  <c r="A357" i="7"/>
  <c r="F356" i="7"/>
  <c r="E356" i="7"/>
  <c r="D356" i="7"/>
  <c r="A356" i="7"/>
  <c r="F355" i="7"/>
  <c r="E355" i="7"/>
  <c r="D355" i="7"/>
  <c r="A355" i="7"/>
  <c r="F354" i="7"/>
  <c r="E354" i="7"/>
  <c r="D354" i="7"/>
  <c r="A354" i="7"/>
  <c r="F353" i="7"/>
  <c r="E353" i="7"/>
  <c r="D353" i="7"/>
  <c r="A353" i="7"/>
  <c r="F352" i="7"/>
  <c r="E352" i="7"/>
  <c r="D352" i="7"/>
  <c r="A352" i="7"/>
  <c r="F351" i="7"/>
  <c r="E351" i="7"/>
  <c r="D351" i="7"/>
  <c r="A351" i="7"/>
  <c r="F350" i="7"/>
  <c r="E350" i="7"/>
  <c r="D350" i="7"/>
  <c r="A350" i="7"/>
  <c r="F349" i="7"/>
  <c r="E349" i="7"/>
  <c r="D349" i="7"/>
  <c r="A349" i="7"/>
  <c r="F185" i="7"/>
  <c r="E185" i="7"/>
  <c r="D185" i="7"/>
  <c r="A185" i="7"/>
  <c r="F184" i="7"/>
  <c r="E184" i="7"/>
  <c r="D184" i="7"/>
  <c r="A184" i="7"/>
  <c r="F183" i="7"/>
  <c r="E183" i="7"/>
  <c r="D183" i="7"/>
  <c r="A183" i="7"/>
  <c r="F182" i="7"/>
  <c r="E182" i="7"/>
  <c r="D182" i="7"/>
  <c r="A182" i="7"/>
  <c r="F181" i="7"/>
  <c r="E181" i="7"/>
  <c r="D181" i="7"/>
  <c r="A181" i="7"/>
  <c r="F180" i="7"/>
  <c r="E180" i="7"/>
  <c r="D180" i="7"/>
  <c r="A180" i="7"/>
  <c r="F179" i="7"/>
  <c r="E179" i="7"/>
  <c r="D179" i="7"/>
  <c r="A179" i="7"/>
  <c r="F178" i="7"/>
  <c r="E178" i="7"/>
  <c r="D178" i="7"/>
  <c r="A178" i="7"/>
  <c r="F177" i="7"/>
  <c r="E177" i="7"/>
  <c r="D177" i="7"/>
  <c r="A177" i="7"/>
  <c r="F176" i="7"/>
  <c r="E176" i="7"/>
  <c r="D176" i="7"/>
  <c r="A176" i="7"/>
  <c r="F175" i="7"/>
  <c r="E175" i="7"/>
  <c r="D175" i="7"/>
  <c r="A175" i="7"/>
  <c r="F174" i="7"/>
  <c r="E174" i="7"/>
  <c r="D174" i="7"/>
  <c r="A174" i="7"/>
  <c r="F173" i="7"/>
  <c r="E173" i="7"/>
  <c r="D173" i="7"/>
  <c r="A173" i="7"/>
  <c r="F172" i="7"/>
  <c r="E172" i="7"/>
  <c r="D172" i="7"/>
  <c r="A172" i="7"/>
  <c r="F171" i="7"/>
  <c r="E171" i="7"/>
  <c r="D171" i="7"/>
  <c r="A171" i="7"/>
  <c r="F170" i="7"/>
  <c r="E170" i="7"/>
  <c r="D170" i="7"/>
  <c r="A170" i="7"/>
  <c r="F169" i="7"/>
  <c r="E169" i="7"/>
  <c r="D169" i="7"/>
  <c r="A169" i="7"/>
  <c r="F168" i="7"/>
  <c r="E168" i="7"/>
  <c r="D168" i="7"/>
  <c r="A168" i="7"/>
  <c r="F106" i="7"/>
  <c r="E106" i="7"/>
  <c r="D106" i="7"/>
  <c r="A106" i="7"/>
  <c r="F105" i="7"/>
  <c r="E105" i="7"/>
  <c r="D105" i="7"/>
  <c r="A105" i="7"/>
  <c r="F104" i="7"/>
  <c r="E104" i="7"/>
  <c r="D104" i="7"/>
  <c r="A104" i="7"/>
  <c r="F103" i="7"/>
  <c r="E103" i="7"/>
  <c r="D103" i="7"/>
  <c r="A103" i="7"/>
  <c r="F84" i="7"/>
  <c r="E84" i="7"/>
  <c r="D84" i="7"/>
  <c r="A84" i="7"/>
  <c r="F83" i="7"/>
  <c r="E83" i="7"/>
  <c r="D83" i="7"/>
  <c r="A83" i="7"/>
  <c r="F82" i="7"/>
  <c r="E82" i="7"/>
  <c r="D82" i="7"/>
  <c r="A82" i="7"/>
  <c r="F81" i="7"/>
  <c r="E81" i="7"/>
  <c r="D81" i="7"/>
  <c r="A81" i="7"/>
  <c r="F80" i="7"/>
  <c r="E80" i="7"/>
  <c r="D80" i="7"/>
  <c r="A80" i="7"/>
  <c r="F79" i="7"/>
  <c r="E79" i="7"/>
  <c r="D79" i="7"/>
  <c r="A79" i="7"/>
  <c r="F78" i="7"/>
  <c r="E78" i="7"/>
  <c r="D78" i="7"/>
  <c r="A78" i="7"/>
  <c r="F77" i="7"/>
  <c r="E77" i="7"/>
  <c r="D77" i="7"/>
  <c r="A77" i="7"/>
  <c r="F76" i="7"/>
  <c r="E76" i="7"/>
  <c r="D76" i="7"/>
  <c r="A76" i="7"/>
  <c r="F75" i="7"/>
  <c r="E75" i="7"/>
  <c r="D75" i="7"/>
  <c r="A75" i="7"/>
  <c r="F74" i="7"/>
  <c r="E74" i="7"/>
  <c r="D74" i="7"/>
  <c r="A74" i="7"/>
  <c r="F73" i="7"/>
  <c r="E73" i="7"/>
  <c r="D73" i="7"/>
  <c r="A73" i="7"/>
  <c r="F72" i="7"/>
  <c r="E72" i="7"/>
  <c r="D72" i="7"/>
  <c r="A72" i="7"/>
  <c r="F43" i="7"/>
  <c r="E43" i="7"/>
  <c r="D43" i="7"/>
  <c r="A43" i="7"/>
  <c r="F42" i="7"/>
  <c r="E42" i="7"/>
  <c r="D42" i="7"/>
  <c r="A42" i="7"/>
  <c r="F41" i="7"/>
  <c r="E41" i="7"/>
  <c r="D41" i="7"/>
  <c r="A41" i="7"/>
  <c r="F40" i="7"/>
  <c r="E40" i="7"/>
  <c r="D40" i="7"/>
  <c r="A40" i="7"/>
  <c r="F39" i="7"/>
  <c r="E39" i="7"/>
  <c r="D39" i="7"/>
  <c r="A39" i="7"/>
  <c r="F38" i="7"/>
  <c r="E38" i="7"/>
  <c r="D38" i="7"/>
  <c r="A38" i="7"/>
  <c r="F37" i="7"/>
  <c r="E37" i="7"/>
  <c r="D37" i="7"/>
  <c r="A37" i="7"/>
  <c r="F36" i="7"/>
  <c r="E36" i="7"/>
  <c r="D36" i="7"/>
  <c r="A36" i="7"/>
  <c r="F35" i="7"/>
  <c r="E35" i="7"/>
  <c r="D35" i="7"/>
  <c r="A35" i="7"/>
  <c r="F34" i="7"/>
  <c r="E34" i="7"/>
  <c r="D34" i="7"/>
  <c r="A34" i="7"/>
  <c r="F33" i="7"/>
  <c r="E33" i="7"/>
  <c r="D33" i="7"/>
  <c r="A33" i="7"/>
  <c r="F32" i="7"/>
  <c r="E32" i="7"/>
  <c r="D32" i="7"/>
  <c r="A32" i="7"/>
  <c r="F31" i="7"/>
  <c r="E31" i="7"/>
  <c r="D31" i="7"/>
  <c r="A31" i="7"/>
  <c r="F30" i="7"/>
  <c r="E30" i="7"/>
  <c r="D30" i="7"/>
  <c r="A30" i="7"/>
  <c r="F7" i="7"/>
  <c r="E7" i="7"/>
  <c r="D7" i="7"/>
  <c r="A7" i="7"/>
  <c r="F102" i="7"/>
  <c r="E102" i="7"/>
  <c r="D102" i="7"/>
  <c r="A102" i="7"/>
  <c r="F167" i="7"/>
  <c r="E167" i="7"/>
  <c r="D167" i="7"/>
  <c r="A167" i="7"/>
  <c r="F166" i="7"/>
  <c r="E166" i="7"/>
  <c r="D166" i="7"/>
  <c r="A166" i="7"/>
  <c r="F146" i="7"/>
  <c r="E146" i="7"/>
  <c r="D146" i="7"/>
  <c r="A146" i="7"/>
  <c r="F125" i="7"/>
  <c r="E125" i="7"/>
  <c r="D125" i="7"/>
  <c r="A125" i="7"/>
  <c r="F101" i="7"/>
  <c r="E101" i="7"/>
  <c r="D101" i="7"/>
  <c r="A101" i="7"/>
  <c r="F100" i="7"/>
  <c r="E100" i="7"/>
  <c r="D100" i="7"/>
  <c r="A100" i="7"/>
  <c r="F348" i="7"/>
  <c r="E348" i="7"/>
  <c r="D348" i="7"/>
  <c r="A348" i="7"/>
  <c r="F165" i="7"/>
  <c r="E165" i="7"/>
  <c r="D165" i="7"/>
  <c r="A165" i="7"/>
  <c r="F164" i="7"/>
  <c r="E164" i="7"/>
  <c r="D164" i="7"/>
  <c r="A164" i="7"/>
  <c r="F163" i="7"/>
  <c r="E163" i="7"/>
  <c r="D163" i="7"/>
  <c r="A163" i="7"/>
  <c r="F145" i="7"/>
  <c r="E145" i="7"/>
  <c r="D145" i="7"/>
  <c r="A145" i="7"/>
  <c r="F144" i="7"/>
  <c r="E144" i="7"/>
  <c r="D144" i="7"/>
  <c r="A144" i="7"/>
  <c r="F143" i="7"/>
  <c r="E143" i="7"/>
  <c r="D143" i="7"/>
  <c r="A143" i="7"/>
  <c r="F142" i="7"/>
  <c r="E142" i="7"/>
  <c r="D142" i="7"/>
  <c r="A142" i="7"/>
  <c r="F141" i="7"/>
  <c r="E141" i="7"/>
  <c r="D141" i="7"/>
  <c r="A141" i="7"/>
  <c r="F124" i="7"/>
  <c r="E124" i="7"/>
  <c r="D124" i="7"/>
  <c r="A124" i="7"/>
  <c r="F123" i="7"/>
  <c r="E123" i="7"/>
  <c r="D123" i="7"/>
  <c r="A123" i="7"/>
  <c r="F122" i="7"/>
  <c r="E122" i="7"/>
  <c r="D122" i="7"/>
  <c r="A122" i="7"/>
  <c r="F121" i="7"/>
  <c r="E121" i="7"/>
  <c r="D121" i="7"/>
  <c r="A121" i="7"/>
  <c r="F120" i="7"/>
  <c r="E120" i="7"/>
  <c r="D120" i="7"/>
  <c r="A120" i="7"/>
  <c r="F99" i="7"/>
  <c r="E99" i="7"/>
  <c r="D99" i="7"/>
  <c r="A99" i="7"/>
  <c r="F162" i="7"/>
  <c r="E162" i="7"/>
  <c r="D162" i="7"/>
  <c r="A162" i="7"/>
  <c r="F161" i="7"/>
  <c r="E161" i="7"/>
  <c r="D161" i="7"/>
  <c r="A161" i="7"/>
  <c r="F160" i="7"/>
  <c r="E160" i="7"/>
  <c r="D160" i="7"/>
  <c r="A160" i="7"/>
  <c r="F159" i="7"/>
  <c r="E159" i="7"/>
  <c r="D159" i="7"/>
  <c r="A159" i="7"/>
  <c r="F158" i="7"/>
  <c r="E158" i="7"/>
  <c r="D158" i="7"/>
  <c r="A158" i="7"/>
  <c r="F140" i="7"/>
  <c r="E140" i="7"/>
  <c r="D140" i="7"/>
  <c r="A140" i="7"/>
  <c r="F139" i="7"/>
  <c r="E139" i="7"/>
  <c r="D139" i="7"/>
  <c r="A139" i="7"/>
  <c r="F138" i="7"/>
  <c r="E138" i="7"/>
  <c r="D138" i="7"/>
  <c r="A138" i="7"/>
  <c r="F137" i="7"/>
  <c r="E137" i="7"/>
  <c r="D137" i="7"/>
  <c r="A137" i="7"/>
  <c r="F136" i="7"/>
  <c r="E136" i="7"/>
  <c r="D136" i="7"/>
  <c r="A136" i="7"/>
  <c r="F98" i="7"/>
  <c r="E98" i="7"/>
  <c r="D98" i="7"/>
  <c r="A98" i="7"/>
  <c r="F97" i="7"/>
  <c r="E97" i="7"/>
  <c r="D97" i="7"/>
  <c r="A97" i="7"/>
  <c r="F157" i="7"/>
  <c r="E157" i="7"/>
  <c r="D157" i="7"/>
  <c r="A157" i="7"/>
  <c r="F156" i="7"/>
  <c r="E156" i="7"/>
  <c r="D156" i="7"/>
  <c r="A156" i="7"/>
  <c r="F135" i="7"/>
  <c r="E135" i="7"/>
  <c r="D135" i="7"/>
  <c r="A135" i="7"/>
  <c r="F134" i="7"/>
  <c r="E134" i="7"/>
  <c r="D134" i="7"/>
  <c r="A134" i="7"/>
  <c r="F119" i="7"/>
  <c r="E119" i="7"/>
  <c r="D119" i="7"/>
  <c r="A119" i="7"/>
  <c r="F71" i="7"/>
  <c r="E71" i="7"/>
  <c r="D71" i="7"/>
  <c r="A71" i="7"/>
  <c r="F70" i="7"/>
  <c r="E70" i="7"/>
  <c r="D70" i="7"/>
  <c r="A70" i="7"/>
  <c r="F69" i="7"/>
  <c r="E69" i="7"/>
  <c r="D69" i="7"/>
  <c r="A69" i="7"/>
  <c r="F68" i="7"/>
  <c r="E68" i="7"/>
  <c r="D68" i="7"/>
  <c r="A68" i="7"/>
  <c r="F67" i="7"/>
  <c r="E67" i="7"/>
  <c r="D67" i="7"/>
  <c r="A67" i="7"/>
  <c r="F66" i="7"/>
  <c r="E66" i="7"/>
  <c r="D66" i="7"/>
  <c r="A66" i="7"/>
  <c r="F65" i="7"/>
  <c r="E65" i="7"/>
  <c r="D65" i="7"/>
  <c r="A65" i="7"/>
  <c r="F64" i="7"/>
  <c r="E64" i="7"/>
  <c r="D64" i="7"/>
  <c r="A64" i="7"/>
  <c r="F63" i="7"/>
  <c r="E63" i="7"/>
  <c r="D63" i="7"/>
  <c r="A63" i="7"/>
  <c r="F62" i="7"/>
  <c r="E62" i="7"/>
  <c r="D62" i="7"/>
  <c r="A62" i="7"/>
  <c r="F61" i="7"/>
  <c r="E61" i="7"/>
  <c r="D61" i="7"/>
  <c r="A61" i="7"/>
  <c r="F347" i="7"/>
  <c r="E347" i="7"/>
  <c r="D347" i="7"/>
  <c r="A347" i="7"/>
  <c r="F346" i="7"/>
  <c r="E346" i="7"/>
  <c r="D346" i="7"/>
  <c r="A346" i="7"/>
  <c r="F345" i="7"/>
  <c r="E345" i="7"/>
  <c r="D345" i="7"/>
  <c r="A345" i="7"/>
  <c r="F344" i="7"/>
  <c r="E344" i="7"/>
  <c r="D344" i="7"/>
  <c r="A344" i="7"/>
  <c r="F343" i="7"/>
  <c r="E343" i="7"/>
  <c r="D343" i="7"/>
  <c r="A343" i="7"/>
  <c r="F342" i="7"/>
  <c r="E342" i="7"/>
  <c r="D342" i="7"/>
  <c r="A342" i="7"/>
  <c r="F341" i="7"/>
  <c r="E341" i="7"/>
  <c r="D341" i="7"/>
  <c r="A341" i="7"/>
  <c r="F340" i="7"/>
  <c r="E340" i="7"/>
  <c r="D340" i="7"/>
  <c r="A340" i="7"/>
  <c r="F339" i="7"/>
  <c r="E339" i="7"/>
  <c r="D339" i="7"/>
  <c r="A339" i="7"/>
  <c r="F338" i="7"/>
  <c r="E338" i="7"/>
  <c r="D338" i="7"/>
  <c r="A338" i="7"/>
  <c r="F337" i="7"/>
  <c r="E337" i="7"/>
  <c r="D337" i="7"/>
  <c r="A337" i="7"/>
  <c r="F336" i="7"/>
  <c r="E336" i="7"/>
  <c r="D336" i="7"/>
  <c r="A336" i="7"/>
  <c r="F335" i="7"/>
  <c r="E335" i="7"/>
  <c r="D335" i="7"/>
  <c r="A335" i="7"/>
  <c r="F334" i="7"/>
  <c r="E334" i="7"/>
  <c r="D334" i="7"/>
  <c r="A334" i="7"/>
  <c r="F333" i="7"/>
  <c r="E333" i="7"/>
  <c r="D333" i="7"/>
  <c r="A333" i="7"/>
  <c r="F332" i="7"/>
  <c r="E332" i="7"/>
  <c r="D332" i="7"/>
  <c r="A332" i="7"/>
  <c r="F331" i="7"/>
  <c r="E331" i="7"/>
  <c r="D331" i="7"/>
  <c r="A331" i="7"/>
  <c r="F330" i="7"/>
  <c r="E330" i="7"/>
  <c r="D330" i="7"/>
  <c r="A330" i="7"/>
  <c r="F329" i="7"/>
  <c r="E329" i="7"/>
  <c r="D329" i="7"/>
  <c r="A329" i="7"/>
  <c r="F328" i="7"/>
  <c r="E328" i="7"/>
  <c r="D328" i="7"/>
  <c r="A328" i="7"/>
  <c r="F327" i="7"/>
  <c r="E327" i="7"/>
  <c r="D327" i="7"/>
  <c r="A327" i="7"/>
  <c r="F326" i="7"/>
  <c r="E326" i="7"/>
  <c r="D326" i="7"/>
  <c r="A326" i="7"/>
  <c r="F325" i="7"/>
  <c r="E325" i="7"/>
  <c r="D325" i="7"/>
  <c r="A325" i="7"/>
  <c r="F324" i="7"/>
  <c r="E324" i="7"/>
  <c r="D324" i="7"/>
  <c r="A324" i="7"/>
  <c r="F323" i="7"/>
  <c r="E323" i="7"/>
  <c r="D323" i="7"/>
  <c r="A323" i="7"/>
  <c r="F322" i="7"/>
  <c r="E322" i="7"/>
  <c r="D322" i="7"/>
  <c r="A322" i="7"/>
  <c r="F321" i="7"/>
  <c r="E321" i="7"/>
  <c r="D321" i="7"/>
  <c r="A321" i="7"/>
  <c r="F155" i="7"/>
  <c r="E155" i="7"/>
  <c r="D155" i="7"/>
  <c r="A155" i="7"/>
  <c r="F133" i="7"/>
  <c r="E133" i="7"/>
  <c r="D133" i="7"/>
  <c r="A133" i="7"/>
  <c r="F60" i="7"/>
  <c r="E60" i="7"/>
  <c r="D60" i="7"/>
  <c r="A60" i="7"/>
  <c r="F29" i="7"/>
  <c r="E29" i="7"/>
  <c r="D29" i="7"/>
  <c r="A29" i="7"/>
  <c r="F132" i="7"/>
  <c r="E132" i="7"/>
  <c r="D132" i="7"/>
  <c r="A132" i="7"/>
  <c r="F118" i="7"/>
  <c r="E118" i="7"/>
  <c r="D118" i="7"/>
  <c r="A118" i="7"/>
  <c r="F131" i="7"/>
  <c r="E131" i="7"/>
  <c r="D131" i="7"/>
  <c r="A131" i="7"/>
  <c r="F130" i="7"/>
  <c r="E130" i="7"/>
  <c r="D130" i="7"/>
  <c r="A130" i="7"/>
  <c r="F129" i="7"/>
  <c r="E129" i="7"/>
  <c r="D129" i="7"/>
  <c r="A129" i="7"/>
  <c r="F117" i="7"/>
  <c r="E117" i="7"/>
  <c r="D117" i="7"/>
  <c r="A117" i="7"/>
  <c r="F116" i="7"/>
  <c r="E116" i="7"/>
  <c r="D116" i="7"/>
  <c r="A116" i="7"/>
  <c r="F115" i="7"/>
  <c r="E115" i="7"/>
  <c r="D115" i="7"/>
  <c r="A115" i="7"/>
  <c r="F96" i="7"/>
  <c r="E96" i="7"/>
  <c r="D96" i="7"/>
  <c r="A96" i="7"/>
  <c r="F95" i="7"/>
  <c r="E95" i="7"/>
  <c r="D95" i="7"/>
  <c r="A95" i="7"/>
  <c r="F59" i="7"/>
  <c r="E59" i="7"/>
  <c r="D59" i="7"/>
  <c r="A59" i="7"/>
  <c r="F58" i="7"/>
  <c r="E58" i="7"/>
  <c r="D58" i="7"/>
  <c r="A58" i="7"/>
  <c r="F154" i="7"/>
  <c r="E154" i="7"/>
  <c r="D154" i="7"/>
  <c r="A154" i="7"/>
  <c r="F153" i="7"/>
  <c r="E153" i="7"/>
  <c r="D153" i="7"/>
  <c r="A153" i="7"/>
  <c r="F128" i="7"/>
  <c r="E128" i="7"/>
  <c r="D128" i="7"/>
  <c r="A128" i="7"/>
  <c r="F114" i="7"/>
  <c r="E114" i="7"/>
  <c r="D114" i="7"/>
  <c r="A114" i="7"/>
  <c r="F57" i="7"/>
  <c r="E57" i="7"/>
  <c r="D57" i="7"/>
  <c r="A57" i="7"/>
  <c r="F56" i="7"/>
  <c r="E56" i="7"/>
  <c r="D56" i="7"/>
  <c r="A56" i="7"/>
  <c r="F152" i="7"/>
  <c r="E152" i="7"/>
  <c r="D152" i="7"/>
  <c r="A152" i="7"/>
  <c r="F127" i="7"/>
  <c r="E127" i="7"/>
  <c r="D127" i="7"/>
  <c r="A127" i="7"/>
  <c r="F126" i="7"/>
  <c r="E126" i="7"/>
  <c r="D126" i="7"/>
  <c r="A126" i="7"/>
  <c r="F113" i="7"/>
  <c r="E113" i="7"/>
  <c r="D113" i="7"/>
  <c r="A113" i="7"/>
  <c r="F112" i="7"/>
  <c r="E112" i="7"/>
  <c r="D112" i="7"/>
  <c r="A112" i="7"/>
  <c r="F111" i="7"/>
  <c r="E111" i="7"/>
  <c r="D111" i="7"/>
  <c r="A111" i="7"/>
  <c r="F28" i="7"/>
  <c r="E28" i="7"/>
  <c r="D28" i="7"/>
  <c r="A28" i="7"/>
  <c r="F27" i="7"/>
  <c r="E27" i="7"/>
  <c r="D27" i="7"/>
  <c r="A27" i="7"/>
  <c r="W20" i="4"/>
  <c r="W11" i="4"/>
  <c r="W7" i="4"/>
  <c r="W14" i="4"/>
  <c r="F1161" i="3"/>
  <c r="E1161" i="3"/>
  <c r="D1161" i="3"/>
  <c r="F1160" i="3"/>
  <c r="E1160" i="3"/>
  <c r="D1160" i="3"/>
  <c r="F1159" i="3"/>
  <c r="E1159" i="3"/>
  <c r="D1159" i="3"/>
  <c r="F1158" i="3"/>
  <c r="E1158" i="3"/>
  <c r="D1158" i="3"/>
  <c r="F1157" i="3"/>
  <c r="E1157" i="3"/>
  <c r="D1157" i="3"/>
  <c r="F1156" i="3"/>
  <c r="E1156" i="3"/>
  <c r="D1156" i="3"/>
  <c r="F1155" i="3"/>
  <c r="E1155" i="3"/>
  <c r="D1155" i="3"/>
  <c r="F1154" i="3"/>
  <c r="E1154" i="3"/>
  <c r="D1154" i="3"/>
  <c r="F1153" i="3"/>
  <c r="E1153" i="3"/>
  <c r="D1153" i="3"/>
  <c r="F1152" i="3"/>
  <c r="E1152" i="3"/>
  <c r="D1152" i="3"/>
  <c r="F1151" i="3"/>
  <c r="E1151" i="3"/>
  <c r="D1151" i="3"/>
  <c r="F1150" i="3"/>
  <c r="E1150" i="3"/>
  <c r="D1150" i="3"/>
  <c r="F1149" i="3"/>
  <c r="E1149" i="3"/>
  <c r="D1149" i="3"/>
  <c r="F1148" i="3"/>
  <c r="E1148" i="3"/>
  <c r="D1148" i="3"/>
  <c r="F1147" i="3"/>
  <c r="E1147" i="3"/>
  <c r="D1147" i="3"/>
  <c r="F1146" i="3"/>
  <c r="E1146" i="3"/>
  <c r="D1146" i="3"/>
  <c r="F1145" i="3"/>
  <c r="E1145" i="3"/>
  <c r="D1145" i="3"/>
  <c r="F1144" i="3"/>
  <c r="E1144" i="3"/>
  <c r="D1144" i="3"/>
  <c r="F1143" i="3"/>
  <c r="E1143" i="3"/>
  <c r="D1143" i="3"/>
  <c r="F1142" i="3"/>
  <c r="E1142" i="3"/>
  <c r="D1142" i="3"/>
  <c r="F1141" i="3"/>
  <c r="E1141" i="3"/>
  <c r="D1141" i="3"/>
  <c r="F1140" i="3"/>
  <c r="E1140" i="3"/>
  <c r="D1140" i="3"/>
  <c r="F1139" i="3"/>
  <c r="E1139" i="3"/>
  <c r="D1139" i="3"/>
  <c r="F1138" i="3"/>
  <c r="E1138" i="3"/>
  <c r="D1138" i="3"/>
  <c r="F1137" i="3"/>
  <c r="E1137" i="3"/>
  <c r="D1137" i="3"/>
  <c r="F1136" i="3"/>
  <c r="E1136" i="3"/>
  <c r="D1136" i="3"/>
  <c r="F1135" i="3"/>
  <c r="E1135" i="3"/>
  <c r="D1135" i="3"/>
  <c r="F1134" i="3"/>
  <c r="E1134" i="3"/>
  <c r="D1134" i="3"/>
  <c r="F1133" i="3"/>
  <c r="E1133" i="3"/>
  <c r="D1133" i="3"/>
  <c r="F1132" i="3"/>
  <c r="E1132" i="3"/>
  <c r="D1132" i="3"/>
  <c r="F1131" i="3"/>
  <c r="E1131" i="3"/>
  <c r="D1131" i="3"/>
  <c r="F1130" i="3"/>
  <c r="E1130" i="3"/>
  <c r="D1130" i="3"/>
  <c r="F1129" i="3"/>
  <c r="E1129" i="3"/>
  <c r="D1129" i="3"/>
  <c r="F1128" i="3"/>
  <c r="E1128" i="3"/>
  <c r="D1128" i="3"/>
  <c r="F1127" i="3"/>
  <c r="E1127" i="3"/>
  <c r="D1127" i="3"/>
  <c r="F1126" i="3"/>
  <c r="E1126" i="3"/>
  <c r="D1126" i="3"/>
  <c r="F1125" i="3"/>
  <c r="E1125" i="3"/>
  <c r="D1125" i="3"/>
  <c r="F1124" i="3"/>
  <c r="E1124" i="3"/>
  <c r="D1124" i="3"/>
  <c r="F1123" i="3"/>
  <c r="E1123" i="3"/>
  <c r="D1123" i="3"/>
  <c r="F1122" i="3"/>
  <c r="E1122" i="3"/>
  <c r="D1122" i="3"/>
  <c r="F1121" i="3"/>
  <c r="E1121" i="3"/>
  <c r="D1121" i="3"/>
  <c r="F1120" i="3"/>
  <c r="E1120" i="3"/>
  <c r="D1120" i="3"/>
  <c r="F1119" i="3"/>
  <c r="E1119" i="3"/>
  <c r="D1119" i="3"/>
  <c r="F1118" i="3"/>
  <c r="E1118" i="3"/>
  <c r="D1118" i="3"/>
  <c r="F1117" i="3"/>
  <c r="E1117" i="3"/>
  <c r="D1117" i="3"/>
  <c r="F1116" i="3"/>
  <c r="E1116" i="3"/>
  <c r="D1116" i="3"/>
  <c r="F1115" i="3"/>
  <c r="E1115" i="3"/>
  <c r="D1115" i="3"/>
  <c r="F1114" i="3"/>
  <c r="E1114" i="3"/>
  <c r="D1114" i="3"/>
  <c r="F1113" i="3"/>
  <c r="E1113" i="3"/>
  <c r="D1113" i="3"/>
  <c r="F1112" i="3"/>
  <c r="E1112" i="3"/>
  <c r="D1112" i="3"/>
  <c r="F1111" i="3"/>
  <c r="E1111" i="3"/>
  <c r="D1111" i="3"/>
  <c r="F1110" i="3"/>
  <c r="E1110" i="3"/>
  <c r="D1110" i="3"/>
  <c r="F1109" i="3"/>
  <c r="E1109" i="3"/>
  <c r="D1109" i="3"/>
  <c r="F1108" i="3"/>
  <c r="E1108" i="3"/>
  <c r="D1108" i="3"/>
  <c r="F1107" i="3"/>
  <c r="E1107" i="3"/>
  <c r="D1107" i="3"/>
  <c r="F1106" i="3"/>
  <c r="E1106" i="3"/>
  <c r="D1106" i="3"/>
  <c r="F1105" i="3"/>
  <c r="E1105" i="3"/>
  <c r="D1105" i="3"/>
  <c r="F1104" i="3"/>
  <c r="E1104" i="3"/>
  <c r="D1104" i="3"/>
  <c r="F1103" i="3"/>
  <c r="E1103" i="3"/>
  <c r="D1103" i="3"/>
  <c r="F1102" i="3"/>
  <c r="E1102" i="3"/>
  <c r="D1102" i="3"/>
  <c r="F1101" i="3"/>
  <c r="E1101" i="3"/>
  <c r="D1101" i="3"/>
  <c r="F1100" i="3"/>
  <c r="E1100" i="3"/>
  <c r="D1100" i="3"/>
  <c r="F1099" i="3"/>
  <c r="E1099" i="3"/>
  <c r="D1099" i="3"/>
  <c r="F1098" i="3"/>
  <c r="E1098" i="3"/>
  <c r="D1098" i="3"/>
  <c r="F1097" i="3"/>
  <c r="E1097" i="3"/>
  <c r="D1097" i="3"/>
  <c r="F1096" i="3"/>
  <c r="E1096" i="3"/>
  <c r="D1096" i="3"/>
  <c r="F1095" i="3"/>
  <c r="E1095" i="3"/>
  <c r="D1095" i="3"/>
  <c r="F1094" i="3"/>
  <c r="E1094" i="3"/>
  <c r="D1094" i="3"/>
  <c r="F1093" i="3"/>
  <c r="E1093" i="3"/>
  <c r="D1093" i="3"/>
  <c r="F1092" i="3"/>
  <c r="E1092" i="3"/>
  <c r="D1092" i="3"/>
  <c r="F1091" i="3"/>
  <c r="E1091" i="3"/>
  <c r="D1091" i="3"/>
  <c r="F1090" i="3"/>
  <c r="E1090" i="3"/>
  <c r="D1090" i="3"/>
  <c r="F1089" i="3"/>
  <c r="E1089" i="3"/>
  <c r="D1089" i="3"/>
  <c r="F1088" i="3"/>
  <c r="E1088" i="3"/>
  <c r="D1088" i="3"/>
  <c r="F1087" i="3"/>
  <c r="E1087" i="3"/>
  <c r="D1087" i="3"/>
  <c r="F1086" i="3"/>
  <c r="E1086" i="3"/>
  <c r="D1086" i="3"/>
  <c r="F1085" i="3"/>
  <c r="E1085" i="3"/>
  <c r="D1085" i="3"/>
  <c r="F1084" i="3"/>
  <c r="E1084" i="3"/>
  <c r="D1084" i="3"/>
  <c r="F1083" i="3"/>
  <c r="E1083" i="3"/>
  <c r="D1083" i="3"/>
  <c r="F1082" i="3"/>
  <c r="E1082" i="3"/>
  <c r="D1082" i="3"/>
  <c r="F1081" i="3"/>
  <c r="E1081" i="3"/>
  <c r="D1081" i="3"/>
  <c r="F1080" i="3"/>
  <c r="E1080" i="3"/>
  <c r="D1080" i="3"/>
  <c r="F1079" i="3"/>
  <c r="E1079" i="3"/>
  <c r="D1079" i="3"/>
  <c r="F1078" i="3"/>
  <c r="E1078" i="3"/>
  <c r="D1078" i="3"/>
  <c r="F1077" i="3"/>
  <c r="E1077" i="3"/>
  <c r="D1077" i="3"/>
  <c r="F1076" i="3"/>
  <c r="E1076" i="3"/>
  <c r="D1076" i="3"/>
  <c r="F1075" i="3"/>
  <c r="E1075" i="3"/>
  <c r="D1075" i="3"/>
  <c r="F1074" i="3"/>
  <c r="E1074" i="3"/>
  <c r="D1074" i="3"/>
  <c r="F1073" i="3"/>
  <c r="E1073" i="3"/>
  <c r="D1073" i="3"/>
  <c r="F1072" i="3"/>
  <c r="E1072" i="3"/>
  <c r="D1072" i="3"/>
  <c r="F1071" i="3"/>
  <c r="E1071" i="3"/>
  <c r="D1071" i="3"/>
  <c r="F1070" i="3"/>
  <c r="E1070" i="3"/>
  <c r="D1070" i="3"/>
  <c r="F1069" i="3"/>
  <c r="E1069" i="3"/>
  <c r="D1069" i="3"/>
  <c r="F1068" i="3"/>
  <c r="E1068" i="3"/>
  <c r="D1068" i="3"/>
  <c r="F1067" i="3"/>
  <c r="E1067" i="3"/>
  <c r="D1067" i="3"/>
  <c r="F1066" i="3"/>
  <c r="E1066" i="3"/>
  <c r="D1066" i="3"/>
  <c r="F1065" i="3"/>
  <c r="E1065" i="3"/>
  <c r="D1065" i="3"/>
  <c r="F1064" i="3"/>
  <c r="E1064" i="3"/>
  <c r="D1064" i="3"/>
  <c r="F1063" i="3"/>
  <c r="E1063" i="3"/>
  <c r="D1063" i="3"/>
  <c r="F1062" i="3"/>
  <c r="E1062" i="3"/>
  <c r="D1062" i="3"/>
  <c r="F1061" i="3"/>
  <c r="E1061" i="3"/>
  <c r="D1061" i="3"/>
  <c r="F1060" i="3"/>
  <c r="E1060" i="3"/>
  <c r="D1060" i="3"/>
  <c r="F1059" i="3"/>
  <c r="E1059" i="3"/>
  <c r="D1059" i="3"/>
  <c r="F1058" i="3"/>
  <c r="E1058" i="3"/>
  <c r="D1058" i="3"/>
  <c r="F1057" i="3"/>
  <c r="E1057" i="3"/>
  <c r="D1057" i="3"/>
  <c r="F1056" i="3"/>
  <c r="E1056" i="3"/>
  <c r="D1056" i="3"/>
  <c r="F1055" i="3"/>
  <c r="E1055" i="3"/>
  <c r="D1055" i="3"/>
  <c r="F1054" i="3"/>
  <c r="E1054" i="3"/>
  <c r="D1054" i="3"/>
  <c r="F1053" i="3"/>
  <c r="E1053" i="3"/>
  <c r="D1053" i="3"/>
  <c r="F1052" i="3"/>
  <c r="E1052" i="3"/>
  <c r="D1052" i="3"/>
  <c r="F1051" i="3"/>
  <c r="E1051" i="3"/>
  <c r="D1051" i="3"/>
  <c r="F1050" i="3"/>
  <c r="E1050" i="3"/>
  <c r="D1050" i="3"/>
  <c r="F1049" i="3"/>
  <c r="E1049" i="3"/>
  <c r="D1049" i="3"/>
  <c r="F1048" i="3"/>
  <c r="E1048" i="3"/>
  <c r="D1048" i="3"/>
  <c r="F1047" i="3"/>
  <c r="E1047" i="3"/>
  <c r="D1047" i="3"/>
  <c r="F1046" i="3"/>
  <c r="E1046" i="3"/>
  <c r="D1046" i="3"/>
  <c r="F1045" i="3"/>
  <c r="E1045" i="3"/>
  <c r="D1045" i="3"/>
  <c r="F1044" i="3"/>
  <c r="E1044" i="3"/>
  <c r="D1044" i="3"/>
  <c r="F1043" i="3"/>
  <c r="E1043" i="3"/>
  <c r="D1043" i="3"/>
  <c r="F1042" i="3"/>
  <c r="E1042" i="3"/>
  <c r="D1042" i="3"/>
  <c r="F1041" i="3"/>
  <c r="E1041" i="3"/>
  <c r="D1041" i="3"/>
  <c r="F1040" i="3"/>
  <c r="E1040" i="3"/>
  <c r="D1040" i="3"/>
  <c r="F1039" i="3"/>
  <c r="E1039" i="3"/>
  <c r="D1039" i="3"/>
  <c r="F1038" i="3"/>
  <c r="E1038" i="3"/>
  <c r="D1038" i="3"/>
  <c r="F1037" i="3"/>
  <c r="E1037" i="3"/>
  <c r="D1037" i="3"/>
  <c r="F1036" i="3"/>
  <c r="E1036" i="3"/>
  <c r="D1036" i="3"/>
  <c r="F1035" i="3"/>
  <c r="E1035" i="3"/>
  <c r="D1035" i="3"/>
  <c r="F1034" i="3"/>
  <c r="E1034" i="3"/>
  <c r="D1034" i="3"/>
  <c r="F1033" i="3"/>
  <c r="E1033" i="3"/>
  <c r="D1033" i="3"/>
  <c r="F1032" i="3"/>
  <c r="E1032" i="3"/>
  <c r="D1032" i="3"/>
  <c r="F1031" i="3"/>
  <c r="E1031" i="3"/>
  <c r="D1031" i="3"/>
  <c r="F1030" i="3"/>
  <c r="E1030" i="3"/>
  <c r="D1030" i="3"/>
  <c r="F1029" i="3"/>
  <c r="E1029" i="3"/>
  <c r="D1029" i="3"/>
  <c r="F1028" i="3"/>
  <c r="E1028" i="3"/>
  <c r="D1028" i="3"/>
  <c r="F1027" i="3"/>
  <c r="E1027" i="3"/>
  <c r="D1027" i="3"/>
  <c r="F1026" i="3"/>
  <c r="E1026" i="3"/>
  <c r="D1026" i="3"/>
  <c r="F1025" i="3"/>
  <c r="E1025" i="3"/>
  <c r="D1025" i="3"/>
  <c r="F1024" i="3"/>
  <c r="E1024" i="3"/>
  <c r="D1024" i="3"/>
  <c r="F1023" i="3"/>
  <c r="E1023" i="3"/>
  <c r="D1023" i="3"/>
  <c r="F1022" i="3"/>
  <c r="E1022" i="3"/>
  <c r="D1022" i="3"/>
  <c r="F1021" i="3"/>
  <c r="E1021" i="3"/>
  <c r="D1021" i="3"/>
  <c r="F1020" i="3"/>
  <c r="E1020" i="3"/>
  <c r="D1020" i="3"/>
  <c r="F1019" i="3"/>
  <c r="E1019" i="3"/>
  <c r="D1019" i="3"/>
  <c r="F1018" i="3"/>
  <c r="E1018" i="3"/>
  <c r="D1018" i="3"/>
  <c r="F1017" i="3"/>
  <c r="E1017" i="3"/>
  <c r="D1017" i="3"/>
  <c r="F1016" i="3"/>
  <c r="E1016" i="3"/>
  <c r="D1016" i="3"/>
  <c r="F1015" i="3"/>
  <c r="E1015" i="3"/>
  <c r="D1015" i="3"/>
  <c r="F1014" i="3"/>
  <c r="E1014" i="3"/>
  <c r="D1014" i="3"/>
  <c r="F1013" i="3"/>
  <c r="E1013" i="3"/>
  <c r="D1013" i="3"/>
  <c r="F1012" i="3"/>
  <c r="E1012" i="3"/>
  <c r="D1012" i="3"/>
  <c r="F1011" i="3"/>
  <c r="E1011" i="3"/>
  <c r="D1011" i="3"/>
  <c r="F1010" i="3"/>
  <c r="E1010" i="3"/>
  <c r="D1010" i="3"/>
  <c r="F1009" i="3"/>
  <c r="E1009" i="3"/>
  <c r="D1009" i="3"/>
  <c r="F1008" i="3"/>
  <c r="E1008" i="3"/>
  <c r="D1008" i="3"/>
  <c r="F1007" i="3"/>
  <c r="E1007" i="3"/>
  <c r="D1007" i="3"/>
  <c r="F1006" i="3"/>
  <c r="E1006" i="3"/>
  <c r="D1006" i="3"/>
  <c r="F1005" i="3"/>
  <c r="E1005" i="3"/>
  <c r="D1005" i="3"/>
  <c r="F1004" i="3"/>
  <c r="E1004" i="3"/>
  <c r="D1004" i="3"/>
  <c r="F1003" i="3"/>
  <c r="E1003" i="3"/>
  <c r="D1003" i="3"/>
  <c r="F1002" i="3"/>
  <c r="E1002" i="3"/>
  <c r="D1002" i="3"/>
  <c r="F1001" i="3"/>
  <c r="E1001" i="3"/>
  <c r="D1001" i="3"/>
  <c r="F1000" i="3"/>
  <c r="E1000" i="3"/>
  <c r="D1000" i="3"/>
  <c r="F999" i="3"/>
  <c r="E999" i="3"/>
  <c r="D999" i="3"/>
  <c r="F998" i="3"/>
  <c r="E998" i="3"/>
  <c r="D998" i="3"/>
  <c r="F997" i="3"/>
  <c r="E997" i="3"/>
  <c r="D997" i="3"/>
  <c r="F996" i="3"/>
  <c r="E996" i="3"/>
  <c r="D996" i="3"/>
  <c r="F995" i="3"/>
  <c r="E995" i="3"/>
  <c r="D995" i="3"/>
  <c r="F994" i="3"/>
  <c r="E994" i="3"/>
  <c r="D994" i="3"/>
  <c r="F993" i="3"/>
  <c r="E993" i="3"/>
  <c r="D993" i="3"/>
  <c r="F992" i="3"/>
  <c r="E992" i="3"/>
  <c r="D992" i="3"/>
  <c r="F991" i="3"/>
  <c r="E991" i="3"/>
  <c r="D991" i="3"/>
  <c r="F990" i="3"/>
  <c r="E990" i="3"/>
  <c r="D990" i="3"/>
  <c r="F989" i="3"/>
  <c r="E989" i="3"/>
  <c r="D989" i="3"/>
  <c r="F988" i="3"/>
  <c r="E988" i="3"/>
  <c r="D988" i="3"/>
  <c r="F987" i="3"/>
  <c r="E987" i="3"/>
  <c r="D987" i="3"/>
  <c r="F986" i="3"/>
  <c r="E986" i="3"/>
  <c r="D986" i="3"/>
  <c r="F985" i="3"/>
  <c r="E985" i="3"/>
  <c r="D985" i="3"/>
  <c r="F984" i="3"/>
  <c r="E984" i="3"/>
  <c r="D984" i="3"/>
  <c r="F983" i="3"/>
  <c r="E983" i="3"/>
  <c r="D983" i="3"/>
  <c r="F982" i="3"/>
  <c r="E982" i="3"/>
  <c r="D982" i="3"/>
  <c r="F981" i="3"/>
  <c r="E981" i="3"/>
  <c r="D981" i="3"/>
  <c r="F980" i="3"/>
  <c r="E980" i="3"/>
  <c r="D980" i="3"/>
  <c r="F979" i="3"/>
  <c r="E979" i="3"/>
  <c r="D979" i="3"/>
  <c r="F978" i="3"/>
  <c r="E978" i="3"/>
  <c r="D978" i="3"/>
  <c r="F977" i="3"/>
  <c r="E977" i="3"/>
  <c r="D977" i="3"/>
  <c r="F976" i="3"/>
  <c r="E976" i="3"/>
  <c r="D976" i="3"/>
  <c r="F975" i="3"/>
  <c r="E975" i="3"/>
  <c r="D975" i="3"/>
  <c r="F974" i="3"/>
  <c r="E974" i="3"/>
  <c r="D974" i="3"/>
  <c r="F973" i="3"/>
  <c r="E973" i="3"/>
  <c r="D973" i="3"/>
  <c r="F972" i="3"/>
  <c r="E972" i="3"/>
  <c r="D972" i="3"/>
  <c r="F971" i="3"/>
  <c r="E971" i="3"/>
  <c r="D971" i="3"/>
  <c r="F970" i="3"/>
  <c r="E970" i="3"/>
  <c r="D970" i="3"/>
  <c r="F969" i="3"/>
  <c r="E969" i="3"/>
  <c r="D969" i="3"/>
  <c r="F968" i="3"/>
  <c r="E968" i="3"/>
  <c r="D968" i="3"/>
  <c r="F967" i="3"/>
  <c r="E967" i="3"/>
  <c r="D967" i="3"/>
  <c r="F966" i="3"/>
  <c r="E966" i="3"/>
  <c r="D966" i="3"/>
  <c r="F965" i="3"/>
  <c r="E965" i="3"/>
  <c r="D965" i="3"/>
  <c r="F964" i="3"/>
  <c r="E964" i="3"/>
  <c r="D964" i="3"/>
  <c r="F963" i="3"/>
  <c r="E963" i="3"/>
  <c r="D963" i="3"/>
  <c r="F962" i="3"/>
  <c r="E962" i="3"/>
  <c r="D962" i="3"/>
  <c r="F961" i="3"/>
  <c r="E961" i="3"/>
  <c r="D961" i="3"/>
  <c r="F960" i="3"/>
  <c r="E960" i="3"/>
  <c r="D960" i="3"/>
  <c r="F959" i="3"/>
  <c r="E959" i="3"/>
  <c r="D959" i="3"/>
  <c r="F958" i="3"/>
  <c r="E958" i="3"/>
  <c r="D958" i="3"/>
  <c r="F957" i="3"/>
  <c r="E957" i="3"/>
  <c r="D957" i="3"/>
  <c r="F956" i="3"/>
  <c r="E956" i="3"/>
  <c r="D956" i="3"/>
  <c r="F955" i="3"/>
  <c r="E955" i="3"/>
  <c r="D955" i="3"/>
  <c r="F954" i="3"/>
  <c r="E954" i="3"/>
  <c r="D954" i="3"/>
  <c r="F953" i="3"/>
  <c r="E953" i="3"/>
  <c r="D953" i="3"/>
  <c r="F952" i="3"/>
  <c r="E952" i="3"/>
  <c r="D952" i="3"/>
  <c r="F951" i="3"/>
  <c r="E951" i="3"/>
  <c r="D951" i="3"/>
  <c r="F950" i="3"/>
  <c r="E950" i="3"/>
  <c r="D950" i="3"/>
  <c r="F949" i="3"/>
  <c r="E949" i="3"/>
  <c r="D949" i="3"/>
  <c r="F948" i="3"/>
  <c r="E948" i="3"/>
  <c r="D948" i="3"/>
  <c r="F947" i="3"/>
  <c r="E947" i="3"/>
  <c r="D947" i="3"/>
  <c r="F946" i="3"/>
  <c r="E946" i="3"/>
  <c r="D946" i="3"/>
  <c r="F945" i="3"/>
  <c r="E945" i="3"/>
  <c r="D945" i="3"/>
  <c r="F944" i="3"/>
  <c r="E944" i="3"/>
  <c r="D944" i="3"/>
  <c r="F943" i="3"/>
  <c r="E943" i="3"/>
  <c r="D943" i="3"/>
  <c r="F942" i="3"/>
  <c r="E942" i="3"/>
  <c r="D942" i="3"/>
  <c r="F941" i="3"/>
  <c r="E941" i="3"/>
  <c r="D941" i="3"/>
  <c r="F940" i="3"/>
  <c r="E940" i="3"/>
  <c r="D940" i="3"/>
  <c r="F939" i="3"/>
  <c r="E939" i="3"/>
  <c r="D939" i="3"/>
  <c r="F938" i="3"/>
  <c r="E938" i="3"/>
  <c r="D938" i="3"/>
  <c r="F937" i="3"/>
  <c r="E937" i="3"/>
  <c r="D937" i="3"/>
  <c r="F936" i="3"/>
  <c r="E936" i="3"/>
  <c r="D936" i="3"/>
  <c r="F935" i="3"/>
  <c r="E935" i="3"/>
  <c r="D935" i="3"/>
  <c r="F934" i="3"/>
  <c r="E934" i="3"/>
  <c r="D934" i="3"/>
  <c r="F933" i="3"/>
  <c r="E933" i="3"/>
  <c r="D933" i="3"/>
  <c r="F932" i="3"/>
  <c r="E932" i="3"/>
  <c r="D932" i="3"/>
  <c r="F931" i="3"/>
  <c r="E931" i="3"/>
  <c r="D931" i="3"/>
  <c r="F930" i="3"/>
  <c r="E930" i="3"/>
  <c r="D930" i="3"/>
  <c r="F929" i="3"/>
  <c r="E929" i="3"/>
  <c r="D929" i="3"/>
  <c r="F928" i="3"/>
  <c r="E928" i="3"/>
  <c r="D928" i="3"/>
  <c r="F927" i="3"/>
  <c r="E927" i="3"/>
  <c r="D927" i="3"/>
  <c r="F926" i="3"/>
  <c r="E926" i="3"/>
  <c r="D926" i="3"/>
  <c r="F925" i="3"/>
  <c r="E925" i="3"/>
  <c r="D925" i="3"/>
  <c r="F924" i="3"/>
  <c r="E924" i="3"/>
  <c r="D924" i="3"/>
  <c r="F923" i="3"/>
  <c r="E923" i="3"/>
  <c r="D923" i="3"/>
  <c r="F922" i="3"/>
  <c r="E922" i="3"/>
  <c r="D922" i="3"/>
  <c r="F921" i="3"/>
  <c r="E921" i="3"/>
  <c r="D921" i="3"/>
  <c r="F920" i="3"/>
  <c r="E920" i="3"/>
  <c r="D920" i="3"/>
  <c r="F919" i="3"/>
  <c r="E919" i="3"/>
  <c r="D919" i="3"/>
  <c r="F918" i="3"/>
  <c r="E918" i="3"/>
  <c r="D918" i="3"/>
  <c r="F917" i="3"/>
  <c r="E917" i="3"/>
  <c r="D917" i="3"/>
  <c r="F916" i="3"/>
  <c r="E916" i="3"/>
  <c r="D916" i="3"/>
  <c r="F915" i="3"/>
  <c r="E915" i="3"/>
  <c r="D915" i="3"/>
  <c r="F914" i="3"/>
  <c r="E914" i="3"/>
  <c r="D914" i="3"/>
  <c r="F913" i="3"/>
  <c r="E913" i="3"/>
  <c r="D913" i="3"/>
  <c r="F912" i="3"/>
  <c r="E912" i="3"/>
  <c r="D912" i="3"/>
  <c r="F911" i="3"/>
  <c r="E911" i="3"/>
  <c r="D911" i="3"/>
  <c r="F910" i="3"/>
  <c r="E910" i="3"/>
  <c r="D910" i="3"/>
  <c r="F909" i="3"/>
  <c r="E909" i="3"/>
  <c r="D909" i="3"/>
  <c r="F908" i="3"/>
  <c r="E908" i="3"/>
  <c r="D908" i="3"/>
  <c r="F907" i="3"/>
  <c r="E907" i="3"/>
  <c r="D907" i="3"/>
  <c r="F906" i="3"/>
  <c r="E906" i="3"/>
  <c r="D906" i="3"/>
  <c r="F905" i="3"/>
  <c r="E905" i="3"/>
  <c r="D905" i="3"/>
  <c r="F904" i="3"/>
  <c r="E904" i="3"/>
  <c r="D904" i="3"/>
  <c r="F903" i="3"/>
  <c r="E903" i="3"/>
  <c r="D903" i="3"/>
  <c r="F902" i="3"/>
  <c r="E902" i="3"/>
  <c r="D902" i="3"/>
  <c r="F901" i="3"/>
  <c r="E901" i="3"/>
  <c r="D901" i="3"/>
  <c r="F900" i="3"/>
  <c r="E900" i="3"/>
  <c r="D900" i="3"/>
  <c r="F899" i="3"/>
  <c r="E899" i="3"/>
  <c r="D899" i="3"/>
  <c r="F898" i="3"/>
  <c r="E898" i="3"/>
  <c r="D898" i="3"/>
  <c r="F897" i="3"/>
  <c r="E897" i="3"/>
  <c r="D897" i="3"/>
  <c r="F896" i="3"/>
  <c r="E896" i="3"/>
  <c r="D896" i="3"/>
  <c r="F895" i="3"/>
  <c r="E895" i="3"/>
  <c r="D895" i="3"/>
  <c r="F894" i="3"/>
  <c r="E894" i="3"/>
  <c r="D894" i="3"/>
  <c r="F893" i="3"/>
  <c r="E893" i="3"/>
  <c r="D893" i="3"/>
  <c r="F892" i="3"/>
  <c r="E892" i="3"/>
  <c r="D892" i="3"/>
  <c r="F891" i="3"/>
  <c r="E891" i="3"/>
  <c r="D891" i="3"/>
  <c r="F890" i="3"/>
  <c r="E890" i="3"/>
  <c r="D890" i="3"/>
  <c r="F889" i="3"/>
  <c r="E889" i="3"/>
  <c r="D889" i="3"/>
  <c r="F888" i="3"/>
  <c r="E888" i="3"/>
  <c r="D888" i="3"/>
  <c r="F887" i="3"/>
  <c r="E887" i="3"/>
  <c r="D887" i="3"/>
  <c r="F886" i="3"/>
  <c r="E886" i="3"/>
  <c r="D886" i="3"/>
  <c r="F885" i="3"/>
  <c r="E885" i="3"/>
  <c r="D885" i="3"/>
  <c r="F884" i="3"/>
  <c r="E884" i="3"/>
  <c r="D884" i="3"/>
  <c r="F883" i="3"/>
  <c r="E883" i="3"/>
  <c r="D883" i="3"/>
  <c r="F882" i="3"/>
  <c r="E882" i="3"/>
  <c r="D882" i="3"/>
  <c r="F881" i="3"/>
  <c r="E881" i="3"/>
  <c r="D881" i="3"/>
  <c r="F880" i="3"/>
  <c r="E880" i="3"/>
  <c r="D880" i="3"/>
  <c r="F879" i="3"/>
  <c r="E879" i="3"/>
  <c r="D879" i="3"/>
  <c r="F878" i="3"/>
  <c r="E878" i="3"/>
  <c r="D878" i="3"/>
  <c r="F877" i="3"/>
  <c r="E877" i="3"/>
  <c r="D877" i="3"/>
  <c r="F876" i="3"/>
  <c r="E876" i="3"/>
  <c r="D876" i="3"/>
  <c r="F875" i="3"/>
  <c r="E875" i="3"/>
  <c r="D875" i="3"/>
  <c r="F874" i="3"/>
  <c r="E874" i="3"/>
  <c r="D874" i="3"/>
  <c r="F873" i="3"/>
  <c r="E873" i="3"/>
  <c r="D873" i="3"/>
  <c r="F872" i="3"/>
  <c r="E872" i="3"/>
  <c r="D872" i="3"/>
  <c r="F871" i="3"/>
  <c r="E871" i="3"/>
  <c r="D871" i="3"/>
  <c r="F870" i="3"/>
  <c r="E870" i="3"/>
  <c r="D870" i="3"/>
  <c r="F869" i="3"/>
  <c r="E869" i="3"/>
  <c r="D869" i="3"/>
  <c r="F868" i="3"/>
  <c r="E868" i="3"/>
  <c r="D868" i="3"/>
  <c r="F867" i="3"/>
  <c r="E867" i="3"/>
  <c r="D867" i="3"/>
  <c r="F866" i="3"/>
  <c r="E866" i="3"/>
  <c r="D866" i="3"/>
  <c r="F865" i="3"/>
  <c r="E865" i="3"/>
  <c r="D865" i="3"/>
  <c r="F864" i="3"/>
  <c r="E864" i="3"/>
  <c r="D864" i="3"/>
  <c r="F863" i="3"/>
  <c r="E863" i="3"/>
  <c r="D863" i="3"/>
  <c r="F862" i="3"/>
  <c r="E862" i="3"/>
  <c r="D862" i="3"/>
  <c r="F861" i="3"/>
  <c r="E861" i="3"/>
  <c r="D861" i="3"/>
  <c r="F860" i="3"/>
  <c r="E860" i="3"/>
  <c r="D860" i="3"/>
  <c r="F859" i="3"/>
  <c r="E859" i="3"/>
  <c r="D859" i="3"/>
  <c r="F858" i="3"/>
  <c r="E858" i="3"/>
  <c r="D858" i="3"/>
  <c r="F857" i="3"/>
  <c r="E857" i="3"/>
  <c r="D857" i="3"/>
  <c r="F856" i="3"/>
  <c r="E856" i="3"/>
  <c r="D856" i="3"/>
  <c r="F855" i="3"/>
  <c r="E855" i="3"/>
  <c r="D855" i="3"/>
  <c r="F854" i="3"/>
  <c r="E854" i="3"/>
  <c r="D854" i="3"/>
  <c r="F853" i="3"/>
  <c r="E853" i="3"/>
  <c r="D853" i="3"/>
  <c r="F852" i="3"/>
  <c r="E852" i="3"/>
  <c r="D852" i="3"/>
  <c r="F851" i="3"/>
  <c r="E851" i="3"/>
  <c r="D851" i="3"/>
  <c r="F850" i="3"/>
  <c r="E850" i="3"/>
  <c r="D850" i="3"/>
  <c r="F849" i="3"/>
  <c r="E849" i="3"/>
  <c r="D849" i="3"/>
  <c r="F848" i="3"/>
  <c r="E848" i="3"/>
  <c r="D848" i="3"/>
  <c r="F847" i="3"/>
  <c r="E847" i="3"/>
  <c r="D847" i="3"/>
  <c r="F846" i="3"/>
  <c r="E846" i="3"/>
  <c r="D846" i="3"/>
  <c r="F845" i="3"/>
  <c r="E845" i="3"/>
  <c r="D845" i="3"/>
  <c r="F844" i="3"/>
  <c r="E844" i="3"/>
  <c r="D844" i="3"/>
  <c r="F843" i="3"/>
  <c r="E843" i="3"/>
  <c r="D843" i="3"/>
  <c r="F842" i="3"/>
  <c r="E842" i="3"/>
  <c r="D842" i="3"/>
  <c r="F841" i="3"/>
  <c r="E841" i="3"/>
  <c r="D841" i="3"/>
  <c r="F840" i="3"/>
  <c r="E840" i="3"/>
  <c r="D840" i="3"/>
  <c r="F839" i="3"/>
  <c r="E839" i="3"/>
  <c r="D839" i="3"/>
  <c r="F838" i="3"/>
  <c r="E838" i="3"/>
  <c r="D838" i="3"/>
  <c r="F837" i="3"/>
  <c r="E837" i="3"/>
  <c r="D837" i="3"/>
  <c r="F836" i="3"/>
  <c r="E836" i="3"/>
  <c r="D836" i="3"/>
  <c r="F835" i="3"/>
  <c r="E835" i="3"/>
  <c r="D835" i="3"/>
  <c r="F834" i="3"/>
  <c r="E834" i="3"/>
  <c r="D834" i="3"/>
  <c r="F833" i="3"/>
  <c r="E833" i="3"/>
  <c r="D833" i="3"/>
  <c r="F832" i="3"/>
  <c r="E832" i="3"/>
  <c r="D832" i="3"/>
  <c r="F831" i="3"/>
  <c r="E831" i="3"/>
  <c r="D831" i="3"/>
  <c r="F830" i="3"/>
  <c r="E830" i="3"/>
  <c r="D830" i="3"/>
  <c r="F829" i="3"/>
  <c r="E829" i="3"/>
  <c r="D829" i="3"/>
  <c r="F828" i="3"/>
  <c r="E828" i="3"/>
  <c r="D828" i="3"/>
  <c r="F827" i="3"/>
  <c r="E827" i="3"/>
  <c r="D827" i="3"/>
  <c r="F826" i="3"/>
  <c r="E826" i="3"/>
  <c r="D826" i="3"/>
  <c r="F825" i="3"/>
  <c r="E825" i="3"/>
  <c r="D825" i="3"/>
  <c r="F824" i="3"/>
  <c r="E824" i="3"/>
  <c r="D824" i="3"/>
  <c r="F823" i="3"/>
  <c r="E823" i="3"/>
  <c r="D823" i="3"/>
  <c r="F822" i="3"/>
  <c r="E822" i="3"/>
  <c r="D822" i="3"/>
  <c r="F821" i="3"/>
  <c r="E821" i="3"/>
  <c r="D821" i="3"/>
  <c r="F820" i="3"/>
  <c r="E820" i="3"/>
  <c r="D820" i="3"/>
  <c r="F819" i="3"/>
  <c r="E819" i="3"/>
  <c r="D819" i="3"/>
  <c r="F818" i="3"/>
  <c r="E818" i="3"/>
  <c r="D818" i="3"/>
  <c r="F817" i="3"/>
  <c r="E817" i="3"/>
  <c r="D817" i="3"/>
  <c r="F816" i="3"/>
  <c r="E816" i="3"/>
  <c r="D816" i="3"/>
  <c r="F815" i="3"/>
  <c r="E815" i="3"/>
  <c r="D815" i="3"/>
  <c r="F814" i="3"/>
  <c r="E814" i="3"/>
  <c r="D814" i="3"/>
  <c r="F813" i="3"/>
  <c r="E813" i="3"/>
  <c r="D813" i="3"/>
  <c r="F812" i="3"/>
  <c r="E812" i="3"/>
  <c r="D812" i="3"/>
  <c r="F811" i="3"/>
  <c r="E811" i="3"/>
  <c r="D811" i="3"/>
  <c r="F810" i="3"/>
  <c r="E810" i="3"/>
  <c r="D810" i="3"/>
  <c r="F809" i="3"/>
  <c r="E809" i="3"/>
  <c r="D809" i="3"/>
  <c r="F808" i="3"/>
  <c r="E808" i="3"/>
  <c r="D808" i="3"/>
  <c r="F807" i="3"/>
  <c r="E807" i="3"/>
  <c r="D807" i="3"/>
  <c r="F806" i="3"/>
  <c r="E806" i="3"/>
  <c r="D806" i="3"/>
  <c r="F805" i="3"/>
  <c r="E805" i="3"/>
  <c r="D805" i="3"/>
  <c r="F804" i="3"/>
  <c r="E804" i="3"/>
  <c r="D804" i="3"/>
  <c r="F803" i="3"/>
  <c r="E803" i="3"/>
  <c r="D803" i="3"/>
  <c r="F802" i="3"/>
  <c r="E802" i="3"/>
  <c r="D802" i="3"/>
  <c r="F801" i="3"/>
  <c r="E801" i="3"/>
  <c r="D801" i="3"/>
  <c r="F800" i="3"/>
  <c r="E800" i="3"/>
  <c r="D800" i="3"/>
  <c r="F799" i="3"/>
  <c r="E799" i="3"/>
  <c r="D799" i="3"/>
  <c r="F798" i="3"/>
  <c r="E798" i="3"/>
  <c r="D798" i="3"/>
  <c r="F797" i="3"/>
  <c r="E797" i="3"/>
  <c r="D797" i="3"/>
  <c r="F796" i="3"/>
  <c r="E796" i="3"/>
  <c r="D796" i="3"/>
  <c r="F795" i="3"/>
  <c r="E795" i="3"/>
  <c r="D795" i="3"/>
  <c r="F794" i="3"/>
  <c r="E794" i="3"/>
  <c r="D794" i="3"/>
  <c r="F793" i="3"/>
  <c r="E793" i="3"/>
  <c r="D793" i="3"/>
  <c r="F792" i="3"/>
  <c r="E792" i="3"/>
  <c r="D792" i="3"/>
  <c r="F791" i="3"/>
  <c r="E791" i="3"/>
  <c r="D791" i="3"/>
  <c r="F790" i="3"/>
  <c r="E790" i="3"/>
  <c r="D790" i="3"/>
  <c r="F789" i="3"/>
  <c r="E789" i="3"/>
  <c r="D789" i="3"/>
  <c r="F788" i="3"/>
  <c r="E788" i="3"/>
  <c r="D788" i="3"/>
  <c r="F787" i="3"/>
  <c r="E787" i="3"/>
  <c r="D787" i="3"/>
  <c r="F786" i="3"/>
  <c r="E786" i="3"/>
  <c r="D786" i="3"/>
  <c r="F785" i="3"/>
  <c r="E785" i="3"/>
  <c r="D785" i="3"/>
  <c r="F784" i="3"/>
  <c r="E784" i="3"/>
  <c r="D784" i="3"/>
  <c r="F783" i="3"/>
  <c r="E783" i="3"/>
  <c r="D783" i="3"/>
  <c r="F782" i="3"/>
  <c r="E782" i="3"/>
  <c r="D782" i="3"/>
  <c r="F781" i="3"/>
  <c r="E781" i="3"/>
  <c r="D781" i="3"/>
  <c r="F780" i="3"/>
  <c r="E780" i="3"/>
  <c r="D780" i="3"/>
  <c r="F779" i="3"/>
  <c r="E779" i="3"/>
  <c r="D779" i="3"/>
  <c r="F778" i="3"/>
  <c r="E778" i="3"/>
  <c r="D778" i="3"/>
  <c r="F777" i="3"/>
  <c r="E777" i="3"/>
  <c r="D777" i="3"/>
  <c r="F776" i="3"/>
  <c r="E776" i="3"/>
  <c r="D776" i="3"/>
  <c r="F775" i="3"/>
  <c r="E775" i="3"/>
  <c r="D775" i="3"/>
  <c r="F774" i="3"/>
  <c r="E774" i="3"/>
  <c r="D774" i="3"/>
  <c r="F773" i="3"/>
  <c r="E773" i="3"/>
  <c r="D773" i="3"/>
  <c r="F772" i="3"/>
  <c r="E772" i="3"/>
  <c r="D772" i="3"/>
  <c r="F771" i="3"/>
  <c r="E771" i="3"/>
  <c r="D771" i="3"/>
  <c r="F770" i="3"/>
  <c r="E770" i="3"/>
  <c r="D770" i="3"/>
  <c r="F769" i="3"/>
  <c r="E769" i="3"/>
  <c r="D769" i="3"/>
  <c r="F768" i="3"/>
  <c r="E768" i="3"/>
  <c r="D768" i="3"/>
  <c r="F767" i="3"/>
  <c r="E767" i="3"/>
  <c r="D767" i="3"/>
  <c r="F766" i="3"/>
  <c r="E766" i="3"/>
  <c r="D766" i="3"/>
  <c r="F765" i="3"/>
  <c r="E765" i="3"/>
  <c r="D765" i="3"/>
  <c r="F764" i="3"/>
  <c r="E764" i="3"/>
  <c r="D764" i="3"/>
  <c r="F763" i="3"/>
  <c r="E763" i="3"/>
  <c r="D763" i="3"/>
  <c r="F762" i="3"/>
  <c r="E762" i="3"/>
  <c r="D762" i="3"/>
  <c r="F761" i="3"/>
  <c r="E761" i="3"/>
  <c r="D761" i="3"/>
  <c r="F760" i="3"/>
  <c r="E760" i="3"/>
  <c r="D760" i="3"/>
  <c r="F759" i="3"/>
  <c r="E759" i="3"/>
  <c r="D759" i="3"/>
  <c r="F758" i="3"/>
  <c r="E758" i="3"/>
  <c r="D758" i="3"/>
  <c r="F757" i="3"/>
  <c r="E757" i="3"/>
  <c r="D757" i="3"/>
  <c r="F756" i="3"/>
  <c r="E756" i="3"/>
  <c r="D756" i="3"/>
  <c r="F755" i="3"/>
  <c r="E755" i="3"/>
  <c r="D755" i="3"/>
  <c r="F754" i="3"/>
  <c r="E754" i="3"/>
  <c r="D754" i="3"/>
  <c r="F753" i="3"/>
  <c r="E753" i="3"/>
  <c r="D753" i="3"/>
  <c r="F752" i="3"/>
  <c r="E752" i="3"/>
  <c r="D752" i="3"/>
  <c r="F751" i="3"/>
  <c r="E751" i="3"/>
  <c r="D751" i="3"/>
  <c r="F750" i="3"/>
  <c r="E750" i="3"/>
  <c r="D750" i="3"/>
  <c r="F749" i="3"/>
  <c r="E749" i="3"/>
  <c r="D749" i="3"/>
  <c r="F748" i="3"/>
  <c r="E748" i="3"/>
  <c r="D748" i="3"/>
  <c r="F747" i="3"/>
  <c r="E747" i="3"/>
  <c r="D747" i="3"/>
  <c r="F746" i="3"/>
  <c r="E746" i="3"/>
  <c r="D746" i="3"/>
  <c r="F745" i="3"/>
  <c r="E745" i="3"/>
  <c r="D745" i="3"/>
  <c r="F744" i="3"/>
  <c r="E744" i="3"/>
  <c r="D744" i="3"/>
  <c r="F743" i="3"/>
  <c r="E743" i="3"/>
  <c r="D743" i="3"/>
  <c r="F742" i="3"/>
  <c r="E742" i="3"/>
  <c r="D742" i="3"/>
  <c r="F741" i="3"/>
  <c r="E741" i="3"/>
  <c r="D741" i="3"/>
  <c r="F740" i="3"/>
  <c r="E740" i="3"/>
  <c r="D740" i="3"/>
  <c r="F739" i="3"/>
  <c r="E739" i="3"/>
  <c r="D739" i="3"/>
  <c r="F738" i="3"/>
  <c r="E738" i="3"/>
  <c r="D738" i="3"/>
  <c r="F737" i="3"/>
  <c r="E737" i="3"/>
  <c r="D737" i="3"/>
  <c r="F736" i="3"/>
  <c r="E736" i="3"/>
  <c r="D736" i="3"/>
  <c r="F735" i="3"/>
  <c r="E735" i="3"/>
  <c r="D735" i="3"/>
  <c r="F734" i="3"/>
  <c r="E734" i="3"/>
  <c r="D734" i="3"/>
  <c r="F733" i="3"/>
  <c r="E733" i="3"/>
  <c r="D733" i="3"/>
  <c r="F732" i="3"/>
  <c r="E732" i="3"/>
  <c r="D732" i="3"/>
  <c r="F731" i="3"/>
  <c r="E731" i="3"/>
  <c r="D731" i="3"/>
  <c r="F730" i="3"/>
  <c r="E730" i="3"/>
  <c r="D730" i="3"/>
  <c r="F729" i="3"/>
  <c r="E729" i="3"/>
  <c r="D729" i="3"/>
  <c r="F728" i="3"/>
  <c r="E728" i="3"/>
  <c r="D728" i="3"/>
  <c r="F727" i="3"/>
  <c r="E727" i="3"/>
  <c r="D727" i="3"/>
  <c r="F726" i="3"/>
  <c r="E726" i="3"/>
  <c r="D726" i="3"/>
  <c r="F725" i="3"/>
  <c r="E725" i="3"/>
  <c r="D725" i="3"/>
  <c r="F724" i="3"/>
  <c r="E724" i="3"/>
  <c r="D724" i="3"/>
  <c r="F723" i="3"/>
  <c r="E723" i="3"/>
  <c r="D723" i="3"/>
  <c r="F722" i="3"/>
  <c r="E722" i="3"/>
  <c r="D722" i="3"/>
  <c r="F721" i="3"/>
  <c r="E721" i="3"/>
  <c r="D721" i="3"/>
  <c r="F720" i="3"/>
  <c r="E720" i="3"/>
  <c r="D720" i="3"/>
  <c r="F719" i="3"/>
  <c r="E719" i="3"/>
  <c r="D719" i="3"/>
  <c r="F718" i="3"/>
  <c r="E718" i="3"/>
  <c r="D718" i="3"/>
  <c r="F717" i="3"/>
  <c r="E717" i="3"/>
  <c r="D717" i="3"/>
  <c r="F716" i="3"/>
  <c r="E716" i="3"/>
  <c r="D716" i="3"/>
  <c r="F715" i="3"/>
  <c r="E715" i="3"/>
  <c r="D715" i="3"/>
  <c r="F714" i="3"/>
  <c r="E714" i="3"/>
  <c r="D714" i="3"/>
  <c r="F713" i="3"/>
  <c r="E713" i="3"/>
  <c r="D713" i="3"/>
  <c r="F712" i="3"/>
  <c r="E712" i="3"/>
  <c r="D712" i="3"/>
  <c r="F711" i="3"/>
  <c r="E711" i="3"/>
  <c r="D711" i="3"/>
  <c r="F710" i="3"/>
  <c r="E710" i="3"/>
  <c r="D710" i="3"/>
  <c r="F709" i="3"/>
  <c r="E709" i="3"/>
  <c r="D709" i="3"/>
  <c r="F708" i="3"/>
  <c r="E708" i="3"/>
  <c r="D708" i="3"/>
  <c r="F707" i="3"/>
  <c r="E707" i="3"/>
  <c r="D707" i="3"/>
  <c r="F706" i="3"/>
  <c r="E706" i="3"/>
  <c r="D706" i="3"/>
  <c r="F705" i="3"/>
  <c r="E705" i="3"/>
  <c r="D705" i="3"/>
  <c r="F704" i="3"/>
  <c r="E704" i="3"/>
  <c r="D704" i="3"/>
  <c r="F703" i="3"/>
  <c r="E703" i="3"/>
  <c r="D703" i="3"/>
  <c r="F702" i="3"/>
  <c r="E702" i="3"/>
  <c r="D702" i="3"/>
  <c r="F701" i="3"/>
  <c r="E701" i="3"/>
  <c r="D701" i="3"/>
  <c r="F700" i="3"/>
  <c r="E700" i="3"/>
  <c r="D700" i="3"/>
  <c r="F699" i="3"/>
  <c r="E699" i="3"/>
  <c r="D699" i="3"/>
  <c r="F698" i="3"/>
  <c r="E698" i="3"/>
  <c r="D698" i="3"/>
  <c r="F697" i="3"/>
  <c r="E697" i="3"/>
  <c r="D697" i="3"/>
  <c r="F696" i="3"/>
  <c r="E696" i="3"/>
  <c r="D696" i="3"/>
  <c r="F695" i="3"/>
  <c r="E695" i="3"/>
  <c r="D695" i="3"/>
  <c r="F694" i="3"/>
  <c r="E694" i="3"/>
  <c r="D694" i="3"/>
  <c r="F693" i="3"/>
  <c r="E693" i="3"/>
  <c r="D693" i="3"/>
  <c r="F692" i="3"/>
  <c r="E692" i="3"/>
  <c r="D692" i="3"/>
  <c r="F691" i="3"/>
  <c r="E691" i="3"/>
  <c r="D691" i="3"/>
  <c r="F690" i="3"/>
  <c r="E690" i="3"/>
  <c r="D690" i="3"/>
  <c r="F689" i="3"/>
  <c r="E689" i="3"/>
  <c r="D689" i="3"/>
  <c r="F688" i="3"/>
  <c r="E688" i="3"/>
  <c r="D688" i="3"/>
  <c r="F687" i="3"/>
  <c r="E687" i="3"/>
  <c r="D687" i="3"/>
  <c r="F686" i="3"/>
  <c r="E686" i="3"/>
  <c r="D686" i="3"/>
  <c r="F685" i="3"/>
  <c r="E685" i="3"/>
  <c r="D685" i="3"/>
  <c r="F684" i="3"/>
  <c r="E684" i="3"/>
  <c r="D684" i="3"/>
  <c r="F683" i="3"/>
  <c r="E683" i="3"/>
  <c r="D683" i="3"/>
  <c r="F682" i="3"/>
  <c r="E682" i="3"/>
  <c r="D682" i="3"/>
  <c r="F681" i="3"/>
  <c r="E681" i="3"/>
  <c r="D681" i="3"/>
  <c r="F680" i="3"/>
  <c r="E680" i="3"/>
  <c r="D680" i="3"/>
  <c r="F679" i="3"/>
  <c r="E679" i="3"/>
  <c r="D679" i="3"/>
  <c r="F678" i="3"/>
  <c r="E678" i="3"/>
  <c r="D678" i="3"/>
  <c r="F677" i="3"/>
  <c r="E677" i="3"/>
  <c r="D677" i="3"/>
  <c r="F676" i="3"/>
  <c r="E676" i="3"/>
  <c r="D676" i="3"/>
  <c r="F675" i="3"/>
  <c r="E675" i="3"/>
  <c r="D675" i="3"/>
  <c r="F674" i="3"/>
  <c r="E674" i="3"/>
  <c r="D674" i="3"/>
  <c r="F673" i="3"/>
  <c r="E673" i="3"/>
  <c r="D673" i="3"/>
  <c r="F672" i="3"/>
  <c r="E672" i="3"/>
  <c r="D672" i="3"/>
  <c r="F671" i="3"/>
  <c r="E671" i="3"/>
  <c r="D671" i="3"/>
  <c r="F670" i="3"/>
  <c r="E670" i="3"/>
  <c r="D670" i="3"/>
  <c r="F669" i="3"/>
  <c r="E669" i="3"/>
  <c r="D669" i="3"/>
  <c r="F668" i="3"/>
  <c r="E668" i="3"/>
  <c r="D668" i="3"/>
  <c r="F667" i="3"/>
  <c r="E667" i="3"/>
  <c r="D667" i="3"/>
  <c r="F666" i="3"/>
  <c r="E666" i="3"/>
  <c r="D666" i="3"/>
  <c r="F665" i="3"/>
  <c r="E665" i="3"/>
  <c r="D665" i="3"/>
  <c r="F664" i="3"/>
  <c r="E664" i="3"/>
  <c r="D664" i="3"/>
  <c r="F663" i="3"/>
  <c r="E663" i="3"/>
  <c r="D663" i="3"/>
  <c r="F662" i="3"/>
  <c r="E662" i="3"/>
  <c r="D662" i="3"/>
  <c r="F661" i="3"/>
  <c r="E661" i="3"/>
  <c r="D661" i="3"/>
  <c r="F660" i="3"/>
  <c r="E660" i="3"/>
  <c r="D660" i="3"/>
  <c r="F659" i="3"/>
  <c r="E659" i="3"/>
  <c r="D659" i="3"/>
  <c r="F658" i="3"/>
  <c r="E658" i="3"/>
  <c r="D658" i="3"/>
  <c r="F657" i="3"/>
  <c r="E657" i="3"/>
  <c r="D657" i="3"/>
  <c r="F656" i="3"/>
  <c r="E656" i="3"/>
  <c r="D656" i="3"/>
  <c r="F655" i="3"/>
  <c r="E655" i="3"/>
  <c r="D655" i="3"/>
  <c r="F654" i="3"/>
  <c r="E654" i="3"/>
  <c r="D654" i="3"/>
  <c r="F653" i="3"/>
  <c r="E653" i="3"/>
  <c r="D653" i="3"/>
  <c r="F652" i="3"/>
  <c r="E652" i="3"/>
  <c r="D652" i="3"/>
  <c r="F651" i="3"/>
  <c r="E651" i="3"/>
  <c r="D651" i="3"/>
  <c r="F650" i="3"/>
  <c r="E650" i="3"/>
  <c r="D650" i="3"/>
  <c r="F649" i="3"/>
  <c r="E649" i="3"/>
  <c r="D649" i="3"/>
  <c r="F648" i="3"/>
  <c r="E648" i="3"/>
  <c r="D648" i="3"/>
  <c r="F647" i="3"/>
  <c r="E647" i="3"/>
  <c r="D647" i="3"/>
  <c r="F646" i="3"/>
  <c r="E646" i="3"/>
  <c r="D646" i="3"/>
  <c r="F645" i="3"/>
  <c r="E645" i="3"/>
  <c r="D645" i="3"/>
  <c r="F644" i="3"/>
  <c r="E644" i="3"/>
  <c r="D644" i="3"/>
  <c r="F643" i="3"/>
  <c r="E643" i="3"/>
  <c r="D643" i="3"/>
  <c r="F642" i="3"/>
  <c r="E642" i="3"/>
  <c r="D642" i="3"/>
  <c r="F641" i="3"/>
  <c r="E641" i="3"/>
  <c r="D641" i="3"/>
  <c r="F640" i="3"/>
  <c r="E640" i="3"/>
  <c r="D640" i="3"/>
  <c r="F639" i="3"/>
  <c r="E639" i="3"/>
  <c r="D639" i="3"/>
  <c r="F638" i="3"/>
  <c r="E638" i="3"/>
  <c r="D638" i="3"/>
  <c r="F637" i="3"/>
  <c r="E637" i="3"/>
  <c r="D637" i="3"/>
  <c r="F636" i="3"/>
  <c r="E636" i="3"/>
  <c r="D636" i="3"/>
  <c r="F635" i="3"/>
  <c r="E635" i="3"/>
  <c r="D635" i="3"/>
  <c r="F634" i="3"/>
  <c r="E634" i="3"/>
  <c r="D634" i="3"/>
  <c r="F633" i="3"/>
  <c r="E633" i="3"/>
  <c r="D633" i="3"/>
  <c r="F632" i="3"/>
  <c r="E632" i="3"/>
  <c r="D632" i="3"/>
  <c r="F631" i="3"/>
  <c r="E631" i="3"/>
  <c r="D631" i="3"/>
  <c r="F630" i="3"/>
  <c r="E630" i="3"/>
  <c r="D630" i="3"/>
  <c r="F629" i="3"/>
  <c r="E629" i="3"/>
  <c r="D629" i="3"/>
  <c r="F628" i="3"/>
  <c r="E628" i="3"/>
  <c r="D628" i="3"/>
  <c r="F627" i="3"/>
  <c r="E627" i="3"/>
  <c r="D627" i="3"/>
  <c r="F626" i="3"/>
  <c r="E626" i="3"/>
  <c r="D626" i="3"/>
  <c r="F625" i="3"/>
  <c r="E625" i="3"/>
  <c r="D625" i="3"/>
  <c r="F624" i="3"/>
  <c r="E624" i="3"/>
  <c r="D624" i="3"/>
  <c r="F623" i="3"/>
  <c r="E623" i="3"/>
  <c r="D623" i="3"/>
  <c r="F622" i="3"/>
  <c r="E622" i="3"/>
  <c r="D622" i="3"/>
  <c r="F621" i="3"/>
  <c r="E621" i="3"/>
  <c r="D621" i="3"/>
  <c r="F620" i="3"/>
  <c r="E620" i="3"/>
  <c r="D620" i="3"/>
  <c r="F619" i="3"/>
  <c r="E619" i="3"/>
  <c r="D619" i="3"/>
  <c r="F618" i="3"/>
  <c r="E618" i="3"/>
  <c r="D618" i="3"/>
  <c r="F617" i="3"/>
  <c r="E617" i="3"/>
  <c r="D617" i="3"/>
  <c r="F616" i="3"/>
  <c r="E616" i="3"/>
  <c r="D616" i="3"/>
  <c r="F615" i="3"/>
  <c r="E615" i="3"/>
  <c r="D615" i="3"/>
  <c r="F614" i="3"/>
  <c r="E614" i="3"/>
  <c r="D614" i="3"/>
  <c r="F613" i="3"/>
  <c r="E613" i="3"/>
  <c r="D613" i="3"/>
  <c r="F612" i="3"/>
  <c r="E612" i="3"/>
  <c r="D612" i="3"/>
  <c r="F611" i="3"/>
  <c r="E611" i="3"/>
  <c r="D611" i="3"/>
  <c r="F610" i="3"/>
  <c r="E610" i="3"/>
  <c r="D610" i="3"/>
  <c r="F609" i="3"/>
  <c r="E609" i="3"/>
  <c r="D609" i="3"/>
  <c r="F608" i="3"/>
  <c r="E608" i="3"/>
  <c r="D608" i="3"/>
  <c r="F607" i="3"/>
  <c r="E607" i="3"/>
  <c r="D607" i="3"/>
  <c r="F606" i="3"/>
  <c r="E606" i="3"/>
  <c r="D606" i="3"/>
  <c r="F605" i="3"/>
  <c r="E605" i="3"/>
  <c r="D605" i="3"/>
  <c r="F604" i="3"/>
  <c r="E604" i="3"/>
  <c r="D604" i="3"/>
  <c r="F603" i="3"/>
  <c r="E603" i="3"/>
  <c r="D603" i="3"/>
  <c r="F602" i="3"/>
  <c r="E602" i="3"/>
  <c r="D602" i="3"/>
  <c r="F601" i="3"/>
  <c r="E601" i="3"/>
  <c r="D601" i="3"/>
  <c r="F600" i="3"/>
  <c r="E600" i="3"/>
  <c r="D600" i="3"/>
  <c r="F599" i="3"/>
  <c r="E599" i="3"/>
  <c r="D599" i="3"/>
  <c r="F598" i="3"/>
  <c r="E598" i="3"/>
  <c r="D598" i="3"/>
  <c r="F597" i="3"/>
  <c r="E597" i="3"/>
  <c r="D597" i="3"/>
  <c r="F596" i="3"/>
  <c r="E596" i="3"/>
  <c r="D596" i="3"/>
  <c r="F595" i="3"/>
  <c r="E595" i="3"/>
  <c r="D595" i="3"/>
  <c r="F594" i="3"/>
  <c r="E594" i="3"/>
  <c r="D594" i="3"/>
  <c r="F593" i="3"/>
  <c r="E593" i="3"/>
  <c r="D593" i="3"/>
  <c r="F592" i="3"/>
  <c r="E592" i="3"/>
  <c r="D592" i="3"/>
  <c r="F591" i="3"/>
  <c r="E591" i="3"/>
  <c r="D591" i="3"/>
  <c r="F590" i="3"/>
  <c r="E590" i="3"/>
  <c r="D590" i="3"/>
  <c r="F589" i="3"/>
  <c r="E589" i="3"/>
  <c r="D589" i="3"/>
  <c r="F588" i="3"/>
  <c r="E588" i="3"/>
  <c r="D588" i="3"/>
  <c r="F587" i="3"/>
  <c r="E587" i="3"/>
  <c r="D587" i="3"/>
  <c r="F586" i="3"/>
  <c r="E586" i="3"/>
  <c r="D586" i="3"/>
  <c r="F585" i="3"/>
  <c r="E585" i="3"/>
  <c r="D585" i="3"/>
  <c r="F584" i="3"/>
  <c r="E584" i="3"/>
  <c r="D584" i="3"/>
  <c r="F583" i="3"/>
  <c r="E583" i="3"/>
  <c r="D583" i="3"/>
  <c r="F582" i="3"/>
  <c r="E582" i="3"/>
  <c r="D582" i="3"/>
  <c r="F581" i="3"/>
  <c r="E581" i="3"/>
  <c r="D581" i="3"/>
  <c r="F580" i="3"/>
  <c r="E580" i="3"/>
  <c r="D580" i="3"/>
  <c r="F579" i="3"/>
  <c r="E579" i="3"/>
  <c r="D579" i="3"/>
  <c r="F578" i="3"/>
  <c r="E578" i="3"/>
  <c r="D578" i="3"/>
  <c r="F577" i="3"/>
  <c r="E577" i="3"/>
  <c r="D577" i="3"/>
  <c r="F576" i="3"/>
  <c r="E576" i="3"/>
  <c r="D576" i="3"/>
  <c r="F575" i="3"/>
  <c r="E575" i="3"/>
  <c r="D575" i="3"/>
  <c r="F574" i="3"/>
  <c r="E574" i="3"/>
  <c r="D574" i="3"/>
  <c r="F573" i="3"/>
  <c r="E573" i="3"/>
  <c r="D573" i="3"/>
  <c r="F572" i="3"/>
  <c r="E572" i="3"/>
  <c r="D572" i="3"/>
  <c r="F571" i="3"/>
  <c r="E571" i="3"/>
  <c r="D571" i="3"/>
  <c r="F570" i="3"/>
  <c r="E570" i="3"/>
  <c r="D570" i="3"/>
  <c r="F569" i="3"/>
  <c r="E569" i="3"/>
  <c r="D569" i="3"/>
  <c r="F568" i="3"/>
  <c r="E568" i="3"/>
  <c r="D568" i="3"/>
  <c r="F567" i="3"/>
  <c r="E567" i="3"/>
  <c r="D567" i="3"/>
  <c r="F566" i="3"/>
  <c r="E566" i="3"/>
  <c r="D566" i="3"/>
  <c r="F565" i="3"/>
  <c r="E565" i="3"/>
  <c r="D565" i="3"/>
  <c r="F564" i="3"/>
  <c r="E564" i="3"/>
  <c r="D564" i="3"/>
  <c r="F563" i="3"/>
  <c r="E563" i="3"/>
  <c r="D563" i="3"/>
  <c r="F562" i="3"/>
  <c r="E562" i="3"/>
  <c r="D562" i="3"/>
  <c r="F561" i="3"/>
  <c r="E561" i="3"/>
  <c r="D561" i="3"/>
  <c r="F560" i="3"/>
  <c r="E560" i="3"/>
  <c r="D560" i="3"/>
  <c r="F559" i="3"/>
  <c r="E559" i="3"/>
  <c r="D559" i="3"/>
  <c r="F558" i="3"/>
  <c r="E558" i="3"/>
  <c r="D558" i="3"/>
  <c r="F557" i="3"/>
  <c r="E557" i="3"/>
  <c r="D557" i="3"/>
  <c r="F556" i="3"/>
  <c r="E556" i="3"/>
  <c r="D556" i="3"/>
  <c r="F555" i="3"/>
  <c r="E555" i="3"/>
  <c r="D555" i="3"/>
  <c r="F554" i="3"/>
  <c r="E554" i="3"/>
  <c r="D554" i="3"/>
  <c r="F553" i="3"/>
  <c r="E553" i="3"/>
  <c r="D553" i="3"/>
  <c r="F552" i="3"/>
  <c r="E552" i="3"/>
  <c r="D552" i="3"/>
  <c r="F551" i="3"/>
  <c r="E551" i="3"/>
  <c r="D551" i="3"/>
  <c r="F550" i="3"/>
  <c r="E550" i="3"/>
  <c r="D550" i="3"/>
  <c r="F549" i="3"/>
  <c r="E549" i="3"/>
  <c r="D549" i="3"/>
  <c r="F548" i="3"/>
  <c r="E548" i="3"/>
  <c r="D548" i="3"/>
  <c r="F547" i="3"/>
  <c r="E547" i="3"/>
  <c r="D547" i="3"/>
  <c r="F546" i="3"/>
  <c r="E546" i="3"/>
  <c r="D546" i="3"/>
  <c r="F545" i="3"/>
  <c r="E545" i="3"/>
  <c r="D545" i="3"/>
  <c r="F544" i="3"/>
  <c r="E544" i="3"/>
  <c r="D544" i="3"/>
  <c r="F543" i="3"/>
  <c r="E543" i="3"/>
  <c r="D543" i="3"/>
  <c r="F542" i="3"/>
  <c r="E542" i="3"/>
  <c r="D542" i="3"/>
  <c r="F541" i="3"/>
  <c r="E541" i="3"/>
  <c r="D541" i="3"/>
  <c r="F540" i="3"/>
  <c r="E540" i="3"/>
  <c r="D540" i="3"/>
  <c r="F539" i="3"/>
  <c r="E539" i="3"/>
  <c r="D539" i="3"/>
  <c r="F538" i="3"/>
  <c r="E538" i="3"/>
  <c r="D538" i="3"/>
  <c r="F537" i="3"/>
  <c r="E537" i="3"/>
  <c r="D537" i="3"/>
  <c r="F536" i="3"/>
  <c r="E536" i="3"/>
  <c r="D536" i="3"/>
  <c r="F535" i="3"/>
  <c r="E535" i="3"/>
  <c r="D535" i="3"/>
  <c r="F534" i="3"/>
  <c r="E534" i="3"/>
  <c r="D534" i="3"/>
  <c r="F533" i="3"/>
  <c r="E533" i="3"/>
  <c r="D533" i="3"/>
  <c r="F532" i="3"/>
  <c r="E532" i="3"/>
  <c r="D532" i="3"/>
  <c r="F531" i="3"/>
  <c r="E531" i="3"/>
  <c r="D531" i="3"/>
  <c r="F530" i="3"/>
  <c r="E530" i="3"/>
  <c r="D530" i="3"/>
  <c r="F529" i="3"/>
  <c r="E529" i="3"/>
  <c r="D529" i="3"/>
  <c r="F528" i="3"/>
  <c r="E528" i="3"/>
  <c r="D528" i="3"/>
  <c r="F527" i="3"/>
  <c r="E527" i="3"/>
  <c r="D527" i="3"/>
  <c r="F526" i="3"/>
  <c r="E526" i="3"/>
  <c r="D526" i="3"/>
  <c r="F525" i="3"/>
  <c r="E525" i="3"/>
  <c r="D525" i="3"/>
  <c r="F524" i="3"/>
  <c r="E524" i="3"/>
  <c r="D524" i="3"/>
  <c r="F523" i="3"/>
  <c r="E523" i="3"/>
  <c r="D523" i="3"/>
  <c r="F522" i="3"/>
  <c r="E522" i="3"/>
  <c r="D522" i="3"/>
  <c r="F521" i="3"/>
  <c r="E521" i="3"/>
  <c r="D521" i="3"/>
  <c r="F520" i="3"/>
  <c r="E520" i="3"/>
  <c r="D520" i="3"/>
  <c r="F519" i="3"/>
  <c r="E519" i="3"/>
  <c r="D519" i="3"/>
  <c r="F518" i="3"/>
  <c r="E518" i="3"/>
  <c r="D518" i="3"/>
  <c r="F517" i="3"/>
  <c r="E517" i="3"/>
  <c r="D517" i="3"/>
  <c r="F516" i="3"/>
  <c r="E516" i="3"/>
  <c r="D516" i="3"/>
  <c r="F515" i="3"/>
  <c r="E515" i="3"/>
  <c r="D515" i="3"/>
  <c r="F514" i="3"/>
  <c r="E514" i="3"/>
  <c r="D514" i="3"/>
  <c r="F513" i="3"/>
  <c r="E513" i="3"/>
  <c r="D513" i="3"/>
  <c r="F512" i="3"/>
  <c r="E512" i="3"/>
  <c r="D512" i="3"/>
  <c r="F511" i="3"/>
  <c r="E511" i="3"/>
  <c r="D511" i="3"/>
  <c r="F510" i="3"/>
  <c r="E510" i="3"/>
  <c r="D510" i="3"/>
  <c r="F509" i="3"/>
  <c r="E509" i="3"/>
  <c r="D509" i="3"/>
  <c r="F508" i="3"/>
  <c r="E508" i="3"/>
  <c r="D508" i="3"/>
  <c r="F507" i="3"/>
  <c r="E507" i="3"/>
  <c r="D507" i="3"/>
  <c r="F506" i="3"/>
  <c r="E506" i="3"/>
  <c r="D506" i="3"/>
  <c r="F505" i="3"/>
  <c r="E505" i="3"/>
  <c r="D505" i="3"/>
  <c r="F504" i="3"/>
  <c r="E504" i="3"/>
  <c r="D504" i="3"/>
  <c r="F503" i="3"/>
  <c r="E503" i="3"/>
  <c r="D503" i="3"/>
  <c r="F502" i="3"/>
  <c r="E502" i="3"/>
  <c r="D502" i="3"/>
  <c r="F501" i="3"/>
  <c r="E501" i="3"/>
  <c r="D501" i="3"/>
  <c r="F500" i="3"/>
  <c r="E500" i="3"/>
  <c r="D500" i="3"/>
  <c r="F499" i="3"/>
  <c r="E499" i="3"/>
  <c r="D499" i="3"/>
  <c r="F498" i="3"/>
  <c r="E498" i="3"/>
  <c r="D498" i="3"/>
  <c r="F497" i="3"/>
  <c r="E497" i="3"/>
  <c r="D497" i="3"/>
  <c r="F496" i="3"/>
  <c r="E496" i="3"/>
  <c r="D496" i="3"/>
  <c r="F495" i="3"/>
  <c r="E495" i="3"/>
  <c r="D495" i="3"/>
  <c r="F494" i="3"/>
  <c r="E494" i="3"/>
  <c r="D494" i="3"/>
  <c r="F493" i="3"/>
  <c r="E493" i="3"/>
  <c r="D493" i="3"/>
  <c r="F492" i="3"/>
  <c r="E492" i="3"/>
  <c r="D492" i="3"/>
  <c r="F491" i="3"/>
  <c r="E491" i="3"/>
  <c r="D491" i="3"/>
  <c r="F490" i="3"/>
  <c r="E490" i="3"/>
  <c r="D490" i="3"/>
  <c r="F489" i="3"/>
  <c r="E489" i="3"/>
  <c r="D489" i="3"/>
  <c r="F488" i="3"/>
  <c r="E488" i="3"/>
  <c r="D488" i="3"/>
  <c r="F487" i="3"/>
  <c r="E487" i="3"/>
  <c r="D487" i="3"/>
  <c r="F486" i="3"/>
  <c r="E486" i="3"/>
  <c r="D486" i="3"/>
  <c r="F485" i="3"/>
  <c r="E485" i="3"/>
  <c r="D485" i="3"/>
  <c r="F484" i="3"/>
  <c r="E484" i="3"/>
  <c r="D484" i="3"/>
  <c r="F483" i="3"/>
  <c r="E483" i="3"/>
  <c r="D483" i="3"/>
  <c r="F482" i="3"/>
  <c r="E482" i="3"/>
  <c r="D482" i="3"/>
  <c r="F481" i="3"/>
  <c r="E481" i="3"/>
  <c r="D481" i="3"/>
  <c r="F480" i="3"/>
  <c r="E480" i="3"/>
  <c r="D480" i="3"/>
  <c r="F479" i="3"/>
  <c r="E479" i="3"/>
  <c r="D479" i="3"/>
  <c r="F478" i="3"/>
  <c r="E478" i="3"/>
  <c r="D478" i="3"/>
  <c r="F477" i="3"/>
  <c r="E477" i="3"/>
  <c r="D477" i="3"/>
  <c r="F476" i="3"/>
  <c r="E476" i="3"/>
  <c r="D476" i="3"/>
  <c r="F475" i="3"/>
  <c r="E475" i="3"/>
  <c r="D475" i="3"/>
  <c r="F474" i="3"/>
  <c r="E474" i="3"/>
  <c r="D474" i="3"/>
  <c r="F473" i="3"/>
  <c r="E473" i="3"/>
  <c r="D473" i="3"/>
  <c r="F472" i="3"/>
  <c r="E472" i="3"/>
  <c r="D472" i="3"/>
  <c r="F471" i="3"/>
  <c r="E471" i="3"/>
  <c r="D471" i="3"/>
  <c r="F470" i="3"/>
  <c r="E470" i="3"/>
  <c r="D470" i="3"/>
  <c r="F469" i="3"/>
  <c r="E469" i="3"/>
  <c r="D469" i="3"/>
  <c r="F468" i="3"/>
  <c r="E468" i="3"/>
  <c r="D468" i="3"/>
  <c r="F467" i="3"/>
  <c r="E467" i="3"/>
  <c r="D467" i="3"/>
  <c r="F466" i="3"/>
  <c r="E466" i="3"/>
  <c r="D466" i="3"/>
  <c r="F465" i="3"/>
  <c r="E465" i="3"/>
  <c r="D465" i="3"/>
  <c r="F464" i="3"/>
  <c r="E464" i="3"/>
  <c r="D464" i="3"/>
  <c r="F463" i="3"/>
  <c r="E463" i="3"/>
  <c r="D463" i="3"/>
  <c r="F462" i="3"/>
  <c r="E462" i="3"/>
  <c r="D462" i="3"/>
  <c r="F461" i="3"/>
  <c r="E461" i="3"/>
  <c r="D461" i="3"/>
  <c r="F460" i="3"/>
  <c r="E460" i="3"/>
  <c r="D460" i="3"/>
  <c r="F459" i="3"/>
  <c r="E459" i="3"/>
  <c r="D459" i="3"/>
  <c r="F458" i="3"/>
  <c r="E458" i="3"/>
  <c r="D458" i="3"/>
  <c r="F457" i="3"/>
  <c r="E457" i="3"/>
  <c r="D457" i="3"/>
  <c r="F456" i="3"/>
  <c r="E456" i="3"/>
  <c r="D456" i="3"/>
  <c r="F455" i="3"/>
  <c r="E455" i="3"/>
  <c r="D455" i="3"/>
  <c r="F454" i="3"/>
  <c r="E454" i="3"/>
  <c r="D454" i="3"/>
  <c r="F453" i="3"/>
  <c r="E453" i="3"/>
  <c r="D453" i="3"/>
  <c r="F452" i="3"/>
  <c r="E452" i="3"/>
  <c r="D452" i="3"/>
  <c r="F451" i="3"/>
  <c r="E451" i="3"/>
  <c r="D451" i="3"/>
  <c r="F450" i="3"/>
  <c r="E450" i="3"/>
  <c r="D450" i="3"/>
  <c r="F449" i="3"/>
  <c r="E449" i="3"/>
  <c r="D449" i="3"/>
  <c r="F448" i="3"/>
  <c r="E448" i="3"/>
  <c r="D448" i="3"/>
  <c r="F447" i="3"/>
  <c r="E447" i="3"/>
  <c r="D447" i="3"/>
  <c r="F446" i="3"/>
  <c r="E446" i="3"/>
  <c r="D446" i="3"/>
  <c r="F445" i="3"/>
  <c r="E445" i="3"/>
  <c r="D445" i="3"/>
  <c r="F444" i="3"/>
  <c r="E444" i="3"/>
  <c r="D444" i="3"/>
  <c r="F443" i="3"/>
  <c r="E443" i="3"/>
  <c r="D443" i="3"/>
  <c r="F442" i="3"/>
  <c r="E442" i="3"/>
  <c r="D442" i="3"/>
  <c r="F441" i="3"/>
  <c r="E441" i="3"/>
  <c r="D441" i="3"/>
  <c r="F440" i="3"/>
  <c r="E440" i="3"/>
  <c r="D440" i="3"/>
  <c r="F439" i="3"/>
  <c r="E439" i="3"/>
  <c r="D439" i="3"/>
  <c r="F438" i="3"/>
  <c r="E438" i="3"/>
  <c r="D438" i="3"/>
  <c r="F437" i="3"/>
  <c r="E437" i="3"/>
  <c r="D437" i="3"/>
  <c r="F436" i="3"/>
  <c r="E436" i="3"/>
  <c r="D436" i="3"/>
  <c r="F435" i="3"/>
  <c r="E435" i="3"/>
  <c r="D435" i="3"/>
  <c r="F434" i="3"/>
  <c r="E434" i="3"/>
  <c r="D434" i="3"/>
  <c r="F433" i="3"/>
  <c r="E433" i="3"/>
  <c r="D433" i="3"/>
  <c r="F432" i="3"/>
  <c r="E432" i="3"/>
  <c r="D432" i="3"/>
  <c r="F431" i="3"/>
  <c r="E431" i="3"/>
  <c r="D431" i="3"/>
  <c r="F430" i="3"/>
  <c r="E430" i="3"/>
  <c r="D430" i="3"/>
  <c r="F429" i="3"/>
  <c r="E429" i="3"/>
  <c r="D429" i="3"/>
  <c r="F428" i="3"/>
  <c r="E428" i="3"/>
  <c r="D428" i="3"/>
  <c r="F427" i="3"/>
  <c r="E427" i="3"/>
  <c r="D427" i="3"/>
  <c r="F426" i="3"/>
  <c r="E426" i="3"/>
  <c r="D426" i="3"/>
  <c r="F425" i="3"/>
  <c r="E425" i="3"/>
  <c r="D425" i="3"/>
  <c r="F424" i="3"/>
  <c r="E424" i="3"/>
  <c r="D424" i="3"/>
  <c r="F423" i="3"/>
  <c r="E423" i="3"/>
  <c r="D423" i="3"/>
  <c r="F422" i="3"/>
  <c r="E422" i="3"/>
  <c r="D422" i="3"/>
  <c r="F421" i="3"/>
  <c r="E421" i="3"/>
  <c r="D421" i="3"/>
  <c r="F420" i="3"/>
  <c r="E420" i="3"/>
  <c r="D420" i="3"/>
  <c r="F419" i="3"/>
  <c r="E419" i="3"/>
  <c r="D419" i="3"/>
  <c r="F418" i="3"/>
  <c r="E418" i="3"/>
  <c r="D418" i="3"/>
  <c r="F417" i="3"/>
  <c r="E417" i="3"/>
  <c r="D417" i="3"/>
  <c r="F416" i="3"/>
  <c r="E416" i="3"/>
  <c r="D416" i="3"/>
  <c r="F415" i="3"/>
  <c r="E415" i="3"/>
  <c r="D415" i="3"/>
  <c r="F414" i="3"/>
  <c r="E414" i="3"/>
  <c r="D414" i="3"/>
  <c r="F413" i="3"/>
  <c r="E413" i="3"/>
  <c r="D413" i="3"/>
  <c r="F412" i="3"/>
  <c r="E412" i="3"/>
  <c r="D412" i="3"/>
  <c r="F411" i="3"/>
  <c r="E411" i="3"/>
  <c r="D411" i="3"/>
  <c r="F410" i="3"/>
  <c r="E410" i="3"/>
  <c r="D410" i="3"/>
  <c r="F409" i="3"/>
  <c r="E409" i="3"/>
  <c r="D409" i="3"/>
  <c r="F408" i="3"/>
  <c r="E408" i="3"/>
  <c r="D408" i="3"/>
  <c r="F407" i="3"/>
  <c r="E407" i="3"/>
  <c r="D407" i="3"/>
  <c r="F406" i="3"/>
  <c r="E406" i="3"/>
  <c r="D406" i="3"/>
  <c r="F405" i="3"/>
  <c r="E405" i="3"/>
  <c r="D405" i="3"/>
  <c r="F404" i="3"/>
  <c r="E404" i="3"/>
  <c r="D404" i="3"/>
  <c r="F403" i="3"/>
  <c r="E403" i="3"/>
  <c r="D403" i="3"/>
  <c r="F402" i="3"/>
  <c r="E402" i="3"/>
  <c r="D402" i="3"/>
  <c r="F401" i="3"/>
  <c r="E401" i="3"/>
  <c r="D401" i="3"/>
  <c r="F400" i="3"/>
  <c r="E400" i="3"/>
  <c r="D400" i="3"/>
  <c r="F399" i="3"/>
  <c r="E399" i="3"/>
  <c r="D399" i="3"/>
  <c r="F398" i="3"/>
  <c r="E398" i="3"/>
  <c r="D398" i="3"/>
  <c r="F397" i="3"/>
  <c r="E397" i="3"/>
  <c r="D397" i="3"/>
  <c r="F396" i="3"/>
  <c r="E396" i="3"/>
  <c r="D396" i="3"/>
  <c r="F395" i="3"/>
  <c r="E395" i="3"/>
  <c r="D395" i="3"/>
  <c r="F394" i="3"/>
  <c r="E394" i="3"/>
  <c r="D394" i="3"/>
  <c r="F393" i="3"/>
  <c r="E393" i="3"/>
  <c r="D393" i="3"/>
  <c r="F392" i="3"/>
  <c r="E392" i="3"/>
  <c r="D392" i="3"/>
  <c r="F391" i="3"/>
  <c r="E391" i="3"/>
  <c r="D391" i="3"/>
  <c r="F390" i="3"/>
  <c r="E390" i="3"/>
  <c r="D390" i="3"/>
  <c r="F389" i="3"/>
  <c r="E389" i="3"/>
  <c r="D389" i="3"/>
  <c r="F388" i="3"/>
  <c r="E388" i="3"/>
  <c r="D388" i="3"/>
  <c r="F387" i="3"/>
  <c r="E387" i="3"/>
  <c r="D387" i="3"/>
  <c r="F386" i="3"/>
  <c r="E386" i="3"/>
  <c r="D386" i="3"/>
  <c r="F385" i="3"/>
  <c r="E385" i="3"/>
  <c r="D385" i="3"/>
  <c r="F384" i="3"/>
  <c r="E384" i="3"/>
  <c r="D384" i="3"/>
  <c r="F383" i="3"/>
  <c r="E383" i="3"/>
  <c r="D383" i="3"/>
  <c r="F382" i="3"/>
  <c r="E382" i="3"/>
  <c r="D382" i="3"/>
  <c r="F381" i="3"/>
  <c r="E381" i="3"/>
  <c r="D381" i="3"/>
  <c r="F380" i="3"/>
  <c r="E380" i="3"/>
  <c r="D380" i="3"/>
  <c r="F379" i="3"/>
  <c r="E379" i="3"/>
  <c r="D379" i="3"/>
  <c r="F378" i="3"/>
  <c r="E378" i="3"/>
  <c r="D378" i="3"/>
  <c r="F377" i="3"/>
  <c r="E377" i="3"/>
  <c r="D377" i="3"/>
  <c r="F376" i="3"/>
  <c r="E376" i="3"/>
  <c r="D376" i="3"/>
  <c r="F375" i="3"/>
  <c r="E375" i="3"/>
  <c r="D375" i="3"/>
  <c r="F374" i="3"/>
  <c r="E374" i="3"/>
  <c r="D374" i="3"/>
  <c r="F373" i="3"/>
  <c r="E373" i="3"/>
  <c r="D373" i="3"/>
  <c r="F372" i="3"/>
  <c r="E372" i="3"/>
  <c r="D372" i="3"/>
  <c r="F371" i="3"/>
  <c r="E371" i="3"/>
  <c r="D371" i="3"/>
  <c r="F370" i="3"/>
  <c r="E370" i="3"/>
  <c r="D370" i="3"/>
  <c r="F369" i="3"/>
  <c r="E369" i="3"/>
  <c r="D369" i="3"/>
  <c r="F368" i="3"/>
  <c r="E368" i="3"/>
  <c r="D368" i="3"/>
  <c r="F367" i="3"/>
  <c r="E367" i="3"/>
  <c r="D367" i="3"/>
  <c r="F366" i="3"/>
  <c r="E366" i="3"/>
  <c r="D366" i="3"/>
  <c r="F365" i="3"/>
  <c r="E365" i="3"/>
  <c r="D365" i="3"/>
  <c r="F364" i="3"/>
  <c r="E364" i="3"/>
  <c r="D364" i="3"/>
  <c r="F363" i="3"/>
  <c r="E363" i="3"/>
  <c r="D363" i="3"/>
  <c r="F362" i="3"/>
  <c r="E362" i="3"/>
  <c r="D362" i="3"/>
  <c r="F361" i="3"/>
  <c r="E361" i="3"/>
  <c r="D361" i="3"/>
  <c r="F360" i="3"/>
  <c r="E360" i="3"/>
  <c r="D360" i="3"/>
  <c r="F359" i="3"/>
  <c r="E359" i="3"/>
  <c r="D359" i="3"/>
  <c r="F358" i="3"/>
  <c r="E358" i="3"/>
  <c r="D358" i="3"/>
  <c r="F357" i="3"/>
  <c r="E357" i="3"/>
  <c r="D357" i="3"/>
  <c r="F356" i="3"/>
  <c r="E356" i="3"/>
  <c r="D356" i="3"/>
  <c r="F355" i="3"/>
  <c r="E355" i="3"/>
  <c r="D355" i="3"/>
  <c r="F354" i="3"/>
  <c r="E354" i="3"/>
  <c r="D354" i="3"/>
  <c r="F353" i="3"/>
  <c r="E353" i="3"/>
  <c r="D353" i="3"/>
  <c r="F352" i="3"/>
  <c r="E352" i="3"/>
  <c r="D352" i="3"/>
  <c r="F351" i="3"/>
  <c r="E351" i="3"/>
  <c r="D351" i="3"/>
  <c r="F350" i="3"/>
  <c r="E350" i="3"/>
  <c r="D350" i="3"/>
  <c r="F349" i="3"/>
  <c r="E349" i="3"/>
  <c r="D349" i="3"/>
  <c r="F348" i="3"/>
  <c r="E348" i="3"/>
  <c r="D348" i="3"/>
  <c r="F347" i="3"/>
  <c r="E347" i="3"/>
  <c r="D347" i="3"/>
  <c r="F346" i="3"/>
  <c r="E346" i="3"/>
  <c r="D346" i="3"/>
  <c r="F345" i="3"/>
  <c r="E345" i="3"/>
  <c r="D345" i="3"/>
  <c r="F344" i="3"/>
  <c r="E344" i="3"/>
  <c r="D344" i="3"/>
  <c r="F343" i="3"/>
  <c r="E343" i="3"/>
  <c r="D343" i="3"/>
  <c r="F342" i="3"/>
  <c r="E342" i="3"/>
  <c r="D342" i="3"/>
  <c r="F341" i="3"/>
  <c r="E341" i="3"/>
  <c r="D341" i="3"/>
  <c r="F340" i="3"/>
  <c r="E340" i="3"/>
  <c r="D340" i="3"/>
  <c r="F339" i="3"/>
  <c r="E339" i="3"/>
  <c r="D339" i="3"/>
  <c r="F338" i="3"/>
  <c r="E338" i="3"/>
  <c r="D338" i="3"/>
  <c r="F337" i="3"/>
  <c r="E337" i="3"/>
  <c r="D337" i="3"/>
  <c r="F336" i="3"/>
  <c r="E336" i="3"/>
  <c r="D336" i="3"/>
  <c r="F335" i="3"/>
  <c r="E335" i="3"/>
  <c r="D335" i="3"/>
  <c r="F334" i="3"/>
  <c r="E334" i="3"/>
  <c r="D334" i="3"/>
  <c r="F333" i="3"/>
  <c r="E333" i="3"/>
  <c r="D333" i="3"/>
  <c r="F332" i="3"/>
  <c r="E332" i="3"/>
  <c r="D332" i="3"/>
  <c r="F331" i="3"/>
  <c r="E331" i="3"/>
  <c r="D331" i="3"/>
  <c r="F330" i="3"/>
  <c r="E330" i="3"/>
  <c r="D330" i="3"/>
  <c r="F329" i="3"/>
  <c r="E329" i="3"/>
  <c r="D329" i="3"/>
  <c r="F328" i="3"/>
  <c r="E328" i="3"/>
  <c r="D328" i="3"/>
  <c r="F327" i="3"/>
  <c r="E327" i="3"/>
  <c r="D327" i="3"/>
  <c r="F326" i="3"/>
  <c r="E326" i="3"/>
  <c r="D326" i="3"/>
  <c r="F325" i="3"/>
  <c r="E325" i="3"/>
  <c r="D325" i="3"/>
  <c r="F324" i="3"/>
  <c r="E324" i="3"/>
  <c r="D324" i="3"/>
  <c r="F323" i="3"/>
  <c r="E323" i="3"/>
  <c r="D323" i="3"/>
  <c r="F322" i="3"/>
  <c r="E322" i="3"/>
  <c r="D322" i="3"/>
  <c r="F321" i="3"/>
  <c r="E321" i="3"/>
  <c r="D321" i="3"/>
  <c r="F320" i="3"/>
  <c r="E320" i="3"/>
  <c r="D320" i="3"/>
  <c r="F319" i="3"/>
  <c r="E319" i="3"/>
  <c r="D319" i="3"/>
  <c r="F318" i="3"/>
  <c r="E318" i="3"/>
  <c r="D318" i="3"/>
  <c r="F317" i="3"/>
  <c r="E317" i="3"/>
  <c r="D317" i="3"/>
  <c r="F316" i="3"/>
  <c r="E316" i="3"/>
  <c r="D316" i="3"/>
  <c r="F315" i="3"/>
  <c r="E315" i="3"/>
  <c r="D315" i="3"/>
  <c r="F314" i="3"/>
  <c r="E314" i="3"/>
  <c r="D314" i="3"/>
  <c r="F313" i="3"/>
  <c r="E313" i="3"/>
  <c r="D313" i="3"/>
  <c r="F312" i="3"/>
  <c r="E312" i="3"/>
  <c r="D312" i="3"/>
  <c r="F311" i="3"/>
  <c r="E311" i="3"/>
  <c r="D311" i="3"/>
  <c r="F310" i="3"/>
  <c r="E310" i="3"/>
  <c r="D310" i="3"/>
  <c r="F309" i="3"/>
  <c r="E309" i="3"/>
  <c r="D309" i="3"/>
  <c r="F308" i="3"/>
  <c r="E308" i="3"/>
  <c r="D308" i="3"/>
  <c r="F307" i="3"/>
  <c r="E307" i="3"/>
  <c r="D307" i="3"/>
  <c r="F306" i="3"/>
  <c r="E306" i="3"/>
  <c r="D306" i="3"/>
  <c r="F305" i="3"/>
  <c r="E305" i="3"/>
  <c r="D305" i="3"/>
  <c r="F304" i="3"/>
  <c r="E304" i="3"/>
  <c r="D304" i="3"/>
  <c r="F303" i="3"/>
  <c r="E303" i="3"/>
  <c r="D303" i="3"/>
  <c r="F302" i="3"/>
  <c r="E302" i="3"/>
  <c r="D302" i="3"/>
  <c r="F301" i="3"/>
  <c r="E301" i="3"/>
  <c r="D301" i="3"/>
  <c r="F300" i="3"/>
  <c r="E300" i="3"/>
  <c r="D300" i="3"/>
  <c r="F299" i="3"/>
  <c r="E299" i="3"/>
  <c r="D299" i="3"/>
  <c r="F298" i="3"/>
  <c r="E298" i="3"/>
  <c r="D298" i="3"/>
  <c r="F297" i="3"/>
  <c r="E297" i="3"/>
  <c r="D297" i="3"/>
  <c r="F296" i="3"/>
  <c r="E296" i="3"/>
  <c r="D296" i="3"/>
  <c r="F295" i="3"/>
  <c r="E295" i="3"/>
  <c r="D295" i="3"/>
  <c r="F294" i="3"/>
  <c r="E294" i="3"/>
  <c r="D294" i="3"/>
  <c r="F293" i="3"/>
  <c r="E293" i="3"/>
  <c r="D293" i="3"/>
  <c r="F292" i="3"/>
  <c r="E292" i="3"/>
  <c r="D292" i="3"/>
  <c r="F291" i="3"/>
  <c r="E291" i="3"/>
  <c r="D291" i="3"/>
  <c r="F290" i="3"/>
  <c r="E290" i="3"/>
  <c r="D290" i="3"/>
  <c r="F289" i="3"/>
  <c r="E289" i="3"/>
  <c r="D289" i="3"/>
  <c r="F288" i="3"/>
  <c r="E288" i="3"/>
  <c r="D288" i="3"/>
  <c r="F287" i="3"/>
  <c r="E287" i="3"/>
  <c r="D287" i="3"/>
  <c r="F286" i="3"/>
  <c r="E286" i="3"/>
  <c r="D286" i="3"/>
  <c r="F285" i="3"/>
  <c r="E285" i="3"/>
  <c r="D285" i="3"/>
  <c r="F284" i="3"/>
  <c r="E284" i="3"/>
  <c r="D284" i="3"/>
  <c r="F283" i="3"/>
  <c r="E283" i="3"/>
  <c r="D283" i="3"/>
  <c r="F282" i="3"/>
  <c r="E282" i="3"/>
  <c r="D282" i="3"/>
  <c r="F281" i="3"/>
  <c r="E281" i="3"/>
  <c r="D281" i="3"/>
  <c r="F280" i="3"/>
  <c r="E280" i="3"/>
  <c r="D280" i="3"/>
  <c r="F279" i="3"/>
  <c r="E279" i="3"/>
  <c r="D279" i="3"/>
  <c r="F278" i="3"/>
  <c r="E278" i="3"/>
  <c r="D278" i="3"/>
  <c r="F277" i="3"/>
  <c r="E277" i="3"/>
  <c r="D277" i="3"/>
  <c r="F276" i="3"/>
  <c r="E276" i="3"/>
  <c r="D276" i="3"/>
  <c r="F275" i="3"/>
  <c r="E275" i="3"/>
  <c r="D275" i="3"/>
  <c r="F274" i="3"/>
  <c r="E274" i="3"/>
  <c r="D274" i="3"/>
  <c r="F273" i="3"/>
  <c r="E273" i="3"/>
  <c r="D273" i="3"/>
  <c r="F272" i="3"/>
  <c r="E272" i="3"/>
  <c r="D272" i="3"/>
  <c r="F271" i="3"/>
  <c r="E271" i="3"/>
  <c r="D271" i="3"/>
  <c r="F270" i="3"/>
  <c r="E270" i="3"/>
  <c r="D270" i="3"/>
  <c r="F269" i="3"/>
  <c r="E269" i="3"/>
  <c r="D269" i="3"/>
  <c r="F268" i="3"/>
  <c r="E268" i="3"/>
  <c r="D268" i="3"/>
  <c r="F267" i="3"/>
  <c r="E267" i="3"/>
  <c r="D267" i="3"/>
  <c r="F266" i="3"/>
  <c r="E266" i="3"/>
  <c r="D266" i="3"/>
  <c r="F265" i="3"/>
  <c r="E265" i="3"/>
  <c r="D265" i="3"/>
  <c r="F264" i="3"/>
  <c r="E264" i="3"/>
  <c r="D264" i="3"/>
  <c r="F263" i="3"/>
  <c r="E263" i="3"/>
  <c r="D263" i="3"/>
  <c r="F262" i="3"/>
  <c r="E262" i="3"/>
  <c r="D262" i="3"/>
  <c r="F261" i="3"/>
  <c r="E261" i="3"/>
  <c r="D261" i="3"/>
  <c r="F260" i="3"/>
  <c r="E260" i="3"/>
  <c r="D260" i="3"/>
  <c r="F259" i="3"/>
  <c r="E259" i="3"/>
  <c r="D259" i="3"/>
  <c r="F258" i="3"/>
  <c r="E258" i="3"/>
  <c r="D258" i="3"/>
  <c r="F257" i="3"/>
  <c r="E257" i="3"/>
  <c r="D257" i="3"/>
  <c r="F256" i="3"/>
  <c r="E256" i="3"/>
  <c r="D256" i="3"/>
  <c r="F255" i="3"/>
  <c r="E255" i="3"/>
  <c r="D255" i="3"/>
  <c r="F254" i="3"/>
  <c r="E254" i="3"/>
  <c r="D254" i="3"/>
  <c r="F253" i="3"/>
  <c r="E253" i="3"/>
  <c r="D253" i="3"/>
  <c r="F252" i="3"/>
  <c r="E252" i="3"/>
  <c r="D252" i="3"/>
  <c r="F251" i="3"/>
  <c r="E251" i="3"/>
  <c r="D251" i="3"/>
  <c r="F250" i="3"/>
  <c r="E250" i="3"/>
  <c r="D250" i="3"/>
  <c r="F249" i="3"/>
  <c r="E249" i="3"/>
  <c r="D249" i="3"/>
  <c r="F248" i="3"/>
  <c r="E248" i="3"/>
  <c r="D248" i="3"/>
  <c r="F247" i="3"/>
  <c r="E247" i="3"/>
  <c r="D247" i="3"/>
  <c r="F246" i="3"/>
  <c r="E246" i="3"/>
  <c r="D246" i="3"/>
  <c r="F245" i="3"/>
  <c r="E245" i="3"/>
  <c r="D245" i="3"/>
  <c r="F244" i="3"/>
  <c r="E244" i="3"/>
  <c r="D244" i="3"/>
  <c r="F243" i="3"/>
  <c r="E243" i="3"/>
  <c r="D243" i="3"/>
  <c r="F242" i="3"/>
  <c r="E242" i="3"/>
  <c r="D242" i="3"/>
  <c r="F241" i="3"/>
  <c r="E241" i="3"/>
  <c r="D241" i="3"/>
  <c r="F240" i="3"/>
  <c r="E240" i="3"/>
  <c r="D240" i="3"/>
  <c r="F239" i="3"/>
  <c r="E239" i="3"/>
  <c r="D239" i="3"/>
  <c r="F238" i="3"/>
  <c r="E238" i="3"/>
  <c r="D238" i="3"/>
  <c r="F237" i="3"/>
  <c r="E237" i="3"/>
  <c r="D237" i="3"/>
  <c r="F236" i="3"/>
  <c r="E236" i="3"/>
  <c r="D236" i="3"/>
  <c r="F235" i="3"/>
  <c r="E235" i="3"/>
  <c r="D235" i="3"/>
  <c r="F234" i="3"/>
  <c r="E234" i="3"/>
  <c r="D234" i="3"/>
  <c r="F233" i="3"/>
  <c r="E233" i="3"/>
  <c r="D233" i="3"/>
  <c r="F232" i="3"/>
  <c r="E232" i="3"/>
  <c r="D232" i="3"/>
  <c r="F231" i="3"/>
  <c r="E231" i="3"/>
  <c r="D231" i="3"/>
  <c r="F230" i="3"/>
  <c r="E230" i="3"/>
  <c r="D230" i="3"/>
  <c r="F229" i="3"/>
  <c r="E229" i="3"/>
  <c r="D229" i="3"/>
  <c r="F228" i="3"/>
  <c r="E228" i="3"/>
  <c r="D228" i="3"/>
  <c r="F227" i="3"/>
  <c r="E227" i="3"/>
  <c r="D227" i="3"/>
  <c r="F226" i="3"/>
  <c r="E226" i="3"/>
  <c r="D226" i="3"/>
  <c r="F225" i="3"/>
  <c r="E225" i="3"/>
  <c r="D225" i="3"/>
  <c r="F224" i="3"/>
  <c r="E224" i="3"/>
  <c r="D224" i="3"/>
  <c r="F223" i="3"/>
  <c r="E223" i="3"/>
  <c r="D223" i="3"/>
  <c r="F222" i="3"/>
  <c r="E222" i="3"/>
  <c r="D222" i="3"/>
  <c r="F221" i="3"/>
  <c r="E221" i="3"/>
  <c r="D221" i="3"/>
  <c r="F220" i="3"/>
  <c r="E220" i="3"/>
  <c r="D220" i="3"/>
  <c r="F219" i="3"/>
  <c r="E219" i="3"/>
  <c r="D219" i="3"/>
  <c r="F218" i="3"/>
  <c r="E218" i="3"/>
  <c r="D218" i="3"/>
  <c r="F217" i="3"/>
  <c r="E217" i="3"/>
  <c r="D217" i="3"/>
  <c r="F216" i="3"/>
  <c r="E216" i="3"/>
  <c r="D216" i="3"/>
  <c r="F215" i="3"/>
  <c r="E215" i="3"/>
  <c r="D215" i="3"/>
  <c r="F214" i="3"/>
  <c r="E214" i="3"/>
  <c r="D214" i="3"/>
  <c r="F213" i="3"/>
  <c r="E213" i="3"/>
  <c r="D213" i="3"/>
  <c r="F212" i="3"/>
  <c r="E212" i="3"/>
  <c r="D212" i="3"/>
  <c r="F211" i="3"/>
  <c r="E211" i="3"/>
  <c r="D211" i="3"/>
  <c r="F210" i="3"/>
  <c r="E210" i="3"/>
  <c r="D210" i="3"/>
  <c r="F209" i="3"/>
  <c r="E209" i="3"/>
  <c r="D209" i="3"/>
  <c r="F208" i="3"/>
  <c r="E208" i="3"/>
  <c r="D208" i="3"/>
  <c r="F207" i="3"/>
  <c r="E207" i="3"/>
  <c r="D207" i="3"/>
  <c r="F206" i="3"/>
  <c r="E206" i="3"/>
  <c r="D206" i="3"/>
  <c r="F205" i="3"/>
  <c r="E205" i="3"/>
  <c r="D205" i="3"/>
  <c r="F204" i="3"/>
  <c r="E204" i="3"/>
  <c r="D204" i="3"/>
  <c r="F203" i="3"/>
  <c r="E203" i="3"/>
  <c r="D203" i="3"/>
  <c r="F202" i="3"/>
  <c r="E202" i="3"/>
  <c r="D202" i="3"/>
  <c r="F201" i="3"/>
  <c r="E201" i="3"/>
  <c r="D201" i="3"/>
  <c r="F200" i="3"/>
  <c r="E200" i="3"/>
  <c r="D200" i="3"/>
  <c r="F199" i="3"/>
  <c r="E199" i="3"/>
  <c r="D199" i="3"/>
  <c r="F198" i="3"/>
  <c r="E198" i="3"/>
  <c r="D198" i="3"/>
  <c r="F197" i="3"/>
  <c r="E197" i="3"/>
  <c r="D197" i="3"/>
  <c r="F196" i="3"/>
  <c r="E196" i="3"/>
  <c r="D196" i="3"/>
  <c r="F195" i="3"/>
  <c r="E195" i="3"/>
  <c r="D195" i="3"/>
  <c r="F194" i="3"/>
  <c r="E194" i="3"/>
  <c r="D194" i="3"/>
  <c r="F193" i="3"/>
  <c r="E193" i="3"/>
  <c r="D193" i="3"/>
  <c r="F192" i="3"/>
  <c r="E192" i="3"/>
  <c r="D192" i="3"/>
  <c r="F191" i="3"/>
  <c r="E191" i="3"/>
  <c r="D191" i="3"/>
  <c r="F190" i="3"/>
  <c r="E190" i="3"/>
  <c r="D190" i="3"/>
  <c r="F189" i="3"/>
  <c r="E189" i="3"/>
  <c r="D189" i="3"/>
  <c r="F188" i="3"/>
  <c r="E188" i="3"/>
  <c r="D188" i="3"/>
  <c r="F187" i="3"/>
  <c r="E187" i="3"/>
  <c r="D187" i="3"/>
  <c r="F186" i="3"/>
  <c r="E186" i="3"/>
  <c r="D186" i="3"/>
  <c r="F185" i="3"/>
  <c r="E185" i="3"/>
  <c r="D185" i="3"/>
  <c r="F184" i="3"/>
  <c r="E184" i="3"/>
  <c r="D184" i="3"/>
  <c r="F183" i="3"/>
  <c r="E183" i="3"/>
  <c r="D183" i="3"/>
  <c r="F182" i="3"/>
  <c r="E182" i="3"/>
  <c r="D182" i="3"/>
  <c r="F181" i="3"/>
  <c r="E181" i="3"/>
  <c r="D181" i="3"/>
  <c r="F180" i="3"/>
  <c r="E180" i="3"/>
  <c r="D180" i="3"/>
  <c r="F179" i="3"/>
  <c r="E179" i="3"/>
  <c r="D179" i="3"/>
  <c r="F178" i="3"/>
  <c r="E178" i="3"/>
  <c r="D178" i="3"/>
  <c r="F177" i="3"/>
  <c r="E177" i="3"/>
  <c r="D177" i="3"/>
  <c r="F176" i="3"/>
  <c r="E176" i="3"/>
  <c r="D176" i="3"/>
  <c r="F175" i="3"/>
  <c r="E175" i="3"/>
  <c r="D175" i="3"/>
  <c r="F174" i="3"/>
  <c r="E174" i="3"/>
  <c r="D174" i="3"/>
  <c r="F173" i="3"/>
  <c r="E173" i="3"/>
  <c r="D173" i="3"/>
  <c r="F172" i="3"/>
  <c r="E172" i="3"/>
  <c r="D172" i="3"/>
  <c r="F171" i="3"/>
  <c r="E171" i="3"/>
  <c r="D171" i="3"/>
  <c r="F170" i="3"/>
  <c r="E170" i="3"/>
  <c r="D170" i="3"/>
  <c r="F169" i="3"/>
  <c r="E169" i="3"/>
  <c r="D169" i="3"/>
  <c r="F168" i="3"/>
  <c r="E168" i="3"/>
  <c r="D168" i="3"/>
  <c r="F167" i="3"/>
  <c r="E167" i="3"/>
  <c r="D167" i="3"/>
  <c r="F166" i="3"/>
  <c r="E166" i="3"/>
  <c r="D166" i="3"/>
  <c r="F165" i="3"/>
  <c r="E165" i="3"/>
  <c r="D165" i="3"/>
  <c r="F164" i="3"/>
  <c r="E164" i="3"/>
  <c r="D164" i="3"/>
  <c r="F163" i="3"/>
  <c r="E163" i="3"/>
  <c r="D163" i="3"/>
  <c r="F162" i="3"/>
  <c r="E162" i="3"/>
  <c r="D162" i="3"/>
  <c r="F161" i="3"/>
  <c r="E161" i="3"/>
  <c r="D161" i="3"/>
  <c r="F160" i="3"/>
  <c r="E160" i="3"/>
  <c r="D160" i="3"/>
  <c r="F159" i="3"/>
  <c r="E159" i="3"/>
  <c r="D159" i="3"/>
  <c r="F158" i="3"/>
  <c r="E158" i="3"/>
  <c r="D158" i="3"/>
  <c r="F157" i="3"/>
  <c r="E157" i="3"/>
  <c r="D157" i="3"/>
  <c r="F156" i="3"/>
  <c r="E156" i="3"/>
  <c r="D156" i="3"/>
  <c r="F155" i="3"/>
  <c r="E155" i="3"/>
  <c r="D155" i="3"/>
  <c r="F154" i="3"/>
  <c r="E154" i="3"/>
  <c r="D154" i="3"/>
  <c r="F153" i="3"/>
  <c r="E153" i="3"/>
  <c r="D153" i="3"/>
  <c r="F152" i="3"/>
  <c r="E152" i="3"/>
  <c r="D152" i="3"/>
  <c r="F151" i="3"/>
  <c r="E151" i="3"/>
  <c r="D151" i="3"/>
  <c r="F150" i="3"/>
  <c r="E150" i="3"/>
  <c r="D150" i="3"/>
  <c r="F149" i="3"/>
  <c r="E149" i="3"/>
  <c r="D149" i="3"/>
  <c r="F148" i="3"/>
  <c r="E148" i="3"/>
  <c r="D148" i="3"/>
  <c r="F147" i="3"/>
  <c r="E147" i="3"/>
  <c r="D147" i="3"/>
  <c r="F146" i="3"/>
  <c r="E146" i="3"/>
  <c r="D146" i="3"/>
  <c r="F145" i="3"/>
  <c r="E145" i="3"/>
  <c r="D145" i="3"/>
  <c r="F144" i="3"/>
  <c r="E144" i="3"/>
  <c r="D144" i="3"/>
  <c r="F143" i="3"/>
  <c r="E143" i="3"/>
  <c r="D143" i="3"/>
  <c r="F142" i="3"/>
  <c r="E142" i="3"/>
  <c r="D142" i="3"/>
  <c r="F141" i="3"/>
  <c r="E141" i="3"/>
  <c r="D141" i="3"/>
  <c r="F140" i="3"/>
  <c r="E140" i="3"/>
  <c r="D140" i="3"/>
  <c r="F139" i="3"/>
  <c r="E139" i="3"/>
  <c r="D139" i="3"/>
  <c r="F138" i="3"/>
  <c r="E138" i="3"/>
  <c r="D138" i="3"/>
  <c r="F137" i="3"/>
  <c r="E137" i="3"/>
  <c r="D137" i="3"/>
  <c r="F136" i="3"/>
  <c r="E136" i="3"/>
  <c r="D136" i="3"/>
  <c r="F135" i="3"/>
  <c r="E135" i="3"/>
  <c r="D135" i="3"/>
  <c r="F134" i="3"/>
  <c r="E134" i="3"/>
  <c r="D134" i="3"/>
  <c r="F133" i="3"/>
  <c r="E133" i="3"/>
  <c r="D133" i="3"/>
  <c r="F132" i="3"/>
  <c r="E132" i="3"/>
  <c r="D132" i="3"/>
  <c r="F131" i="3"/>
  <c r="E131" i="3"/>
  <c r="D131" i="3"/>
  <c r="F130" i="3"/>
  <c r="E130" i="3"/>
  <c r="D130" i="3"/>
  <c r="F129" i="3"/>
  <c r="E129" i="3"/>
  <c r="D129" i="3"/>
  <c r="F128" i="3"/>
  <c r="E128" i="3"/>
  <c r="D128" i="3"/>
  <c r="F127" i="3"/>
  <c r="E127" i="3"/>
  <c r="D127" i="3"/>
  <c r="F126" i="3"/>
  <c r="E126" i="3"/>
  <c r="D126" i="3"/>
  <c r="F125" i="3"/>
  <c r="E125" i="3"/>
  <c r="D125" i="3"/>
  <c r="F124" i="3"/>
  <c r="E124" i="3"/>
  <c r="D124" i="3"/>
  <c r="F123" i="3"/>
  <c r="E123" i="3"/>
  <c r="D123" i="3"/>
  <c r="F122" i="3"/>
  <c r="E122" i="3"/>
  <c r="D122" i="3"/>
  <c r="F121" i="3"/>
  <c r="E121" i="3"/>
  <c r="D121" i="3"/>
  <c r="F120" i="3"/>
  <c r="E120" i="3"/>
  <c r="D120" i="3"/>
  <c r="F119" i="3"/>
  <c r="E119" i="3"/>
  <c r="D119" i="3"/>
  <c r="F118" i="3"/>
  <c r="E118" i="3"/>
  <c r="D118" i="3"/>
  <c r="F117" i="3"/>
  <c r="E117" i="3"/>
  <c r="D117" i="3"/>
  <c r="F116" i="3"/>
  <c r="E116" i="3"/>
  <c r="D116" i="3"/>
  <c r="F115" i="3"/>
  <c r="E115" i="3"/>
  <c r="D115" i="3"/>
  <c r="F114" i="3"/>
  <c r="E114" i="3"/>
  <c r="D114" i="3"/>
  <c r="F113" i="3"/>
  <c r="E113" i="3"/>
  <c r="D113" i="3"/>
  <c r="F112" i="3"/>
  <c r="E112" i="3"/>
  <c r="D112" i="3"/>
  <c r="F111" i="3"/>
  <c r="E111" i="3"/>
  <c r="D111" i="3"/>
  <c r="F110" i="3"/>
  <c r="E110" i="3"/>
  <c r="D110" i="3"/>
  <c r="F109" i="3"/>
  <c r="E109" i="3"/>
  <c r="D109" i="3"/>
  <c r="F108" i="3"/>
  <c r="E108" i="3"/>
  <c r="D108" i="3"/>
  <c r="F107" i="3"/>
  <c r="E107" i="3"/>
  <c r="D107" i="3"/>
  <c r="F106" i="3"/>
  <c r="E106" i="3"/>
  <c r="D106" i="3"/>
  <c r="F105" i="3"/>
  <c r="E105" i="3"/>
  <c r="D105" i="3"/>
  <c r="F104" i="3"/>
  <c r="E104" i="3"/>
  <c r="D104" i="3"/>
  <c r="F103" i="3"/>
  <c r="E103" i="3"/>
  <c r="D103" i="3"/>
  <c r="F102" i="3"/>
  <c r="E102" i="3"/>
  <c r="D102" i="3"/>
  <c r="F101" i="3"/>
  <c r="E101" i="3"/>
  <c r="D101" i="3"/>
  <c r="F100" i="3"/>
  <c r="E100" i="3"/>
  <c r="D100" i="3"/>
  <c r="F99" i="3"/>
  <c r="E99" i="3"/>
  <c r="D99" i="3"/>
  <c r="F98" i="3"/>
  <c r="E98" i="3"/>
  <c r="D98" i="3"/>
  <c r="F97" i="3"/>
  <c r="E97" i="3"/>
  <c r="D97" i="3"/>
  <c r="F96" i="3"/>
  <c r="E96" i="3"/>
  <c r="D96" i="3"/>
  <c r="F95" i="3"/>
  <c r="E95" i="3"/>
  <c r="D95" i="3"/>
  <c r="F94" i="3"/>
  <c r="E94" i="3"/>
  <c r="D94" i="3"/>
  <c r="F93" i="3"/>
  <c r="E93" i="3"/>
  <c r="D93" i="3"/>
  <c r="F92" i="3"/>
  <c r="E92" i="3"/>
  <c r="D92" i="3"/>
  <c r="F91" i="3"/>
  <c r="E91" i="3"/>
  <c r="D91" i="3"/>
  <c r="F90" i="3"/>
  <c r="E90" i="3"/>
  <c r="D90" i="3"/>
  <c r="F89" i="3"/>
  <c r="E89" i="3"/>
  <c r="D89" i="3"/>
  <c r="F88" i="3"/>
  <c r="E88" i="3"/>
  <c r="D88" i="3"/>
  <c r="F87" i="3"/>
  <c r="E87" i="3"/>
  <c r="D87" i="3"/>
  <c r="F86" i="3"/>
  <c r="E86" i="3"/>
  <c r="D86" i="3"/>
  <c r="F85" i="3"/>
  <c r="E85" i="3"/>
  <c r="D85" i="3"/>
  <c r="F84" i="3"/>
  <c r="E84" i="3"/>
  <c r="D84" i="3"/>
  <c r="F83" i="3"/>
  <c r="E83" i="3"/>
  <c r="D83" i="3"/>
  <c r="F82" i="3"/>
  <c r="E82" i="3"/>
  <c r="D82" i="3"/>
  <c r="F81" i="3"/>
  <c r="E81" i="3"/>
  <c r="D81" i="3"/>
  <c r="F80" i="3"/>
  <c r="E80" i="3"/>
  <c r="D80" i="3"/>
  <c r="F79" i="3"/>
  <c r="E79" i="3"/>
  <c r="D79" i="3"/>
  <c r="F78" i="3"/>
  <c r="E78" i="3"/>
  <c r="D78" i="3"/>
  <c r="F77" i="3"/>
  <c r="E77" i="3"/>
  <c r="D77" i="3"/>
  <c r="F76" i="3"/>
  <c r="E76" i="3"/>
  <c r="D76" i="3"/>
  <c r="F75" i="3"/>
  <c r="E75" i="3"/>
  <c r="D75" i="3"/>
  <c r="F74" i="3"/>
  <c r="E74" i="3"/>
  <c r="D74" i="3"/>
  <c r="F73" i="3"/>
  <c r="E73" i="3"/>
  <c r="D73" i="3"/>
  <c r="F72" i="3"/>
  <c r="E72" i="3"/>
  <c r="D72" i="3"/>
  <c r="F71" i="3"/>
  <c r="E71" i="3"/>
  <c r="D71" i="3"/>
  <c r="F70" i="3"/>
  <c r="E70" i="3"/>
  <c r="D70" i="3"/>
  <c r="F69" i="3"/>
  <c r="E69" i="3"/>
  <c r="D69" i="3"/>
  <c r="F68" i="3"/>
  <c r="E68" i="3"/>
  <c r="D68" i="3"/>
  <c r="F67" i="3"/>
  <c r="E67" i="3"/>
  <c r="D67" i="3"/>
  <c r="F66" i="3"/>
  <c r="E66" i="3"/>
  <c r="D66" i="3"/>
  <c r="F65" i="3"/>
  <c r="E65" i="3"/>
  <c r="D65" i="3"/>
  <c r="F64" i="3"/>
  <c r="E64" i="3"/>
  <c r="D64" i="3"/>
  <c r="F63" i="3"/>
  <c r="E63" i="3"/>
  <c r="D63" i="3"/>
  <c r="F62" i="3"/>
  <c r="E62" i="3"/>
  <c r="D62" i="3"/>
  <c r="F61" i="3"/>
  <c r="E61" i="3"/>
  <c r="D61" i="3"/>
  <c r="F60" i="3"/>
  <c r="E60" i="3"/>
  <c r="D60" i="3"/>
  <c r="F59" i="3"/>
  <c r="E59" i="3"/>
  <c r="D59" i="3"/>
  <c r="F58" i="3"/>
  <c r="E58" i="3"/>
  <c r="D58" i="3"/>
  <c r="F57" i="3"/>
  <c r="E57" i="3"/>
  <c r="D57" i="3"/>
  <c r="F56" i="3"/>
  <c r="E56" i="3"/>
  <c r="D56" i="3"/>
  <c r="F55" i="3"/>
  <c r="E55" i="3"/>
  <c r="D55" i="3"/>
  <c r="F54" i="3"/>
  <c r="E54" i="3"/>
  <c r="D54" i="3"/>
  <c r="F53" i="3"/>
  <c r="E53" i="3"/>
  <c r="D53" i="3"/>
  <c r="F52" i="3"/>
  <c r="E52" i="3"/>
  <c r="D52" i="3"/>
  <c r="F51" i="3"/>
  <c r="E51" i="3"/>
  <c r="D51" i="3"/>
  <c r="F50" i="3"/>
  <c r="E50" i="3"/>
  <c r="D50" i="3"/>
  <c r="F49" i="3"/>
  <c r="E49" i="3"/>
  <c r="D49" i="3"/>
  <c r="F48" i="3"/>
  <c r="E48" i="3"/>
  <c r="D48" i="3"/>
  <c r="F47" i="3"/>
  <c r="E47" i="3"/>
  <c r="D47" i="3"/>
  <c r="F46" i="3"/>
  <c r="E46" i="3"/>
  <c r="D46" i="3"/>
  <c r="F45" i="3"/>
  <c r="E45" i="3"/>
  <c r="D45" i="3"/>
  <c r="F44" i="3"/>
  <c r="E44" i="3"/>
  <c r="D44" i="3"/>
  <c r="F43" i="3"/>
  <c r="E43" i="3"/>
  <c r="D43" i="3"/>
  <c r="F42" i="3"/>
  <c r="E42" i="3"/>
  <c r="D42" i="3"/>
  <c r="F41" i="3"/>
  <c r="E41" i="3"/>
  <c r="D41" i="3"/>
  <c r="F40" i="3"/>
  <c r="E40" i="3"/>
  <c r="D40" i="3"/>
  <c r="F39" i="3"/>
  <c r="E39" i="3"/>
  <c r="D39" i="3"/>
  <c r="F38" i="3"/>
  <c r="E38" i="3"/>
  <c r="D38" i="3"/>
  <c r="F37" i="3"/>
  <c r="E37" i="3"/>
  <c r="D37" i="3"/>
  <c r="F36" i="3"/>
  <c r="E36" i="3"/>
  <c r="D36" i="3"/>
  <c r="F35" i="3"/>
  <c r="E35" i="3"/>
  <c r="D35" i="3"/>
  <c r="F34" i="3"/>
  <c r="E34" i="3"/>
  <c r="D34" i="3"/>
  <c r="F33" i="3"/>
  <c r="E33" i="3"/>
  <c r="D33" i="3"/>
  <c r="F32" i="3"/>
  <c r="E32" i="3"/>
  <c r="D32" i="3"/>
  <c r="F31" i="3"/>
  <c r="E31" i="3"/>
  <c r="D31" i="3"/>
  <c r="F30" i="3"/>
  <c r="E30" i="3"/>
  <c r="D30" i="3"/>
  <c r="F29" i="3"/>
  <c r="E29" i="3"/>
  <c r="D29" i="3"/>
  <c r="F28" i="3"/>
  <c r="E28" i="3"/>
  <c r="D28" i="3"/>
  <c r="F27" i="3"/>
  <c r="E27" i="3"/>
  <c r="D27" i="3"/>
  <c r="F26" i="3"/>
  <c r="E26" i="3"/>
  <c r="D26" i="3"/>
  <c r="F25" i="3"/>
  <c r="E25" i="3"/>
  <c r="D25" i="3"/>
  <c r="F24" i="3"/>
  <c r="E24" i="3"/>
  <c r="D24" i="3"/>
  <c r="F23" i="3"/>
  <c r="E23" i="3"/>
  <c r="D23" i="3"/>
  <c r="F22" i="3"/>
  <c r="E22" i="3"/>
  <c r="D22" i="3"/>
  <c r="F21" i="3"/>
  <c r="E21" i="3"/>
  <c r="D21" i="3"/>
  <c r="F20" i="3"/>
  <c r="E20" i="3"/>
  <c r="D20" i="3"/>
  <c r="F19" i="3"/>
  <c r="E19" i="3"/>
  <c r="D19" i="3"/>
  <c r="F18" i="3"/>
  <c r="E18" i="3"/>
  <c r="D18" i="3"/>
  <c r="F17" i="3"/>
  <c r="E17" i="3"/>
  <c r="D17" i="3"/>
  <c r="F16" i="3"/>
  <c r="E16" i="3"/>
  <c r="D16" i="3"/>
  <c r="F15" i="3"/>
  <c r="E15" i="3"/>
  <c r="D15" i="3"/>
  <c r="F14" i="3"/>
  <c r="E14" i="3"/>
  <c r="D14" i="3"/>
  <c r="F13" i="3"/>
  <c r="E13" i="3"/>
  <c r="D13" i="3"/>
  <c r="F12" i="3"/>
  <c r="E12" i="3"/>
  <c r="D12" i="3"/>
  <c r="F11" i="3"/>
  <c r="E11" i="3"/>
  <c r="D11" i="3"/>
  <c r="F10" i="3"/>
  <c r="E10" i="3"/>
  <c r="D10" i="3"/>
  <c r="F9" i="3"/>
  <c r="E9" i="3"/>
  <c r="D9" i="3"/>
  <c r="F8" i="3"/>
  <c r="E8" i="3"/>
  <c r="D8" i="3"/>
  <c r="F7" i="3"/>
  <c r="E7" i="3"/>
  <c r="D7" i="3"/>
  <c r="F6" i="3"/>
  <c r="E6" i="3"/>
  <c r="D6" i="3"/>
  <c r="F5" i="3"/>
  <c r="E5" i="3"/>
  <c r="D5" i="3"/>
  <c r="F4" i="3"/>
  <c r="E4" i="3"/>
  <c r="D4" i="3"/>
  <c r="F3" i="3"/>
  <c r="E3" i="3"/>
  <c r="D3" i="3"/>
  <c r="F2" i="3"/>
  <c r="E2" i="3"/>
  <c r="D2" i="3"/>
  <c r="A3" i="3"/>
  <c r="A4" i="3"/>
  <c r="A5" i="3"/>
  <c r="A6" i="3"/>
  <c r="A7" i="3"/>
  <c r="A8" i="3"/>
  <c r="A9" i="3"/>
  <c r="A10" i="3"/>
  <c r="A11" i="3"/>
  <c r="A1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tc={62A58E20-3D5A-4FC4-94F8-958938CA0F01}</author>
    <author>tc={185CFD26-82F7-4E86-B43D-DFBACF062172}</author>
    <author>tc={1B6762DD-FFBF-4250-9500-C34D2BF661E7}</author>
    <author>tc={1FB76D5F-8FB3-4B0A-ADC4-C1142B521B37}</author>
    <author>tc={9B07E4B2-C0BF-469E-AB83-549CED400EB2}</author>
    <author>tc={B965F536-0430-4242-8C15-103C822B03E3}</author>
    <author>tc={A7F18EB7-4C62-4CB5-B625-F0DCF7FC870E}</author>
  </authors>
  <commentList>
    <comment ref="G1" authorId="0" shapeId="0" xr:uid="{62A58E20-3D5A-4FC4-94F8-958938CA0F0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Der Ort kann einigermassen grob sein, Bsp.  'UG' (Untersuchungsgebiet in dem die Schnepfen beringt und untersucht wurden), 'Franche Comté', 'Frankreich (Rest)', 'Iberien', ...</t>
      </text>
    </comment>
    <comment ref="H1" authorId="1" shapeId="0" xr:uid="{185CFD26-82F7-4E86-B43D-DFBACF06217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Falls Du Latitude und Longitude hast, auch erfassen. Ist aber nicht zwingend.</t>
      </text>
    </comment>
    <comment ref="J1" authorId="2" shapeId="0" xr:uid="{1B6762DD-FFBF-4250-9500-C34D2BF661E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Es gibt 'Fang', 'Ablesung', 'Totfund', oder 'Senderlokalisation'
Antwort:
    "Ablesung" bei der Waldschnepfe eher nicht, dafür "Senderfund" (wenn unklar ist, was mit dem Vogel passierte)</t>
      </text>
    </comment>
    <comment ref="L1" authorId="3" shapeId="0" xr:uid="{1FB76D5F-8FB3-4B0A-ADC4-C1142B521B3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Markierung ist entweder 'Ring' oder 'Sender'. Es muss nur 'Sender' eingetragen werden, wenn der Vogel bei dieser Beobachtung einen Sender trägt oder bekommt (Bsp. wenn er gefangen wurde und einen Sender bekommt)</t>
      </text>
    </comment>
    <comment ref="M1" authorId="4" shapeId="0" xr:uid="{9B07E4B2-C0BF-469E-AB83-549CED400EB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Entweder VHF oder ARGOS oder (falls kein Sender) leer lassen</t>
      </text>
    </comment>
    <comment ref="N1" authorId="5" shapeId="0" xr:uid="{B965F536-0430-4242-8C15-103C822B03E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 gibt es nur einen Eintrag bei Vögeln mit Sender. Ein 'Ja' bedeutet, dass dies die letzte Ortung war, nachher war der Sender abgefallen, kaputt oder die Batterie am Ende. </t>
      </text>
    </comment>
    <comment ref="O1" authorId="6" shapeId="0" xr:uid="{A7F18EB7-4C62-4CB5-B625-F0DCF7FC870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Das Alter bei Erstfang (Bsp. Euring Code). Bei späteren Wiederfunden braucht es das Alter nicht mehr.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tc={3D9FD542-F86C-4860-8547-85B956D53918}</author>
    <author>tc={20109251-937E-4E75-8EA8-17D30309D635}</author>
    <author>tc={BCB64044-25EA-4D0D-AF61-A51981B17FCD}</author>
    <author>tc={CBF4981A-5187-4D43-9EE0-7D2578B3CD2D}</author>
    <author>tc={AFA8E27E-8BC1-4806-A456-6077CEE5A5BC}</author>
    <author>tc={83EC132B-570E-44A9-88EC-7E7B34ADB962}</author>
    <author>tc={522F0779-93CB-49F2-B2FA-739657600B01}</author>
  </authors>
  <commentList>
    <comment ref="H1" authorId="0" shapeId="0" xr:uid="{3D9FD542-F86C-4860-8547-85B956D5391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Der Ort kann einigermassen grob sein, Bsp.  'UG' (Untersuchungsgebiet in dem die Schnepfen beringt und untersucht wurden), 'Franche Comté', 'Frankreich (Rest)', 'Iberien', ...</t>
      </text>
    </comment>
    <comment ref="I1" authorId="1" shapeId="0" xr:uid="{20109251-937E-4E75-8EA8-17D30309D63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Falls Du Latitude und Longitude hast, auch erfassen. Ist aber nicht zwingend.</t>
      </text>
    </comment>
    <comment ref="K1" authorId="2" shapeId="0" xr:uid="{BCB64044-25EA-4D0D-AF61-A51981B17FC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Es gibt 'Fang', 'Ablesung', 'Totfund', oder 'Senderlokalisation'
Antwort:
    "Ablesung" bei der Waldschnepfe eher nicht, dafür "Senderfund" (wenn unklar ist, was mit dem Vogel passierte)</t>
      </text>
    </comment>
    <comment ref="M1" authorId="3" shapeId="0" xr:uid="{CBF4981A-5187-4D43-9EE0-7D2578B3CD2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Markierung ist entweder 'Ring' oder 'Sender'. Es muss nur 'Sender' eingetragen werden, wenn der Vogel bei dieser Beobachtung einen Sender trägt oder bekommt (Bsp. wenn er gefangen wurde und einen Sender bekommt)</t>
      </text>
    </comment>
    <comment ref="N1" authorId="4" shapeId="0" xr:uid="{AFA8E27E-8BC1-4806-A456-6077CEE5A5B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Entweder VHF oder ARGOS oder (falls kein Sender) leer lassen</t>
      </text>
    </comment>
    <comment ref="O1" authorId="5" shapeId="0" xr:uid="{83EC132B-570E-44A9-88EC-7E7B34ADB96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 gibt es nur einen Eintrag bei Vögeln mit Sender. Ein 'Ja' bedeutet, dass dies die letzte Ortung war, nachher war der Sender abgefallen, kaputt oder die Batterie am Ende. </t>
      </text>
    </comment>
    <comment ref="P1" authorId="6" shapeId="0" xr:uid="{522F0779-93CB-49F2-B2FA-739657600B0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Das Alter bei Erstfang (Bsp. Euring Code). Bei späteren Wiederfunden braucht es das Alter nicht mehr.</t>
      </text>
    </comment>
  </commentList>
</comments>
</file>

<file path=xl/sharedStrings.xml><?xml version="1.0" encoding="utf-8"?>
<sst xmlns="http://schemas.openxmlformats.org/spreadsheetml/2006/main" count="10360" uniqueCount="537">
  <si>
    <t>Ring_num</t>
  </si>
  <si>
    <t>Ring</t>
  </si>
  <si>
    <t>Datum</t>
  </si>
  <si>
    <t>Ort</t>
  </si>
  <si>
    <t>Lat</t>
  </si>
  <si>
    <t>Long</t>
  </si>
  <si>
    <t>Beobachtung</t>
  </si>
  <si>
    <t>Todesursache</t>
  </si>
  <si>
    <t>Markierung</t>
  </si>
  <si>
    <t>Sendertyp</t>
  </si>
  <si>
    <t>Censor</t>
  </si>
  <si>
    <t>Alter (Euring)</t>
  </si>
  <si>
    <t>Bemerkung</t>
  </si>
  <si>
    <t>K73976</t>
  </si>
  <si>
    <t>UG</t>
  </si>
  <si>
    <t>Fang</t>
  </si>
  <si>
    <t>Nein</t>
  </si>
  <si>
    <t>Ja</t>
  </si>
  <si>
    <t>K73978</t>
  </si>
  <si>
    <t>6</t>
  </si>
  <si>
    <t>Franche-Comté</t>
  </si>
  <si>
    <t>Totfund</t>
  </si>
  <si>
    <t>Jagd</t>
  </si>
  <si>
    <t>K73979</t>
  </si>
  <si>
    <t>2</t>
  </si>
  <si>
    <t>K73980</t>
  </si>
  <si>
    <t>K73981</t>
  </si>
  <si>
    <t>5</t>
  </si>
  <si>
    <t>K73982</t>
  </si>
  <si>
    <t>3</t>
  </si>
  <si>
    <t>K73983</t>
  </si>
  <si>
    <t>France (Rest)</t>
  </si>
  <si>
    <t>K73984</t>
  </si>
  <si>
    <t>K73985</t>
  </si>
  <si>
    <t>K73986</t>
  </si>
  <si>
    <t>7</t>
  </si>
  <si>
    <t>K73987</t>
  </si>
  <si>
    <t>K73988</t>
  </si>
  <si>
    <t>K73989</t>
  </si>
  <si>
    <t>K73990</t>
  </si>
  <si>
    <t>K73991</t>
  </si>
  <si>
    <t>K73992</t>
  </si>
  <si>
    <t>Sender</t>
  </si>
  <si>
    <t>VHF</t>
  </si>
  <si>
    <t>Senderlokalisation</t>
  </si>
  <si>
    <t>K73994</t>
  </si>
  <si>
    <t>K73995</t>
  </si>
  <si>
    <t>K73996</t>
  </si>
  <si>
    <t>Iberien</t>
  </si>
  <si>
    <t>K73997</t>
  </si>
  <si>
    <t>K73998</t>
  </si>
  <si>
    <t>K73999</t>
  </si>
  <si>
    <t>K74000</t>
  </si>
  <si>
    <t>Prädation</t>
  </si>
  <si>
    <t>K99317</t>
  </si>
  <si>
    <t>K99318</t>
  </si>
  <si>
    <t>K99319</t>
  </si>
  <si>
    <t>K99320</t>
  </si>
  <si>
    <t>K99321</t>
  </si>
  <si>
    <t>K99322</t>
  </si>
  <si>
    <t>K99323</t>
  </si>
  <si>
    <t>K107611</t>
  </si>
  <si>
    <t>K107612</t>
  </si>
  <si>
    <t>K107613</t>
  </si>
  <si>
    <t>K107614</t>
  </si>
  <si>
    <t>K107615</t>
  </si>
  <si>
    <t>K107616</t>
  </si>
  <si>
    <t>K107617</t>
  </si>
  <si>
    <t>K107618</t>
  </si>
  <si>
    <t>K107619</t>
  </si>
  <si>
    <t>K107620</t>
  </si>
  <si>
    <t>K107621</t>
  </si>
  <si>
    <t>K107622</t>
  </si>
  <si>
    <t>K107623</t>
  </si>
  <si>
    <t>K107624</t>
  </si>
  <si>
    <t>K107625</t>
  </si>
  <si>
    <t>K107626</t>
  </si>
  <si>
    <t>K107627</t>
  </si>
  <si>
    <t>K107628</t>
  </si>
  <si>
    <t>K107629</t>
  </si>
  <si>
    <t>K107630</t>
  </si>
  <si>
    <t>K107631</t>
  </si>
  <si>
    <t>K107632</t>
  </si>
  <si>
    <t>K107633</t>
  </si>
  <si>
    <t>K107634</t>
  </si>
  <si>
    <t>K107635</t>
  </si>
  <si>
    <t>K107636</t>
  </si>
  <si>
    <t>K107637</t>
  </si>
  <si>
    <t>K112951</t>
  </si>
  <si>
    <t>K112952</t>
  </si>
  <si>
    <t>K112953</t>
  </si>
  <si>
    <t>K112954</t>
  </si>
  <si>
    <t>K112955</t>
  </si>
  <si>
    <t>K112956</t>
  </si>
  <si>
    <t>K112957</t>
  </si>
  <si>
    <t>K112958</t>
  </si>
  <si>
    <t>K112959</t>
  </si>
  <si>
    <t>K112960</t>
  </si>
  <si>
    <t>K112961</t>
  </si>
  <si>
    <t>K112962</t>
  </si>
  <si>
    <t>K112963</t>
  </si>
  <si>
    <t>K112964</t>
  </si>
  <si>
    <t>K112965</t>
  </si>
  <si>
    <t>K112966</t>
  </si>
  <si>
    <t>K112967</t>
  </si>
  <si>
    <t>K112968</t>
  </si>
  <si>
    <t>K112969</t>
  </si>
  <si>
    <t>K112970</t>
  </si>
  <si>
    <t>K112971</t>
  </si>
  <si>
    <t>8</t>
  </si>
  <si>
    <t>K112972</t>
  </si>
  <si>
    <t>K112973</t>
  </si>
  <si>
    <t>K112974</t>
  </si>
  <si>
    <t>K112975</t>
  </si>
  <si>
    <t>K112976</t>
  </si>
  <si>
    <t>K112977</t>
  </si>
  <si>
    <t>K112978</t>
  </si>
  <si>
    <t>K112979</t>
  </si>
  <si>
    <t>ARGOS</t>
  </si>
  <si>
    <t>K112980</t>
  </si>
  <si>
    <t>K112981</t>
  </si>
  <si>
    <t>K112982</t>
  </si>
  <si>
    <t>K112983</t>
  </si>
  <si>
    <t>K112984</t>
  </si>
  <si>
    <t>K112985</t>
  </si>
  <si>
    <t>Senderfund</t>
  </si>
  <si>
    <t>K112986</t>
  </si>
  <si>
    <t>K112987</t>
  </si>
  <si>
    <t>K112988</t>
  </si>
  <si>
    <t>K112989</t>
  </si>
  <si>
    <t>K112990</t>
  </si>
  <si>
    <t>K112991</t>
  </si>
  <si>
    <t>K112992</t>
  </si>
  <si>
    <t>K112993</t>
  </si>
  <si>
    <t>K112994</t>
  </si>
  <si>
    <t>K112995</t>
  </si>
  <si>
    <t>K112996</t>
  </si>
  <si>
    <t>K112997</t>
  </si>
  <si>
    <t>K112998</t>
  </si>
  <si>
    <t>K112999</t>
  </si>
  <si>
    <t>K113000</t>
  </si>
  <si>
    <t>K115151</t>
  </si>
  <si>
    <t>Fang &amp; VHF ersetzt durch ARGOS</t>
  </si>
  <si>
    <t>K115152</t>
  </si>
  <si>
    <t>K115153</t>
  </si>
  <si>
    <t>K115154</t>
  </si>
  <si>
    <t>K115155</t>
  </si>
  <si>
    <t>K115156</t>
  </si>
  <si>
    <t>K115157</t>
  </si>
  <si>
    <t>K115158</t>
  </si>
  <si>
    <t>K115159</t>
  </si>
  <si>
    <t>K115160</t>
  </si>
  <si>
    <t>unbekannt</t>
  </si>
  <si>
    <t>K115161</t>
  </si>
  <si>
    <t>K115162</t>
  </si>
  <si>
    <t>K115163</t>
  </si>
  <si>
    <t>K115164</t>
  </si>
  <si>
    <t>K115165</t>
  </si>
  <si>
    <t>K115166</t>
  </si>
  <si>
    <t>K115167</t>
  </si>
  <si>
    <t>K115168</t>
  </si>
  <si>
    <t>K115169</t>
  </si>
  <si>
    <t>K115170</t>
  </si>
  <si>
    <t>K115171</t>
  </si>
  <si>
    <t>K115172</t>
  </si>
  <si>
    <t>K115173</t>
  </si>
  <si>
    <t>K115174</t>
  </si>
  <si>
    <t>K115175</t>
  </si>
  <si>
    <t>K115176</t>
  </si>
  <si>
    <t>K115177</t>
  </si>
  <si>
    <t>K115178</t>
  </si>
  <si>
    <t>K115179</t>
  </si>
  <si>
    <t>K115180</t>
  </si>
  <si>
    <t>K115181</t>
  </si>
  <si>
    <t>K115182</t>
  </si>
  <si>
    <t>K115183</t>
  </si>
  <si>
    <t>K115184</t>
  </si>
  <si>
    <t>K115185</t>
  </si>
  <si>
    <t>K115186</t>
  </si>
  <si>
    <t>K115187</t>
  </si>
  <si>
    <t>K115188</t>
  </si>
  <si>
    <t>K115189</t>
  </si>
  <si>
    <t>K115190</t>
  </si>
  <si>
    <t>K115191</t>
  </si>
  <si>
    <t>4</t>
  </si>
  <si>
    <t>K115192</t>
  </si>
  <si>
    <t>K115193</t>
  </si>
  <si>
    <t>K115194</t>
  </si>
  <si>
    <t>K115195</t>
  </si>
  <si>
    <t>K115196</t>
  </si>
  <si>
    <t>K115197</t>
  </si>
  <si>
    <t>K115198</t>
  </si>
  <si>
    <t>K115199</t>
  </si>
  <si>
    <t>K115200</t>
  </si>
  <si>
    <t>K115486</t>
  </si>
  <si>
    <t>K115487</t>
  </si>
  <si>
    <t>K115488</t>
  </si>
  <si>
    <t>K115489</t>
  </si>
  <si>
    <t>K115490</t>
  </si>
  <si>
    <t>K115491</t>
  </si>
  <si>
    <t>K115492</t>
  </si>
  <si>
    <t>K115493</t>
  </si>
  <si>
    <t>K115494</t>
  </si>
  <si>
    <t>K115495</t>
  </si>
  <si>
    <t>K115496</t>
  </si>
  <si>
    <t>K115497</t>
  </si>
  <si>
    <t>K115498</t>
  </si>
  <si>
    <t>K115499</t>
  </si>
  <si>
    <t>K115500</t>
  </si>
  <si>
    <t>K116301</t>
  </si>
  <si>
    <t>K116302</t>
  </si>
  <si>
    <t>K116303</t>
  </si>
  <si>
    <t>K116304</t>
  </si>
  <si>
    <t>K116305</t>
  </si>
  <si>
    <t>K116306</t>
  </si>
  <si>
    <t>K116307</t>
  </si>
  <si>
    <t>K116308</t>
  </si>
  <si>
    <t>K116309</t>
  </si>
  <si>
    <t>K116310</t>
  </si>
  <si>
    <t>K116311</t>
  </si>
  <si>
    <t>K116312</t>
  </si>
  <si>
    <t>K116313</t>
  </si>
  <si>
    <t>K116314</t>
  </si>
  <si>
    <t>K116315</t>
  </si>
  <si>
    <t>Nordafrika</t>
  </si>
  <si>
    <t>K116316</t>
  </si>
  <si>
    <t>K116317</t>
  </si>
  <si>
    <t>K116318</t>
  </si>
  <si>
    <t>K116319</t>
  </si>
  <si>
    <t>K116320</t>
  </si>
  <si>
    <t>K116321</t>
  </si>
  <si>
    <t>K116322</t>
  </si>
  <si>
    <t>K116323</t>
  </si>
  <si>
    <t>K116324</t>
  </si>
  <si>
    <t>K116325</t>
  </si>
  <si>
    <t>K116326</t>
  </si>
  <si>
    <t>K116327</t>
  </si>
  <si>
    <t>K116328</t>
  </si>
  <si>
    <t>K116329</t>
  </si>
  <si>
    <t>K116330</t>
  </si>
  <si>
    <t>K116331</t>
  </si>
  <si>
    <t>K116332</t>
  </si>
  <si>
    <t>K116333</t>
  </si>
  <si>
    <t>K116334</t>
  </si>
  <si>
    <t>K116335</t>
  </si>
  <si>
    <t>K116336</t>
  </si>
  <si>
    <t>K116337</t>
  </si>
  <si>
    <t>K116338</t>
  </si>
  <si>
    <t>K116339</t>
  </si>
  <si>
    <t>K116340</t>
  </si>
  <si>
    <t>K116341</t>
  </si>
  <si>
    <t>K116342</t>
  </si>
  <si>
    <t>K116343</t>
  </si>
  <si>
    <t>K116344</t>
  </si>
  <si>
    <t>K116345</t>
  </si>
  <si>
    <t>K116346</t>
  </si>
  <si>
    <t>K116347</t>
  </si>
  <si>
    <t>K116348</t>
  </si>
  <si>
    <t>K116349</t>
  </si>
  <si>
    <t>K116350</t>
  </si>
  <si>
    <t>K118451</t>
  </si>
  <si>
    <t>K118452</t>
  </si>
  <si>
    <t>K118453</t>
  </si>
  <si>
    <t>K118454</t>
  </si>
  <si>
    <t>K118455</t>
  </si>
  <si>
    <t>K118456</t>
  </si>
  <si>
    <t>K118457</t>
  </si>
  <si>
    <t>K118458</t>
  </si>
  <si>
    <t>K118459</t>
  </si>
  <si>
    <t>K118460</t>
  </si>
  <si>
    <t>K118461</t>
  </si>
  <si>
    <t>K118462</t>
  </si>
  <si>
    <t>K118463</t>
  </si>
  <si>
    <t>K118464</t>
  </si>
  <si>
    <t>K118465</t>
  </si>
  <si>
    <t>K118466</t>
  </si>
  <si>
    <t>K118467</t>
  </si>
  <si>
    <t>K118468</t>
  </si>
  <si>
    <t>K118469</t>
  </si>
  <si>
    <t>K118470</t>
  </si>
  <si>
    <t>K118471</t>
  </si>
  <si>
    <t>K118472</t>
  </si>
  <si>
    <t>K118473</t>
  </si>
  <si>
    <t>K118474</t>
  </si>
  <si>
    <t>K118475</t>
  </si>
  <si>
    <t>K118476</t>
  </si>
  <si>
    <t>K118477</t>
  </si>
  <si>
    <t>K118478</t>
  </si>
  <si>
    <t>K118479</t>
  </si>
  <si>
    <t>K118480</t>
  </si>
  <si>
    <t>K118481</t>
  </si>
  <si>
    <t>K118482</t>
  </si>
  <si>
    <t>K118483</t>
  </si>
  <si>
    <t>K118484</t>
  </si>
  <si>
    <t>K118485</t>
  </si>
  <si>
    <t>K118486</t>
  </si>
  <si>
    <t>K118487</t>
  </si>
  <si>
    <t>K118488</t>
  </si>
  <si>
    <t>K118489</t>
  </si>
  <si>
    <t>K118490</t>
  </si>
  <si>
    <t>K118491</t>
  </si>
  <si>
    <t>K118492</t>
  </si>
  <si>
    <t>K118493</t>
  </si>
  <si>
    <t>K118494</t>
  </si>
  <si>
    <t>K118495</t>
  </si>
  <si>
    <t>K118496</t>
  </si>
  <si>
    <t>K118497</t>
  </si>
  <si>
    <t>K118498</t>
  </si>
  <si>
    <t>K118499</t>
  </si>
  <si>
    <t>K118500</t>
  </si>
  <si>
    <t>K121951</t>
  </si>
  <si>
    <t>K121952</t>
  </si>
  <si>
    <t>K121953</t>
  </si>
  <si>
    <t>K121954</t>
  </si>
  <si>
    <t>K121955</t>
  </si>
  <si>
    <t>K121956</t>
  </si>
  <si>
    <t>K121957</t>
  </si>
  <si>
    <t>K121958</t>
  </si>
  <si>
    <t>K121959</t>
  </si>
  <si>
    <t>K121960</t>
  </si>
  <si>
    <t>K121961</t>
  </si>
  <si>
    <t>K121962</t>
  </si>
  <si>
    <t>K121963</t>
  </si>
  <si>
    <t>K121964</t>
  </si>
  <si>
    <t>K121965</t>
  </si>
  <si>
    <t>K121966</t>
  </si>
  <si>
    <t>K121967</t>
  </si>
  <si>
    <t>K121968</t>
  </si>
  <si>
    <t>K121969</t>
  </si>
  <si>
    <t>K121970</t>
  </si>
  <si>
    <t>K121971</t>
  </si>
  <si>
    <t>K121972</t>
  </si>
  <si>
    <t>K121973</t>
  </si>
  <si>
    <t>Russland</t>
  </si>
  <si>
    <t>K121974</t>
  </si>
  <si>
    <t>K121975</t>
  </si>
  <si>
    <t>K121976</t>
  </si>
  <si>
    <t>K121977</t>
  </si>
  <si>
    <t>K121978</t>
  </si>
  <si>
    <t>K121979</t>
  </si>
  <si>
    <t>K121980</t>
  </si>
  <si>
    <t>K121981</t>
  </si>
  <si>
    <t>K121982</t>
  </si>
  <si>
    <t>K121983</t>
  </si>
  <si>
    <t>K121984</t>
  </si>
  <si>
    <t>K121985</t>
  </si>
  <si>
    <t>K121986</t>
  </si>
  <si>
    <t>K121987</t>
  </si>
  <si>
    <t>K121988</t>
  </si>
  <si>
    <t>K121989</t>
  </si>
  <si>
    <t>K121990</t>
  </si>
  <si>
    <t>K121991</t>
  </si>
  <si>
    <t>K121992</t>
  </si>
  <si>
    <t>K121993</t>
  </si>
  <si>
    <t>K121994</t>
  </si>
  <si>
    <t>K121995</t>
  </si>
  <si>
    <t>K121996</t>
  </si>
  <si>
    <t>K121997</t>
  </si>
  <si>
    <t>K121998</t>
  </si>
  <si>
    <t>K121999</t>
  </si>
  <si>
    <t>K122000</t>
  </si>
  <si>
    <t>K122001</t>
  </si>
  <si>
    <t>K122002</t>
  </si>
  <si>
    <t>K122003</t>
  </si>
  <si>
    <t>K122004</t>
  </si>
  <si>
    <t>K122005</t>
  </si>
  <si>
    <t>K122006</t>
  </si>
  <si>
    <t>K122007</t>
  </si>
  <si>
    <t>K122008</t>
  </si>
  <si>
    <t>K122009</t>
  </si>
  <si>
    <t>K122010</t>
  </si>
  <si>
    <t>K122011</t>
  </si>
  <si>
    <t>K122012</t>
  </si>
  <si>
    <t>K122013</t>
  </si>
  <si>
    <t>K122014</t>
  </si>
  <si>
    <t>K122015</t>
  </si>
  <si>
    <t>K122016</t>
  </si>
  <si>
    <t>K122017</t>
  </si>
  <si>
    <t>K122018</t>
  </si>
  <si>
    <t>K122019</t>
  </si>
  <si>
    <t>K122020</t>
  </si>
  <si>
    <t>K122021</t>
  </si>
  <si>
    <t>K122022</t>
  </si>
  <si>
    <t>K122023</t>
  </si>
  <si>
    <t>K122024</t>
  </si>
  <si>
    <t>K122025</t>
  </si>
  <si>
    <t>K122026</t>
  </si>
  <si>
    <t>K122027</t>
  </si>
  <si>
    <t>K122028</t>
  </si>
  <si>
    <t>K122029</t>
  </si>
  <si>
    <t>K122030</t>
  </si>
  <si>
    <t>K122031</t>
  </si>
  <si>
    <t>K122032</t>
  </si>
  <si>
    <t>K122033</t>
  </si>
  <si>
    <t>K122034</t>
  </si>
  <si>
    <t>K122035</t>
  </si>
  <si>
    <t>K122036</t>
  </si>
  <si>
    <t>K122037</t>
  </si>
  <si>
    <t>K122038</t>
  </si>
  <si>
    <t>K122039</t>
  </si>
  <si>
    <t>K122040</t>
  </si>
  <si>
    <t>K122041</t>
  </si>
  <si>
    <t>K122042</t>
  </si>
  <si>
    <t>K122043</t>
  </si>
  <si>
    <t>1</t>
  </si>
  <si>
    <t>K122044</t>
  </si>
  <si>
    <t>K122045</t>
  </si>
  <si>
    <t>K122046</t>
  </si>
  <si>
    <t>K122047</t>
  </si>
  <si>
    <t>K122048</t>
  </si>
  <si>
    <t>K122049</t>
  </si>
  <si>
    <t>K122050</t>
  </si>
  <si>
    <t>K124201</t>
  </si>
  <si>
    <t>K124202</t>
  </si>
  <si>
    <t>K124203</t>
  </si>
  <si>
    <t>K124204</t>
  </si>
  <si>
    <t>K124205</t>
  </si>
  <si>
    <t>K124206</t>
  </si>
  <si>
    <t>K124207</t>
  </si>
  <si>
    <t>K124208</t>
  </si>
  <si>
    <t>K124209</t>
  </si>
  <si>
    <t>K124210</t>
  </si>
  <si>
    <t>K124211</t>
  </si>
  <si>
    <t>K124212</t>
  </si>
  <si>
    <t>K124213</t>
  </si>
  <si>
    <t>K124214</t>
  </si>
  <si>
    <t>K124215</t>
  </si>
  <si>
    <t>K124216</t>
  </si>
  <si>
    <t>K124217</t>
  </si>
  <si>
    <t>K124218</t>
  </si>
  <si>
    <t>K124219</t>
  </si>
  <si>
    <t>K124220</t>
  </si>
  <si>
    <t>K124221</t>
  </si>
  <si>
    <t>K124222</t>
  </si>
  <si>
    <t>K124223</t>
  </si>
  <si>
    <t>K124224</t>
  </si>
  <si>
    <t>K124225</t>
  </si>
  <si>
    <t>K124226</t>
  </si>
  <si>
    <t>K124227</t>
  </si>
  <si>
    <t>K124228</t>
  </si>
  <si>
    <t>K124229</t>
  </si>
  <si>
    <t>K124230</t>
  </si>
  <si>
    <t>K124231</t>
  </si>
  <si>
    <t>K124232</t>
  </si>
  <si>
    <t>K124233</t>
  </si>
  <si>
    <t>K124234</t>
  </si>
  <si>
    <t>K124235</t>
  </si>
  <si>
    <t>K124236</t>
  </si>
  <si>
    <t>K124237</t>
  </si>
  <si>
    <t>K124238</t>
  </si>
  <si>
    <t>K124239</t>
  </si>
  <si>
    <t>K124240</t>
  </si>
  <si>
    <t>K124241</t>
  </si>
  <si>
    <t>K124242</t>
  </si>
  <si>
    <t>K124243</t>
  </si>
  <si>
    <t>K124244</t>
  </si>
  <si>
    <t>K124245</t>
  </si>
  <si>
    <t>K124246</t>
  </si>
  <si>
    <t>K124247</t>
  </si>
  <si>
    <t>K124248</t>
  </si>
  <si>
    <t>K124249</t>
  </si>
  <si>
    <t>K124250</t>
  </si>
  <si>
    <t>K125951</t>
  </si>
  <si>
    <t>K125952</t>
  </si>
  <si>
    <t>K125953</t>
  </si>
  <si>
    <t>K125954</t>
  </si>
  <si>
    <t>K125955</t>
  </si>
  <si>
    <t>K125956</t>
  </si>
  <si>
    <t>K125957</t>
  </si>
  <si>
    <t>K125958</t>
  </si>
  <si>
    <t>K125959</t>
  </si>
  <si>
    <t>K125960</t>
  </si>
  <si>
    <t>K125961</t>
  </si>
  <si>
    <t>K125962</t>
  </si>
  <si>
    <t>K125963</t>
  </si>
  <si>
    <t>K125964</t>
  </si>
  <si>
    <t>K125965</t>
  </si>
  <si>
    <t>K125966</t>
  </si>
  <si>
    <t>K125967</t>
  </si>
  <si>
    <t>K125968</t>
  </si>
  <si>
    <t>K125969</t>
  </si>
  <si>
    <t>K125970</t>
  </si>
  <si>
    <t>K125971</t>
  </si>
  <si>
    <t>K125972</t>
  </si>
  <si>
    <t>K125973</t>
  </si>
  <si>
    <t>K125974</t>
  </si>
  <si>
    <t>K125975</t>
  </si>
  <si>
    <t>K125976</t>
  </si>
  <si>
    <t>K125977</t>
  </si>
  <si>
    <t>K125978</t>
  </si>
  <si>
    <t>K125979</t>
  </si>
  <si>
    <t>K125980</t>
  </si>
  <si>
    <t>K125981</t>
  </si>
  <si>
    <t>K125982</t>
  </si>
  <si>
    <t>K125983</t>
  </si>
  <si>
    <t>K125984</t>
  </si>
  <si>
    <t>K125985</t>
  </si>
  <si>
    <t>K125986</t>
  </si>
  <si>
    <t>K125987</t>
  </si>
  <si>
    <t>K125988</t>
  </si>
  <si>
    <t>K125989</t>
  </si>
  <si>
    <t>K125990</t>
  </si>
  <si>
    <t>K125991</t>
  </si>
  <si>
    <t>K125992</t>
  </si>
  <si>
    <t>K125993</t>
  </si>
  <si>
    <t>K125994</t>
  </si>
  <si>
    <t>K125995</t>
  </si>
  <si>
    <t>K125996</t>
  </si>
  <si>
    <t>K125997</t>
  </si>
  <si>
    <t>K125998</t>
  </si>
  <si>
    <t>K125999</t>
  </si>
  <si>
    <t>K126000</t>
  </si>
  <si>
    <t>Jahr</t>
  </si>
  <si>
    <t>Monat</t>
  </si>
  <si>
    <t>Tag</t>
  </si>
  <si>
    <t>Woodcock ringed</t>
  </si>
  <si>
    <t>Equipped</t>
  </si>
  <si>
    <t>VHF / ARGOS</t>
  </si>
  <si>
    <t>Found dead</t>
  </si>
  <si>
    <t>Predation</t>
  </si>
  <si>
    <t>Unknown</t>
  </si>
  <si>
    <t>Shot</t>
  </si>
  <si>
    <t>Switzerland</t>
  </si>
  <si>
    <t>Jura France</t>
  </si>
  <si>
    <t>Rest of France</t>
  </si>
  <si>
    <t>Spain / Portugal</t>
  </si>
  <si>
    <t>Somewhere else</t>
  </si>
  <si>
    <t>Number</t>
  </si>
  <si>
    <t>Total</t>
  </si>
  <si>
    <t>77*</t>
  </si>
  <si>
    <t>No News: just lost, no localisation, no recapture</t>
  </si>
  <si>
    <t>Ringed birds</t>
  </si>
  <si>
    <t>Breeding season (May to August)</t>
  </si>
  <si>
    <t>Migration season (March, April and September to Decermber)</t>
  </si>
  <si>
    <t>Season</t>
  </si>
  <si>
    <t>Migration</t>
  </si>
  <si>
    <t>Brutzeit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</si>
</sst>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theme="1"/>
      <name val="Calibri"/>
      <family val="2"/>
      <scheme val="minor"/>
    </font>
    <font>
      <sz val="11"/>
      <color theme="1"/>
      <name val="Franklin Gothic Book"/>
      <family val="2"/>
    </font>
    <font>
      <sz val="11"/>
      <color theme="1"/>
      <name val="Franklin Gothic Book"/>
      <family val="2"/>
    </font>
    <font>
      <sz val="10"/>
      <color theme="1"/>
      <name val="Arial"/>
      <family val="2"/>
    </font>
    <font>
      <sz val="9"/>
      <color indexed="81"/>
      <name val="Segoe UI"/>
      <charset val="1"/>
    </font>
    <font>
      <b/>
      <sz val="11"/>
      <color theme="1"/>
      <name val="Franklin Gothic Book"/>
      <family val="2"/>
    </font>
    <font>
      <i/>
      <sz val="11"/>
      <color theme="1"/>
      <name val="Franklin Gothic Book"/>
      <family val="2"/>
    </font>
  </fonts>
  <fills count="5">
    <fill>
      <patternFill patternType="none"/>
    </fill>
    <fill>
      <patternFill patternType="gray125"/>
    </fill>
    <fill>
      <patternFill patternType="solid">
        <fgColor theme="2"/>
        <bgColor indexed="64"/>
      </patternFill>
    </fill>
    <fill>
      <patternFill patternType="solid">
        <fgColor theme="5" tint="0.59999389629810485"/>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35">
    <xf numFmtId="0" fontId="0" fillId="0" borderId="0" xfId="0"/>
    <xf numFmtId="0" fontId="0" fillId="2" borderId="0" xfId="0" applyFill="1"/>
    <xf numFmtId="0" fontId="0" fillId="2" borderId="0" xfId="0" applyFill="1" applyAlignment="1">
      <alignment horizontal="center"/>
    </xf>
    <xf numFmtId="14" fontId="0" fillId="0" borderId="0" xfId="0" applyNumberFormat="1" applyAlignment="1">
      <alignment horizontal="center"/>
    </xf>
    <xf numFmtId="0" fontId="0" fillId="0" borderId="0" xfId="0" applyAlignment="1">
      <alignment horizontal="center"/>
    </xf>
    <xf numFmtId="164" fontId="0" fillId="0" borderId="0" xfId="0" applyNumberFormat="1" applyAlignment="1">
      <alignment horizontal="center"/>
    </xf>
    <xf numFmtId="0" fontId="3" fillId="0" borderId="0" xfId="0" applyFont="1"/>
    <xf numFmtId="0" fontId="0" fillId="2" borderId="0" xfId="0" applyFill="1" applyAlignment="1">
      <alignment horizontal="left"/>
    </xf>
    <xf numFmtId="0" fontId="0" fillId="0" borderId="0" xfId="0" applyAlignment="1">
      <alignment horizontal="left"/>
    </xf>
    <xf numFmtId="14" fontId="0" fillId="0" borderId="0" xfId="0" applyNumberFormat="1" applyAlignment="1">
      <alignment vertical="center"/>
    </xf>
    <xf numFmtId="14" fontId="0" fillId="0" borderId="0" xfId="0" applyNumberFormat="1" applyAlignment="1">
      <alignment horizontal="center" vertical="center"/>
    </xf>
    <xf numFmtId="14" fontId="0" fillId="0" borderId="0" xfId="0" applyNumberFormat="1"/>
    <xf numFmtId="0" fontId="0" fillId="3" borderId="0" xfId="0" applyFill="1" applyAlignment="1">
      <alignment horizontal="center"/>
    </xf>
    <xf numFmtId="1" fontId="0" fillId="0" borderId="0" xfId="0" applyNumberFormat="1" applyAlignment="1">
      <alignment horizontal="center" vertical="center"/>
    </xf>
    <xf numFmtId="1" fontId="0" fillId="0" borderId="0" xfId="0" applyNumberFormat="1" applyAlignment="1">
      <alignment horizontal="center"/>
    </xf>
    <xf numFmtId="0" fontId="2" fillId="0" borderId="0" xfId="0" applyFont="1"/>
    <xf numFmtId="0" fontId="2" fillId="0" borderId="0" xfId="0" applyFont="1" applyAlignment="1">
      <alignment horizontal="center"/>
    </xf>
    <xf numFmtId="0" fontId="1" fillId="0" borderId="0" xfId="0" applyFont="1"/>
    <xf numFmtId="0" fontId="2" fillId="0" borderId="1" xfId="0" applyFont="1" applyBorder="1"/>
    <xf numFmtId="0" fontId="6" fillId="0" borderId="0" xfId="0" applyFont="1"/>
    <xf numFmtId="0" fontId="6" fillId="0" borderId="0" xfId="0" applyFont="1" applyAlignment="1">
      <alignment horizontal="center"/>
    </xf>
    <xf numFmtId="0" fontId="6" fillId="0" borderId="1" xfId="0" applyFont="1" applyBorder="1"/>
    <xf numFmtId="0" fontId="6" fillId="0" borderId="1" xfId="0" applyFont="1" applyBorder="1" applyAlignment="1">
      <alignment horizontal="center"/>
    </xf>
    <xf numFmtId="0" fontId="5" fillId="0" borderId="0" xfId="0" applyFont="1"/>
    <xf numFmtId="0" fontId="5" fillId="0" borderId="0" xfId="0" applyFont="1" applyAlignment="1">
      <alignment horizontal="center"/>
    </xf>
    <xf numFmtId="0" fontId="5" fillId="0" borderId="2" xfId="0" applyFont="1" applyBorder="1"/>
    <xf numFmtId="0" fontId="5" fillId="0" borderId="2" xfId="0" applyFont="1" applyBorder="1" applyAlignment="1">
      <alignment horizontal="center"/>
    </xf>
    <xf numFmtId="0" fontId="5" fillId="4" borderId="0" xfId="0" applyFont="1" applyFill="1"/>
    <xf numFmtId="0" fontId="5" fillId="4" borderId="0" xfId="0" applyFont="1" applyFill="1" applyAlignment="1">
      <alignment horizontal="center"/>
    </xf>
    <xf numFmtId="0" fontId="2" fillId="4" borderId="0" xfId="0" applyFont="1" applyFill="1"/>
    <xf numFmtId="0" fontId="6" fillId="4" borderId="0" xfId="0" applyFont="1" applyFill="1"/>
    <xf numFmtId="0" fontId="6" fillId="4" borderId="0" xfId="0" applyFont="1" applyFill="1" applyAlignment="1">
      <alignment horizontal="center"/>
    </xf>
    <xf numFmtId="0" fontId="2" fillId="4" borderId="1" xfId="0" applyFont="1" applyFill="1" applyBorder="1"/>
    <xf numFmtId="0" fontId="6" fillId="4" borderId="1" xfId="0" applyFont="1" applyFill="1" applyBorder="1"/>
    <xf numFmtId="0" fontId="6" fillId="4" borderId="1" xfId="0" applyFont="1" applyFill="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ierre Mollet" id="{15C5F0AD-4381-4B45-BB14-79C8ACDB5DF0}" userId="Pierre Mollet" providerId="None"/>
  <person displayName="Pierre Mollet" id="{2FEB9C26-5429-499E-B680-53A68A72B45C}" userId="S::pierre.mollet@vogelwarte.ch::797215bc-d0f3-4d93-bc75-f68a509b5a21" providerId="AD"/>
  <person displayName="Michael Schaub" id="{10D4F190-4B27-43B1-8FC6-862D02A5195C}" userId="S::michael.schaub@vogelwarte.ch::a9163267-7c3f-4425-9944-43b0260635b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 dT="2022-08-23T12:19:41.53" personId="{10D4F190-4B27-43B1-8FC6-862D02A5195C}" id="{62A58E20-3D5A-4FC4-94F8-958938CA0F01}">
    <text>Der Ort kann einigermassen grob sein, Bsp.  'UG' (Untersuchungsgebiet in dem die Schnepfen beringt und untersucht wurden), 'Franche Comté', 'Frankreich (Rest)', 'Iberien', ...</text>
  </threadedComment>
  <threadedComment ref="H1" dT="2022-08-23T12:20:27.06" personId="{10D4F190-4B27-43B1-8FC6-862D02A5195C}" id="{185CFD26-82F7-4E86-B43D-DFBACF062172}">
    <text>Falls Du Latitude und Longitude hast, auch erfassen. Ist aber nicht zwingend.</text>
  </threadedComment>
  <threadedComment ref="J1" dT="2022-08-23T12:15:36.38" personId="{10D4F190-4B27-43B1-8FC6-862D02A5195C}" id="{1B6762DD-FFBF-4250-9500-C34D2BF661E7}">
    <text>Es gibt 'Fang', 'Ablesung', 'Totfund', oder 'Senderlokalisation'</text>
  </threadedComment>
  <threadedComment ref="J1" dT="2022-09-05T06:58:53.10" personId="{2FEB9C26-5429-499E-B680-53A68A72B45C}" id="{A06C671B-CC30-4E80-A038-AA6D26B45AB1}" parentId="{1B6762DD-FFBF-4250-9500-C34D2BF661E7}">
    <text>"Ablesung" bei der Waldschnepfe eher nicht, dafür "Senderfund" (wenn unklar ist, was mit dem Vogel passierte)</text>
  </threadedComment>
  <threadedComment ref="L1" dT="2022-08-23T12:14:37.08" personId="{10D4F190-4B27-43B1-8FC6-862D02A5195C}" id="{1FB76D5F-8FB3-4B0A-ADC4-C1142B521B37}">
    <text>Markierung ist entweder 'Ring' oder 'Sender'. Es muss nur 'Sender' eingetragen werden, wenn der Vogel bei dieser Beobachtung einen Sender trägt oder bekommt (Bsp. wenn er gefangen wurde und einen Sender bekommt)</text>
  </threadedComment>
  <threadedComment ref="M1" dT="2025-01-27T14:29:15.09" personId="{15C5F0AD-4381-4B45-BB14-79C8ACDB5DF0}" id="{9B07E4B2-C0BF-469E-AB83-549CED400EB2}">
    <text>Entweder VHF oder ARGOS oder (falls kein Sender) leer lassen</text>
  </threadedComment>
  <threadedComment ref="N1" dT="2022-08-23T12:22:12.12" personId="{10D4F190-4B27-43B1-8FC6-862D02A5195C}" id="{B965F536-0430-4242-8C15-103C822B03E3}">
    <text xml:space="preserve">Hier gibt es nur einen Eintrag bei Vögeln mit Sender. Ein 'Ja' bedeutet, dass dies die letzte Ortung war, nachher war der Sender abgefallen, kaputt oder die Batterie am Ende. </text>
  </threadedComment>
  <threadedComment ref="O1" dT="2022-08-23T12:21:32.51" personId="{10D4F190-4B27-43B1-8FC6-862D02A5195C}" id="{A7F18EB7-4C62-4CB5-B625-F0DCF7FC870E}">
    <text>Das Alter bei Erstfang (Bsp. Euring Code). Bei späteren Wiederfunden braucht es das Alter nicht mehr.</text>
  </threadedComment>
</ThreadedComments>
</file>

<file path=xl/threadedComments/threadedComment2.xml><?xml version="1.0" encoding="utf-8"?>
<ThreadedComments xmlns="http://schemas.microsoft.com/office/spreadsheetml/2018/threadedcomments" xmlns:x="http://schemas.openxmlformats.org/spreadsheetml/2006/main">
  <threadedComment ref="H1" dT="2022-08-23T12:19:41.53" personId="{10D4F190-4B27-43B1-8FC6-862D02A5195C}" id="{3D9FD542-F86C-4860-8547-85B956D53918}">
    <text>Der Ort kann einigermassen grob sein, Bsp.  'UG' (Untersuchungsgebiet in dem die Schnepfen beringt und untersucht wurden), 'Franche Comté', 'Frankreich (Rest)', 'Iberien', ...</text>
  </threadedComment>
  <threadedComment ref="I1" dT="2022-08-23T12:20:27.06" personId="{10D4F190-4B27-43B1-8FC6-862D02A5195C}" id="{20109251-937E-4E75-8EA8-17D30309D635}">
    <text>Falls Du Latitude und Longitude hast, auch erfassen. Ist aber nicht zwingend.</text>
  </threadedComment>
  <threadedComment ref="K1" dT="2022-08-23T12:15:36.38" personId="{10D4F190-4B27-43B1-8FC6-862D02A5195C}" id="{BCB64044-25EA-4D0D-AF61-A51981B17FCD}">
    <text>Es gibt 'Fang', 'Ablesung', 'Totfund', oder 'Senderlokalisation'</text>
  </threadedComment>
  <threadedComment ref="K1" dT="2022-09-05T06:58:53.10" personId="{2FEB9C26-5429-499E-B680-53A68A72B45C}" id="{7CE71FB2-7DA8-460E-AC22-3F656F711452}" parentId="{BCB64044-25EA-4D0D-AF61-A51981B17FCD}">
    <text>"Ablesung" bei der Waldschnepfe eher nicht, dafür "Senderfund" (wenn unklar ist, was mit dem Vogel passierte)</text>
  </threadedComment>
  <threadedComment ref="M1" dT="2022-08-23T12:14:37.08" personId="{10D4F190-4B27-43B1-8FC6-862D02A5195C}" id="{CBF4981A-5187-4D43-9EE0-7D2578B3CD2D}">
    <text>Markierung ist entweder 'Ring' oder 'Sender'. Es muss nur 'Sender' eingetragen werden, wenn der Vogel bei dieser Beobachtung einen Sender trägt oder bekommt (Bsp. wenn er gefangen wurde und einen Sender bekommt)</text>
  </threadedComment>
  <threadedComment ref="N1" dT="2025-01-27T14:29:15.09" personId="{15C5F0AD-4381-4B45-BB14-79C8ACDB5DF0}" id="{AFA8E27E-8BC1-4806-A456-6077CEE5A5BC}">
    <text>Entweder VHF oder ARGOS oder (falls kein Sender) leer lassen</text>
  </threadedComment>
  <threadedComment ref="O1" dT="2022-08-23T12:22:12.12" personId="{10D4F190-4B27-43B1-8FC6-862D02A5195C}" id="{83EC132B-570E-44A9-88EC-7E7B34ADB962}">
    <text xml:space="preserve">Hier gibt es nur einen Eintrag bei Vögeln mit Sender. Ein 'Ja' bedeutet, dass dies die letzte Ortung war, nachher war der Sender abgefallen, kaputt oder die Batterie am Ende. </text>
  </threadedComment>
  <threadedComment ref="P1" dT="2022-08-23T12:21:32.51" personId="{10D4F190-4B27-43B1-8FC6-862D02A5195C}" id="{522F0779-93CB-49F2-B2FA-739657600B01}">
    <text>Das Alter bei Erstfang (Bsp. Euring Code). Bei späteren Wiederfunden braucht es das Alter nicht mehr.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B5F10-132F-4E02-AA8D-829C5A064F14}">
  <dimension ref="A1:P1161"/>
  <sheetViews>
    <sheetView workbookViewId="0">
      <pane ySplit="1" topLeftCell="A2" activePane="bottomLeft" state="frozen"/>
      <selection pane="bottomLeft" activeCell="A2" sqref="A2"/>
    </sheetView>
  </sheetViews>
  <sheetFormatPr baseColWidth="10" defaultColWidth="9.7109375" defaultRowHeight="15" x14ac:dyDescent="0.25"/>
  <cols>
    <col min="3" max="3" width="13.5703125" style="4" customWidth="1"/>
    <col min="4" max="6" width="13.5703125" style="14" customWidth="1"/>
    <col min="7" max="7" width="17" style="4" customWidth="1"/>
    <col min="8" max="9" width="9.7109375" style="4"/>
    <col min="10" max="10" width="21.85546875" style="4" customWidth="1"/>
    <col min="11" max="11" width="17.7109375" style="4" customWidth="1"/>
    <col min="12" max="13" width="17" style="4" customWidth="1"/>
    <col min="14" max="14" width="9.7109375" style="4"/>
    <col min="15" max="15" width="12.85546875" style="4" bestFit="1" customWidth="1"/>
    <col min="16" max="16" width="35.28515625" style="8" customWidth="1"/>
  </cols>
  <sheetData>
    <row r="1" spans="1:16" x14ac:dyDescent="0.25">
      <c r="A1" s="1" t="s">
        <v>0</v>
      </c>
      <c r="B1" s="1" t="s">
        <v>1</v>
      </c>
      <c r="C1" s="2" t="s">
        <v>2</v>
      </c>
      <c r="D1" s="2" t="s">
        <v>512</v>
      </c>
      <c r="E1" s="2" t="s">
        <v>513</v>
      </c>
      <c r="F1" s="2" t="s">
        <v>514</v>
      </c>
      <c r="G1" s="2" t="s">
        <v>3</v>
      </c>
      <c r="H1" s="2" t="s">
        <v>4</v>
      </c>
      <c r="I1" s="2" t="s">
        <v>5</v>
      </c>
      <c r="J1" s="2" t="s">
        <v>6</v>
      </c>
      <c r="K1" s="2" t="s">
        <v>7</v>
      </c>
      <c r="L1" s="2" t="s">
        <v>8</v>
      </c>
      <c r="M1" s="2" t="s">
        <v>9</v>
      </c>
      <c r="N1" s="2" t="s">
        <v>10</v>
      </c>
      <c r="O1" s="2" t="s">
        <v>11</v>
      </c>
      <c r="P1" s="7" t="s">
        <v>12</v>
      </c>
    </row>
    <row r="2" spans="1:16" x14ac:dyDescent="0.25">
      <c r="A2">
        <f t="shared" ref="A2:A65" si="0">RIGHT(B2,5)*1</f>
        <v>73976</v>
      </c>
      <c r="B2" t="s">
        <v>13</v>
      </c>
      <c r="C2" s="10">
        <v>38483</v>
      </c>
      <c r="D2" s="13">
        <f>YEAR(C2)</f>
        <v>2005</v>
      </c>
      <c r="E2" s="13">
        <f>MONTH(C2)</f>
        <v>5</v>
      </c>
      <c r="F2" s="13">
        <f>DAY(C2)</f>
        <v>11</v>
      </c>
      <c r="G2" s="4" t="s">
        <v>14</v>
      </c>
      <c r="H2">
        <v>46.929200000000002</v>
      </c>
      <c r="I2">
        <v>6.48</v>
      </c>
      <c r="J2" s="4" t="s">
        <v>15</v>
      </c>
      <c r="L2" s="4" t="s">
        <v>1</v>
      </c>
      <c r="N2" s="4" t="s">
        <v>16</v>
      </c>
      <c r="O2" s="4">
        <v>6</v>
      </c>
    </row>
    <row r="3" spans="1:16" x14ac:dyDescent="0.25">
      <c r="A3">
        <f t="shared" si="0"/>
        <v>73976</v>
      </c>
      <c r="B3" t="s">
        <v>13</v>
      </c>
      <c r="C3" s="10">
        <v>38890</v>
      </c>
      <c r="D3" s="13">
        <f t="shared" ref="D3:D66" si="1">YEAR(C3)</f>
        <v>2006</v>
      </c>
      <c r="E3" s="13">
        <f t="shared" ref="E3:E66" si="2">MONTH(C3)</f>
        <v>6</v>
      </c>
      <c r="F3" s="13">
        <f t="shared" ref="F3:F66" si="3">DAY(C3)</f>
        <v>22</v>
      </c>
      <c r="G3" s="4" t="s">
        <v>14</v>
      </c>
      <c r="H3">
        <v>46.929200000000002</v>
      </c>
      <c r="I3">
        <v>6.48</v>
      </c>
      <c r="J3" s="4" t="s">
        <v>15</v>
      </c>
      <c r="L3" s="4" t="s">
        <v>1</v>
      </c>
      <c r="N3" s="4" t="s">
        <v>16</v>
      </c>
    </row>
    <row r="4" spans="1:16" x14ac:dyDescent="0.25">
      <c r="A4">
        <f t="shared" si="0"/>
        <v>73976</v>
      </c>
      <c r="B4" t="s">
        <v>13</v>
      </c>
      <c r="C4" s="3">
        <v>38913</v>
      </c>
      <c r="D4" s="13">
        <f t="shared" si="1"/>
        <v>2006</v>
      </c>
      <c r="E4" s="13">
        <f t="shared" si="2"/>
        <v>7</v>
      </c>
      <c r="F4" s="13">
        <f t="shared" si="3"/>
        <v>15</v>
      </c>
      <c r="G4" s="4" t="s">
        <v>14</v>
      </c>
      <c r="H4">
        <v>46.929200000000002</v>
      </c>
      <c r="I4">
        <v>6.48</v>
      </c>
      <c r="J4" s="4" t="s">
        <v>15</v>
      </c>
      <c r="L4" s="4" t="s">
        <v>1</v>
      </c>
      <c r="N4" s="4" t="s">
        <v>16</v>
      </c>
    </row>
    <row r="5" spans="1:16" x14ac:dyDescent="0.25">
      <c r="A5">
        <f t="shared" si="0"/>
        <v>73976</v>
      </c>
      <c r="B5" t="s">
        <v>13</v>
      </c>
      <c r="C5" s="3">
        <v>39224</v>
      </c>
      <c r="D5" s="13">
        <f t="shared" si="1"/>
        <v>2007</v>
      </c>
      <c r="E5" s="13">
        <f t="shared" si="2"/>
        <v>5</v>
      </c>
      <c r="F5" s="13">
        <f t="shared" si="3"/>
        <v>22</v>
      </c>
      <c r="G5" s="4" t="s">
        <v>14</v>
      </c>
      <c r="H5">
        <v>46.929200000000002</v>
      </c>
      <c r="I5">
        <v>6.48</v>
      </c>
      <c r="J5" s="4" t="s">
        <v>15</v>
      </c>
      <c r="L5" s="4" t="s">
        <v>1</v>
      </c>
      <c r="N5" s="4" t="s">
        <v>16</v>
      </c>
    </row>
    <row r="6" spans="1:16" x14ac:dyDescent="0.25">
      <c r="A6">
        <f t="shared" si="0"/>
        <v>73976</v>
      </c>
      <c r="B6" t="s">
        <v>13</v>
      </c>
      <c r="C6" s="3">
        <v>39278</v>
      </c>
      <c r="D6" s="13">
        <f t="shared" si="1"/>
        <v>2007</v>
      </c>
      <c r="E6" s="13">
        <f t="shared" si="2"/>
        <v>7</v>
      </c>
      <c r="F6" s="13">
        <f t="shared" si="3"/>
        <v>15</v>
      </c>
      <c r="G6" s="4" t="s">
        <v>14</v>
      </c>
      <c r="H6">
        <v>46.929200000000002</v>
      </c>
      <c r="I6">
        <v>6.48</v>
      </c>
      <c r="J6" s="4" t="s">
        <v>15</v>
      </c>
      <c r="L6" s="4" t="s">
        <v>1</v>
      </c>
      <c r="N6" s="4" t="s">
        <v>16</v>
      </c>
    </row>
    <row r="7" spans="1:16" x14ac:dyDescent="0.25">
      <c r="A7">
        <f t="shared" si="0"/>
        <v>73976</v>
      </c>
      <c r="B7" t="s">
        <v>13</v>
      </c>
      <c r="C7" s="3">
        <v>39582</v>
      </c>
      <c r="D7" s="13">
        <f t="shared" si="1"/>
        <v>2008</v>
      </c>
      <c r="E7" s="13">
        <f t="shared" si="2"/>
        <v>5</v>
      </c>
      <c r="F7" s="13">
        <f t="shared" si="3"/>
        <v>14</v>
      </c>
      <c r="G7" s="4" t="s">
        <v>14</v>
      </c>
      <c r="H7">
        <v>46.929200000000002</v>
      </c>
      <c r="I7">
        <v>6.48</v>
      </c>
      <c r="J7" s="4" t="s">
        <v>15</v>
      </c>
      <c r="L7" s="4" t="s">
        <v>1</v>
      </c>
      <c r="N7" s="4" t="s">
        <v>16</v>
      </c>
    </row>
    <row r="8" spans="1:16" x14ac:dyDescent="0.25">
      <c r="A8">
        <f t="shared" si="0"/>
        <v>73976</v>
      </c>
      <c r="B8" t="s">
        <v>13</v>
      </c>
      <c r="C8" s="3">
        <v>39624</v>
      </c>
      <c r="D8" s="13">
        <f t="shared" si="1"/>
        <v>2008</v>
      </c>
      <c r="E8" s="13">
        <f t="shared" si="2"/>
        <v>6</v>
      </c>
      <c r="F8" s="13">
        <f t="shared" si="3"/>
        <v>25</v>
      </c>
      <c r="G8" s="4" t="s">
        <v>14</v>
      </c>
      <c r="H8">
        <v>46.929200000000002</v>
      </c>
      <c r="I8">
        <v>6.48</v>
      </c>
      <c r="J8" s="4" t="s">
        <v>15</v>
      </c>
      <c r="L8" s="4" t="s">
        <v>1</v>
      </c>
      <c r="N8" s="4" t="s">
        <v>16</v>
      </c>
    </row>
    <row r="9" spans="1:16" x14ac:dyDescent="0.25">
      <c r="A9">
        <f t="shared" si="0"/>
        <v>73976</v>
      </c>
      <c r="B9" t="s">
        <v>13</v>
      </c>
      <c r="C9" s="3">
        <v>39647</v>
      </c>
      <c r="D9" s="13">
        <f t="shared" si="1"/>
        <v>2008</v>
      </c>
      <c r="E9" s="13">
        <f t="shared" si="2"/>
        <v>7</v>
      </c>
      <c r="F9" s="13">
        <f t="shared" si="3"/>
        <v>18</v>
      </c>
      <c r="G9" s="4" t="s">
        <v>14</v>
      </c>
      <c r="H9">
        <v>46.929200000000002</v>
      </c>
      <c r="I9">
        <v>6.48</v>
      </c>
      <c r="J9" s="4" t="s">
        <v>15</v>
      </c>
      <c r="L9" s="4" t="s">
        <v>1</v>
      </c>
      <c r="N9" s="4" t="s">
        <v>16</v>
      </c>
    </row>
    <row r="10" spans="1:16" x14ac:dyDescent="0.25">
      <c r="A10">
        <f t="shared" si="0"/>
        <v>73976</v>
      </c>
      <c r="B10" t="s">
        <v>13</v>
      </c>
      <c r="C10" s="3">
        <v>39952</v>
      </c>
      <c r="D10" s="13">
        <f t="shared" si="1"/>
        <v>2009</v>
      </c>
      <c r="E10" s="13">
        <f t="shared" si="2"/>
        <v>5</v>
      </c>
      <c r="F10" s="13">
        <f t="shared" si="3"/>
        <v>19</v>
      </c>
      <c r="G10" s="4" t="s">
        <v>14</v>
      </c>
      <c r="H10">
        <v>46.929200000000002</v>
      </c>
      <c r="I10">
        <v>6.48</v>
      </c>
      <c r="J10" s="4" t="s">
        <v>15</v>
      </c>
      <c r="L10" s="4" t="s">
        <v>1</v>
      </c>
      <c r="N10" s="4" t="s">
        <v>16</v>
      </c>
    </row>
    <row r="11" spans="1:16" x14ac:dyDescent="0.25">
      <c r="A11">
        <f t="shared" si="0"/>
        <v>73976</v>
      </c>
      <c r="B11" t="s">
        <v>13</v>
      </c>
      <c r="C11" s="3">
        <v>39981</v>
      </c>
      <c r="D11" s="13">
        <f t="shared" si="1"/>
        <v>2009</v>
      </c>
      <c r="E11" s="13">
        <f t="shared" si="2"/>
        <v>6</v>
      </c>
      <c r="F11" s="13">
        <f t="shared" si="3"/>
        <v>17</v>
      </c>
      <c r="G11" s="4" t="s">
        <v>14</v>
      </c>
      <c r="H11">
        <v>46.929200000000002</v>
      </c>
      <c r="I11">
        <v>6.48</v>
      </c>
      <c r="J11" s="4" t="s">
        <v>15</v>
      </c>
      <c r="L11" s="4" t="s">
        <v>1</v>
      </c>
      <c r="N11" s="4" t="s">
        <v>16</v>
      </c>
    </row>
    <row r="12" spans="1:16" x14ac:dyDescent="0.25">
      <c r="A12">
        <f t="shared" si="0"/>
        <v>73976</v>
      </c>
      <c r="B12" t="s">
        <v>13</v>
      </c>
      <c r="C12" s="3">
        <v>40007</v>
      </c>
      <c r="D12" s="13">
        <f t="shared" si="1"/>
        <v>2009</v>
      </c>
      <c r="E12" s="13">
        <f t="shared" si="2"/>
        <v>7</v>
      </c>
      <c r="F12" s="13">
        <f t="shared" si="3"/>
        <v>13</v>
      </c>
      <c r="G12" s="4" t="s">
        <v>14</v>
      </c>
      <c r="H12">
        <v>46.929200000000002</v>
      </c>
      <c r="I12">
        <v>6.48</v>
      </c>
      <c r="J12" s="4" t="s">
        <v>15</v>
      </c>
      <c r="L12" s="4" t="s">
        <v>1</v>
      </c>
      <c r="N12" s="4" t="s">
        <v>16</v>
      </c>
    </row>
    <row r="13" spans="1:16" x14ac:dyDescent="0.25">
      <c r="A13">
        <f t="shared" si="0"/>
        <v>73976</v>
      </c>
      <c r="B13" t="s">
        <v>13</v>
      </c>
      <c r="C13" s="3">
        <v>40292</v>
      </c>
      <c r="D13" s="13">
        <f t="shared" si="1"/>
        <v>2010</v>
      </c>
      <c r="E13" s="13">
        <f t="shared" si="2"/>
        <v>4</v>
      </c>
      <c r="F13" s="13">
        <f t="shared" si="3"/>
        <v>24</v>
      </c>
      <c r="G13" s="4" t="s">
        <v>14</v>
      </c>
      <c r="H13">
        <v>46.929200000000002</v>
      </c>
      <c r="I13">
        <v>6.48</v>
      </c>
      <c r="J13" s="4" t="s">
        <v>15</v>
      </c>
      <c r="L13" s="4" t="s">
        <v>1</v>
      </c>
      <c r="N13" s="4" t="s">
        <v>17</v>
      </c>
    </row>
    <row r="14" spans="1:16" x14ac:dyDescent="0.25">
      <c r="A14">
        <f t="shared" si="0"/>
        <v>73978</v>
      </c>
      <c r="B14" t="s">
        <v>18</v>
      </c>
      <c r="C14" s="10">
        <v>38500</v>
      </c>
      <c r="D14" s="13">
        <f t="shared" si="1"/>
        <v>2005</v>
      </c>
      <c r="E14" s="13">
        <f t="shared" si="2"/>
        <v>5</v>
      </c>
      <c r="F14" s="13">
        <f t="shared" si="3"/>
        <v>28</v>
      </c>
      <c r="G14" s="4" t="s">
        <v>14</v>
      </c>
      <c r="H14">
        <v>46.929200000000002</v>
      </c>
      <c r="I14">
        <v>6.48</v>
      </c>
      <c r="J14" s="4" t="s">
        <v>15</v>
      </c>
      <c r="L14" s="4" t="s">
        <v>1</v>
      </c>
      <c r="N14" s="4" t="s">
        <v>16</v>
      </c>
      <c r="O14" s="4" t="s">
        <v>19</v>
      </c>
    </row>
    <row r="15" spans="1:16" x14ac:dyDescent="0.25">
      <c r="A15">
        <f t="shared" si="0"/>
        <v>73978</v>
      </c>
      <c r="B15" t="s">
        <v>18</v>
      </c>
      <c r="C15" s="10">
        <v>39756</v>
      </c>
      <c r="D15" s="13">
        <f t="shared" si="1"/>
        <v>2008</v>
      </c>
      <c r="E15" s="13">
        <f t="shared" si="2"/>
        <v>11</v>
      </c>
      <c r="F15" s="13">
        <f t="shared" si="3"/>
        <v>4</v>
      </c>
      <c r="G15" s="4" t="s">
        <v>20</v>
      </c>
      <c r="H15">
        <v>47.283299999999997</v>
      </c>
      <c r="I15">
        <v>6.2667000000000002</v>
      </c>
      <c r="J15" s="4" t="s">
        <v>21</v>
      </c>
      <c r="K15" s="4" t="s">
        <v>22</v>
      </c>
      <c r="L15" s="4" t="s">
        <v>1</v>
      </c>
      <c r="N15" s="4" t="s">
        <v>17</v>
      </c>
    </row>
    <row r="16" spans="1:16" x14ac:dyDescent="0.25">
      <c r="A16">
        <f t="shared" si="0"/>
        <v>73979</v>
      </c>
      <c r="B16" t="s">
        <v>23</v>
      </c>
      <c r="C16" s="10">
        <v>41122</v>
      </c>
      <c r="D16" s="13">
        <f t="shared" si="1"/>
        <v>2012</v>
      </c>
      <c r="E16" s="13">
        <f t="shared" si="2"/>
        <v>8</v>
      </c>
      <c r="F16" s="13">
        <f t="shared" si="3"/>
        <v>1</v>
      </c>
      <c r="G16" s="4" t="s">
        <v>14</v>
      </c>
      <c r="H16">
        <v>46.924700000000001</v>
      </c>
      <c r="I16">
        <v>6.4802999999999997</v>
      </c>
      <c r="J16" s="4" t="s">
        <v>15</v>
      </c>
      <c r="L16" s="4" t="s">
        <v>1</v>
      </c>
      <c r="N16" s="4" t="s">
        <v>17</v>
      </c>
      <c r="O16" s="4" t="s">
        <v>24</v>
      </c>
    </row>
    <row r="17" spans="1:15" x14ac:dyDescent="0.25">
      <c r="A17">
        <f t="shared" si="0"/>
        <v>73980</v>
      </c>
      <c r="B17" t="s">
        <v>25</v>
      </c>
      <c r="C17" s="10">
        <v>41132</v>
      </c>
      <c r="D17" s="13">
        <f t="shared" si="1"/>
        <v>2012</v>
      </c>
      <c r="E17" s="13">
        <f t="shared" si="2"/>
        <v>8</v>
      </c>
      <c r="F17" s="13">
        <f t="shared" si="3"/>
        <v>11</v>
      </c>
      <c r="G17" s="4" t="s">
        <v>14</v>
      </c>
      <c r="H17">
        <v>46.924700000000001</v>
      </c>
      <c r="I17">
        <v>6.4802999999999997</v>
      </c>
      <c r="J17" s="4" t="s">
        <v>15</v>
      </c>
      <c r="L17" s="4" t="s">
        <v>1</v>
      </c>
      <c r="N17" s="4" t="s">
        <v>17</v>
      </c>
      <c r="O17" s="4" t="s">
        <v>24</v>
      </c>
    </row>
    <row r="18" spans="1:15" x14ac:dyDescent="0.25">
      <c r="A18">
        <f t="shared" si="0"/>
        <v>73981</v>
      </c>
      <c r="B18" t="s">
        <v>26</v>
      </c>
      <c r="C18" s="10">
        <v>41517</v>
      </c>
      <c r="D18" s="13">
        <f t="shared" si="1"/>
        <v>2013</v>
      </c>
      <c r="E18" s="13">
        <f t="shared" si="2"/>
        <v>8</v>
      </c>
      <c r="F18" s="13">
        <f t="shared" si="3"/>
        <v>31</v>
      </c>
      <c r="G18" s="4" t="s">
        <v>14</v>
      </c>
      <c r="H18">
        <v>46.924700000000001</v>
      </c>
      <c r="I18">
        <v>6.4802999999999997</v>
      </c>
      <c r="J18" s="4" t="s">
        <v>15</v>
      </c>
      <c r="L18" s="4" t="s">
        <v>1</v>
      </c>
      <c r="N18" s="4" t="s">
        <v>17</v>
      </c>
      <c r="O18" s="4" t="s">
        <v>27</v>
      </c>
    </row>
    <row r="19" spans="1:15" x14ac:dyDescent="0.25">
      <c r="A19">
        <f t="shared" si="0"/>
        <v>73982</v>
      </c>
      <c r="B19" t="s">
        <v>28</v>
      </c>
      <c r="C19" s="10">
        <v>41522</v>
      </c>
      <c r="D19" s="13">
        <f t="shared" si="1"/>
        <v>2013</v>
      </c>
      <c r="E19" s="13">
        <f t="shared" si="2"/>
        <v>9</v>
      </c>
      <c r="F19" s="13">
        <f t="shared" si="3"/>
        <v>5</v>
      </c>
      <c r="G19" s="4" t="s">
        <v>14</v>
      </c>
      <c r="H19">
        <v>46.955300000000001</v>
      </c>
      <c r="I19">
        <v>6.4981</v>
      </c>
      <c r="J19" s="4" t="s">
        <v>15</v>
      </c>
      <c r="L19" s="4" t="s">
        <v>1</v>
      </c>
      <c r="N19" s="4" t="s">
        <v>17</v>
      </c>
      <c r="O19" s="4" t="s">
        <v>29</v>
      </c>
    </row>
    <row r="20" spans="1:15" x14ac:dyDescent="0.25">
      <c r="A20">
        <f t="shared" si="0"/>
        <v>73983</v>
      </c>
      <c r="B20" t="s">
        <v>30</v>
      </c>
      <c r="C20" s="10">
        <v>41545</v>
      </c>
      <c r="D20" s="13">
        <f t="shared" si="1"/>
        <v>2013</v>
      </c>
      <c r="E20" s="13">
        <f t="shared" si="2"/>
        <v>9</v>
      </c>
      <c r="F20" s="13">
        <f t="shared" si="3"/>
        <v>28</v>
      </c>
      <c r="G20" s="4" t="s">
        <v>14</v>
      </c>
      <c r="H20">
        <v>46.955300000000001</v>
      </c>
      <c r="I20">
        <v>6.4981</v>
      </c>
      <c r="J20" s="4" t="s">
        <v>15</v>
      </c>
      <c r="L20" s="4" t="s">
        <v>1</v>
      </c>
      <c r="N20" s="4" t="s">
        <v>16</v>
      </c>
      <c r="O20" s="4" t="s">
        <v>27</v>
      </c>
    </row>
    <row r="21" spans="1:15" x14ac:dyDescent="0.25">
      <c r="A21">
        <f t="shared" si="0"/>
        <v>73983</v>
      </c>
      <c r="B21" t="s">
        <v>30</v>
      </c>
      <c r="C21" s="10">
        <v>41620</v>
      </c>
      <c r="D21" s="13">
        <f t="shared" si="1"/>
        <v>2013</v>
      </c>
      <c r="E21" s="13">
        <f t="shared" si="2"/>
        <v>12</v>
      </c>
      <c r="F21" s="13">
        <f t="shared" si="3"/>
        <v>12</v>
      </c>
      <c r="G21" s="4" t="s">
        <v>31</v>
      </c>
      <c r="H21">
        <v>43.9</v>
      </c>
      <c r="I21">
        <v>3.85</v>
      </c>
      <c r="J21" s="4" t="s">
        <v>21</v>
      </c>
      <c r="K21" s="4" t="s">
        <v>22</v>
      </c>
      <c r="L21" s="4" t="s">
        <v>1</v>
      </c>
      <c r="N21" s="4" t="s">
        <v>17</v>
      </c>
    </row>
    <row r="22" spans="1:15" x14ac:dyDescent="0.25">
      <c r="A22">
        <f t="shared" si="0"/>
        <v>73984</v>
      </c>
      <c r="B22" t="s">
        <v>32</v>
      </c>
      <c r="C22" s="10">
        <v>41563</v>
      </c>
      <c r="D22" s="13">
        <f t="shared" si="1"/>
        <v>2013</v>
      </c>
      <c r="E22" s="13">
        <f t="shared" si="2"/>
        <v>10</v>
      </c>
      <c r="F22" s="13">
        <f t="shared" si="3"/>
        <v>16</v>
      </c>
      <c r="G22" s="4" t="s">
        <v>14</v>
      </c>
      <c r="H22">
        <v>46.955300000000001</v>
      </c>
      <c r="I22">
        <v>6.4981</v>
      </c>
      <c r="J22" s="4" t="s">
        <v>15</v>
      </c>
      <c r="L22" s="4" t="s">
        <v>1</v>
      </c>
      <c r="N22" s="4" t="s">
        <v>17</v>
      </c>
      <c r="O22" s="4" t="s">
        <v>27</v>
      </c>
    </row>
    <row r="23" spans="1:15" x14ac:dyDescent="0.25">
      <c r="A23">
        <f t="shared" si="0"/>
        <v>73985</v>
      </c>
      <c r="B23" t="s">
        <v>33</v>
      </c>
      <c r="C23" s="10">
        <v>41811</v>
      </c>
      <c r="D23" s="13">
        <f t="shared" si="1"/>
        <v>2014</v>
      </c>
      <c r="E23" s="13">
        <f t="shared" si="2"/>
        <v>6</v>
      </c>
      <c r="F23" s="13">
        <f t="shared" si="3"/>
        <v>21</v>
      </c>
      <c r="G23" s="4" t="s">
        <v>14</v>
      </c>
      <c r="H23">
        <v>46.955300000000001</v>
      </c>
      <c r="I23">
        <v>6.4981</v>
      </c>
      <c r="J23" s="4" t="s">
        <v>15</v>
      </c>
      <c r="L23" s="4" t="s">
        <v>1</v>
      </c>
      <c r="N23" s="4" t="s">
        <v>16</v>
      </c>
      <c r="O23" s="4" t="s">
        <v>29</v>
      </c>
    </row>
    <row r="24" spans="1:15" x14ac:dyDescent="0.25">
      <c r="A24">
        <f t="shared" si="0"/>
        <v>73985</v>
      </c>
      <c r="B24" t="s">
        <v>33</v>
      </c>
      <c r="C24" s="10">
        <v>41955</v>
      </c>
      <c r="D24" s="13">
        <f t="shared" si="1"/>
        <v>2014</v>
      </c>
      <c r="E24" s="13">
        <f t="shared" si="2"/>
        <v>11</v>
      </c>
      <c r="F24" s="13">
        <f t="shared" si="3"/>
        <v>12</v>
      </c>
      <c r="G24" s="4" t="s">
        <v>20</v>
      </c>
      <c r="H24">
        <v>46.9</v>
      </c>
      <c r="I24">
        <v>6.3666999999999998</v>
      </c>
      <c r="J24" s="4" t="s">
        <v>21</v>
      </c>
      <c r="K24" s="4" t="s">
        <v>22</v>
      </c>
      <c r="L24" s="4" t="s">
        <v>1</v>
      </c>
      <c r="N24" s="4" t="s">
        <v>17</v>
      </c>
    </row>
    <row r="25" spans="1:15" x14ac:dyDescent="0.25">
      <c r="A25">
        <f t="shared" si="0"/>
        <v>73986</v>
      </c>
      <c r="B25" t="s">
        <v>34</v>
      </c>
      <c r="C25" s="10">
        <v>41820</v>
      </c>
      <c r="D25" s="13">
        <f t="shared" si="1"/>
        <v>2014</v>
      </c>
      <c r="E25" s="13">
        <f t="shared" si="2"/>
        <v>6</v>
      </c>
      <c r="F25" s="13">
        <f t="shared" si="3"/>
        <v>30</v>
      </c>
      <c r="G25" s="4" t="s">
        <v>14</v>
      </c>
      <c r="H25">
        <v>46.955300000000001</v>
      </c>
      <c r="I25">
        <v>6.4981</v>
      </c>
      <c r="J25" s="4" t="s">
        <v>15</v>
      </c>
      <c r="L25" s="4" t="s">
        <v>1</v>
      </c>
      <c r="N25" s="4" t="s">
        <v>17</v>
      </c>
      <c r="O25" s="4" t="s">
        <v>35</v>
      </c>
    </row>
    <row r="26" spans="1:15" x14ac:dyDescent="0.25">
      <c r="A26">
        <f t="shared" si="0"/>
        <v>73987</v>
      </c>
      <c r="B26" t="s">
        <v>36</v>
      </c>
      <c r="C26" s="10">
        <v>41876</v>
      </c>
      <c r="D26" s="13">
        <f t="shared" si="1"/>
        <v>2014</v>
      </c>
      <c r="E26" s="13">
        <f t="shared" si="2"/>
        <v>8</v>
      </c>
      <c r="F26" s="13">
        <f t="shared" si="3"/>
        <v>25</v>
      </c>
      <c r="G26" s="4" t="s">
        <v>14</v>
      </c>
      <c r="H26">
        <v>46.955300000000001</v>
      </c>
      <c r="I26">
        <v>6.4981</v>
      </c>
      <c r="J26" s="4" t="s">
        <v>15</v>
      </c>
      <c r="L26" s="4" t="s">
        <v>1</v>
      </c>
      <c r="N26" s="4" t="s">
        <v>16</v>
      </c>
      <c r="O26" s="4" t="s">
        <v>29</v>
      </c>
    </row>
    <row r="27" spans="1:15" x14ac:dyDescent="0.25">
      <c r="A27">
        <f t="shared" si="0"/>
        <v>73987</v>
      </c>
      <c r="B27" t="s">
        <v>36</v>
      </c>
      <c r="C27" s="10">
        <v>43999</v>
      </c>
      <c r="D27" s="13">
        <f t="shared" si="1"/>
        <v>2020</v>
      </c>
      <c r="E27" s="13">
        <f t="shared" si="2"/>
        <v>6</v>
      </c>
      <c r="F27" s="13">
        <f t="shared" si="3"/>
        <v>17</v>
      </c>
      <c r="G27" s="4" t="s">
        <v>14</v>
      </c>
      <c r="H27">
        <v>46.955399999999997</v>
      </c>
      <c r="I27">
        <v>6.5072000000000001</v>
      </c>
      <c r="J27" s="4" t="s">
        <v>15</v>
      </c>
      <c r="L27" s="4" t="s">
        <v>1</v>
      </c>
      <c r="N27" s="4" t="s">
        <v>16</v>
      </c>
    </row>
    <row r="28" spans="1:15" x14ac:dyDescent="0.25">
      <c r="A28">
        <f t="shared" si="0"/>
        <v>73987</v>
      </c>
      <c r="B28" t="s">
        <v>36</v>
      </c>
      <c r="C28" s="10">
        <v>44308</v>
      </c>
      <c r="D28" s="13">
        <f t="shared" si="1"/>
        <v>2021</v>
      </c>
      <c r="E28" s="13">
        <f t="shared" si="2"/>
        <v>4</v>
      </c>
      <c r="F28" s="13">
        <f t="shared" si="3"/>
        <v>22</v>
      </c>
      <c r="G28" s="4" t="s">
        <v>14</v>
      </c>
      <c r="H28">
        <v>46.924500000000002</v>
      </c>
      <c r="I28">
        <v>6.4762000000000004</v>
      </c>
      <c r="J28" s="4" t="s">
        <v>15</v>
      </c>
      <c r="L28" s="4" t="s">
        <v>1</v>
      </c>
      <c r="N28" s="4" t="s">
        <v>16</v>
      </c>
    </row>
    <row r="29" spans="1:15" x14ac:dyDescent="0.25">
      <c r="A29">
        <f t="shared" si="0"/>
        <v>73987</v>
      </c>
      <c r="B29" t="s">
        <v>36</v>
      </c>
      <c r="C29" s="10">
        <v>44385</v>
      </c>
      <c r="D29" s="13">
        <f t="shared" si="1"/>
        <v>2021</v>
      </c>
      <c r="E29" s="13">
        <f t="shared" si="2"/>
        <v>7</v>
      </c>
      <c r="F29" s="13">
        <f t="shared" si="3"/>
        <v>8</v>
      </c>
      <c r="G29" s="4" t="s">
        <v>14</v>
      </c>
      <c r="H29">
        <v>46.962600000000002</v>
      </c>
      <c r="I29">
        <v>6.5057</v>
      </c>
      <c r="J29" s="4" t="s">
        <v>15</v>
      </c>
      <c r="L29" s="4" t="s">
        <v>1</v>
      </c>
      <c r="N29" s="4" t="s">
        <v>16</v>
      </c>
    </row>
    <row r="30" spans="1:15" x14ac:dyDescent="0.25">
      <c r="A30">
        <f t="shared" si="0"/>
        <v>73987</v>
      </c>
      <c r="B30" t="s">
        <v>36</v>
      </c>
      <c r="C30" s="10">
        <v>44528</v>
      </c>
      <c r="D30" s="13">
        <f t="shared" si="1"/>
        <v>2021</v>
      </c>
      <c r="E30" s="13">
        <f t="shared" si="2"/>
        <v>11</v>
      </c>
      <c r="F30" s="13">
        <f t="shared" si="3"/>
        <v>28</v>
      </c>
      <c r="G30" s="4" t="s">
        <v>20</v>
      </c>
      <c r="H30">
        <v>47.510800000000003</v>
      </c>
      <c r="I30">
        <v>6.3327999999999998</v>
      </c>
      <c r="J30" s="4" t="s">
        <v>21</v>
      </c>
      <c r="K30" s="4" t="s">
        <v>22</v>
      </c>
      <c r="L30" s="4" t="s">
        <v>1</v>
      </c>
      <c r="N30" s="4" t="s">
        <v>17</v>
      </c>
    </row>
    <row r="31" spans="1:15" x14ac:dyDescent="0.25">
      <c r="A31">
        <f t="shared" si="0"/>
        <v>73988</v>
      </c>
      <c r="B31" t="s">
        <v>37</v>
      </c>
      <c r="C31" s="10">
        <v>41892</v>
      </c>
      <c r="D31" s="13">
        <f t="shared" si="1"/>
        <v>2014</v>
      </c>
      <c r="E31" s="13">
        <f t="shared" si="2"/>
        <v>9</v>
      </c>
      <c r="F31" s="13">
        <f t="shared" si="3"/>
        <v>10</v>
      </c>
      <c r="G31" s="4" t="s">
        <v>14</v>
      </c>
      <c r="H31">
        <v>46.955300000000001</v>
      </c>
      <c r="I31">
        <v>6.4981</v>
      </c>
      <c r="J31" s="4" t="s">
        <v>15</v>
      </c>
      <c r="L31" s="4" t="s">
        <v>1</v>
      </c>
      <c r="N31" s="4" t="s">
        <v>16</v>
      </c>
      <c r="O31" s="4" t="s">
        <v>29</v>
      </c>
    </row>
    <row r="32" spans="1:15" x14ac:dyDescent="0.25">
      <c r="A32">
        <f t="shared" si="0"/>
        <v>73988</v>
      </c>
      <c r="B32" t="s">
        <v>37</v>
      </c>
      <c r="C32" s="10">
        <v>42334</v>
      </c>
      <c r="D32" s="13">
        <f t="shared" si="1"/>
        <v>2015</v>
      </c>
      <c r="E32" s="13">
        <f t="shared" si="2"/>
        <v>11</v>
      </c>
      <c r="F32" s="13">
        <f t="shared" si="3"/>
        <v>26</v>
      </c>
      <c r="G32" s="4" t="s">
        <v>31</v>
      </c>
      <c r="H32">
        <v>43.783299999999997</v>
      </c>
      <c r="I32">
        <v>6</v>
      </c>
      <c r="J32" s="4" t="s">
        <v>21</v>
      </c>
      <c r="K32" s="4" t="s">
        <v>22</v>
      </c>
      <c r="L32" s="4" t="s">
        <v>1</v>
      </c>
      <c r="N32" s="4" t="s">
        <v>17</v>
      </c>
    </row>
    <row r="33" spans="1:15" x14ac:dyDescent="0.25">
      <c r="A33">
        <f t="shared" si="0"/>
        <v>73989</v>
      </c>
      <c r="B33" t="s">
        <v>38</v>
      </c>
      <c r="C33" s="10">
        <v>41914</v>
      </c>
      <c r="D33" s="13">
        <f t="shared" si="1"/>
        <v>2014</v>
      </c>
      <c r="E33" s="13">
        <f t="shared" si="2"/>
        <v>10</v>
      </c>
      <c r="F33" s="13">
        <f t="shared" si="3"/>
        <v>2</v>
      </c>
      <c r="G33" s="4" t="s">
        <v>14</v>
      </c>
      <c r="H33">
        <v>46.955300000000001</v>
      </c>
      <c r="I33">
        <v>6.4981</v>
      </c>
      <c r="J33" s="4" t="s">
        <v>15</v>
      </c>
      <c r="L33" s="4" t="s">
        <v>1</v>
      </c>
      <c r="N33" s="4" t="s">
        <v>16</v>
      </c>
      <c r="O33" s="4" t="s">
        <v>29</v>
      </c>
    </row>
    <row r="34" spans="1:15" x14ac:dyDescent="0.25">
      <c r="A34">
        <f t="shared" si="0"/>
        <v>73989</v>
      </c>
      <c r="B34" t="s">
        <v>38</v>
      </c>
      <c r="C34" s="10">
        <v>41939</v>
      </c>
      <c r="D34" s="13">
        <f t="shared" si="1"/>
        <v>2014</v>
      </c>
      <c r="E34" s="13">
        <f t="shared" si="2"/>
        <v>10</v>
      </c>
      <c r="F34" s="13">
        <f t="shared" si="3"/>
        <v>27</v>
      </c>
      <c r="G34" s="4" t="s">
        <v>20</v>
      </c>
      <c r="H34">
        <v>47</v>
      </c>
      <c r="I34">
        <v>6.4832999999999998</v>
      </c>
      <c r="J34" s="4" t="s">
        <v>21</v>
      </c>
      <c r="K34" s="4" t="s">
        <v>22</v>
      </c>
      <c r="L34" s="4" t="s">
        <v>1</v>
      </c>
      <c r="N34" s="4" t="s">
        <v>17</v>
      </c>
    </row>
    <row r="35" spans="1:15" x14ac:dyDescent="0.25">
      <c r="A35">
        <f t="shared" si="0"/>
        <v>73990</v>
      </c>
      <c r="B35" t="s">
        <v>39</v>
      </c>
      <c r="C35" s="10">
        <v>41940</v>
      </c>
      <c r="D35" s="13">
        <f t="shared" si="1"/>
        <v>2014</v>
      </c>
      <c r="E35" s="13">
        <f t="shared" si="2"/>
        <v>10</v>
      </c>
      <c r="F35" s="13">
        <f t="shared" si="3"/>
        <v>28</v>
      </c>
      <c r="G35" s="4" t="s">
        <v>14</v>
      </c>
      <c r="H35">
        <v>46.955300000000001</v>
      </c>
      <c r="I35">
        <v>6.4981</v>
      </c>
      <c r="J35" s="4" t="s">
        <v>15</v>
      </c>
      <c r="L35" s="4" t="s">
        <v>1</v>
      </c>
      <c r="N35" s="4" t="s">
        <v>17</v>
      </c>
      <c r="O35" s="4" t="s">
        <v>24</v>
      </c>
    </row>
    <row r="36" spans="1:15" x14ac:dyDescent="0.25">
      <c r="A36">
        <f t="shared" si="0"/>
        <v>73991</v>
      </c>
      <c r="B36" t="s">
        <v>40</v>
      </c>
      <c r="C36" s="10">
        <v>42157</v>
      </c>
      <c r="D36" s="13">
        <f t="shared" si="1"/>
        <v>2015</v>
      </c>
      <c r="E36" s="13">
        <f t="shared" si="2"/>
        <v>6</v>
      </c>
      <c r="F36" s="13">
        <f t="shared" si="3"/>
        <v>2</v>
      </c>
      <c r="G36" s="4" t="s">
        <v>14</v>
      </c>
      <c r="H36">
        <v>46.955300000000001</v>
      </c>
      <c r="I36">
        <v>6.4981</v>
      </c>
      <c r="J36" s="4" t="s">
        <v>15</v>
      </c>
      <c r="L36" s="4" t="s">
        <v>1</v>
      </c>
      <c r="N36" s="4" t="s">
        <v>17</v>
      </c>
      <c r="O36" s="4" t="s">
        <v>27</v>
      </c>
    </row>
    <row r="37" spans="1:15" x14ac:dyDescent="0.25">
      <c r="A37">
        <f t="shared" si="0"/>
        <v>73992</v>
      </c>
      <c r="B37" t="s">
        <v>41</v>
      </c>
      <c r="C37" s="3">
        <v>42158</v>
      </c>
      <c r="D37" s="13">
        <f t="shared" si="1"/>
        <v>2015</v>
      </c>
      <c r="E37" s="13">
        <f t="shared" si="2"/>
        <v>6</v>
      </c>
      <c r="F37" s="13">
        <f t="shared" si="3"/>
        <v>3</v>
      </c>
      <c r="G37" s="4" t="s">
        <v>14</v>
      </c>
      <c r="H37">
        <v>46.955300000000001</v>
      </c>
      <c r="I37">
        <v>6.4981</v>
      </c>
      <c r="J37" s="4" t="s">
        <v>15</v>
      </c>
      <c r="L37" s="4" t="s">
        <v>1</v>
      </c>
      <c r="N37" s="4" t="s">
        <v>16</v>
      </c>
      <c r="O37" s="4">
        <v>8</v>
      </c>
    </row>
    <row r="38" spans="1:15" x14ac:dyDescent="0.25">
      <c r="A38">
        <f t="shared" si="0"/>
        <v>73992</v>
      </c>
      <c r="B38" t="s">
        <v>41</v>
      </c>
      <c r="C38" s="3">
        <v>42850</v>
      </c>
      <c r="D38" s="13">
        <f t="shared" si="1"/>
        <v>2017</v>
      </c>
      <c r="E38" s="13">
        <f t="shared" si="2"/>
        <v>4</v>
      </c>
      <c r="F38" s="13">
        <f t="shared" si="3"/>
        <v>25</v>
      </c>
      <c r="G38" s="4" t="s">
        <v>14</v>
      </c>
      <c r="H38">
        <v>46.942500000000003</v>
      </c>
      <c r="I38">
        <v>6.4771999999999998</v>
      </c>
      <c r="J38" s="4" t="s">
        <v>15</v>
      </c>
      <c r="L38" s="4" t="s">
        <v>42</v>
      </c>
      <c r="M38" s="4" t="s">
        <v>43</v>
      </c>
      <c r="N38" s="4" t="s">
        <v>16</v>
      </c>
    </row>
    <row r="39" spans="1:15" x14ac:dyDescent="0.25">
      <c r="A39">
        <f t="shared" si="0"/>
        <v>73992</v>
      </c>
      <c r="B39" t="s">
        <v>41</v>
      </c>
      <c r="C39" s="3">
        <v>42878</v>
      </c>
      <c r="D39" s="13">
        <f t="shared" si="1"/>
        <v>2017</v>
      </c>
      <c r="E39" s="13">
        <f t="shared" si="2"/>
        <v>5</v>
      </c>
      <c r="F39" s="13">
        <f t="shared" si="3"/>
        <v>23</v>
      </c>
      <c r="G39" s="4" t="s">
        <v>14</v>
      </c>
      <c r="H39">
        <v>47.045408010542793</v>
      </c>
      <c r="I39">
        <v>6.5586290064029216</v>
      </c>
      <c r="J39" s="4" t="s">
        <v>44</v>
      </c>
      <c r="L39" s="4" t="s">
        <v>42</v>
      </c>
      <c r="M39" s="4" t="s">
        <v>43</v>
      </c>
      <c r="N39" s="4" t="s">
        <v>16</v>
      </c>
    </row>
    <row r="40" spans="1:15" x14ac:dyDescent="0.25">
      <c r="A40">
        <f t="shared" si="0"/>
        <v>73992</v>
      </c>
      <c r="B40" t="s">
        <v>41</v>
      </c>
      <c r="C40" s="3">
        <v>42961</v>
      </c>
      <c r="D40" s="13">
        <f t="shared" si="1"/>
        <v>2017</v>
      </c>
      <c r="E40" s="13">
        <f t="shared" si="2"/>
        <v>8</v>
      </c>
      <c r="F40" s="13">
        <f t="shared" si="3"/>
        <v>14</v>
      </c>
      <c r="G40" s="4" t="s">
        <v>14</v>
      </c>
      <c r="H40">
        <v>46.941880010447527</v>
      </c>
      <c r="I40">
        <v>6.809370006703646</v>
      </c>
      <c r="J40" s="4" t="s">
        <v>44</v>
      </c>
      <c r="L40" s="4" t="s">
        <v>42</v>
      </c>
      <c r="M40" s="4" t="s">
        <v>43</v>
      </c>
      <c r="N40" s="4" t="s">
        <v>17</v>
      </c>
    </row>
    <row r="41" spans="1:15" x14ac:dyDescent="0.25">
      <c r="A41">
        <f t="shared" si="0"/>
        <v>73994</v>
      </c>
      <c r="B41" t="s">
        <v>45</v>
      </c>
      <c r="C41" s="10">
        <v>42196</v>
      </c>
      <c r="D41" s="13">
        <f t="shared" si="1"/>
        <v>2015</v>
      </c>
      <c r="E41" s="13">
        <f t="shared" si="2"/>
        <v>7</v>
      </c>
      <c r="F41" s="13">
        <f t="shared" si="3"/>
        <v>11</v>
      </c>
      <c r="G41" s="4" t="s">
        <v>14</v>
      </c>
      <c r="H41">
        <v>46.955300000000001</v>
      </c>
      <c r="I41">
        <v>6.4981</v>
      </c>
      <c r="J41" s="4" t="s">
        <v>15</v>
      </c>
      <c r="L41" s="4" t="s">
        <v>1</v>
      </c>
      <c r="N41" s="4" t="s">
        <v>16</v>
      </c>
      <c r="O41" s="4" t="s">
        <v>29</v>
      </c>
    </row>
    <row r="42" spans="1:15" x14ac:dyDescent="0.25">
      <c r="A42">
        <f t="shared" si="0"/>
        <v>73994</v>
      </c>
      <c r="B42" t="s">
        <v>45</v>
      </c>
      <c r="C42" s="10">
        <v>42669</v>
      </c>
      <c r="D42" s="13">
        <f t="shared" si="1"/>
        <v>2016</v>
      </c>
      <c r="E42" s="13">
        <f t="shared" si="2"/>
        <v>10</v>
      </c>
      <c r="F42" s="13">
        <f t="shared" si="3"/>
        <v>26</v>
      </c>
      <c r="G42" s="4" t="s">
        <v>20</v>
      </c>
      <c r="H42">
        <v>47.05</v>
      </c>
      <c r="I42">
        <v>6.4832999999999998</v>
      </c>
      <c r="J42" s="4" t="s">
        <v>21</v>
      </c>
      <c r="K42" s="4" t="s">
        <v>22</v>
      </c>
      <c r="L42" s="4" t="s">
        <v>1</v>
      </c>
      <c r="N42" s="4" t="s">
        <v>17</v>
      </c>
    </row>
    <row r="43" spans="1:15" x14ac:dyDescent="0.25">
      <c r="A43">
        <f t="shared" si="0"/>
        <v>73995</v>
      </c>
      <c r="B43" t="s">
        <v>46</v>
      </c>
      <c r="C43" s="10">
        <v>42200</v>
      </c>
      <c r="D43" s="13">
        <f t="shared" si="1"/>
        <v>2015</v>
      </c>
      <c r="E43" s="13">
        <f t="shared" si="2"/>
        <v>7</v>
      </c>
      <c r="F43" s="13">
        <f t="shared" si="3"/>
        <v>15</v>
      </c>
      <c r="G43" s="4" t="s">
        <v>14</v>
      </c>
      <c r="H43">
        <v>46.955300000000001</v>
      </c>
      <c r="I43">
        <v>6.4981</v>
      </c>
      <c r="J43" s="4" t="s">
        <v>15</v>
      </c>
      <c r="L43" s="4" t="s">
        <v>1</v>
      </c>
      <c r="N43" s="4" t="s">
        <v>17</v>
      </c>
      <c r="O43" s="4" t="s">
        <v>29</v>
      </c>
    </row>
    <row r="44" spans="1:15" x14ac:dyDescent="0.25">
      <c r="A44">
        <f t="shared" si="0"/>
        <v>73996</v>
      </c>
      <c r="B44" t="s">
        <v>47</v>
      </c>
      <c r="C44" s="10">
        <v>42221</v>
      </c>
      <c r="D44" s="13">
        <f t="shared" si="1"/>
        <v>2015</v>
      </c>
      <c r="E44" s="13">
        <f t="shared" si="2"/>
        <v>8</v>
      </c>
      <c r="F44" s="13">
        <f t="shared" si="3"/>
        <v>5</v>
      </c>
      <c r="G44" s="4" t="s">
        <v>14</v>
      </c>
      <c r="H44">
        <v>46.955300000000001</v>
      </c>
      <c r="I44">
        <v>6.4981</v>
      </c>
      <c r="J44" s="4" t="s">
        <v>15</v>
      </c>
      <c r="L44" s="4" t="s">
        <v>1</v>
      </c>
      <c r="N44" s="4" t="s">
        <v>16</v>
      </c>
      <c r="O44" s="4" t="s">
        <v>27</v>
      </c>
    </row>
    <row r="45" spans="1:15" x14ac:dyDescent="0.25">
      <c r="A45">
        <f t="shared" si="0"/>
        <v>73996</v>
      </c>
      <c r="B45" t="s">
        <v>47</v>
      </c>
      <c r="C45" s="10">
        <v>43058</v>
      </c>
      <c r="D45" s="13">
        <f t="shared" si="1"/>
        <v>2017</v>
      </c>
      <c r="E45" s="13">
        <f t="shared" si="2"/>
        <v>11</v>
      </c>
      <c r="F45" s="13">
        <f t="shared" si="3"/>
        <v>19</v>
      </c>
      <c r="G45" s="4" t="s">
        <v>48</v>
      </c>
      <c r="H45">
        <v>42.133299999999998</v>
      </c>
      <c r="I45">
        <v>-0.4</v>
      </c>
      <c r="J45" s="4" t="s">
        <v>21</v>
      </c>
      <c r="K45" s="4" t="s">
        <v>22</v>
      </c>
      <c r="L45" s="4" t="s">
        <v>1</v>
      </c>
      <c r="N45" s="4" t="s">
        <v>17</v>
      </c>
    </row>
    <row r="46" spans="1:15" x14ac:dyDescent="0.25">
      <c r="A46">
        <f t="shared" si="0"/>
        <v>73997</v>
      </c>
      <c r="B46" t="s">
        <v>49</v>
      </c>
      <c r="C46" s="10">
        <v>42223</v>
      </c>
      <c r="D46" s="13">
        <f t="shared" si="1"/>
        <v>2015</v>
      </c>
      <c r="E46" s="13">
        <f t="shared" si="2"/>
        <v>8</v>
      </c>
      <c r="F46" s="13">
        <f t="shared" si="3"/>
        <v>7</v>
      </c>
      <c r="G46" s="4" t="s">
        <v>14</v>
      </c>
      <c r="H46">
        <v>46.955300000000001</v>
      </c>
      <c r="I46">
        <v>6.4981</v>
      </c>
      <c r="J46" s="4" t="s">
        <v>15</v>
      </c>
      <c r="L46" s="4" t="s">
        <v>1</v>
      </c>
      <c r="N46" s="4" t="s">
        <v>17</v>
      </c>
      <c r="O46" s="4" t="s">
        <v>29</v>
      </c>
    </row>
    <row r="47" spans="1:15" x14ac:dyDescent="0.25">
      <c r="A47">
        <f t="shared" si="0"/>
        <v>73998</v>
      </c>
      <c r="B47" t="s">
        <v>50</v>
      </c>
      <c r="C47" s="10">
        <v>42246</v>
      </c>
      <c r="D47" s="13">
        <f t="shared" si="1"/>
        <v>2015</v>
      </c>
      <c r="E47" s="13">
        <f t="shared" si="2"/>
        <v>8</v>
      </c>
      <c r="F47" s="13">
        <f t="shared" si="3"/>
        <v>30</v>
      </c>
      <c r="G47" s="4" t="s">
        <v>14</v>
      </c>
      <c r="H47">
        <v>46.955300000000001</v>
      </c>
      <c r="I47">
        <v>6.4981</v>
      </c>
      <c r="J47" s="4" t="s">
        <v>15</v>
      </c>
      <c r="L47" s="4" t="s">
        <v>1</v>
      </c>
      <c r="N47" s="4" t="s">
        <v>17</v>
      </c>
      <c r="O47" s="4" t="s">
        <v>29</v>
      </c>
    </row>
    <row r="48" spans="1:15" x14ac:dyDescent="0.25">
      <c r="A48">
        <f t="shared" si="0"/>
        <v>73999</v>
      </c>
      <c r="B48" t="s">
        <v>51</v>
      </c>
      <c r="C48" s="10">
        <v>42250</v>
      </c>
      <c r="D48" s="13">
        <f t="shared" si="1"/>
        <v>2015</v>
      </c>
      <c r="E48" s="13">
        <f t="shared" si="2"/>
        <v>9</v>
      </c>
      <c r="F48" s="13">
        <f t="shared" si="3"/>
        <v>3</v>
      </c>
      <c r="G48" s="4" t="s">
        <v>14</v>
      </c>
      <c r="H48">
        <v>46.955300000000001</v>
      </c>
      <c r="I48">
        <v>6.4981</v>
      </c>
      <c r="J48" s="4" t="s">
        <v>15</v>
      </c>
      <c r="L48" s="4" t="s">
        <v>1</v>
      </c>
      <c r="N48" s="4" t="s">
        <v>16</v>
      </c>
      <c r="O48" s="4" t="s">
        <v>27</v>
      </c>
    </row>
    <row r="49" spans="1:15" x14ac:dyDescent="0.25">
      <c r="A49">
        <f t="shared" si="0"/>
        <v>73999</v>
      </c>
      <c r="B49" t="s">
        <v>51</v>
      </c>
      <c r="C49" s="10">
        <v>42497</v>
      </c>
      <c r="D49" s="13">
        <f t="shared" si="1"/>
        <v>2016</v>
      </c>
      <c r="E49" s="13">
        <f t="shared" si="2"/>
        <v>5</v>
      </c>
      <c r="F49" s="13">
        <f t="shared" si="3"/>
        <v>7</v>
      </c>
      <c r="G49" s="4" t="s">
        <v>14</v>
      </c>
      <c r="H49">
        <v>46.9681</v>
      </c>
      <c r="I49">
        <v>6.5175000000000001</v>
      </c>
      <c r="J49" s="4" t="s">
        <v>15</v>
      </c>
      <c r="L49" s="4" t="s">
        <v>42</v>
      </c>
      <c r="M49" s="4" t="s">
        <v>43</v>
      </c>
      <c r="N49" s="4" t="s">
        <v>16</v>
      </c>
    </row>
    <row r="50" spans="1:15" x14ac:dyDescent="0.25">
      <c r="A50">
        <f t="shared" si="0"/>
        <v>73999</v>
      </c>
      <c r="B50" t="s">
        <v>51</v>
      </c>
      <c r="C50" s="10">
        <v>42535</v>
      </c>
      <c r="D50" s="13">
        <f t="shared" si="1"/>
        <v>2016</v>
      </c>
      <c r="E50" s="13">
        <f t="shared" si="2"/>
        <v>6</v>
      </c>
      <c r="F50" s="13">
        <f t="shared" si="3"/>
        <v>14</v>
      </c>
      <c r="G50" s="4" t="s">
        <v>14</v>
      </c>
      <c r="H50">
        <v>46.9681</v>
      </c>
      <c r="I50">
        <v>6.5175000000000001</v>
      </c>
      <c r="J50" s="4" t="s">
        <v>15</v>
      </c>
      <c r="L50" s="4" t="s">
        <v>42</v>
      </c>
      <c r="M50" s="4" t="s">
        <v>43</v>
      </c>
      <c r="N50" s="4" t="s">
        <v>16</v>
      </c>
    </row>
    <row r="51" spans="1:15" x14ac:dyDescent="0.25">
      <c r="A51">
        <f t="shared" si="0"/>
        <v>73999</v>
      </c>
      <c r="B51" t="s">
        <v>51</v>
      </c>
      <c r="C51" s="10">
        <v>42566</v>
      </c>
      <c r="D51" s="13">
        <f t="shared" si="1"/>
        <v>2016</v>
      </c>
      <c r="E51" s="13">
        <f t="shared" si="2"/>
        <v>7</v>
      </c>
      <c r="F51" s="13">
        <f t="shared" si="3"/>
        <v>15</v>
      </c>
      <c r="G51" s="4" t="s">
        <v>14</v>
      </c>
      <c r="H51">
        <v>46.965844010520151</v>
      </c>
      <c r="I51">
        <v>6.5160360063721106</v>
      </c>
      <c r="J51" s="4" t="s">
        <v>44</v>
      </c>
      <c r="L51" s="4" t="s">
        <v>42</v>
      </c>
      <c r="M51" s="4" t="s">
        <v>43</v>
      </c>
      <c r="N51" s="4" t="s">
        <v>16</v>
      </c>
    </row>
    <row r="52" spans="1:15" x14ac:dyDescent="0.25">
      <c r="A52">
        <f t="shared" si="0"/>
        <v>73999</v>
      </c>
      <c r="B52" t="s">
        <v>51</v>
      </c>
      <c r="C52" s="10">
        <v>42599</v>
      </c>
      <c r="D52" s="13">
        <f t="shared" si="1"/>
        <v>2016</v>
      </c>
      <c r="E52" s="13">
        <f t="shared" si="2"/>
        <v>8</v>
      </c>
      <c r="F52" s="13">
        <f t="shared" si="3"/>
        <v>17</v>
      </c>
      <c r="G52" s="4" t="s">
        <v>14</v>
      </c>
      <c r="H52">
        <v>46.952832010518463</v>
      </c>
      <c r="I52">
        <v>6.4988090063555042</v>
      </c>
      <c r="J52" s="4" t="s">
        <v>44</v>
      </c>
      <c r="L52" s="4" t="s">
        <v>42</v>
      </c>
      <c r="M52" s="4" t="s">
        <v>43</v>
      </c>
      <c r="N52" s="4" t="s">
        <v>16</v>
      </c>
    </row>
    <row r="53" spans="1:15" x14ac:dyDescent="0.25">
      <c r="A53">
        <f t="shared" si="0"/>
        <v>73999</v>
      </c>
      <c r="B53" t="s">
        <v>51</v>
      </c>
      <c r="C53" s="10">
        <v>42629</v>
      </c>
      <c r="D53" s="13">
        <f t="shared" si="1"/>
        <v>2016</v>
      </c>
      <c r="E53" s="13">
        <f t="shared" si="2"/>
        <v>9</v>
      </c>
      <c r="F53" s="13">
        <f t="shared" si="3"/>
        <v>16</v>
      </c>
      <c r="G53" s="4" t="s">
        <v>14</v>
      </c>
      <c r="H53">
        <v>46.952096010518183</v>
      </c>
      <c r="I53">
        <v>6.4990360063559134</v>
      </c>
      <c r="J53" s="4" t="s">
        <v>44</v>
      </c>
      <c r="L53" s="4" t="s">
        <v>42</v>
      </c>
      <c r="M53" s="4" t="s">
        <v>43</v>
      </c>
      <c r="N53" s="4" t="s">
        <v>16</v>
      </c>
    </row>
    <row r="54" spans="1:15" x14ac:dyDescent="0.25">
      <c r="A54">
        <f t="shared" si="0"/>
        <v>73999</v>
      </c>
      <c r="B54" t="s">
        <v>51</v>
      </c>
      <c r="C54" s="10">
        <v>42671</v>
      </c>
      <c r="D54" s="13">
        <f t="shared" si="1"/>
        <v>2016</v>
      </c>
      <c r="E54" s="13">
        <f t="shared" si="2"/>
        <v>10</v>
      </c>
      <c r="F54" s="13">
        <f t="shared" si="3"/>
        <v>28</v>
      </c>
      <c r="G54" s="4" t="s">
        <v>14</v>
      </c>
      <c r="H54">
        <v>46.956988010520817</v>
      </c>
      <c r="I54">
        <v>6.4958570063513301</v>
      </c>
      <c r="J54" s="4" t="s">
        <v>44</v>
      </c>
      <c r="L54" s="4" t="s">
        <v>42</v>
      </c>
      <c r="M54" s="4" t="s">
        <v>43</v>
      </c>
      <c r="N54" s="4" t="s">
        <v>16</v>
      </c>
    </row>
    <row r="55" spans="1:15" x14ac:dyDescent="0.25">
      <c r="A55">
        <f t="shared" si="0"/>
        <v>73999</v>
      </c>
      <c r="B55" t="s">
        <v>51</v>
      </c>
      <c r="C55" s="10">
        <v>42814</v>
      </c>
      <c r="D55" s="13">
        <f t="shared" si="1"/>
        <v>2017</v>
      </c>
      <c r="E55" s="13">
        <f t="shared" si="2"/>
        <v>3</v>
      </c>
      <c r="F55" s="13">
        <f t="shared" si="3"/>
        <v>20</v>
      </c>
      <c r="G55" s="4" t="s">
        <v>14</v>
      </c>
      <c r="H55">
        <v>46.96330801051834</v>
      </c>
      <c r="I55">
        <v>6.5198080063768682</v>
      </c>
      <c r="J55" s="4" t="s">
        <v>44</v>
      </c>
      <c r="L55" s="4" t="s">
        <v>42</v>
      </c>
      <c r="M55" s="4" t="s">
        <v>43</v>
      </c>
      <c r="N55" s="4" t="s">
        <v>16</v>
      </c>
    </row>
    <row r="56" spans="1:15" x14ac:dyDescent="0.25">
      <c r="A56">
        <f t="shared" si="0"/>
        <v>73999</v>
      </c>
      <c r="B56" t="s">
        <v>51</v>
      </c>
      <c r="C56" s="10">
        <v>42844</v>
      </c>
      <c r="D56" s="13">
        <f t="shared" si="1"/>
        <v>2017</v>
      </c>
      <c r="E56" s="13">
        <f t="shared" si="2"/>
        <v>4</v>
      </c>
      <c r="F56" s="13">
        <f t="shared" si="3"/>
        <v>19</v>
      </c>
      <c r="G56" s="4" t="s">
        <v>14</v>
      </c>
      <c r="H56">
        <v>46.960504010521603</v>
      </c>
      <c r="I56">
        <v>6.499032006354164</v>
      </c>
      <c r="J56" s="4" t="s">
        <v>44</v>
      </c>
      <c r="L56" s="4" t="s">
        <v>42</v>
      </c>
      <c r="M56" s="4" t="s">
        <v>43</v>
      </c>
      <c r="N56" s="4" t="s">
        <v>16</v>
      </c>
    </row>
    <row r="57" spans="1:15" x14ac:dyDescent="0.25">
      <c r="A57">
        <f t="shared" si="0"/>
        <v>73999</v>
      </c>
      <c r="B57" t="s">
        <v>51</v>
      </c>
      <c r="C57" s="10">
        <v>42870</v>
      </c>
      <c r="D57" s="13">
        <f t="shared" si="1"/>
        <v>2017</v>
      </c>
      <c r="E57" s="13">
        <f t="shared" si="2"/>
        <v>5</v>
      </c>
      <c r="F57" s="13">
        <f t="shared" si="3"/>
        <v>15</v>
      </c>
      <c r="G57" s="4" t="s">
        <v>14</v>
      </c>
      <c r="H57">
        <v>46.964336010519709</v>
      </c>
      <c r="I57">
        <v>6.5152380063715309</v>
      </c>
      <c r="J57" s="4" t="s">
        <v>44</v>
      </c>
      <c r="L57" s="4" t="s">
        <v>42</v>
      </c>
      <c r="M57" s="4" t="s">
        <v>43</v>
      </c>
      <c r="N57" s="4" t="s">
        <v>16</v>
      </c>
    </row>
    <row r="58" spans="1:15" x14ac:dyDescent="0.25">
      <c r="A58">
        <f t="shared" si="0"/>
        <v>73999</v>
      </c>
      <c r="B58" t="s">
        <v>51</v>
      </c>
      <c r="C58" s="10">
        <v>42902</v>
      </c>
      <c r="D58" s="13">
        <f t="shared" si="1"/>
        <v>2017</v>
      </c>
      <c r="E58" s="13">
        <f t="shared" si="2"/>
        <v>6</v>
      </c>
      <c r="F58" s="13">
        <f t="shared" si="3"/>
        <v>16</v>
      </c>
      <c r="G58" s="4" t="s">
        <v>14</v>
      </c>
      <c r="H58">
        <v>46.958608010516187</v>
      </c>
      <c r="I58">
        <v>6.5210650063792563</v>
      </c>
      <c r="J58" s="4" t="s">
        <v>44</v>
      </c>
      <c r="L58" s="4" t="s">
        <v>42</v>
      </c>
      <c r="M58" s="4" t="s">
        <v>43</v>
      </c>
      <c r="N58" s="4" t="s">
        <v>16</v>
      </c>
    </row>
    <row r="59" spans="1:15" x14ac:dyDescent="0.25">
      <c r="A59">
        <f t="shared" si="0"/>
        <v>73999</v>
      </c>
      <c r="B59" t="s">
        <v>51</v>
      </c>
      <c r="C59" s="10">
        <v>42930</v>
      </c>
      <c r="D59" s="13">
        <f t="shared" si="1"/>
        <v>2017</v>
      </c>
      <c r="E59" s="13">
        <f t="shared" si="2"/>
        <v>7</v>
      </c>
      <c r="F59" s="13">
        <f t="shared" si="3"/>
        <v>14</v>
      </c>
      <c r="G59" s="4" t="s">
        <v>20</v>
      </c>
      <c r="H59">
        <v>47.000168010514777</v>
      </c>
      <c r="I59">
        <v>6.6065960064660443</v>
      </c>
      <c r="J59" s="4" t="s">
        <v>44</v>
      </c>
      <c r="L59" s="4" t="s">
        <v>42</v>
      </c>
      <c r="M59" s="4" t="s">
        <v>43</v>
      </c>
      <c r="N59" s="4" t="s">
        <v>16</v>
      </c>
    </row>
    <row r="60" spans="1:15" x14ac:dyDescent="0.25">
      <c r="A60">
        <f t="shared" si="0"/>
        <v>73999</v>
      </c>
      <c r="B60" t="s">
        <v>51</v>
      </c>
      <c r="C60" s="10">
        <v>42978</v>
      </c>
      <c r="D60" s="13">
        <f t="shared" si="1"/>
        <v>2017</v>
      </c>
      <c r="E60" s="13">
        <f t="shared" si="2"/>
        <v>8</v>
      </c>
      <c r="F60" s="13">
        <f t="shared" si="3"/>
        <v>31</v>
      </c>
      <c r="G60" s="4" t="s">
        <v>20</v>
      </c>
      <c r="H60">
        <v>47.016932010515767</v>
      </c>
      <c r="I60">
        <v>6.6330580064919022</v>
      </c>
      <c r="J60" s="4" t="s">
        <v>44</v>
      </c>
      <c r="L60" s="4" t="s">
        <v>42</v>
      </c>
      <c r="M60" s="4" t="s">
        <v>43</v>
      </c>
      <c r="N60" s="4" t="s">
        <v>17</v>
      </c>
    </row>
    <row r="61" spans="1:15" x14ac:dyDescent="0.25">
      <c r="A61">
        <f t="shared" si="0"/>
        <v>74000</v>
      </c>
      <c r="B61" t="s">
        <v>52</v>
      </c>
      <c r="C61" s="10">
        <v>42255</v>
      </c>
      <c r="D61" s="13">
        <f t="shared" si="1"/>
        <v>2015</v>
      </c>
      <c r="E61" s="13">
        <f t="shared" si="2"/>
        <v>9</v>
      </c>
      <c r="F61" s="13">
        <f t="shared" si="3"/>
        <v>8</v>
      </c>
      <c r="G61" s="4" t="s">
        <v>14</v>
      </c>
      <c r="H61">
        <v>46.955300000000001</v>
      </c>
      <c r="I61">
        <v>6.4981</v>
      </c>
      <c r="J61" s="4" t="s">
        <v>15</v>
      </c>
      <c r="L61" s="4" t="s">
        <v>1</v>
      </c>
      <c r="N61" s="4" t="s">
        <v>16</v>
      </c>
      <c r="O61" s="4" t="s">
        <v>29</v>
      </c>
    </row>
    <row r="62" spans="1:15" x14ac:dyDescent="0.25">
      <c r="A62">
        <f t="shared" si="0"/>
        <v>74000</v>
      </c>
      <c r="B62" t="s">
        <v>52</v>
      </c>
      <c r="C62" s="10">
        <v>42505</v>
      </c>
      <c r="D62" s="13">
        <f t="shared" si="1"/>
        <v>2016</v>
      </c>
      <c r="E62" s="13">
        <f t="shared" si="2"/>
        <v>5</v>
      </c>
      <c r="F62" s="13">
        <f t="shared" si="3"/>
        <v>15</v>
      </c>
      <c r="G62" s="4" t="s">
        <v>14</v>
      </c>
      <c r="H62">
        <v>46.955300000000001</v>
      </c>
      <c r="I62">
        <v>6.5072000000000001</v>
      </c>
      <c r="J62" s="4" t="s">
        <v>15</v>
      </c>
      <c r="L62" s="4" t="s">
        <v>42</v>
      </c>
      <c r="M62" s="4" t="s">
        <v>43</v>
      </c>
      <c r="N62" s="4" t="s">
        <v>16</v>
      </c>
    </row>
    <row r="63" spans="1:15" x14ac:dyDescent="0.25">
      <c r="A63">
        <f t="shared" si="0"/>
        <v>74000</v>
      </c>
      <c r="B63" t="s">
        <v>52</v>
      </c>
      <c r="C63" s="10">
        <v>42535</v>
      </c>
      <c r="D63" s="13">
        <f t="shared" si="1"/>
        <v>2016</v>
      </c>
      <c r="E63" s="13">
        <f t="shared" si="2"/>
        <v>6</v>
      </c>
      <c r="F63" s="13">
        <f t="shared" si="3"/>
        <v>14</v>
      </c>
      <c r="G63" s="4" t="s">
        <v>14</v>
      </c>
      <c r="H63">
        <v>46.954616010518983</v>
      </c>
      <c r="I63">
        <v>6.500108006356597</v>
      </c>
      <c r="J63" s="4" t="s">
        <v>44</v>
      </c>
      <c r="L63" s="4" t="s">
        <v>42</v>
      </c>
      <c r="M63" s="4" t="s">
        <v>43</v>
      </c>
      <c r="N63" s="4" t="s">
        <v>16</v>
      </c>
    </row>
    <row r="64" spans="1:15" x14ac:dyDescent="0.25">
      <c r="A64">
        <f t="shared" si="0"/>
        <v>74000</v>
      </c>
      <c r="B64" t="s">
        <v>52</v>
      </c>
      <c r="C64" s="10">
        <v>42566</v>
      </c>
      <c r="D64" s="13">
        <f t="shared" si="1"/>
        <v>2016</v>
      </c>
      <c r="E64" s="13">
        <f t="shared" si="2"/>
        <v>7</v>
      </c>
      <c r="F64" s="13">
        <f t="shared" si="3"/>
        <v>15</v>
      </c>
      <c r="G64" s="4" t="s">
        <v>14</v>
      </c>
      <c r="H64">
        <v>46.947776010518339</v>
      </c>
      <c r="I64">
        <v>6.4897630063464007</v>
      </c>
      <c r="J64" s="4" t="s">
        <v>44</v>
      </c>
      <c r="L64" s="4" t="s">
        <v>42</v>
      </c>
      <c r="M64" s="4" t="s">
        <v>43</v>
      </c>
      <c r="N64" s="4" t="s">
        <v>16</v>
      </c>
    </row>
    <row r="65" spans="1:15" x14ac:dyDescent="0.25">
      <c r="A65">
        <f t="shared" si="0"/>
        <v>74000</v>
      </c>
      <c r="B65" t="s">
        <v>52</v>
      </c>
      <c r="C65" s="10">
        <v>42599</v>
      </c>
      <c r="D65" s="13">
        <f t="shared" si="1"/>
        <v>2016</v>
      </c>
      <c r="E65" s="13">
        <f t="shared" si="2"/>
        <v>8</v>
      </c>
      <c r="F65" s="13">
        <f t="shared" si="3"/>
        <v>17</v>
      </c>
      <c r="G65" s="4" t="s">
        <v>14</v>
      </c>
      <c r="H65">
        <v>46.94606401051773</v>
      </c>
      <c r="I65">
        <v>6.4894090063463574</v>
      </c>
      <c r="J65" s="4" t="s">
        <v>44</v>
      </c>
      <c r="L65" s="4" t="s">
        <v>42</v>
      </c>
      <c r="M65" s="4" t="s">
        <v>43</v>
      </c>
      <c r="N65" s="4" t="s">
        <v>16</v>
      </c>
    </row>
    <row r="66" spans="1:15" x14ac:dyDescent="0.25">
      <c r="A66">
        <f t="shared" ref="A66:A79" si="4">RIGHT(B66,5)*1</f>
        <v>74000</v>
      </c>
      <c r="B66" t="s">
        <v>52</v>
      </c>
      <c r="C66" s="10">
        <v>42629</v>
      </c>
      <c r="D66" s="13">
        <f t="shared" si="1"/>
        <v>2016</v>
      </c>
      <c r="E66" s="13">
        <f t="shared" si="2"/>
        <v>9</v>
      </c>
      <c r="F66" s="13">
        <f t="shared" si="3"/>
        <v>16</v>
      </c>
      <c r="G66" s="4" t="s">
        <v>14</v>
      </c>
      <c r="H66">
        <v>46.948440010517338</v>
      </c>
      <c r="I66">
        <v>6.4957920063530334</v>
      </c>
      <c r="J66" s="4" t="s">
        <v>44</v>
      </c>
      <c r="L66" s="4" t="s">
        <v>42</v>
      </c>
      <c r="M66" s="4" t="s">
        <v>43</v>
      </c>
      <c r="N66" s="4" t="s">
        <v>16</v>
      </c>
    </row>
    <row r="67" spans="1:15" x14ac:dyDescent="0.25">
      <c r="A67">
        <f t="shared" si="4"/>
        <v>74000</v>
      </c>
      <c r="B67" t="s">
        <v>52</v>
      </c>
      <c r="C67" s="10">
        <v>42650</v>
      </c>
      <c r="D67" s="13">
        <f t="shared" ref="D67:D130" si="5">YEAR(C67)</f>
        <v>2016</v>
      </c>
      <c r="E67" s="13">
        <f t="shared" ref="E67:E130" si="6">MONTH(C67)</f>
        <v>10</v>
      </c>
      <c r="F67" s="13">
        <f t="shared" ref="F67:F130" si="7">DAY(C67)</f>
        <v>7</v>
      </c>
      <c r="G67" s="4" t="s">
        <v>14</v>
      </c>
      <c r="H67">
        <v>46.948348010517158</v>
      </c>
      <c r="I67">
        <v>6.4965090063538602</v>
      </c>
      <c r="J67" s="4" t="s">
        <v>21</v>
      </c>
      <c r="K67" s="12" t="s">
        <v>53</v>
      </c>
      <c r="L67" s="12" t="s">
        <v>42</v>
      </c>
      <c r="M67" s="12" t="s">
        <v>43</v>
      </c>
      <c r="N67" s="4" t="s">
        <v>17</v>
      </c>
    </row>
    <row r="68" spans="1:15" x14ac:dyDescent="0.25">
      <c r="A68">
        <f t="shared" si="4"/>
        <v>99317</v>
      </c>
      <c r="B68" t="s">
        <v>54</v>
      </c>
      <c r="C68" s="10">
        <v>43729</v>
      </c>
      <c r="D68" s="13">
        <f t="shared" si="5"/>
        <v>2019</v>
      </c>
      <c r="E68" s="13">
        <f t="shared" si="6"/>
        <v>9</v>
      </c>
      <c r="F68" s="13">
        <f t="shared" si="7"/>
        <v>21</v>
      </c>
      <c r="G68" s="4" t="s">
        <v>14</v>
      </c>
      <c r="H68">
        <v>46.9681</v>
      </c>
      <c r="I68">
        <v>6.5187999999999997</v>
      </c>
      <c r="J68" s="4" t="s">
        <v>15</v>
      </c>
      <c r="L68" s="4" t="s">
        <v>1</v>
      </c>
      <c r="N68" s="4" t="s">
        <v>16</v>
      </c>
      <c r="O68" s="4" t="s">
        <v>27</v>
      </c>
    </row>
    <row r="69" spans="1:15" x14ac:dyDescent="0.25">
      <c r="A69">
        <f t="shared" si="4"/>
        <v>99317</v>
      </c>
      <c r="B69" t="s">
        <v>54</v>
      </c>
      <c r="C69" s="10">
        <v>43750</v>
      </c>
      <c r="D69" s="13">
        <f t="shared" si="5"/>
        <v>2019</v>
      </c>
      <c r="E69" s="13">
        <f t="shared" si="6"/>
        <v>10</v>
      </c>
      <c r="F69" s="13">
        <f t="shared" si="7"/>
        <v>12</v>
      </c>
      <c r="G69" s="4" t="s">
        <v>20</v>
      </c>
      <c r="H69">
        <v>46.905299999999997</v>
      </c>
      <c r="I69">
        <v>6.3552999999999997</v>
      </c>
      <c r="J69" s="4" t="s">
        <v>21</v>
      </c>
      <c r="K69" s="4" t="s">
        <v>22</v>
      </c>
      <c r="L69" s="4" t="s">
        <v>1</v>
      </c>
      <c r="N69" s="4" t="s">
        <v>17</v>
      </c>
    </row>
    <row r="70" spans="1:15" x14ac:dyDescent="0.25">
      <c r="A70">
        <f t="shared" si="4"/>
        <v>99318</v>
      </c>
      <c r="B70" t="s">
        <v>55</v>
      </c>
      <c r="C70" s="10">
        <v>44070</v>
      </c>
      <c r="D70" s="13">
        <f t="shared" si="5"/>
        <v>2020</v>
      </c>
      <c r="E70" s="13">
        <f t="shared" si="6"/>
        <v>8</v>
      </c>
      <c r="F70" s="13">
        <f t="shared" si="7"/>
        <v>27</v>
      </c>
      <c r="G70" s="4" t="s">
        <v>14</v>
      </c>
      <c r="H70">
        <v>46.966299999999997</v>
      </c>
      <c r="I70">
        <v>6.5214999999999996</v>
      </c>
      <c r="J70" s="4" t="s">
        <v>15</v>
      </c>
      <c r="L70" s="4" t="s">
        <v>1</v>
      </c>
      <c r="N70" s="4" t="s">
        <v>16</v>
      </c>
      <c r="O70" s="4" t="s">
        <v>29</v>
      </c>
    </row>
    <row r="71" spans="1:15" x14ac:dyDescent="0.25">
      <c r="A71">
        <f t="shared" si="4"/>
        <v>99318</v>
      </c>
      <c r="B71" t="s">
        <v>55</v>
      </c>
      <c r="C71" s="10">
        <v>44186</v>
      </c>
      <c r="D71" s="13">
        <f t="shared" si="5"/>
        <v>2020</v>
      </c>
      <c r="E71" s="13">
        <f t="shared" si="6"/>
        <v>12</v>
      </c>
      <c r="F71" s="13">
        <f t="shared" si="7"/>
        <v>21</v>
      </c>
      <c r="G71" s="4" t="s">
        <v>14</v>
      </c>
      <c r="H71">
        <v>46.9833</v>
      </c>
      <c r="I71">
        <v>5.6</v>
      </c>
      <c r="J71" s="4" t="s">
        <v>21</v>
      </c>
      <c r="K71" s="4" t="s">
        <v>22</v>
      </c>
      <c r="L71" s="4" t="s">
        <v>1</v>
      </c>
      <c r="N71" s="4" t="s">
        <v>17</v>
      </c>
    </row>
    <row r="72" spans="1:15" x14ac:dyDescent="0.25">
      <c r="A72">
        <f t="shared" si="4"/>
        <v>99319</v>
      </c>
      <c r="B72" t="s">
        <v>56</v>
      </c>
      <c r="C72" s="10">
        <v>44090</v>
      </c>
      <c r="D72" s="13">
        <f t="shared" si="5"/>
        <v>2020</v>
      </c>
      <c r="E72" s="13">
        <f t="shared" si="6"/>
        <v>9</v>
      </c>
      <c r="F72" s="13">
        <f t="shared" si="7"/>
        <v>16</v>
      </c>
      <c r="G72" s="4" t="s">
        <v>14</v>
      </c>
      <c r="H72">
        <v>46.9255</v>
      </c>
      <c r="I72">
        <v>6.4813999999999998</v>
      </c>
      <c r="J72" s="4" t="s">
        <v>15</v>
      </c>
      <c r="L72" s="4" t="s">
        <v>1</v>
      </c>
      <c r="N72" s="4" t="s">
        <v>17</v>
      </c>
      <c r="O72" s="4" t="s">
        <v>29</v>
      </c>
    </row>
    <row r="73" spans="1:15" x14ac:dyDescent="0.25">
      <c r="A73">
        <f t="shared" si="4"/>
        <v>99320</v>
      </c>
      <c r="B73" t="s">
        <v>57</v>
      </c>
      <c r="C73" s="10">
        <v>44343</v>
      </c>
      <c r="D73" s="13">
        <f t="shared" si="5"/>
        <v>2021</v>
      </c>
      <c r="E73" s="13">
        <f t="shared" si="6"/>
        <v>5</v>
      </c>
      <c r="F73" s="13">
        <f t="shared" si="7"/>
        <v>27</v>
      </c>
      <c r="G73" s="4" t="s">
        <v>14</v>
      </c>
      <c r="H73">
        <v>46.954300000000003</v>
      </c>
      <c r="I73">
        <v>6.4874999999999998</v>
      </c>
      <c r="J73" s="4" t="s">
        <v>15</v>
      </c>
      <c r="L73" s="4" t="s">
        <v>1</v>
      </c>
      <c r="N73" s="4" t="s">
        <v>16</v>
      </c>
      <c r="O73" s="4" t="s">
        <v>27</v>
      </c>
    </row>
    <row r="74" spans="1:15" x14ac:dyDescent="0.25">
      <c r="A74">
        <f t="shared" si="4"/>
        <v>99320</v>
      </c>
      <c r="B74" t="s">
        <v>57</v>
      </c>
      <c r="C74" s="10">
        <v>44388</v>
      </c>
      <c r="D74" s="13">
        <f t="shared" si="5"/>
        <v>2021</v>
      </c>
      <c r="E74" s="13">
        <f t="shared" si="6"/>
        <v>7</v>
      </c>
      <c r="F74" s="13">
        <f t="shared" si="7"/>
        <v>11</v>
      </c>
      <c r="G74" s="4" t="s">
        <v>14</v>
      </c>
      <c r="H74">
        <v>46.957099999999997</v>
      </c>
      <c r="I74">
        <v>6.4913999999999996</v>
      </c>
      <c r="J74" s="4" t="s">
        <v>15</v>
      </c>
      <c r="L74" s="4" t="s">
        <v>1</v>
      </c>
      <c r="N74" s="4" t="s">
        <v>16</v>
      </c>
    </row>
    <row r="75" spans="1:15" x14ac:dyDescent="0.25">
      <c r="A75">
        <f t="shared" si="4"/>
        <v>99320</v>
      </c>
      <c r="B75" t="s">
        <v>57</v>
      </c>
      <c r="C75" s="10">
        <v>44597</v>
      </c>
      <c r="D75" s="13">
        <f t="shared" si="5"/>
        <v>2022</v>
      </c>
      <c r="E75" s="13">
        <f t="shared" si="6"/>
        <v>2</v>
      </c>
      <c r="F75" s="13">
        <f t="shared" si="7"/>
        <v>5</v>
      </c>
      <c r="G75" s="4" t="s">
        <v>20</v>
      </c>
      <c r="H75">
        <v>47.061900000000001</v>
      </c>
      <c r="I75">
        <v>5.8160999999999996</v>
      </c>
      <c r="J75" s="4" t="s">
        <v>21</v>
      </c>
      <c r="K75" s="4" t="s">
        <v>22</v>
      </c>
      <c r="L75" s="4" t="s">
        <v>1</v>
      </c>
      <c r="N75" s="4" t="s">
        <v>17</v>
      </c>
    </row>
    <row r="76" spans="1:15" x14ac:dyDescent="0.25">
      <c r="A76">
        <f t="shared" si="4"/>
        <v>99321</v>
      </c>
      <c r="B76" t="s">
        <v>58</v>
      </c>
      <c r="C76" s="10">
        <v>44363</v>
      </c>
      <c r="D76" s="13">
        <f t="shared" si="5"/>
        <v>2021</v>
      </c>
      <c r="E76" s="13">
        <f t="shared" si="6"/>
        <v>6</v>
      </c>
      <c r="F76" s="13">
        <f t="shared" si="7"/>
        <v>16</v>
      </c>
      <c r="G76" s="4" t="s">
        <v>14</v>
      </c>
      <c r="H76">
        <v>46.954300000000003</v>
      </c>
      <c r="I76">
        <v>6.4874999999999998</v>
      </c>
      <c r="J76" s="4" t="s">
        <v>15</v>
      </c>
      <c r="L76" s="4" t="s">
        <v>1</v>
      </c>
      <c r="N76" s="4" t="s">
        <v>16</v>
      </c>
      <c r="O76" s="4" t="s">
        <v>19</v>
      </c>
    </row>
    <row r="77" spans="1:15" x14ac:dyDescent="0.25">
      <c r="A77">
        <f t="shared" si="4"/>
        <v>99321</v>
      </c>
      <c r="B77" t="s">
        <v>58</v>
      </c>
      <c r="C77" s="10">
        <v>44390</v>
      </c>
      <c r="D77" s="13">
        <f t="shared" si="5"/>
        <v>2021</v>
      </c>
      <c r="E77" s="13">
        <f t="shared" si="6"/>
        <v>7</v>
      </c>
      <c r="F77" s="13">
        <f t="shared" si="7"/>
        <v>13</v>
      </c>
      <c r="G77" s="4" t="s">
        <v>14</v>
      </c>
      <c r="H77">
        <v>46.955300000000001</v>
      </c>
      <c r="I77">
        <v>6.4981</v>
      </c>
      <c r="J77" s="4" t="s">
        <v>15</v>
      </c>
      <c r="L77" s="4" t="s">
        <v>1</v>
      </c>
      <c r="N77" s="4" t="s">
        <v>17</v>
      </c>
    </row>
    <row r="78" spans="1:15" x14ac:dyDescent="0.25">
      <c r="A78">
        <f t="shared" si="4"/>
        <v>99322</v>
      </c>
      <c r="B78" t="s">
        <v>59</v>
      </c>
      <c r="C78" s="10">
        <v>44444</v>
      </c>
      <c r="D78" s="13">
        <f t="shared" si="5"/>
        <v>2021</v>
      </c>
      <c r="E78" s="13">
        <f t="shared" si="6"/>
        <v>9</v>
      </c>
      <c r="F78" s="13">
        <f t="shared" si="7"/>
        <v>5</v>
      </c>
      <c r="G78" s="4" t="s">
        <v>14</v>
      </c>
      <c r="H78">
        <v>46.966299999999997</v>
      </c>
      <c r="I78">
        <v>6.5228000000000002</v>
      </c>
      <c r="J78" s="4" t="s">
        <v>15</v>
      </c>
      <c r="L78" s="4" t="s">
        <v>1</v>
      </c>
      <c r="N78" s="4" t="s">
        <v>17</v>
      </c>
      <c r="O78" s="4" t="s">
        <v>29</v>
      </c>
    </row>
    <row r="79" spans="1:15" x14ac:dyDescent="0.25">
      <c r="A79">
        <f t="shared" si="4"/>
        <v>99323</v>
      </c>
      <c r="B79" t="s">
        <v>60</v>
      </c>
      <c r="C79" s="10">
        <v>44494</v>
      </c>
      <c r="D79" s="13">
        <f t="shared" si="5"/>
        <v>2021</v>
      </c>
      <c r="E79" s="13">
        <f t="shared" si="6"/>
        <v>10</v>
      </c>
      <c r="F79" s="13">
        <f t="shared" si="7"/>
        <v>25</v>
      </c>
      <c r="G79" s="4" t="s">
        <v>14</v>
      </c>
      <c r="H79">
        <v>46.966299999999997</v>
      </c>
      <c r="I79">
        <v>6.5228000000000002</v>
      </c>
      <c r="J79" s="4" t="s">
        <v>15</v>
      </c>
      <c r="L79" s="4" t="s">
        <v>1</v>
      </c>
      <c r="N79" s="4" t="s">
        <v>17</v>
      </c>
      <c r="O79" s="4" t="s">
        <v>29</v>
      </c>
    </row>
    <row r="80" spans="1:15" x14ac:dyDescent="0.25">
      <c r="A80">
        <f t="shared" ref="A80:A143" si="8">RIGHT(B80,6)*1</f>
        <v>107611</v>
      </c>
      <c r="B80" t="s">
        <v>61</v>
      </c>
      <c r="C80" s="10">
        <v>43415</v>
      </c>
      <c r="D80" s="13">
        <f t="shared" si="5"/>
        <v>2018</v>
      </c>
      <c r="E80" s="13">
        <f t="shared" si="6"/>
        <v>11</v>
      </c>
      <c r="F80" s="13">
        <f t="shared" si="7"/>
        <v>11</v>
      </c>
      <c r="G80" s="4" t="s">
        <v>14</v>
      </c>
      <c r="H80">
        <v>46.979100000000003</v>
      </c>
      <c r="I80">
        <v>6.6723999999999997</v>
      </c>
      <c r="J80" s="4" t="s">
        <v>15</v>
      </c>
      <c r="L80" s="4" t="s">
        <v>1</v>
      </c>
      <c r="N80" s="4" t="s">
        <v>17</v>
      </c>
      <c r="O80" s="4" t="s">
        <v>19</v>
      </c>
    </row>
    <row r="81" spans="1:15" x14ac:dyDescent="0.25">
      <c r="A81">
        <f t="shared" si="8"/>
        <v>107612</v>
      </c>
      <c r="B81" t="s">
        <v>62</v>
      </c>
      <c r="C81" s="10">
        <v>43415</v>
      </c>
      <c r="D81" s="13">
        <f t="shared" si="5"/>
        <v>2018</v>
      </c>
      <c r="E81" s="13">
        <f t="shared" si="6"/>
        <v>11</v>
      </c>
      <c r="F81" s="13">
        <f t="shared" si="7"/>
        <v>11</v>
      </c>
      <c r="G81" s="4" t="s">
        <v>14</v>
      </c>
      <c r="H81">
        <v>46.992800000000003</v>
      </c>
      <c r="I81">
        <v>6.6971999999999996</v>
      </c>
      <c r="J81" s="4" t="s">
        <v>15</v>
      </c>
      <c r="L81" s="4" t="s">
        <v>1</v>
      </c>
      <c r="N81" s="4" t="s">
        <v>16</v>
      </c>
      <c r="O81" s="4" t="s">
        <v>29</v>
      </c>
    </row>
    <row r="82" spans="1:15" x14ac:dyDescent="0.25">
      <c r="A82">
        <f t="shared" si="8"/>
        <v>107612</v>
      </c>
      <c r="B82" t="s">
        <v>62</v>
      </c>
      <c r="C82" s="10">
        <v>43516</v>
      </c>
      <c r="D82" s="13">
        <f t="shared" si="5"/>
        <v>2019</v>
      </c>
      <c r="E82" s="13">
        <f t="shared" si="6"/>
        <v>2</v>
      </c>
      <c r="F82" s="13">
        <f t="shared" si="7"/>
        <v>20</v>
      </c>
      <c r="G82" s="4" t="s">
        <v>31</v>
      </c>
      <c r="H82">
        <v>45.333300000000001</v>
      </c>
      <c r="I82">
        <v>2.1333000000000002</v>
      </c>
      <c r="J82" s="4" t="s">
        <v>21</v>
      </c>
      <c r="K82" s="4" t="s">
        <v>22</v>
      </c>
      <c r="L82" s="4" t="s">
        <v>1</v>
      </c>
      <c r="N82" s="4" t="s">
        <v>17</v>
      </c>
    </row>
    <row r="83" spans="1:15" x14ac:dyDescent="0.25">
      <c r="A83">
        <f t="shared" si="8"/>
        <v>107613</v>
      </c>
      <c r="B83" t="s">
        <v>63</v>
      </c>
      <c r="C83" s="10">
        <v>43415</v>
      </c>
      <c r="D83" s="13">
        <f t="shared" si="5"/>
        <v>2018</v>
      </c>
      <c r="E83" s="13">
        <f t="shared" si="6"/>
        <v>11</v>
      </c>
      <c r="F83" s="13">
        <f t="shared" si="7"/>
        <v>11</v>
      </c>
      <c r="G83" s="4" t="s">
        <v>14</v>
      </c>
      <c r="H83">
        <v>46.992800000000003</v>
      </c>
      <c r="I83">
        <v>6.6971999999999996</v>
      </c>
      <c r="J83" s="4" t="s">
        <v>15</v>
      </c>
      <c r="L83" s="4" t="s">
        <v>1</v>
      </c>
      <c r="N83" s="4" t="s">
        <v>17</v>
      </c>
      <c r="O83" s="4" t="s">
        <v>29</v>
      </c>
    </row>
    <row r="84" spans="1:15" x14ac:dyDescent="0.25">
      <c r="A84">
        <f t="shared" si="8"/>
        <v>107614</v>
      </c>
      <c r="B84" t="s">
        <v>64</v>
      </c>
      <c r="C84" s="10">
        <v>43415</v>
      </c>
      <c r="D84" s="13">
        <f t="shared" si="5"/>
        <v>2018</v>
      </c>
      <c r="E84" s="13">
        <f t="shared" si="6"/>
        <v>11</v>
      </c>
      <c r="F84" s="13">
        <f t="shared" si="7"/>
        <v>11</v>
      </c>
      <c r="G84" s="4" t="s">
        <v>14</v>
      </c>
      <c r="H84">
        <v>46.992800000000003</v>
      </c>
      <c r="I84">
        <v>6.6971999999999996</v>
      </c>
      <c r="J84" s="4" t="s">
        <v>15</v>
      </c>
      <c r="L84" s="4" t="s">
        <v>1</v>
      </c>
      <c r="N84" s="4" t="s">
        <v>17</v>
      </c>
      <c r="O84" s="4" t="s">
        <v>29</v>
      </c>
    </row>
    <row r="85" spans="1:15" x14ac:dyDescent="0.25">
      <c r="A85">
        <f t="shared" si="8"/>
        <v>107615</v>
      </c>
      <c r="B85" t="s">
        <v>65</v>
      </c>
      <c r="C85" s="10">
        <v>43415</v>
      </c>
      <c r="D85" s="13">
        <f t="shared" si="5"/>
        <v>2018</v>
      </c>
      <c r="E85" s="13">
        <f t="shared" si="6"/>
        <v>11</v>
      </c>
      <c r="F85" s="13">
        <f t="shared" si="7"/>
        <v>11</v>
      </c>
      <c r="G85" s="4" t="s">
        <v>14</v>
      </c>
      <c r="H85">
        <v>46.992800000000003</v>
      </c>
      <c r="I85">
        <v>6.6971999999999996</v>
      </c>
      <c r="J85" s="4" t="s">
        <v>15</v>
      </c>
      <c r="L85" s="4" t="s">
        <v>1</v>
      </c>
      <c r="N85" s="4" t="s">
        <v>17</v>
      </c>
      <c r="O85" s="4" t="s">
        <v>27</v>
      </c>
    </row>
    <row r="86" spans="1:15" x14ac:dyDescent="0.25">
      <c r="A86">
        <f t="shared" si="8"/>
        <v>107616</v>
      </c>
      <c r="B86" t="s">
        <v>66</v>
      </c>
      <c r="C86" s="10">
        <v>43416</v>
      </c>
      <c r="D86" s="13">
        <f t="shared" si="5"/>
        <v>2018</v>
      </c>
      <c r="E86" s="13">
        <f t="shared" si="6"/>
        <v>11</v>
      </c>
      <c r="F86" s="13">
        <f t="shared" si="7"/>
        <v>12</v>
      </c>
      <c r="G86" s="4" t="s">
        <v>14</v>
      </c>
      <c r="H86">
        <v>46.864100000000001</v>
      </c>
      <c r="I86">
        <v>6.5716999999999999</v>
      </c>
      <c r="J86" s="4" t="s">
        <v>15</v>
      </c>
      <c r="L86" s="4" t="s">
        <v>1</v>
      </c>
      <c r="N86" s="4" t="s">
        <v>17</v>
      </c>
      <c r="O86" s="4" t="s">
        <v>29</v>
      </c>
    </row>
    <row r="87" spans="1:15" x14ac:dyDescent="0.25">
      <c r="A87">
        <f t="shared" si="8"/>
        <v>107617</v>
      </c>
      <c r="B87" t="s">
        <v>67</v>
      </c>
      <c r="C87" s="10">
        <v>43416</v>
      </c>
      <c r="D87" s="13">
        <f t="shared" si="5"/>
        <v>2018</v>
      </c>
      <c r="E87" s="13">
        <f t="shared" si="6"/>
        <v>11</v>
      </c>
      <c r="F87" s="13">
        <f t="shared" si="7"/>
        <v>12</v>
      </c>
      <c r="G87" s="4" t="s">
        <v>14</v>
      </c>
      <c r="H87">
        <v>46.854900000000001</v>
      </c>
      <c r="I87">
        <v>6.5456000000000003</v>
      </c>
      <c r="J87" s="4" t="s">
        <v>15</v>
      </c>
      <c r="L87" s="4" t="s">
        <v>1</v>
      </c>
      <c r="N87" s="4" t="s">
        <v>16</v>
      </c>
      <c r="O87" s="4" t="s">
        <v>29</v>
      </c>
    </row>
    <row r="88" spans="1:15" x14ac:dyDescent="0.25">
      <c r="A88">
        <f t="shared" si="8"/>
        <v>107617</v>
      </c>
      <c r="B88" t="s">
        <v>67</v>
      </c>
      <c r="C88" s="10">
        <v>43870</v>
      </c>
      <c r="D88" s="13">
        <f t="shared" si="5"/>
        <v>2020</v>
      </c>
      <c r="E88" s="13">
        <f t="shared" si="6"/>
        <v>2</v>
      </c>
      <c r="F88" s="13">
        <f t="shared" si="7"/>
        <v>9</v>
      </c>
      <c r="G88" s="4" t="s">
        <v>20</v>
      </c>
      <c r="H88">
        <v>46.651400000000002</v>
      </c>
      <c r="I88">
        <v>5.8169000000000004</v>
      </c>
      <c r="J88" s="4" t="s">
        <v>21</v>
      </c>
      <c r="K88" s="4" t="s">
        <v>22</v>
      </c>
      <c r="L88" s="4" t="s">
        <v>1</v>
      </c>
      <c r="N88" s="4" t="s">
        <v>17</v>
      </c>
    </row>
    <row r="89" spans="1:15" x14ac:dyDescent="0.25">
      <c r="A89">
        <f t="shared" si="8"/>
        <v>107618</v>
      </c>
      <c r="B89" t="s">
        <v>68</v>
      </c>
      <c r="C89" s="10">
        <v>43416</v>
      </c>
      <c r="D89" s="13">
        <f t="shared" si="5"/>
        <v>2018</v>
      </c>
      <c r="E89" s="13">
        <f t="shared" si="6"/>
        <v>11</v>
      </c>
      <c r="F89" s="13">
        <f t="shared" si="7"/>
        <v>12</v>
      </c>
      <c r="G89" s="4" t="s">
        <v>14</v>
      </c>
      <c r="H89">
        <v>46.854900000000001</v>
      </c>
      <c r="I89">
        <v>6.5456000000000003</v>
      </c>
      <c r="J89" s="4" t="s">
        <v>15</v>
      </c>
      <c r="L89" s="4" t="s">
        <v>1</v>
      </c>
      <c r="N89" s="4" t="s">
        <v>17</v>
      </c>
      <c r="O89" s="4" t="s">
        <v>29</v>
      </c>
    </row>
    <row r="90" spans="1:15" x14ac:dyDescent="0.25">
      <c r="A90">
        <f t="shared" si="8"/>
        <v>107619</v>
      </c>
      <c r="B90" t="s">
        <v>69</v>
      </c>
      <c r="C90" s="10">
        <v>43416</v>
      </c>
      <c r="D90" s="13">
        <f t="shared" si="5"/>
        <v>2018</v>
      </c>
      <c r="E90" s="13">
        <f t="shared" si="6"/>
        <v>11</v>
      </c>
      <c r="F90" s="13">
        <f t="shared" si="7"/>
        <v>12</v>
      </c>
      <c r="G90" s="4" t="s">
        <v>14</v>
      </c>
      <c r="H90">
        <v>46.854900000000001</v>
      </c>
      <c r="I90">
        <v>6.5456000000000003</v>
      </c>
      <c r="J90" s="4" t="s">
        <v>15</v>
      </c>
      <c r="L90" s="4" t="s">
        <v>1</v>
      </c>
      <c r="N90" s="4" t="s">
        <v>17</v>
      </c>
      <c r="O90" s="4" t="s">
        <v>29</v>
      </c>
    </row>
    <row r="91" spans="1:15" x14ac:dyDescent="0.25">
      <c r="A91">
        <f t="shared" si="8"/>
        <v>107620</v>
      </c>
      <c r="B91" t="s">
        <v>70</v>
      </c>
      <c r="C91" s="10">
        <v>43416</v>
      </c>
      <c r="D91" s="13">
        <f t="shared" si="5"/>
        <v>2018</v>
      </c>
      <c r="E91" s="13">
        <f t="shared" si="6"/>
        <v>11</v>
      </c>
      <c r="F91" s="13">
        <f t="shared" si="7"/>
        <v>12</v>
      </c>
      <c r="G91" s="4" t="s">
        <v>14</v>
      </c>
      <c r="H91">
        <v>46.854900000000001</v>
      </c>
      <c r="I91">
        <v>6.5456000000000003</v>
      </c>
      <c r="J91" s="4" t="s">
        <v>15</v>
      </c>
      <c r="L91" s="4" t="s">
        <v>1</v>
      </c>
      <c r="N91" s="4" t="s">
        <v>16</v>
      </c>
      <c r="O91" s="4" t="s">
        <v>19</v>
      </c>
    </row>
    <row r="92" spans="1:15" x14ac:dyDescent="0.25">
      <c r="A92">
        <f t="shared" si="8"/>
        <v>107620</v>
      </c>
      <c r="B92" t="s">
        <v>70</v>
      </c>
      <c r="C92" s="10">
        <v>43422</v>
      </c>
      <c r="D92" s="13">
        <f t="shared" si="5"/>
        <v>2018</v>
      </c>
      <c r="E92" s="13">
        <f t="shared" si="6"/>
        <v>11</v>
      </c>
      <c r="F92" s="13">
        <f t="shared" si="7"/>
        <v>18</v>
      </c>
      <c r="G92" s="4" t="s">
        <v>31</v>
      </c>
      <c r="H92">
        <v>44.183300000000003</v>
      </c>
      <c r="I92">
        <v>5.5</v>
      </c>
      <c r="J92" s="4" t="s">
        <v>21</v>
      </c>
      <c r="K92" s="4" t="s">
        <v>22</v>
      </c>
      <c r="L92" s="4" t="s">
        <v>1</v>
      </c>
      <c r="N92" s="4" t="s">
        <v>17</v>
      </c>
    </row>
    <row r="93" spans="1:15" x14ac:dyDescent="0.25">
      <c r="A93">
        <f t="shared" si="8"/>
        <v>107621</v>
      </c>
      <c r="B93" t="s">
        <v>71</v>
      </c>
      <c r="C93" s="10">
        <v>43416</v>
      </c>
      <c r="D93" s="13">
        <f t="shared" si="5"/>
        <v>2018</v>
      </c>
      <c r="E93" s="13">
        <f t="shared" si="6"/>
        <v>11</v>
      </c>
      <c r="F93" s="13">
        <f t="shared" si="7"/>
        <v>12</v>
      </c>
      <c r="G93" s="4" t="s">
        <v>14</v>
      </c>
      <c r="H93">
        <v>46.854900000000001</v>
      </c>
      <c r="I93">
        <v>6.5456000000000003</v>
      </c>
      <c r="J93" s="4" t="s">
        <v>15</v>
      </c>
      <c r="L93" s="4" t="s">
        <v>1</v>
      </c>
      <c r="N93" s="4" t="s">
        <v>16</v>
      </c>
      <c r="O93" s="4" t="s">
        <v>29</v>
      </c>
    </row>
    <row r="94" spans="1:15" x14ac:dyDescent="0.25">
      <c r="A94">
        <f t="shared" si="8"/>
        <v>107621</v>
      </c>
      <c r="B94" t="s">
        <v>71</v>
      </c>
      <c r="C94" s="10">
        <v>43786</v>
      </c>
      <c r="D94" s="13">
        <f t="shared" si="5"/>
        <v>2019</v>
      </c>
      <c r="E94" s="13">
        <f t="shared" si="6"/>
        <v>11</v>
      </c>
      <c r="F94" s="13">
        <f t="shared" si="7"/>
        <v>17</v>
      </c>
      <c r="G94" s="4" t="s">
        <v>20</v>
      </c>
      <c r="H94">
        <v>47.283299999999997</v>
      </c>
      <c r="I94">
        <v>6.15</v>
      </c>
      <c r="J94" s="4" t="s">
        <v>21</v>
      </c>
      <c r="K94" s="4" t="s">
        <v>22</v>
      </c>
      <c r="L94" s="4" t="s">
        <v>1</v>
      </c>
      <c r="N94" s="4" t="s">
        <v>17</v>
      </c>
    </row>
    <row r="95" spans="1:15" x14ac:dyDescent="0.25">
      <c r="A95">
        <f t="shared" si="8"/>
        <v>107622</v>
      </c>
      <c r="B95" t="s">
        <v>72</v>
      </c>
      <c r="C95" s="10">
        <v>43416</v>
      </c>
      <c r="D95" s="13">
        <f t="shared" si="5"/>
        <v>2018</v>
      </c>
      <c r="E95" s="13">
        <f t="shared" si="6"/>
        <v>11</v>
      </c>
      <c r="F95" s="13">
        <f t="shared" si="7"/>
        <v>12</v>
      </c>
      <c r="G95" s="4" t="s">
        <v>14</v>
      </c>
      <c r="H95">
        <v>46.945</v>
      </c>
      <c r="I95">
        <v>6.5442</v>
      </c>
      <c r="J95" s="4" t="s">
        <v>15</v>
      </c>
      <c r="L95" s="4" t="s">
        <v>1</v>
      </c>
      <c r="N95" s="4" t="s">
        <v>16</v>
      </c>
      <c r="O95" s="4" t="s">
        <v>29</v>
      </c>
    </row>
    <row r="96" spans="1:15" x14ac:dyDescent="0.25">
      <c r="A96">
        <f t="shared" si="8"/>
        <v>107622</v>
      </c>
      <c r="B96" t="s">
        <v>72</v>
      </c>
      <c r="C96" s="10">
        <v>43767</v>
      </c>
      <c r="D96" s="13">
        <f t="shared" si="5"/>
        <v>2019</v>
      </c>
      <c r="E96" s="13">
        <f t="shared" si="6"/>
        <v>10</v>
      </c>
      <c r="F96" s="13">
        <f t="shared" si="7"/>
        <v>29</v>
      </c>
      <c r="G96" s="4" t="s">
        <v>20</v>
      </c>
      <c r="H96">
        <v>47.282499999999999</v>
      </c>
      <c r="I96">
        <v>6.1471999999999998</v>
      </c>
      <c r="J96" s="4" t="s">
        <v>21</v>
      </c>
      <c r="K96" s="4" t="s">
        <v>22</v>
      </c>
      <c r="L96" s="4" t="s">
        <v>1</v>
      </c>
      <c r="N96" s="4" t="s">
        <v>17</v>
      </c>
    </row>
    <row r="97" spans="1:15" x14ac:dyDescent="0.25">
      <c r="A97">
        <f t="shared" si="8"/>
        <v>107623</v>
      </c>
      <c r="B97" t="s">
        <v>73</v>
      </c>
      <c r="C97" s="10">
        <v>43416</v>
      </c>
      <c r="D97" s="13">
        <f t="shared" si="5"/>
        <v>2018</v>
      </c>
      <c r="E97" s="13">
        <f t="shared" si="6"/>
        <v>11</v>
      </c>
      <c r="F97" s="13">
        <f t="shared" si="7"/>
        <v>12</v>
      </c>
      <c r="G97" s="4" t="s">
        <v>14</v>
      </c>
      <c r="H97">
        <v>46.854900000000001</v>
      </c>
      <c r="I97">
        <v>6.5456000000000003</v>
      </c>
      <c r="J97" s="4" t="s">
        <v>15</v>
      </c>
      <c r="L97" s="4" t="s">
        <v>1</v>
      </c>
      <c r="N97" s="4" t="s">
        <v>17</v>
      </c>
      <c r="O97" s="4" t="s">
        <v>29</v>
      </c>
    </row>
    <row r="98" spans="1:15" x14ac:dyDescent="0.25">
      <c r="A98">
        <f t="shared" si="8"/>
        <v>107624</v>
      </c>
      <c r="B98" t="s">
        <v>74</v>
      </c>
      <c r="C98" s="10">
        <v>43416</v>
      </c>
      <c r="D98" s="13">
        <f t="shared" si="5"/>
        <v>2018</v>
      </c>
      <c r="E98" s="13">
        <f t="shared" si="6"/>
        <v>11</v>
      </c>
      <c r="F98" s="13">
        <f t="shared" si="7"/>
        <v>12</v>
      </c>
      <c r="G98" s="4" t="s">
        <v>14</v>
      </c>
      <c r="H98">
        <v>46.854900000000001</v>
      </c>
      <c r="I98">
        <v>6.5456000000000003</v>
      </c>
      <c r="J98" s="4" t="s">
        <v>15</v>
      </c>
      <c r="L98" s="4" t="s">
        <v>1</v>
      </c>
      <c r="N98" s="4" t="s">
        <v>16</v>
      </c>
      <c r="O98" s="4" t="s">
        <v>29</v>
      </c>
    </row>
    <row r="99" spans="1:15" x14ac:dyDescent="0.25">
      <c r="A99">
        <f t="shared" si="8"/>
        <v>107624</v>
      </c>
      <c r="B99" t="s">
        <v>74</v>
      </c>
      <c r="C99" s="10">
        <v>43424</v>
      </c>
      <c r="D99" s="13">
        <f t="shared" si="5"/>
        <v>2018</v>
      </c>
      <c r="E99" s="13">
        <f t="shared" si="6"/>
        <v>11</v>
      </c>
      <c r="F99" s="13">
        <f t="shared" si="7"/>
        <v>20</v>
      </c>
      <c r="G99" s="4" t="s">
        <v>20</v>
      </c>
      <c r="H99">
        <v>46.8</v>
      </c>
      <c r="I99">
        <v>5.5833000000000004</v>
      </c>
      <c r="J99" s="4" t="s">
        <v>21</v>
      </c>
      <c r="K99" s="4" t="s">
        <v>22</v>
      </c>
      <c r="L99" s="4" t="s">
        <v>1</v>
      </c>
      <c r="N99" s="4" t="s">
        <v>17</v>
      </c>
    </row>
    <row r="100" spans="1:15" x14ac:dyDescent="0.25">
      <c r="A100">
        <f t="shared" si="8"/>
        <v>107625</v>
      </c>
      <c r="B100" t="s">
        <v>75</v>
      </c>
      <c r="C100" s="10">
        <v>43416</v>
      </c>
      <c r="D100" s="13">
        <f t="shared" si="5"/>
        <v>2018</v>
      </c>
      <c r="E100" s="13">
        <f t="shared" si="6"/>
        <v>11</v>
      </c>
      <c r="F100" s="13">
        <f t="shared" si="7"/>
        <v>12</v>
      </c>
      <c r="G100" s="4" t="s">
        <v>14</v>
      </c>
      <c r="H100">
        <v>46.854900000000001</v>
      </c>
      <c r="I100">
        <v>6.5456000000000003</v>
      </c>
      <c r="J100" s="4" t="s">
        <v>15</v>
      </c>
      <c r="L100" s="4" t="s">
        <v>1</v>
      </c>
      <c r="N100" s="4" t="s">
        <v>16</v>
      </c>
      <c r="O100" s="4" t="s">
        <v>29</v>
      </c>
    </row>
    <row r="101" spans="1:15" x14ac:dyDescent="0.25">
      <c r="A101">
        <f t="shared" si="8"/>
        <v>107625</v>
      </c>
      <c r="B101" t="s">
        <v>75</v>
      </c>
      <c r="C101" s="10">
        <v>43439</v>
      </c>
      <c r="D101" s="13">
        <f t="shared" si="5"/>
        <v>2018</v>
      </c>
      <c r="E101" s="13">
        <f t="shared" si="6"/>
        <v>12</v>
      </c>
      <c r="F101" s="13">
        <f t="shared" si="7"/>
        <v>5</v>
      </c>
      <c r="G101" s="4" t="s">
        <v>31</v>
      </c>
      <c r="H101">
        <v>45.15</v>
      </c>
      <c r="I101">
        <v>0.95</v>
      </c>
      <c r="J101" s="4" t="s">
        <v>21</v>
      </c>
      <c r="K101" s="4" t="s">
        <v>22</v>
      </c>
      <c r="L101" s="4" t="s">
        <v>1</v>
      </c>
      <c r="N101" s="4" t="s">
        <v>17</v>
      </c>
    </row>
    <row r="102" spans="1:15" x14ac:dyDescent="0.25">
      <c r="A102">
        <f t="shared" si="8"/>
        <v>107626</v>
      </c>
      <c r="B102" t="s">
        <v>76</v>
      </c>
      <c r="C102" s="10">
        <v>43417</v>
      </c>
      <c r="D102" s="13">
        <f t="shared" si="5"/>
        <v>2018</v>
      </c>
      <c r="E102" s="13">
        <f t="shared" si="6"/>
        <v>11</v>
      </c>
      <c r="F102" s="13">
        <f t="shared" si="7"/>
        <v>13</v>
      </c>
      <c r="G102" s="4" t="s">
        <v>14</v>
      </c>
      <c r="H102">
        <v>46.968400000000003</v>
      </c>
      <c r="I102">
        <v>6.5582000000000003</v>
      </c>
      <c r="J102" s="4" t="s">
        <v>15</v>
      </c>
      <c r="L102" s="4" t="s">
        <v>1</v>
      </c>
      <c r="N102" s="4" t="s">
        <v>17</v>
      </c>
      <c r="O102" s="4" t="s">
        <v>29</v>
      </c>
    </row>
    <row r="103" spans="1:15" x14ac:dyDescent="0.25">
      <c r="A103">
        <f t="shared" si="8"/>
        <v>107627</v>
      </c>
      <c r="B103" t="s">
        <v>77</v>
      </c>
      <c r="C103" s="10">
        <v>43417</v>
      </c>
      <c r="D103" s="13">
        <f t="shared" si="5"/>
        <v>2018</v>
      </c>
      <c r="E103" s="13">
        <f t="shared" si="6"/>
        <v>11</v>
      </c>
      <c r="F103" s="13">
        <f t="shared" si="7"/>
        <v>13</v>
      </c>
      <c r="G103" s="4" t="s">
        <v>14</v>
      </c>
      <c r="H103">
        <v>46.968400000000003</v>
      </c>
      <c r="I103">
        <v>6.5582000000000003</v>
      </c>
      <c r="J103" s="4" t="s">
        <v>15</v>
      </c>
      <c r="L103" s="4" t="s">
        <v>1</v>
      </c>
      <c r="N103" s="4" t="s">
        <v>17</v>
      </c>
      <c r="O103" s="4" t="s">
        <v>29</v>
      </c>
    </row>
    <row r="104" spans="1:15" x14ac:dyDescent="0.25">
      <c r="A104">
        <f t="shared" si="8"/>
        <v>107628</v>
      </c>
      <c r="B104" t="s">
        <v>78</v>
      </c>
      <c r="C104" s="10">
        <v>43418</v>
      </c>
      <c r="D104" s="13">
        <f t="shared" si="5"/>
        <v>2018</v>
      </c>
      <c r="E104" s="13">
        <f t="shared" si="6"/>
        <v>11</v>
      </c>
      <c r="F104" s="13">
        <f t="shared" si="7"/>
        <v>14</v>
      </c>
      <c r="G104" s="4" t="s">
        <v>14</v>
      </c>
      <c r="H104">
        <v>46.91</v>
      </c>
      <c r="I104">
        <v>6.6863999999999999</v>
      </c>
      <c r="J104" s="4" t="s">
        <v>15</v>
      </c>
      <c r="L104" s="4" t="s">
        <v>1</v>
      </c>
      <c r="N104" s="4" t="s">
        <v>16</v>
      </c>
      <c r="O104" s="4" t="s">
        <v>29</v>
      </c>
    </row>
    <row r="105" spans="1:15" x14ac:dyDescent="0.25">
      <c r="A105">
        <f t="shared" si="8"/>
        <v>107628</v>
      </c>
      <c r="B105" t="s">
        <v>78</v>
      </c>
      <c r="C105" s="10">
        <v>44542</v>
      </c>
      <c r="D105" s="13">
        <f t="shared" si="5"/>
        <v>2021</v>
      </c>
      <c r="E105" s="13">
        <f t="shared" si="6"/>
        <v>12</v>
      </c>
      <c r="F105" s="13">
        <f t="shared" si="7"/>
        <v>12</v>
      </c>
      <c r="G105" s="4" t="s">
        <v>31</v>
      </c>
      <c r="H105">
        <v>43.942500000000003</v>
      </c>
      <c r="I105">
        <v>3.9485999999999999</v>
      </c>
      <c r="J105" s="4" t="s">
        <v>21</v>
      </c>
      <c r="K105" s="4" t="s">
        <v>22</v>
      </c>
      <c r="L105" s="4" t="s">
        <v>1</v>
      </c>
      <c r="N105" s="4" t="s">
        <v>17</v>
      </c>
    </row>
    <row r="106" spans="1:15" x14ac:dyDescent="0.25">
      <c r="A106">
        <f t="shared" si="8"/>
        <v>107629</v>
      </c>
      <c r="B106" t="s">
        <v>79</v>
      </c>
      <c r="C106" s="10">
        <v>43418</v>
      </c>
      <c r="D106" s="13">
        <f t="shared" si="5"/>
        <v>2018</v>
      </c>
      <c r="E106" s="13">
        <f t="shared" si="6"/>
        <v>11</v>
      </c>
      <c r="F106" s="13">
        <f t="shared" si="7"/>
        <v>14</v>
      </c>
      <c r="G106" s="4" t="s">
        <v>14</v>
      </c>
      <c r="H106">
        <v>46.923299999999998</v>
      </c>
      <c r="I106">
        <v>6.4356</v>
      </c>
      <c r="J106" s="4" t="s">
        <v>15</v>
      </c>
      <c r="L106" s="4" t="s">
        <v>1</v>
      </c>
      <c r="N106" s="4" t="s">
        <v>17</v>
      </c>
      <c r="O106" s="4" t="s">
        <v>29</v>
      </c>
    </row>
    <row r="107" spans="1:15" x14ac:dyDescent="0.25">
      <c r="A107">
        <f t="shared" si="8"/>
        <v>107630</v>
      </c>
      <c r="B107" t="s">
        <v>80</v>
      </c>
      <c r="C107" s="10">
        <v>43418</v>
      </c>
      <c r="D107" s="13">
        <f t="shared" si="5"/>
        <v>2018</v>
      </c>
      <c r="E107" s="13">
        <f t="shared" si="6"/>
        <v>11</v>
      </c>
      <c r="F107" s="13">
        <f t="shared" si="7"/>
        <v>14</v>
      </c>
      <c r="G107" s="4" t="s">
        <v>14</v>
      </c>
      <c r="H107">
        <v>46.8992</v>
      </c>
      <c r="I107">
        <v>6.6707999999999998</v>
      </c>
      <c r="J107" s="4" t="s">
        <v>15</v>
      </c>
      <c r="L107" s="4" t="s">
        <v>1</v>
      </c>
      <c r="N107" s="4" t="s">
        <v>17</v>
      </c>
      <c r="O107" s="4" t="s">
        <v>29</v>
      </c>
    </row>
    <row r="108" spans="1:15" x14ac:dyDescent="0.25">
      <c r="A108">
        <f t="shared" si="8"/>
        <v>107631</v>
      </c>
      <c r="B108" t="s">
        <v>81</v>
      </c>
      <c r="C108" s="10">
        <v>43418</v>
      </c>
      <c r="D108" s="13">
        <f t="shared" si="5"/>
        <v>2018</v>
      </c>
      <c r="E108" s="13">
        <f t="shared" si="6"/>
        <v>11</v>
      </c>
      <c r="F108" s="13">
        <f t="shared" si="7"/>
        <v>14</v>
      </c>
      <c r="G108" s="4" t="s">
        <v>14</v>
      </c>
      <c r="H108">
        <v>46.899000000000001</v>
      </c>
      <c r="I108">
        <v>6.6708999999999996</v>
      </c>
      <c r="J108" s="4" t="s">
        <v>15</v>
      </c>
      <c r="L108" s="4" t="s">
        <v>1</v>
      </c>
      <c r="N108" s="4" t="s">
        <v>17</v>
      </c>
      <c r="O108" s="4" t="s">
        <v>29</v>
      </c>
    </row>
    <row r="109" spans="1:15" x14ac:dyDescent="0.25">
      <c r="A109">
        <f t="shared" si="8"/>
        <v>107632</v>
      </c>
      <c r="B109" t="s">
        <v>82</v>
      </c>
      <c r="C109" s="10">
        <v>43419</v>
      </c>
      <c r="D109" s="13">
        <f t="shared" si="5"/>
        <v>2018</v>
      </c>
      <c r="E109" s="13">
        <f t="shared" si="6"/>
        <v>11</v>
      </c>
      <c r="F109" s="13">
        <f t="shared" si="7"/>
        <v>15</v>
      </c>
      <c r="G109" s="4" t="s">
        <v>14</v>
      </c>
      <c r="H109">
        <v>46.908099999999997</v>
      </c>
      <c r="I109">
        <v>6.6852</v>
      </c>
      <c r="J109" s="4" t="s">
        <v>15</v>
      </c>
      <c r="L109" s="4" t="s">
        <v>1</v>
      </c>
      <c r="N109" s="4" t="s">
        <v>17</v>
      </c>
      <c r="O109" s="4" t="s">
        <v>29</v>
      </c>
    </row>
    <row r="110" spans="1:15" x14ac:dyDescent="0.25">
      <c r="A110">
        <f t="shared" si="8"/>
        <v>107633</v>
      </c>
      <c r="B110" t="s">
        <v>83</v>
      </c>
      <c r="C110" s="10">
        <v>43419</v>
      </c>
      <c r="D110" s="13">
        <f t="shared" si="5"/>
        <v>2018</v>
      </c>
      <c r="E110" s="13">
        <f t="shared" si="6"/>
        <v>11</v>
      </c>
      <c r="F110" s="13">
        <f t="shared" si="7"/>
        <v>15</v>
      </c>
      <c r="G110" s="4" t="s">
        <v>14</v>
      </c>
      <c r="H110">
        <v>46.91</v>
      </c>
      <c r="I110">
        <v>6.6863999999999999</v>
      </c>
      <c r="J110" s="4" t="s">
        <v>15</v>
      </c>
      <c r="L110" s="4" t="s">
        <v>1</v>
      </c>
      <c r="N110" s="4" t="s">
        <v>17</v>
      </c>
      <c r="O110" s="4" t="s">
        <v>29</v>
      </c>
    </row>
    <row r="111" spans="1:15" x14ac:dyDescent="0.25">
      <c r="A111">
        <f t="shared" si="8"/>
        <v>107634</v>
      </c>
      <c r="B111" t="s">
        <v>84</v>
      </c>
      <c r="C111" s="10">
        <v>43419</v>
      </c>
      <c r="D111" s="13">
        <f t="shared" si="5"/>
        <v>2018</v>
      </c>
      <c r="E111" s="13">
        <f t="shared" si="6"/>
        <v>11</v>
      </c>
      <c r="F111" s="13">
        <f t="shared" si="7"/>
        <v>15</v>
      </c>
      <c r="G111" s="4" t="s">
        <v>14</v>
      </c>
      <c r="H111">
        <v>46.929699999999997</v>
      </c>
      <c r="I111">
        <v>6.4603000000000002</v>
      </c>
      <c r="J111" s="4" t="s">
        <v>15</v>
      </c>
      <c r="L111" s="4" t="s">
        <v>1</v>
      </c>
      <c r="N111" s="4" t="s">
        <v>16</v>
      </c>
      <c r="O111" s="4" t="s">
        <v>19</v>
      </c>
    </row>
    <row r="112" spans="1:15" x14ac:dyDescent="0.25">
      <c r="A112">
        <f t="shared" si="8"/>
        <v>107634</v>
      </c>
      <c r="B112" t="s">
        <v>84</v>
      </c>
      <c r="C112" s="10">
        <v>43454</v>
      </c>
      <c r="D112" s="13">
        <f t="shared" si="5"/>
        <v>2018</v>
      </c>
      <c r="E112" s="13">
        <f t="shared" si="6"/>
        <v>12</v>
      </c>
      <c r="F112" s="13">
        <f t="shared" si="7"/>
        <v>20</v>
      </c>
      <c r="G112" s="4" t="s">
        <v>31</v>
      </c>
      <c r="H112">
        <v>43.2</v>
      </c>
      <c r="I112">
        <v>-0.59389999999999998</v>
      </c>
      <c r="J112" s="4" t="s">
        <v>21</v>
      </c>
      <c r="K112" s="4" t="s">
        <v>22</v>
      </c>
      <c r="L112" s="4" t="s">
        <v>1</v>
      </c>
      <c r="N112" s="4" t="s">
        <v>17</v>
      </c>
    </row>
    <row r="113" spans="1:15" x14ac:dyDescent="0.25">
      <c r="A113">
        <f t="shared" si="8"/>
        <v>107635</v>
      </c>
      <c r="B113" t="s">
        <v>85</v>
      </c>
      <c r="C113" s="10">
        <v>43419</v>
      </c>
      <c r="D113" s="13">
        <f t="shared" si="5"/>
        <v>2018</v>
      </c>
      <c r="E113" s="13">
        <f t="shared" si="6"/>
        <v>11</v>
      </c>
      <c r="F113" s="13">
        <f t="shared" si="7"/>
        <v>15</v>
      </c>
      <c r="G113" s="4" t="s">
        <v>14</v>
      </c>
      <c r="H113">
        <v>46.929699999999997</v>
      </c>
      <c r="I113">
        <v>6.4603000000000002</v>
      </c>
      <c r="J113" s="4" t="s">
        <v>15</v>
      </c>
      <c r="L113" s="4" t="s">
        <v>1</v>
      </c>
      <c r="N113" s="4" t="s">
        <v>16</v>
      </c>
      <c r="O113" s="4" t="s">
        <v>29</v>
      </c>
    </row>
    <row r="114" spans="1:15" x14ac:dyDescent="0.25">
      <c r="A114">
        <f t="shared" si="8"/>
        <v>107635</v>
      </c>
      <c r="B114" t="s">
        <v>85</v>
      </c>
      <c r="C114" s="10">
        <v>43428</v>
      </c>
      <c r="D114" s="13">
        <f t="shared" si="5"/>
        <v>2018</v>
      </c>
      <c r="E114" s="13">
        <f t="shared" si="6"/>
        <v>11</v>
      </c>
      <c r="F114" s="13">
        <f t="shared" si="7"/>
        <v>24</v>
      </c>
      <c r="G114" s="4" t="s">
        <v>20</v>
      </c>
      <c r="H114">
        <v>46.816699999999997</v>
      </c>
      <c r="I114">
        <v>6.1166999999999998</v>
      </c>
      <c r="J114" s="4" t="s">
        <v>21</v>
      </c>
      <c r="K114" s="4" t="s">
        <v>22</v>
      </c>
      <c r="L114" s="4" t="s">
        <v>1</v>
      </c>
      <c r="N114" s="4" t="s">
        <v>17</v>
      </c>
    </row>
    <row r="115" spans="1:15" x14ac:dyDescent="0.25">
      <c r="A115">
        <f t="shared" si="8"/>
        <v>107636</v>
      </c>
      <c r="B115" t="s">
        <v>86</v>
      </c>
      <c r="C115" s="10">
        <v>43419</v>
      </c>
      <c r="D115" s="13">
        <f t="shared" si="5"/>
        <v>2018</v>
      </c>
      <c r="E115" s="13">
        <f t="shared" si="6"/>
        <v>11</v>
      </c>
      <c r="F115" s="13">
        <f t="shared" si="7"/>
        <v>15</v>
      </c>
      <c r="G115" s="4" t="s">
        <v>14</v>
      </c>
      <c r="H115">
        <v>46.928899999999999</v>
      </c>
      <c r="I115">
        <v>6.4592000000000001</v>
      </c>
      <c r="J115" s="4" t="s">
        <v>15</v>
      </c>
      <c r="L115" s="4" t="s">
        <v>1</v>
      </c>
      <c r="N115" s="4" t="s">
        <v>16</v>
      </c>
      <c r="O115" s="4" t="s">
        <v>29</v>
      </c>
    </row>
    <row r="116" spans="1:15" x14ac:dyDescent="0.25">
      <c r="A116">
        <f t="shared" si="8"/>
        <v>107636</v>
      </c>
      <c r="B116" t="s">
        <v>86</v>
      </c>
      <c r="C116" s="10">
        <v>43842</v>
      </c>
      <c r="D116" s="13">
        <f t="shared" si="5"/>
        <v>2020</v>
      </c>
      <c r="E116" s="13">
        <f t="shared" si="6"/>
        <v>1</v>
      </c>
      <c r="F116" s="13">
        <f t="shared" si="7"/>
        <v>12</v>
      </c>
      <c r="G116" s="4" t="s">
        <v>48</v>
      </c>
      <c r="H116">
        <v>42.166400000000003</v>
      </c>
      <c r="I116">
        <v>-0.93220000000000003</v>
      </c>
      <c r="J116" s="4" t="s">
        <v>21</v>
      </c>
      <c r="K116" s="4" t="s">
        <v>22</v>
      </c>
      <c r="L116" s="4" t="s">
        <v>1</v>
      </c>
      <c r="N116" s="4" t="s">
        <v>17</v>
      </c>
    </row>
    <row r="117" spans="1:15" x14ac:dyDescent="0.25">
      <c r="A117">
        <f t="shared" si="8"/>
        <v>107637</v>
      </c>
      <c r="B117" t="s">
        <v>87</v>
      </c>
      <c r="C117" s="10">
        <v>43419</v>
      </c>
      <c r="D117" s="13">
        <f t="shared" si="5"/>
        <v>2018</v>
      </c>
      <c r="E117" s="13">
        <f t="shared" si="6"/>
        <v>11</v>
      </c>
      <c r="F117" s="13">
        <f t="shared" si="7"/>
        <v>15</v>
      </c>
      <c r="G117" s="4" t="s">
        <v>14</v>
      </c>
      <c r="H117">
        <v>46.932600000000001</v>
      </c>
      <c r="I117">
        <v>6.5811000000000002</v>
      </c>
      <c r="J117" s="4" t="s">
        <v>15</v>
      </c>
      <c r="L117" s="4" t="s">
        <v>1</v>
      </c>
      <c r="N117" s="4" t="s">
        <v>17</v>
      </c>
      <c r="O117" s="4" t="s">
        <v>29</v>
      </c>
    </row>
    <row r="118" spans="1:15" x14ac:dyDescent="0.25">
      <c r="A118">
        <f t="shared" si="8"/>
        <v>112951</v>
      </c>
      <c r="B118" t="s">
        <v>88</v>
      </c>
      <c r="C118" s="10">
        <v>42168</v>
      </c>
      <c r="D118" s="13">
        <f t="shared" si="5"/>
        <v>2015</v>
      </c>
      <c r="E118" s="13">
        <f t="shared" si="6"/>
        <v>6</v>
      </c>
      <c r="F118" s="13">
        <f t="shared" si="7"/>
        <v>13</v>
      </c>
      <c r="G118" s="4" t="s">
        <v>14</v>
      </c>
      <c r="H118">
        <v>46.935600000000001</v>
      </c>
      <c r="I118">
        <v>6.7492000000000001</v>
      </c>
      <c r="J118" s="4" t="s">
        <v>15</v>
      </c>
      <c r="L118" s="4" t="s">
        <v>1</v>
      </c>
      <c r="N118" s="4" t="s">
        <v>17</v>
      </c>
      <c r="O118" s="4" t="s">
        <v>29</v>
      </c>
    </row>
    <row r="119" spans="1:15" x14ac:dyDescent="0.25">
      <c r="A119">
        <f t="shared" si="8"/>
        <v>112952</v>
      </c>
      <c r="B119" t="s">
        <v>89</v>
      </c>
      <c r="C119" s="10">
        <v>42171</v>
      </c>
      <c r="D119" s="13">
        <f t="shared" si="5"/>
        <v>2015</v>
      </c>
      <c r="E119" s="13">
        <f t="shared" si="6"/>
        <v>6</v>
      </c>
      <c r="F119" s="13">
        <f t="shared" si="7"/>
        <v>16</v>
      </c>
      <c r="G119" s="4" t="s">
        <v>14</v>
      </c>
      <c r="H119">
        <v>46.955300000000001</v>
      </c>
      <c r="I119">
        <v>6.4981</v>
      </c>
      <c r="J119" s="4" t="s">
        <v>15</v>
      </c>
      <c r="L119" s="4" t="s">
        <v>1</v>
      </c>
      <c r="N119" s="4" t="s">
        <v>17</v>
      </c>
      <c r="O119" s="4" t="s">
        <v>19</v>
      </c>
    </row>
    <row r="120" spans="1:15" x14ac:dyDescent="0.25">
      <c r="A120">
        <f t="shared" si="8"/>
        <v>112953</v>
      </c>
      <c r="B120" t="s">
        <v>90</v>
      </c>
      <c r="C120" s="10">
        <v>42174</v>
      </c>
      <c r="D120" s="13">
        <f t="shared" si="5"/>
        <v>2015</v>
      </c>
      <c r="E120" s="13">
        <f t="shared" si="6"/>
        <v>6</v>
      </c>
      <c r="F120" s="13">
        <f t="shared" si="7"/>
        <v>19</v>
      </c>
      <c r="G120" s="4" t="s">
        <v>14</v>
      </c>
      <c r="H120">
        <v>46.935600000000001</v>
      </c>
      <c r="I120">
        <v>6.7492000000000001</v>
      </c>
      <c r="J120" s="4" t="s">
        <v>15</v>
      </c>
      <c r="L120" s="4" t="s">
        <v>1</v>
      </c>
      <c r="N120" s="4" t="s">
        <v>17</v>
      </c>
      <c r="O120" s="4" t="s">
        <v>29</v>
      </c>
    </row>
    <row r="121" spans="1:15" x14ac:dyDescent="0.25">
      <c r="A121">
        <f t="shared" si="8"/>
        <v>112954</v>
      </c>
      <c r="B121" t="s">
        <v>91</v>
      </c>
      <c r="C121" s="10">
        <v>42175</v>
      </c>
      <c r="D121" s="13">
        <f t="shared" si="5"/>
        <v>2015</v>
      </c>
      <c r="E121" s="13">
        <f t="shared" si="6"/>
        <v>6</v>
      </c>
      <c r="F121" s="13">
        <f t="shared" si="7"/>
        <v>20</v>
      </c>
      <c r="G121" s="4" t="s">
        <v>14</v>
      </c>
      <c r="H121">
        <v>46.935600000000001</v>
      </c>
      <c r="I121">
        <v>6.7492000000000001</v>
      </c>
      <c r="J121" s="4" t="s">
        <v>15</v>
      </c>
      <c r="L121" s="4" t="s">
        <v>1</v>
      </c>
      <c r="N121" s="4" t="s">
        <v>17</v>
      </c>
      <c r="O121" s="4" t="s">
        <v>29</v>
      </c>
    </row>
    <row r="122" spans="1:15" x14ac:dyDescent="0.25">
      <c r="A122">
        <f t="shared" si="8"/>
        <v>112955</v>
      </c>
      <c r="B122" t="s">
        <v>92</v>
      </c>
      <c r="C122" s="10">
        <v>42175</v>
      </c>
      <c r="D122" s="13">
        <f t="shared" si="5"/>
        <v>2015</v>
      </c>
      <c r="E122" s="13">
        <f t="shared" si="6"/>
        <v>6</v>
      </c>
      <c r="F122" s="13">
        <f t="shared" si="7"/>
        <v>20</v>
      </c>
      <c r="G122" s="4" t="s">
        <v>14</v>
      </c>
      <c r="H122">
        <v>46.935600000000001</v>
      </c>
      <c r="I122">
        <v>6.7492000000000001</v>
      </c>
      <c r="J122" s="4" t="s">
        <v>15</v>
      </c>
      <c r="L122" s="4" t="s">
        <v>1</v>
      </c>
      <c r="N122" s="4" t="s">
        <v>17</v>
      </c>
      <c r="O122" s="4" t="s">
        <v>29</v>
      </c>
    </row>
    <row r="123" spans="1:15" x14ac:dyDescent="0.25">
      <c r="A123">
        <f t="shared" si="8"/>
        <v>112956</v>
      </c>
      <c r="B123" t="s">
        <v>93</v>
      </c>
      <c r="C123" s="10">
        <v>42175</v>
      </c>
      <c r="D123" s="13">
        <f t="shared" si="5"/>
        <v>2015</v>
      </c>
      <c r="E123" s="13">
        <f t="shared" si="6"/>
        <v>6</v>
      </c>
      <c r="F123" s="13">
        <f t="shared" si="7"/>
        <v>20</v>
      </c>
      <c r="G123" s="4" t="s">
        <v>14</v>
      </c>
      <c r="H123">
        <v>46.935600000000001</v>
      </c>
      <c r="I123">
        <v>6.7492000000000001</v>
      </c>
      <c r="J123" s="4" t="s">
        <v>15</v>
      </c>
      <c r="L123" s="4" t="s">
        <v>1</v>
      </c>
      <c r="N123" s="4" t="s">
        <v>17</v>
      </c>
      <c r="O123" s="4" t="s">
        <v>29</v>
      </c>
    </row>
    <row r="124" spans="1:15" x14ac:dyDescent="0.25">
      <c r="A124">
        <f t="shared" si="8"/>
        <v>112957</v>
      </c>
      <c r="B124" t="s">
        <v>94</v>
      </c>
      <c r="C124" s="10">
        <v>42175</v>
      </c>
      <c r="D124" s="13">
        <f t="shared" si="5"/>
        <v>2015</v>
      </c>
      <c r="E124" s="13">
        <f t="shared" si="6"/>
        <v>6</v>
      </c>
      <c r="F124" s="13">
        <f t="shared" si="7"/>
        <v>20</v>
      </c>
      <c r="G124" s="4" t="s">
        <v>14</v>
      </c>
      <c r="H124">
        <v>46.935600000000001</v>
      </c>
      <c r="I124">
        <v>6.7492000000000001</v>
      </c>
      <c r="J124" s="4" t="s">
        <v>15</v>
      </c>
      <c r="L124" s="4" t="s">
        <v>1</v>
      </c>
      <c r="N124" s="4" t="s">
        <v>17</v>
      </c>
      <c r="O124" s="4" t="s">
        <v>29</v>
      </c>
    </row>
    <row r="125" spans="1:15" x14ac:dyDescent="0.25">
      <c r="A125">
        <f t="shared" si="8"/>
        <v>112958</v>
      </c>
      <c r="B125" t="s">
        <v>95</v>
      </c>
      <c r="C125" s="10">
        <v>42179</v>
      </c>
      <c r="D125" s="13">
        <f t="shared" si="5"/>
        <v>2015</v>
      </c>
      <c r="E125" s="13">
        <f t="shared" si="6"/>
        <v>6</v>
      </c>
      <c r="F125" s="13">
        <f t="shared" si="7"/>
        <v>24</v>
      </c>
      <c r="G125" s="4" t="s">
        <v>14</v>
      </c>
      <c r="H125">
        <v>46.935600000000001</v>
      </c>
      <c r="I125">
        <v>6.7492000000000001</v>
      </c>
      <c r="J125" s="4" t="s">
        <v>15</v>
      </c>
      <c r="L125" s="4" t="s">
        <v>1</v>
      </c>
      <c r="N125" s="4" t="s">
        <v>17</v>
      </c>
      <c r="O125" s="4" t="s">
        <v>29</v>
      </c>
    </row>
    <row r="126" spans="1:15" x14ac:dyDescent="0.25">
      <c r="A126">
        <f t="shared" si="8"/>
        <v>112959</v>
      </c>
      <c r="B126" t="s">
        <v>96</v>
      </c>
      <c r="C126" s="5">
        <v>42179</v>
      </c>
      <c r="D126" s="13">
        <f t="shared" si="5"/>
        <v>2015</v>
      </c>
      <c r="E126" s="13">
        <f t="shared" si="6"/>
        <v>6</v>
      </c>
      <c r="F126" s="13">
        <f t="shared" si="7"/>
        <v>24</v>
      </c>
      <c r="G126" s="4" t="s">
        <v>14</v>
      </c>
      <c r="H126" s="4">
        <v>46.955300000000001</v>
      </c>
      <c r="I126" s="4">
        <v>6.4981</v>
      </c>
      <c r="J126" s="4" t="s">
        <v>15</v>
      </c>
      <c r="L126" s="4" t="s">
        <v>1</v>
      </c>
      <c r="N126" s="4" t="s">
        <v>16</v>
      </c>
      <c r="O126" s="4">
        <v>6</v>
      </c>
    </row>
    <row r="127" spans="1:15" x14ac:dyDescent="0.25">
      <c r="A127">
        <f t="shared" si="8"/>
        <v>112959</v>
      </c>
      <c r="B127" t="s">
        <v>96</v>
      </c>
      <c r="C127" s="5">
        <v>43270</v>
      </c>
      <c r="D127" s="13">
        <f t="shared" si="5"/>
        <v>2018</v>
      </c>
      <c r="E127" s="13">
        <f t="shared" si="6"/>
        <v>6</v>
      </c>
      <c r="F127" s="13">
        <f t="shared" si="7"/>
        <v>19</v>
      </c>
      <c r="G127" s="4" t="s">
        <v>14</v>
      </c>
      <c r="H127" s="4">
        <v>46.942764010518793</v>
      </c>
      <c r="I127" s="4">
        <v>6.4776590063338473</v>
      </c>
      <c r="J127" s="4" t="s">
        <v>15</v>
      </c>
      <c r="L127" s="4" t="s">
        <v>42</v>
      </c>
      <c r="M127" s="4" t="s">
        <v>43</v>
      </c>
      <c r="N127" s="4" t="s">
        <v>16</v>
      </c>
    </row>
    <row r="128" spans="1:15" x14ac:dyDescent="0.25">
      <c r="A128">
        <f t="shared" si="8"/>
        <v>112959</v>
      </c>
      <c r="B128" t="s">
        <v>96</v>
      </c>
      <c r="C128" s="3">
        <v>43297</v>
      </c>
      <c r="D128" s="13">
        <f t="shared" si="5"/>
        <v>2018</v>
      </c>
      <c r="E128" s="13">
        <f t="shared" si="6"/>
        <v>7</v>
      </c>
      <c r="F128" s="13">
        <f t="shared" si="7"/>
        <v>16</v>
      </c>
      <c r="G128" s="4" t="s">
        <v>14</v>
      </c>
      <c r="H128" s="4">
        <v>46.955496010518033</v>
      </c>
      <c r="I128" s="4">
        <v>6.5062840063633374</v>
      </c>
      <c r="J128" s="4" t="s">
        <v>44</v>
      </c>
      <c r="L128" s="4" t="s">
        <v>42</v>
      </c>
      <c r="M128" s="4" t="s">
        <v>43</v>
      </c>
      <c r="N128" s="4" t="s">
        <v>16</v>
      </c>
    </row>
    <row r="129" spans="1:15" x14ac:dyDescent="0.25">
      <c r="A129">
        <f t="shared" si="8"/>
        <v>112959</v>
      </c>
      <c r="B129" t="s">
        <v>96</v>
      </c>
      <c r="C129" s="3">
        <v>43328</v>
      </c>
      <c r="D129" s="13">
        <f t="shared" si="5"/>
        <v>2018</v>
      </c>
      <c r="E129" s="13">
        <f t="shared" si="6"/>
        <v>8</v>
      </c>
      <c r="F129" s="13">
        <f t="shared" si="7"/>
        <v>16</v>
      </c>
      <c r="G129" s="4" t="s">
        <v>14</v>
      </c>
      <c r="H129" s="4">
        <v>46.931008010509302</v>
      </c>
      <c r="I129" s="4">
        <v>6.5003290063617358</v>
      </c>
      <c r="J129" s="4" t="s">
        <v>44</v>
      </c>
      <c r="L129" s="4" t="s">
        <v>42</v>
      </c>
      <c r="M129" s="4" t="s">
        <v>43</v>
      </c>
      <c r="N129" s="4" t="s">
        <v>16</v>
      </c>
    </row>
    <row r="130" spans="1:15" x14ac:dyDescent="0.25">
      <c r="A130">
        <f t="shared" si="8"/>
        <v>112959</v>
      </c>
      <c r="B130" t="s">
        <v>96</v>
      </c>
      <c r="C130" s="3">
        <v>43357</v>
      </c>
      <c r="D130" s="13">
        <f t="shared" si="5"/>
        <v>2018</v>
      </c>
      <c r="E130" s="13">
        <f t="shared" si="6"/>
        <v>9</v>
      </c>
      <c r="F130" s="13">
        <f t="shared" si="7"/>
        <v>14</v>
      </c>
      <c r="G130" s="4" t="s">
        <v>14</v>
      </c>
      <c r="H130" s="4">
        <v>46.931344010510173</v>
      </c>
      <c r="I130" s="4">
        <v>6.4968460063577602</v>
      </c>
      <c r="J130" s="4" t="s">
        <v>44</v>
      </c>
      <c r="L130" s="4" t="s">
        <v>42</v>
      </c>
      <c r="M130" s="4" t="s">
        <v>43</v>
      </c>
      <c r="N130" s="4" t="s">
        <v>16</v>
      </c>
    </row>
    <row r="131" spans="1:15" x14ac:dyDescent="0.25">
      <c r="A131">
        <f t="shared" si="8"/>
        <v>112959</v>
      </c>
      <c r="B131" t="s">
        <v>96</v>
      </c>
      <c r="C131" s="3">
        <v>43395</v>
      </c>
      <c r="D131" s="13">
        <f t="shared" ref="D131:D194" si="9">YEAR(C131)</f>
        <v>2018</v>
      </c>
      <c r="E131" s="13">
        <f t="shared" ref="E131:E194" si="10">MONTH(C131)</f>
        <v>10</v>
      </c>
      <c r="F131" s="13">
        <f t="shared" ref="F131:F194" si="11">DAY(C131)</f>
        <v>22</v>
      </c>
      <c r="G131" s="4" t="s">
        <v>14</v>
      </c>
      <c r="H131" s="4">
        <v>46.939472010509483</v>
      </c>
      <c r="I131" s="4">
        <v>6.5160690063776432</v>
      </c>
      <c r="J131" s="4" t="s">
        <v>44</v>
      </c>
      <c r="L131" s="4" t="s">
        <v>42</v>
      </c>
      <c r="M131" s="4" t="s">
        <v>43</v>
      </c>
      <c r="N131" s="4" t="s">
        <v>17</v>
      </c>
    </row>
    <row r="132" spans="1:15" x14ac:dyDescent="0.25">
      <c r="A132">
        <f t="shared" si="8"/>
        <v>112960</v>
      </c>
      <c r="B132" t="s">
        <v>97</v>
      </c>
      <c r="C132" s="10">
        <v>42181</v>
      </c>
      <c r="D132" s="13">
        <f t="shared" si="9"/>
        <v>2015</v>
      </c>
      <c r="E132" s="13">
        <f t="shared" si="10"/>
        <v>6</v>
      </c>
      <c r="F132" s="13">
        <f t="shared" si="11"/>
        <v>26</v>
      </c>
      <c r="G132" s="4" t="s">
        <v>14</v>
      </c>
      <c r="H132">
        <v>46.935600000000001</v>
      </c>
      <c r="I132">
        <v>6.7492000000000001</v>
      </c>
      <c r="J132" s="4" t="s">
        <v>15</v>
      </c>
      <c r="L132" s="4" t="s">
        <v>1</v>
      </c>
      <c r="N132" s="4" t="s">
        <v>17</v>
      </c>
      <c r="O132" s="4" t="s">
        <v>27</v>
      </c>
    </row>
    <row r="133" spans="1:15" x14ac:dyDescent="0.25">
      <c r="A133">
        <f t="shared" si="8"/>
        <v>112961</v>
      </c>
      <c r="B133" t="s">
        <v>98</v>
      </c>
      <c r="C133" s="10">
        <v>42182</v>
      </c>
      <c r="D133" s="13">
        <f t="shared" si="9"/>
        <v>2015</v>
      </c>
      <c r="E133" s="13">
        <f t="shared" si="10"/>
        <v>6</v>
      </c>
      <c r="F133" s="13">
        <f t="shared" si="11"/>
        <v>27</v>
      </c>
      <c r="G133" s="4" t="s">
        <v>14</v>
      </c>
      <c r="H133">
        <v>46.935600000000001</v>
      </c>
      <c r="I133">
        <v>6.7492000000000001</v>
      </c>
      <c r="J133" s="4" t="s">
        <v>15</v>
      </c>
      <c r="L133" s="4" t="s">
        <v>1</v>
      </c>
      <c r="N133" s="4" t="s">
        <v>17</v>
      </c>
      <c r="O133" s="4" t="s">
        <v>29</v>
      </c>
    </row>
    <row r="134" spans="1:15" x14ac:dyDescent="0.25">
      <c r="A134">
        <f t="shared" si="8"/>
        <v>112962</v>
      </c>
      <c r="B134" t="s">
        <v>99</v>
      </c>
      <c r="C134" s="10">
        <v>42229</v>
      </c>
      <c r="D134" s="13">
        <f t="shared" si="9"/>
        <v>2015</v>
      </c>
      <c r="E134" s="13">
        <f t="shared" si="10"/>
        <v>8</v>
      </c>
      <c r="F134" s="13">
        <f t="shared" si="11"/>
        <v>13</v>
      </c>
      <c r="G134" s="4" t="s">
        <v>14</v>
      </c>
      <c r="H134">
        <v>46.935600000000001</v>
      </c>
      <c r="I134">
        <v>6.7492000000000001</v>
      </c>
      <c r="J134" s="4" t="s">
        <v>15</v>
      </c>
      <c r="L134" s="4" t="s">
        <v>1</v>
      </c>
      <c r="N134" s="4" t="s">
        <v>17</v>
      </c>
      <c r="O134" s="4" t="s">
        <v>24</v>
      </c>
    </row>
    <row r="135" spans="1:15" x14ac:dyDescent="0.25">
      <c r="A135">
        <f t="shared" si="8"/>
        <v>112963</v>
      </c>
      <c r="B135" t="s">
        <v>100</v>
      </c>
      <c r="C135" s="10">
        <v>43357</v>
      </c>
      <c r="D135" s="13">
        <f t="shared" si="9"/>
        <v>2018</v>
      </c>
      <c r="E135" s="13">
        <f t="shared" si="10"/>
        <v>9</v>
      </c>
      <c r="F135" s="13">
        <f t="shared" si="11"/>
        <v>14</v>
      </c>
      <c r="G135" s="4" t="s">
        <v>14</v>
      </c>
      <c r="H135">
        <v>46.955399999999997</v>
      </c>
      <c r="I135">
        <v>6.5072000000000001</v>
      </c>
      <c r="J135" s="4" t="s">
        <v>15</v>
      </c>
      <c r="L135" s="4" t="s">
        <v>1</v>
      </c>
      <c r="N135" s="4" t="s">
        <v>16</v>
      </c>
      <c r="O135" s="4" t="s">
        <v>24</v>
      </c>
    </row>
    <row r="136" spans="1:15" x14ac:dyDescent="0.25">
      <c r="A136">
        <f t="shared" si="8"/>
        <v>112963</v>
      </c>
      <c r="B136" t="s">
        <v>100</v>
      </c>
      <c r="C136" s="10">
        <v>43387</v>
      </c>
      <c r="D136" s="13">
        <f t="shared" si="9"/>
        <v>2018</v>
      </c>
      <c r="E136" s="13">
        <f t="shared" si="10"/>
        <v>10</v>
      </c>
      <c r="F136" s="13">
        <f t="shared" si="11"/>
        <v>14</v>
      </c>
      <c r="G136" s="4" t="s">
        <v>14</v>
      </c>
      <c r="H136">
        <v>46.954500000000003</v>
      </c>
      <c r="I136">
        <v>6.5045999999999999</v>
      </c>
      <c r="J136" s="4" t="s">
        <v>15</v>
      </c>
      <c r="L136" s="4" t="s">
        <v>1</v>
      </c>
      <c r="N136" s="4" t="s">
        <v>16</v>
      </c>
    </row>
    <row r="137" spans="1:15" x14ac:dyDescent="0.25">
      <c r="A137">
        <f t="shared" si="8"/>
        <v>112963</v>
      </c>
      <c r="B137" t="s">
        <v>100</v>
      </c>
      <c r="C137" s="10">
        <v>43622</v>
      </c>
      <c r="D137" s="13">
        <f t="shared" si="9"/>
        <v>2019</v>
      </c>
      <c r="E137" s="13">
        <f t="shared" si="10"/>
        <v>6</v>
      </c>
      <c r="F137" s="13">
        <f t="shared" si="11"/>
        <v>6</v>
      </c>
      <c r="G137" s="4" t="s">
        <v>14</v>
      </c>
      <c r="H137">
        <v>46.955300000000001</v>
      </c>
      <c r="I137">
        <v>6.4981</v>
      </c>
      <c r="J137" s="4" t="s">
        <v>15</v>
      </c>
      <c r="L137" s="4" t="s">
        <v>1</v>
      </c>
      <c r="N137" s="4" t="s">
        <v>16</v>
      </c>
    </row>
    <row r="138" spans="1:15" x14ac:dyDescent="0.25">
      <c r="A138">
        <f t="shared" si="8"/>
        <v>112963</v>
      </c>
      <c r="B138" t="s">
        <v>100</v>
      </c>
      <c r="C138" s="10">
        <v>43651</v>
      </c>
      <c r="D138" s="13">
        <f t="shared" si="9"/>
        <v>2019</v>
      </c>
      <c r="E138" s="13">
        <f t="shared" si="10"/>
        <v>7</v>
      </c>
      <c r="F138" s="13">
        <f t="shared" si="11"/>
        <v>5</v>
      </c>
      <c r="G138" s="4" t="s">
        <v>14</v>
      </c>
      <c r="H138">
        <v>46.955300000000001</v>
      </c>
      <c r="I138">
        <v>6.4981</v>
      </c>
      <c r="J138" s="4" t="s">
        <v>15</v>
      </c>
      <c r="L138" s="4" t="s">
        <v>1</v>
      </c>
      <c r="N138" s="4" t="s">
        <v>16</v>
      </c>
    </row>
    <row r="139" spans="1:15" x14ac:dyDescent="0.25">
      <c r="A139">
        <f t="shared" si="8"/>
        <v>112963</v>
      </c>
      <c r="B139" t="s">
        <v>100</v>
      </c>
      <c r="C139" s="10">
        <v>43967</v>
      </c>
      <c r="D139" s="13">
        <f t="shared" si="9"/>
        <v>2020</v>
      </c>
      <c r="E139" s="13">
        <f t="shared" si="10"/>
        <v>5</v>
      </c>
      <c r="F139" s="13">
        <f t="shared" si="11"/>
        <v>16</v>
      </c>
      <c r="G139" s="4" t="s">
        <v>14</v>
      </c>
      <c r="H139">
        <v>46.957099999999997</v>
      </c>
      <c r="I139">
        <v>6.4980000000000002</v>
      </c>
      <c r="J139" s="4" t="s">
        <v>15</v>
      </c>
      <c r="L139" s="4" t="s">
        <v>1</v>
      </c>
      <c r="N139" s="4" t="s">
        <v>16</v>
      </c>
    </row>
    <row r="140" spans="1:15" x14ac:dyDescent="0.25">
      <c r="A140">
        <f t="shared" si="8"/>
        <v>112963</v>
      </c>
      <c r="B140" t="s">
        <v>100</v>
      </c>
      <c r="C140" s="10">
        <v>43978</v>
      </c>
      <c r="D140" s="13">
        <f t="shared" si="9"/>
        <v>2020</v>
      </c>
      <c r="E140" s="13">
        <f t="shared" si="10"/>
        <v>5</v>
      </c>
      <c r="F140" s="13">
        <f t="shared" si="11"/>
        <v>27</v>
      </c>
      <c r="G140" s="4" t="s">
        <v>14</v>
      </c>
      <c r="H140">
        <v>46.954300000000003</v>
      </c>
      <c r="I140">
        <v>6.4874999999999998</v>
      </c>
      <c r="J140" s="4" t="s">
        <v>15</v>
      </c>
      <c r="L140" s="4" t="s">
        <v>1</v>
      </c>
      <c r="N140" s="4" t="s">
        <v>16</v>
      </c>
    </row>
    <row r="141" spans="1:15" x14ac:dyDescent="0.25">
      <c r="A141">
        <f t="shared" si="8"/>
        <v>112963</v>
      </c>
      <c r="B141" t="s">
        <v>100</v>
      </c>
      <c r="C141" s="10">
        <v>44031</v>
      </c>
      <c r="D141" s="13">
        <f t="shared" si="9"/>
        <v>2020</v>
      </c>
      <c r="E141" s="13">
        <f t="shared" si="10"/>
        <v>7</v>
      </c>
      <c r="F141" s="13">
        <f t="shared" si="11"/>
        <v>19</v>
      </c>
      <c r="G141" s="4" t="s">
        <v>14</v>
      </c>
      <c r="H141">
        <v>46.957099999999997</v>
      </c>
      <c r="I141">
        <v>6.4980000000000002</v>
      </c>
      <c r="J141" s="4" t="s">
        <v>15</v>
      </c>
      <c r="L141" s="4" t="s">
        <v>1</v>
      </c>
      <c r="N141" s="4" t="s">
        <v>16</v>
      </c>
    </row>
    <row r="142" spans="1:15" x14ac:dyDescent="0.25">
      <c r="A142">
        <f t="shared" si="8"/>
        <v>112963</v>
      </c>
      <c r="B142" t="s">
        <v>100</v>
      </c>
      <c r="C142" s="10">
        <v>44336</v>
      </c>
      <c r="D142" s="13">
        <f t="shared" si="9"/>
        <v>2021</v>
      </c>
      <c r="E142" s="13">
        <f t="shared" si="10"/>
        <v>5</v>
      </c>
      <c r="F142" s="13">
        <f t="shared" si="11"/>
        <v>20</v>
      </c>
      <c r="G142" s="4" t="s">
        <v>14</v>
      </c>
      <c r="H142">
        <v>46.954300000000003</v>
      </c>
      <c r="I142">
        <v>6.4874999999999998</v>
      </c>
      <c r="J142" s="4" t="s">
        <v>15</v>
      </c>
      <c r="L142" s="4" t="s">
        <v>1</v>
      </c>
      <c r="N142" s="4" t="s">
        <v>17</v>
      </c>
    </row>
    <row r="143" spans="1:15" x14ac:dyDescent="0.25">
      <c r="A143">
        <f t="shared" si="8"/>
        <v>112964</v>
      </c>
      <c r="B143" t="s">
        <v>101</v>
      </c>
      <c r="C143" s="10">
        <v>43363</v>
      </c>
      <c r="D143" s="13">
        <f t="shared" si="9"/>
        <v>2018</v>
      </c>
      <c r="E143" s="13">
        <f t="shared" si="10"/>
        <v>9</v>
      </c>
      <c r="F143" s="13">
        <f t="shared" si="11"/>
        <v>20</v>
      </c>
      <c r="G143" s="4" t="s">
        <v>14</v>
      </c>
      <c r="H143">
        <v>46.955399999999997</v>
      </c>
      <c r="I143">
        <v>6.5072000000000001</v>
      </c>
      <c r="J143" s="4" t="s">
        <v>15</v>
      </c>
      <c r="L143" s="4" t="s">
        <v>1</v>
      </c>
      <c r="N143" s="4" t="s">
        <v>17</v>
      </c>
      <c r="O143" s="4" t="s">
        <v>27</v>
      </c>
    </row>
    <row r="144" spans="1:15" x14ac:dyDescent="0.25">
      <c r="A144">
        <f t="shared" ref="A144:A207" si="12">RIGHT(B144,6)*1</f>
        <v>112965</v>
      </c>
      <c r="B144" t="s">
        <v>102</v>
      </c>
      <c r="C144" s="10">
        <v>43393</v>
      </c>
      <c r="D144" s="13">
        <f t="shared" si="9"/>
        <v>2018</v>
      </c>
      <c r="E144" s="13">
        <f t="shared" si="10"/>
        <v>10</v>
      </c>
      <c r="F144" s="13">
        <f t="shared" si="11"/>
        <v>20</v>
      </c>
      <c r="G144" s="4" t="s">
        <v>14</v>
      </c>
      <c r="H144">
        <v>46.955300000000001</v>
      </c>
      <c r="I144">
        <v>6.4981</v>
      </c>
      <c r="J144" s="4" t="s">
        <v>15</v>
      </c>
      <c r="L144" s="4" t="s">
        <v>1</v>
      </c>
      <c r="N144" s="4" t="s">
        <v>16</v>
      </c>
      <c r="O144" s="4" t="s">
        <v>24</v>
      </c>
    </row>
    <row r="145" spans="1:15" x14ac:dyDescent="0.25">
      <c r="A145">
        <f t="shared" si="12"/>
        <v>112965</v>
      </c>
      <c r="B145" t="s">
        <v>102</v>
      </c>
      <c r="C145" s="10">
        <v>44186</v>
      </c>
      <c r="D145" s="13">
        <f t="shared" si="9"/>
        <v>2020</v>
      </c>
      <c r="E145" s="13">
        <f t="shared" si="10"/>
        <v>12</v>
      </c>
      <c r="F145" s="13">
        <f t="shared" si="11"/>
        <v>21</v>
      </c>
      <c r="G145" s="4" t="s">
        <v>48</v>
      </c>
      <c r="H145">
        <v>39.950000000000003</v>
      </c>
      <c r="I145">
        <v>-2</v>
      </c>
      <c r="J145" s="4" t="s">
        <v>21</v>
      </c>
      <c r="K145" s="4" t="s">
        <v>22</v>
      </c>
      <c r="L145" s="4" t="s">
        <v>1</v>
      </c>
      <c r="N145" s="4" t="s">
        <v>17</v>
      </c>
    </row>
    <row r="146" spans="1:15" x14ac:dyDescent="0.25">
      <c r="A146">
        <f t="shared" si="12"/>
        <v>112966</v>
      </c>
      <c r="B146" t="s">
        <v>103</v>
      </c>
      <c r="C146" s="10">
        <v>43396</v>
      </c>
      <c r="D146" s="13">
        <f t="shared" si="9"/>
        <v>2018</v>
      </c>
      <c r="E146" s="13">
        <f t="shared" si="10"/>
        <v>10</v>
      </c>
      <c r="F146" s="13">
        <f t="shared" si="11"/>
        <v>23</v>
      </c>
      <c r="G146" s="4" t="s">
        <v>14</v>
      </c>
      <c r="H146">
        <v>46.957999999999998</v>
      </c>
      <c r="I146">
        <v>6.5019</v>
      </c>
      <c r="J146" s="4" t="s">
        <v>15</v>
      </c>
      <c r="L146" s="4" t="s">
        <v>1</v>
      </c>
      <c r="N146" s="4" t="s">
        <v>17</v>
      </c>
      <c r="O146" s="4" t="s">
        <v>24</v>
      </c>
    </row>
    <row r="147" spans="1:15" x14ac:dyDescent="0.25">
      <c r="A147">
        <f t="shared" si="12"/>
        <v>112967</v>
      </c>
      <c r="B147" t="s">
        <v>104</v>
      </c>
      <c r="C147" s="10">
        <v>43655</v>
      </c>
      <c r="D147" s="13">
        <f t="shared" si="9"/>
        <v>2019</v>
      </c>
      <c r="E147" s="13">
        <f t="shared" si="10"/>
        <v>7</v>
      </c>
      <c r="F147" s="13">
        <f t="shared" si="11"/>
        <v>9</v>
      </c>
      <c r="G147" s="4" t="s">
        <v>14</v>
      </c>
      <c r="H147">
        <v>46.955300000000001</v>
      </c>
      <c r="I147">
        <v>6.4981</v>
      </c>
      <c r="J147" s="4" t="s">
        <v>15</v>
      </c>
      <c r="L147" s="4" t="s">
        <v>1</v>
      </c>
      <c r="N147" s="4" t="s">
        <v>16</v>
      </c>
      <c r="O147" s="4" t="s">
        <v>27</v>
      </c>
    </row>
    <row r="148" spans="1:15" x14ac:dyDescent="0.25">
      <c r="A148">
        <f t="shared" si="12"/>
        <v>112967</v>
      </c>
      <c r="B148" t="s">
        <v>104</v>
      </c>
      <c r="C148" s="10">
        <v>43925</v>
      </c>
      <c r="D148" s="13">
        <f t="shared" si="9"/>
        <v>2020</v>
      </c>
      <c r="E148" s="13">
        <f t="shared" si="10"/>
        <v>4</v>
      </c>
      <c r="F148" s="13">
        <f t="shared" si="11"/>
        <v>4</v>
      </c>
      <c r="G148" s="4" t="s">
        <v>14</v>
      </c>
      <c r="H148">
        <v>46.955399999999997</v>
      </c>
      <c r="I148">
        <v>6.5072000000000001</v>
      </c>
      <c r="J148" s="4" t="s">
        <v>15</v>
      </c>
      <c r="L148" s="4" t="s">
        <v>1</v>
      </c>
      <c r="N148" s="4" t="s">
        <v>16</v>
      </c>
    </row>
    <row r="149" spans="1:15" x14ac:dyDescent="0.25">
      <c r="A149">
        <f t="shared" si="12"/>
        <v>112967</v>
      </c>
      <c r="B149" t="s">
        <v>104</v>
      </c>
      <c r="C149" s="10">
        <v>44031</v>
      </c>
      <c r="D149" s="13">
        <f t="shared" si="9"/>
        <v>2020</v>
      </c>
      <c r="E149" s="13">
        <f t="shared" si="10"/>
        <v>7</v>
      </c>
      <c r="F149" s="13">
        <f t="shared" si="11"/>
        <v>19</v>
      </c>
      <c r="G149" s="4" t="s">
        <v>14</v>
      </c>
      <c r="H149">
        <v>46.957099999999997</v>
      </c>
      <c r="I149">
        <v>6.4980000000000002</v>
      </c>
      <c r="J149" s="4" t="s">
        <v>15</v>
      </c>
      <c r="L149" s="4" t="s">
        <v>1</v>
      </c>
      <c r="N149" s="4" t="s">
        <v>16</v>
      </c>
    </row>
    <row r="150" spans="1:15" x14ac:dyDescent="0.25">
      <c r="A150">
        <f t="shared" si="12"/>
        <v>112967</v>
      </c>
      <c r="B150" t="s">
        <v>104</v>
      </c>
      <c r="C150" s="10">
        <v>44397</v>
      </c>
      <c r="D150" s="13">
        <f t="shared" si="9"/>
        <v>2021</v>
      </c>
      <c r="E150" s="13">
        <f t="shared" si="10"/>
        <v>7</v>
      </c>
      <c r="F150" s="13">
        <f t="shared" si="11"/>
        <v>20</v>
      </c>
      <c r="G150" s="4" t="s">
        <v>14</v>
      </c>
      <c r="H150">
        <v>46.955300000000001</v>
      </c>
      <c r="I150">
        <v>6.4981</v>
      </c>
      <c r="J150" s="4" t="s">
        <v>15</v>
      </c>
      <c r="L150" s="4" t="s">
        <v>1</v>
      </c>
      <c r="N150" s="4" t="s">
        <v>16</v>
      </c>
    </row>
    <row r="151" spans="1:15" x14ac:dyDescent="0.25">
      <c r="A151">
        <f t="shared" si="12"/>
        <v>112967</v>
      </c>
      <c r="B151" t="s">
        <v>104</v>
      </c>
      <c r="C151" s="10">
        <v>44545</v>
      </c>
      <c r="D151" s="13">
        <f t="shared" si="9"/>
        <v>2021</v>
      </c>
      <c r="E151" s="13">
        <f t="shared" si="10"/>
        <v>12</v>
      </c>
      <c r="F151" s="13">
        <f t="shared" si="11"/>
        <v>15</v>
      </c>
      <c r="G151" s="4" t="s">
        <v>14</v>
      </c>
      <c r="H151">
        <v>46.953600000000002</v>
      </c>
      <c r="I151">
        <v>6.5125000000000002</v>
      </c>
      <c r="J151" s="4" t="s">
        <v>15</v>
      </c>
      <c r="L151" s="4" t="s">
        <v>1</v>
      </c>
      <c r="N151" s="4" t="s">
        <v>17</v>
      </c>
    </row>
    <row r="152" spans="1:15" x14ac:dyDescent="0.25">
      <c r="A152">
        <f t="shared" si="12"/>
        <v>112968</v>
      </c>
      <c r="B152" t="s">
        <v>105</v>
      </c>
      <c r="C152" s="10">
        <v>43659</v>
      </c>
      <c r="D152" s="13">
        <f t="shared" si="9"/>
        <v>2019</v>
      </c>
      <c r="E152" s="13">
        <f t="shared" si="10"/>
        <v>7</v>
      </c>
      <c r="F152" s="13">
        <f t="shared" si="11"/>
        <v>13</v>
      </c>
      <c r="G152" s="4" t="s">
        <v>14</v>
      </c>
      <c r="H152">
        <v>46.9255</v>
      </c>
      <c r="I152">
        <v>6.4813999999999998</v>
      </c>
      <c r="J152" s="4" t="s">
        <v>15</v>
      </c>
      <c r="L152" s="4" t="s">
        <v>1</v>
      </c>
      <c r="N152" s="4" t="s">
        <v>16</v>
      </c>
      <c r="O152" s="4" t="s">
        <v>29</v>
      </c>
    </row>
    <row r="153" spans="1:15" x14ac:dyDescent="0.25">
      <c r="A153">
        <f t="shared" si="12"/>
        <v>112968</v>
      </c>
      <c r="B153" t="s">
        <v>105</v>
      </c>
      <c r="C153" s="10">
        <v>43790</v>
      </c>
      <c r="D153" s="13">
        <f t="shared" si="9"/>
        <v>2019</v>
      </c>
      <c r="E153" s="13">
        <f t="shared" si="10"/>
        <v>11</v>
      </c>
      <c r="F153" s="13">
        <f t="shared" si="11"/>
        <v>21</v>
      </c>
      <c r="G153" s="4" t="s">
        <v>48</v>
      </c>
      <c r="H153">
        <v>42.95</v>
      </c>
      <c r="I153">
        <v>-2.7660999999999998</v>
      </c>
      <c r="J153" s="4" t="s">
        <v>21</v>
      </c>
      <c r="K153" s="4" t="s">
        <v>22</v>
      </c>
      <c r="L153" s="4" t="s">
        <v>1</v>
      </c>
      <c r="N153" s="4" t="s">
        <v>17</v>
      </c>
    </row>
    <row r="154" spans="1:15" x14ac:dyDescent="0.25">
      <c r="A154">
        <f t="shared" si="12"/>
        <v>112969</v>
      </c>
      <c r="B154" t="s">
        <v>106</v>
      </c>
      <c r="C154" s="10">
        <v>43724</v>
      </c>
      <c r="D154" s="13">
        <f t="shared" si="9"/>
        <v>2019</v>
      </c>
      <c r="E154" s="13">
        <f t="shared" si="10"/>
        <v>9</v>
      </c>
      <c r="F154" s="13">
        <f t="shared" si="11"/>
        <v>16</v>
      </c>
      <c r="G154" s="4" t="s">
        <v>14</v>
      </c>
      <c r="H154">
        <v>46.957999999999998</v>
      </c>
      <c r="I154">
        <v>6.5019</v>
      </c>
      <c r="J154" s="4" t="s">
        <v>15</v>
      </c>
      <c r="L154" s="4" t="s">
        <v>1</v>
      </c>
      <c r="N154" s="4" t="s">
        <v>16</v>
      </c>
      <c r="O154" s="4" t="s">
        <v>19</v>
      </c>
    </row>
    <row r="155" spans="1:15" x14ac:dyDescent="0.25">
      <c r="A155">
        <f t="shared" si="12"/>
        <v>112969</v>
      </c>
      <c r="B155" t="s">
        <v>106</v>
      </c>
      <c r="C155" s="10">
        <v>43932</v>
      </c>
      <c r="D155" s="13">
        <f t="shared" si="9"/>
        <v>2020</v>
      </c>
      <c r="E155" s="13">
        <f t="shared" si="10"/>
        <v>4</v>
      </c>
      <c r="F155" s="13">
        <f t="shared" si="11"/>
        <v>11</v>
      </c>
      <c r="G155" s="4" t="s">
        <v>14</v>
      </c>
      <c r="H155">
        <v>46.957099999999997</v>
      </c>
      <c r="I155">
        <v>6.4980000000000002</v>
      </c>
      <c r="J155" s="4" t="s">
        <v>15</v>
      </c>
      <c r="L155" s="4" t="s">
        <v>1</v>
      </c>
      <c r="N155" s="4" t="s">
        <v>16</v>
      </c>
    </row>
    <row r="156" spans="1:15" x14ac:dyDescent="0.25">
      <c r="A156">
        <f t="shared" si="12"/>
        <v>112969</v>
      </c>
      <c r="B156" t="s">
        <v>106</v>
      </c>
      <c r="C156" s="10">
        <v>44008</v>
      </c>
      <c r="D156" s="13">
        <f t="shared" si="9"/>
        <v>2020</v>
      </c>
      <c r="E156" s="13">
        <f t="shared" si="10"/>
        <v>6</v>
      </c>
      <c r="F156" s="13">
        <f t="shared" si="11"/>
        <v>26</v>
      </c>
      <c r="G156" s="4" t="s">
        <v>14</v>
      </c>
      <c r="H156">
        <v>46.957099999999997</v>
      </c>
      <c r="I156">
        <v>6.4980000000000002</v>
      </c>
      <c r="J156" s="4" t="s">
        <v>15</v>
      </c>
      <c r="L156" s="4" t="s">
        <v>1</v>
      </c>
      <c r="N156" s="4" t="s">
        <v>16</v>
      </c>
    </row>
    <row r="157" spans="1:15" x14ac:dyDescent="0.25">
      <c r="A157">
        <f t="shared" si="12"/>
        <v>112969</v>
      </c>
      <c r="B157" t="s">
        <v>106</v>
      </c>
      <c r="C157" s="10">
        <v>44093</v>
      </c>
      <c r="D157" s="13">
        <f t="shared" si="9"/>
        <v>2020</v>
      </c>
      <c r="E157" s="13">
        <f t="shared" si="10"/>
        <v>9</v>
      </c>
      <c r="F157" s="13">
        <f t="shared" si="11"/>
        <v>19</v>
      </c>
      <c r="G157" s="4" t="s">
        <v>14</v>
      </c>
      <c r="H157">
        <v>46.966299999999997</v>
      </c>
      <c r="I157">
        <v>6.5228000000000002</v>
      </c>
      <c r="J157" s="4" t="s">
        <v>15</v>
      </c>
      <c r="L157" s="4" t="s">
        <v>1</v>
      </c>
      <c r="N157" s="4" t="s">
        <v>16</v>
      </c>
    </row>
    <row r="158" spans="1:15" x14ac:dyDescent="0.25">
      <c r="A158">
        <f t="shared" si="12"/>
        <v>112969</v>
      </c>
      <c r="B158" t="s">
        <v>106</v>
      </c>
      <c r="C158" s="10">
        <v>44287</v>
      </c>
      <c r="D158" s="13">
        <f t="shared" si="9"/>
        <v>2021</v>
      </c>
      <c r="E158" s="13">
        <f t="shared" si="10"/>
        <v>4</v>
      </c>
      <c r="F158" s="13">
        <f t="shared" si="11"/>
        <v>1</v>
      </c>
      <c r="G158" s="4" t="s">
        <v>14</v>
      </c>
      <c r="H158">
        <v>46.955399999999997</v>
      </c>
      <c r="I158">
        <v>6.5072000000000001</v>
      </c>
      <c r="J158" s="4" t="s">
        <v>15</v>
      </c>
      <c r="L158" s="4" t="s">
        <v>1</v>
      </c>
      <c r="N158" s="4" t="s">
        <v>16</v>
      </c>
    </row>
    <row r="159" spans="1:15" x14ac:dyDescent="0.25">
      <c r="A159">
        <f t="shared" si="12"/>
        <v>112969</v>
      </c>
      <c r="B159" t="s">
        <v>106</v>
      </c>
      <c r="C159" s="10">
        <v>44368</v>
      </c>
      <c r="D159" s="13">
        <f t="shared" si="9"/>
        <v>2021</v>
      </c>
      <c r="E159" s="13">
        <f t="shared" si="10"/>
        <v>6</v>
      </c>
      <c r="F159" s="13">
        <f t="shared" si="11"/>
        <v>21</v>
      </c>
      <c r="G159" s="4" t="s">
        <v>14</v>
      </c>
      <c r="H159">
        <v>46.957099999999997</v>
      </c>
      <c r="I159">
        <v>6.4980000000000002</v>
      </c>
      <c r="J159" s="4" t="s">
        <v>15</v>
      </c>
      <c r="L159" s="4" t="s">
        <v>1</v>
      </c>
      <c r="N159" s="4" t="s">
        <v>17</v>
      </c>
    </row>
    <row r="160" spans="1:15" x14ac:dyDescent="0.25">
      <c r="A160">
        <f t="shared" si="12"/>
        <v>112970</v>
      </c>
      <c r="B160" t="s">
        <v>107</v>
      </c>
      <c r="C160" s="10">
        <v>43725</v>
      </c>
      <c r="D160" s="13">
        <f t="shared" si="9"/>
        <v>2019</v>
      </c>
      <c r="E160" s="13">
        <f t="shared" si="10"/>
        <v>9</v>
      </c>
      <c r="F160" s="13">
        <f t="shared" si="11"/>
        <v>17</v>
      </c>
      <c r="G160" s="4" t="s">
        <v>14</v>
      </c>
      <c r="H160">
        <v>46.9255</v>
      </c>
      <c r="I160">
        <v>6.4813999999999998</v>
      </c>
      <c r="J160" s="4" t="s">
        <v>15</v>
      </c>
      <c r="L160" s="4" t="s">
        <v>1</v>
      </c>
      <c r="N160" s="4" t="s">
        <v>16</v>
      </c>
      <c r="O160" s="4" t="s">
        <v>19</v>
      </c>
    </row>
    <row r="161" spans="1:15" x14ac:dyDescent="0.25">
      <c r="A161">
        <f t="shared" si="12"/>
        <v>112970</v>
      </c>
      <c r="B161" t="s">
        <v>107</v>
      </c>
      <c r="C161" s="10">
        <v>44286</v>
      </c>
      <c r="D161" s="13">
        <f t="shared" si="9"/>
        <v>2021</v>
      </c>
      <c r="E161" s="13">
        <f t="shared" si="10"/>
        <v>3</v>
      </c>
      <c r="F161" s="13">
        <f t="shared" si="11"/>
        <v>31</v>
      </c>
      <c r="G161" s="4" t="s">
        <v>14</v>
      </c>
      <c r="H161">
        <v>46.924500000000002</v>
      </c>
      <c r="I161">
        <v>6.4762000000000004</v>
      </c>
      <c r="J161" s="4" t="s">
        <v>15</v>
      </c>
      <c r="L161" s="4" t="s">
        <v>1</v>
      </c>
      <c r="N161" s="4" t="s">
        <v>16</v>
      </c>
    </row>
    <row r="162" spans="1:15" x14ac:dyDescent="0.25">
      <c r="A162">
        <f t="shared" si="12"/>
        <v>112970</v>
      </c>
      <c r="B162" t="s">
        <v>107</v>
      </c>
      <c r="C162" s="10">
        <v>44323</v>
      </c>
      <c r="D162" s="13">
        <f t="shared" si="9"/>
        <v>2021</v>
      </c>
      <c r="E162" s="13">
        <f t="shared" si="10"/>
        <v>5</v>
      </c>
      <c r="F162" s="13">
        <f t="shared" si="11"/>
        <v>7</v>
      </c>
      <c r="G162" s="4" t="s">
        <v>14</v>
      </c>
      <c r="H162">
        <v>46.924500000000002</v>
      </c>
      <c r="I162">
        <v>6.4762000000000004</v>
      </c>
      <c r="J162" s="4" t="s">
        <v>15</v>
      </c>
      <c r="L162" s="4" t="s">
        <v>1</v>
      </c>
      <c r="N162" s="4" t="s">
        <v>16</v>
      </c>
    </row>
    <row r="163" spans="1:15" x14ac:dyDescent="0.25">
      <c r="A163">
        <f t="shared" si="12"/>
        <v>112970</v>
      </c>
      <c r="B163" t="s">
        <v>107</v>
      </c>
      <c r="C163" s="10">
        <v>44379</v>
      </c>
      <c r="D163" s="13">
        <f t="shared" si="9"/>
        <v>2021</v>
      </c>
      <c r="E163" s="13">
        <f t="shared" si="10"/>
        <v>7</v>
      </c>
      <c r="F163" s="13">
        <f t="shared" si="11"/>
        <v>2</v>
      </c>
      <c r="G163" s="4" t="s">
        <v>14</v>
      </c>
      <c r="H163">
        <v>46.924500000000002</v>
      </c>
      <c r="I163">
        <v>6.4762000000000004</v>
      </c>
      <c r="J163" s="4" t="s">
        <v>15</v>
      </c>
      <c r="L163" s="4" t="s">
        <v>1</v>
      </c>
      <c r="N163" s="4" t="s">
        <v>17</v>
      </c>
    </row>
    <row r="164" spans="1:15" x14ac:dyDescent="0.25">
      <c r="A164">
        <f t="shared" si="12"/>
        <v>112971</v>
      </c>
      <c r="B164" t="s">
        <v>108</v>
      </c>
      <c r="C164" s="10">
        <v>42258</v>
      </c>
      <c r="D164" s="13">
        <f t="shared" si="9"/>
        <v>2015</v>
      </c>
      <c r="E164" s="13">
        <f t="shared" si="10"/>
        <v>9</v>
      </c>
      <c r="F164" s="13">
        <f t="shared" si="11"/>
        <v>11</v>
      </c>
      <c r="G164" s="4" t="s">
        <v>14</v>
      </c>
      <c r="H164">
        <v>46.955300000000001</v>
      </c>
      <c r="I164">
        <v>6.4981</v>
      </c>
      <c r="J164" s="4" t="s">
        <v>15</v>
      </c>
      <c r="L164" s="4" t="s">
        <v>1</v>
      </c>
      <c r="N164" s="4" t="s">
        <v>17</v>
      </c>
      <c r="O164" s="4" t="s">
        <v>109</v>
      </c>
    </row>
    <row r="165" spans="1:15" x14ac:dyDescent="0.25">
      <c r="A165">
        <f t="shared" si="12"/>
        <v>112972</v>
      </c>
      <c r="B165" t="s">
        <v>110</v>
      </c>
      <c r="C165" s="10">
        <v>42262</v>
      </c>
      <c r="D165" s="13">
        <f t="shared" si="9"/>
        <v>2015</v>
      </c>
      <c r="E165" s="13">
        <f t="shared" si="10"/>
        <v>9</v>
      </c>
      <c r="F165" s="13">
        <f t="shared" si="11"/>
        <v>15</v>
      </c>
      <c r="G165" s="4" t="s">
        <v>14</v>
      </c>
      <c r="H165">
        <v>46.955300000000001</v>
      </c>
      <c r="I165">
        <v>6.4981</v>
      </c>
      <c r="J165" s="4" t="s">
        <v>15</v>
      </c>
      <c r="L165" s="4" t="s">
        <v>1</v>
      </c>
      <c r="N165" s="4" t="s">
        <v>17</v>
      </c>
      <c r="O165" s="4" t="s">
        <v>27</v>
      </c>
    </row>
    <row r="166" spans="1:15" x14ac:dyDescent="0.25">
      <c r="A166">
        <f t="shared" si="12"/>
        <v>112973</v>
      </c>
      <c r="B166" t="s">
        <v>111</v>
      </c>
      <c r="C166" s="10">
        <v>42276</v>
      </c>
      <c r="D166" s="13">
        <f t="shared" si="9"/>
        <v>2015</v>
      </c>
      <c r="E166" s="13">
        <f t="shared" si="10"/>
        <v>9</v>
      </c>
      <c r="F166" s="13">
        <f t="shared" si="11"/>
        <v>29</v>
      </c>
      <c r="G166" s="4" t="s">
        <v>14</v>
      </c>
      <c r="H166">
        <v>46.955300000000001</v>
      </c>
      <c r="I166">
        <v>6.4981</v>
      </c>
      <c r="J166" s="4" t="s">
        <v>15</v>
      </c>
      <c r="L166" s="4" t="s">
        <v>1</v>
      </c>
      <c r="N166" s="4" t="s">
        <v>17</v>
      </c>
      <c r="O166" s="4" t="s">
        <v>29</v>
      </c>
    </row>
    <row r="167" spans="1:15" x14ac:dyDescent="0.25">
      <c r="A167">
        <f t="shared" si="12"/>
        <v>112974</v>
      </c>
      <c r="B167" t="s">
        <v>112</v>
      </c>
      <c r="C167" s="10">
        <v>42279</v>
      </c>
      <c r="D167" s="13">
        <f t="shared" si="9"/>
        <v>2015</v>
      </c>
      <c r="E167" s="13">
        <f t="shared" si="10"/>
        <v>10</v>
      </c>
      <c r="F167" s="13">
        <f t="shared" si="11"/>
        <v>2</v>
      </c>
      <c r="G167" s="4" t="s">
        <v>14</v>
      </c>
      <c r="H167">
        <v>46.955300000000001</v>
      </c>
      <c r="I167">
        <v>6.4981</v>
      </c>
      <c r="J167" s="4" t="s">
        <v>15</v>
      </c>
      <c r="L167" s="4" t="s">
        <v>1</v>
      </c>
      <c r="N167" s="4" t="s">
        <v>17</v>
      </c>
      <c r="O167" s="4" t="s">
        <v>27</v>
      </c>
    </row>
    <row r="168" spans="1:15" x14ac:dyDescent="0.25">
      <c r="A168">
        <f t="shared" si="12"/>
        <v>112975</v>
      </c>
      <c r="B168" t="s">
        <v>113</v>
      </c>
      <c r="C168" s="10">
        <v>42289</v>
      </c>
      <c r="D168" s="13">
        <f t="shared" si="9"/>
        <v>2015</v>
      </c>
      <c r="E168" s="13">
        <f t="shared" si="10"/>
        <v>10</v>
      </c>
      <c r="F168" s="13">
        <f t="shared" si="11"/>
        <v>12</v>
      </c>
      <c r="G168" s="4" t="s">
        <v>14</v>
      </c>
      <c r="H168">
        <v>46.955300000000001</v>
      </c>
      <c r="I168">
        <v>6.4981</v>
      </c>
      <c r="J168" s="4" t="s">
        <v>15</v>
      </c>
      <c r="L168" s="4" t="s">
        <v>1</v>
      </c>
      <c r="N168" s="4" t="s">
        <v>17</v>
      </c>
      <c r="O168" s="4" t="s">
        <v>27</v>
      </c>
    </row>
    <row r="169" spans="1:15" x14ac:dyDescent="0.25">
      <c r="A169">
        <f t="shared" si="12"/>
        <v>112976</v>
      </c>
      <c r="B169" t="s">
        <v>114</v>
      </c>
      <c r="C169" s="10">
        <v>42299</v>
      </c>
      <c r="D169" s="13">
        <f t="shared" si="9"/>
        <v>2015</v>
      </c>
      <c r="E169" s="13">
        <f t="shared" si="10"/>
        <v>10</v>
      </c>
      <c r="F169" s="13">
        <f t="shared" si="11"/>
        <v>22</v>
      </c>
      <c r="G169" s="4" t="s">
        <v>14</v>
      </c>
      <c r="H169">
        <v>46.955300000000001</v>
      </c>
      <c r="I169">
        <v>6.4981</v>
      </c>
      <c r="J169" s="4" t="s">
        <v>15</v>
      </c>
      <c r="L169" s="4" t="s">
        <v>1</v>
      </c>
      <c r="N169" s="4" t="s">
        <v>17</v>
      </c>
      <c r="O169" s="4" t="s">
        <v>27</v>
      </c>
    </row>
    <row r="170" spans="1:15" x14ac:dyDescent="0.25">
      <c r="A170">
        <f t="shared" si="12"/>
        <v>112977</v>
      </c>
      <c r="B170" t="s">
        <v>115</v>
      </c>
      <c r="C170" s="10">
        <v>42301</v>
      </c>
      <c r="D170" s="13">
        <f t="shared" si="9"/>
        <v>2015</v>
      </c>
      <c r="E170" s="13">
        <f t="shared" si="10"/>
        <v>10</v>
      </c>
      <c r="F170" s="13">
        <f t="shared" si="11"/>
        <v>24</v>
      </c>
      <c r="G170" s="4" t="s">
        <v>14</v>
      </c>
      <c r="H170">
        <v>46.955300000000001</v>
      </c>
      <c r="I170">
        <v>6.4981</v>
      </c>
      <c r="J170" s="4" t="s">
        <v>15</v>
      </c>
      <c r="L170" s="4" t="s">
        <v>1</v>
      </c>
      <c r="N170" s="4" t="s">
        <v>17</v>
      </c>
      <c r="O170" s="4" t="s">
        <v>19</v>
      </c>
    </row>
    <row r="171" spans="1:15" x14ac:dyDescent="0.25">
      <c r="A171">
        <f t="shared" si="12"/>
        <v>112978</v>
      </c>
      <c r="B171" t="s">
        <v>116</v>
      </c>
      <c r="C171" s="10">
        <v>42308</v>
      </c>
      <c r="D171" s="13">
        <f t="shared" si="9"/>
        <v>2015</v>
      </c>
      <c r="E171" s="13">
        <f t="shared" si="10"/>
        <v>10</v>
      </c>
      <c r="F171" s="13">
        <f t="shared" si="11"/>
        <v>31</v>
      </c>
      <c r="G171" s="4" t="s">
        <v>14</v>
      </c>
      <c r="H171">
        <v>46.955300000000001</v>
      </c>
      <c r="I171">
        <v>6.4981</v>
      </c>
      <c r="J171" s="4" t="s">
        <v>15</v>
      </c>
      <c r="L171" s="4" t="s">
        <v>1</v>
      </c>
      <c r="N171" s="4" t="s">
        <v>17</v>
      </c>
      <c r="O171" s="4" t="s">
        <v>24</v>
      </c>
    </row>
    <row r="172" spans="1:15" x14ac:dyDescent="0.25">
      <c r="A172">
        <f t="shared" si="12"/>
        <v>112979</v>
      </c>
      <c r="B172" t="s">
        <v>117</v>
      </c>
      <c r="C172" s="10">
        <v>42572</v>
      </c>
      <c r="D172" s="13">
        <f t="shared" si="9"/>
        <v>2016</v>
      </c>
      <c r="E172" s="13">
        <f t="shared" si="10"/>
        <v>7</v>
      </c>
      <c r="F172" s="13">
        <f t="shared" si="11"/>
        <v>21</v>
      </c>
      <c r="G172" s="4" t="s">
        <v>14</v>
      </c>
      <c r="H172">
        <v>46.955300000000001</v>
      </c>
      <c r="I172">
        <v>6.4981</v>
      </c>
      <c r="J172" s="4" t="s">
        <v>15</v>
      </c>
      <c r="L172" s="4" t="s">
        <v>42</v>
      </c>
      <c r="M172" s="4" t="s">
        <v>118</v>
      </c>
      <c r="N172" s="4" t="s">
        <v>16</v>
      </c>
      <c r="O172" s="4" t="s">
        <v>29</v>
      </c>
    </row>
    <row r="173" spans="1:15" x14ac:dyDescent="0.25">
      <c r="A173">
        <f t="shared" si="12"/>
        <v>112979</v>
      </c>
      <c r="B173" t="s">
        <v>117</v>
      </c>
      <c r="C173" s="10">
        <v>42666</v>
      </c>
      <c r="D173" s="13">
        <f t="shared" si="9"/>
        <v>2016</v>
      </c>
      <c r="E173" s="13">
        <f t="shared" si="10"/>
        <v>10</v>
      </c>
      <c r="F173" s="13">
        <f t="shared" si="11"/>
        <v>23</v>
      </c>
      <c r="G173" s="4" t="s">
        <v>14</v>
      </c>
      <c r="H173">
        <v>46.928899999999999</v>
      </c>
      <c r="I173">
        <v>6.4592000000000001</v>
      </c>
      <c r="J173" s="4" t="s">
        <v>15</v>
      </c>
      <c r="L173" s="4" t="s">
        <v>42</v>
      </c>
      <c r="M173" s="4" t="s">
        <v>118</v>
      </c>
      <c r="N173" s="4" t="s">
        <v>16</v>
      </c>
    </row>
    <row r="174" spans="1:15" x14ac:dyDescent="0.25">
      <c r="A174">
        <f t="shared" si="12"/>
        <v>112979</v>
      </c>
      <c r="B174" t="s">
        <v>117</v>
      </c>
      <c r="C174" s="10">
        <v>42677</v>
      </c>
      <c r="D174" s="13">
        <f t="shared" si="9"/>
        <v>2016</v>
      </c>
      <c r="E174" s="13">
        <f t="shared" si="10"/>
        <v>11</v>
      </c>
      <c r="F174" s="13">
        <f t="shared" si="11"/>
        <v>3</v>
      </c>
      <c r="G174" s="4" t="s">
        <v>14</v>
      </c>
      <c r="H174">
        <v>46.916699999999999</v>
      </c>
      <c r="I174">
        <v>6.4667000000000003</v>
      </c>
      <c r="J174" s="4" t="s">
        <v>21</v>
      </c>
      <c r="K174" s="12" t="s">
        <v>22</v>
      </c>
      <c r="L174" s="12" t="s">
        <v>42</v>
      </c>
      <c r="M174" s="12" t="s">
        <v>118</v>
      </c>
      <c r="N174" s="4" t="s">
        <v>17</v>
      </c>
    </row>
    <row r="175" spans="1:15" x14ac:dyDescent="0.25">
      <c r="A175">
        <f t="shared" si="12"/>
        <v>112980</v>
      </c>
      <c r="B175" t="s">
        <v>119</v>
      </c>
      <c r="C175" s="10">
        <v>42590</v>
      </c>
      <c r="D175" s="13">
        <f t="shared" si="9"/>
        <v>2016</v>
      </c>
      <c r="E175" s="13">
        <f t="shared" si="10"/>
        <v>8</v>
      </c>
      <c r="F175" s="13">
        <f t="shared" si="11"/>
        <v>8</v>
      </c>
      <c r="G175" s="4" t="s">
        <v>14</v>
      </c>
      <c r="H175">
        <v>46.955300000000001</v>
      </c>
      <c r="I175">
        <v>6.4981</v>
      </c>
      <c r="J175" s="4" t="s">
        <v>15</v>
      </c>
      <c r="L175" s="4" t="s">
        <v>1</v>
      </c>
      <c r="N175" s="4" t="s">
        <v>17</v>
      </c>
      <c r="O175" s="4" t="s">
        <v>29</v>
      </c>
    </row>
    <row r="176" spans="1:15" x14ac:dyDescent="0.25">
      <c r="A176">
        <f t="shared" si="12"/>
        <v>112981</v>
      </c>
      <c r="B176" t="s">
        <v>120</v>
      </c>
      <c r="C176" s="10">
        <v>42596</v>
      </c>
      <c r="D176" s="13">
        <f t="shared" si="9"/>
        <v>2016</v>
      </c>
      <c r="E176" s="13">
        <f t="shared" si="10"/>
        <v>8</v>
      </c>
      <c r="F176" s="13">
        <f t="shared" si="11"/>
        <v>14</v>
      </c>
      <c r="G176" s="4" t="s">
        <v>14</v>
      </c>
      <c r="H176">
        <v>46.955300000000001</v>
      </c>
      <c r="I176">
        <v>6.4981</v>
      </c>
      <c r="J176" s="4" t="s">
        <v>15</v>
      </c>
      <c r="L176" s="4" t="s">
        <v>1</v>
      </c>
      <c r="N176" s="4" t="s">
        <v>17</v>
      </c>
      <c r="O176" s="4" t="s">
        <v>29</v>
      </c>
    </row>
    <row r="177" spans="1:15" x14ac:dyDescent="0.25">
      <c r="A177">
        <f t="shared" si="12"/>
        <v>112982</v>
      </c>
      <c r="B177" t="s">
        <v>121</v>
      </c>
      <c r="C177" s="10">
        <v>42598</v>
      </c>
      <c r="D177" s="13">
        <f t="shared" si="9"/>
        <v>2016</v>
      </c>
      <c r="E177" s="13">
        <f t="shared" si="10"/>
        <v>8</v>
      </c>
      <c r="F177" s="13">
        <f t="shared" si="11"/>
        <v>16</v>
      </c>
      <c r="G177" s="4" t="s">
        <v>14</v>
      </c>
      <c r="H177">
        <v>46.955300000000001</v>
      </c>
      <c r="I177">
        <v>6.4981</v>
      </c>
      <c r="J177" s="4" t="s">
        <v>15</v>
      </c>
      <c r="L177" s="4" t="s">
        <v>1</v>
      </c>
      <c r="N177" s="4" t="s">
        <v>17</v>
      </c>
      <c r="O177" s="4" t="s">
        <v>29</v>
      </c>
    </row>
    <row r="178" spans="1:15" x14ac:dyDescent="0.25">
      <c r="A178">
        <f t="shared" si="12"/>
        <v>112983</v>
      </c>
      <c r="B178" t="s">
        <v>122</v>
      </c>
      <c r="C178" s="10">
        <v>42598</v>
      </c>
      <c r="D178" s="13">
        <f t="shared" si="9"/>
        <v>2016</v>
      </c>
      <c r="E178" s="13">
        <f t="shared" si="10"/>
        <v>8</v>
      </c>
      <c r="F178" s="13">
        <f t="shared" si="11"/>
        <v>16</v>
      </c>
      <c r="G178" s="4" t="s">
        <v>14</v>
      </c>
      <c r="H178">
        <v>46.955300000000001</v>
      </c>
      <c r="I178">
        <v>6.4981</v>
      </c>
      <c r="J178" s="4" t="s">
        <v>15</v>
      </c>
      <c r="L178" s="4" t="s">
        <v>1</v>
      </c>
      <c r="N178" s="4" t="s">
        <v>17</v>
      </c>
      <c r="O178" s="4" t="s">
        <v>29</v>
      </c>
    </row>
    <row r="179" spans="1:15" x14ac:dyDescent="0.25">
      <c r="A179">
        <f t="shared" si="12"/>
        <v>112984</v>
      </c>
      <c r="B179" t="s">
        <v>123</v>
      </c>
      <c r="C179" s="10">
        <v>42612</v>
      </c>
      <c r="D179" s="13">
        <f t="shared" si="9"/>
        <v>2016</v>
      </c>
      <c r="E179" s="13">
        <f t="shared" si="10"/>
        <v>8</v>
      </c>
      <c r="F179" s="13">
        <f t="shared" si="11"/>
        <v>30</v>
      </c>
      <c r="G179" s="4" t="s">
        <v>14</v>
      </c>
      <c r="H179">
        <v>46.955300000000001</v>
      </c>
      <c r="I179">
        <v>6.4981</v>
      </c>
      <c r="J179" s="4" t="s">
        <v>15</v>
      </c>
      <c r="L179" s="4" t="s">
        <v>1</v>
      </c>
      <c r="N179" s="4" t="s">
        <v>17</v>
      </c>
      <c r="O179" s="4" t="s">
        <v>29</v>
      </c>
    </row>
    <row r="180" spans="1:15" x14ac:dyDescent="0.25">
      <c r="A180">
        <f t="shared" si="12"/>
        <v>112985</v>
      </c>
      <c r="B180" t="s">
        <v>124</v>
      </c>
      <c r="C180" s="3">
        <v>42615</v>
      </c>
      <c r="D180" s="13">
        <f t="shared" si="9"/>
        <v>2016</v>
      </c>
      <c r="E180" s="13">
        <f t="shared" si="10"/>
        <v>9</v>
      </c>
      <c r="F180" s="13">
        <f t="shared" si="11"/>
        <v>2</v>
      </c>
      <c r="G180" s="4" t="s">
        <v>14</v>
      </c>
      <c r="H180">
        <v>46.934399999999997</v>
      </c>
      <c r="I180">
        <v>6.476</v>
      </c>
      <c r="J180" s="4" t="s">
        <v>15</v>
      </c>
      <c r="L180" s="4" t="s">
        <v>1</v>
      </c>
      <c r="N180" s="4" t="s">
        <v>16</v>
      </c>
      <c r="O180" s="4">
        <v>3</v>
      </c>
    </row>
    <row r="181" spans="1:15" x14ac:dyDescent="0.25">
      <c r="A181">
        <f t="shared" si="12"/>
        <v>112985</v>
      </c>
      <c r="B181" t="s">
        <v>124</v>
      </c>
      <c r="C181" s="3">
        <v>42830</v>
      </c>
      <c r="D181" s="13">
        <f t="shared" si="9"/>
        <v>2017</v>
      </c>
      <c r="E181" s="13">
        <f t="shared" si="10"/>
        <v>4</v>
      </c>
      <c r="F181" s="13">
        <f t="shared" si="11"/>
        <v>5</v>
      </c>
      <c r="G181" s="4" t="s">
        <v>14</v>
      </c>
      <c r="H181">
        <v>46.9392</v>
      </c>
      <c r="I181">
        <v>6.7453000000000003</v>
      </c>
      <c r="J181" s="4" t="s">
        <v>15</v>
      </c>
      <c r="L181" s="4" t="s">
        <v>42</v>
      </c>
      <c r="M181" s="4" t="s">
        <v>43</v>
      </c>
      <c r="N181" s="4" t="s">
        <v>16</v>
      </c>
    </row>
    <row r="182" spans="1:15" x14ac:dyDescent="0.25">
      <c r="A182">
        <f t="shared" si="12"/>
        <v>112985</v>
      </c>
      <c r="B182" t="s">
        <v>124</v>
      </c>
      <c r="C182" s="3">
        <v>43294</v>
      </c>
      <c r="D182" s="13">
        <f t="shared" si="9"/>
        <v>2018</v>
      </c>
      <c r="E182" s="13">
        <f t="shared" si="10"/>
        <v>7</v>
      </c>
      <c r="F182" s="13">
        <f t="shared" si="11"/>
        <v>13</v>
      </c>
      <c r="G182" s="4" t="s">
        <v>14</v>
      </c>
      <c r="H182">
        <v>46.956272010455997</v>
      </c>
      <c r="I182">
        <v>6.7971610066870003</v>
      </c>
      <c r="J182" s="4" t="s">
        <v>44</v>
      </c>
      <c r="L182" s="4" t="s">
        <v>42</v>
      </c>
      <c r="M182" s="4" t="s">
        <v>43</v>
      </c>
      <c r="N182" s="4" t="s">
        <v>16</v>
      </c>
    </row>
    <row r="183" spans="1:15" x14ac:dyDescent="0.25">
      <c r="A183">
        <f t="shared" si="12"/>
        <v>112985</v>
      </c>
      <c r="B183" t="s">
        <v>124</v>
      </c>
      <c r="C183" s="3">
        <v>43297</v>
      </c>
      <c r="D183" s="13">
        <f t="shared" si="9"/>
        <v>2018</v>
      </c>
      <c r="E183" s="13">
        <f t="shared" si="10"/>
        <v>7</v>
      </c>
      <c r="F183" s="13">
        <f t="shared" si="11"/>
        <v>16</v>
      </c>
      <c r="G183" s="4" t="s">
        <v>14</v>
      </c>
      <c r="H183">
        <v>46.948236010455297</v>
      </c>
      <c r="I183">
        <v>6.7858920066763009</v>
      </c>
      <c r="J183" s="4" t="s">
        <v>125</v>
      </c>
      <c r="L183" s="4" t="s">
        <v>42</v>
      </c>
      <c r="M183" s="4" t="s">
        <v>43</v>
      </c>
      <c r="N183" s="4" t="s">
        <v>17</v>
      </c>
    </row>
    <row r="184" spans="1:15" x14ac:dyDescent="0.25">
      <c r="A184">
        <f t="shared" si="12"/>
        <v>112986</v>
      </c>
      <c r="B184" t="s">
        <v>126</v>
      </c>
      <c r="C184" s="9">
        <v>42617</v>
      </c>
      <c r="D184" s="13">
        <f t="shared" si="9"/>
        <v>2016</v>
      </c>
      <c r="E184" s="13">
        <f t="shared" si="10"/>
        <v>9</v>
      </c>
      <c r="F184" s="13">
        <f t="shared" si="11"/>
        <v>4</v>
      </c>
      <c r="G184" s="4" t="s">
        <v>14</v>
      </c>
      <c r="H184">
        <v>46.955300000000001</v>
      </c>
      <c r="I184">
        <v>6.4981</v>
      </c>
      <c r="L184" s="4" t="s">
        <v>1</v>
      </c>
      <c r="N184" s="4" t="s">
        <v>17</v>
      </c>
      <c r="O184" s="4" t="s">
        <v>29</v>
      </c>
    </row>
    <row r="185" spans="1:15" x14ac:dyDescent="0.25">
      <c r="A185">
        <f t="shared" si="12"/>
        <v>112987</v>
      </c>
      <c r="B185" t="s">
        <v>127</v>
      </c>
      <c r="C185" s="9">
        <v>42621</v>
      </c>
      <c r="D185" s="13">
        <f t="shared" si="9"/>
        <v>2016</v>
      </c>
      <c r="E185" s="13">
        <f t="shared" si="10"/>
        <v>9</v>
      </c>
      <c r="F185" s="13">
        <f t="shared" si="11"/>
        <v>8</v>
      </c>
      <c r="G185" s="4" t="s">
        <v>14</v>
      </c>
      <c r="H185">
        <v>46.955300000000001</v>
      </c>
      <c r="I185">
        <v>6.4981</v>
      </c>
      <c r="L185" s="4" t="s">
        <v>1</v>
      </c>
      <c r="N185" s="4" t="s">
        <v>17</v>
      </c>
      <c r="O185" s="4" t="s">
        <v>29</v>
      </c>
    </row>
    <row r="186" spans="1:15" x14ac:dyDescent="0.25">
      <c r="A186">
        <f t="shared" si="12"/>
        <v>112988</v>
      </c>
      <c r="B186" t="s">
        <v>128</v>
      </c>
      <c r="C186" s="9">
        <v>42622</v>
      </c>
      <c r="D186" s="13">
        <f t="shared" si="9"/>
        <v>2016</v>
      </c>
      <c r="E186" s="13">
        <f t="shared" si="10"/>
        <v>9</v>
      </c>
      <c r="F186" s="13">
        <f t="shared" si="11"/>
        <v>9</v>
      </c>
      <c r="G186" s="4" t="s">
        <v>14</v>
      </c>
      <c r="H186">
        <v>46.955300000000001</v>
      </c>
      <c r="I186">
        <v>6.4981</v>
      </c>
      <c r="L186" s="4" t="s">
        <v>1</v>
      </c>
      <c r="N186" s="4" t="s">
        <v>17</v>
      </c>
      <c r="O186" s="4" t="s">
        <v>19</v>
      </c>
    </row>
    <row r="187" spans="1:15" x14ac:dyDescent="0.25">
      <c r="A187">
        <f t="shared" si="12"/>
        <v>112989</v>
      </c>
      <c r="B187" t="s">
        <v>129</v>
      </c>
      <c r="C187" s="9">
        <v>42635</v>
      </c>
      <c r="D187" s="13">
        <f t="shared" si="9"/>
        <v>2016</v>
      </c>
      <c r="E187" s="13">
        <f t="shared" si="10"/>
        <v>9</v>
      </c>
      <c r="F187" s="13">
        <f t="shared" si="11"/>
        <v>22</v>
      </c>
      <c r="G187" s="4" t="s">
        <v>14</v>
      </c>
      <c r="H187">
        <v>46.955300000000001</v>
      </c>
      <c r="I187">
        <v>6.4981</v>
      </c>
      <c r="L187" s="4" t="s">
        <v>1</v>
      </c>
      <c r="N187" s="4" t="s">
        <v>17</v>
      </c>
      <c r="O187" s="4" t="s">
        <v>29</v>
      </c>
    </row>
    <row r="188" spans="1:15" x14ac:dyDescent="0.25">
      <c r="A188">
        <f t="shared" si="12"/>
        <v>112990</v>
      </c>
      <c r="B188" t="s">
        <v>130</v>
      </c>
      <c r="C188" s="9">
        <v>42658</v>
      </c>
      <c r="D188" s="13">
        <f t="shared" si="9"/>
        <v>2016</v>
      </c>
      <c r="E188" s="13">
        <f t="shared" si="10"/>
        <v>10</v>
      </c>
      <c r="F188" s="13">
        <f t="shared" si="11"/>
        <v>15</v>
      </c>
      <c r="G188" s="4" t="s">
        <v>14</v>
      </c>
      <c r="H188">
        <v>46.955300000000001</v>
      </c>
      <c r="I188">
        <v>6.4981</v>
      </c>
      <c r="L188" s="4" t="s">
        <v>1</v>
      </c>
      <c r="N188" s="4" t="s">
        <v>17</v>
      </c>
      <c r="O188" s="4" t="s">
        <v>29</v>
      </c>
    </row>
    <row r="189" spans="1:15" x14ac:dyDescent="0.25">
      <c r="A189">
        <f t="shared" si="12"/>
        <v>112991</v>
      </c>
      <c r="B189" t="s">
        <v>131</v>
      </c>
      <c r="C189" s="9">
        <v>42665</v>
      </c>
      <c r="D189" s="13">
        <f t="shared" si="9"/>
        <v>2016</v>
      </c>
      <c r="E189" s="13">
        <f t="shared" si="10"/>
        <v>10</v>
      </c>
      <c r="F189" s="13">
        <f t="shared" si="11"/>
        <v>22</v>
      </c>
      <c r="G189" s="4" t="s">
        <v>14</v>
      </c>
      <c r="H189">
        <v>46.955300000000001</v>
      </c>
      <c r="I189">
        <v>6.4981</v>
      </c>
      <c r="L189" s="4" t="s">
        <v>1</v>
      </c>
      <c r="N189" s="4" t="s">
        <v>17</v>
      </c>
      <c r="O189" s="4" t="s">
        <v>29</v>
      </c>
    </row>
    <row r="190" spans="1:15" x14ac:dyDescent="0.25">
      <c r="A190">
        <f t="shared" si="12"/>
        <v>112992</v>
      </c>
      <c r="B190" t="s">
        <v>132</v>
      </c>
      <c r="C190" s="9">
        <v>42666</v>
      </c>
      <c r="D190" s="13">
        <f t="shared" si="9"/>
        <v>2016</v>
      </c>
      <c r="E190" s="13">
        <f t="shared" si="10"/>
        <v>10</v>
      </c>
      <c r="F190" s="13">
        <f t="shared" si="11"/>
        <v>23</v>
      </c>
      <c r="G190" s="4" t="s">
        <v>14</v>
      </c>
      <c r="H190">
        <v>46.955300000000001</v>
      </c>
      <c r="I190">
        <v>6.4981</v>
      </c>
      <c r="L190" s="4" t="s">
        <v>1</v>
      </c>
      <c r="N190" s="4" t="s">
        <v>17</v>
      </c>
      <c r="O190" s="4" t="s">
        <v>27</v>
      </c>
    </row>
    <row r="191" spans="1:15" x14ac:dyDescent="0.25">
      <c r="A191">
        <f t="shared" si="12"/>
        <v>112993</v>
      </c>
      <c r="B191" t="s">
        <v>133</v>
      </c>
      <c r="C191" s="9">
        <v>42675</v>
      </c>
      <c r="D191" s="13">
        <f t="shared" si="9"/>
        <v>2016</v>
      </c>
      <c r="E191" s="13">
        <f t="shared" si="10"/>
        <v>11</v>
      </c>
      <c r="F191" s="13">
        <f t="shared" si="11"/>
        <v>1</v>
      </c>
      <c r="G191" s="4" t="s">
        <v>14</v>
      </c>
      <c r="H191">
        <v>46.955300000000001</v>
      </c>
      <c r="I191">
        <v>6.4981</v>
      </c>
      <c r="L191" s="4" t="s">
        <v>1</v>
      </c>
      <c r="N191" s="4" t="s">
        <v>16</v>
      </c>
      <c r="O191" s="4" t="s">
        <v>29</v>
      </c>
    </row>
    <row r="192" spans="1:15" x14ac:dyDescent="0.25">
      <c r="A192">
        <f t="shared" si="12"/>
        <v>112993</v>
      </c>
      <c r="B192" t="s">
        <v>133</v>
      </c>
      <c r="C192" s="9">
        <v>42697</v>
      </c>
      <c r="D192" s="13">
        <f t="shared" si="9"/>
        <v>2016</v>
      </c>
      <c r="E192" s="13">
        <f t="shared" si="10"/>
        <v>11</v>
      </c>
      <c r="F192" s="13">
        <f t="shared" si="11"/>
        <v>23</v>
      </c>
      <c r="G192" s="4" t="s">
        <v>20</v>
      </c>
      <c r="H192">
        <v>46.7333</v>
      </c>
      <c r="I192">
        <v>5.6333000000000002</v>
      </c>
      <c r="J192" s="4" t="s">
        <v>21</v>
      </c>
      <c r="K192" s="4" t="s">
        <v>22</v>
      </c>
      <c r="L192" s="4" t="s">
        <v>1</v>
      </c>
      <c r="N192" s="4" t="s">
        <v>17</v>
      </c>
    </row>
    <row r="193" spans="1:15" x14ac:dyDescent="0.25">
      <c r="A193">
        <f t="shared" si="12"/>
        <v>112994</v>
      </c>
      <c r="B193" t="s">
        <v>134</v>
      </c>
      <c r="C193" s="9">
        <v>42930</v>
      </c>
      <c r="D193" s="13">
        <f t="shared" si="9"/>
        <v>2017</v>
      </c>
      <c r="E193" s="13">
        <f t="shared" si="10"/>
        <v>7</v>
      </c>
      <c r="F193" s="13">
        <f t="shared" si="11"/>
        <v>14</v>
      </c>
      <c r="G193" s="4" t="s">
        <v>14</v>
      </c>
      <c r="H193">
        <v>46.955300000000001</v>
      </c>
      <c r="I193">
        <v>6.4981</v>
      </c>
      <c r="L193" s="4" t="s">
        <v>1</v>
      </c>
      <c r="N193" s="4" t="s">
        <v>16</v>
      </c>
      <c r="O193" s="4" t="s">
        <v>29</v>
      </c>
    </row>
    <row r="194" spans="1:15" x14ac:dyDescent="0.25">
      <c r="A194">
        <f t="shared" si="12"/>
        <v>112994</v>
      </c>
      <c r="B194" t="s">
        <v>134</v>
      </c>
      <c r="C194" s="9">
        <v>43419</v>
      </c>
      <c r="D194" s="13">
        <f t="shared" si="9"/>
        <v>2018</v>
      </c>
      <c r="E194" s="13">
        <f t="shared" si="10"/>
        <v>11</v>
      </c>
      <c r="F194" s="13">
        <f t="shared" si="11"/>
        <v>15</v>
      </c>
      <c r="G194" t="s">
        <v>31</v>
      </c>
      <c r="H194">
        <v>45.133299999999998</v>
      </c>
      <c r="I194">
        <v>2.0167000000000002</v>
      </c>
      <c r="J194" s="4" t="s">
        <v>21</v>
      </c>
      <c r="K194" s="4" t="s">
        <v>22</v>
      </c>
      <c r="L194" s="4" t="s">
        <v>1</v>
      </c>
      <c r="N194" s="4" t="s">
        <v>17</v>
      </c>
    </row>
    <row r="195" spans="1:15" x14ac:dyDescent="0.25">
      <c r="A195">
        <f t="shared" si="12"/>
        <v>112995</v>
      </c>
      <c r="B195" t="s">
        <v>135</v>
      </c>
      <c r="C195" s="9">
        <v>42933</v>
      </c>
      <c r="D195" s="13">
        <f t="shared" ref="D195:D258" si="13">YEAR(C195)</f>
        <v>2017</v>
      </c>
      <c r="E195" s="13">
        <f t="shared" ref="E195:E258" si="14">MONTH(C195)</f>
        <v>7</v>
      </c>
      <c r="F195" s="13">
        <f t="shared" ref="F195:F258" si="15">DAY(C195)</f>
        <v>17</v>
      </c>
      <c r="G195" s="4" t="s">
        <v>14</v>
      </c>
      <c r="H195">
        <v>46.955300000000001</v>
      </c>
      <c r="I195">
        <v>6.4981</v>
      </c>
      <c r="L195" s="4" t="s">
        <v>1</v>
      </c>
      <c r="N195" s="4" t="s">
        <v>16</v>
      </c>
      <c r="O195" s="4" t="s">
        <v>29</v>
      </c>
    </row>
    <row r="196" spans="1:15" x14ac:dyDescent="0.25">
      <c r="A196">
        <f t="shared" si="12"/>
        <v>112995</v>
      </c>
      <c r="B196" t="s">
        <v>135</v>
      </c>
      <c r="C196" s="9">
        <v>43036</v>
      </c>
      <c r="D196" s="13">
        <f t="shared" si="13"/>
        <v>2017</v>
      </c>
      <c r="E196" s="13">
        <f t="shared" si="14"/>
        <v>10</v>
      </c>
      <c r="F196" s="13">
        <f t="shared" si="15"/>
        <v>28</v>
      </c>
      <c r="G196" s="4" t="s">
        <v>14</v>
      </c>
      <c r="H196">
        <v>46.979399999999998</v>
      </c>
      <c r="I196">
        <v>6.6067</v>
      </c>
      <c r="J196" s="4" t="s">
        <v>21</v>
      </c>
      <c r="K196" s="4" t="s">
        <v>22</v>
      </c>
      <c r="L196" s="4" t="s">
        <v>1</v>
      </c>
      <c r="N196" s="4" t="s">
        <v>17</v>
      </c>
    </row>
    <row r="197" spans="1:15" x14ac:dyDescent="0.25">
      <c r="A197">
        <f t="shared" si="12"/>
        <v>112996</v>
      </c>
      <c r="B197" t="s">
        <v>136</v>
      </c>
      <c r="C197" s="9">
        <v>42952</v>
      </c>
      <c r="D197" s="13">
        <f t="shared" si="13"/>
        <v>2017</v>
      </c>
      <c r="E197" s="13">
        <f t="shared" si="14"/>
        <v>8</v>
      </c>
      <c r="F197" s="13">
        <f t="shared" si="15"/>
        <v>5</v>
      </c>
      <c r="G197" s="4" t="s">
        <v>14</v>
      </c>
      <c r="H197">
        <v>46.955300000000001</v>
      </c>
      <c r="I197">
        <v>6.4981</v>
      </c>
      <c r="L197" s="4" t="s">
        <v>1</v>
      </c>
      <c r="N197" s="4" t="s">
        <v>17</v>
      </c>
      <c r="O197" s="4" t="s">
        <v>29</v>
      </c>
    </row>
    <row r="198" spans="1:15" x14ac:dyDescent="0.25">
      <c r="A198">
        <f t="shared" si="12"/>
        <v>112997</v>
      </c>
      <c r="B198" t="s">
        <v>137</v>
      </c>
      <c r="C198" s="9">
        <v>43004</v>
      </c>
      <c r="D198" s="13">
        <f t="shared" si="13"/>
        <v>2017</v>
      </c>
      <c r="E198" s="13">
        <f t="shared" si="14"/>
        <v>9</v>
      </c>
      <c r="F198" s="13">
        <f t="shared" si="15"/>
        <v>26</v>
      </c>
      <c r="G198" s="4" t="s">
        <v>14</v>
      </c>
      <c r="H198">
        <v>46.9255</v>
      </c>
      <c r="I198">
        <v>6.4813999999999998</v>
      </c>
      <c r="L198" s="4" t="s">
        <v>1</v>
      </c>
      <c r="N198" s="4" t="s">
        <v>16</v>
      </c>
      <c r="O198" s="4" t="s">
        <v>29</v>
      </c>
    </row>
    <row r="199" spans="1:15" x14ac:dyDescent="0.25">
      <c r="A199">
        <f t="shared" si="12"/>
        <v>112997</v>
      </c>
      <c r="B199" t="s">
        <v>137</v>
      </c>
      <c r="C199" s="9">
        <v>43037</v>
      </c>
      <c r="D199" s="13">
        <f t="shared" si="13"/>
        <v>2017</v>
      </c>
      <c r="E199" s="13">
        <f t="shared" si="14"/>
        <v>10</v>
      </c>
      <c r="F199" s="13">
        <f t="shared" si="15"/>
        <v>29</v>
      </c>
      <c r="G199" s="4" t="s">
        <v>31</v>
      </c>
      <c r="H199">
        <v>48.533299999999997</v>
      </c>
      <c r="I199">
        <v>-3.6333000000000002</v>
      </c>
      <c r="J199" s="4" t="s">
        <v>21</v>
      </c>
      <c r="K199" s="4" t="s">
        <v>22</v>
      </c>
      <c r="L199" s="4" t="s">
        <v>1</v>
      </c>
      <c r="N199" s="4" t="s">
        <v>17</v>
      </c>
    </row>
    <row r="200" spans="1:15" x14ac:dyDescent="0.25">
      <c r="A200">
        <f t="shared" si="12"/>
        <v>112998</v>
      </c>
      <c r="B200" t="s">
        <v>138</v>
      </c>
      <c r="C200" s="9">
        <v>43018</v>
      </c>
      <c r="D200" s="13">
        <f t="shared" si="13"/>
        <v>2017</v>
      </c>
      <c r="E200" s="13">
        <f t="shared" si="14"/>
        <v>10</v>
      </c>
      <c r="F200" s="13">
        <f t="shared" si="15"/>
        <v>10</v>
      </c>
      <c r="G200" s="4" t="s">
        <v>14</v>
      </c>
      <c r="H200">
        <v>46.9255</v>
      </c>
      <c r="I200">
        <v>6.4813999999999998</v>
      </c>
      <c r="L200" s="4" t="s">
        <v>1</v>
      </c>
      <c r="N200" s="4" t="s">
        <v>17</v>
      </c>
      <c r="O200" s="4" t="s">
        <v>19</v>
      </c>
    </row>
    <row r="201" spans="1:15" x14ac:dyDescent="0.25">
      <c r="A201">
        <f t="shared" si="12"/>
        <v>112999</v>
      </c>
      <c r="B201" t="s">
        <v>139</v>
      </c>
      <c r="C201" s="9">
        <v>43019</v>
      </c>
      <c r="D201" s="13">
        <f t="shared" si="13"/>
        <v>2017</v>
      </c>
      <c r="E201" s="13">
        <f t="shared" si="14"/>
        <v>10</v>
      </c>
      <c r="F201" s="13">
        <f t="shared" si="15"/>
        <v>11</v>
      </c>
      <c r="G201" s="4" t="s">
        <v>14</v>
      </c>
      <c r="H201">
        <v>46.9255</v>
      </c>
      <c r="I201">
        <v>6.4813999999999998</v>
      </c>
      <c r="L201" s="4" t="s">
        <v>1</v>
      </c>
      <c r="N201" s="4" t="s">
        <v>17</v>
      </c>
      <c r="O201" s="4" t="s">
        <v>29</v>
      </c>
    </row>
    <row r="202" spans="1:15" x14ac:dyDescent="0.25">
      <c r="A202">
        <f t="shared" si="12"/>
        <v>113000</v>
      </c>
      <c r="B202" t="s">
        <v>140</v>
      </c>
      <c r="C202" s="9">
        <v>43295</v>
      </c>
      <c r="D202" s="13">
        <f t="shared" si="13"/>
        <v>2018</v>
      </c>
      <c r="E202" s="13">
        <f t="shared" si="14"/>
        <v>7</v>
      </c>
      <c r="F202" s="13">
        <f t="shared" si="15"/>
        <v>14</v>
      </c>
      <c r="G202" s="4" t="s">
        <v>14</v>
      </c>
      <c r="H202">
        <v>46.955300000000001</v>
      </c>
      <c r="I202">
        <v>6.4981</v>
      </c>
      <c r="L202" s="4" t="s">
        <v>1</v>
      </c>
      <c r="N202" s="4" t="s">
        <v>17</v>
      </c>
      <c r="O202" s="4" t="s">
        <v>24</v>
      </c>
    </row>
    <row r="203" spans="1:15" x14ac:dyDescent="0.25">
      <c r="A203">
        <f t="shared" si="12"/>
        <v>115151</v>
      </c>
      <c r="B203" t="s">
        <v>141</v>
      </c>
      <c r="C203" s="3">
        <v>42489</v>
      </c>
      <c r="D203" s="13">
        <f t="shared" si="13"/>
        <v>2016</v>
      </c>
      <c r="E203" s="13">
        <f t="shared" si="14"/>
        <v>4</v>
      </c>
      <c r="F203" s="13">
        <f t="shared" si="15"/>
        <v>29</v>
      </c>
      <c r="G203" s="4" t="s">
        <v>14</v>
      </c>
      <c r="H203">
        <v>46.9392</v>
      </c>
      <c r="I203">
        <v>6.7453000000000003</v>
      </c>
      <c r="J203" s="4" t="s">
        <v>15</v>
      </c>
      <c r="L203" s="4" t="s">
        <v>42</v>
      </c>
      <c r="M203" s="4" t="s">
        <v>43</v>
      </c>
      <c r="N203" s="4" t="s">
        <v>16</v>
      </c>
      <c r="O203" s="4">
        <v>5</v>
      </c>
    </row>
    <row r="204" spans="1:15" x14ac:dyDescent="0.25">
      <c r="A204">
        <f t="shared" si="12"/>
        <v>115151</v>
      </c>
      <c r="B204" t="s">
        <v>141</v>
      </c>
      <c r="C204" s="3">
        <v>42495</v>
      </c>
      <c r="D204" s="13">
        <f t="shared" si="13"/>
        <v>2016</v>
      </c>
      <c r="E204" s="13">
        <f t="shared" si="14"/>
        <v>5</v>
      </c>
      <c r="F204" s="13">
        <f t="shared" si="15"/>
        <v>5</v>
      </c>
      <c r="G204" s="4" t="s">
        <v>14</v>
      </c>
      <c r="H204">
        <v>46.914196010464003</v>
      </c>
      <c r="I204">
        <v>6.6819310065683029</v>
      </c>
      <c r="J204" s="4" t="s">
        <v>44</v>
      </c>
      <c r="L204" s="4" t="s">
        <v>42</v>
      </c>
      <c r="M204" s="4" t="s">
        <v>43</v>
      </c>
      <c r="N204" s="4" t="s">
        <v>16</v>
      </c>
    </row>
    <row r="205" spans="1:15" x14ac:dyDescent="0.25">
      <c r="A205">
        <f t="shared" si="12"/>
        <v>115151</v>
      </c>
      <c r="B205" t="s">
        <v>141</v>
      </c>
      <c r="C205" s="3">
        <v>42537</v>
      </c>
      <c r="D205" s="13">
        <f t="shared" si="13"/>
        <v>2016</v>
      </c>
      <c r="E205" s="13">
        <f t="shared" si="14"/>
        <v>6</v>
      </c>
      <c r="F205" s="13">
        <f t="shared" si="15"/>
        <v>16</v>
      </c>
      <c r="G205" s="4" t="s">
        <v>14</v>
      </c>
      <c r="H205">
        <v>46.989724010494363</v>
      </c>
      <c r="I205">
        <v>6.6825240065527316</v>
      </c>
      <c r="J205" s="4" t="s">
        <v>44</v>
      </c>
      <c r="L205" s="4" t="s">
        <v>42</v>
      </c>
      <c r="M205" s="4" t="s">
        <v>43</v>
      </c>
      <c r="N205" s="4" t="s">
        <v>16</v>
      </c>
    </row>
    <row r="206" spans="1:15" x14ac:dyDescent="0.25">
      <c r="A206">
        <f t="shared" si="12"/>
        <v>115151</v>
      </c>
      <c r="B206" t="s">
        <v>141</v>
      </c>
      <c r="C206" s="3">
        <v>42558</v>
      </c>
      <c r="D206" s="13">
        <f t="shared" si="13"/>
        <v>2016</v>
      </c>
      <c r="E206" s="13">
        <f t="shared" si="14"/>
        <v>7</v>
      </c>
      <c r="F206" s="13">
        <f t="shared" si="15"/>
        <v>7</v>
      </c>
      <c r="G206" s="4" t="s">
        <v>14</v>
      </c>
      <c r="H206">
        <v>46.995827135380182</v>
      </c>
      <c r="I206">
        <v>6.6935408663584122</v>
      </c>
      <c r="J206" s="4" t="s">
        <v>44</v>
      </c>
      <c r="L206" s="4" t="s">
        <v>42</v>
      </c>
      <c r="M206" s="4" t="s">
        <v>43</v>
      </c>
      <c r="N206" s="4" t="s">
        <v>16</v>
      </c>
    </row>
    <row r="207" spans="1:15" x14ac:dyDescent="0.25">
      <c r="A207">
        <f t="shared" si="12"/>
        <v>115151</v>
      </c>
      <c r="B207" t="s">
        <v>141</v>
      </c>
      <c r="C207" s="3">
        <v>42597</v>
      </c>
      <c r="D207" s="13">
        <f t="shared" si="13"/>
        <v>2016</v>
      </c>
      <c r="E207" s="13">
        <f t="shared" si="14"/>
        <v>8</v>
      </c>
      <c r="F207" s="13">
        <f t="shared" si="15"/>
        <v>15</v>
      </c>
      <c r="G207" s="4" t="s">
        <v>14</v>
      </c>
      <c r="H207">
        <v>46.988820010494372</v>
      </c>
      <c r="I207">
        <v>6.6806010065507886</v>
      </c>
      <c r="J207" s="4" t="s">
        <v>44</v>
      </c>
      <c r="L207" s="4" t="s">
        <v>42</v>
      </c>
      <c r="M207" s="4" t="s">
        <v>43</v>
      </c>
      <c r="N207" s="4" t="s">
        <v>16</v>
      </c>
    </row>
    <row r="208" spans="1:15" x14ac:dyDescent="0.25">
      <c r="A208">
        <f t="shared" ref="A208:A271" si="16">RIGHT(B208,6)*1</f>
        <v>115151</v>
      </c>
      <c r="B208" t="s">
        <v>141</v>
      </c>
      <c r="C208" s="3">
        <v>42629</v>
      </c>
      <c r="D208" s="13">
        <f t="shared" si="13"/>
        <v>2016</v>
      </c>
      <c r="E208" s="13">
        <f t="shared" si="14"/>
        <v>9</v>
      </c>
      <c r="F208" s="13">
        <f t="shared" si="15"/>
        <v>16</v>
      </c>
      <c r="G208" s="4" t="s">
        <v>14</v>
      </c>
      <c r="H208">
        <v>46.915184010463868</v>
      </c>
      <c r="I208">
        <v>6.68441600657086</v>
      </c>
      <c r="J208" s="4" t="s">
        <v>44</v>
      </c>
      <c r="L208" s="4" t="s">
        <v>42</v>
      </c>
      <c r="M208" s="4" t="s">
        <v>43</v>
      </c>
      <c r="N208" s="4" t="s">
        <v>16</v>
      </c>
    </row>
    <row r="209" spans="1:16" x14ac:dyDescent="0.25">
      <c r="A209">
        <f t="shared" si="16"/>
        <v>115151</v>
      </c>
      <c r="B209" t="s">
        <v>141</v>
      </c>
      <c r="C209" s="3">
        <v>42650</v>
      </c>
      <c r="D209" s="13">
        <f t="shared" si="13"/>
        <v>2016</v>
      </c>
      <c r="E209" s="13">
        <f t="shared" si="14"/>
        <v>10</v>
      </c>
      <c r="F209" s="13">
        <f t="shared" si="15"/>
        <v>7</v>
      </c>
      <c r="G209" s="4" t="s">
        <v>14</v>
      </c>
      <c r="H209">
        <v>46.903680010461549</v>
      </c>
      <c r="I209">
        <v>6.6734220065610694</v>
      </c>
      <c r="J209" s="4" t="s">
        <v>15</v>
      </c>
      <c r="L209" s="4" t="s">
        <v>42</v>
      </c>
      <c r="M209" s="4" t="s">
        <v>118</v>
      </c>
      <c r="N209" s="4" t="s">
        <v>16</v>
      </c>
      <c r="P209" s="8" t="s">
        <v>142</v>
      </c>
    </row>
    <row r="210" spans="1:16" x14ac:dyDescent="0.25">
      <c r="A210">
        <f t="shared" si="16"/>
        <v>115151</v>
      </c>
      <c r="B210" t="s">
        <v>141</v>
      </c>
      <c r="C210" s="3">
        <v>42690</v>
      </c>
      <c r="D210" s="13">
        <f t="shared" si="13"/>
        <v>2016</v>
      </c>
      <c r="E210" s="13">
        <f t="shared" si="14"/>
        <v>11</v>
      </c>
      <c r="F210" s="13">
        <f t="shared" si="15"/>
        <v>16</v>
      </c>
      <c r="G210" s="4" t="s">
        <v>48</v>
      </c>
      <c r="H210" s="6">
        <v>39.376100000000001</v>
      </c>
      <c r="I210" s="6">
        <v>-7.4543999999999997</v>
      </c>
      <c r="J210" s="4" t="s">
        <v>44</v>
      </c>
      <c r="L210" s="4" t="s">
        <v>42</v>
      </c>
      <c r="M210" s="4" t="s">
        <v>118</v>
      </c>
      <c r="N210" s="4" t="s">
        <v>16</v>
      </c>
    </row>
    <row r="211" spans="1:16" x14ac:dyDescent="0.25">
      <c r="A211">
        <f t="shared" si="16"/>
        <v>115151</v>
      </c>
      <c r="B211" t="s">
        <v>141</v>
      </c>
      <c r="C211" s="3">
        <v>42720</v>
      </c>
      <c r="D211" s="13">
        <f t="shared" si="13"/>
        <v>2016</v>
      </c>
      <c r="E211" s="13">
        <f t="shared" si="14"/>
        <v>12</v>
      </c>
      <c r="F211" s="13">
        <f t="shared" si="15"/>
        <v>16</v>
      </c>
      <c r="G211" s="4" t="s">
        <v>48</v>
      </c>
      <c r="H211" s="6">
        <v>39.385849999999998</v>
      </c>
      <c r="I211" s="6">
        <v>-7.4482699999999999</v>
      </c>
      <c r="J211" s="4" t="s">
        <v>44</v>
      </c>
      <c r="L211" s="4" t="s">
        <v>42</v>
      </c>
      <c r="M211" s="4" t="s">
        <v>118</v>
      </c>
      <c r="N211" s="4" t="s">
        <v>16</v>
      </c>
    </row>
    <row r="212" spans="1:16" x14ac:dyDescent="0.25">
      <c r="A212">
        <f t="shared" si="16"/>
        <v>115151</v>
      </c>
      <c r="B212" t="s">
        <v>141</v>
      </c>
      <c r="C212" s="3">
        <v>42749</v>
      </c>
      <c r="D212" s="13">
        <f t="shared" si="13"/>
        <v>2017</v>
      </c>
      <c r="E212" s="13">
        <f t="shared" si="14"/>
        <v>1</v>
      </c>
      <c r="F212" s="13">
        <f t="shared" si="15"/>
        <v>14</v>
      </c>
      <c r="G212" s="4" t="s">
        <v>48</v>
      </c>
      <c r="H212" s="6">
        <v>39.391979999999997</v>
      </c>
      <c r="I212" s="6">
        <v>-7.4554799999999997</v>
      </c>
      <c r="J212" s="4" t="s">
        <v>44</v>
      </c>
      <c r="L212" s="4" t="s">
        <v>42</v>
      </c>
      <c r="M212" s="4" t="s">
        <v>118</v>
      </c>
      <c r="N212" s="4" t="s">
        <v>16</v>
      </c>
    </row>
    <row r="213" spans="1:16" x14ac:dyDescent="0.25">
      <c r="A213">
        <f t="shared" si="16"/>
        <v>115151</v>
      </c>
      <c r="B213" t="s">
        <v>141</v>
      </c>
      <c r="C213" s="3">
        <v>42781</v>
      </c>
      <c r="D213" s="13">
        <f t="shared" si="13"/>
        <v>2017</v>
      </c>
      <c r="E213" s="13">
        <f t="shared" si="14"/>
        <v>2</v>
      </c>
      <c r="F213" s="13">
        <f t="shared" si="15"/>
        <v>15</v>
      </c>
      <c r="G213" s="4" t="s">
        <v>48</v>
      </c>
      <c r="H213" s="6">
        <v>39.445050000000002</v>
      </c>
      <c r="I213" s="6">
        <v>-7.16371</v>
      </c>
      <c r="J213" s="4" t="s">
        <v>44</v>
      </c>
      <c r="L213" s="4" t="s">
        <v>42</v>
      </c>
      <c r="M213" s="4" t="s">
        <v>118</v>
      </c>
      <c r="N213" s="4" t="s">
        <v>16</v>
      </c>
    </row>
    <row r="214" spans="1:16" x14ac:dyDescent="0.25">
      <c r="A214">
        <f t="shared" si="16"/>
        <v>115151</v>
      </c>
      <c r="B214" t="s">
        <v>141</v>
      </c>
      <c r="C214" s="3">
        <v>42932</v>
      </c>
      <c r="D214" s="13">
        <f t="shared" si="13"/>
        <v>2017</v>
      </c>
      <c r="E214" s="13">
        <f t="shared" si="14"/>
        <v>7</v>
      </c>
      <c r="F214" s="13">
        <f t="shared" si="15"/>
        <v>16</v>
      </c>
      <c r="G214" s="4" t="s">
        <v>14</v>
      </c>
      <c r="H214" s="6">
        <v>46.8643</v>
      </c>
      <c r="I214" s="6">
        <v>6.6265900000000002</v>
      </c>
      <c r="J214" s="4" t="s">
        <v>44</v>
      </c>
      <c r="L214" s="4" t="s">
        <v>42</v>
      </c>
      <c r="M214" s="4" t="s">
        <v>118</v>
      </c>
      <c r="N214" s="4" t="s">
        <v>16</v>
      </c>
    </row>
    <row r="215" spans="1:16" x14ac:dyDescent="0.25">
      <c r="A215">
        <f t="shared" si="16"/>
        <v>115151</v>
      </c>
      <c r="B215" t="s">
        <v>141</v>
      </c>
      <c r="C215" s="3">
        <v>42960</v>
      </c>
      <c r="D215" s="13">
        <f t="shared" si="13"/>
        <v>2017</v>
      </c>
      <c r="E215" s="13">
        <f t="shared" si="14"/>
        <v>8</v>
      </c>
      <c r="F215" s="13">
        <f t="shared" si="15"/>
        <v>13</v>
      </c>
      <c r="G215" s="4" t="s">
        <v>14</v>
      </c>
      <c r="H215" s="6">
        <v>46.931510000000003</v>
      </c>
      <c r="I215" s="6">
        <v>6.7223499999999996</v>
      </c>
      <c r="J215" s="4" t="s">
        <v>44</v>
      </c>
      <c r="L215" s="4" t="s">
        <v>42</v>
      </c>
      <c r="M215" s="4" t="s">
        <v>118</v>
      </c>
      <c r="N215" s="4" t="s">
        <v>16</v>
      </c>
    </row>
    <row r="216" spans="1:16" x14ac:dyDescent="0.25">
      <c r="A216">
        <f t="shared" si="16"/>
        <v>115151</v>
      </c>
      <c r="B216" t="s">
        <v>141</v>
      </c>
      <c r="C216" s="3">
        <v>42991</v>
      </c>
      <c r="D216" s="13">
        <f t="shared" si="13"/>
        <v>2017</v>
      </c>
      <c r="E216" s="13">
        <f t="shared" si="14"/>
        <v>9</v>
      </c>
      <c r="F216" s="13">
        <f t="shared" si="15"/>
        <v>13</v>
      </c>
      <c r="G216" s="4" t="s">
        <v>14</v>
      </c>
      <c r="H216" s="6">
        <v>46.928060000000002</v>
      </c>
      <c r="I216" s="6">
        <v>6.6928999999999998</v>
      </c>
      <c r="J216" s="4" t="s">
        <v>44</v>
      </c>
      <c r="L216" s="4" t="s">
        <v>42</v>
      </c>
      <c r="M216" s="4" t="s">
        <v>118</v>
      </c>
      <c r="N216" s="4" t="s">
        <v>16</v>
      </c>
    </row>
    <row r="217" spans="1:16" x14ac:dyDescent="0.25">
      <c r="A217">
        <f t="shared" si="16"/>
        <v>115151</v>
      </c>
      <c r="B217" t="s">
        <v>141</v>
      </c>
      <c r="C217" s="3">
        <v>43016</v>
      </c>
      <c r="D217" s="13">
        <f t="shared" si="13"/>
        <v>2017</v>
      </c>
      <c r="E217" s="13">
        <f t="shared" si="14"/>
        <v>10</v>
      </c>
      <c r="F217" s="13">
        <f t="shared" si="15"/>
        <v>8</v>
      </c>
      <c r="G217" s="4" t="s">
        <v>20</v>
      </c>
      <c r="H217" s="6">
        <v>47.150689999999997</v>
      </c>
      <c r="I217" s="6">
        <v>6.4314999999999998</v>
      </c>
      <c r="J217" s="4" t="s">
        <v>44</v>
      </c>
      <c r="L217" s="4" t="s">
        <v>42</v>
      </c>
      <c r="M217" s="4" t="s">
        <v>118</v>
      </c>
      <c r="N217" s="4" t="s">
        <v>16</v>
      </c>
    </row>
    <row r="218" spans="1:16" x14ac:dyDescent="0.25">
      <c r="A218">
        <f t="shared" si="16"/>
        <v>115151</v>
      </c>
      <c r="B218" t="s">
        <v>141</v>
      </c>
      <c r="C218" s="3">
        <v>43054</v>
      </c>
      <c r="D218" s="13">
        <f t="shared" si="13"/>
        <v>2017</v>
      </c>
      <c r="E218" s="13">
        <f t="shared" si="14"/>
        <v>11</v>
      </c>
      <c r="F218" s="13">
        <f t="shared" si="15"/>
        <v>15</v>
      </c>
      <c r="G218" s="4" t="s">
        <v>48</v>
      </c>
      <c r="H218" s="6">
        <v>39.37771</v>
      </c>
      <c r="I218" s="6">
        <v>-7.4426899999999998</v>
      </c>
      <c r="J218" s="4" t="s">
        <v>44</v>
      </c>
      <c r="L218" s="4" t="s">
        <v>42</v>
      </c>
      <c r="M218" s="4" t="s">
        <v>118</v>
      </c>
      <c r="N218" s="4" t="s">
        <v>16</v>
      </c>
    </row>
    <row r="219" spans="1:16" x14ac:dyDescent="0.25">
      <c r="A219">
        <f t="shared" si="16"/>
        <v>115151</v>
      </c>
      <c r="B219" t="s">
        <v>141</v>
      </c>
      <c r="C219" s="3">
        <v>43084</v>
      </c>
      <c r="D219" s="13">
        <f t="shared" si="13"/>
        <v>2017</v>
      </c>
      <c r="E219" s="13">
        <f t="shared" si="14"/>
        <v>12</v>
      </c>
      <c r="F219" s="13">
        <f t="shared" si="15"/>
        <v>15</v>
      </c>
      <c r="G219" s="4" t="s">
        <v>48</v>
      </c>
      <c r="H219" s="6">
        <v>39.379980000000003</v>
      </c>
      <c r="I219" s="6">
        <v>-7.4600400000000002</v>
      </c>
      <c r="J219" s="4" t="s">
        <v>44</v>
      </c>
      <c r="L219" s="4" t="s">
        <v>42</v>
      </c>
      <c r="M219" s="4" t="s">
        <v>118</v>
      </c>
      <c r="N219" s="4" t="s">
        <v>16</v>
      </c>
    </row>
    <row r="220" spans="1:16" x14ac:dyDescent="0.25">
      <c r="A220">
        <f t="shared" si="16"/>
        <v>115151</v>
      </c>
      <c r="B220" t="s">
        <v>141</v>
      </c>
      <c r="C220" s="3">
        <v>43116</v>
      </c>
      <c r="D220" s="13">
        <f t="shared" si="13"/>
        <v>2018</v>
      </c>
      <c r="E220" s="13">
        <f t="shared" si="14"/>
        <v>1</v>
      </c>
      <c r="F220" s="13">
        <f t="shared" si="15"/>
        <v>16</v>
      </c>
      <c r="G220" s="4" t="s">
        <v>48</v>
      </c>
      <c r="H220" s="6">
        <v>39.377180000000003</v>
      </c>
      <c r="I220" s="6">
        <v>-7.4567199999999998</v>
      </c>
      <c r="J220" s="4" t="s">
        <v>44</v>
      </c>
      <c r="L220" s="4" t="s">
        <v>42</v>
      </c>
      <c r="M220" s="4" t="s">
        <v>118</v>
      </c>
      <c r="N220" s="4" t="s">
        <v>16</v>
      </c>
    </row>
    <row r="221" spans="1:16" x14ac:dyDescent="0.25">
      <c r="A221">
        <f t="shared" si="16"/>
        <v>115151</v>
      </c>
      <c r="B221" t="s">
        <v>141</v>
      </c>
      <c r="C221" s="3">
        <v>43146</v>
      </c>
      <c r="D221" s="13">
        <f t="shared" si="13"/>
        <v>2018</v>
      </c>
      <c r="E221" s="13">
        <f t="shared" si="14"/>
        <v>2</v>
      </c>
      <c r="F221" s="13">
        <f t="shared" si="15"/>
        <v>15</v>
      </c>
      <c r="G221" s="4" t="s">
        <v>48</v>
      </c>
      <c r="H221" s="6">
        <v>39.374789999999997</v>
      </c>
      <c r="I221" s="6">
        <v>-7.4563600000000001</v>
      </c>
      <c r="J221" s="4" t="s">
        <v>44</v>
      </c>
      <c r="L221" s="4" t="s">
        <v>42</v>
      </c>
      <c r="M221" s="4" t="s">
        <v>118</v>
      </c>
      <c r="N221" s="4" t="s">
        <v>16</v>
      </c>
    </row>
    <row r="222" spans="1:16" x14ac:dyDescent="0.25">
      <c r="A222">
        <f t="shared" si="16"/>
        <v>115151</v>
      </c>
      <c r="B222" t="s">
        <v>141</v>
      </c>
      <c r="C222" s="3">
        <v>43159</v>
      </c>
      <c r="D222" s="13">
        <f t="shared" si="13"/>
        <v>2018</v>
      </c>
      <c r="E222" s="13">
        <f t="shared" si="14"/>
        <v>2</v>
      </c>
      <c r="F222" s="13">
        <f t="shared" si="15"/>
        <v>28</v>
      </c>
      <c r="G222" s="4" t="s">
        <v>48</v>
      </c>
      <c r="H222" s="6">
        <v>39.373759999999997</v>
      </c>
      <c r="I222" s="6">
        <v>-7.4552500000000004</v>
      </c>
      <c r="J222" s="4" t="s">
        <v>44</v>
      </c>
      <c r="L222" s="4" t="s">
        <v>42</v>
      </c>
      <c r="M222" s="4" t="s">
        <v>118</v>
      </c>
      <c r="N222" s="4" t="s">
        <v>17</v>
      </c>
    </row>
    <row r="223" spans="1:16" x14ac:dyDescent="0.25">
      <c r="A223">
        <f t="shared" si="16"/>
        <v>115152</v>
      </c>
      <c r="B223" t="s">
        <v>143</v>
      </c>
      <c r="C223" s="3">
        <v>42492</v>
      </c>
      <c r="D223" s="13">
        <f t="shared" si="13"/>
        <v>2016</v>
      </c>
      <c r="E223" s="13">
        <f t="shared" si="14"/>
        <v>5</v>
      </c>
      <c r="F223" s="13">
        <f t="shared" si="15"/>
        <v>2</v>
      </c>
      <c r="G223" s="4" t="s">
        <v>14</v>
      </c>
      <c r="H223">
        <v>46.9392</v>
      </c>
      <c r="I223">
        <v>6.7453000000000003</v>
      </c>
      <c r="J223" s="4" t="s">
        <v>15</v>
      </c>
      <c r="L223" s="4" t="s">
        <v>42</v>
      </c>
      <c r="M223" s="4" t="s">
        <v>43</v>
      </c>
      <c r="N223" s="4" t="s">
        <v>16</v>
      </c>
      <c r="O223" s="4">
        <v>6</v>
      </c>
    </row>
    <row r="224" spans="1:16" x14ac:dyDescent="0.25">
      <c r="A224">
        <f t="shared" si="16"/>
        <v>115152</v>
      </c>
      <c r="B224" t="s">
        <v>143</v>
      </c>
      <c r="C224" s="3">
        <v>42496</v>
      </c>
      <c r="D224" s="13">
        <f t="shared" si="13"/>
        <v>2016</v>
      </c>
      <c r="E224" s="13">
        <f t="shared" si="14"/>
        <v>5</v>
      </c>
      <c r="F224" s="13">
        <f t="shared" si="15"/>
        <v>6</v>
      </c>
      <c r="G224" s="4" t="s">
        <v>14</v>
      </c>
      <c r="H224">
        <v>46.937472010453483</v>
      </c>
      <c r="I224">
        <v>6.7742470066657692</v>
      </c>
      <c r="J224" s="4" t="s">
        <v>44</v>
      </c>
      <c r="L224" s="4" t="s">
        <v>42</v>
      </c>
      <c r="M224" s="4" t="s">
        <v>43</v>
      </c>
      <c r="N224" s="4" t="s">
        <v>16</v>
      </c>
    </row>
    <row r="225" spans="1:15" x14ac:dyDescent="0.25">
      <c r="A225">
        <f t="shared" si="16"/>
        <v>115152</v>
      </c>
      <c r="B225" t="s">
        <v>143</v>
      </c>
      <c r="C225" s="3">
        <v>42517</v>
      </c>
      <c r="D225" s="13">
        <f t="shared" si="13"/>
        <v>2016</v>
      </c>
      <c r="E225" s="13">
        <f t="shared" si="14"/>
        <v>5</v>
      </c>
      <c r="F225" s="13">
        <f t="shared" si="15"/>
        <v>27</v>
      </c>
      <c r="G225" s="4" t="s">
        <v>14</v>
      </c>
      <c r="H225">
        <v>46.85081601046582</v>
      </c>
      <c r="I225">
        <v>6.5497100064337506</v>
      </c>
      <c r="J225" s="4" t="s">
        <v>44</v>
      </c>
      <c r="L225" s="4" t="s">
        <v>42</v>
      </c>
      <c r="M225" s="4" t="s">
        <v>43</v>
      </c>
      <c r="N225" s="4" t="s">
        <v>17</v>
      </c>
    </row>
    <row r="226" spans="1:15" x14ac:dyDescent="0.25">
      <c r="A226">
        <f t="shared" si="16"/>
        <v>115153</v>
      </c>
      <c r="B226" t="s">
        <v>144</v>
      </c>
      <c r="C226" s="3">
        <v>42492</v>
      </c>
      <c r="D226" s="13">
        <f t="shared" si="13"/>
        <v>2016</v>
      </c>
      <c r="E226" s="13">
        <f t="shared" si="14"/>
        <v>5</v>
      </c>
      <c r="F226" s="13">
        <f t="shared" si="15"/>
        <v>2</v>
      </c>
      <c r="G226" s="4" t="s">
        <v>14</v>
      </c>
      <c r="H226">
        <v>46.9392</v>
      </c>
      <c r="I226">
        <v>6.7453000000000003</v>
      </c>
      <c r="J226" s="4" t="s">
        <v>15</v>
      </c>
      <c r="L226" s="4" t="s">
        <v>42</v>
      </c>
      <c r="M226" s="4" t="s">
        <v>43</v>
      </c>
      <c r="N226" s="4" t="s">
        <v>16</v>
      </c>
      <c r="O226" s="4">
        <v>5</v>
      </c>
    </row>
    <row r="227" spans="1:15" x14ac:dyDescent="0.25">
      <c r="A227">
        <f t="shared" si="16"/>
        <v>115153</v>
      </c>
      <c r="B227" t="s">
        <v>144</v>
      </c>
      <c r="C227" s="3">
        <v>42496</v>
      </c>
      <c r="D227" s="13">
        <f t="shared" si="13"/>
        <v>2016</v>
      </c>
      <c r="E227" s="13">
        <f t="shared" si="14"/>
        <v>5</v>
      </c>
      <c r="F227" s="13">
        <f t="shared" si="15"/>
        <v>6</v>
      </c>
      <c r="G227" s="4" t="s">
        <v>14</v>
      </c>
      <c r="H227">
        <v>46.930224010452143</v>
      </c>
      <c r="I227">
        <v>6.7666990066589872</v>
      </c>
      <c r="J227" s="4" t="s">
        <v>44</v>
      </c>
      <c r="L227" s="4" t="s">
        <v>42</v>
      </c>
      <c r="M227" s="4" t="s">
        <v>43</v>
      </c>
      <c r="N227" s="4" t="s">
        <v>16</v>
      </c>
    </row>
    <row r="228" spans="1:15" x14ac:dyDescent="0.25">
      <c r="A228">
        <f t="shared" si="16"/>
        <v>115153</v>
      </c>
      <c r="B228" t="s">
        <v>144</v>
      </c>
      <c r="C228" s="3">
        <v>42506</v>
      </c>
      <c r="D228" s="13">
        <f t="shared" si="13"/>
        <v>2016</v>
      </c>
      <c r="E228" s="13">
        <f t="shared" si="14"/>
        <v>5</v>
      </c>
      <c r="F228" s="13">
        <f t="shared" si="15"/>
        <v>16</v>
      </c>
      <c r="G228" s="4" t="s">
        <v>14</v>
      </c>
      <c r="H228">
        <v>46.940768010453667</v>
      </c>
      <c r="I228">
        <v>6.7793380066706819</v>
      </c>
      <c r="J228" s="4" t="s">
        <v>44</v>
      </c>
      <c r="L228" s="4" t="s">
        <v>42</v>
      </c>
      <c r="M228" s="4" t="s">
        <v>43</v>
      </c>
      <c r="N228" s="4" t="s">
        <v>16</v>
      </c>
    </row>
    <row r="229" spans="1:15" x14ac:dyDescent="0.25">
      <c r="A229">
        <f t="shared" si="16"/>
        <v>115153</v>
      </c>
      <c r="B229" t="s">
        <v>144</v>
      </c>
      <c r="C229" s="3">
        <v>42535</v>
      </c>
      <c r="D229" s="13">
        <f t="shared" si="13"/>
        <v>2016</v>
      </c>
      <c r="E229" s="13">
        <f t="shared" si="14"/>
        <v>6</v>
      </c>
      <c r="F229" s="13">
        <f t="shared" si="15"/>
        <v>14</v>
      </c>
      <c r="G229" s="4" t="s">
        <v>14</v>
      </c>
      <c r="H229">
        <v>46.950328010455117</v>
      </c>
      <c r="I229">
        <v>6.7903650066807888</v>
      </c>
      <c r="J229" s="4" t="s">
        <v>44</v>
      </c>
      <c r="L229" s="4" t="s">
        <v>42</v>
      </c>
      <c r="M229" s="4" t="s">
        <v>43</v>
      </c>
      <c r="N229" s="4" t="s">
        <v>16</v>
      </c>
    </row>
    <row r="230" spans="1:15" x14ac:dyDescent="0.25">
      <c r="A230">
        <f t="shared" si="16"/>
        <v>115153</v>
      </c>
      <c r="B230" t="s">
        <v>144</v>
      </c>
      <c r="C230" s="3">
        <v>42565</v>
      </c>
      <c r="D230" s="13">
        <f t="shared" si="13"/>
        <v>2016</v>
      </c>
      <c r="E230" s="13">
        <f t="shared" si="14"/>
        <v>7</v>
      </c>
      <c r="F230" s="13">
        <f t="shared" si="15"/>
        <v>14</v>
      </c>
      <c r="G230" s="4" t="s">
        <v>14</v>
      </c>
      <c r="H230">
        <v>46.940268010453352</v>
      </c>
      <c r="I230">
        <v>6.7798850066713978</v>
      </c>
      <c r="J230" s="4" t="s">
        <v>44</v>
      </c>
      <c r="L230" s="4" t="s">
        <v>42</v>
      </c>
      <c r="M230" s="4" t="s">
        <v>43</v>
      </c>
      <c r="N230" s="4" t="s">
        <v>16</v>
      </c>
    </row>
    <row r="231" spans="1:15" x14ac:dyDescent="0.25">
      <c r="A231">
        <f t="shared" si="16"/>
        <v>115153</v>
      </c>
      <c r="B231" t="s">
        <v>144</v>
      </c>
      <c r="C231" s="3">
        <v>42569</v>
      </c>
      <c r="D231" s="13">
        <f t="shared" si="13"/>
        <v>2016</v>
      </c>
      <c r="E231" s="13">
        <f t="shared" si="14"/>
        <v>7</v>
      </c>
      <c r="F231" s="13">
        <f t="shared" si="15"/>
        <v>18</v>
      </c>
      <c r="G231" s="4" t="s">
        <v>14</v>
      </c>
      <c r="H231">
        <v>46.943772010455113</v>
      </c>
      <c r="I231">
        <v>6.7783010066688796</v>
      </c>
      <c r="J231" s="4" t="s">
        <v>44</v>
      </c>
      <c r="L231" s="4" t="s">
        <v>42</v>
      </c>
      <c r="M231" s="4" t="s">
        <v>43</v>
      </c>
      <c r="N231" s="4" t="s">
        <v>17</v>
      </c>
    </row>
    <row r="232" spans="1:15" x14ac:dyDescent="0.25">
      <c r="A232">
        <f t="shared" si="16"/>
        <v>115154</v>
      </c>
      <c r="B232" t="s">
        <v>145</v>
      </c>
      <c r="C232" s="3">
        <v>42493</v>
      </c>
      <c r="D232" s="13">
        <f t="shared" si="13"/>
        <v>2016</v>
      </c>
      <c r="E232" s="13">
        <f t="shared" si="14"/>
        <v>5</v>
      </c>
      <c r="F232" s="13">
        <f t="shared" si="15"/>
        <v>3</v>
      </c>
      <c r="G232" s="4" t="s">
        <v>14</v>
      </c>
      <c r="H232">
        <v>46.931899999999999</v>
      </c>
      <c r="I232">
        <v>6.5022000000000002</v>
      </c>
      <c r="J232" s="4" t="s">
        <v>15</v>
      </c>
      <c r="L232" s="4" t="s">
        <v>42</v>
      </c>
      <c r="M232" s="4" t="s">
        <v>43</v>
      </c>
      <c r="N232" s="4" t="s">
        <v>16</v>
      </c>
      <c r="O232" s="4">
        <v>5</v>
      </c>
    </row>
    <row r="233" spans="1:15" x14ac:dyDescent="0.25">
      <c r="A233">
        <f t="shared" si="16"/>
        <v>115154</v>
      </c>
      <c r="B233" t="s">
        <v>145</v>
      </c>
      <c r="C233" s="3">
        <v>42501</v>
      </c>
      <c r="D233" s="13">
        <f t="shared" si="13"/>
        <v>2016</v>
      </c>
      <c r="E233" s="13">
        <f t="shared" si="14"/>
        <v>5</v>
      </c>
      <c r="F233" s="13">
        <f t="shared" si="15"/>
        <v>11</v>
      </c>
      <c r="G233" s="4" t="s">
        <v>14</v>
      </c>
      <c r="H233">
        <v>46.970240010519007</v>
      </c>
      <c r="I233">
        <v>6.530066006386904</v>
      </c>
      <c r="J233" s="4" t="s">
        <v>44</v>
      </c>
      <c r="L233" s="4" t="s">
        <v>42</v>
      </c>
      <c r="M233" s="4" t="s">
        <v>43</v>
      </c>
      <c r="N233" s="4" t="s">
        <v>16</v>
      </c>
    </row>
    <row r="234" spans="1:15" x14ac:dyDescent="0.25">
      <c r="A234">
        <f t="shared" si="16"/>
        <v>115154</v>
      </c>
      <c r="B234" t="s">
        <v>145</v>
      </c>
      <c r="C234" s="3">
        <v>42501</v>
      </c>
      <c r="D234" s="13">
        <f t="shared" si="13"/>
        <v>2016</v>
      </c>
      <c r="E234" s="13">
        <f t="shared" si="14"/>
        <v>5</v>
      </c>
      <c r="F234" s="13">
        <f t="shared" si="15"/>
        <v>11</v>
      </c>
      <c r="G234" s="4" t="s">
        <v>14</v>
      </c>
      <c r="H234">
        <v>46.970240010519007</v>
      </c>
      <c r="I234">
        <v>6.530066006386904</v>
      </c>
      <c r="J234" s="4" t="s">
        <v>44</v>
      </c>
      <c r="L234" s="4" t="s">
        <v>42</v>
      </c>
      <c r="M234" s="4" t="s">
        <v>43</v>
      </c>
      <c r="N234" s="4" t="s">
        <v>16</v>
      </c>
    </row>
    <row r="235" spans="1:15" x14ac:dyDescent="0.25">
      <c r="A235">
        <f t="shared" si="16"/>
        <v>115154</v>
      </c>
      <c r="B235" t="s">
        <v>145</v>
      </c>
      <c r="C235" s="3">
        <v>42527</v>
      </c>
      <c r="D235" s="13">
        <f t="shared" si="13"/>
        <v>2016</v>
      </c>
      <c r="E235" s="13">
        <f t="shared" si="14"/>
        <v>6</v>
      </c>
      <c r="F235" s="13">
        <f t="shared" si="15"/>
        <v>6</v>
      </c>
      <c r="G235" s="4" t="s">
        <v>14</v>
      </c>
      <c r="H235">
        <v>46.930740010509041</v>
      </c>
      <c r="I235">
        <v>6.5012500063628238</v>
      </c>
      <c r="J235" s="4" t="s">
        <v>44</v>
      </c>
      <c r="L235" s="4" t="s">
        <v>42</v>
      </c>
      <c r="M235" s="4" t="s">
        <v>43</v>
      </c>
      <c r="N235" s="4" t="s">
        <v>16</v>
      </c>
    </row>
    <row r="236" spans="1:15" x14ac:dyDescent="0.25">
      <c r="A236">
        <f t="shared" si="16"/>
        <v>115154</v>
      </c>
      <c r="B236" t="s">
        <v>145</v>
      </c>
      <c r="C236" s="3">
        <v>42527</v>
      </c>
      <c r="D236" s="13">
        <f t="shared" si="13"/>
        <v>2016</v>
      </c>
      <c r="E236" s="13">
        <f t="shared" si="14"/>
        <v>6</v>
      </c>
      <c r="F236" s="13">
        <f t="shared" si="15"/>
        <v>6</v>
      </c>
      <c r="G236" s="4" t="s">
        <v>14</v>
      </c>
      <c r="H236">
        <v>46.930740010509041</v>
      </c>
      <c r="I236">
        <v>6.5012500063628238</v>
      </c>
      <c r="J236" s="4" t="s">
        <v>44</v>
      </c>
      <c r="L236" s="4" t="s">
        <v>42</v>
      </c>
      <c r="M236" s="4" t="s">
        <v>43</v>
      </c>
      <c r="N236" s="4" t="s">
        <v>16</v>
      </c>
    </row>
    <row r="237" spans="1:15" x14ac:dyDescent="0.25">
      <c r="A237">
        <f t="shared" si="16"/>
        <v>115154</v>
      </c>
      <c r="B237" t="s">
        <v>145</v>
      </c>
      <c r="C237" s="3">
        <v>42659</v>
      </c>
      <c r="D237" s="13">
        <f t="shared" si="13"/>
        <v>2016</v>
      </c>
      <c r="E237" s="13">
        <f t="shared" si="14"/>
        <v>10</v>
      </c>
      <c r="F237" s="13">
        <f t="shared" si="15"/>
        <v>16</v>
      </c>
      <c r="G237" s="4" t="s">
        <v>20</v>
      </c>
      <c r="H237">
        <v>47.116700000000002</v>
      </c>
      <c r="I237">
        <v>6.55</v>
      </c>
      <c r="J237" s="4" t="s">
        <v>21</v>
      </c>
      <c r="K237" s="12" t="s">
        <v>22</v>
      </c>
      <c r="L237" s="12" t="s">
        <v>42</v>
      </c>
      <c r="M237" s="12" t="s">
        <v>43</v>
      </c>
      <c r="N237" s="4" t="s">
        <v>17</v>
      </c>
    </row>
    <row r="238" spans="1:15" x14ac:dyDescent="0.25">
      <c r="A238">
        <f t="shared" si="16"/>
        <v>115155</v>
      </c>
      <c r="B238" t="s">
        <v>146</v>
      </c>
      <c r="C238" s="3">
        <v>42496</v>
      </c>
      <c r="D238" s="13">
        <f t="shared" si="13"/>
        <v>2016</v>
      </c>
      <c r="E238" s="13">
        <f t="shared" si="14"/>
        <v>5</v>
      </c>
      <c r="F238" s="13">
        <f t="shared" si="15"/>
        <v>6</v>
      </c>
      <c r="G238" s="4" t="s">
        <v>14</v>
      </c>
      <c r="H238">
        <v>46.931100000000001</v>
      </c>
      <c r="I238">
        <v>6.4958</v>
      </c>
      <c r="J238" s="4" t="s">
        <v>15</v>
      </c>
      <c r="L238" s="4" t="s">
        <v>1</v>
      </c>
      <c r="N238" s="4" t="s">
        <v>16</v>
      </c>
      <c r="O238" s="4">
        <v>5</v>
      </c>
    </row>
    <row r="239" spans="1:15" x14ac:dyDescent="0.25">
      <c r="A239">
        <f t="shared" si="16"/>
        <v>115155</v>
      </c>
      <c r="B239" t="s">
        <v>146</v>
      </c>
      <c r="C239" s="3">
        <v>42867</v>
      </c>
      <c r="D239" s="13">
        <f t="shared" si="13"/>
        <v>2017</v>
      </c>
      <c r="E239" s="13">
        <f t="shared" si="14"/>
        <v>5</v>
      </c>
      <c r="F239" s="13">
        <f t="shared" si="15"/>
        <v>12</v>
      </c>
      <c r="G239" s="4" t="s">
        <v>14</v>
      </c>
      <c r="H239">
        <v>46.933040010507433</v>
      </c>
      <c r="I239">
        <v>6.5133530063759348</v>
      </c>
      <c r="J239" s="4" t="s">
        <v>15</v>
      </c>
      <c r="L239" s="4" t="s">
        <v>42</v>
      </c>
      <c r="M239" s="4" t="s">
        <v>43</v>
      </c>
      <c r="N239" s="4" t="s">
        <v>16</v>
      </c>
    </row>
    <row r="240" spans="1:15" x14ac:dyDescent="0.25">
      <c r="A240">
        <f t="shared" si="16"/>
        <v>115155</v>
      </c>
      <c r="B240" t="s">
        <v>146</v>
      </c>
      <c r="C240" s="3">
        <v>42901</v>
      </c>
      <c r="D240" s="13">
        <f t="shared" si="13"/>
        <v>2017</v>
      </c>
      <c r="E240" s="13">
        <f t="shared" si="14"/>
        <v>6</v>
      </c>
      <c r="F240" s="13">
        <f t="shared" si="15"/>
        <v>15</v>
      </c>
      <c r="G240" s="4" t="s">
        <v>14</v>
      </c>
      <c r="H240">
        <v>46.928452010508472</v>
      </c>
      <c r="I240">
        <v>6.4994140063612376</v>
      </c>
      <c r="J240" s="4" t="s">
        <v>44</v>
      </c>
      <c r="L240" s="4" t="s">
        <v>42</v>
      </c>
      <c r="M240" s="4" t="s">
        <v>43</v>
      </c>
      <c r="N240" s="4" t="s">
        <v>16</v>
      </c>
    </row>
    <row r="241" spans="1:15" x14ac:dyDescent="0.25">
      <c r="A241">
        <f t="shared" si="16"/>
        <v>115155</v>
      </c>
      <c r="B241" t="s">
        <v>146</v>
      </c>
      <c r="C241" s="3">
        <v>42930</v>
      </c>
      <c r="D241" s="13">
        <f t="shared" si="13"/>
        <v>2017</v>
      </c>
      <c r="E241" s="13">
        <f t="shared" si="14"/>
        <v>7</v>
      </c>
      <c r="F241" s="13">
        <f t="shared" si="15"/>
        <v>14</v>
      </c>
      <c r="G241" s="4" t="s">
        <v>14</v>
      </c>
      <c r="H241">
        <v>46.930760010509722</v>
      </c>
      <c r="I241">
        <v>6.4981630063593574</v>
      </c>
      <c r="J241" s="4" t="s">
        <v>44</v>
      </c>
      <c r="L241" s="4" t="s">
        <v>42</v>
      </c>
      <c r="M241" s="4" t="s">
        <v>43</v>
      </c>
      <c r="N241" s="4" t="s">
        <v>16</v>
      </c>
    </row>
    <row r="242" spans="1:15" x14ac:dyDescent="0.25">
      <c r="A242">
        <f t="shared" si="16"/>
        <v>115155</v>
      </c>
      <c r="B242" t="s">
        <v>146</v>
      </c>
      <c r="C242" s="3">
        <v>42961</v>
      </c>
      <c r="D242" s="13">
        <f t="shared" si="13"/>
        <v>2017</v>
      </c>
      <c r="E242" s="13">
        <f t="shared" si="14"/>
        <v>8</v>
      </c>
      <c r="F242" s="13">
        <f t="shared" si="15"/>
        <v>14</v>
      </c>
      <c r="G242" s="4" t="s">
        <v>14</v>
      </c>
      <c r="H242">
        <v>46.945416010505987</v>
      </c>
      <c r="I242">
        <v>6.5441510064078718</v>
      </c>
      <c r="J242" s="4" t="s">
        <v>44</v>
      </c>
      <c r="L242" s="4" t="s">
        <v>42</v>
      </c>
      <c r="M242" s="4" t="s">
        <v>43</v>
      </c>
      <c r="N242" s="4" t="s">
        <v>16</v>
      </c>
    </row>
    <row r="243" spans="1:15" x14ac:dyDescent="0.25">
      <c r="A243">
        <f t="shared" si="16"/>
        <v>115155</v>
      </c>
      <c r="B243" t="s">
        <v>146</v>
      </c>
      <c r="C243" s="3">
        <v>42993</v>
      </c>
      <c r="D243" s="13">
        <f t="shared" si="13"/>
        <v>2017</v>
      </c>
      <c r="E243" s="13">
        <f t="shared" si="14"/>
        <v>9</v>
      </c>
      <c r="F243" s="13">
        <f t="shared" si="15"/>
        <v>15</v>
      </c>
      <c r="G243" s="4" t="s">
        <v>14</v>
      </c>
      <c r="H243">
        <v>46.932144010505723</v>
      </c>
      <c r="I243">
        <v>6.5198520063834087</v>
      </c>
      <c r="J243" s="4" t="s">
        <v>44</v>
      </c>
      <c r="L243" s="4" t="s">
        <v>42</v>
      </c>
      <c r="M243" s="4" t="s">
        <v>43</v>
      </c>
      <c r="N243" s="4" t="s">
        <v>16</v>
      </c>
    </row>
    <row r="244" spans="1:15" x14ac:dyDescent="0.25">
      <c r="A244">
        <f t="shared" si="16"/>
        <v>115155</v>
      </c>
      <c r="B244" t="s">
        <v>146</v>
      </c>
      <c r="C244" s="3">
        <v>43026</v>
      </c>
      <c r="D244" s="13">
        <f t="shared" si="13"/>
        <v>2017</v>
      </c>
      <c r="E244" s="13">
        <f t="shared" si="14"/>
        <v>10</v>
      </c>
      <c r="F244" s="13">
        <f t="shared" si="15"/>
        <v>18</v>
      </c>
      <c r="G244" s="4" t="s">
        <v>14</v>
      </c>
      <c r="H244">
        <v>46.934440010507643</v>
      </c>
      <c r="I244">
        <v>6.5152490063777702</v>
      </c>
      <c r="J244" s="4" t="s">
        <v>44</v>
      </c>
      <c r="L244" s="4" t="s">
        <v>42</v>
      </c>
      <c r="M244" s="4" t="s">
        <v>43</v>
      </c>
      <c r="N244" s="4" t="s">
        <v>16</v>
      </c>
    </row>
    <row r="245" spans="1:15" x14ac:dyDescent="0.25">
      <c r="A245">
        <f t="shared" si="16"/>
        <v>115155</v>
      </c>
      <c r="B245" t="s">
        <v>146</v>
      </c>
      <c r="C245" s="3">
        <v>43052</v>
      </c>
      <c r="D245" s="13">
        <f t="shared" si="13"/>
        <v>2017</v>
      </c>
      <c r="E245" s="13">
        <f t="shared" si="14"/>
        <v>11</v>
      </c>
      <c r="F245" s="13">
        <f t="shared" si="15"/>
        <v>13</v>
      </c>
      <c r="G245" s="4" t="s">
        <v>14</v>
      </c>
      <c r="H245">
        <v>46.93333601050746</v>
      </c>
      <c r="I245">
        <v>6.5136980063762611</v>
      </c>
      <c r="J245" s="4" t="s">
        <v>44</v>
      </c>
      <c r="L245" s="4" t="s">
        <v>42</v>
      </c>
      <c r="M245" s="4" t="s">
        <v>43</v>
      </c>
      <c r="N245" s="4" t="s">
        <v>16</v>
      </c>
    </row>
    <row r="246" spans="1:15" x14ac:dyDescent="0.25">
      <c r="A246">
        <f t="shared" si="16"/>
        <v>115155</v>
      </c>
      <c r="B246" t="s">
        <v>146</v>
      </c>
      <c r="C246" s="3">
        <v>43186</v>
      </c>
      <c r="D246" s="13">
        <f t="shared" si="13"/>
        <v>2018</v>
      </c>
      <c r="E246" s="13">
        <f t="shared" si="14"/>
        <v>3</v>
      </c>
      <c r="F246" s="13">
        <f t="shared" si="15"/>
        <v>27</v>
      </c>
      <c r="G246" s="4" t="s">
        <v>20</v>
      </c>
      <c r="H246">
        <v>47.085760010649999</v>
      </c>
      <c r="I246">
        <v>6.1083340058875146</v>
      </c>
      <c r="J246" s="4" t="s">
        <v>15</v>
      </c>
      <c r="L246" s="4" t="s">
        <v>42</v>
      </c>
      <c r="M246" s="4" t="s">
        <v>43</v>
      </c>
      <c r="N246" s="4" t="s">
        <v>16</v>
      </c>
    </row>
    <row r="247" spans="1:15" x14ac:dyDescent="0.25">
      <c r="A247">
        <f t="shared" si="16"/>
        <v>115155</v>
      </c>
      <c r="B247" t="s">
        <v>146</v>
      </c>
      <c r="C247" s="3">
        <v>43206</v>
      </c>
      <c r="D247" s="13">
        <f t="shared" si="13"/>
        <v>2018</v>
      </c>
      <c r="E247" s="13">
        <f t="shared" si="14"/>
        <v>4</v>
      </c>
      <c r="F247" s="13">
        <f t="shared" si="15"/>
        <v>16</v>
      </c>
      <c r="G247" s="4" t="s">
        <v>14</v>
      </c>
      <c r="H247">
        <v>46.851016010464903</v>
      </c>
      <c r="I247">
        <v>6.5545100064390978</v>
      </c>
      <c r="J247" s="4" t="s">
        <v>44</v>
      </c>
      <c r="L247" s="4" t="s">
        <v>42</v>
      </c>
      <c r="M247" s="4" t="s">
        <v>43</v>
      </c>
      <c r="N247" s="4" t="s">
        <v>16</v>
      </c>
    </row>
    <row r="248" spans="1:15" x14ac:dyDescent="0.25">
      <c r="A248">
        <f t="shared" si="16"/>
        <v>115155</v>
      </c>
      <c r="B248" t="s">
        <v>146</v>
      </c>
      <c r="C248" s="3">
        <v>43235</v>
      </c>
      <c r="D248" s="13">
        <f t="shared" si="13"/>
        <v>2018</v>
      </c>
      <c r="E248" s="13">
        <f t="shared" si="14"/>
        <v>5</v>
      </c>
      <c r="F248" s="13">
        <f t="shared" si="15"/>
        <v>15</v>
      </c>
      <c r="G248" s="4" t="s">
        <v>14</v>
      </c>
      <c r="H248">
        <v>46.928816010508548</v>
      </c>
      <c r="I248">
        <v>6.4996210063613988</v>
      </c>
      <c r="J248" s="4" t="s">
        <v>44</v>
      </c>
      <c r="L248" s="4" t="s">
        <v>42</v>
      </c>
      <c r="M248" s="4" t="s">
        <v>43</v>
      </c>
      <c r="N248" s="4" t="s">
        <v>16</v>
      </c>
    </row>
    <row r="249" spans="1:15" x14ac:dyDescent="0.25">
      <c r="A249">
        <f t="shared" si="16"/>
        <v>115155</v>
      </c>
      <c r="B249" t="s">
        <v>146</v>
      </c>
      <c r="C249" s="3">
        <v>43266</v>
      </c>
      <c r="D249" s="13">
        <f t="shared" si="13"/>
        <v>2018</v>
      </c>
      <c r="E249" s="13">
        <f t="shared" si="14"/>
        <v>6</v>
      </c>
      <c r="F249" s="13">
        <f t="shared" si="15"/>
        <v>15</v>
      </c>
      <c r="G249" s="4" t="s">
        <v>14</v>
      </c>
      <c r="H249">
        <v>46.937456010508583</v>
      </c>
      <c r="I249">
        <v>6.5165550063786108</v>
      </c>
      <c r="J249" s="4" t="s">
        <v>44</v>
      </c>
      <c r="L249" s="4" t="s">
        <v>42</v>
      </c>
      <c r="M249" s="4" t="s">
        <v>43</v>
      </c>
      <c r="N249" s="4" t="s">
        <v>16</v>
      </c>
    </row>
    <row r="250" spans="1:15" x14ac:dyDescent="0.25">
      <c r="A250">
        <f t="shared" si="16"/>
        <v>115155</v>
      </c>
      <c r="B250" t="s">
        <v>146</v>
      </c>
      <c r="C250" s="3">
        <v>43298</v>
      </c>
      <c r="D250" s="13">
        <f t="shared" si="13"/>
        <v>2018</v>
      </c>
      <c r="E250" s="13">
        <f t="shared" si="14"/>
        <v>7</v>
      </c>
      <c r="F250" s="13">
        <f t="shared" si="15"/>
        <v>17</v>
      </c>
      <c r="G250" s="4" t="s">
        <v>14</v>
      </c>
      <c r="H250">
        <v>46.932500010506288</v>
      </c>
      <c r="I250">
        <v>6.5178260063810631</v>
      </c>
      <c r="J250" s="4" t="s">
        <v>44</v>
      </c>
      <c r="L250" s="4" t="s">
        <v>42</v>
      </c>
      <c r="M250" s="4" t="s">
        <v>43</v>
      </c>
      <c r="N250" s="4" t="s">
        <v>16</v>
      </c>
    </row>
    <row r="251" spans="1:15" x14ac:dyDescent="0.25">
      <c r="A251">
        <f t="shared" si="16"/>
        <v>115155</v>
      </c>
      <c r="B251" t="s">
        <v>146</v>
      </c>
      <c r="C251" s="3">
        <v>43328</v>
      </c>
      <c r="D251" s="13">
        <f t="shared" si="13"/>
        <v>2018</v>
      </c>
      <c r="E251" s="13">
        <f t="shared" si="14"/>
        <v>8</v>
      </c>
      <c r="F251" s="13">
        <f t="shared" si="15"/>
        <v>16</v>
      </c>
      <c r="G251" s="4" t="s">
        <v>14</v>
      </c>
      <c r="H251">
        <v>46.938704010508573</v>
      </c>
      <c r="I251">
        <v>6.5190200063811146</v>
      </c>
      <c r="J251" s="4" t="s">
        <v>44</v>
      </c>
      <c r="L251" s="4" t="s">
        <v>42</v>
      </c>
      <c r="M251" s="4" t="s">
        <v>43</v>
      </c>
      <c r="N251" s="4" t="s">
        <v>16</v>
      </c>
    </row>
    <row r="252" spans="1:15" x14ac:dyDescent="0.25">
      <c r="A252">
        <f t="shared" si="16"/>
        <v>115155</v>
      </c>
      <c r="B252" t="s">
        <v>146</v>
      </c>
      <c r="C252" s="3">
        <v>43357</v>
      </c>
      <c r="D252" s="13">
        <f t="shared" si="13"/>
        <v>2018</v>
      </c>
      <c r="E252" s="13">
        <f t="shared" si="14"/>
        <v>9</v>
      </c>
      <c r="F252" s="13">
        <f t="shared" si="15"/>
        <v>14</v>
      </c>
      <c r="G252" s="4" t="s">
        <v>14</v>
      </c>
      <c r="H252">
        <v>46.926720010506124</v>
      </c>
      <c r="I252">
        <v>6.5072300063703743</v>
      </c>
      <c r="J252" s="4" t="s">
        <v>44</v>
      </c>
      <c r="L252" s="4" t="s">
        <v>42</v>
      </c>
      <c r="M252" s="4" t="s">
        <v>43</v>
      </c>
      <c r="N252" s="4" t="s">
        <v>16</v>
      </c>
    </row>
    <row r="253" spans="1:15" x14ac:dyDescent="0.25">
      <c r="A253">
        <f t="shared" si="16"/>
        <v>115155</v>
      </c>
      <c r="B253" t="s">
        <v>146</v>
      </c>
      <c r="C253" s="3">
        <v>43389</v>
      </c>
      <c r="D253" s="13">
        <f t="shared" si="13"/>
        <v>2018</v>
      </c>
      <c r="E253" s="13">
        <f t="shared" si="14"/>
        <v>10</v>
      </c>
      <c r="F253" s="13">
        <f t="shared" si="15"/>
        <v>16</v>
      </c>
      <c r="G253" s="4" t="s">
        <v>14</v>
      </c>
      <c r="H253">
        <v>46.933968010508067</v>
      </c>
      <c r="I253">
        <v>6.5121780063744232</v>
      </c>
      <c r="J253" s="4" t="s">
        <v>44</v>
      </c>
      <c r="L253" s="4" t="s">
        <v>42</v>
      </c>
      <c r="M253" s="4" t="s">
        <v>43</v>
      </c>
      <c r="N253" s="4" t="s">
        <v>16</v>
      </c>
    </row>
    <row r="254" spans="1:15" x14ac:dyDescent="0.25">
      <c r="A254">
        <f t="shared" si="16"/>
        <v>115155</v>
      </c>
      <c r="B254" t="s">
        <v>146</v>
      </c>
      <c r="C254" s="3">
        <v>43418</v>
      </c>
      <c r="D254" s="13">
        <f t="shared" si="13"/>
        <v>2018</v>
      </c>
      <c r="E254" s="13">
        <f t="shared" si="14"/>
        <v>11</v>
      </c>
      <c r="F254" s="13">
        <f t="shared" si="15"/>
        <v>14</v>
      </c>
      <c r="G254" s="4" t="s">
        <v>14</v>
      </c>
      <c r="H254">
        <v>46.932456010506179</v>
      </c>
      <c r="I254">
        <v>6.518313006381617</v>
      </c>
      <c r="J254" s="4" t="s">
        <v>44</v>
      </c>
      <c r="L254" s="4" t="s">
        <v>42</v>
      </c>
      <c r="M254" s="4" t="s">
        <v>43</v>
      </c>
      <c r="N254" s="4" t="s">
        <v>17</v>
      </c>
    </row>
    <row r="255" spans="1:15" x14ac:dyDescent="0.25">
      <c r="A255">
        <f t="shared" si="16"/>
        <v>115156</v>
      </c>
      <c r="B255" t="s">
        <v>147</v>
      </c>
      <c r="C255" s="3">
        <v>42498</v>
      </c>
      <c r="D255" s="13">
        <f t="shared" si="13"/>
        <v>2016</v>
      </c>
      <c r="E255" s="13">
        <f t="shared" si="14"/>
        <v>5</v>
      </c>
      <c r="F255" s="13">
        <f t="shared" si="15"/>
        <v>8</v>
      </c>
      <c r="G255" s="4" t="s">
        <v>14</v>
      </c>
      <c r="H255">
        <v>46.931899999999999</v>
      </c>
      <c r="I255">
        <v>6.5022000000000002</v>
      </c>
      <c r="J255" s="4" t="s">
        <v>15</v>
      </c>
      <c r="L255" s="4" t="s">
        <v>42</v>
      </c>
      <c r="M255" s="4" t="s">
        <v>43</v>
      </c>
      <c r="N255" s="4" t="s">
        <v>16</v>
      </c>
      <c r="O255" s="4">
        <v>6</v>
      </c>
    </row>
    <row r="256" spans="1:15" x14ac:dyDescent="0.25">
      <c r="A256">
        <f t="shared" si="16"/>
        <v>115156</v>
      </c>
      <c r="B256" t="s">
        <v>147</v>
      </c>
      <c r="C256" s="3">
        <v>42502</v>
      </c>
      <c r="D256" s="13">
        <f t="shared" si="13"/>
        <v>2016</v>
      </c>
      <c r="E256" s="13">
        <f t="shared" si="14"/>
        <v>5</v>
      </c>
      <c r="F256" s="13">
        <f t="shared" si="15"/>
        <v>12</v>
      </c>
      <c r="G256" s="4" t="s">
        <v>14</v>
      </c>
      <c r="H256">
        <v>46.932420010509453</v>
      </c>
      <c r="I256">
        <v>6.5024010063637716</v>
      </c>
      <c r="J256" s="4" t="s">
        <v>44</v>
      </c>
      <c r="L256" s="4" t="s">
        <v>42</v>
      </c>
      <c r="M256" s="4" t="s">
        <v>43</v>
      </c>
      <c r="N256" s="4" t="s">
        <v>16</v>
      </c>
    </row>
    <row r="257" spans="1:16" x14ac:dyDescent="0.25">
      <c r="A257">
        <f t="shared" si="16"/>
        <v>115156</v>
      </c>
      <c r="B257" t="s">
        <v>147</v>
      </c>
      <c r="C257" s="3">
        <v>42535</v>
      </c>
      <c r="D257" s="13">
        <f t="shared" si="13"/>
        <v>2016</v>
      </c>
      <c r="E257" s="13">
        <f t="shared" si="14"/>
        <v>6</v>
      </c>
      <c r="F257" s="13">
        <f t="shared" si="15"/>
        <v>14</v>
      </c>
      <c r="G257" s="4" t="s">
        <v>14</v>
      </c>
      <c r="H257">
        <v>46.928884010508767</v>
      </c>
      <c r="I257">
        <v>6.4988220063604816</v>
      </c>
      <c r="J257" s="4" t="s">
        <v>44</v>
      </c>
      <c r="L257" s="4" t="s">
        <v>42</v>
      </c>
      <c r="M257" s="4" t="s">
        <v>43</v>
      </c>
      <c r="N257" s="4" t="s">
        <v>16</v>
      </c>
    </row>
    <row r="258" spans="1:16" x14ac:dyDescent="0.25">
      <c r="A258">
        <f t="shared" si="16"/>
        <v>115156</v>
      </c>
      <c r="B258" t="s">
        <v>147</v>
      </c>
      <c r="C258" s="3">
        <v>42566</v>
      </c>
      <c r="D258" s="13">
        <f t="shared" si="13"/>
        <v>2016</v>
      </c>
      <c r="E258" s="13">
        <f t="shared" si="14"/>
        <v>7</v>
      </c>
      <c r="F258" s="13">
        <f t="shared" si="15"/>
        <v>15</v>
      </c>
      <c r="G258" s="4" t="s">
        <v>14</v>
      </c>
      <c r="H258">
        <v>46.929248010508132</v>
      </c>
      <c r="I258">
        <v>6.5025960063646453</v>
      </c>
      <c r="J258" s="4" t="s">
        <v>44</v>
      </c>
      <c r="L258" s="4" t="s">
        <v>42</v>
      </c>
      <c r="M258" s="4" t="s">
        <v>43</v>
      </c>
      <c r="N258" s="4" t="s">
        <v>16</v>
      </c>
    </row>
    <row r="259" spans="1:16" x14ac:dyDescent="0.25">
      <c r="A259">
        <f t="shared" si="16"/>
        <v>115156</v>
      </c>
      <c r="B259" t="s">
        <v>147</v>
      </c>
      <c r="C259" s="3">
        <v>42597</v>
      </c>
      <c r="D259" s="13">
        <f t="shared" ref="D259:D322" si="17">YEAR(C259)</f>
        <v>2016</v>
      </c>
      <c r="E259" s="13">
        <f t="shared" ref="E259:E322" si="18">MONTH(C259)</f>
        <v>8</v>
      </c>
      <c r="F259" s="13">
        <f t="shared" ref="F259:F322" si="19">DAY(C259)</f>
        <v>15</v>
      </c>
      <c r="G259" s="4" t="s">
        <v>14</v>
      </c>
      <c r="H259">
        <v>46.93570801050987</v>
      </c>
      <c r="I259">
        <v>6.5066170063678248</v>
      </c>
      <c r="J259" s="4" t="s">
        <v>44</v>
      </c>
      <c r="L259" s="4" t="s">
        <v>42</v>
      </c>
      <c r="M259" s="4" t="s">
        <v>43</v>
      </c>
      <c r="N259" s="4" t="s">
        <v>16</v>
      </c>
    </row>
    <row r="260" spans="1:16" x14ac:dyDescent="0.25">
      <c r="A260">
        <f t="shared" si="16"/>
        <v>115156</v>
      </c>
      <c r="B260" t="s">
        <v>147</v>
      </c>
      <c r="C260" s="3">
        <v>42628</v>
      </c>
      <c r="D260" s="13">
        <f t="shared" si="17"/>
        <v>2016</v>
      </c>
      <c r="E260" s="13">
        <f t="shared" si="18"/>
        <v>9</v>
      </c>
      <c r="F260" s="13">
        <f t="shared" si="19"/>
        <v>15</v>
      </c>
      <c r="G260" s="4" t="s">
        <v>14</v>
      </c>
      <c r="H260">
        <v>46.936816010509773</v>
      </c>
      <c r="I260">
        <v>6.5095930063709302</v>
      </c>
      <c r="J260" s="4" t="s">
        <v>44</v>
      </c>
      <c r="L260" s="4" t="s">
        <v>42</v>
      </c>
      <c r="M260" s="4" t="s">
        <v>43</v>
      </c>
      <c r="N260" s="4" t="s">
        <v>16</v>
      </c>
    </row>
    <row r="261" spans="1:16" x14ac:dyDescent="0.25">
      <c r="A261">
        <f t="shared" si="16"/>
        <v>115156</v>
      </c>
      <c r="B261" t="s">
        <v>147</v>
      </c>
      <c r="C261" s="3">
        <v>42657</v>
      </c>
      <c r="D261" s="13">
        <f t="shared" si="17"/>
        <v>2016</v>
      </c>
      <c r="E261" s="13">
        <f t="shared" si="18"/>
        <v>10</v>
      </c>
      <c r="F261" s="13">
        <f t="shared" si="19"/>
        <v>14</v>
      </c>
      <c r="G261" s="4" t="s">
        <v>14</v>
      </c>
      <c r="H261">
        <v>46.936028010510107</v>
      </c>
      <c r="I261">
        <v>6.5063150063674149</v>
      </c>
      <c r="J261" s="4" t="s">
        <v>44</v>
      </c>
      <c r="L261" s="4" t="s">
        <v>42</v>
      </c>
      <c r="M261" s="4" t="s">
        <v>43</v>
      </c>
      <c r="N261" s="4" t="s">
        <v>16</v>
      </c>
    </row>
    <row r="262" spans="1:16" x14ac:dyDescent="0.25">
      <c r="A262">
        <f t="shared" si="16"/>
        <v>115156</v>
      </c>
      <c r="B262" t="s">
        <v>147</v>
      </c>
      <c r="C262" s="3">
        <v>42678</v>
      </c>
      <c r="D262" s="13">
        <f t="shared" si="17"/>
        <v>2016</v>
      </c>
      <c r="E262" s="13">
        <f t="shared" si="18"/>
        <v>11</v>
      </c>
      <c r="F262" s="13">
        <f t="shared" si="19"/>
        <v>4</v>
      </c>
      <c r="G262" s="4" t="s">
        <v>14</v>
      </c>
      <c r="H262">
        <v>46.93892801050945</v>
      </c>
      <c r="I262">
        <v>6.5151340063767069</v>
      </c>
      <c r="J262" s="4" t="s">
        <v>44</v>
      </c>
      <c r="L262" s="4" t="s">
        <v>42</v>
      </c>
      <c r="M262" s="4" t="s">
        <v>43</v>
      </c>
      <c r="N262" s="4" t="s">
        <v>16</v>
      </c>
    </row>
    <row r="263" spans="1:16" x14ac:dyDescent="0.25">
      <c r="A263">
        <f t="shared" si="16"/>
        <v>115156</v>
      </c>
      <c r="B263" t="s">
        <v>147</v>
      </c>
      <c r="C263" s="3">
        <v>42810</v>
      </c>
      <c r="D263" s="13">
        <f t="shared" si="17"/>
        <v>2017</v>
      </c>
      <c r="E263" s="13">
        <f t="shared" si="18"/>
        <v>3</v>
      </c>
      <c r="F263" s="13">
        <f t="shared" si="19"/>
        <v>16</v>
      </c>
      <c r="G263" s="4" t="s">
        <v>14</v>
      </c>
      <c r="H263">
        <v>46.927512010507463</v>
      </c>
      <c r="I263">
        <v>6.5023200063646964</v>
      </c>
      <c r="J263" s="4" t="s">
        <v>44</v>
      </c>
      <c r="L263" s="4" t="s">
        <v>42</v>
      </c>
      <c r="M263" s="4" t="s">
        <v>43</v>
      </c>
      <c r="N263" s="4" t="s">
        <v>16</v>
      </c>
    </row>
    <row r="264" spans="1:16" x14ac:dyDescent="0.25">
      <c r="A264">
        <f t="shared" si="16"/>
        <v>115156</v>
      </c>
      <c r="B264" t="s">
        <v>147</v>
      </c>
      <c r="C264" s="3">
        <v>42831</v>
      </c>
      <c r="D264" s="13">
        <f t="shared" si="17"/>
        <v>2017</v>
      </c>
      <c r="E264" s="13">
        <f t="shared" si="18"/>
        <v>4</v>
      </c>
      <c r="F264" s="13">
        <f t="shared" si="19"/>
        <v>6</v>
      </c>
      <c r="G264" s="4" t="s">
        <v>14</v>
      </c>
      <c r="H264">
        <v>46.927196010506677</v>
      </c>
      <c r="I264">
        <v>6.5053500063681611</v>
      </c>
      <c r="J264" s="4" t="s">
        <v>44</v>
      </c>
      <c r="L264" s="4" t="s">
        <v>42</v>
      </c>
      <c r="M264" s="4" t="s">
        <v>43</v>
      </c>
      <c r="N264" s="4" t="s">
        <v>17</v>
      </c>
    </row>
    <row r="265" spans="1:16" x14ac:dyDescent="0.25">
      <c r="A265">
        <f t="shared" si="16"/>
        <v>115157</v>
      </c>
      <c r="B265" t="s">
        <v>148</v>
      </c>
      <c r="C265" s="3">
        <v>42500</v>
      </c>
      <c r="D265" s="13">
        <f t="shared" si="17"/>
        <v>2016</v>
      </c>
      <c r="E265" s="13">
        <f t="shared" si="18"/>
        <v>5</v>
      </c>
      <c r="F265" s="13">
        <f t="shared" si="19"/>
        <v>10</v>
      </c>
      <c r="G265" s="4" t="s">
        <v>14</v>
      </c>
      <c r="H265">
        <v>46.931100000000001</v>
      </c>
      <c r="I265">
        <v>6.4958</v>
      </c>
      <c r="J265" s="4" t="s">
        <v>15</v>
      </c>
      <c r="L265" s="4" t="s">
        <v>42</v>
      </c>
      <c r="M265" s="4" t="s">
        <v>43</v>
      </c>
      <c r="N265" s="4" t="s">
        <v>16</v>
      </c>
      <c r="O265" s="4">
        <v>6</v>
      </c>
    </row>
    <row r="266" spans="1:16" x14ac:dyDescent="0.25">
      <c r="A266">
        <f t="shared" si="16"/>
        <v>115157</v>
      </c>
      <c r="B266" t="s">
        <v>148</v>
      </c>
      <c r="C266" s="3">
        <v>43244</v>
      </c>
      <c r="D266" s="13">
        <f t="shared" si="17"/>
        <v>2018</v>
      </c>
      <c r="E266" s="13">
        <f t="shared" si="18"/>
        <v>5</v>
      </c>
      <c r="F266" s="13">
        <f t="shared" si="19"/>
        <v>24</v>
      </c>
      <c r="G266" s="4" t="s">
        <v>14</v>
      </c>
      <c r="H266">
        <v>46.933599999999998</v>
      </c>
      <c r="I266">
        <v>6.4722</v>
      </c>
      <c r="J266" s="4" t="s">
        <v>15</v>
      </c>
      <c r="L266" s="4" t="s">
        <v>42</v>
      </c>
      <c r="M266" s="4" t="s">
        <v>118</v>
      </c>
      <c r="N266" s="4" t="s">
        <v>16</v>
      </c>
      <c r="P266" s="8" t="s">
        <v>142</v>
      </c>
    </row>
    <row r="267" spans="1:16" x14ac:dyDescent="0.25">
      <c r="A267">
        <f t="shared" si="16"/>
        <v>115157</v>
      </c>
      <c r="B267" t="s">
        <v>148</v>
      </c>
      <c r="C267" s="3">
        <v>43282</v>
      </c>
      <c r="D267" s="13">
        <f t="shared" si="17"/>
        <v>2018</v>
      </c>
      <c r="E267" s="13">
        <f t="shared" si="18"/>
        <v>7</v>
      </c>
      <c r="F267" s="13">
        <f t="shared" si="19"/>
        <v>1</v>
      </c>
      <c r="G267" s="4" t="s">
        <v>20</v>
      </c>
      <c r="H267" s="4">
        <v>46.942920000000001</v>
      </c>
      <c r="I267" s="4">
        <v>6.3938499999999996</v>
      </c>
      <c r="J267" s="4" t="s">
        <v>44</v>
      </c>
      <c r="L267" s="4" t="s">
        <v>42</v>
      </c>
      <c r="M267" s="4" t="s">
        <v>118</v>
      </c>
      <c r="N267" s="4" t="s">
        <v>16</v>
      </c>
    </row>
    <row r="268" spans="1:16" x14ac:dyDescent="0.25">
      <c r="A268">
        <f t="shared" si="16"/>
        <v>115157</v>
      </c>
      <c r="B268" t="s">
        <v>148</v>
      </c>
      <c r="C268" s="3">
        <v>43295</v>
      </c>
      <c r="D268" s="13">
        <f t="shared" si="17"/>
        <v>2018</v>
      </c>
      <c r="E268" s="13">
        <f t="shared" si="18"/>
        <v>7</v>
      </c>
      <c r="F268" s="13">
        <f t="shared" si="19"/>
        <v>14</v>
      </c>
      <c r="G268" s="4" t="s">
        <v>20</v>
      </c>
      <c r="H268" s="4">
        <v>46.936869999999999</v>
      </c>
      <c r="I268" s="4">
        <v>6.43689</v>
      </c>
      <c r="J268" s="4" t="s">
        <v>44</v>
      </c>
      <c r="L268" s="4" t="s">
        <v>42</v>
      </c>
      <c r="M268" s="4" t="s">
        <v>118</v>
      </c>
      <c r="N268" s="4" t="s">
        <v>16</v>
      </c>
    </row>
    <row r="269" spans="1:16" x14ac:dyDescent="0.25">
      <c r="A269">
        <f t="shared" si="16"/>
        <v>115157</v>
      </c>
      <c r="B269" t="s">
        <v>148</v>
      </c>
      <c r="C269" s="3">
        <v>43328</v>
      </c>
      <c r="D269" s="13">
        <f t="shared" si="17"/>
        <v>2018</v>
      </c>
      <c r="E269" s="13">
        <f t="shared" si="18"/>
        <v>8</v>
      </c>
      <c r="F269" s="13">
        <f t="shared" si="19"/>
        <v>16</v>
      </c>
      <c r="G269" s="4" t="s">
        <v>20</v>
      </c>
      <c r="H269" s="4">
        <v>46.942509999999999</v>
      </c>
      <c r="I269" s="4">
        <v>6.4462299999999999</v>
      </c>
      <c r="J269" s="4" t="s">
        <v>44</v>
      </c>
      <c r="L269" s="4" t="s">
        <v>42</v>
      </c>
      <c r="M269" s="4" t="s">
        <v>118</v>
      </c>
      <c r="N269" s="4" t="s">
        <v>16</v>
      </c>
    </row>
    <row r="270" spans="1:16" x14ac:dyDescent="0.25">
      <c r="A270">
        <f t="shared" si="16"/>
        <v>115157</v>
      </c>
      <c r="B270" t="s">
        <v>148</v>
      </c>
      <c r="C270" s="3">
        <v>43358</v>
      </c>
      <c r="D270" s="13">
        <f t="shared" si="17"/>
        <v>2018</v>
      </c>
      <c r="E270" s="13">
        <f t="shared" si="18"/>
        <v>9</v>
      </c>
      <c r="F270" s="13">
        <f t="shared" si="19"/>
        <v>15</v>
      </c>
      <c r="G270" s="4" t="s">
        <v>14</v>
      </c>
      <c r="H270" s="4">
        <v>46.924579999999999</v>
      </c>
      <c r="I270" s="4">
        <v>6.5609500000000001</v>
      </c>
      <c r="J270" s="4" t="s">
        <v>44</v>
      </c>
      <c r="L270" s="4" t="s">
        <v>42</v>
      </c>
      <c r="M270" s="4" t="s">
        <v>118</v>
      </c>
      <c r="N270" s="4" t="s">
        <v>16</v>
      </c>
    </row>
    <row r="271" spans="1:16" x14ac:dyDescent="0.25">
      <c r="A271">
        <f t="shared" si="16"/>
        <v>115157</v>
      </c>
      <c r="B271" t="s">
        <v>148</v>
      </c>
      <c r="C271" s="3">
        <v>43389</v>
      </c>
      <c r="D271" s="13">
        <f t="shared" si="17"/>
        <v>2018</v>
      </c>
      <c r="E271" s="13">
        <f t="shared" si="18"/>
        <v>10</v>
      </c>
      <c r="F271" s="13">
        <f t="shared" si="19"/>
        <v>16</v>
      </c>
      <c r="G271" s="4" t="s">
        <v>20</v>
      </c>
      <c r="H271" s="4">
        <v>46.939529999999998</v>
      </c>
      <c r="I271" s="4">
        <v>6.4463600000000003</v>
      </c>
      <c r="J271" s="4" t="s">
        <v>44</v>
      </c>
      <c r="L271" s="4" t="s">
        <v>42</v>
      </c>
      <c r="M271" s="4" t="s">
        <v>118</v>
      </c>
      <c r="N271" s="4" t="s">
        <v>16</v>
      </c>
    </row>
    <row r="272" spans="1:16" x14ac:dyDescent="0.25">
      <c r="A272">
        <f t="shared" ref="A272:A335" si="20">RIGHT(B272,6)*1</f>
        <v>115157</v>
      </c>
      <c r="B272" t="s">
        <v>148</v>
      </c>
      <c r="C272" s="3">
        <v>43420</v>
      </c>
      <c r="D272" s="13">
        <f t="shared" si="17"/>
        <v>2018</v>
      </c>
      <c r="E272" s="13">
        <f t="shared" si="18"/>
        <v>11</v>
      </c>
      <c r="F272" s="13">
        <f t="shared" si="19"/>
        <v>16</v>
      </c>
      <c r="G272" s="4" t="s">
        <v>14</v>
      </c>
      <c r="H272" s="4">
        <v>46.960970000000003</v>
      </c>
      <c r="I272" s="4">
        <v>6.4792699999999996</v>
      </c>
      <c r="J272" s="4" t="s">
        <v>44</v>
      </c>
      <c r="L272" s="4" t="s">
        <v>42</v>
      </c>
      <c r="M272" s="4" t="s">
        <v>118</v>
      </c>
      <c r="N272" s="4" t="s">
        <v>16</v>
      </c>
    </row>
    <row r="273" spans="1:15" x14ac:dyDescent="0.25">
      <c r="A273">
        <f t="shared" si="20"/>
        <v>115157</v>
      </c>
      <c r="B273" t="s">
        <v>148</v>
      </c>
      <c r="C273" s="3">
        <v>43449</v>
      </c>
      <c r="D273" s="13">
        <f t="shared" si="17"/>
        <v>2018</v>
      </c>
      <c r="E273" s="13">
        <f t="shared" si="18"/>
        <v>12</v>
      </c>
      <c r="F273" s="13">
        <f t="shared" si="19"/>
        <v>15</v>
      </c>
      <c r="G273" s="4" t="s">
        <v>31</v>
      </c>
      <c r="H273" s="4">
        <v>44.789200000000001</v>
      </c>
      <c r="I273" s="4">
        <v>5.1559100000000004</v>
      </c>
      <c r="J273" s="4" t="s">
        <v>44</v>
      </c>
      <c r="L273" s="4" t="s">
        <v>42</v>
      </c>
      <c r="M273" s="4" t="s">
        <v>118</v>
      </c>
      <c r="N273" s="4" t="s">
        <v>16</v>
      </c>
    </row>
    <row r="274" spans="1:15" x14ac:dyDescent="0.25">
      <c r="A274">
        <f t="shared" si="20"/>
        <v>115157</v>
      </c>
      <c r="B274" t="s">
        <v>148</v>
      </c>
      <c r="C274" s="3">
        <v>43473</v>
      </c>
      <c r="D274" s="13">
        <f t="shared" si="17"/>
        <v>2019</v>
      </c>
      <c r="E274" s="13">
        <f t="shared" si="18"/>
        <v>1</v>
      </c>
      <c r="F274" s="13">
        <f t="shared" si="19"/>
        <v>8</v>
      </c>
      <c r="G274" s="4" t="s">
        <v>31</v>
      </c>
      <c r="H274" s="4">
        <v>44.794150000000002</v>
      </c>
      <c r="I274" s="4">
        <v>5.1708400000000001</v>
      </c>
      <c r="J274" s="4" t="s">
        <v>44</v>
      </c>
      <c r="L274" s="4" t="s">
        <v>42</v>
      </c>
      <c r="M274" s="4" t="s">
        <v>118</v>
      </c>
      <c r="N274" s="4" t="s">
        <v>17</v>
      </c>
    </row>
    <row r="275" spans="1:15" x14ac:dyDescent="0.25">
      <c r="A275">
        <f t="shared" si="20"/>
        <v>115158</v>
      </c>
      <c r="B275" t="s">
        <v>149</v>
      </c>
      <c r="C275" s="10">
        <v>42507</v>
      </c>
      <c r="D275" s="13">
        <f t="shared" si="17"/>
        <v>2016</v>
      </c>
      <c r="E275" s="13">
        <f t="shared" si="18"/>
        <v>5</v>
      </c>
      <c r="F275" s="13">
        <f t="shared" si="19"/>
        <v>17</v>
      </c>
      <c r="G275" s="4" t="s">
        <v>14</v>
      </c>
      <c r="H275">
        <v>46.9392</v>
      </c>
      <c r="I275">
        <v>6.7453000000000003</v>
      </c>
      <c r="J275" s="4" t="s">
        <v>15</v>
      </c>
      <c r="L275" s="4" t="s">
        <v>1</v>
      </c>
      <c r="N275" s="4" t="s">
        <v>17</v>
      </c>
      <c r="O275" s="4" t="s">
        <v>19</v>
      </c>
    </row>
    <row r="276" spans="1:15" x14ac:dyDescent="0.25">
      <c r="A276">
        <f t="shared" si="20"/>
        <v>115159</v>
      </c>
      <c r="B276" t="s">
        <v>150</v>
      </c>
      <c r="C276" s="3">
        <v>42507</v>
      </c>
      <c r="D276" s="13">
        <f t="shared" si="17"/>
        <v>2016</v>
      </c>
      <c r="E276" s="13">
        <f t="shared" si="18"/>
        <v>5</v>
      </c>
      <c r="F276" s="13">
        <f t="shared" si="19"/>
        <v>17</v>
      </c>
      <c r="G276" s="4" t="s">
        <v>14</v>
      </c>
      <c r="H276">
        <v>46.9392</v>
      </c>
      <c r="I276">
        <v>6.7453000000000003</v>
      </c>
      <c r="J276" s="4" t="s">
        <v>15</v>
      </c>
      <c r="L276" s="4" t="s">
        <v>42</v>
      </c>
      <c r="M276" s="4" t="s">
        <v>43</v>
      </c>
      <c r="N276" s="4" t="s">
        <v>16</v>
      </c>
      <c r="O276" s="4">
        <v>6</v>
      </c>
    </row>
    <row r="277" spans="1:15" x14ac:dyDescent="0.25">
      <c r="A277">
        <f t="shared" si="20"/>
        <v>115159</v>
      </c>
      <c r="B277" t="s">
        <v>150</v>
      </c>
      <c r="C277" s="3">
        <v>42537</v>
      </c>
      <c r="D277" s="13">
        <f t="shared" si="17"/>
        <v>2016</v>
      </c>
      <c r="E277" s="13">
        <f t="shared" si="18"/>
        <v>6</v>
      </c>
      <c r="F277" s="13">
        <f t="shared" si="19"/>
        <v>16</v>
      </c>
      <c r="G277" s="4" t="s">
        <v>14</v>
      </c>
      <c r="H277">
        <v>46.939680010461963</v>
      </c>
      <c r="I277">
        <v>6.7391930066264436</v>
      </c>
      <c r="J277" s="4" t="s">
        <v>44</v>
      </c>
      <c r="L277" s="4" t="s">
        <v>42</v>
      </c>
      <c r="M277" s="4" t="s">
        <v>43</v>
      </c>
      <c r="N277" s="4" t="s">
        <v>16</v>
      </c>
    </row>
    <row r="278" spans="1:15" x14ac:dyDescent="0.25">
      <c r="A278">
        <f t="shared" si="20"/>
        <v>115159</v>
      </c>
      <c r="B278" t="s">
        <v>150</v>
      </c>
      <c r="C278" s="3">
        <v>42566</v>
      </c>
      <c r="D278" s="13">
        <f t="shared" si="17"/>
        <v>2016</v>
      </c>
      <c r="E278" s="13">
        <f t="shared" si="18"/>
        <v>7</v>
      </c>
      <c r="F278" s="13">
        <f t="shared" si="19"/>
        <v>15</v>
      </c>
      <c r="G278" s="4" t="s">
        <v>14</v>
      </c>
      <c r="H278">
        <v>46.934236010463017</v>
      </c>
      <c r="I278">
        <v>6.7242190066110128</v>
      </c>
      <c r="J278" s="4" t="s">
        <v>44</v>
      </c>
      <c r="L278" s="4" t="s">
        <v>42</v>
      </c>
      <c r="M278" s="4" t="s">
        <v>43</v>
      </c>
      <c r="N278" s="4" t="s">
        <v>16</v>
      </c>
    </row>
    <row r="279" spans="1:15" x14ac:dyDescent="0.25">
      <c r="A279">
        <f t="shared" si="20"/>
        <v>115159</v>
      </c>
      <c r="B279" t="s">
        <v>150</v>
      </c>
      <c r="C279" s="3">
        <v>42597</v>
      </c>
      <c r="D279" s="13">
        <f t="shared" si="17"/>
        <v>2016</v>
      </c>
      <c r="E279" s="13">
        <f t="shared" si="18"/>
        <v>8</v>
      </c>
      <c r="F279" s="13">
        <f t="shared" si="19"/>
        <v>15</v>
      </c>
      <c r="G279" s="4" t="s">
        <v>14</v>
      </c>
      <c r="H279">
        <v>46.934072010462437</v>
      </c>
      <c r="I279">
        <v>6.7267920066139011</v>
      </c>
      <c r="J279" s="4" t="s">
        <v>44</v>
      </c>
      <c r="L279" s="4" t="s">
        <v>42</v>
      </c>
      <c r="M279" s="4" t="s">
        <v>43</v>
      </c>
      <c r="N279" s="4" t="s">
        <v>16</v>
      </c>
    </row>
    <row r="280" spans="1:15" x14ac:dyDescent="0.25">
      <c r="A280">
        <f t="shared" si="20"/>
        <v>115159</v>
      </c>
      <c r="B280" t="s">
        <v>150</v>
      </c>
      <c r="C280" s="3">
        <v>42629</v>
      </c>
      <c r="D280" s="13">
        <f t="shared" si="17"/>
        <v>2016</v>
      </c>
      <c r="E280" s="13">
        <f t="shared" si="18"/>
        <v>9</v>
      </c>
      <c r="F280" s="13">
        <f t="shared" si="19"/>
        <v>16</v>
      </c>
      <c r="G280" s="4" t="s">
        <v>14</v>
      </c>
      <c r="H280">
        <v>46.937592010463227</v>
      </c>
      <c r="I280">
        <v>6.729804006616483</v>
      </c>
      <c r="J280" s="4" t="s">
        <v>44</v>
      </c>
      <c r="L280" s="4" t="s">
        <v>42</v>
      </c>
      <c r="M280" s="4" t="s">
        <v>43</v>
      </c>
      <c r="N280" s="4" t="s">
        <v>16</v>
      </c>
    </row>
    <row r="281" spans="1:15" x14ac:dyDescent="0.25">
      <c r="A281">
        <f t="shared" si="20"/>
        <v>115159</v>
      </c>
      <c r="B281" t="s">
        <v>150</v>
      </c>
      <c r="C281" s="3">
        <v>42657</v>
      </c>
      <c r="D281" s="13">
        <f t="shared" si="17"/>
        <v>2016</v>
      </c>
      <c r="E281" s="13">
        <f t="shared" si="18"/>
        <v>10</v>
      </c>
      <c r="F281" s="13">
        <f t="shared" si="19"/>
        <v>14</v>
      </c>
      <c r="G281" s="4" t="s">
        <v>14</v>
      </c>
      <c r="H281">
        <v>46.937792010463248</v>
      </c>
      <c r="I281">
        <v>6.7299840066166396</v>
      </c>
      <c r="J281" s="4" t="s">
        <v>44</v>
      </c>
      <c r="L281" s="4" t="s">
        <v>42</v>
      </c>
      <c r="M281" s="4" t="s">
        <v>43</v>
      </c>
      <c r="N281" s="4" t="s">
        <v>16</v>
      </c>
    </row>
    <row r="282" spans="1:15" x14ac:dyDescent="0.25">
      <c r="A282">
        <f t="shared" si="20"/>
        <v>115159</v>
      </c>
      <c r="B282" t="s">
        <v>150</v>
      </c>
      <c r="C282" s="3">
        <v>42674</v>
      </c>
      <c r="D282" s="13">
        <f t="shared" si="17"/>
        <v>2016</v>
      </c>
      <c r="E282" s="13">
        <f t="shared" si="18"/>
        <v>10</v>
      </c>
      <c r="F282" s="13">
        <f t="shared" si="19"/>
        <v>31</v>
      </c>
      <c r="G282" s="4" t="s">
        <v>14</v>
      </c>
      <c r="H282">
        <v>46.937468010462773</v>
      </c>
      <c r="I282">
        <v>6.7313510066182234</v>
      </c>
      <c r="J282" s="4" t="s">
        <v>21</v>
      </c>
      <c r="K282" s="4" t="s">
        <v>53</v>
      </c>
      <c r="L282" s="4" t="s">
        <v>42</v>
      </c>
      <c r="M282" s="4" t="s">
        <v>43</v>
      </c>
      <c r="N282" s="4" t="s">
        <v>17</v>
      </c>
    </row>
    <row r="283" spans="1:15" x14ac:dyDescent="0.25">
      <c r="A283">
        <f t="shared" si="20"/>
        <v>115160</v>
      </c>
      <c r="B283" t="s">
        <v>151</v>
      </c>
      <c r="C283" s="3">
        <v>42509</v>
      </c>
      <c r="D283" s="13">
        <f t="shared" si="17"/>
        <v>2016</v>
      </c>
      <c r="E283" s="13">
        <f t="shared" si="18"/>
        <v>5</v>
      </c>
      <c r="F283" s="13">
        <f t="shared" si="19"/>
        <v>19</v>
      </c>
      <c r="G283" s="4" t="s">
        <v>14</v>
      </c>
      <c r="H283">
        <v>46.9392</v>
      </c>
      <c r="I283">
        <v>6.7453000000000003</v>
      </c>
      <c r="J283" s="4" t="s">
        <v>15</v>
      </c>
      <c r="L283" s="4" t="s">
        <v>1</v>
      </c>
      <c r="N283" s="4" t="s">
        <v>16</v>
      </c>
      <c r="O283" s="4">
        <v>6</v>
      </c>
    </row>
    <row r="284" spans="1:15" x14ac:dyDescent="0.25">
      <c r="A284">
        <f t="shared" si="20"/>
        <v>115160</v>
      </c>
      <c r="B284" t="s">
        <v>151</v>
      </c>
      <c r="C284" s="3">
        <v>42680</v>
      </c>
      <c r="D284" s="13">
        <f t="shared" si="17"/>
        <v>2016</v>
      </c>
      <c r="E284" s="13">
        <f t="shared" si="18"/>
        <v>11</v>
      </c>
      <c r="F284" s="13">
        <f t="shared" si="19"/>
        <v>6</v>
      </c>
      <c r="G284" s="4" t="s">
        <v>14</v>
      </c>
      <c r="H284">
        <v>46.949399999999997</v>
      </c>
      <c r="I284">
        <v>6.8213999999999997</v>
      </c>
      <c r="J284" s="4" t="s">
        <v>21</v>
      </c>
      <c r="K284" s="4" t="s">
        <v>152</v>
      </c>
      <c r="L284" s="4" t="s">
        <v>1</v>
      </c>
      <c r="N284" s="4" t="s">
        <v>17</v>
      </c>
    </row>
    <row r="285" spans="1:15" x14ac:dyDescent="0.25">
      <c r="A285">
        <f t="shared" si="20"/>
        <v>115161</v>
      </c>
      <c r="B285" t="s">
        <v>153</v>
      </c>
      <c r="C285" s="3">
        <v>42510</v>
      </c>
      <c r="D285" s="13">
        <f t="shared" si="17"/>
        <v>2016</v>
      </c>
      <c r="E285" s="13">
        <f t="shared" si="18"/>
        <v>5</v>
      </c>
      <c r="F285" s="13">
        <f t="shared" si="19"/>
        <v>20</v>
      </c>
      <c r="G285" s="4" t="s">
        <v>14</v>
      </c>
      <c r="H285">
        <v>46.9617</v>
      </c>
      <c r="I285">
        <v>6.5006000000000004</v>
      </c>
      <c r="J285" s="4" t="s">
        <v>15</v>
      </c>
      <c r="L285" s="4" t="s">
        <v>1</v>
      </c>
      <c r="N285" s="4" t="s">
        <v>16</v>
      </c>
      <c r="O285" s="4">
        <v>6</v>
      </c>
    </row>
    <row r="286" spans="1:15" x14ac:dyDescent="0.25">
      <c r="A286">
        <f t="shared" si="20"/>
        <v>115161</v>
      </c>
      <c r="B286" t="s">
        <v>153</v>
      </c>
      <c r="C286" s="3">
        <v>43353</v>
      </c>
      <c r="D286" s="13">
        <f t="shared" si="17"/>
        <v>2018</v>
      </c>
      <c r="E286" s="13">
        <f t="shared" si="18"/>
        <v>9</v>
      </c>
      <c r="F286" s="13">
        <f t="shared" si="19"/>
        <v>10</v>
      </c>
      <c r="G286" s="4" t="s">
        <v>14</v>
      </c>
      <c r="H286">
        <v>46.955399999999997</v>
      </c>
      <c r="I286">
        <v>6.5072000000000001</v>
      </c>
      <c r="J286" s="4" t="s">
        <v>15</v>
      </c>
      <c r="L286" s="4" t="s">
        <v>1</v>
      </c>
      <c r="N286" s="4" t="s">
        <v>17</v>
      </c>
    </row>
    <row r="287" spans="1:15" x14ac:dyDescent="0.25">
      <c r="A287">
        <f t="shared" si="20"/>
        <v>115162</v>
      </c>
      <c r="B287" t="s">
        <v>154</v>
      </c>
      <c r="C287" s="3">
        <v>42510</v>
      </c>
      <c r="D287" s="13">
        <f t="shared" si="17"/>
        <v>2016</v>
      </c>
      <c r="E287" s="13">
        <f t="shared" si="18"/>
        <v>5</v>
      </c>
      <c r="F287" s="13">
        <f t="shared" si="19"/>
        <v>20</v>
      </c>
      <c r="G287" s="4" t="s">
        <v>14</v>
      </c>
      <c r="H287">
        <v>46.9617</v>
      </c>
      <c r="I287">
        <v>6.5006000000000004</v>
      </c>
      <c r="J287" s="4" t="s">
        <v>15</v>
      </c>
      <c r="L287" s="4" t="s">
        <v>42</v>
      </c>
      <c r="M287" s="4" t="s">
        <v>43</v>
      </c>
      <c r="N287" s="4" t="s">
        <v>16</v>
      </c>
      <c r="O287" s="4">
        <v>5</v>
      </c>
    </row>
    <row r="288" spans="1:15" x14ac:dyDescent="0.25">
      <c r="A288">
        <f t="shared" si="20"/>
        <v>115162</v>
      </c>
      <c r="B288" t="s">
        <v>154</v>
      </c>
      <c r="C288" s="3">
        <v>42535</v>
      </c>
      <c r="D288" s="13">
        <f t="shared" si="17"/>
        <v>2016</v>
      </c>
      <c r="E288" s="13">
        <f t="shared" si="18"/>
        <v>6</v>
      </c>
      <c r="F288" s="13">
        <f t="shared" si="19"/>
        <v>14</v>
      </c>
      <c r="G288" s="4" t="s">
        <v>14</v>
      </c>
      <c r="H288">
        <v>46.931032010510009</v>
      </c>
      <c r="I288">
        <v>6.4971440063581536</v>
      </c>
      <c r="J288" s="4" t="s">
        <v>44</v>
      </c>
      <c r="L288" s="4" t="s">
        <v>42</v>
      </c>
      <c r="M288" s="4" t="s">
        <v>43</v>
      </c>
      <c r="N288" s="4" t="s">
        <v>16</v>
      </c>
    </row>
    <row r="289" spans="1:15" x14ac:dyDescent="0.25">
      <c r="A289">
        <f t="shared" si="20"/>
        <v>115162</v>
      </c>
      <c r="B289" t="s">
        <v>154</v>
      </c>
      <c r="C289" s="3">
        <v>42566</v>
      </c>
      <c r="D289" s="13">
        <f t="shared" si="17"/>
        <v>2016</v>
      </c>
      <c r="E289" s="13">
        <f t="shared" si="18"/>
        <v>7</v>
      </c>
      <c r="F289" s="13">
        <f t="shared" si="19"/>
        <v>15</v>
      </c>
      <c r="G289" s="4" t="s">
        <v>14</v>
      </c>
      <c r="H289">
        <v>46.966080010520344</v>
      </c>
      <c r="I289">
        <v>6.5155490063715176</v>
      </c>
      <c r="J289" s="4" t="s">
        <v>44</v>
      </c>
      <c r="L289" s="4" t="s">
        <v>42</v>
      </c>
      <c r="M289" s="4" t="s">
        <v>43</v>
      </c>
      <c r="N289" s="4" t="s">
        <v>16</v>
      </c>
    </row>
    <row r="290" spans="1:15" x14ac:dyDescent="0.25">
      <c r="A290">
        <f t="shared" si="20"/>
        <v>115162</v>
      </c>
      <c r="B290" t="s">
        <v>154</v>
      </c>
      <c r="C290" s="3">
        <v>42597</v>
      </c>
      <c r="D290" s="13">
        <f t="shared" si="17"/>
        <v>2016</v>
      </c>
      <c r="E290" s="13">
        <f t="shared" si="18"/>
        <v>8</v>
      </c>
      <c r="F290" s="13">
        <f t="shared" si="19"/>
        <v>15</v>
      </c>
      <c r="G290" s="4" t="s">
        <v>14</v>
      </c>
      <c r="H290">
        <v>46.934360010510467</v>
      </c>
      <c r="I290">
        <v>6.5012960063621286</v>
      </c>
      <c r="J290" s="4" t="s">
        <v>44</v>
      </c>
      <c r="L290" s="4" t="s">
        <v>42</v>
      </c>
      <c r="M290" s="4" t="s">
        <v>43</v>
      </c>
      <c r="N290" s="4" t="s">
        <v>16</v>
      </c>
    </row>
    <row r="291" spans="1:15" x14ac:dyDescent="0.25">
      <c r="A291">
        <f t="shared" si="20"/>
        <v>115162</v>
      </c>
      <c r="B291" t="s">
        <v>154</v>
      </c>
      <c r="C291" s="3">
        <v>42628</v>
      </c>
      <c r="D291" s="13">
        <f t="shared" si="17"/>
        <v>2016</v>
      </c>
      <c r="E291" s="13">
        <f t="shared" si="18"/>
        <v>9</v>
      </c>
      <c r="F291" s="13">
        <f t="shared" si="19"/>
        <v>15</v>
      </c>
      <c r="G291" s="4" t="s">
        <v>14</v>
      </c>
      <c r="H291">
        <v>46.931064010509957</v>
      </c>
      <c r="I291">
        <v>6.4972830063583089</v>
      </c>
      <c r="J291" s="4" t="s">
        <v>44</v>
      </c>
      <c r="L291" s="4" t="s">
        <v>42</v>
      </c>
      <c r="M291" s="4" t="s">
        <v>43</v>
      </c>
      <c r="N291" s="4" t="s">
        <v>16</v>
      </c>
    </row>
    <row r="292" spans="1:15" x14ac:dyDescent="0.25">
      <c r="A292">
        <f t="shared" si="20"/>
        <v>115162</v>
      </c>
      <c r="B292" t="s">
        <v>154</v>
      </c>
      <c r="C292" s="3">
        <v>42657</v>
      </c>
      <c r="D292" s="13">
        <f t="shared" si="17"/>
        <v>2016</v>
      </c>
      <c r="E292" s="13">
        <f t="shared" si="18"/>
        <v>10</v>
      </c>
      <c r="F292" s="13">
        <f t="shared" si="19"/>
        <v>14</v>
      </c>
      <c r="G292" s="4" t="s">
        <v>14</v>
      </c>
      <c r="H292">
        <v>46.934944010510428</v>
      </c>
      <c r="I292">
        <v>6.5026450063635206</v>
      </c>
      <c r="J292" s="4" t="s">
        <v>44</v>
      </c>
      <c r="L292" s="4" t="s">
        <v>42</v>
      </c>
      <c r="M292" s="4" t="s">
        <v>43</v>
      </c>
      <c r="N292" s="4" t="s">
        <v>16</v>
      </c>
    </row>
    <row r="293" spans="1:15" x14ac:dyDescent="0.25">
      <c r="A293">
        <f t="shared" si="20"/>
        <v>115162</v>
      </c>
      <c r="B293" t="s">
        <v>154</v>
      </c>
      <c r="C293" s="3">
        <v>42670</v>
      </c>
      <c r="D293" s="13">
        <f t="shared" si="17"/>
        <v>2016</v>
      </c>
      <c r="E293" s="13">
        <f t="shared" si="18"/>
        <v>10</v>
      </c>
      <c r="F293" s="13">
        <f t="shared" si="19"/>
        <v>27</v>
      </c>
      <c r="G293" s="4" t="s">
        <v>14</v>
      </c>
      <c r="H293">
        <v>46.932664010510301</v>
      </c>
      <c r="I293">
        <v>6.4987890063596669</v>
      </c>
      <c r="J293" s="4" t="s">
        <v>44</v>
      </c>
      <c r="L293" s="4" t="s">
        <v>42</v>
      </c>
      <c r="M293" s="4" t="s">
        <v>43</v>
      </c>
      <c r="N293" s="4" t="s">
        <v>16</v>
      </c>
    </row>
    <row r="294" spans="1:15" x14ac:dyDescent="0.25">
      <c r="A294">
        <f t="shared" si="20"/>
        <v>115162</v>
      </c>
      <c r="B294" t="s">
        <v>154</v>
      </c>
      <c r="C294" s="3">
        <v>42814</v>
      </c>
      <c r="D294" s="13">
        <f t="shared" si="17"/>
        <v>2017</v>
      </c>
      <c r="E294" s="13">
        <f t="shared" si="18"/>
        <v>3</v>
      </c>
      <c r="F294" s="13">
        <f t="shared" si="19"/>
        <v>20</v>
      </c>
      <c r="G294" s="4" t="s">
        <v>14</v>
      </c>
      <c r="H294">
        <v>46.958300010519487</v>
      </c>
      <c r="I294">
        <v>6.5046580063609332</v>
      </c>
      <c r="J294" s="4" t="s">
        <v>44</v>
      </c>
      <c r="L294" s="4" t="s">
        <v>42</v>
      </c>
      <c r="M294" s="4" t="s">
        <v>43</v>
      </c>
      <c r="N294" s="4" t="s">
        <v>16</v>
      </c>
    </row>
    <row r="295" spans="1:15" x14ac:dyDescent="0.25">
      <c r="A295">
        <f t="shared" si="20"/>
        <v>115162</v>
      </c>
      <c r="B295" t="s">
        <v>154</v>
      </c>
      <c r="C295" s="3">
        <v>42837</v>
      </c>
      <c r="D295" s="13">
        <f t="shared" si="17"/>
        <v>2017</v>
      </c>
      <c r="E295" s="13">
        <f t="shared" si="18"/>
        <v>4</v>
      </c>
      <c r="F295" s="13">
        <f t="shared" si="19"/>
        <v>12</v>
      </c>
      <c r="G295" s="4" t="s">
        <v>14</v>
      </c>
      <c r="H295">
        <v>46.958716010522259</v>
      </c>
      <c r="I295">
        <v>6.492325006347011</v>
      </c>
      <c r="J295" s="4" t="s">
        <v>44</v>
      </c>
      <c r="L295" s="4" t="s">
        <v>42</v>
      </c>
      <c r="M295" s="4" t="s">
        <v>43</v>
      </c>
      <c r="N295" s="4" t="s">
        <v>16</v>
      </c>
    </row>
    <row r="296" spans="1:15" x14ac:dyDescent="0.25">
      <c r="A296">
        <f t="shared" si="20"/>
        <v>115162</v>
      </c>
      <c r="B296" t="s">
        <v>154</v>
      </c>
      <c r="C296" s="3">
        <v>42870</v>
      </c>
      <c r="D296" s="13">
        <f t="shared" si="17"/>
        <v>2017</v>
      </c>
      <c r="E296" s="13">
        <f t="shared" si="18"/>
        <v>5</v>
      </c>
      <c r="F296" s="13">
        <f t="shared" si="19"/>
        <v>15</v>
      </c>
      <c r="G296" s="4" t="s">
        <v>14</v>
      </c>
      <c r="H296">
        <v>46.963404010517912</v>
      </c>
      <c r="I296">
        <v>6.5222080063795396</v>
      </c>
      <c r="J296" s="4" t="s">
        <v>44</v>
      </c>
      <c r="L296" s="4" t="s">
        <v>42</v>
      </c>
      <c r="M296" s="4" t="s">
        <v>43</v>
      </c>
      <c r="N296" s="4" t="s">
        <v>16</v>
      </c>
    </row>
    <row r="297" spans="1:15" x14ac:dyDescent="0.25">
      <c r="A297">
        <f t="shared" si="20"/>
        <v>115162</v>
      </c>
      <c r="B297" t="s">
        <v>154</v>
      </c>
      <c r="C297" s="3">
        <v>42902</v>
      </c>
      <c r="D297" s="13">
        <f t="shared" si="17"/>
        <v>2017</v>
      </c>
      <c r="E297" s="13">
        <f t="shared" si="18"/>
        <v>6</v>
      </c>
      <c r="F297" s="13">
        <f t="shared" si="19"/>
        <v>16</v>
      </c>
      <c r="G297" s="4" t="s">
        <v>14</v>
      </c>
      <c r="H297">
        <v>46.957568010520532</v>
      </c>
      <c r="I297">
        <v>6.498148006353782</v>
      </c>
      <c r="J297" s="4" t="s">
        <v>44</v>
      </c>
      <c r="L297" s="4" t="s">
        <v>42</v>
      </c>
      <c r="M297" s="4" t="s">
        <v>43</v>
      </c>
      <c r="N297" s="4" t="s">
        <v>16</v>
      </c>
    </row>
    <row r="298" spans="1:15" x14ac:dyDescent="0.25">
      <c r="A298">
        <f t="shared" si="20"/>
        <v>115162</v>
      </c>
      <c r="B298" t="s">
        <v>154</v>
      </c>
      <c r="C298" s="3">
        <v>42933</v>
      </c>
      <c r="D298" s="13">
        <f t="shared" si="17"/>
        <v>2017</v>
      </c>
      <c r="E298" s="13">
        <f t="shared" si="18"/>
        <v>7</v>
      </c>
      <c r="F298" s="13">
        <f t="shared" si="19"/>
        <v>17</v>
      </c>
      <c r="G298" s="4" t="s">
        <v>14</v>
      </c>
      <c r="H298">
        <v>46.964520010519379</v>
      </c>
      <c r="I298">
        <v>6.5172400063737363</v>
      </c>
      <c r="J298" s="4" t="s">
        <v>44</v>
      </c>
      <c r="L298" s="4" t="s">
        <v>42</v>
      </c>
      <c r="M298" s="4" t="s">
        <v>43</v>
      </c>
      <c r="N298" s="4" t="s">
        <v>16</v>
      </c>
    </row>
    <row r="299" spans="1:15" x14ac:dyDescent="0.25">
      <c r="A299">
        <f t="shared" si="20"/>
        <v>115162</v>
      </c>
      <c r="B299" t="s">
        <v>154</v>
      </c>
      <c r="C299" s="3">
        <v>42958</v>
      </c>
      <c r="D299" s="13">
        <f t="shared" si="17"/>
        <v>2017</v>
      </c>
      <c r="E299" s="13">
        <f t="shared" si="18"/>
        <v>8</v>
      </c>
      <c r="F299" s="13">
        <f t="shared" si="19"/>
        <v>11</v>
      </c>
      <c r="G299" s="4" t="s">
        <v>14</v>
      </c>
      <c r="H299">
        <v>46.966584010517892</v>
      </c>
      <c r="I299">
        <v>6.5283490063857528</v>
      </c>
      <c r="J299" s="4" t="s">
        <v>44</v>
      </c>
      <c r="L299" s="4" t="s">
        <v>42</v>
      </c>
      <c r="M299" s="4" t="s">
        <v>43</v>
      </c>
      <c r="N299" s="4" t="s">
        <v>16</v>
      </c>
    </row>
    <row r="300" spans="1:15" x14ac:dyDescent="0.25">
      <c r="A300">
        <f t="shared" si="20"/>
        <v>115162</v>
      </c>
      <c r="B300" t="s">
        <v>154</v>
      </c>
      <c r="C300" s="3">
        <v>43041</v>
      </c>
      <c r="D300" s="13">
        <f t="shared" si="17"/>
        <v>2017</v>
      </c>
      <c r="E300" s="13">
        <f t="shared" si="18"/>
        <v>11</v>
      </c>
      <c r="F300" s="13">
        <f t="shared" si="19"/>
        <v>2</v>
      </c>
      <c r="G300" s="4" t="s">
        <v>20</v>
      </c>
      <c r="H300">
        <v>47</v>
      </c>
      <c r="I300">
        <v>6.4832999999999998</v>
      </c>
      <c r="J300" s="4" t="s">
        <v>21</v>
      </c>
      <c r="K300" s="12" t="s">
        <v>22</v>
      </c>
      <c r="L300" s="12" t="s">
        <v>42</v>
      </c>
      <c r="M300" s="12" t="s">
        <v>43</v>
      </c>
      <c r="N300" s="4" t="s">
        <v>17</v>
      </c>
    </row>
    <row r="301" spans="1:15" x14ac:dyDescent="0.25">
      <c r="A301">
        <f t="shared" si="20"/>
        <v>115163</v>
      </c>
      <c r="B301" t="s">
        <v>155</v>
      </c>
      <c r="C301" s="3">
        <v>42511</v>
      </c>
      <c r="D301" s="13">
        <f t="shared" si="17"/>
        <v>2016</v>
      </c>
      <c r="E301" s="13">
        <f t="shared" si="18"/>
        <v>5</v>
      </c>
      <c r="F301" s="13">
        <f t="shared" si="19"/>
        <v>21</v>
      </c>
      <c r="G301" s="4" t="s">
        <v>14</v>
      </c>
      <c r="H301">
        <v>46.956099999999999</v>
      </c>
      <c r="I301">
        <v>6.4981</v>
      </c>
      <c r="J301" s="4" t="s">
        <v>15</v>
      </c>
      <c r="L301" s="4" t="s">
        <v>1</v>
      </c>
      <c r="N301" s="4" t="s">
        <v>16</v>
      </c>
      <c r="O301" s="4">
        <v>5</v>
      </c>
    </row>
    <row r="302" spans="1:15" x14ac:dyDescent="0.25">
      <c r="A302">
        <f t="shared" si="20"/>
        <v>115163</v>
      </c>
      <c r="B302" t="s">
        <v>155</v>
      </c>
      <c r="C302" s="3">
        <v>42535</v>
      </c>
      <c r="D302" s="13">
        <f t="shared" si="17"/>
        <v>2016</v>
      </c>
      <c r="E302" s="13">
        <f t="shared" si="18"/>
        <v>6</v>
      </c>
      <c r="F302" s="13">
        <f t="shared" si="19"/>
        <v>14</v>
      </c>
      <c r="G302" s="4" t="s">
        <v>14</v>
      </c>
      <c r="H302">
        <v>46.9544</v>
      </c>
      <c r="I302">
        <v>6.4966999999999997</v>
      </c>
      <c r="J302" s="4" t="s">
        <v>15</v>
      </c>
      <c r="L302" s="4" t="s">
        <v>1</v>
      </c>
      <c r="N302" s="4" t="s">
        <v>17</v>
      </c>
    </row>
    <row r="303" spans="1:15" x14ac:dyDescent="0.25">
      <c r="A303">
        <f t="shared" si="20"/>
        <v>115164</v>
      </c>
      <c r="B303" t="s">
        <v>156</v>
      </c>
      <c r="C303" s="3">
        <v>42511</v>
      </c>
      <c r="D303" s="13">
        <f t="shared" si="17"/>
        <v>2016</v>
      </c>
      <c r="E303" s="13">
        <f t="shared" si="18"/>
        <v>5</v>
      </c>
      <c r="F303" s="13">
        <f t="shared" si="19"/>
        <v>21</v>
      </c>
      <c r="G303" s="4" t="s">
        <v>14</v>
      </c>
      <c r="H303">
        <v>46.956099999999999</v>
      </c>
      <c r="I303">
        <v>6.4981</v>
      </c>
      <c r="J303" s="4" t="s">
        <v>15</v>
      </c>
      <c r="L303" s="4" t="s">
        <v>1</v>
      </c>
      <c r="N303" s="4" t="s">
        <v>16</v>
      </c>
      <c r="O303" s="4">
        <v>5</v>
      </c>
    </row>
    <row r="304" spans="1:15" x14ac:dyDescent="0.25">
      <c r="A304">
        <f t="shared" si="20"/>
        <v>115164</v>
      </c>
      <c r="B304" t="s">
        <v>156</v>
      </c>
      <c r="C304" s="3">
        <v>42850</v>
      </c>
      <c r="D304" s="13">
        <f t="shared" si="17"/>
        <v>2017</v>
      </c>
      <c r="E304" s="13">
        <f t="shared" si="18"/>
        <v>4</v>
      </c>
      <c r="F304" s="13">
        <f t="shared" si="19"/>
        <v>25</v>
      </c>
      <c r="G304" s="4" t="s">
        <v>14</v>
      </c>
      <c r="H304">
        <v>46.942500000000003</v>
      </c>
      <c r="I304">
        <v>6.4771999999999998</v>
      </c>
      <c r="J304" s="4" t="s">
        <v>15</v>
      </c>
      <c r="L304" s="4" t="s">
        <v>42</v>
      </c>
      <c r="M304" s="4" t="s">
        <v>43</v>
      </c>
      <c r="N304" s="4" t="s">
        <v>16</v>
      </c>
    </row>
    <row r="305" spans="1:15" x14ac:dyDescent="0.25">
      <c r="A305">
        <f t="shared" si="20"/>
        <v>115164</v>
      </c>
      <c r="B305" t="s">
        <v>156</v>
      </c>
      <c r="C305" s="3">
        <v>42870</v>
      </c>
      <c r="D305" s="13">
        <f t="shared" si="17"/>
        <v>2017</v>
      </c>
      <c r="E305" s="13">
        <f t="shared" si="18"/>
        <v>5</v>
      </c>
      <c r="F305" s="13">
        <f t="shared" si="19"/>
        <v>15</v>
      </c>
      <c r="G305" s="4" t="s">
        <v>14</v>
      </c>
      <c r="H305">
        <v>46.956936010520259</v>
      </c>
      <c r="I305">
        <v>6.4982970063540826</v>
      </c>
      <c r="J305" s="4" t="s">
        <v>44</v>
      </c>
      <c r="L305" s="4" t="s">
        <v>42</v>
      </c>
      <c r="M305" s="4" t="s">
        <v>43</v>
      </c>
      <c r="N305" s="4" t="s">
        <v>16</v>
      </c>
    </row>
    <row r="306" spans="1:15" x14ac:dyDescent="0.25">
      <c r="A306">
        <f t="shared" si="20"/>
        <v>115164</v>
      </c>
      <c r="B306" t="s">
        <v>156</v>
      </c>
      <c r="C306" s="3">
        <v>42901</v>
      </c>
      <c r="D306" s="13">
        <f t="shared" si="17"/>
        <v>2017</v>
      </c>
      <c r="E306" s="13">
        <f t="shared" si="18"/>
        <v>6</v>
      </c>
      <c r="F306" s="13">
        <f t="shared" si="19"/>
        <v>15</v>
      </c>
      <c r="G306" s="4" t="s">
        <v>14</v>
      </c>
      <c r="H306">
        <v>46.956872010522041</v>
      </c>
      <c r="I306">
        <v>6.489745006344501</v>
      </c>
      <c r="J306" s="4" t="s">
        <v>44</v>
      </c>
      <c r="L306" s="4" t="s">
        <v>42</v>
      </c>
      <c r="M306" s="4" t="s">
        <v>43</v>
      </c>
      <c r="N306" s="4" t="s">
        <v>16</v>
      </c>
    </row>
    <row r="307" spans="1:15" x14ac:dyDescent="0.25">
      <c r="A307">
        <f t="shared" si="20"/>
        <v>115164</v>
      </c>
      <c r="B307" t="s">
        <v>156</v>
      </c>
      <c r="C307" s="3">
        <v>42930</v>
      </c>
      <c r="D307" s="13">
        <f t="shared" si="17"/>
        <v>2017</v>
      </c>
      <c r="E307" s="13">
        <f t="shared" si="18"/>
        <v>7</v>
      </c>
      <c r="F307" s="13">
        <f t="shared" si="19"/>
        <v>14</v>
      </c>
      <c r="G307" s="4" t="s">
        <v>14</v>
      </c>
      <c r="H307">
        <v>46.849376010463843</v>
      </c>
      <c r="I307">
        <v>6.5563480064415041</v>
      </c>
      <c r="J307" s="4" t="s">
        <v>44</v>
      </c>
      <c r="L307" s="4" t="s">
        <v>42</v>
      </c>
      <c r="M307" s="4" t="s">
        <v>43</v>
      </c>
      <c r="N307" s="4" t="s">
        <v>16</v>
      </c>
    </row>
    <row r="308" spans="1:15" x14ac:dyDescent="0.25">
      <c r="A308">
        <f t="shared" si="20"/>
        <v>115164</v>
      </c>
      <c r="B308" t="s">
        <v>156</v>
      </c>
      <c r="C308" s="3">
        <v>42963</v>
      </c>
      <c r="D308" s="13">
        <f t="shared" si="17"/>
        <v>2017</v>
      </c>
      <c r="E308" s="13">
        <f t="shared" si="18"/>
        <v>8</v>
      </c>
      <c r="F308" s="13">
        <f t="shared" si="19"/>
        <v>16</v>
      </c>
      <c r="G308" s="4" t="s">
        <v>14</v>
      </c>
      <c r="H308">
        <v>46.851872010465499</v>
      </c>
      <c r="I308">
        <v>6.5532870064375528</v>
      </c>
      <c r="J308" s="4" t="s">
        <v>44</v>
      </c>
      <c r="L308" s="4" t="s">
        <v>42</v>
      </c>
      <c r="M308" s="4" t="s">
        <v>43</v>
      </c>
      <c r="N308" s="4" t="s">
        <v>16</v>
      </c>
    </row>
    <row r="309" spans="1:15" x14ac:dyDescent="0.25">
      <c r="A309">
        <f t="shared" si="20"/>
        <v>115164</v>
      </c>
      <c r="B309" t="s">
        <v>156</v>
      </c>
      <c r="C309" s="3">
        <v>42993</v>
      </c>
      <c r="D309" s="13">
        <f t="shared" si="17"/>
        <v>2017</v>
      </c>
      <c r="E309" s="13">
        <f t="shared" si="18"/>
        <v>9</v>
      </c>
      <c r="F309" s="13">
        <f t="shared" si="19"/>
        <v>15</v>
      </c>
      <c r="G309" s="4" t="s">
        <v>14</v>
      </c>
      <c r="H309">
        <v>46.852060010466147</v>
      </c>
      <c r="I309">
        <v>6.5506600064345593</v>
      </c>
      <c r="J309" s="4" t="s">
        <v>44</v>
      </c>
      <c r="L309" s="4" t="s">
        <v>42</v>
      </c>
      <c r="M309" s="4" t="s">
        <v>43</v>
      </c>
      <c r="N309" s="4" t="s">
        <v>16</v>
      </c>
    </row>
    <row r="310" spans="1:15" x14ac:dyDescent="0.25">
      <c r="A310">
        <f t="shared" si="20"/>
        <v>115164</v>
      </c>
      <c r="B310" t="s">
        <v>156</v>
      </c>
      <c r="C310" s="3">
        <v>43024</v>
      </c>
      <c r="D310" s="13">
        <f t="shared" si="17"/>
        <v>2017</v>
      </c>
      <c r="E310" s="13">
        <f t="shared" si="18"/>
        <v>10</v>
      </c>
      <c r="F310" s="13">
        <f t="shared" si="19"/>
        <v>16</v>
      </c>
      <c r="G310" s="4" t="s">
        <v>14</v>
      </c>
      <c r="H310">
        <v>46.853568010466283</v>
      </c>
      <c r="I310">
        <v>6.5530860064369767</v>
      </c>
      <c r="J310" s="4" t="s">
        <v>44</v>
      </c>
      <c r="L310" s="4" t="s">
        <v>42</v>
      </c>
      <c r="M310" s="4" t="s">
        <v>43</v>
      </c>
      <c r="N310" s="4" t="s">
        <v>16</v>
      </c>
    </row>
    <row r="311" spans="1:15" x14ac:dyDescent="0.25">
      <c r="A311">
        <f t="shared" si="20"/>
        <v>115164</v>
      </c>
      <c r="B311" t="s">
        <v>156</v>
      </c>
      <c r="C311" s="3">
        <v>43035</v>
      </c>
      <c r="D311" s="13">
        <f t="shared" si="17"/>
        <v>2017</v>
      </c>
      <c r="E311" s="13">
        <f t="shared" si="18"/>
        <v>10</v>
      </c>
      <c r="F311" s="13">
        <f t="shared" si="19"/>
        <v>27</v>
      </c>
      <c r="G311" s="4" t="s">
        <v>14</v>
      </c>
      <c r="H311">
        <v>46.851532010465682</v>
      </c>
      <c r="I311">
        <v>6.5516970064358384</v>
      </c>
      <c r="J311" s="4" t="s">
        <v>44</v>
      </c>
      <c r="L311" s="4" t="s">
        <v>42</v>
      </c>
      <c r="M311" s="4" t="s">
        <v>43</v>
      </c>
      <c r="N311" s="4" t="s">
        <v>16</v>
      </c>
    </row>
    <row r="312" spans="1:15" x14ac:dyDescent="0.25">
      <c r="A312">
        <f t="shared" si="20"/>
        <v>115164</v>
      </c>
      <c r="B312" t="s">
        <v>156</v>
      </c>
      <c r="C312" s="3">
        <v>43171</v>
      </c>
      <c r="D312" s="13">
        <f t="shared" si="17"/>
        <v>2018</v>
      </c>
      <c r="E312" s="13">
        <f t="shared" si="18"/>
        <v>3</v>
      </c>
      <c r="F312" s="13">
        <f t="shared" si="19"/>
        <v>12</v>
      </c>
      <c r="G312" s="4" t="s">
        <v>14</v>
      </c>
      <c r="H312">
        <v>46.95459601052552</v>
      </c>
      <c r="I312">
        <v>6.4685490063211706</v>
      </c>
      <c r="J312" s="4" t="s">
        <v>44</v>
      </c>
      <c r="L312" s="4" t="s">
        <v>42</v>
      </c>
      <c r="M312" s="4" t="s">
        <v>43</v>
      </c>
      <c r="N312" s="4" t="s">
        <v>16</v>
      </c>
    </row>
    <row r="313" spans="1:15" x14ac:dyDescent="0.25">
      <c r="A313">
        <f t="shared" si="20"/>
        <v>115164</v>
      </c>
      <c r="B313" t="s">
        <v>156</v>
      </c>
      <c r="C313" s="3">
        <v>43206</v>
      </c>
      <c r="D313" s="13">
        <f t="shared" si="17"/>
        <v>2018</v>
      </c>
      <c r="E313" s="13">
        <f t="shared" si="18"/>
        <v>4</v>
      </c>
      <c r="F313" s="13">
        <f t="shared" si="19"/>
        <v>16</v>
      </c>
      <c r="G313" s="4" t="s">
        <v>14</v>
      </c>
      <c r="H313">
        <v>46.956968010521017</v>
      </c>
      <c r="I313">
        <v>6.494901006350263</v>
      </c>
      <c r="J313" s="4" t="s">
        <v>44</v>
      </c>
      <c r="L313" s="4" t="s">
        <v>42</v>
      </c>
      <c r="M313" s="4" t="s">
        <v>43</v>
      </c>
      <c r="N313" s="4" t="s">
        <v>16</v>
      </c>
    </row>
    <row r="314" spans="1:15" x14ac:dyDescent="0.25">
      <c r="A314">
        <f t="shared" si="20"/>
        <v>115164</v>
      </c>
      <c r="B314" t="s">
        <v>156</v>
      </c>
      <c r="C314" s="3">
        <v>43235</v>
      </c>
      <c r="D314" s="13">
        <f t="shared" si="17"/>
        <v>2018</v>
      </c>
      <c r="E314" s="13">
        <f t="shared" si="18"/>
        <v>5</v>
      </c>
      <c r="F314" s="13">
        <f t="shared" si="19"/>
        <v>15</v>
      </c>
      <c r="G314" s="4" t="s">
        <v>14</v>
      </c>
      <c r="H314">
        <v>46.958040010521323</v>
      </c>
      <c r="I314">
        <v>6.4955070063507234</v>
      </c>
      <c r="J314" s="4" t="s">
        <v>44</v>
      </c>
      <c r="L314" s="4" t="s">
        <v>42</v>
      </c>
      <c r="M314" s="4" t="s">
        <v>43</v>
      </c>
      <c r="N314" s="4" t="s">
        <v>16</v>
      </c>
    </row>
    <row r="315" spans="1:15" x14ac:dyDescent="0.25">
      <c r="A315">
        <f t="shared" si="20"/>
        <v>115164</v>
      </c>
      <c r="B315" t="s">
        <v>156</v>
      </c>
      <c r="C315" s="3">
        <v>43266</v>
      </c>
      <c r="D315" s="13">
        <f t="shared" si="17"/>
        <v>2018</v>
      </c>
      <c r="E315" s="13">
        <f t="shared" si="18"/>
        <v>6</v>
      </c>
      <c r="F315" s="13">
        <f t="shared" si="19"/>
        <v>15</v>
      </c>
      <c r="G315" s="4" t="s">
        <v>14</v>
      </c>
      <c r="H315">
        <v>46.95244401052117</v>
      </c>
      <c r="I315">
        <v>6.4853410063404722</v>
      </c>
      <c r="J315" s="4" t="s">
        <v>44</v>
      </c>
      <c r="L315" s="4" t="s">
        <v>42</v>
      </c>
      <c r="M315" s="4" t="s">
        <v>43</v>
      </c>
      <c r="N315" s="4" t="s">
        <v>16</v>
      </c>
    </row>
    <row r="316" spans="1:15" x14ac:dyDescent="0.25">
      <c r="A316">
        <f t="shared" si="20"/>
        <v>115164</v>
      </c>
      <c r="B316" t="s">
        <v>156</v>
      </c>
      <c r="C316" s="3">
        <v>43297</v>
      </c>
      <c r="D316" s="13">
        <f t="shared" si="17"/>
        <v>2018</v>
      </c>
      <c r="E316" s="13">
        <f t="shared" si="18"/>
        <v>7</v>
      </c>
      <c r="F316" s="13">
        <f t="shared" si="19"/>
        <v>16</v>
      </c>
      <c r="G316" s="4" t="s">
        <v>14</v>
      </c>
      <c r="H316">
        <v>46.955496010518033</v>
      </c>
      <c r="I316">
        <v>6.5062840063633374</v>
      </c>
      <c r="J316" s="4" t="s">
        <v>44</v>
      </c>
      <c r="L316" s="4" t="s">
        <v>42</v>
      </c>
      <c r="M316" s="4" t="s">
        <v>43</v>
      </c>
      <c r="N316" s="4" t="s">
        <v>16</v>
      </c>
    </row>
    <row r="317" spans="1:15" x14ac:dyDescent="0.25">
      <c r="A317">
        <f t="shared" si="20"/>
        <v>115164</v>
      </c>
      <c r="B317" t="s">
        <v>156</v>
      </c>
      <c r="C317" s="3">
        <v>43329</v>
      </c>
      <c r="D317" s="13">
        <f t="shared" si="17"/>
        <v>2018</v>
      </c>
      <c r="E317" s="13">
        <f t="shared" si="18"/>
        <v>8</v>
      </c>
      <c r="F317" s="13">
        <f t="shared" si="19"/>
        <v>17</v>
      </c>
      <c r="G317" s="4" t="s">
        <v>14</v>
      </c>
      <c r="H317">
        <v>46.852628010465857</v>
      </c>
      <c r="I317">
        <v>6.5532320064373328</v>
      </c>
      <c r="J317" s="4" t="s">
        <v>44</v>
      </c>
      <c r="L317" s="4" t="s">
        <v>42</v>
      </c>
      <c r="M317" s="4" t="s">
        <v>43</v>
      </c>
      <c r="N317" s="4" t="s">
        <v>17</v>
      </c>
    </row>
    <row r="318" spans="1:15" x14ac:dyDescent="0.25">
      <c r="A318">
        <f t="shared" si="20"/>
        <v>115165</v>
      </c>
      <c r="B318" t="s">
        <v>157</v>
      </c>
      <c r="C318" s="9">
        <v>42514</v>
      </c>
      <c r="D318" s="13">
        <f t="shared" si="17"/>
        <v>2016</v>
      </c>
      <c r="E318" s="13">
        <f t="shared" si="18"/>
        <v>5</v>
      </c>
      <c r="F318" s="13">
        <f t="shared" si="19"/>
        <v>24</v>
      </c>
      <c r="G318" s="4" t="s">
        <v>14</v>
      </c>
      <c r="H318">
        <v>46.933900000000001</v>
      </c>
      <c r="I318">
        <v>6.5049999999999999</v>
      </c>
      <c r="J318" s="4" t="s">
        <v>15</v>
      </c>
      <c r="L318" s="4" t="s">
        <v>1</v>
      </c>
      <c r="N318" s="4" t="s">
        <v>17</v>
      </c>
      <c r="O318" s="4">
        <v>6</v>
      </c>
    </row>
    <row r="319" spans="1:15" x14ac:dyDescent="0.25">
      <c r="A319">
        <f t="shared" si="20"/>
        <v>115166</v>
      </c>
      <c r="B319" t="s">
        <v>158</v>
      </c>
      <c r="C319" s="3">
        <v>42528</v>
      </c>
      <c r="D319" s="13">
        <f t="shared" si="17"/>
        <v>2016</v>
      </c>
      <c r="E319" s="13">
        <f t="shared" si="18"/>
        <v>6</v>
      </c>
      <c r="F319" s="13">
        <f t="shared" si="19"/>
        <v>7</v>
      </c>
      <c r="G319" s="4" t="s">
        <v>14</v>
      </c>
      <c r="H319">
        <v>46.933900000000001</v>
      </c>
      <c r="I319">
        <v>6.5049999999999999</v>
      </c>
      <c r="J319" s="4" t="s">
        <v>15</v>
      </c>
      <c r="L319" s="4" t="s">
        <v>1</v>
      </c>
      <c r="N319" s="4" t="s">
        <v>16</v>
      </c>
      <c r="O319" s="4">
        <v>6</v>
      </c>
    </row>
    <row r="320" spans="1:15" x14ac:dyDescent="0.25">
      <c r="A320">
        <f t="shared" si="20"/>
        <v>115166</v>
      </c>
      <c r="B320" t="s">
        <v>158</v>
      </c>
      <c r="C320" s="3">
        <v>42613</v>
      </c>
      <c r="D320" s="13">
        <f t="shared" si="17"/>
        <v>2016</v>
      </c>
      <c r="E320" s="13">
        <f t="shared" si="18"/>
        <v>8</v>
      </c>
      <c r="F320" s="13">
        <f t="shared" si="19"/>
        <v>31</v>
      </c>
      <c r="G320" s="4" t="s">
        <v>14</v>
      </c>
      <c r="H320">
        <v>46.931100000000001</v>
      </c>
      <c r="I320">
        <v>6.4958</v>
      </c>
      <c r="J320" s="4" t="s">
        <v>15</v>
      </c>
      <c r="L320" s="4" t="s">
        <v>42</v>
      </c>
      <c r="M320" s="4" t="s">
        <v>118</v>
      </c>
      <c r="N320" s="4" t="s">
        <v>16</v>
      </c>
    </row>
    <row r="321" spans="1:15" x14ac:dyDescent="0.25">
      <c r="A321">
        <f t="shared" si="20"/>
        <v>115166</v>
      </c>
      <c r="B321" t="s">
        <v>158</v>
      </c>
      <c r="C321" s="3">
        <v>42624</v>
      </c>
      <c r="D321" s="13">
        <f t="shared" si="17"/>
        <v>2016</v>
      </c>
      <c r="E321" s="13">
        <f t="shared" si="18"/>
        <v>9</v>
      </c>
      <c r="F321" s="13">
        <f t="shared" si="19"/>
        <v>11</v>
      </c>
      <c r="G321" s="4" t="s">
        <v>14</v>
      </c>
      <c r="H321">
        <v>46.931399999999996</v>
      </c>
      <c r="I321">
        <v>6.4985999999999997</v>
      </c>
      <c r="J321" s="4" t="s">
        <v>44</v>
      </c>
      <c r="L321" s="4" t="s">
        <v>42</v>
      </c>
      <c r="M321" s="4" t="s">
        <v>118</v>
      </c>
      <c r="N321" s="4" t="s">
        <v>16</v>
      </c>
    </row>
    <row r="322" spans="1:15" x14ac:dyDescent="0.25">
      <c r="A322">
        <f t="shared" si="20"/>
        <v>115166</v>
      </c>
      <c r="B322" t="s">
        <v>158</v>
      </c>
      <c r="C322" s="3">
        <v>42653</v>
      </c>
      <c r="D322" s="13">
        <f t="shared" si="17"/>
        <v>2016</v>
      </c>
      <c r="E322" s="13">
        <f t="shared" si="18"/>
        <v>10</v>
      </c>
      <c r="F322" s="13">
        <f t="shared" si="19"/>
        <v>10</v>
      </c>
      <c r="G322" s="4" t="s">
        <v>14</v>
      </c>
      <c r="H322">
        <v>46.93383</v>
      </c>
      <c r="I322">
        <v>6.4399899999999999</v>
      </c>
      <c r="J322" s="4" t="s">
        <v>44</v>
      </c>
      <c r="L322" s="4" t="s">
        <v>42</v>
      </c>
      <c r="M322" s="4" t="s">
        <v>118</v>
      </c>
      <c r="N322" s="4" t="s">
        <v>17</v>
      </c>
    </row>
    <row r="323" spans="1:15" x14ac:dyDescent="0.25">
      <c r="A323">
        <f t="shared" si="20"/>
        <v>115167</v>
      </c>
      <c r="B323" t="s">
        <v>159</v>
      </c>
      <c r="C323" s="9">
        <v>42530</v>
      </c>
      <c r="D323" s="13">
        <f t="shared" ref="D323:D386" si="21">YEAR(C323)</f>
        <v>2016</v>
      </c>
      <c r="E323" s="13">
        <f t="shared" ref="E323:E386" si="22">MONTH(C323)</f>
        <v>6</v>
      </c>
      <c r="F323" s="13">
        <f t="shared" ref="F323:F386" si="23">DAY(C323)</f>
        <v>9</v>
      </c>
      <c r="G323" s="4" t="s">
        <v>14</v>
      </c>
      <c r="H323">
        <v>46.9392</v>
      </c>
      <c r="I323">
        <v>6.7453000000000003</v>
      </c>
      <c r="J323" s="4" t="s">
        <v>15</v>
      </c>
      <c r="L323" s="4" t="s">
        <v>1</v>
      </c>
      <c r="N323" s="4" t="s">
        <v>17</v>
      </c>
      <c r="O323" s="4" t="s">
        <v>29</v>
      </c>
    </row>
    <row r="324" spans="1:15" x14ac:dyDescent="0.25">
      <c r="A324">
        <f t="shared" si="20"/>
        <v>115168</v>
      </c>
      <c r="B324" t="s">
        <v>160</v>
      </c>
      <c r="C324" s="9">
        <v>42530</v>
      </c>
      <c r="D324" s="13">
        <f t="shared" si="21"/>
        <v>2016</v>
      </c>
      <c r="E324" s="13">
        <f t="shared" si="22"/>
        <v>6</v>
      </c>
      <c r="F324" s="13">
        <f t="shared" si="23"/>
        <v>9</v>
      </c>
      <c r="G324" s="4" t="s">
        <v>14</v>
      </c>
      <c r="H324">
        <v>46.9392</v>
      </c>
      <c r="I324">
        <v>6.7453000000000003</v>
      </c>
      <c r="J324" s="4" t="s">
        <v>15</v>
      </c>
      <c r="L324" s="4" t="s">
        <v>42</v>
      </c>
      <c r="M324" s="4" t="s">
        <v>118</v>
      </c>
      <c r="N324" s="4" t="s">
        <v>17</v>
      </c>
      <c r="O324" s="4" t="s">
        <v>27</v>
      </c>
    </row>
    <row r="325" spans="1:15" x14ac:dyDescent="0.25">
      <c r="A325">
        <f t="shared" si="20"/>
        <v>115169</v>
      </c>
      <c r="B325" t="s">
        <v>161</v>
      </c>
      <c r="C325" s="3">
        <v>42533</v>
      </c>
      <c r="D325" s="13">
        <f t="shared" si="21"/>
        <v>2016</v>
      </c>
      <c r="E325" s="13">
        <f t="shared" si="22"/>
        <v>6</v>
      </c>
      <c r="F325" s="13">
        <f t="shared" si="23"/>
        <v>12</v>
      </c>
      <c r="G325" s="4" t="s">
        <v>14</v>
      </c>
      <c r="H325">
        <v>46.955300000000001</v>
      </c>
      <c r="I325">
        <v>6.5072000000000001</v>
      </c>
      <c r="J325" s="4" t="s">
        <v>15</v>
      </c>
      <c r="L325" s="4" t="s">
        <v>42</v>
      </c>
      <c r="M325" s="4" t="s">
        <v>118</v>
      </c>
      <c r="N325" s="4" t="s">
        <v>16</v>
      </c>
      <c r="O325" s="4">
        <v>5</v>
      </c>
    </row>
    <row r="326" spans="1:15" x14ac:dyDescent="0.25">
      <c r="A326">
        <f t="shared" si="20"/>
        <v>115169</v>
      </c>
      <c r="B326" t="s">
        <v>161</v>
      </c>
      <c r="C326" s="3">
        <v>42556</v>
      </c>
      <c r="D326" s="13">
        <f t="shared" si="21"/>
        <v>2016</v>
      </c>
      <c r="E326" s="13">
        <f t="shared" si="22"/>
        <v>7</v>
      </c>
      <c r="F326" s="13">
        <f t="shared" si="23"/>
        <v>5</v>
      </c>
      <c r="G326" s="4" t="s">
        <v>14</v>
      </c>
      <c r="H326">
        <v>46.939100000000003</v>
      </c>
      <c r="I326">
        <v>6.6397000000000004</v>
      </c>
      <c r="J326" s="4" t="s">
        <v>44</v>
      </c>
      <c r="L326" s="4" t="s">
        <v>42</v>
      </c>
      <c r="M326" s="4" t="s">
        <v>118</v>
      </c>
      <c r="N326" s="4" t="s">
        <v>16</v>
      </c>
    </row>
    <row r="327" spans="1:15" x14ac:dyDescent="0.25">
      <c r="A327">
        <f t="shared" si="20"/>
        <v>115169</v>
      </c>
      <c r="B327" t="s">
        <v>161</v>
      </c>
      <c r="C327" s="3">
        <v>42598</v>
      </c>
      <c r="D327" s="13">
        <f t="shared" si="21"/>
        <v>2016</v>
      </c>
      <c r="E327" s="13">
        <f t="shared" si="22"/>
        <v>8</v>
      </c>
      <c r="F327" s="13">
        <f t="shared" si="23"/>
        <v>16</v>
      </c>
      <c r="G327" s="4" t="s">
        <v>14</v>
      </c>
      <c r="H327">
        <v>46.968800000000002</v>
      </c>
      <c r="I327">
        <v>6.5282999999999998</v>
      </c>
      <c r="J327" s="4" t="s">
        <v>44</v>
      </c>
      <c r="L327" s="4" t="s">
        <v>42</v>
      </c>
      <c r="M327" s="4" t="s">
        <v>118</v>
      </c>
      <c r="N327" s="4" t="s">
        <v>16</v>
      </c>
    </row>
    <row r="328" spans="1:15" x14ac:dyDescent="0.25">
      <c r="A328">
        <f t="shared" si="20"/>
        <v>115169</v>
      </c>
      <c r="B328" t="s">
        <v>161</v>
      </c>
      <c r="C328" s="3">
        <v>42627</v>
      </c>
      <c r="D328" s="13">
        <f t="shared" si="21"/>
        <v>2016</v>
      </c>
      <c r="E328" s="13">
        <f t="shared" si="22"/>
        <v>9</v>
      </c>
      <c r="F328" s="13">
        <f t="shared" si="23"/>
        <v>14</v>
      </c>
      <c r="G328" s="4" t="s">
        <v>14</v>
      </c>
      <c r="H328">
        <v>46.970199999999998</v>
      </c>
      <c r="I328">
        <v>6.5321999999999996</v>
      </c>
      <c r="J328" s="4" t="s">
        <v>44</v>
      </c>
      <c r="L328" s="4" t="s">
        <v>42</v>
      </c>
      <c r="M328" s="4" t="s">
        <v>118</v>
      </c>
      <c r="N328" s="4" t="s">
        <v>16</v>
      </c>
    </row>
    <row r="329" spans="1:15" x14ac:dyDescent="0.25">
      <c r="A329">
        <f t="shared" si="20"/>
        <v>115169</v>
      </c>
      <c r="B329" t="s">
        <v>161</v>
      </c>
      <c r="C329" s="3">
        <v>42719</v>
      </c>
      <c r="D329" s="13">
        <f t="shared" si="21"/>
        <v>2016</v>
      </c>
      <c r="E329" s="13">
        <f t="shared" si="22"/>
        <v>12</v>
      </c>
      <c r="F329" s="13">
        <f t="shared" si="23"/>
        <v>15</v>
      </c>
      <c r="G329" s="4" t="s">
        <v>31</v>
      </c>
      <c r="H329">
        <v>43.917000000000002</v>
      </c>
      <c r="I329">
        <v>5.2102500000000003</v>
      </c>
      <c r="J329" s="4" t="s">
        <v>44</v>
      </c>
      <c r="L329" s="4" t="s">
        <v>42</v>
      </c>
      <c r="M329" s="4" t="s">
        <v>118</v>
      </c>
      <c r="N329" s="4" t="s">
        <v>16</v>
      </c>
    </row>
    <row r="330" spans="1:15" x14ac:dyDescent="0.25">
      <c r="A330">
        <f t="shared" si="20"/>
        <v>115169</v>
      </c>
      <c r="B330" t="s">
        <v>161</v>
      </c>
      <c r="C330" s="3">
        <v>42750</v>
      </c>
      <c r="D330" s="13">
        <f t="shared" si="21"/>
        <v>2017</v>
      </c>
      <c r="E330" s="13">
        <f t="shared" si="22"/>
        <v>1</v>
      </c>
      <c r="F330" s="13">
        <f t="shared" si="23"/>
        <v>15</v>
      </c>
      <c r="G330" s="4" t="s">
        <v>31</v>
      </c>
      <c r="H330">
        <v>43.906930000000003</v>
      </c>
      <c r="I330">
        <v>5.2078199999999999</v>
      </c>
      <c r="J330" s="4" t="s">
        <v>44</v>
      </c>
      <c r="L330" s="4" t="s">
        <v>42</v>
      </c>
      <c r="M330" s="4" t="s">
        <v>118</v>
      </c>
      <c r="N330" s="4" t="s">
        <v>16</v>
      </c>
    </row>
    <row r="331" spans="1:15" x14ac:dyDescent="0.25">
      <c r="A331">
        <f t="shared" si="20"/>
        <v>115169</v>
      </c>
      <c r="B331" t="s">
        <v>161</v>
      </c>
      <c r="C331" s="3">
        <v>42781</v>
      </c>
      <c r="D331" s="13">
        <f t="shared" si="21"/>
        <v>2017</v>
      </c>
      <c r="E331" s="13">
        <f t="shared" si="22"/>
        <v>2</v>
      </c>
      <c r="F331" s="13">
        <f t="shared" si="23"/>
        <v>15</v>
      </c>
      <c r="G331" s="4" t="s">
        <v>31</v>
      </c>
      <c r="H331">
        <v>43.911119999999997</v>
      </c>
      <c r="I331">
        <v>5.2057399999999996</v>
      </c>
      <c r="J331" s="4" t="s">
        <v>44</v>
      </c>
      <c r="L331" s="4" t="s">
        <v>42</v>
      </c>
      <c r="M331" s="4" t="s">
        <v>118</v>
      </c>
      <c r="N331" s="4" t="s">
        <v>16</v>
      </c>
    </row>
    <row r="332" spans="1:15" x14ac:dyDescent="0.25">
      <c r="A332">
        <f t="shared" si="20"/>
        <v>115169</v>
      </c>
      <c r="B332" t="s">
        <v>161</v>
      </c>
      <c r="C332" s="3">
        <v>42930</v>
      </c>
      <c r="D332" s="13">
        <f t="shared" si="21"/>
        <v>2017</v>
      </c>
      <c r="E332" s="13">
        <f t="shared" si="22"/>
        <v>7</v>
      </c>
      <c r="F332" s="13">
        <f t="shared" si="23"/>
        <v>14</v>
      </c>
      <c r="G332" s="4" t="s">
        <v>14</v>
      </c>
      <c r="H332">
        <v>46.971530000000001</v>
      </c>
      <c r="I332">
        <v>6.5299899999999997</v>
      </c>
      <c r="J332" s="4" t="s">
        <v>44</v>
      </c>
      <c r="L332" s="4" t="s">
        <v>42</v>
      </c>
      <c r="M332" s="4" t="s">
        <v>118</v>
      </c>
      <c r="N332" s="4" t="s">
        <v>16</v>
      </c>
    </row>
    <row r="333" spans="1:15" x14ac:dyDescent="0.25">
      <c r="A333">
        <f t="shared" si="20"/>
        <v>115169</v>
      </c>
      <c r="B333" t="s">
        <v>161</v>
      </c>
      <c r="C333" s="3">
        <v>42965</v>
      </c>
      <c r="D333" s="13">
        <f t="shared" si="21"/>
        <v>2017</v>
      </c>
      <c r="E333" s="13">
        <f t="shared" si="22"/>
        <v>8</v>
      </c>
      <c r="F333" s="13">
        <f t="shared" si="23"/>
        <v>18</v>
      </c>
      <c r="G333" s="4" t="s">
        <v>14</v>
      </c>
      <c r="H333">
        <v>46.969059999999999</v>
      </c>
      <c r="I333">
        <v>6.5377900000000002</v>
      </c>
      <c r="J333" s="4" t="s">
        <v>44</v>
      </c>
      <c r="L333" s="4" t="s">
        <v>42</v>
      </c>
      <c r="M333" s="4" t="s">
        <v>118</v>
      </c>
      <c r="N333" s="4" t="s">
        <v>16</v>
      </c>
    </row>
    <row r="334" spans="1:15" x14ac:dyDescent="0.25">
      <c r="A334">
        <f t="shared" si="20"/>
        <v>115169</v>
      </c>
      <c r="B334" t="s">
        <v>161</v>
      </c>
      <c r="C334" s="3">
        <v>43087</v>
      </c>
      <c r="D334" s="13">
        <f t="shared" si="21"/>
        <v>2017</v>
      </c>
      <c r="E334" s="13">
        <f t="shared" si="22"/>
        <v>12</v>
      </c>
      <c r="F334" s="13">
        <f t="shared" si="23"/>
        <v>18</v>
      </c>
      <c r="G334" s="4" t="s">
        <v>31</v>
      </c>
      <c r="H334">
        <v>43.916170000000001</v>
      </c>
      <c r="I334">
        <v>5.2435600000000004</v>
      </c>
      <c r="J334" s="4" t="s">
        <v>44</v>
      </c>
      <c r="L334" s="4" t="s">
        <v>42</v>
      </c>
      <c r="M334" s="4" t="s">
        <v>118</v>
      </c>
      <c r="N334" s="4" t="s">
        <v>16</v>
      </c>
    </row>
    <row r="335" spans="1:15" x14ac:dyDescent="0.25">
      <c r="A335">
        <f t="shared" si="20"/>
        <v>115169</v>
      </c>
      <c r="B335" t="s">
        <v>161</v>
      </c>
      <c r="C335" s="3">
        <v>43114</v>
      </c>
      <c r="D335" s="13">
        <f t="shared" si="21"/>
        <v>2018</v>
      </c>
      <c r="E335" s="13">
        <f t="shared" si="22"/>
        <v>1</v>
      </c>
      <c r="F335" s="13">
        <f t="shared" si="23"/>
        <v>14</v>
      </c>
      <c r="G335" s="4" t="s">
        <v>31</v>
      </c>
      <c r="H335">
        <v>43.906570000000002</v>
      </c>
      <c r="I335">
        <v>5.2106199999999996</v>
      </c>
      <c r="J335" s="4" t="s">
        <v>44</v>
      </c>
      <c r="L335" s="4" t="s">
        <v>42</v>
      </c>
      <c r="M335" s="4" t="s">
        <v>118</v>
      </c>
      <c r="N335" s="4" t="s">
        <v>16</v>
      </c>
    </row>
    <row r="336" spans="1:15" x14ac:dyDescent="0.25">
      <c r="A336">
        <f t="shared" ref="A336:A399" si="24">RIGHT(B336,6)*1</f>
        <v>115169</v>
      </c>
      <c r="B336" t="s">
        <v>161</v>
      </c>
      <c r="C336" s="3">
        <v>43145</v>
      </c>
      <c r="D336" s="13">
        <f t="shared" si="21"/>
        <v>2018</v>
      </c>
      <c r="E336" s="13">
        <f t="shared" si="22"/>
        <v>2</v>
      </c>
      <c r="F336" s="13">
        <f t="shared" si="23"/>
        <v>14</v>
      </c>
      <c r="G336" s="4" t="s">
        <v>31</v>
      </c>
      <c r="H336">
        <v>43.905859999999997</v>
      </c>
      <c r="I336">
        <v>5.20242</v>
      </c>
      <c r="J336" s="4" t="s">
        <v>44</v>
      </c>
      <c r="L336" s="4" t="s">
        <v>42</v>
      </c>
      <c r="M336" s="4" t="s">
        <v>118</v>
      </c>
      <c r="N336" s="4" t="s">
        <v>16</v>
      </c>
    </row>
    <row r="337" spans="1:14" x14ac:dyDescent="0.25">
      <c r="A337">
        <f t="shared" si="24"/>
        <v>115169</v>
      </c>
      <c r="B337" t="s">
        <v>161</v>
      </c>
      <c r="C337" s="3">
        <v>43294</v>
      </c>
      <c r="D337" s="13">
        <f t="shared" si="21"/>
        <v>2018</v>
      </c>
      <c r="E337" s="13">
        <f t="shared" si="22"/>
        <v>7</v>
      </c>
      <c r="F337" s="13">
        <f t="shared" si="23"/>
        <v>13</v>
      </c>
      <c r="G337" s="4" t="s">
        <v>14</v>
      </c>
      <c r="H337">
        <v>46.969769999999997</v>
      </c>
      <c r="I337">
        <v>6.5252699999999999</v>
      </c>
      <c r="J337" s="4" t="s">
        <v>44</v>
      </c>
      <c r="L337" s="4" t="s">
        <v>42</v>
      </c>
      <c r="M337" s="4" t="s">
        <v>118</v>
      </c>
      <c r="N337" s="4" t="s">
        <v>16</v>
      </c>
    </row>
    <row r="338" spans="1:14" x14ac:dyDescent="0.25">
      <c r="A338">
        <f t="shared" si="24"/>
        <v>115169</v>
      </c>
      <c r="B338" t="s">
        <v>161</v>
      </c>
      <c r="C338" s="3">
        <v>43328</v>
      </c>
      <c r="D338" s="13">
        <f t="shared" si="21"/>
        <v>2018</v>
      </c>
      <c r="E338" s="13">
        <f t="shared" si="22"/>
        <v>8</v>
      </c>
      <c r="F338" s="13">
        <f t="shared" si="23"/>
        <v>16</v>
      </c>
      <c r="G338" s="4" t="s">
        <v>14</v>
      </c>
      <c r="H338">
        <v>46.986049999999999</v>
      </c>
      <c r="I338">
        <v>6.4174499999999997</v>
      </c>
      <c r="J338" s="4" t="s">
        <v>44</v>
      </c>
      <c r="L338" s="4" t="s">
        <v>42</v>
      </c>
      <c r="M338" s="4" t="s">
        <v>118</v>
      </c>
      <c r="N338" s="4" t="s">
        <v>16</v>
      </c>
    </row>
    <row r="339" spans="1:14" x14ac:dyDescent="0.25">
      <c r="A339">
        <f t="shared" si="24"/>
        <v>115169</v>
      </c>
      <c r="B339" t="s">
        <v>161</v>
      </c>
      <c r="C339" s="3">
        <v>43389</v>
      </c>
      <c r="D339" s="13">
        <f t="shared" si="21"/>
        <v>2018</v>
      </c>
      <c r="E339" s="13">
        <f t="shared" si="22"/>
        <v>10</v>
      </c>
      <c r="F339" s="13">
        <f t="shared" si="23"/>
        <v>16</v>
      </c>
      <c r="G339" s="4" t="s">
        <v>20</v>
      </c>
      <c r="H339">
        <v>47.027160000000002</v>
      </c>
      <c r="I339">
        <v>6.5306899999999999</v>
      </c>
      <c r="J339" s="4" t="s">
        <v>44</v>
      </c>
      <c r="L339" s="4" t="s">
        <v>42</v>
      </c>
      <c r="M339" s="4" t="s">
        <v>118</v>
      </c>
      <c r="N339" s="4" t="s">
        <v>16</v>
      </c>
    </row>
    <row r="340" spans="1:14" x14ac:dyDescent="0.25">
      <c r="A340">
        <f t="shared" si="24"/>
        <v>115169</v>
      </c>
      <c r="B340" t="s">
        <v>161</v>
      </c>
      <c r="C340" s="3">
        <v>43486</v>
      </c>
      <c r="D340" s="13">
        <f t="shared" si="21"/>
        <v>2019</v>
      </c>
      <c r="E340" s="13">
        <f t="shared" si="22"/>
        <v>1</v>
      </c>
      <c r="F340" s="13">
        <f t="shared" si="23"/>
        <v>21</v>
      </c>
      <c r="G340" s="4" t="s">
        <v>31</v>
      </c>
      <c r="H340">
        <v>43.9084</v>
      </c>
      <c r="I340">
        <v>5.1992399999999996</v>
      </c>
      <c r="J340" s="4" t="s">
        <v>44</v>
      </c>
      <c r="L340" s="4" t="s">
        <v>42</v>
      </c>
      <c r="M340" s="4" t="s">
        <v>118</v>
      </c>
      <c r="N340" s="4" t="s">
        <v>16</v>
      </c>
    </row>
    <row r="341" spans="1:14" x14ac:dyDescent="0.25">
      <c r="A341">
        <f t="shared" si="24"/>
        <v>115169</v>
      </c>
      <c r="B341" t="s">
        <v>161</v>
      </c>
      <c r="C341" s="3">
        <v>43513</v>
      </c>
      <c r="D341" s="13">
        <f t="shared" si="21"/>
        <v>2019</v>
      </c>
      <c r="E341" s="13">
        <f t="shared" si="22"/>
        <v>2</v>
      </c>
      <c r="F341" s="13">
        <f t="shared" si="23"/>
        <v>17</v>
      </c>
      <c r="G341" s="4" t="s">
        <v>31</v>
      </c>
      <c r="H341">
        <v>43.907380000000003</v>
      </c>
      <c r="I341">
        <v>5.2073099999999997</v>
      </c>
      <c r="J341" s="4" t="s">
        <v>44</v>
      </c>
      <c r="L341" s="4" t="s">
        <v>42</v>
      </c>
      <c r="M341" s="4" t="s">
        <v>118</v>
      </c>
      <c r="N341" s="4" t="s">
        <v>16</v>
      </c>
    </row>
    <row r="342" spans="1:14" x14ac:dyDescent="0.25">
      <c r="A342">
        <f t="shared" si="24"/>
        <v>115169</v>
      </c>
      <c r="B342" t="s">
        <v>161</v>
      </c>
      <c r="C342" s="3">
        <v>43658</v>
      </c>
      <c r="D342" s="13">
        <f t="shared" si="21"/>
        <v>2019</v>
      </c>
      <c r="E342" s="13">
        <f t="shared" si="22"/>
        <v>7</v>
      </c>
      <c r="F342" s="13">
        <f t="shared" si="23"/>
        <v>12</v>
      </c>
      <c r="G342" s="4" t="s">
        <v>14</v>
      </c>
      <c r="H342">
        <v>46.96902</v>
      </c>
      <c r="I342">
        <v>6.5322399999999998</v>
      </c>
      <c r="J342" s="4" t="s">
        <v>44</v>
      </c>
      <c r="L342" s="4" t="s">
        <v>42</v>
      </c>
      <c r="M342" s="4" t="s">
        <v>118</v>
      </c>
      <c r="N342" s="4" t="s">
        <v>16</v>
      </c>
    </row>
    <row r="343" spans="1:14" x14ac:dyDescent="0.25">
      <c r="A343">
        <f t="shared" si="24"/>
        <v>115169</v>
      </c>
      <c r="B343" t="s">
        <v>161</v>
      </c>
      <c r="C343" s="3">
        <v>43689</v>
      </c>
      <c r="D343" s="13">
        <f t="shared" si="21"/>
        <v>2019</v>
      </c>
      <c r="E343" s="13">
        <f t="shared" si="22"/>
        <v>8</v>
      </c>
      <c r="F343" s="13">
        <f t="shared" si="23"/>
        <v>12</v>
      </c>
      <c r="G343" s="4" t="s">
        <v>14</v>
      </c>
      <c r="H343">
        <v>46.976109999999998</v>
      </c>
      <c r="I343">
        <v>6.5453900000000003</v>
      </c>
      <c r="J343" s="4" t="s">
        <v>44</v>
      </c>
      <c r="L343" s="4" t="s">
        <v>42</v>
      </c>
      <c r="M343" s="4" t="s">
        <v>118</v>
      </c>
      <c r="N343" s="4" t="s">
        <v>16</v>
      </c>
    </row>
    <row r="344" spans="1:14" x14ac:dyDescent="0.25">
      <c r="A344">
        <f t="shared" si="24"/>
        <v>115169</v>
      </c>
      <c r="B344" t="s">
        <v>161</v>
      </c>
      <c r="C344" s="3">
        <v>43716</v>
      </c>
      <c r="D344" s="13">
        <f t="shared" si="21"/>
        <v>2019</v>
      </c>
      <c r="E344" s="13">
        <f t="shared" si="22"/>
        <v>9</v>
      </c>
      <c r="F344" s="13">
        <f t="shared" si="23"/>
        <v>8</v>
      </c>
      <c r="G344" s="4" t="s">
        <v>14</v>
      </c>
      <c r="H344">
        <v>46.966140000000003</v>
      </c>
      <c r="I344">
        <v>6.5330399999999997</v>
      </c>
      <c r="J344" s="4" t="s">
        <v>44</v>
      </c>
      <c r="L344" s="4" t="s">
        <v>42</v>
      </c>
      <c r="M344" s="4" t="s">
        <v>118</v>
      </c>
      <c r="N344" s="4" t="s">
        <v>16</v>
      </c>
    </row>
    <row r="345" spans="1:14" x14ac:dyDescent="0.25">
      <c r="A345">
        <f t="shared" si="24"/>
        <v>115169</v>
      </c>
      <c r="B345" t="s">
        <v>161</v>
      </c>
      <c r="C345" s="3">
        <v>43872</v>
      </c>
      <c r="D345" s="13">
        <f t="shared" si="21"/>
        <v>2020</v>
      </c>
      <c r="E345" s="13">
        <f t="shared" si="22"/>
        <v>2</v>
      </c>
      <c r="F345" s="13">
        <f t="shared" si="23"/>
        <v>11</v>
      </c>
      <c r="G345" s="4" t="s">
        <v>31</v>
      </c>
      <c r="H345">
        <v>43.90851</v>
      </c>
      <c r="I345">
        <v>5.20505</v>
      </c>
      <c r="J345" s="4" t="s">
        <v>44</v>
      </c>
      <c r="L345" s="4" t="s">
        <v>42</v>
      </c>
      <c r="M345" s="4" t="s">
        <v>118</v>
      </c>
      <c r="N345" s="4" t="s">
        <v>16</v>
      </c>
    </row>
    <row r="346" spans="1:14" x14ac:dyDescent="0.25">
      <c r="A346">
        <f t="shared" si="24"/>
        <v>115169</v>
      </c>
      <c r="B346" t="s">
        <v>161</v>
      </c>
      <c r="C346" s="3">
        <v>44024</v>
      </c>
      <c r="D346" s="13">
        <f t="shared" si="21"/>
        <v>2020</v>
      </c>
      <c r="E346" s="13">
        <f t="shared" si="22"/>
        <v>7</v>
      </c>
      <c r="F346" s="13">
        <f t="shared" si="23"/>
        <v>12</v>
      </c>
      <c r="G346" s="4" t="s">
        <v>14</v>
      </c>
      <c r="H346">
        <v>46.971179999999997</v>
      </c>
      <c r="I346">
        <v>6.5222899999999999</v>
      </c>
      <c r="J346" s="4" t="s">
        <v>44</v>
      </c>
      <c r="L346" s="4" t="s">
        <v>42</v>
      </c>
      <c r="M346" s="4" t="s">
        <v>118</v>
      </c>
      <c r="N346" s="4" t="s">
        <v>16</v>
      </c>
    </row>
    <row r="347" spans="1:14" x14ac:dyDescent="0.25">
      <c r="A347">
        <f t="shared" si="24"/>
        <v>115169</v>
      </c>
      <c r="B347" t="s">
        <v>161</v>
      </c>
      <c r="C347" s="3">
        <v>44057</v>
      </c>
      <c r="D347" s="13">
        <f t="shared" si="21"/>
        <v>2020</v>
      </c>
      <c r="E347" s="13">
        <f t="shared" si="22"/>
        <v>8</v>
      </c>
      <c r="F347" s="13">
        <f t="shared" si="23"/>
        <v>14</v>
      </c>
      <c r="G347" s="4" t="s">
        <v>14</v>
      </c>
      <c r="H347">
        <v>46.970410000000001</v>
      </c>
      <c r="I347">
        <v>6.5358700000000001</v>
      </c>
      <c r="J347" s="4" t="s">
        <v>44</v>
      </c>
      <c r="L347" s="4" t="s">
        <v>42</v>
      </c>
      <c r="M347" s="4" t="s">
        <v>118</v>
      </c>
      <c r="N347" s="4" t="s">
        <v>16</v>
      </c>
    </row>
    <row r="348" spans="1:14" x14ac:dyDescent="0.25">
      <c r="A348">
        <f t="shared" si="24"/>
        <v>115169</v>
      </c>
      <c r="B348" t="s">
        <v>161</v>
      </c>
      <c r="C348" s="3">
        <v>44088</v>
      </c>
      <c r="D348" s="13">
        <f t="shared" si="21"/>
        <v>2020</v>
      </c>
      <c r="E348" s="13">
        <f t="shared" si="22"/>
        <v>9</v>
      </c>
      <c r="F348" s="13">
        <f t="shared" si="23"/>
        <v>14</v>
      </c>
      <c r="G348" s="4" t="s">
        <v>14</v>
      </c>
      <c r="H348">
        <v>46.969799999999999</v>
      </c>
      <c r="I348">
        <v>6.5332100000000004</v>
      </c>
      <c r="J348" s="4" t="s">
        <v>44</v>
      </c>
      <c r="L348" s="4" t="s">
        <v>42</v>
      </c>
      <c r="M348" s="4" t="s">
        <v>118</v>
      </c>
      <c r="N348" s="4" t="s">
        <v>16</v>
      </c>
    </row>
    <row r="349" spans="1:14" x14ac:dyDescent="0.25">
      <c r="A349">
        <f t="shared" si="24"/>
        <v>115169</v>
      </c>
      <c r="B349" t="s">
        <v>161</v>
      </c>
      <c r="C349" s="3">
        <v>44177</v>
      </c>
      <c r="D349" s="13">
        <f t="shared" si="21"/>
        <v>2020</v>
      </c>
      <c r="E349" s="13">
        <f t="shared" si="22"/>
        <v>12</v>
      </c>
      <c r="F349" s="13">
        <f t="shared" si="23"/>
        <v>12</v>
      </c>
      <c r="G349" s="4" t="s">
        <v>31</v>
      </c>
      <c r="H349">
        <v>43.910789999999999</v>
      </c>
      <c r="I349">
        <v>5.8196000000000003</v>
      </c>
      <c r="J349" s="4" t="s">
        <v>44</v>
      </c>
      <c r="L349" s="4" t="s">
        <v>42</v>
      </c>
      <c r="M349" s="4" t="s">
        <v>118</v>
      </c>
      <c r="N349" s="4" t="s">
        <v>16</v>
      </c>
    </row>
    <row r="350" spans="1:14" x14ac:dyDescent="0.25">
      <c r="A350">
        <f t="shared" si="24"/>
        <v>115169</v>
      </c>
      <c r="B350" t="s">
        <v>161</v>
      </c>
      <c r="C350" s="3">
        <v>44249</v>
      </c>
      <c r="D350" s="13">
        <f t="shared" si="21"/>
        <v>2021</v>
      </c>
      <c r="E350" s="13">
        <f t="shared" si="22"/>
        <v>2</v>
      </c>
      <c r="F350" s="13">
        <f t="shared" si="23"/>
        <v>22</v>
      </c>
      <c r="G350" s="4" t="s">
        <v>31</v>
      </c>
      <c r="H350">
        <v>43.906689999999998</v>
      </c>
      <c r="I350">
        <v>5.1997499999999999</v>
      </c>
      <c r="J350" s="4" t="s">
        <v>44</v>
      </c>
      <c r="L350" s="4" t="s">
        <v>42</v>
      </c>
      <c r="M350" s="4" t="s">
        <v>118</v>
      </c>
      <c r="N350" s="4" t="s">
        <v>16</v>
      </c>
    </row>
    <row r="351" spans="1:14" x14ac:dyDescent="0.25">
      <c r="A351">
        <f t="shared" si="24"/>
        <v>115169</v>
      </c>
      <c r="B351" t="s">
        <v>161</v>
      </c>
      <c r="C351" s="3">
        <v>44392</v>
      </c>
      <c r="D351" s="13">
        <f t="shared" si="21"/>
        <v>2021</v>
      </c>
      <c r="E351" s="13">
        <f t="shared" si="22"/>
        <v>7</v>
      </c>
      <c r="F351" s="13">
        <f t="shared" si="23"/>
        <v>15</v>
      </c>
      <c r="G351" s="4" t="s">
        <v>20</v>
      </c>
      <c r="H351">
        <v>47.028300000000002</v>
      </c>
      <c r="I351">
        <v>6.5490199999999996</v>
      </c>
      <c r="J351" s="4" t="s">
        <v>44</v>
      </c>
      <c r="L351" s="4" t="s">
        <v>42</v>
      </c>
      <c r="M351" s="4" t="s">
        <v>118</v>
      </c>
      <c r="N351" s="4" t="s">
        <v>16</v>
      </c>
    </row>
    <row r="352" spans="1:14" x14ac:dyDescent="0.25">
      <c r="A352">
        <f t="shared" si="24"/>
        <v>115169</v>
      </c>
      <c r="B352" t="s">
        <v>161</v>
      </c>
      <c r="C352" s="3">
        <v>44421</v>
      </c>
      <c r="D352" s="13">
        <f t="shared" si="21"/>
        <v>2021</v>
      </c>
      <c r="E352" s="13">
        <f t="shared" si="22"/>
        <v>8</v>
      </c>
      <c r="F352" s="13">
        <f t="shared" si="23"/>
        <v>13</v>
      </c>
      <c r="G352" s="4" t="s">
        <v>20</v>
      </c>
      <c r="H352">
        <v>47.012729999999998</v>
      </c>
      <c r="I352">
        <v>6.56501</v>
      </c>
      <c r="J352" s="4" t="s">
        <v>44</v>
      </c>
      <c r="L352" s="4" t="s">
        <v>42</v>
      </c>
      <c r="M352" s="4" t="s">
        <v>118</v>
      </c>
      <c r="N352" s="4" t="s">
        <v>16</v>
      </c>
    </row>
    <row r="353" spans="1:15" x14ac:dyDescent="0.25">
      <c r="A353">
        <f t="shared" si="24"/>
        <v>115169</v>
      </c>
      <c r="B353" t="s">
        <v>161</v>
      </c>
      <c r="C353" s="3">
        <v>44452</v>
      </c>
      <c r="D353" s="13">
        <f t="shared" si="21"/>
        <v>2021</v>
      </c>
      <c r="E353" s="13">
        <f t="shared" si="22"/>
        <v>9</v>
      </c>
      <c r="F353" s="13">
        <f t="shared" si="23"/>
        <v>13</v>
      </c>
      <c r="G353" s="4" t="s">
        <v>20</v>
      </c>
      <c r="H353">
        <v>47.014389999999999</v>
      </c>
      <c r="I353">
        <v>6.5673599999999999</v>
      </c>
      <c r="J353" s="4" t="s">
        <v>44</v>
      </c>
      <c r="L353" s="4" t="s">
        <v>42</v>
      </c>
      <c r="M353" s="4" t="s">
        <v>118</v>
      </c>
      <c r="N353" s="4" t="s">
        <v>17</v>
      </c>
    </row>
    <row r="354" spans="1:15" x14ac:dyDescent="0.25">
      <c r="A354">
        <f t="shared" si="24"/>
        <v>115170</v>
      </c>
      <c r="B354" t="s">
        <v>162</v>
      </c>
      <c r="C354" s="9">
        <v>42531</v>
      </c>
      <c r="D354" s="13">
        <f t="shared" si="21"/>
        <v>2016</v>
      </c>
      <c r="E354" s="13">
        <f t="shared" si="22"/>
        <v>6</v>
      </c>
      <c r="F354" s="13">
        <f t="shared" si="23"/>
        <v>10</v>
      </c>
      <c r="G354" s="4" t="s">
        <v>14</v>
      </c>
      <c r="H354">
        <v>46.955300000000001</v>
      </c>
      <c r="I354">
        <v>6.5072000000000001</v>
      </c>
      <c r="J354" s="4" t="s">
        <v>15</v>
      </c>
      <c r="L354" s="4" t="s">
        <v>1</v>
      </c>
      <c r="N354" s="4" t="s">
        <v>17</v>
      </c>
      <c r="O354" s="4">
        <v>6</v>
      </c>
    </row>
    <row r="355" spans="1:15" x14ac:dyDescent="0.25">
      <c r="A355">
        <f t="shared" si="24"/>
        <v>115171</v>
      </c>
      <c r="B355" t="s">
        <v>163</v>
      </c>
      <c r="C355" s="3">
        <v>42533</v>
      </c>
      <c r="D355" s="13">
        <f t="shared" si="21"/>
        <v>2016</v>
      </c>
      <c r="E355" s="13">
        <f t="shared" si="22"/>
        <v>6</v>
      </c>
      <c r="F355" s="13">
        <f t="shared" si="23"/>
        <v>12</v>
      </c>
      <c r="G355" s="4" t="s">
        <v>14</v>
      </c>
      <c r="H355">
        <v>46.931100000000001</v>
      </c>
      <c r="I355">
        <v>6.4958</v>
      </c>
      <c r="J355" s="4" t="s">
        <v>15</v>
      </c>
      <c r="L355" s="4" t="s">
        <v>1</v>
      </c>
      <c r="N355" s="4" t="s">
        <v>16</v>
      </c>
      <c r="O355" s="4">
        <v>5</v>
      </c>
    </row>
    <row r="356" spans="1:15" x14ac:dyDescent="0.25">
      <c r="A356">
        <f t="shared" si="24"/>
        <v>115171</v>
      </c>
      <c r="B356" t="s">
        <v>163</v>
      </c>
      <c r="C356" s="3">
        <v>42712</v>
      </c>
      <c r="D356" s="13">
        <f t="shared" si="21"/>
        <v>2016</v>
      </c>
      <c r="E356" s="13">
        <f t="shared" si="22"/>
        <v>12</v>
      </c>
      <c r="F356" s="13">
        <f t="shared" si="23"/>
        <v>8</v>
      </c>
      <c r="G356" s="4" t="s">
        <v>48</v>
      </c>
      <c r="H356">
        <v>42.116700000000002</v>
      </c>
      <c r="I356">
        <v>2.1667000000000001</v>
      </c>
      <c r="J356" s="4" t="s">
        <v>21</v>
      </c>
      <c r="K356" s="4" t="s">
        <v>22</v>
      </c>
      <c r="L356" s="4" t="s">
        <v>1</v>
      </c>
      <c r="N356" s="4" t="s">
        <v>17</v>
      </c>
    </row>
    <row r="357" spans="1:15" x14ac:dyDescent="0.25">
      <c r="A357">
        <f t="shared" si="24"/>
        <v>115172</v>
      </c>
      <c r="B357" t="s">
        <v>164</v>
      </c>
      <c r="C357" s="3">
        <v>42535</v>
      </c>
      <c r="D357" s="13">
        <f t="shared" si="21"/>
        <v>2016</v>
      </c>
      <c r="E357" s="13">
        <f t="shared" si="22"/>
        <v>6</v>
      </c>
      <c r="F357" s="13">
        <f t="shared" si="23"/>
        <v>14</v>
      </c>
      <c r="G357" s="4" t="s">
        <v>14</v>
      </c>
      <c r="H357">
        <v>46.9681</v>
      </c>
      <c r="I357">
        <v>6.5175000000000001</v>
      </c>
      <c r="J357" s="4" t="s">
        <v>15</v>
      </c>
      <c r="L357" s="4" t="s">
        <v>1</v>
      </c>
      <c r="N357" s="4" t="s">
        <v>16</v>
      </c>
      <c r="O357" s="4">
        <v>6</v>
      </c>
    </row>
    <row r="358" spans="1:15" x14ac:dyDescent="0.25">
      <c r="A358">
        <f t="shared" si="24"/>
        <v>115172</v>
      </c>
      <c r="B358" t="s">
        <v>164</v>
      </c>
      <c r="C358" s="3">
        <v>42655</v>
      </c>
      <c r="D358" s="13">
        <f t="shared" si="21"/>
        <v>2016</v>
      </c>
      <c r="E358" s="13">
        <f t="shared" si="22"/>
        <v>10</v>
      </c>
      <c r="F358" s="13">
        <f t="shared" si="23"/>
        <v>12</v>
      </c>
      <c r="G358" s="4" t="s">
        <v>14</v>
      </c>
      <c r="H358">
        <v>46.955300000000001</v>
      </c>
      <c r="I358">
        <v>6.4981</v>
      </c>
      <c r="J358" s="4" t="s">
        <v>15</v>
      </c>
      <c r="L358" s="4" t="s">
        <v>1</v>
      </c>
      <c r="N358" s="4" t="s">
        <v>17</v>
      </c>
    </row>
    <row r="359" spans="1:15" x14ac:dyDescent="0.25">
      <c r="A359">
        <f t="shared" si="24"/>
        <v>115173</v>
      </c>
      <c r="B359" t="s">
        <v>165</v>
      </c>
      <c r="C359" s="3">
        <v>42541</v>
      </c>
      <c r="D359" s="13">
        <f t="shared" si="21"/>
        <v>2016</v>
      </c>
      <c r="E359" s="13">
        <f t="shared" si="22"/>
        <v>6</v>
      </c>
      <c r="F359" s="13">
        <f t="shared" si="23"/>
        <v>20</v>
      </c>
      <c r="G359" s="4" t="s">
        <v>14</v>
      </c>
      <c r="H359">
        <v>46.956099999999999</v>
      </c>
      <c r="I359">
        <v>6.4981</v>
      </c>
      <c r="J359" s="4" t="s">
        <v>15</v>
      </c>
      <c r="L359" s="4" t="s">
        <v>42</v>
      </c>
      <c r="M359" s="4" t="s">
        <v>118</v>
      </c>
      <c r="N359" s="4" t="s">
        <v>16</v>
      </c>
      <c r="O359" s="4">
        <v>6</v>
      </c>
    </row>
    <row r="360" spans="1:15" x14ac:dyDescent="0.25">
      <c r="A360">
        <f t="shared" si="24"/>
        <v>115173</v>
      </c>
      <c r="B360" t="s">
        <v>165</v>
      </c>
      <c r="C360" s="3">
        <v>42568</v>
      </c>
      <c r="D360" s="13">
        <f t="shared" si="21"/>
        <v>2016</v>
      </c>
      <c r="E360" s="13">
        <f t="shared" si="22"/>
        <v>7</v>
      </c>
      <c r="F360" s="13">
        <f t="shared" si="23"/>
        <v>17</v>
      </c>
      <c r="G360" s="4" t="s">
        <v>14</v>
      </c>
      <c r="H360">
        <v>46.926600000000001</v>
      </c>
      <c r="I360">
        <v>6.4743000000000004</v>
      </c>
      <c r="J360" s="4" t="s">
        <v>44</v>
      </c>
      <c r="L360" s="4" t="s">
        <v>42</v>
      </c>
      <c r="M360" s="4" t="s">
        <v>118</v>
      </c>
      <c r="N360" s="4" t="s">
        <v>16</v>
      </c>
    </row>
    <row r="361" spans="1:15" x14ac:dyDescent="0.25">
      <c r="A361">
        <f t="shared" si="24"/>
        <v>115173</v>
      </c>
      <c r="B361" t="s">
        <v>165</v>
      </c>
      <c r="C361" s="3">
        <v>42596</v>
      </c>
      <c r="D361" s="13">
        <f t="shared" si="21"/>
        <v>2016</v>
      </c>
      <c r="E361" s="13">
        <f t="shared" si="22"/>
        <v>8</v>
      </c>
      <c r="F361" s="13">
        <f t="shared" si="23"/>
        <v>14</v>
      </c>
      <c r="G361" s="4" t="s">
        <v>14</v>
      </c>
      <c r="H361">
        <v>46.928600000000003</v>
      </c>
      <c r="I361">
        <v>6.4692999999999996</v>
      </c>
      <c r="J361" s="4" t="s">
        <v>44</v>
      </c>
      <c r="L361" s="4" t="s">
        <v>42</v>
      </c>
      <c r="M361" s="4" t="s">
        <v>118</v>
      </c>
      <c r="N361" s="4" t="s">
        <v>16</v>
      </c>
    </row>
    <row r="362" spans="1:15" x14ac:dyDescent="0.25">
      <c r="A362">
        <f t="shared" si="24"/>
        <v>115173</v>
      </c>
      <c r="B362" t="s">
        <v>165</v>
      </c>
      <c r="C362" s="3">
        <v>42627</v>
      </c>
      <c r="D362" s="13">
        <f t="shared" si="21"/>
        <v>2016</v>
      </c>
      <c r="E362" s="13">
        <f t="shared" si="22"/>
        <v>9</v>
      </c>
      <c r="F362" s="13">
        <f t="shared" si="23"/>
        <v>14</v>
      </c>
      <c r="G362" s="4" t="s">
        <v>14</v>
      </c>
      <c r="H362">
        <v>46.929499999999997</v>
      </c>
      <c r="I362">
        <v>6.4702000000000002</v>
      </c>
      <c r="J362" s="4" t="s">
        <v>44</v>
      </c>
      <c r="L362" s="4" t="s">
        <v>42</v>
      </c>
      <c r="M362" s="4" t="s">
        <v>118</v>
      </c>
      <c r="N362" s="4" t="s">
        <v>16</v>
      </c>
    </row>
    <row r="363" spans="1:15" x14ac:dyDescent="0.25">
      <c r="A363">
        <f t="shared" si="24"/>
        <v>115173</v>
      </c>
      <c r="B363" t="s">
        <v>165</v>
      </c>
      <c r="C363" s="3">
        <v>42656</v>
      </c>
      <c r="D363" s="13">
        <f t="shared" si="21"/>
        <v>2016</v>
      </c>
      <c r="E363" s="13">
        <f t="shared" si="22"/>
        <v>10</v>
      </c>
      <c r="F363" s="13">
        <f t="shared" si="23"/>
        <v>13</v>
      </c>
      <c r="G363" s="4" t="s">
        <v>14</v>
      </c>
      <c r="H363">
        <v>46.932699999999997</v>
      </c>
      <c r="I363">
        <v>6.4657600000000004</v>
      </c>
      <c r="J363" s="4" t="s">
        <v>44</v>
      </c>
      <c r="L363" s="4" t="s">
        <v>42</v>
      </c>
      <c r="M363" s="4" t="s">
        <v>118</v>
      </c>
      <c r="N363" s="4" t="s">
        <v>17</v>
      </c>
    </row>
    <row r="364" spans="1:15" x14ac:dyDescent="0.25">
      <c r="A364">
        <f t="shared" si="24"/>
        <v>115174</v>
      </c>
      <c r="B364" t="s">
        <v>166</v>
      </c>
      <c r="C364" s="3">
        <v>42542</v>
      </c>
      <c r="D364" s="13">
        <f t="shared" si="21"/>
        <v>2016</v>
      </c>
      <c r="E364" s="13">
        <f t="shared" si="22"/>
        <v>6</v>
      </c>
      <c r="F364" s="13">
        <f t="shared" si="23"/>
        <v>21</v>
      </c>
      <c r="G364" s="4" t="s">
        <v>14</v>
      </c>
      <c r="H364">
        <v>46.9392</v>
      </c>
      <c r="I364">
        <v>6.7453000000000003</v>
      </c>
      <c r="J364" s="4" t="s">
        <v>15</v>
      </c>
      <c r="L364" s="4" t="s">
        <v>42</v>
      </c>
      <c r="M364" s="4" t="s">
        <v>43</v>
      </c>
      <c r="N364" s="4" t="s">
        <v>16</v>
      </c>
      <c r="O364" s="4">
        <v>3</v>
      </c>
    </row>
    <row r="365" spans="1:15" x14ac:dyDescent="0.25">
      <c r="A365">
        <f t="shared" si="24"/>
        <v>115174</v>
      </c>
      <c r="B365" t="s">
        <v>166</v>
      </c>
      <c r="C365" s="3">
        <v>42566</v>
      </c>
      <c r="D365" s="13">
        <f t="shared" si="21"/>
        <v>2016</v>
      </c>
      <c r="E365" s="13">
        <f t="shared" si="22"/>
        <v>7</v>
      </c>
      <c r="F365" s="13">
        <f t="shared" si="23"/>
        <v>15</v>
      </c>
      <c r="G365" s="4" t="s">
        <v>14</v>
      </c>
      <c r="H365">
        <v>46.872676010463053</v>
      </c>
      <c r="I365">
        <v>6.6060980064924326</v>
      </c>
      <c r="J365" s="4" t="s">
        <v>44</v>
      </c>
      <c r="L365" s="4" t="s">
        <v>42</v>
      </c>
      <c r="M365" s="4" t="s">
        <v>43</v>
      </c>
      <c r="N365" s="4" t="s">
        <v>16</v>
      </c>
    </row>
    <row r="366" spans="1:15" x14ac:dyDescent="0.25">
      <c r="A366">
        <f t="shared" si="24"/>
        <v>115174</v>
      </c>
      <c r="B366" t="s">
        <v>166</v>
      </c>
      <c r="C366" s="3">
        <v>42598</v>
      </c>
      <c r="D366" s="13">
        <f t="shared" si="21"/>
        <v>2016</v>
      </c>
      <c r="E366" s="13">
        <f t="shared" si="22"/>
        <v>8</v>
      </c>
      <c r="F366" s="13">
        <f t="shared" si="23"/>
        <v>16</v>
      </c>
      <c r="G366" s="4" t="s">
        <v>14</v>
      </c>
      <c r="H366">
        <v>46.874052010465832</v>
      </c>
      <c r="I366">
        <v>6.5957790064805959</v>
      </c>
      <c r="J366" s="4" t="s">
        <v>44</v>
      </c>
      <c r="L366" s="4" t="s">
        <v>42</v>
      </c>
      <c r="M366" s="4" t="s">
        <v>43</v>
      </c>
      <c r="N366" s="4" t="s">
        <v>16</v>
      </c>
    </row>
    <row r="367" spans="1:15" x14ac:dyDescent="0.25">
      <c r="A367">
        <f t="shared" si="24"/>
        <v>115174</v>
      </c>
      <c r="B367" t="s">
        <v>166</v>
      </c>
      <c r="C367" s="3">
        <v>42629</v>
      </c>
      <c r="D367" s="13">
        <f t="shared" si="21"/>
        <v>2016</v>
      </c>
      <c r="E367" s="13">
        <f t="shared" si="22"/>
        <v>9</v>
      </c>
      <c r="F367" s="13">
        <f t="shared" si="23"/>
        <v>16</v>
      </c>
      <c r="G367" s="4" t="s">
        <v>14</v>
      </c>
      <c r="H367">
        <v>46.870824010451557</v>
      </c>
      <c r="I367">
        <v>6.6566300065493023</v>
      </c>
      <c r="J367" s="4" t="s">
        <v>44</v>
      </c>
      <c r="L367" s="4" t="s">
        <v>42</v>
      </c>
      <c r="M367" s="4" t="s">
        <v>43</v>
      </c>
      <c r="N367" s="4" t="s">
        <v>16</v>
      </c>
    </row>
    <row r="368" spans="1:15" x14ac:dyDescent="0.25">
      <c r="A368">
        <f t="shared" si="24"/>
        <v>115174</v>
      </c>
      <c r="B368" t="s">
        <v>166</v>
      </c>
      <c r="C368" s="3">
        <v>42657</v>
      </c>
      <c r="D368" s="13">
        <f t="shared" si="21"/>
        <v>2016</v>
      </c>
      <c r="E368" s="13">
        <f t="shared" si="22"/>
        <v>10</v>
      </c>
      <c r="F368" s="13">
        <f t="shared" si="23"/>
        <v>14</v>
      </c>
      <c r="G368" s="4" t="s">
        <v>14</v>
      </c>
      <c r="H368">
        <v>46.874728010451982</v>
      </c>
      <c r="I368">
        <v>6.6622390065547421</v>
      </c>
      <c r="J368" s="4" t="s">
        <v>44</v>
      </c>
      <c r="L368" s="4" t="s">
        <v>42</v>
      </c>
      <c r="M368" s="4" t="s">
        <v>43</v>
      </c>
      <c r="N368" s="4" t="s">
        <v>16</v>
      </c>
    </row>
    <row r="369" spans="1:15" x14ac:dyDescent="0.25">
      <c r="A369">
        <f t="shared" si="24"/>
        <v>115174</v>
      </c>
      <c r="B369" t="s">
        <v>166</v>
      </c>
      <c r="C369" s="3">
        <v>42680</v>
      </c>
      <c r="D369" s="13">
        <f t="shared" si="21"/>
        <v>2016</v>
      </c>
      <c r="E369" s="13">
        <f t="shared" si="22"/>
        <v>11</v>
      </c>
      <c r="F369" s="13">
        <f t="shared" si="23"/>
        <v>6</v>
      </c>
      <c r="G369" s="4" t="s">
        <v>14</v>
      </c>
      <c r="H369">
        <v>46.87560001045145</v>
      </c>
      <c r="I369">
        <v>6.6663230065591126</v>
      </c>
      <c r="J369" s="4" t="s">
        <v>44</v>
      </c>
      <c r="L369" s="4" t="s">
        <v>42</v>
      </c>
      <c r="M369" s="4" t="s">
        <v>43</v>
      </c>
      <c r="N369" s="4" t="s">
        <v>17</v>
      </c>
    </row>
    <row r="370" spans="1:15" x14ac:dyDescent="0.25">
      <c r="A370">
        <f t="shared" si="24"/>
        <v>115175</v>
      </c>
      <c r="B370" t="s">
        <v>167</v>
      </c>
      <c r="C370" s="3">
        <v>42544</v>
      </c>
      <c r="D370" s="13">
        <f t="shared" si="21"/>
        <v>2016</v>
      </c>
      <c r="E370" s="13">
        <f t="shared" si="22"/>
        <v>6</v>
      </c>
      <c r="F370" s="13">
        <f t="shared" si="23"/>
        <v>23</v>
      </c>
      <c r="G370" s="4" t="s">
        <v>14</v>
      </c>
      <c r="H370">
        <v>46.925600000000003</v>
      </c>
      <c r="I370">
        <v>6.4905999999999997</v>
      </c>
      <c r="J370" s="4" t="s">
        <v>15</v>
      </c>
      <c r="L370" s="4" t="s">
        <v>42</v>
      </c>
      <c r="M370" s="4" t="s">
        <v>118</v>
      </c>
      <c r="N370" s="4" t="s">
        <v>16</v>
      </c>
      <c r="O370" s="4">
        <v>5</v>
      </c>
    </row>
    <row r="371" spans="1:15" x14ac:dyDescent="0.25">
      <c r="A371">
        <f t="shared" si="24"/>
        <v>115175</v>
      </c>
      <c r="B371" t="s">
        <v>167</v>
      </c>
      <c r="C371" s="3">
        <v>42566</v>
      </c>
      <c r="D371" s="13">
        <f t="shared" si="21"/>
        <v>2016</v>
      </c>
      <c r="E371" s="13">
        <f t="shared" si="22"/>
        <v>7</v>
      </c>
      <c r="F371" s="13">
        <f t="shared" si="23"/>
        <v>15</v>
      </c>
      <c r="G371" s="4" t="s">
        <v>14</v>
      </c>
      <c r="H371">
        <v>46.923000000000002</v>
      </c>
      <c r="I371">
        <v>6.5042999999999997</v>
      </c>
      <c r="J371" s="4" t="s">
        <v>44</v>
      </c>
      <c r="L371" s="4" t="s">
        <v>42</v>
      </c>
      <c r="M371" s="4" t="s">
        <v>118</v>
      </c>
      <c r="N371" s="4" t="s">
        <v>16</v>
      </c>
    </row>
    <row r="372" spans="1:15" x14ac:dyDescent="0.25">
      <c r="A372">
        <f t="shared" si="24"/>
        <v>115175</v>
      </c>
      <c r="B372" t="s">
        <v>167</v>
      </c>
      <c r="C372" s="3">
        <v>42596</v>
      </c>
      <c r="D372" s="13">
        <f t="shared" si="21"/>
        <v>2016</v>
      </c>
      <c r="E372" s="13">
        <f t="shared" si="22"/>
        <v>8</v>
      </c>
      <c r="F372" s="13">
        <f t="shared" si="23"/>
        <v>14</v>
      </c>
      <c r="G372" s="4" t="s">
        <v>14</v>
      </c>
      <c r="H372">
        <v>46.9283</v>
      </c>
      <c r="I372">
        <v>6.4943999999999997</v>
      </c>
      <c r="J372" s="4" t="s">
        <v>44</v>
      </c>
      <c r="L372" s="4" t="s">
        <v>42</v>
      </c>
      <c r="M372" s="4" t="s">
        <v>118</v>
      </c>
      <c r="N372" s="4" t="s">
        <v>16</v>
      </c>
    </row>
    <row r="373" spans="1:15" x14ac:dyDescent="0.25">
      <c r="A373">
        <f t="shared" si="24"/>
        <v>115175</v>
      </c>
      <c r="B373" t="s">
        <v>167</v>
      </c>
      <c r="C373" s="3">
        <v>42626</v>
      </c>
      <c r="D373" s="13">
        <f t="shared" si="21"/>
        <v>2016</v>
      </c>
      <c r="E373" s="13">
        <f t="shared" si="22"/>
        <v>9</v>
      </c>
      <c r="F373" s="13">
        <f t="shared" si="23"/>
        <v>13</v>
      </c>
      <c r="G373" s="4" t="s">
        <v>14</v>
      </c>
      <c r="H373">
        <v>46.926400000000001</v>
      </c>
      <c r="I373">
        <v>6.49864</v>
      </c>
      <c r="J373" s="4" t="s">
        <v>44</v>
      </c>
      <c r="L373" s="4" t="s">
        <v>42</v>
      </c>
      <c r="M373" s="4" t="s">
        <v>118</v>
      </c>
      <c r="N373" s="4" t="s">
        <v>16</v>
      </c>
    </row>
    <row r="374" spans="1:15" x14ac:dyDescent="0.25">
      <c r="A374">
        <f t="shared" si="24"/>
        <v>115175</v>
      </c>
      <c r="B374" t="s">
        <v>167</v>
      </c>
      <c r="C374" s="3">
        <v>42671</v>
      </c>
      <c r="D374" s="13">
        <f t="shared" si="21"/>
        <v>2016</v>
      </c>
      <c r="E374" s="13">
        <f t="shared" si="22"/>
        <v>10</v>
      </c>
      <c r="F374" s="13">
        <f t="shared" si="23"/>
        <v>28</v>
      </c>
      <c r="G374" s="4" t="s">
        <v>14</v>
      </c>
      <c r="H374">
        <v>46.917169999999999</v>
      </c>
      <c r="I374">
        <v>6.4844099999999996</v>
      </c>
      <c r="J374" s="4" t="s">
        <v>44</v>
      </c>
      <c r="L374" s="4" t="s">
        <v>42</v>
      </c>
      <c r="M374" s="4" t="s">
        <v>118</v>
      </c>
      <c r="N374" s="4" t="s">
        <v>16</v>
      </c>
    </row>
    <row r="375" spans="1:15" x14ac:dyDescent="0.25">
      <c r="A375">
        <f t="shared" si="24"/>
        <v>115175</v>
      </c>
      <c r="B375" t="s">
        <v>167</v>
      </c>
      <c r="C375" s="3">
        <v>42686</v>
      </c>
      <c r="D375" s="13">
        <f t="shared" si="21"/>
        <v>2016</v>
      </c>
      <c r="E375" s="13">
        <f t="shared" si="22"/>
        <v>11</v>
      </c>
      <c r="F375" s="13">
        <f t="shared" si="23"/>
        <v>12</v>
      </c>
      <c r="G375" s="4" t="s">
        <v>48</v>
      </c>
      <c r="H375">
        <v>43.306199999999997</v>
      </c>
      <c r="I375">
        <v>-2.7637800000000001</v>
      </c>
      <c r="J375" s="4" t="s">
        <v>44</v>
      </c>
      <c r="L375" s="4" t="s">
        <v>42</v>
      </c>
      <c r="M375" s="4" t="s">
        <v>118</v>
      </c>
      <c r="N375" s="4" t="s">
        <v>16</v>
      </c>
    </row>
    <row r="376" spans="1:15" x14ac:dyDescent="0.25">
      <c r="A376">
        <f t="shared" si="24"/>
        <v>115175</v>
      </c>
      <c r="B376" t="s">
        <v>167</v>
      </c>
      <c r="C376" s="3">
        <v>42719</v>
      </c>
      <c r="D376" s="13">
        <f t="shared" si="21"/>
        <v>2016</v>
      </c>
      <c r="E376" s="13">
        <f t="shared" si="22"/>
        <v>12</v>
      </c>
      <c r="F376" s="13">
        <f t="shared" si="23"/>
        <v>15</v>
      </c>
      <c r="G376" s="4" t="s">
        <v>48</v>
      </c>
      <c r="H376">
        <v>40.202669999999998</v>
      </c>
      <c r="I376">
        <v>-6.2173999999999996</v>
      </c>
      <c r="J376" s="4" t="s">
        <v>44</v>
      </c>
      <c r="L376" s="4" t="s">
        <v>42</v>
      </c>
      <c r="M376" s="4" t="s">
        <v>118</v>
      </c>
      <c r="N376" s="4" t="s">
        <v>16</v>
      </c>
    </row>
    <row r="377" spans="1:15" x14ac:dyDescent="0.25">
      <c r="A377">
        <f t="shared" si="24"/>
        <v>115175</v>
      </c>
      <c r="B377" t="s">
        <v>167</v>
      </c>
      <c r="C377" s="3">
        <v>42750</v>
      </c>
      <c r="D377" s="13">
        <f t="shared" si="21"/>
        <v>2017</v>
      </c>
      <c r="E377" s="13">
        <f t="shared" si="22"/>
        <v>1</v>
      </c>
      <c r="F377" s="13">
        <f t="shared" si="23"/>
        <v>15</v>
      </c>
      <c r="G377" s="4" t="s">
        <v>48</v>
      </c>
      <c r="H377">
        <v>40.226500000000001</v>
      </c>
      <c r="I377">
        <v>-6.2478100000000003</v>
      </c>
      <c r="J377" s="4" t="s">
        <v>44</v>
      </c>
      <c r="L377" s="4" t="s">
        <v>42</v>
      </c>
      <c r="M377" s="4" t="s">
        <v>118</v>
      </c>
      <c r="N377" s="4" t="s">
        <v>16</v>
      </c>
    </row>
    <row r="378" spans="1:15" x14ac:dyDescent="0.25">
      <c r="A378">
        <f t="shared" si="24"/>
        <v>115175</v>
      </c>
      <c r="B378" t="s">
        <v>167</v>
      </c>
      <c r="C378" s="3">
        <v>42782</v>
      </c>
      <c r="D378" s="13">
        <f t="shared" si="21"/>
        <v>2017</v>
      </c>
      <c r="E378" s="13">
        <f t="shared" si="22"/>
        <v>2</v>
      </c>
      <c r="F378" s="13">
        <f t="shared" si="23"/>
        <v>16</v>
      </c>
      <c r="G378" s="4" t="s">
        <v>48</v>
      </c>
      <c r="H378">
        <v>40.209130000000002</v>
      </c>
      <c r="I378">
        <v>-6.2300700000000004</v>
      </c>
      <c r="J378" s="4" t="s">
        <v>44</v>
      </c>
      <c r="L378" s="4" t="s">
        <v>42</v>
      </c>
      <c r="M378" s="4" t="s">
        <v>118</v>
      </c>
      <c r="N378" s="4" t="s">
        <v>16</v>
      </c>
    </row>
    <row r="379" spans="1:15" x14ac:dyDescent="0.25">
      <c r="A379">
        <f t="shared" si="24"/>
        <v>115175</v>
      </c>
      <c r="B379" t="s">
        <v>167</v>
      </c>
      <c r="C379" s="3">
        <v>42931</v>
      </c>
      <c r="D379" s="13">
        <f t="shared" si="21"/>
        <v>2017</v>
      </c>
      <c r="E379" s="13">
        <f t="shared" si="22"/>
        <v>7</v>
      </c>
      <c r="F379" s="13">
        <f t="shared" si="23"/>
        <v>15</v>
      </c>
      <c r="G379" s="4" t="s">
        <v>14</v>
      </c>
      <c r="H379">
        <v>46.921720000000001</v>
      </c>
      <c r="I379">
        <v>6.48665</v>
      </c>
      <c r="J379" s="4" t="s">
        <v>44</v>
      </c>
      <c r="L379" s="4" t="s">
        <v>42</v>
      </c>
      <c r="M379" s="4" t="s">
        <v>118</v>
      </c>
      <c r="N379" s="4" t="s">
        <v>16</v>
      </c>
    </row>
    <row r="380" spans="1:15" x14ac:dyDescent="0.25">
      <c r="A380">
        <f t="shared" si="24"/>
        <v>115175</v>
      </c>
      <c r="B380" t="s">
        <v>167</v>
      </c>
      <c r="C380" s="3">
        <v>42962</v>
      </c>
      <c r="D380" s="13">
        <f t="shared" si="21"/>
        <v>2017</v>
      </c>
      <c r="E380" s="13">
        <f t="shared" si="22"/>
        <v>8</v>
      </c>
      <c r="F380" s="13">
        <f t="shared" si="23"/>
        <v>15</v>
      </c>
      <c r="G380" s="4" t="s">
        <v>14</v>
      </c>
      <c r="H380">
        <v>46.926130000000001</v>
      </c>
      <c r="I380">
        <v>6.49</v>
      </c>
      <c r="J380" s="4" t="s">
        <v>44</v>
      </c>
      <c r="L380" s="4" t="s">
        <v>42</v>
      </c>
      <c r="M380" s="4" t="s">
        <v>118</v>
      </c>
      <c r="N380" s="4" t="s">
        <v>16</v>
      </c>
    </row>
    <row r="381" spans="1:15" x14ac:dyDescent="0.25">
      <c r="A381">
        <f t="shared" si="24"/>
        <v>115175</v>
      </c>
      <c r="B381" t="s">
        <v>167</v>
      </c>
      <c r="C381" s="3">
        <v>42995</v>
      </c>
      <c r="D381" s="13">
        <f t="shared" si="21"/>
        <v>2017</v>
      </c>
      <c r="E381" s="13">
        <f t="shared" si="22"/>
        <v>9</v>
      </c>
      <c r="F381" s="13">
        <f t="shared" si="23"/>
        <v>17</v>
      </c>
      <c r="G381" s="4" t="s">
        <v>14</v>
      </c>
      <c r="H381">
        <v>46.917310000000001</v>
      </c>
      <c r="I381">
        <v>6.4540699999999998</v>
      </c>
      <c r="J381" s="4" t="s">
        <v>44</v>
      </c>
      <c r="L381" s="4" t="s">
        <v>42</v>
      </c>
      <c r="M381" s="4" t="s">
        <v>118</v>
      </c>
      <c r="N381" s="4" t="s">
        <v>16</v>
      </c>
    </row>
    <row r="382" spans="1:15" x14ac:dyDescent="0.25">
      <c r="A382">
        <f t="shared" si="24"/>
        <v>115175</v>
      </c>
      <c r="B382" t="s">
        <v>167</v>
      </c>
      <c r="C382" s="3">
        <v>43023</v>
      </c>
      <c r="D382" s="13">
        <f t="shared" si="21"/>
        <v>2017</v>
      </c>
      <c r="E382" s="13">
        <f t="shared" si="22"/>
        <v>10</v>
      </c>
      <c r="F382" s="13">
        <f t="shared" si="23"/>
        <v>15</v>
      </c>
      <c r="G382" s="4" t="s">
        <v>14</v>
      </c>
      <c r="H382">
        <v>46.875360000000001</v>
      </c>
      <c r="I382">
        <v>6.46096</v>
      </c>
      <c r="J382" s="4" t="s">
        <v>44</v>
      </c>
      <c r="L382" s="4" t="s">
        <v>42</v>
      </c>
      <c r="M382" s="4" t="s">
        <v>118</v>
      </c>
      <c r="N382" s="4" t="s">
        <v>16</v>
      </c>
    </row>
    <row r="383" spans="1:15" x14ac:dyDescent="0.25">
      <c r="A383">
        <f t="shared" si="24"/>
        <v>115175</v>
      </c>
      <c r="B383" t="s">
        <v>167</v>
      </c>
      <c r="C383" s="3">
        <v>43054</v>
      </c>
      <c r="D383" s="13">
        <f t="shared" si="21"/>
        <v>2017</v>
      </c>
      <c r="E383" s="13">
        <f t="shared" si="22"/>
        <v>11</v>
      </c>
      <c r="F383" s="13">
        <f t="shared" si="23"/>
        <v>15</v>
      </c>
      <c r="G383" s="4" t="s">
        <v>48</v>
      </c>
      <c r="H383">
        <v>40.199339999999999</v>
      </c>
      <c r="I383">
        <v>-6.2056800000000001</v>
      </c>
      <c r="J383" s="4" t="s">
        <v>44</v>
      </c>
      <c r="L383" s="4" t="s">
        <v>42</v>
      </c>
      <c r="M383" s="4" t="s">
        <v>118</v>
      </c>
      <c r="N383" s="4" t="s">
        <v>16</v>
      </c>
    </row>
    <row r="384" spans="1:15" x14ac:dyDescent="0.25">
      <c r="A384">
        <f t="shared" si="24"/>
        <v>115175</v>
      </c>
      <c r="B384" t="s">
        <v>167</v>
      </c>
      <c r="C384" s="3">
        <v>43085</v>
      </c>
      <c r="D384" s="13">
        <f t="shared" si="21"/>
        <v>2017</v>
      </c>
      <c r="E384" s="13">
        <f t="shared" si="22"/>
        <v>12</v>
      </c>
      <c r="F384" s="13">
        <f t="shared" si="23"/>
        <v>16</v>
      </c>
      <c r="G384" s="4" t="s">
        <v>48</v>
      </c>
      <c r="H384">
        <v>40.203560000000003</v>
      </c>
      <c r="I384">
        <v>-6.2355099999999997</v>
      </c>
      <c r="J384" s="4" t="s">
        <v>44</v>
      </c>
      <c r="L384" s="4" t="s">
        <v>42</v>
      </c>
      <c r="M384" s="4" t="s">
        <v>118</v>
      </c>
      <c r="N384" s="4" t="s">
        <v>16</v>
      </c>
    </row>
    <row r="385" spans="1:15" x14ac:dyDescent="0.25">
      <c r="A385">
        <f t="shared" si="24"/>
        <v>115175</v>
      </c>
      <c r="B385" t="s">
        <v>167</v>
      </c>
      <c r="C385" s="3">
        <v>43114</v>
      </c>
      <c r="D385" s="13">
        <f t="shared" si="21"/>
        <v>2018</v>
      </c>
      <c r="E385" s="13">
        <f t="shared" si="22"/>
        <v>1</v>
      </c>
      <c r="F385" s="13">
        <f t="shared" si="23"/>
        <v>14</v>
      </c>
      <c r="G385" s="4" t="s">
        <v>48</v>
      </c>
      <c r="H385">
        <v>40.243319999999997</v>
      </c>
      <c r="I385">
        <v>-6.25542</v>
      </c>
      <c r="J385" s="4" t="s">
        <v>44</v>
      </c>
      <c r="L385" s="4" t="s">
        <v>42</v>
      </c>
      <c r="M385" s="4" t="s">
        <v>118</v>
      </c>
      <c r="N385" s="4" t="s">
        <v>16</v>
      </c>
    </row>
    <row r="386" spans="1:15" x14ac:dyDescent="0.25">
      <c r="A386">
        <f t="shared" si="24"/>
        <v>115175</v>
      </c>
      <c r="B386" t="s">
        <v>167</v>
      </c>
      <c r="C386" s="3">
        <v>43146</v>
      </c>
      <c r="D386" s="13">
        <f t="shared" si="21"/>
        <v>2018</v>
      </c>
      <c r="E386" s="13">
        <f t="shared" si="22"/>
        <v>2</v>
      </c>
      <c r="F386" s="13">
        <f t="shared" si="23"/>
        <v>15</v>
      </c>
      <c r="G386" s="4" t="s">
        <v>48</v>
      </c>
      <c r="H386">
        <v>40.209220000000002</v>
      </c>
      <c r="I386">
        <v>-6.2471800000000002</v>
      </c>
      <c r="J386" s="4" t="s">
        <v>44</v>
      </c>
      <c r="L386" s="4" t="s">
        <v>42</v>
      </c>
      <c r="M386" s="4" t="s">
        <v>118</v>
      </c>
      <c r="N386" s="4" t="s">
        <v>16</v>
      </c>
    </row>
    <row r="387" spans="1:15" x14ac:dyDescent="0.25">
      <c r="A387">
        <f t="shared" si="24"/>
        <v>115175</v>
      </c>
      <c r="B387" t="s">
        <v>167</v>
      </c>
      <c r="C387" s="3">
        <v>43298</v>
      </c>
      <c r="D387" s="13">
        <f t="shared" ref="D387:D450" si="25">YEAR(C387)</f>
        <v>2018</v>
      </c>
      <c r="E387" s="13">
        <f t="shared" ref="E387:E450" si="26">MONTH(C387)</f>
        <v>7</v>
      </c>
      <c r="F387" s="13">
        <f t="shared" ref="F387:F450" si="27">DAY(C387)</f>
        <v>17</v>
      </c>
      <c r="G387" s="4" t="s">
        <v>14</v>
      </c>
      <c r="H387">
        <v>46.909309999999998</v>
      </c>
      <c r="I387">
        <v>6.4486299999999996</v>
      </c>
      <c r="J387" s="4" t="s">
        <v>44</v>
      </c>
      <c r="L387" s="4" t="s">
        <v>42</v>
      </c>
      <c r="M387" s="4" t="s">
        <v>118</v>
      </c>
      <c r="N387" s="4" t="s">
        <v>16</v>
      </c>
    </row>
    <row r="388" spans="1:15" x14ac:dyDescent="0.25">
      <c r="A388">
        <f t="shared" si="24"/>
        <v>115175</v>
      </c>
      <c r="B388" t="s">
        <v>167</v>
      </c>
      <c r="C388" s="3">
        <v>43309</v>
      </c>
      <c r="D388" s="13">
        <f t="shared" si="25"/>
        <v>2018</v>
      </c>
      <c r="E388" s="13">
        <f t="shared" si="26"/>
        <v>7</v>
      </c>
      <c r="F388" s="13">
        <f t="shared" si="27"/>
        <v>28</v>
      </c>
      <c r="G388" s="4" t="s">
        <v>14</v>
      </c>
      <c r="H388">
        <v>46.924399999999999</v>
      </c>
      <c r="I388">
        <v>6.3958500000000003</v>
      </c>
      <c r="J388" s="4" t="s">
        <v>44</v>
      </c>
      <c r="L388" s="4" t="s">
        <v>42</v>
      </c>
      <c r="M388" s="4" t="s">
        <v>118</v>
      </c>
      <c r="N388" s="4" t="s">
        <v>17</v>
      </c>
    </row>
    <row r="389" spans="1:15" x14ac:dyDescent="0.25">
      <c r="A389">
        <f t="shared" si="24"/>
        <v>115176</v>
      </c>
      <c r="B389" t="s">
        <v>168</v>
      </c>
      <c r="C389" s="3">
        <v>42548</v>
      </c>
      <c r="D389" s="13">
        <f t="shared" si="25"/>
        <v>2016</v>
      </c>
      <c r="E389" s="13">
        <f t="shared" si="26"/>
        <v>6</v>
      </c>
      <c r="F389" s="13">
        <f t="shared" si="27"/>
        <v>27</v>
      </c>
      <c r="G389" s="4" t="s">
        <v>14</v>
      </c>
      <c r="H389">
        <v>46.946899999999999</v>
      </c>
      <c r="I389">
        <v>6.5769000000000002</v>
      </c>
      <c r="J389" s="4" t="s">
        <v>15</v>
      </c>
      <c r="L389" s="4" t="s">
        <v>42</v>
      </c>
      <c r="M389" s="4" t="s">
        <v>118</v>
      </c>
      <c r="N389" s="4" t="s">
        <v>16</v>
      </c>
      <c r="O389" s="4">
        <v>5</v>
      </c>
    </row>
    <row r="390" spans="1:15" x14ac:dyDescent="0.25">
      <c r="A390">
        <f t="shared" si="24"/>
        <v>115176</v>
      </c>
      <c r="B390" t="s">
        <v>168</v>
      </c>
      <c r="C390" s="3">
        <v>42566</v>
      </c>
      <c r="D390" s="13">
        <f t="shared" si="25"/>
        <v>2016</v>
      </c>
      <c r="E390" s="13">
        <f t="shared" si="26"/>
        <v>7</v>
      </c>
      <c r="F390" s="13">
        <f t="shared" si="27"/>
        <v>15</v>
      </c>
      <c r="G390" s="4" t="s">
        <v>14</v>
      </c>
      <c r="H390">
        <v>46.943600000000004</v>
      </c>
      <c r="I390">
        <v>6.5518000000000001</v>
      </c>
      <c r="J390" s="4" t="s">
        <v>44</v>
      </c>
      <c r="L390" s="4" t="s">
        <v>42</v>
      </c>
      <c r="M390" s="4" t="s">
        <v>118</v>
      </c>
      <c r="N390" s="4" t="s">
        <v>16</v>
      </c>
    </row>
    <row r="391" spans="1:15" x14ac:dyDescent="0.25">
      <c r="A391">
        <f t="shared" si="24"/>
        <v>115176</v>
      </c>
      <c r="B391" t="s">
        <v>168</v>
      </c>
      <c r="C391" s="3">
        <v>42597</v>
      </c>
      <c r="D391" s="13">
        <f t="shared" si="25"/>
        <v>2016</v>
      </c>
      <c r="E391" s="13">
        <f t="shared" si="26"/>
        <v>8</v>
      </c>
      <c r="F391" s="13">
        <f t="shared" si="27"/>
        <v>15</v>
      </c>
      <c r="G391" s="4" t="s">
        <v>14</v>
      </c>
      <c r="H391">
        <v>46.943199999999997</v>
      </c>
      <c r="I391">
        <v>6.5566000000000004</v>
      </c>
      <c r="J391" s="4" t="s">
        <v>44</v>
      </c>
      <c r="L391" s="4" t="s">
        <v>42</v>
      </c>
      <c r="M391" s="4" t="s">
        <v>118</v>
      </c>
      <c r="N391" s="4" t="s">
        <v>16</v>
      </c>
    </row>
    <row r="392" spans="1:15" x14ac:dyDescent="0.25">
      <c r="A392">
        <f t="shared" si="24"/>
        <v>115176</v>
      </c>
      <c r="B392" t="s">
        <v>168</v>
      </c>
      <c r="C392" s="3">
        <v>42628</v>
      </c>
      <c r="D392" s="13">
        <f t="shared" si="25"/>
        <v>2016</v>
      </c>
      <c r="E392" s="13">
        <f t="shared" si="26"/>
        <v>9</v>
      </c>
      <c r="F392" s="13">
        <f t="shared" si="27"/>
        <v>15</v>
      </c>
      <c r="G392" s="4" t="s">
        <v>14</v>
      </c>
      <c r="H392">
        <v>46.952629999999999</v>
      </c>
      <c r="I392">
        <v>6.5806300000000002</v>
      </c>
      <c r="J392" s="4" t="s">
        <v>44</v>
      </c>
      <c r="L392" s="4" t="s">
        <v>42</v>
      </c>
      <c r="M392" s="4" t="s">
        <v>118</v>
      </c>
      <c r="N392" s="4" t="s">
        <v>16</v>
      </c>
    </row>
    <row r="393" spans="1:15" x14ac:dyDescent="0.25">
      <c r="A393">
        <f t="shared" si="24"/>
        <v>115176</v>
      </c>
      <c r="B393" t="s">
        <v>168</v>
      </c>
      <c r="C393" s="3">
        <v>42657</v>
      </c>
      <c r="D393" s="13">
        <f t="shared" si="25"/>
        <v>2016</v>
      </c>
      <c r="E393" s="13">
        <f t="shared" si="26"/>
        <v>10</v>
      </c>
      <c r="F393" s="13">
        <f t="shared" si="27"/>
        <v>14</v>
      </c>
      <c r="G393" s="4" t="s">
        <v>14</v>
      </c>
      <c r="H393">
        <v>46.955399999999997</v>
      </c>
      <c r="I393">
        <v>6.5808499999999999</v>
      </c>
      <c r="J393" s="4" t="s">
        <v>44</v>
      </c>
      <c r="L393" s="4" t="s">
        <v>42</v>
      </c>
      <c r="M393" s="4" t="s">
        <v>118</v>
      </c>
      <c r="N393" s="4" t="s">
        <v>17</v>
      </c>
    </row>
    <row r="394" spans="1:15" x14ac:dyDescent="0.25">
      <c r="A394">
        <f t="shared" si="24"/>
        <v>115177</v>
      </c>
      <c r="B394" t="s">
        <v>169</v>
      </c>
      <c r="C394" s="3">
        <v>42548</v>
      </c>
      <c r="D394" s="13">
        <f t="shared" si="25"/>
        <v>2016</v>
      </c>
      <c r="E394" s="13">
        <f t="shared" si="26"/>
        <v>6</v>
      </c>
      <c r="F394" s="13">
        <f t="shared" si="27"/>
        <v>27</v>
      </c>
      <c r="G394" s="4" t="s">
        <v>14</v>
      </c>
      <c r="H394">
        <v>46.946899999999999</v>
      </c>
      <c r="I394">
        <v>6.5769000000000002</v>
      </c>
      <c r="J394" s="4" t="s">
        <v>15</v>
      </c>
      <c r="L394" s="4" t="s">
        <v>42</v>
      </c>
      <c r="M394" s="4" t="s">
        <v>43</v>
      </c>
      <c r="N394" s="4" t="s">
        <v>16</v>
      </c>
      <c r="O394" s="4">
        <v>5</v>
      </c>
    </row>
    <row r="395" spans="1:15" x14ac:dyDescent="0.25">
      <c r="A395">
        <f t="shared" si="24"/>
        <v>115177</v>
      </c>
      <c r="B395" t="s">
        <v>169</v>
      </c>
      <c r="C395" s="3">
        <v>42558</v>
      </c>
      <c r="D395" s="13">
        <f t="shared" si="25"/>
        <v>2016</v>
      </c>
      <c r="E395" s="13">
        <f t="shared" si="26"/>
        <v>7</v>
      </c>
      <c r="F395" s="13">
        <f t="shared" si="27"/>
        <v>7</v>
      </c>
      <c r="G395" s="4" t="s">
        <v>14</v>
      </c>
      <c r="H395">
        <v>46.943108010503167</v>
      </c>
      <c r="I395">
        <v>6.5530760064183493</v>
      </c>
      <c r="J395" s="4" t="s">
        <v>44</v>
      </c>
      <c r="L395" s="4" t="s">
        <v>42</v>
      </c>
      <c r="M395" s="4" t="s">
        <v>43</v>
      </c>
      <c r="N395" s="4" t="s">
        <v>16</v>
      </c>
    </row>
    <row r="396" spans="1:15" x14ac:dyDescent="0.25">
      <c r="A396">
        <f t="shared" si="24"/>
        <v>115177</v>
      </c>
      <c r="B396" t="s">
        <v>169</v>
      </c>
      <c r="C396" s="3">
        <v>42597</v>
      </c>
      <c r="D396" s="13">
        <f t="shared" si="25"/>
        <v>2016</v>
      </c>
      <c r="E396" s="13">
        <f t="shared" si="26"/>
        <v>8</v>
      </c>
      <c r="F396" s="13">
        <f t="shared" si="27"/>
        <v>15</v>
      </c>
      <c r="G396" s="4" t="s">
        <v>14</v>
      </c>
      <c r="H396">
        <v>46.95936801049902</v>
      </c>
      <c r="I396">
        <v>6.6038960064717136</v>
      </c>
      <c r="J396" s="4" t="s">
        <v>44</v>
      </c>
      <c r="L396" s="4" t="s">
        <v>42</v>
      </c>
      <c r="M396" s="4" t="s">
        <v>43</v>
      </c>
      <c r="N396" s="4" t="s">
        <v>16</v>
      </c>
    </row>
    <row r="397" spans="1:15" x14ac:dyDescent="0.25">
      <c r="A397">
        <f t="shared" si="24"/>
        <v>115177</v>
      </c>
      <c r="B397" t="s">
        <v>169</v>
      </c>
      <c r="C397" s="3">
        <v>42628</v>
      </c>
      <c r="D397" s="13">
        <f t="shared" si="25"/>
        <v>2016</v>
      </c>
      <c r="E397" s="13">
        <f t="shared" si="26"/>
        <v>9</v>
      </c>
      <c r="F397" s="13">
        <f t="shared" si="27"/>
        <v>15</v>
      </c>
      <c r="G397" s="4" t="s">
        <v>14</v>
      </c>
      <c r="H397">
        <v>46.957124010500223</v>
      </c>
      <c r="I397">
        <v>6.5937520064608686</v>
      </c>
      <c r="J397" s="4" t="s">
        <v>44</v>
      </c>
      <c r="L397" s="4" t="s">
        <v>42</v>
      </c>
      <c r="M397" s="4" t="s">
        <v>43</v>
      </c>
      <c r="N397" s="4" t="s">
        <v>16</v>
      </c>
    </row>
    <row r="398" spans="1:15" x14ac:dyDescent="0.25">
      <c r="A398">
        <f t="shared" si="24"/>
        <v>115177</v>
      </c>
      <c r="B398" t="s">
        <v>169</v>
      </c>
      <c r="C398" s="3">
        <v>42657</v>
      </c>
      <c r="D398" s="13">
        <f t="shared" si="25"/>
        <v>2016</v>
      </c>
      <c r="E398" s="13">
        <f t="shared" si="26"/>
        <v>10</v>
      </c>
      <c r="F398" s="13">
        <f t="shared" si="27"/>
        <v>14</v>
      </c>
      <c r="G398" s="4" t="s">
        <v>14</v>
      </c>
      <c r="H398">
        <v>46.954044010501157</v>
      </c>
      <c r="I398">
        <v>6.5835170064500872</v>
      </c>
      <c r="J398" s="4" t="s">
        <v>44</v>
      </c>
      <c r="L398" s="4" t="s">
        <v>42</v>
      </c>
      <c r="M398" s="4" t="s">
        <v>43</v>
      </c>
      <c r="N398" s="4" t="s">
        <v>16</v>
      </c>
    </row>
    <row r="399" spans="1:15" x14ac:dyDescent="0.25">
      <c r="A399">
        <f t="shared" si="24"/>
        <v>115177</v>
      </c>
      <c r="B399" t="s">
        <v>169</v>
      </c>
      <c r="C399" s="3">
        <v>42664</v>
      </c>
      <c r="D399" s="13">
        <f t="shared" si="25"/>
        <v>2016</v>
      </c>
      <c r="E399" s="13">
        <f t="shared" si="26"/>
        <v>10</v>
      </c>
      <c r="F399" s="13">
        <f t="shared" si="27"/>
        <v>21</v>
      </c>
      <c r="G399" s="4" t="s">
        <v>14</v>
      </c>
      <c r="H399">
        <v>46.954032010501159</v>
      </c>
      <c r="I399">
        <v>6.5835420064501227</v>
      </c>
      <c r="J399" s="4" t="s">
        <v>44</v>
      </c>
      <c r="L399" s="4" t="s">
        <v>42</v>
      </c>
      <c r="M399" s="4" t="s">
        <v>43</v>
      </c>
      <c r="N399" s="4" t="s">
        <v>16</v>
      </c>
    </row>
    <row r="400" spans="1:15" x14ac:dyDescent="0.25">
      <c r="A400">
        <f t="shared" ref="A400:A463" si="28">RIGHT(B400,6)*1</f>
        <v>115177</v>
      </c>
      <c r="B400" t="s">
        <v>169</v>
      </c>
      <c r="C400" s="3">
        <v>42824</v>
      </c>
      <c r="D400" s="13">
        <f t="shared" si="25"/>
        <v>2017</v>
      </c>
      <c r="E400" s="13">
        <f t="shared" si="26"/>
        <v>3</v>
      </c>
      <c r="F400" s="13">
        <f t="shared" si="27"/>
        <v>30</v>
      </c>
      <c r="G400" s="4" t="s">
        <v>20</v>
      </c>
      <c r="H400">
        <v>47.052368010543951</v>
      </c>
      <c r="I400">
        <v>6.5660720064097351</v>
      </c>
      <c r="J400" s="4" t="s">
        <v>44</v>
      </c>
      <c r="L400" s="4" t="s">
        <v>42</v>
      </c>
      <c r="M400" s="4" t="s">
        <v>43</v>
      </c>
      <c r="N400" s="4" t="s">
        <v>16</v>
      </c>
    </row>
    <row r="401" spans="1:15" x14ac:dyDescent="0.25">
      <c r="A401">
        <f t="shared" si="28"/>
        <v>115177</v>
      </c>
      <c r="B401" t="s">
        <v>169</v>
      </c>
      <c r="C401" s="3">
        <v>42871</v>
      </c>
      <c r="D401" s="13">
        <f t="shared" si="25"/>
        <v>2017</v>
      </c>
      <c r="E401" s="13">
        <f t="shared" si="26"/>
        <v>5</v>
      </c>
      <c r="F401" s="13">
        <f t="shared" si="27"/>
        <v>16</v>
      </c>
      <c r="G401" s="4" t="s">
        <v>20</v>
      </c>
      <c r="H401">
        <v>47.06778001056027</v>
      </c>
      <c r="I401">
        <v>6.5171100063518432</v>
      </c>
      <c r="J401" s="4" t="s">
        <v>44</v>
      </c>
      <c r="L401" s="4" t="s">
        <v>42</v>
      </c>
      <c r="M401" s="4" t="s">
        <v>43</v>
      </c>
      <c r="N401" s="4" t="s">
        <v>16</v>
      </c>
    </row>
    <row r="402" spans="1:15" x14ac:dyDescent="0.25">
      <c r="A402">
        <f t="shared" si="28"/>
        <v>115177</v>
      </c>
      <c r="B402" t="s">
        <v>169</v>
      </c>
      <c r="C402" s="3">
        <v>43023</v>
      </c>
      <c r="D402" s="13">
        <f t="shared" si="25"/>
        <v>2017</v>
      </c>
      <c r="E402" s="13">
        <f t="shared" si="26"/>
        <v>10</v>
      </c>
      <c r="F402" s="13">
        <f t="shared" si="27"/>
        <v>15</v>
      </c>
      <c r="G402" s="4" t="s">
        <v>20</v>
      </c>
      <c r="H402">
        <v>47.090512010569569</v>
      </c>
      <c r="I402">
        <v>6.5145690063441704</v>
      </c>
      <c r="J402" s="4" t="s">
        <v>21</v>
      </c>
      <c r="K402" s="12" t="s">
        <v>22</v>
      </c>
      <c r="L402" s="12" t="s">
        <v>42</v>
      </c>
      <c r="M402" s="12" t="s">
        <v>43</v>
      </c>
      <c r="N402" s="4" t="s">
        <v>17</v>
      </c>
    </row>
    <row r="403" spans="1:15" x14ac:dyDescent="0.25">
      <c r="A403">
        <f t="shared" si="28"/>
        <v>115178</v>
      </c>
      <c r="B403" t="s">
        <v>170</v>
      </c>
      <c r="C403" s="9">
        <v>42551</v>
      </c>
      <c r="D403" s="13">
        <f t="shared" si="25"/>
        <v>2016</v>
      </c>
      <c r="E403" s="13">
        <f t="shared" si="26"/>
        <v>6</v>
      </c>
      <c r="F403" s="13">
        <f t="shared" si="27"/>
        <v>30</v>
      </c>
      <c r="G403" s="4" t="s">
        <v>14</v>
      </c>
      <c r="H403">
        <v>46.945</v>
      </c>
      <c r="I403">
        <v>6.5442</v>
      </c>
      <c r="J403" s="4" t="s">
        <v>15</v>
      </c>
      <c r="L403" s="4" t="s">
        <v>42</v>
      </c>
      <c r="M403" s="4" t="s">
        <v>43</v>
      </c>
      <c r="N403" s="4" t="s">
        <v>17</v>
      </c>
    </row>
    <row r="404" spans="1:15" x14ac:dyDescent="0.25">
      <c r="A404">
        <f t="shared" si="28"/>
        <v>115179</v>
      </c>
      <c r="B404" t="s">
        <v>171</v>
      </c>
      <c r="C404" s="3">
        <v>42558</v>
      </c>
      <c r="D404" s="13">
        <f t="shared" si="25"/>
        <v>2016</v>
      </c>
      <c r="E404" s="13">
        <f t="shared" si="26"/>
        <v>7</v>
      </c>
      <c r="F404" s="13">
        <f t="shared" si="27"/>
        <v>7</v>
      </c>
      <c r="G404" s="4" t="s">
        <v>14</v>
      </c>
      <c r="H404">
        <v>46.946899999999999</v>
      </c>
      <c r="I404">
        <v>6.5769000000000002</v>
      </c>
      <c r="J404" s="4" t="s">
        <v>15</v>
      </c>
      <c r="L404" s="4" t="s">
        <v>42</v>
      </c>
      <c r="M404" s="4" t="s">
        <v>43</v>
      </c>
      <c r="N404" s="4" t="s">
        <v>16</v>
      </c>
      <c r="O404" s="4">
        <v>6</v>
      </c>
    </row>
    <row r="405" spans="1:15" x14ac:dyDescent="0.25">
      <c r="A405">
        <f t="shared" si="28"/>
        <v>115179</v>
      </c>
      <c r="B405" t="s">
        <v>171</v>
      </c>
      <c r="C405" s="3">
        <v>42593</v>
      </c>
      <c r="D405" s="13">
        <f t="shared" si="25"/>
        <v>2016</v>
      </c>
      <c r="E405" s="13">
        <f t="shared" si="26"/>
        <v>8</v>
      </c>
      <c r="F405" s="13">
        <f t="shared" si="27"/>
        <v>11</v>
      </c>
      <c r="G405" s="4" t="s">
        <v>14</v>
      </c>
      <c r="H405">
        <v>46.989684010495019</v>
      </c>
      <c r="I405">
        <v>6.679409006549279</v>
      </c>
      <c r="J405" s="4" t="s">
        <v>44</v>
      </c>
      <c r="L405" s="4" t="s">
        <v>42</v>
      </c>
      <c r="M405" s="4" t="s">
        <v>43</v>
      </c>
      <c r="N405" s="4" t="s">
        <v>16</v>
      </c>
    </row>
    <row r="406" spans="1:15" x14ac:dyDescent="0.25">
      <c r="A406">
        <f t="shared" si="28"/>
        <v>115179</v>
      </c>
      <c r="B406" t="s">
        <v>171</v>
      </c>
      <c r="C406" s="3">
        <v>42633</v>
      </c>
      <c r="D406" s="13">
        <f t="shared" si="25"/>
        <v>2016</v>
      </c>
      <c r="E406" s="13">
        <f t="shared" si="26"/>
        <v>9</v>
      </c>
      <c r="F406" s="13">
        <f t="shared" si="27"/>
        <v>20</v>
      </c>
      <c r="G406" s="4" t="s">
        <v>14</v>
      </c>
      <c r="H406">
        <v>46.991848010494003</v>
      </c>
      <c r="I406">
        <v>6.6880310065583828</v>
      </c>
      <c r="J406" s="4" t="s">
        <v>44</v>
      </c>
      <c r="L406" s="4" t="s">
        <v>42</v>
      </c>
      <c r="M406" s="4" t="s">
        <v>43</v>
      </c>
      <c r="N406" s="4" t="s">
        <v>16</v>
      </c>
    </row>
    <row r="407" spans="1:15" x14ac:dyDescent="0.25">
      <c r="A407">
        <f t="shared" si="28"/>
        <v>115179</v>
      </c>
      <c r="B407" t="s">
        <v>171</v>
      </c>
      <c r="C407" s="3">
        <v>42670</v>
      </c>
      <c r="D407" s="13">
        <f t="shared" si="25"/>
        <v>2016</v>
      </c>
      <c r="E407" s="13">
        <f t="shared" si="26"/>
        <v>10</v>
      </c>
      <c r="F407" s="13">
        <f t="shared" si="27"/>
        <v>27</v>
      </c>
      <c r="G407" s="4" t="s">
        <v>14</v>
      </c>
      <c r="H407">
        <v>46.990896010494758</v>
      </c>
      <c r="I407">
        <v>6.6828530065528398</v>
      </c>
      <c r="J407" s="4" t="s">
        <v>44</v>
      </c>
      <c r="L407" s="4" t="s">
        <v>42</v>
      </c>
      <c r="M407" s="4" t="s">
        <v>43</v>
      </c>
      <c r="N407" s="4" t="s">
        <v>16</v>
      </c>
    </row>
    <row r="408" spans="1:15" x14ac:dyDescent="0.25">
      <c r="A408">
        <f t="shared" si="28"/>
        <v>115179</v>
      </c>
      <c r="B408" t="s">
        <v>171</v>
      </c>
      <c r="C408" s="3">
        <v>42761</v>
      </c>
      <c r="D408" s="13">
        <f t="shared" si="25"/>
        <v>2017</v>
      </c>
      <c r="E408" s="13">
        <f t="shared" si="26"/>
        <v>1</v>
      </c>
      <c r="F408" s="13">
        <f t="shared" si="27"/>
        <v>26</v>
      </c>
      <c r="G408" s="4" t="s">
        <v>48</v>
      </c>
      <c r="H408">
        <v>43.366700000000002</v>
      </c>
      <c r="I408">
        <v>-7.55</v>
      </c>
      <c r="J408" s="4" t="s">
        <v>21</v>
      </c>
      <c r="K408" s="12" t="s">
        <v>22</v>
      </c>
      <c r="L408" s="12" t="s">
        <v>42</v>
      </c>
      <c r="M408" s="12" t="s">
        <v>43</v>
      </c>
      <c r="N408" s="4" t="s">
        <v>17</v>
      </c>
    </row>
    <row r="409" spans="1:15" x14ac:dyDescent="0.25">
      <c r="A409">
        <f t="shared" si="28"/>
        <v>115180</v>
      </c>
      <c r="B409" t="s">
        <v>172</v>
      </c>
      <c r="C409" s="3">
        <v>42559</v>
      </c>
      <c r="D409" s="13">
        <f t="shared" si="25"/>
        <v>2016</v>
      </c>
      <c r="E409" s="13">
        <f t="shared" si="26"/>
        <v>7</v>
      </c>
      <c r="F409" s="13">
        <f t="shared" si="27"/>
        <v>8</v>
      </c>
      <c r="G409" s="4" t="s">
        <v>14</v>
      </c>
      <c r="H409">
        <v>46.9392</v>
      </c>
      <c r="I409">
        <v>6.7453000000000003</v>
      </c>
      <c r="J409" s="4" t="s">
        <v>15</v>
      </c>
      <c r="L409" s="4" t="s">
        <v>42</v>
      </c>
      <c r="M409" s="4" t="s">
        <v>43</v>
      </c>
      <c r="N409" s="4" t="s">
        <v>16</v>
      </c>
      <c r="O409" s="4">
        <v>6</v>
      </c>
    </row>
    <row r="410" spans="1:15" x14ac:dyDescent="0.25">
      <c r="A410">
        <f t="shared" si="28"/>
        <v>115180</v>
      </c>
      <c r="B410" t="s">
        <v>172</v>
      </c>
      <c r="C410" s="3">
        <v>42660</v>
      </c>
      <c r="D410" s="13">
        <f t="shared" si="25"/>
        <v>2016</v>
      </c>
      <c r="E410" s="13">
        <f t="shared" si="26"/>
        <v>10</v>
      </c>
      <c r="F410" s="13">
        <f t="shared" si="27"/>
        <v>17</v>
      </c>
      <c r="G410" s="4" t="s">
        <v>14</v>
      </c>
      <c r="H410">
        <v>46.923128010461063</v>
      </c>
      <c r="I410">
        <v>6.7125310066004218</v>
      </c>
      <c r="J410" s="4" t="s">
        <v>44</v>
      </c>
      <c r="L410" s="4" t="s">
        <v>42</v>
      </c>
      <c r="M410" s="4" t="s">
        <v>43</v>
      </c>
      <c r="N410" s="4" t="s">
        <v>16</v>
      </c>
    </row>
    <row r="411" spans="1:15" x14ac:dyDescent="0.25">
      <c r="A411">
        <f t="shared" si="28"/>
        <v>115180</v>
      </c>
      <c r="B411" t="s">
        <v>172</v>
      </c>
      <c r="C411" s="3">
        <v>42662</v>
      </c>
      <c r="D411" s="13">
        <f t="shared" si="25"/>
        <v>2016</v>
      </c>
      <c r="E411" s="13">
        <f t="shared" si="26"/>
        <v>10</v>
      </c>
      <c r="F411" s="13">
        <f t="shared" si="27"/>
        <v>19</v>
      </c>
      <c r="G411" s="4" t="s">
        <v>14</v>
      </c>
      <c r="H411">
        <v>46.9283</v>
      </c>
      <c r="I411">
        <v>6.7336</v>
      </c>
      <c r="J411" s="4" t="s">
        <v>15</v>
      </c>
      <c r="L411" s="4" t="s">
        <v>42</v>
      </c>
      <c r="M411" s="4" t="s">
        <v>118</v>
      </c>
      <c r="N411" s="4" t="s">
        <v>16</v>
      </c>
    </row>
    <row r="412" spans="1:15" x14ac:dyDescent="0.25">
      <c r="A412">
        <f t="shared" si="28"/>
        <v>115180</v>
      </c>
      <c r="B412" t="s">
        <v>172</v>
      </c>
      <c r="C412" s="3">
        <v>42686</v>
      </c>
      <c r="D412" s="13">
        <f t="shared" si="25"/>
        <v>2016</v>
      </c>
      <c r="E412" s="13">
        <f t="shared" si="26"/>
        <v>11</v>
      </c>
      <c r="F412" s="13">
        <f t="shared" si="27"/>
        <v>12</v>
      </c>
      <c r="G412" s="4" t="s">
        <v>14</v>
      </c>
      <c r="H412">
        <v>46.947780000000002</v>
      </c>
      <c r="I412">
        <v>6.8093300000000001</v>
      </c>
      <c r="J412" s="4" t="s">
        <v>44</v>
      </c>
      <c r="L412" s="4" t="s">
        <v>42</v>
      </c>
      <c r="M412" s="4" t="s">
        <v>118</v>
      </c>
      <c r="N412" s="4" t="s">
        <v>16</v>
      </c>
    </row>
    <row r="413" spans="1:15" x14ac:dyDescent="0.25">
      <c r="A413">
        <f t="shared" si="28"/>
        <v>115180</v>
      </c>
      <c r="B413" t="s">
        <v>172</v>
      </c>
      <c r="C413" s="3">
        <v>42706</v>
      </c>
      <c r="D413" s="13">
        <f t="shared" si="25"/>
        <v>2016</v>
      </c>
      <c r="E413" s="13">
        <f t="shared" si="26"/>
        <v>12</v>
      </c>
      <c r="F413" s="13">
        <f t="shared" si="27"/>
        <v>2</v>
      </c>
      <c r="G413" s="4" t="s">
        <v>48</v>
      </c>
      <c r="H413">
        <v>40.189430000000002</v>
      </c>
      <c r="I413">
        <v>-2.5217900000000002</v>
      </c>
      <c r="J413" s="4" t="s">
        <v>44</v>
      </c>
      <c r="L413" s="4" t="s">
        <v>42</v>
      </c>
      <c r="M413" s="4" t="s">
        <v>118</v>
      </c>
      <c r="N413" s="4" t="s">
        <v>17</v>
      </c>
    </row>
    <row r="414" spans="1:15" x14ac:dyDescent="0.25">
      <c r="A414">
        <f t="shared" si="28"/>
        <v>115181</v>
      </c>
      <c r="B414" t="s">
        <v>173</v>
      </c>
      <c r="C414" s="9">
        <v>42565</v>
      </c>
      <c r="D414" s="13">
        <f t="shared" si="25"/>
        <v>2016</v>
      </c>
      <c r="E414" s="13">
        <f t="shared" si="26"/>
        <v>7</v>
      </c>
      <c r="F414" s="13">
        <f t="shared" si="27"/>
        <v>14</v>
      </c>
      <c r="G414" s="4" t="s">
        <v>14</v>
      </c>
      <c r="H414">
        <v>46.9392</v>
      </c>
      <c r="I414">
        <v>6.7453000000000003</v>
      </c>
      <c r="J414" s="4" t="s">
        <v>15</v>
      </c>
      <c r="L414" s="4" t="s">
        <v>1</v>
      </c>
      <c r="N414" s="4" t="s">
        <v>17</v>
      </c>
      <c r="O414" s="4">
        <v>3</v>
      </c>
    </row>
    <row r="415" spans="1:15" x14ac:dyDescent="0.25">
      <c r="A415">
        <f t="shared" si="28"/>
        <v>115182</v>
      </c>
      <c r="B415" t="s">
        <v>174</v>
      </c>
      <c r="C415" s="3">
        <v>42570</v>
      </c>
      <c r="D415" s="13">
        <f t="shared" si="25"/>
        <v>2016</v>
      </c>
      <c r="E415" s="13">
        <f t="shared" si="26"/>
        <v>7</v>
      </c>
      <c r="F415" s="13">
        <f t="shared" si="27"/>
        <v>19</v>
      </c>
      <c r="G415" s="4" t="s">
        <v>14</v>
      </c>
      <c r="H415">
        <v>46.933900000000001</v>
      </c>
      <c r="I415">
        <v>6.5049999999999999</v>
      </c>
      <c r="J415" s="4" t="s">
        <v>15</v>
      </c>
      <c r="L415" s="4" t="s">
        <v>42</v>
      </c>
      <c r="M415" s="4" t="s">
        <v>118</v>
      </c>
      <c r="N415" s="4" t="s">
        <v>16</v>
      </c>
      <c r="O415" s="4">
        <v>2</v>
      </c>
    </row>
    <row r="416" spans="1:15" x14ac:dyDescent="0.25">
      <c r="A416">
        <f t="shared" si="28"/>
        <v>115182</v>
      </c>
      <c r="B416" t="s">
        <v>174</v>
      </c>
      <c r="C416" s="3">
        <v>42594</v>
      </c>
      <c r="D416" s="13">
        <f t="shared" si="25"/>
        <v>2016</v>
      </c>
      <c r="E416" s="13">
        <f t="shared" si="26"/>
        <v>8</v>
      </c>
      <c r="F416" s="13">
        <f t="shared" si="27"/>
        <v>12</v>
      </c>
      <c r="G416" s="4" t="s">
        <v>14</v>
      </c>
      <c r="H416">
        <v>46.939500000000002</v>
      </c>
      <c r="I416">
        <v>6.4939</v>
      </c>
      <c r="J416" s="4" t="s">
        <v>44</v>
      </c>
      <c r="L416" s="4" t="s">
        <v>42</v>
      </c>
      <c r="M416" s="4" t="s">
        <v>118</v>
      </c>
      <c r="N416" s="4" t="s">
        <v>16</v>
      </c>
    </row>
    <row r="417" spans="1:14" x14ac:dyDescent="0.25">
      <c r="A417">
        <f t="shared" si="28"/>
        <v>115182</v>
      </c>
      <c r="B417" t="s">
        <v>174</v>
      </c>
      <c r="C417" s="3">
        <v>42636</v>
      </c>
      <c r="D417" s="13">
        <f t="shared" si="25"/>
        <v>2016</v>
      </c>
      <c r="E417" s="13">
        <f t="shared" si="26"/>
        <v>9</v>
      </c>
      <c r="F417" s="13">
        <f t="shared" si="27"/>
        <v>23</v>
      </c>
      <c r="G417" s="4" t="s">
        <v>14</v>
      </c>
      <c r="H417">
        <v>46.9621</v>
      </c>
      <c r="I417">
        <v>6.5280699999999996</v>
      </c>
      <c r="J417" s="4" t="s">
        <v>44</v>
      </c>
      <c r="L417" s="4" t="s">
        <v>42</v>
      </c>
      <c r="M417" s="4" t="s">
        <v>118</v>
      </c>
      <c r="N417" s="4" t="s">
        <v>16</v>
      </c>
    </row>
    <row r="418" spans="1:14" x14ac:dyDescent="0.25">
      <c r="A418">
        <f t="shared" si="28"/>
        <v>115182</v>
      </c>
      <c r="B418" t="s">
        <v>174</v>
      </c>
      <c r="C418" s="3">
        <v>42669</v>
      </c>
      <c r="D418" s="13">
        <f t="shared" si="25"/>
        <v>2016</v>
      </c>
      <c r="E418" s="13">
        <f t="shared" si="26"/>
        <v>10</v>
      </c>
      <c r="F418" s="13">
        <f t="shared" si="27"/>
        <v>26</v>
      </c>
      <c r="G418" s="4" t="s">
        <v>14</v>
      </c>
      <c r="H418">
        <v>46.977429999999998</v>
      </c>
      <c r="I418">
        <v>6.5517599999999998</v>
      </c>
      <c r="J418" s="4" t="s">
        <v>44</v>
      </c>
      <c r="L418" s="4" t="s">
        <v>42</v>
      </c>
      <c r="M418" s="4" t="s">
        <v>118</v>
      </c>
      <c r="N418" s="4" t="s">
        <v>16</v>
      </c>
    </row>
    <row r="419" spans="1:14" x14ac:dyDescent="0.25">
      <c r="A419">
        <f t="shared" si="28"/>
        <v>115182</v>
      </c>
      <c r="B419" t="s">
        <v>174</v>
      </c>
      <c r="C419" s="3">
        <v>42691</v>
      </c>
      <c r="D419" s="13">
        <f t="shared" si="25"/>
        <v>2016</v>
      </c>
      <c r="E419" s="13">
        <f t="shared" si="26"/>
        <v>11</v>
      </c>
      <c r="F419" s="13">
        <f t="shared" si="27"/>
        <v>17</v>
      </c>
      <c r="G419" s="4" t="s">
        <v>20</v>
      </c>
      <c r="H419">
        <v>47.192970000000003</v>
      </c>
      <c r="I419">
        <v>6.3363100000000001</v>
      </c>
      <c r="J419" s="4" t="s">
        <v>44</v>
      </c>
      <c r="L419" s="4" t="s">
        <v>42</v>
      </c>
      <c r="M419" s="4" t="s">
        <v>118</v>
      </c>
      <c r="N419" s="4" t="s">
        <v>16</v>
      </c>
    </row>
    <row r="420" spans="1:14" x14ac:dyDescent="0.25">
      <c r="A420">
        <f t="shared" si="28"/>
        <v>115182</v>
      </c>
      <c r="B420" t="s">
        <v>174</v>
      </c>
      <c r="C420" s="3">
        <v>42719</v>
      </c>
      <c r="D420" s="13">
        <f t="shared" si="25"/>
        <v>2016</v>
      </c>
      <c r="E420" s="13">
        <f t="shared" si="26"/>
        <v>12</v>
      </c>
      <c r="F420" s="13">
        <f t="shared" si="27"/>
        <v>15</v>
      </c>
      <c r="G420" s="4" t="s">
        <v>14</v>
      </c>
      <c r="H420">
        <v>46.974290000000003</v>
      </c>
      <c r="I420">
        <v>6.5599400000000001</v>
      </c>
      <c r="J420" s="4" t="s">
        <v>44</v>
      </c>
      <c r="L420" s="4" t="s">
        <v>42</v>
      </c>
      <c r="M420" s="4" t="s">
        <v>118</v>
      </c>
      <c r="N420" s="4" t="s">
        <v>16</v>
      </c>
    </row>
    <row r="421" spans="1:14" x14ac:dyDescent="0.25">
      <c r="A421">
        <f t="shared" si="28"/>
        <v>115182</v>
      </c>
      <c r="B421" t="s">
        <v>174</v>
      </c>
      <c r="C421" s="3">
        <v>42752</v>
      </c>
      <c r="D421" s="13">
        <f t="shared" si="25"/>
        <v>2017</v>
      </c>
      <c r="E421" s="13">
        <f t="shared" si="26"/>
        <v>1</v>
      </c>
      <c r="F421" s="13">
        <f t="shared" si="27"/>
        <v>17</v>
      </c>
      <c r="G421" s="4" t="s">
        <v>31</v>
      </c>
      <c r="H421">
        <v>43.586840000000002</v>
      </c>
      <c r="I421">
        <v>2.4736699999999998</v>
      </c>
      <c r="J421" s="4" t="s">
        <v>44</v>
      </c>
      <c r="L421" s="4" t="s">
        <v>42</v>
      </c>
      <c r="M421" s="4" t="s">
        <v>118</v>
      </c>
      <c r="N421" s="4" t="s">
        <v>16</v>
      </c>
    </row>
    <row r="422" spans="1:14" x14ac:dyDescent="0.25">
      <c r="A422">
        <f t="shared" si="28"/>
        <v>115182</v>
      </c>
      <c r="B422" t="s">
        <v>174</v>
      </c>
      <c r="C422" s="3">
        <v>42785</v>
      </c>
      <c r="D422" s="13">
        <f t="shared" si="25"/>
        <v>2017</v>
      </c>
      <c r="E422" s="13">
        <f t="shared" si="26"/>
        <v>2</v>
      </c>
      <c r="F422" s="13">
        <f t="shared" si="27"/>
        <v>19</v>
      </c>
      <c r="G422" s="4" t="s">
        <v>31</v>
      </c>
      <c r="H422">
        <v>43.588450000000002</v>
      </c>
      <c r="I422">
        <v>2.49173</v>
      </c>
      <c r="J422" s="4" t="s">
        <v>44</v>
      </c>
      <c r="L422" s="4" t="s">
        <v>42</v>
      </c>
      <c r="M422" s="4" t="s">
        <v>118</v>
      </c>
      <c r="N422" s="4" t="s">
        <v>16</v>
      </c>
    </row>
    <row r="423" spans="1:14" x14ac:dyDescent="0.25">
      <c r="A423">
        <f t="shared" si="28"/>
        <v>115182</v>
      </c>
      <c r="B423" t="s">
        <v>174</v>
      </c>
      <c r="C423" s="3">
        <v>42930</v>
      </c>
      <c r="D423" s="13">
        <f t="shared" si="25"/>
        <v>2017</v>
      </c>
      <c r="E423" s="13">
        <f t="shared" si="26"/>
        <v>7</v>
      </c>
      <c r="F423" s="13">
        <f t="shared" si="27"/>
        <v>14</v>
      </c>
      <c r="G423" s="4" t="s">
        <v>14</v>
      </c>
      <c r="H423">
        <v>46.969459999999998</v>
      </c>
      <c r="I423">
        <v>6.53315</v>
      </c>
      <c r="J423" s="4" t="s">
        <v>44</v>
      </c>
      <c r="L423" s="4" t="s">
        <v>42</v>
      </c>
      <c r="M423" s="4" t="s">
        <v>118</v>
      </c>
      <c r="N423" s="4" t="s">
        <v>16</v>
      </c>
    </row>
    <row r="424" spans="1:14" x14ac:dyDescent="0.25">
      <c r="A424">
        <f t="shared" si="28"/>
        <v>115182</v>
      </c>
      <c r="B424" t="s">
        <v>174</v>
      </c>
      <c r="C424" s="3">
        <v>42960</v>
      </c>
      <c r="D424" s="13">
        <f t="shared" si="25"/>
        <v>2017</v>
      </c>
      <c r="E424" s="13">
        <f t="shared" si="26"/>
        <v>8</v>
      </c>
      <c r="F424" s="13">
        <f t="shared" si="27"/>
        <v>13</v>
      </c>
      <c r="G424" s="4" t="s">
        <v>14</v>
      </c>
      <c r="H424">
        <v>46.973909999999997</v>
      </c>
      <c r="I424">
        <v>6.5289900000000003</v>
      </c>
      <c r="J424" s="4" t="s">
        <v>44</v>
      </c>
      <c r="L424" s="4" t="s">
        <v>42</v>
      </c>
      <c r="M424" s="4" t="s">
        <v>118</v>
      </c>
      <c r="N424" s="4" t="s">
        <v>16</v>
      </c>
    </row>
    <row r="425" spans="1:14" x14ac:dyDescent="0.25">
      <c r="A425">
        <f t="shared" si="28"/>
        <v>115182</v>
      </c>
      <c r="B425" t="s">
        <v>174</v>
      </c>
      <c r="C425" s="3">
        <v>42993</v>
      </c>
      <c r="D425" s="13">
        <f t="shared" si="25"/>
        <v>2017</v>
      </c>
      <c r="E425" s="13">
        <f t="shared" si="26"/>
        <v>9</v>
      </c>
      <c r="F425" s="13">
        <f t="shared" si="27"/>
        <v>15</v>
      </c>
      <c r="G425" s="4" t="s">
        <v>14</v>
      </c>
      <c r="H425">
        <v>46.931980000000003</v>
      </c>
      <c r="I425">
        <v>6.5059300000000002</v>
      </c>
      <c r="J425" s="4" t="s">
        <v>44</v>
      </c>
      <c r="L425" s="4" t="s">
        <v>42</v>
      </c>
      <c r="M425" s="4" t="s">
        <v>118</v>
      </c>
      <c r="N425" s="4" t="s">
        <v>16</v>
      </c>
    </row>
    <row r="426" spans="1:14" x14ac:dyDescent="0.25">
      <c r="A426">
        <f t="shared" si="28"/>
        <v>115182</v>
      </c>
      <c r="B426" t="s">
        <v>174</v>
      </c>
      <c r="C426" s="3">
        <v>43024</v>
      </c>
      <c r="D426" s="13">
        <f t="shared" si="25"/>
        <v>2017</v>
      </c>
      <c r="E426" s="13">
        <f t="shared" si="26"/>
        <v>10</v>
      </c>
      <c r="F426" s="13">
        <f t="shared" si="27"/>
        <v>16</v>
      </c>
      <c r="G426" s="4" t="s">
        <v>14</v>
      </c>
      <c r="H426">
        <v>46.935639999999999</v>
      </c>
      <c r="I426">
        <v>6.5143300000000002</v>
      </c>
      <c r="J426" s="4" t="s">
        <v>44</v>
      </c>
      <c r="L426" s="4" t="s">
        <v>42</v>
      </c>
      <c r="M426" s="4" t="s">
        <v>118</v>
      </c>
      <c r="N426" s="4" t="s">
        <v>16</v>
      </c>
    </row>
    <row r="427" spans="1:14" x14ac:dyDescent="0.25">
      <c r="A427">
        <f t="shared" si="28"/>
        <v>115182</v>
      </c>
      <c r="B427" t="s">
        <v>174</v>
      </c>
      <c r="C427" s="3">
        <v>43055</v>
      </c>
      <c r="D427" s="13">
        <f t="shared" si="25"/>
        <v>2017</v>
      </c>
      <c r="E427" s="13">
        <f t="shared" si="26"/>
        <v>11</v>
      </c>
      <c r="F427" s="13">
        <f t="shared" si="27"/>
        <v>16</v>
      </c>
      <c r="G427" s="4" t="s">
        <v>20</v>
      </c>
      <c r="H427">
        <v>47.190480000000001</v>
      </c>
      <c r="I427">
        <v>6.3713300000000004</v>
      </c>
      <c r="J427" s="4" t="s">
        <v>44</v>
      </c>
      <c r="L427" s="4" t="s">
        <v>42</v>
      </c>
      <c r="M427" s="4" t="s">
        <v>118</v>
      </c>
      <c r="N427" s="4" t="s">
        <v>16</v>
      </c>
    </row>
    <row r="428" spans="1:14" x14ac:dyDescent="0.25">
      <c r="A428">
        <f t="shared" si="28"/>
        <v>115182</v>
      </c>
      <c r="B428" t="s">
        <v>174</v>
      </c>
      <c r="C428" s="3">
        <v>43090</v>
      </c>
      <c r="D428" s="13">
        <f t="shared" si="25"/>
        <v>2017</v>
      </c>
      <c r="E428" s="13">
        <f t="shared" si="26"/>
        <v>12</v>
      </c>
      <c r="F428" s="13">
        <f t="shared" si="27"/>
        <v>21</v>
      </c>
      <c r="G428" s="4" t="s">
        <v>31</v>
      </c>
      <c r="H428">
        <v>43.584440000000001</v>
      </c>
      <c r="I428">
        <v>2.5023499999999999</v>
      </c>
      <c r="J428" s="4" t="s">
        <v>44</v>
      </c>
      <c r="L428" s="4" t="s">
        <v>42</v>
      </c>
      <c r="M428" s="4" t="s">
        <v>118</v>
      </c>
      <c r="N428" s="4" t="s">
        <v>16</v>
      </c>
    </row>
    <row r="429" spans="1:14" x14ac:dyDescent="0.25">
      <c r="A429">
        <f t="shared" si="28"/>
        <v>115182</v>
      </c>
      <c r="B429" t="s">
        <v>174</v>
      </c>
      <c r="C429" s="3">
        <v>43118</v>
      </c>
      <c r="D429" s="13">
        <f t="shared" si="25"/>
        <v>2018</v>
      </c>
      <c r="E429" s="13">
        <f t="shared" si="26"/>
        <v>1</v>
      </c>
      <c r="F429" s="13">
        <f t="shared" si="27"/>
        <v>18</v>
      </c>
      <c r="G429" s="4" t="s">
        <v>31</v>
      </c>
      <c r="H429">
        <v>43.587829999999997</v>
      </c>
      <c r="I429">
        <v>2.49884</v>
      </c>
      <c r="J429" s="4" t="s">
        <v>44</v>
      </c>
      <c r="L429" s="4" t="s">
        <v>42</v>
      </c>
      <c r="M429" s="4" t="s">
        <v>118</v>
      </c>
      <c r="N429" s="4" t="s">
        <v>16</v>
      </c>
    </row>
    <row r="430" spans="1:14" x14ac:dyDescent="0.25">
      <c r="A430">
        <f t="shared" si="28"/>
        <v>115182</v>
      </c>
      <c r="B430" t="s">
        <v>174</v>
      </c>
      <c r="C430" s="3">
        <v>43149</v>
      </c>
      <c r="D430" s="13">
        <f t="shared" si="25"/>
        <v>2018</v>
      </c>
      <c r="E430" s="13">
        <f t="shared" si="26"/>
        <v>2</v>
      </c>
      <c r="F430" s="13">
        <f t="shared" si="27"/>
        <v>18</v>
      </c>
      <c r="G430" s="4" t="s">
        <v>31</v>
      </c>
      <c r="H430">
        <v>43.583379999999998</v>
      </c>
      <c r="I430">
        <v>2.4874399999999999</v>
      </c>
      <c r="J430" s="4" t="s">
        <v>44</v>
      </c>
      <c r="L430" s="4" t="s">
        <v>42</v>
      </c>
      <c r="M430" s="4" t="s">
        <v>118</v>
      </c>
      <c r="N430" s="4" t="s">
        <v>16</v>
      </c>
    </row>
    <row r="431" spans="1:14" x14ac:dyDescent="0.25">
      <c r="A431">
        <f t="shared" si="28"/>
        <v>115182</v>
      </c>
      <c r="B431" t="s">
        <v>174</v>
      </c>
      <c r="C431" s="3">
        <v>43295</v>
      </c>
      <c r="D431" s="13">
        <f t="shared" si="25"/>
        <v>2018</v>
      </c>
      <c r="E431" s="13">
        <f t="shared" si="26"/>
        <v>7</v>
      </c>
      <c r="F431" s="13">
        <f t="shared" si="27"/>
        <v>14</v>
      </c>
      <c r="G431" s="4" t="s">
        <v>14</v>
      </c>
      <c r="H431">
        <v>46.967120000000001</v>
      </c>
      <c r="I431">
        <v>6.5252100000000004</v>
      </c>
      <c r="J431" s="4" t="s">
        <v>44</v>
      </c>
      <c r="L431" s="4" t="s">
        <v>42</v>
      </c>
      <c r="M431" s="4" t="s">
        <v>118</v>
      </c>
      <c r="N431" s="4" t="s">
        <v>16</v>
      </c>
    </row>
    <row r="432" spans="1:14" x14ac:dyDescent="0.25">
      <c r="A432">
        <f t="shared" si="28"/>
        <v>115182</v>
      </c>
      <c r="B432" t="s">
        <v>174</v>
      </c>
      <c r="C432" s="3">
        <v>43328</v>
      </c>
      <c r="D432" s="13">
        <f t="shared" si="25"/>
        <v>2018</v>
      </c>
      <c r="E432" s="13">
        <f t="shared" si="26"/>
        <v>8</v>
      </c>
      <c r="F432" s="13">
        <f t="shared" si="27"/>
        <v>16</v>
      </c>
      <c r="G432" s="4" t="s">
        <v>14</v>
      </c>
      <c r="H432">
        <v>46.931690000000003</v>
      </c>
      <c r="I432">
        <v>6.5127699999999997</v>
      </c>
      <c r="J432" s="4" t="s">
        <v>44</v>
      </c>
      <c r="L432" s="4" t="s">
        <v>42</v>
      </c>
      <c r="M432" s="4" t="s">
        <v>118</v>
      </c>
      <c r="N432" s="4" t="s">
        <v>16</v>
      </c>
    </row>
    <row r="433" spans="1:15" x14ac:dyDescent="0.25">
      <c r="A433">
        <f t="shared" si="28"/>
        <v>115182</v>
      </c>
      <c r="B433" t="s">
        <v>174</v>
      </c>
      <c r="C433" s="3">
        <v>43356</v>
      </c>
      <c r="D433" s="13">
        <f t="shared" si="25"/>
        <v>2018</v>
      </c>
      <c r="E433" s="13">
        <f t="shared" si="26"/>
        <v>9</v>
      </c>
      <c r="F433" s="13">
        <f t="shared" si="27"/>
        <v>13</v>
      </c>
      <c r="G433" s="4" t="s">
        <v>14</v>
      </c>
      <c r="H433">
        <v>46.931939999999997</v>
      </c>
      <c r="I433">
        <v>6.4891899999999998</v>
      </c>
      <c r="J433" s="4" t="s">
        <v>44</v>
      </c>
      <c r="L433" s="4" t="s">
        <v>42</v>
      </c>
      <c r="M433" s="4" t="s">
        <v>118</v>
      </c>
      <c r="N433" s="4" t="s">
        <v>16</v>
      </c>
    </row>
    <row r="434" spans="1:15" x14ac:dyDescent="0.25">
      <c r="A434">
        <f t="shared" si="28"/>
        <v>115182</v>
      </c>
      <c r="B434" t="s">
        <v>174</v>
      </c>
      <c r="C434" s="3">
        <v>43389</v>
      </c>
      <c r="D434" s="13">
        <f t="shared" si="25"/>
        <v>2018</v>
      </c>
      <c r="E434" s="13">
        <f t="shared" si="26"/>
        <v>10</v>
      </c>
      <c r="F434" s="13">
        <f t="shared" si="27"/>
        <v>16</v>
      </c>
      <c r="G434" s="4" t="s">
        <v>14</v>
      </c>
      <c r="H434">
        <v>46.93177</v>
      </c>
      <c r="I434">
        <v>6.50122</v>
      </c>
      <c r="J434" s="4" t="s">
        <v>44</v>
      </c>
      <c r="L434" s="4" t="s">
        <v>42</v>
      </c>
      <c r="M434" s="4" t="s">
        <v>118</v>
      </c>
      <c r="N434" s="4" t="s">
        <v>16</v>
      </c>
    </row>
    <row r="435" spans="1:15" x14ac:dyDescent="0.25">
      <c r="A435">
        <f t="shared" si="28"/>
        <v>115182</v>
      </c>
      <c r="B435" t="s">
        <v>174</v>
      </c>
      <c r="C435" s="3">
        <v>43426</v>
      </c>
      <c r="D435" s="13">
        <f t="shared" si="25"/>
        <v>2018</v>
      </c>
      <c r="E435" s="13">
        <f t="shared" si="26"/>
        <v>11</v>
      </c>
      <c r="F435" s="13">
        <f t="shared" si="27"/>
        <v>22</v>
      </c>
      <c r="G435" s="4" t="s">
        <v>31</v>
      </c>
      <c r="H435">
        <v>43.524720000000002</v>
      </c>
      <c r="I435">
        <v>2.4833699999999999</v>
      </c>
      <c r="J435" s="4" t="s">
        <v>44</v>
      </c>
      <c r="L435" s="4" t="s">
        <v>42</v>
      </c>
      <c r="M435" s="4" t="s">
        <v>118</v>
      </c>
      <c r="N435" s="4" t="s">
        <v>16</v>
      </c>
    </row>
    <row r="436" spans="1:15" x14ac:dyDescent="0.25">
      <c r="A436">
        <f t="shared" si="28"/>
        <v>115182</v>
      </c>
      <c r="B436" t="s">
        <v>174</v>
      </c>
      <c r="C436" s="3">
        <v>43444</v>
      </c>
      <c r="D436" s="13">
        <f t="shared" si="25"/>
        <v>2018</v>
      </c>
      <c r="E436" s="13">
        <f t="shared" si="26"/>
        <v>12</v>
      </c>
      <c r="F436" s="13">
        <f t="shared" si="27"/>
        <v>10</v>
      </c>
      <c r="G436" s="4" t="s">
        <v>31</v>
      </c>
      <c r="H436">
        <v>43.593960000000003</v>
      </c>
      <c r="I436">
        <v>2.5384799999999998</v>
      </c>
      <c r="J436" s="4" t="s">
        <v>44</v>
      </c>
      <c r="L436" s="4" t="s">
        <v>42</v>
      </c>
      <c r="M436" s="4" t="s">
        <v>118</v>
      </c>
      <c r="N436" s="4" t="s">
        <v>16</v>
      </c>
    </row>
    <row r="437" spans="1:15" x14ac:dyDescent="0.25">
      <c r="A437">
        <f t="shared" si="28"/>
        <v>115182</v>
      </c>
      <c r="B437" t="s">
        <v>174</v>
      </c>
      <c r="C437" s="3">
        <v>43479</v>
      </c>
      <c r="D437" s="13">
        <f t="shared" si="25"/>
        <v>2019</v>
      </c>
      <c r="E437" s="13">
        <f t="shared" si="26"/>
        <v>1</v>
      </c>
      <c r="F437" s="13">
        <f t="shared" si="27"/>
        <v>14</v>
      </c>
      <c r="G437" s="4" t="s">
        <v>31</v>
      </c>
      <c r="H437">
        <v>43.597250000000003</v>
      </c>
      <c r="I437">
        <v>2.5468899999999999</v>
      </c>
      <c r="J437" s="4" t="s">
        <v>44</v>
      </c>
      <c r="L437" s="4" t="s">
        <v>42</v>
      </c>
      <c r="M437" s="4" t="s">
        <v>118</v>
      </c>
      <c r="N437" s="4" t="s">
        <v>16</v>
      </c>
    </row>
    <row r="438" spans="1:15" x14ac:dyDescent="0.25">
      <c r="A438">
        <f t="shared" si="28"/>
        <v>115182</v>
      </c>
      <c r="B438" t="s">
        <v>174</v>
      </c>
      <c r="C438" s="3">
        <v>43512</v>
      </c>
      <c r="D438" s="13">
        <f t="shared" si="25"/>
        <v>2019</v>
      </c>
      <c r="E438" s="13">
        <f t="shared" si="26"/>
        <v>2</v>
      </c>
      <c r="F438" s="13">
        <f t="shared" si="27"/>
        <v>16</v>
      </c>
      <c r="G438" s="4" t="s">
        <v>31</v>
      </c>
      <c r="H438">
        <v>43.585099999999997</v>
      </c>
      <c r="I438">
        <v>2.4885000000000002</v>
      </c>
      <c r="J438" s="4" t="s">
        <v>44</v>
      </c>
      <c r="L438" s="4" t="s">
        <v>42</v>
      </c>
      <c r="M438" s="4" t="s">
        <v>118</v>
      </c>
      <c r="N438" s="4" t="s">
        <v>16</v>
      </c>
    </row>
    <row r="439" spans="1:15" x14ac:dyDescent="0.25">
      <c r="A439">
        <f t="shared" si="28"/>
        <v>115182</v>
      </c>
      <c r="B439" t="s">
        <v>174</v>
      </c>
      <c r="C439" s="3">
        <v>43661</v>
      </c>
      <c r="D439" s="13">
        <f t="shared" si="25"/>
        <v>2019</v>
      </c>
      <c r="E439" s="13">
        <f t="shared" si="26"/>
        <v>7</v>
      </c>
      <c r="F439" s="13">
        <f t="shared" si="27"/>
        <v>15</v>
      </c>
      <c r="G439" s="4" t="s">
        <v>14</v>
      </c>
      <c r="H439">
        <v>46.969720000000002</v>
      </c>
      <c r="I439">
        <v>6.5304799999999998</v>
      </c>
      <c r="J439" s="4" t="s">
        <v>44</v>
      </c>
      <c r="L439" s="4" t="s">
        <v>42</v>
      </c>
      <c r="M439" s="4" t="s">
        <v>118</v>
      </c>
      <c r="N439" s="4" t="s">
        <v>16</v>
      </c>
    </row>
    <row r="440" spans="1:15" x14ac:dyDescent="0.25">
      <c r="A440">
        <f t="shared" si="28"/>
        <v>115182</v>
      </c>
      <c r="B440" t="s">
        <v>174</v>
      </c>
      <c r="C440" s="3">
        <v>43693</v>
      </c>
      <c r="D440" s="13">
        <f t="shared" si="25"/>
        <v>2019</v>
      </c>
      <c r="E440" s="13">
        <f t="shared" si="26"/>
        <v>8</v>
      </c>
      <c r="F440" s="13">
        <f t="shared" si="27"/>
        <v>16</v>
      </c>
      <c r="G440" s="4" t="s">
        <v>14</v>
      </c>
      <c r="H440">
        <v>46.969859999999997</v>
      </c>
      <c r="I440">
        <v>6.5355800000000004</v>
      </c>
      <c r="J440" s="4" t="s">
        <v>44</v>
      </c>
      <c r="L440" s="4" t="s">
        <v>42</v>
      </c>
      <c r="M440" s="4" t="s">
        <v>118</v>
      </c>
      <c r="N440" s="4" t="s">
        <v>16</v>
      </c>
    </row>
    <row r="441" spans="1:15" x14ac:dyDescent="0.25">
      <c r="A441">
        <f t="shared" si="28"/>
        <v>115182</v>
      </c>
      <c r="B441" t="s">
        <v>174</v>
      </c>
      <c r="C441" s="3">
        <v>43722</v>
      </c>
      <c r="D441" s="13">
        <f t="shared" si="25"/>
        <v>2019</v>
      </c>
      <c r="E441" s="13">
        <f t="shared" si="26"/>
        <v>9</v>
      </c>
      <c r="F441" s="13">
        <f t="shared" si="27"/>
        <v>14</v>
      </c>
      <c r="G441" s="4" t="s">
        <v>14</v>
      </c>
      <c r="H441">
        <v>46.974670000000003</v>
      </c>
      <c r="I441">
        <v>6.4768999999999997</v>
      </c>
      <c r="J441" s="4" t="s">
        <v>44</v>
      </c>
      <c r="L441" s="4" t="s">
        <v>42</v>
      </c>
      <c r="M441" s="4" t="s">
        <v>118</v>
      </c>
      <c r="N441" s="4" t="s">
        <v>16</v>
      </c>
    </row>
    <row r="442" spans="1:15" x14ac:dyDescent="0.25">
      <c r="A442">
        <f t="shared" si="28"/>
        <v>115182</v>
      </c>
      <c r="B442" t="s">
        <v>174</v>
      </c>
      <c r="C442" s="3">
        <v>43766</v>
      </c>
      <c r="D442" s="13">
        <f t="shared" si="25"/>
        <v>2019</v>
      </c>
      <c r="E442" s="13">
        <f t="shared" si="26"/>
        <v>10</v>
      </c>
      <c r="F442" s="13">
        <f t="shared" si="27"/>
        <v>28</v>
      </c>
      <c r="G442" s="4" t="s">
        <v>14</v>
      </c>
      <c r="H442">
        <v>46.95505</v>
      </c>
      <c r="I442">
        <v>6.5347600000000003</v>
      </c>
      <c r="J442" s="4" t="s">
        <v>44</v>
      </c>
      <c r="L442" s="4" t="s">
        <v>42</v>
      </c>
      <c r="M442" s="4" t="s">
        <v>118</v>
      </c>
      <c r="N442" s="4" t="s">
        <v>16</v>
      </c>
    </row>
    <row r="443" spans="1:15" x14ac:dyDescent="0.25">
      <c r="A443">
        <f t="shared" si="28"/>
        <v>115182</v>
      </c>
      <c r="B443" t="s">
        <v>174</v>
      </c>
      <c r="C443" s="3">
        <v>43788</v>
      </c>
      <c r="D443" s="13">
        <f t="shared" si="25"/>
        <v>2019</v>
      </c>
      <c r="E443" s="13">
        <f t="shared" si="26"/>
        <v>11</v>
      </c>
      <c r="F443" s="13">
        <f t="shared" si="27"/>
        <v>19</v>
      </c>
      <c r="G443" s="4" t="s">
        <v>14</v>
      </c>
      <c r="H443">
        <v>46.977229999999999</v>
      </c>
      <c r="I443">
        <v>6.5779500000000004</v>
      </c>
      <c r="J443" s="4" t="s">
        <v>44</v>
      </c>
      <c r="L443" s="4" t="s">
        <v>42</v>
      </c>
      <c r="M443" s="4" t="s">
        <v>118</v>
      </c>
      <c r="N443" s="4" t="s">
        <v>17</v>
      </c>
    </row>
    <row r="444" spans="1:15" x14ac:dyDescent="0.25">
      <c r="A444">
        <f t="shared" si="28"/>
        <v>115183</v>
      </c>
      <c r="B444" t="s">
        <v>175</v>
      </c>
      <c r="C444" s="3">
        <v>42647</v>
      </c>
      <c r="D444" s="13">
        <f t="shared" si="25"/>
        <v>2016</v>
      </c>
      <c r="E444" s="13">
        <f t="shared" si="26"/>
        <v>10</v>
      </c>
      <c r="F444" s="13">
        <f t="shared" si="27"/>
        <v>4</v>
      </c>
      <c r="G444" s="4" t="s">
        <v>14</v>
      </c>
      <c r="H444">
        <v>46.992800000000003</v>
      </c>
      <c r="I444">
        <v>6.6971999999999996</v>
      </c>
      <c r="J444" s="4" t="s">
        <v>15</v>
      </c>
      <c r="L444" s="4" t="s">
        <v>1</v>
      </c>
      <c r="N444" s="4" t="s">
        <v>16</v>
      </c>
      <c r="O444" s="4">
        <v>2</v>
      </c>
    </row>
    <row r="445" spans="1:15" x14ac:dyDescent="0.25">
      <c r="A445">
        <f t="shared" si="28"/>
        <v>115183</v>
      </c>
      <c r="B445" t="s">
        <v>175</v>
      </c>
      <c r="C445" s="3">
        <v>42680</v>
      </c>
      <c r="D445" s="13">
        <f t="shared" si="25"/>
        <v>2016</v>
      </c>
      <c r="E445" s="13">
        <f t="shared" si="26"/>
        <v>11</v>
      </c>
      <c r="F445" s="13">
        <f t="shared" si="27"/>
        <v>6</v>
      </c>
      <c r="G445" s="4" t="s">
        <v>31</v>
      </c>
      <c r="H445">
        <v>44.45</v>
      </c>
      <c r="I445">
        <v>4.9832999999999998</v>
      </c>
      <c r="J445" s="4" t="s">
        <v>21</v>
      </c>
      <c r="K445" s="4" t="s">
        <v>22</v>
      </c>
      <c r="L445" s="4" t="s">
        <v>1</v>
      </c>
      <c r="N445" s="4" t="s">
        <v>17</v>
      </c>
    </row>
    <row r="446" spans="1:15" x14ac:dyDescent="0.25">
      <c r="A446">
        <f t="shared" si="28"/>
        <v>115184</v>
      </c>
      <c r="B446" t="s">
        <v>176</v>
      </c>
      <c r="C446" s="9">
        <v>42647</v>
      </c>
      <c r="D446" s="13">
        <f t="shared" si="25"/>
        <v>2016</v>
      </c>
      <c r="E446" s="13">
        <f t="shared" si="26"/>
        <v>10</v>
      </c>
      <c r="F446" s="13">
        <f t="shared" si="27"/>
        <v>4</v>
      </c>
      <c r="G446" s="4" t="s">
        <v>14</v>
      </c>
      <c r="H446">
        <v>46.992800000000003</v>
      </c>
      <c r="I446">
        <v>6.6971999999999996</v>
      </c>
      <c r="J446" s="4" t="s">
        <v>15</v>
      </c>
      <c r="L446" s="4" t="s">
        <v>1</v>
      </c>
      <c r="N446" s="4" t="s">
        <v>17</v>
      </c>
      <c r="O446" s="4">
        <v>2</v>
      </c>
    </row>
    <row r="447" spans="1:15" x14ac:dyDescent="0.25">
      <c r="A447">
        <f t="shared" si="28"/>
        <v>115185</v>
      </c>
      <c r="B447" t="s">
        <v>177</v>
      </c>
      <c r="C447" s="3">
        <v>42647</v>
      </c>
      <c r="D447" s="13">
        <f t="shared" si="25"/>
        <v>2016</v>
      </c>
      <c r="E447" s="13">
        <f t="shared" si="26"/>
        <v>10</v>
      </c>
      <c r="F447" s="13">
        <f t="shared" si="27"/>
        <v>4</v>
      </c>
      <c r="G447" s="4" t="s">
        <v>14</v>
      </c>
      <c r="H447">
        <v>46.992800000000003</v>
      </c>
      <c r="I447">
        <v>6.6971999999999996</v>
      </c>
      <c r="J447" s="4" t="s">
        <v>15</v>
      </c>
      <c r="L447" s="4" t="s">
        <v>42</v>
      </c>
      <c r="M447" s="4" t="s">
        <v>43</v>
      </c>
      <c r="N447" s="4" t="s">
        <v>16</v>
      </c>
      <c r="O447" s="4">
        <v>4</v>
      </c>
    </row>
    <row r="448" spans="1:15" x14ac:dyDescent="0.25">
      <c r="A448">
        <f t="shared" si="28"/>
        <v>115185</v>
      </c>
      <c r="B448" t="s">
        <v>177</v>
      </c>
      <c r="C448" s="3">
        <v>42663</v>
      </c>
      <c r="D448" s="13">
        <f t="shared" si="25"/>
        <v>2016</v>
      </c>
      <c r="E448" s="13">
        <f t="shared" si="26"/>
        <v>10</v>
      </c>
      <c r="F448" s="13">
        <f t="shared" si="27"/>
        <v>20</v>
      </c>
      <c r="G448" s="4" t="s">
        <v>14</v>
      </c>
      <c r="H448">
        <v>46.98747201049094</v>
      </c>
      <c r="I448">
        <v>6.6941500065661224</v>
      </c>
      <c r="J448" s="4" t="s">
        <v>44</v>
      </c>
      <c r="L448" s="4" t="s">
        <v>42</v>
      </c>
      <c r="M448" s="4" t="s">
        <v>43</v>
      </c>
      <c r="N448" s="4" t="s">
        <v>16</v>
      </c>
    </row>
    <row r="449" spans="1:15" x14ac:dyDescent="0.25">
      <c r="A449">
        <f t="shared" si="28"/>
        <v>115185</v>
      </c>
      <c r="B449" t="s">
        <v>177</v>
      </c>
      <c r="C449" s="3">
        <v>42845</v>
      </c>
      <c r="D449" s="13">
        <f t="shared" si="25"/>
        <v>2017</v>
      </c>
      <c r="E449" s="13">
        <f t="shared" si="26"/>
        <v>4</v>
      </c>
      <c r="F449" s="13">
        <f t="shared" si="27"/>
        <v>20</v>
      </c>
      <c r="G449" s="4" t="s">
        <v>14</v>
      </c>
      <c r="H449">
        <v>46.993352010496181</v>
      </c>
      <c r="I449">
        <v>6.6808990065501428</v>
      </c>
      <c r="J449" s="4" t="s">
        <v>44</v>
      </c>
      <c r="L449" s="4" t="s">
        <v>42</v>
      </c>
      <c r="M449" s="4" t="s">
        <v>43</v>
      </c>
      <c r="N449" s="4" t="s">
        <v>16</v>
      </c>
    </row>
    <row r="450" spans="1:15" x14ac:dyDescent="0.25">
      <c r="A450">
        <f t="shared" si="28"/>
        <v>115185</v>
      </c>
      <c r="B450" t="s">
        <v>177</v>
      </c>
      <c r="C450" s="3">
        <v>42878</v>
      </c>
      <c r="D450" s="13">
        <f t="shared" si="25"/>
        <v>2017</v>
      </c>
      <c r="E450" s="13">
        <f t="shared" si="26"/>
        <v>5</v>
      </c>
      <c r="F450" s="13">
        <f t="shared" si="27"/>
        <v>23</v>
      </c>
      <c r="G450" s="4" t="s">
        <v>14</v>
      </c>
      <c r="H450">
        <v>46.977288010492707</v>
      </c>
      <c r="I450">
        <v>6.667288006538489</v>
      </c>
      <c r="J450" s="4" t="s">
        <v>44</v>
      </c>
      <c r="L450" s="4" t="s">
        <v>42</v>
      </c>
      <c r="M450" s="4" t="s">
        <v>43</v>
      </c>
      <c r="N450" s="4" t="s">
        <v>16</v>
      </c>
    </row>
    <row r="451" spans="1:15" x14ac:dyDescent="0.25">
      <c r="A451">
        <f t="shared" si="28"/>
        <v>115185</v>
      </c>
      <c r="B451" t="s">
        <v>177</v>
      </c>
      <c r="C451" s="3">
        <v>42902</v>
      </c>
      <c r="D451" s="13">
        <f t="shared" ref="D451:D514" si="29">YEAR(C451)</f>
        <v>2017</v>
      </c>
      <c r="E451" s="13">
        <f t="shared" ref="E451:E514" si="30">MONTH(C451)</f>
        <v>6</v>
      </c>
      <c r="F451" s="13">
        <f t="shared" ref="F451:F514" si="31">DAY(C451)</f>
        <v>16</v>
      </c>
      <c r="G451" s="4" t="s">
        <v>14</v>
      </c>
      <c r="H451">
        <v>46.99396801049668</v>
      </c>
      <c r="I451">
        <v>6.6796850065486639</v>
      </c>
      <c r="J451" s="4" t="s">
        <v>44</v>
      </c>
      <c r="L451" s="4" t="s">
        <v>42</v>
      </c>
      <c r="M451" s="4" t="s">
        <v>43</v>
      </c>
      <c r="N451" s="4" t="s">
        <v>16</v>
      </c>
    </row>
    <row r="452" spans="1:15" x14ac:dyDescent="0.25">
      <c r="A452">
        <f t="shared" si="28"/>
        <v>115185</v>
      </c>
      <c r="B452" t="s">
        <v>177</v>
      </c>
      <c r="C452" s="3">
        <v>42930</v>
      </c>
      <c r="D452" s="13">
        <f t="shared" si="29"/>
        <v>2017</v>
      </c>
      <c r="E452" s="13">
        <f t="shared" si="30"/>
        <v>7</v>
      </c>
      <c r="F452" s="13">
        <f t="shared" si="31"/>
        <v>14</v>
      </c>
      <c r="G452" s="4" t="s">
        <v>14</v>
      </c>
      <c r="H452">
        <v>46.991264010495847</v>
      </c>
      <c r="I452">
        <v>6.6786380065480833</v>
      </c>
      <c r="J452" s="4" t="s">
        <v>44</v>
      </c>
      <c r="L452" s="4" t="s">
        <v>42</v>
      </c>
      <c r="M452" s="4" t="s">
        <v>43</v>
      </c>
      <c r="N452" s="4" t="s">
        <v>16</v>
      </c>
    </row>
    <row r="453" spans="1:15" x14ac:dyDescent="0.25">
      <c r="A453">
        <f t="shared" si="28"/>
        <v>115185</v>
      </c>
      <c r="B453" t="s">
        <v>177</v>
      </c>
      <c r="C453" s="3">
        <v>42961</v>
      </c>
      <c r="D453" s="13">
        <f t="shared" si="29"/>
        <v>2017</v>
      </c>
      <c r="E453" s="13">
        <f t="shared" si="30"/>
        <v>8</v>
      </c>
      <c r="F453" s="13">
        <f t="shared" si="31"/>
        <v>14</v>
      </c>
      <c r="G453" s="4" t="s">
        <v>14</v>
      </c>
      <c r="H453">
        <v>46.976528010486639</v>
      </c>
      <c r="I453">
        <v>6.6939230065682427</v>
      </c>
      <c r="J453" s="4" t="s">
        <v>44</v>
      </c>
      <c r="L453" s="4" t="s">
        <v>42</v>
      </c>
      <c r="M453" s="4" t="s">
        <v>43</v>
      </c>
      <c r="N453" s="4" t="s">
        <v>16</v>
      </c>
    </row>
    <row r="454" spans="1:15" x14ac:dyDescent="0.25">
      <c r="A454">
        <f t="shared" si="28"/>
        <v>115185</v>
      </c>
      <c r="B454" t="s">
        <v>177</v>
      </c>
      <c r="C454" s="3">
        <v>42993</v>
      </c>
      <c r="D454" s="13">
        <f t="shared" si="29"/>
        <v>2017</v>
      </c>
      <c r="E454" s="13">
        <f t="shared" si="30"/>
        <v>9</v>
      </c>
      <c r="F454" s="13">
        <f t="shared" si="31"/>
        <v>15</v>
      </c>
      <c r="G454" s="4" t="s">
        <v>14</v>
      </c>
      <c r="H454">
        <v>46.975976010486157</v>
      </c>
      <c r="I454">
        <v>6.6952620065698456</v>
      </c>
      <c r="J454" s="4" t="s">
        <v>44</v>
      </c>
      <c r="L454" s="4" t="s">
        <v>42</v>
      </c>
      <c r="M454" s="4" t="s">
        <v>43</v>
      </c>
      <c r="N454" s="4" t="s">
        <v>16</v>
      </c>
    </row>
    <row r="455" spans="1:15" x14ac:dyDescent="0.25">
      <c r="A455">
        <f t="shared" si="28"/>
        <v>115185</v>
      </c>
      <c r="B455" t="s">
        <v>177</v>
      </c>
      <c r="C455" s="3">
        <v>43019</v>
      </c>
      <c r="D455" s="13">
        <f t="shared" si="29"/>
        <v>2017</v>
      </c>
      <c r="E455" s="13">
        <f t="shared" si="30"/>
        <v>10</v>
      </c>
      <c r="F455" s="13">
        <f t="shared" si="31"/>
        <v>11</v>
      </c>
      <c r="G455" s="4" t="s">
        <v>14</v>
      </c>
      <c r="H455">
        <v>47.006656010479439</v>
      </c>
      <c r="I455">
        <v>6.7819510066591011</v>
      </c>
      <c r="J455" s="4" t="s">
        <v>44</v>
      </c>
      <c r="L455" s="4" t="s">
        <v>42</v>
      </c>
      <c r="M455" s="4" t="s">
        <v>43</v>
      </c>
      <c r="N455" s="4" t="s">
        <v>16</v>
      </c>
    </row>
    <row r="456" spans="1:15" x14ac:dyDescent="0.25">
      <c r="A456">
        <f t="shared" si="28"/>
        <v>115185</v>
      </c>
      <c r="B456" t="s">
        <v>177</v>
      </c>
      <c r="C456" s="3">
        <v>43220</v>
      </c>
      <c r="D456" s="13">
        <f t="shared" si="29"/>
        <v>2018</v>
      </c>
      <c r="E456" s="13">
        <f t="shared" si="30"/>
        <v>4</v>
      </c>
      <c r="F456" s="13">
        <f t="shared" si="31"/>
        <v>30</v>
      </c>
      <c r="G456" s="4" t="s">
        <v>14</v>
      </c>
      <c r="H456">
        <v>46.975912010491747</v>
      </c>
      <c r="I456">
        <v>6.6689810065406698</v>
      </c>
      <c r="J456" s="4" t="s">
        <v>44</v>
      </c>
      <c r="L456" s="4" t="s">
        <v>42</v>
      </c>
      <c r="M456" s="4" t="s">
        <v>43</v>
      </c>
      <c r="N456" s="4" t="s">
        <v>17</v>
      </c>
    </row>
    <row r="457" spans="1:15" x14ac:dyDescent="0.25">
      <c r="A457">
        <f t="shared" si="28"/>
        <v>115186</v>
      </c>
      <c r="B457" t="s">
        <v>178</v>
      </c>
      <c r="C457" s="3">
        <v>42650</v>
      </c>
      <c r="D457" s="13">
        <f t="shared" si="29"/>
        <v>2016</v>
      </c>
      <c r="E457" s="13">
        <f t="shared" si="30"/>
        <v>10</v>
      </c>
      <c r="F457" s="13">
        <f t="shared" si="31"/>
        <v>7</v>
      </c>
      <c r="G457" s="4" t="s">
        <v>14</v>
      </c>
      <c r="H457">
        <v>46.903599999999997</v>
      </c>
      <c r="I457">
        <v>6.6722000000000001</v>
      </c>
      <c r="J457" s="4" t="s">
        <v>15</v>
      </c>
      <c r="L457" s="4" t="s">
        <v>42</v>
      </c>
      <c r="M457" s="4" t="s">
        <v>43</v>
      </c>
      <c r="N457" s="4" t="s">
        <v>16</v>
      </c>
      <c r="O457" s="4">
        <v>4</v>
      </c>
    </row>
    <row r="458" spans="1:15" x14ac:dyDescent="0.25">
      <c r="A458">
        <f t="shared" si="28"/>
        <v>115186</v>
      </c>
      <c r="B458" t="s">
        <v>178</v>
      </c>
      <c r="C458" s="3">
        <v>42680</v>
      </c>
      <c r="D458" s="13">
        <f t="shared" si="29"/>
        <v>2016</v>
      </c>
      <c r="E458" s="13">
        <f t="shared" si="30"/>
        <v>11</v>
      </c>
      <c r="F458" s="13">
        <f t="shared" si="31"/>
        <v>6</v>
      </c>
      <c r="G458" s="4" t="s">
        <v>14</v>
      </c>
      <c r="H458">
        <v>46.921492010472967</v>
      </c>
      <c r="I458">
        <v>6.6539630065355961</v>
      </c>
      <c r="J458" s="4" t="s">
        <v>44</v>
      </c>
      <c r="L458" s="4" t="s">
        <v>42</v>
      </c>
      <c r="M458" s="4" t="s">
        <v>43</v>
      </c>
      <c r="N458" s="4" t="s">
        <v>16</v>
      </c>
    </row>
    <row r="459" spans="1:15" x14ac:dyDescent="0.25">
      <c r="A459">
        <f t="shared" si="28"/>
        <v>115186</v>
      </c>
      <c r="B459" t="s">
        <v>178</v>
      </c>
      <c r="C459" s="3">
        <v>42819</v>
      </c>
      <c r="D459" s="13">
        <f t="shared" si="29"/>
        <v>2017</v>
      </c>
      <c r="E459" s="13">
        <f t="shared" si="30"/>
        <v>3</v>
      </c>
      <c r="F459" s="13">
        <f t="shared" si="31"/>
        <v>25</v>
      </c>
      <c r="G459" s="4" t="s">
        <v>14</v>
      </c>
      <c r="H459">
        <v>46.941056010468017</v>
      </c>
      <c r="I459">
        <v>6.7139890065981813</v>
      </c>
      <c r="J459" s="4" t="s">
        <v>44</v>
      </c>
      <c r="L459" s="4" t="s">
        <v>42</v>
      </c>
      <c r="M459" s="4" t="s">
        <v>43</v>
      </c>
      <c r="N459" s="4" t="s">
        <v>16</v>
      </c>
    </row>
    <row r="460" spans="1:15" x14ac:dyDescent="0.25">
      <c r="A460">
        <f t="shared" si="28"/>
        <v>115186</v>
      </c>
      <c r="B460" t="s">
        <v>178</v>
      </c>
      <c r="C460" s="3">
        <v>42843</v>
      </c>
      <c r="D460" s="13">
        <f t="shared" si="29"/>
        <v>2017</v>
      </c>
      <c r="E460" s="13">
        <f t="shared" si="30"/>
        <v>4</v>
      </c>
      <c r="F460" s="13">
        <f t="shared" si="31"/>
        <v>18</v>
      </c>
      <c r="G460" s="4" t="s">
        <v>14</v>
      </c>
      <c r="H460">
        <v>46.873440010452192</v>
      </c>
      <c r="I460">
        <v>6.6588370065512148</v>
      </c>
      <c r="J460" s="4" t="s">
        <v>44</v>
      </c>
      <c r="L460" s="4" t="s">
        <v>42</v>
      </c>
      <c r="M460" s="4" t="s">
        <v>43</v>
      </c>
      <c r="N460" s="4" t="s">
        <v>16</v>
      </c>
    </row>
    <row r="461" spans="1:15" x14ac:dyDescent="0.25">
      <c r="A461">
        <f t="shared" si="28"/>
        <v>115186</v>
      </c>
      <c r="B461" t="s">
        <v>178</v>
      </c>
      <c r="C461" s="3">
        <v>42870</v>
      </c>
      <c r="D461" s="13">
        <f t="shared" si="29"/>
        <v>2017</v>
      </c>
      <c r="E461" s="13">
        <f t="shared" si="30"/>
        <v>5</v>
      </c>
      <c r="F461" s="13">
        <f t="shared" si="31"/>
        <v>15</v>
      </c>
      <c r="G461" s="4" t="s">
        <v>14</v>
      </c>
      <c r="H461">
        <v>46.872388010454692</v>
      </c>
      <c r="I461">
        <v>6.64509300653609</v>
      </c>
      <c r="J461" s="4" t="s">
        <v>44</v>
      </c>
      <c r="L461" s="4" t="s">
        <v>42</v>
      </c>
      <c r="M461" s="4" t="s">
        <v>43</v>
      </c>
      <c r="N461" s="4" t="s">
        <v>16</v>
      </c>
    </row>
    <row r="462" spans="1:15" x14ac:dyDescent="0.25">
      <c r="A462">
        <f t="shared" si="28"/>
        <v>115186</v>
      </c>
      <c r="B462" t="s">
        <v>178</v>
      </c>
      <c r="C462" s="3">
        <v>42901</v>
      </c>
      <c r="D462" s="13">
        <f t="shared" si="29"/>
        <v>2017</v>
      </c>
      <c r="E462" s="13">
        <f t="shared" si="30"/>
        <v>6</v>
      </c>
      <c r="F462" s="13">
        <f t="shared" si="31"/>
        <v>15</v>
      </c>
      <c r="G462" s="4" t="s">
        <v>14</v>
      </c>
      <c r="H462">
        <v>46.935336010457497</v>
      </c>
      <c r="I462">
        <v>6.75170300664126</v>
      </c>
      <c r="J462" s="4" t="s">
        <v>44</v>
      </c>
      <c r="L462" s="4" t="s">
        <v>42</v>
      </c>
      <c r="M462" s="4" t="s">
        <v>43</v>
      </c>
      <c r="N462" s="4" t="s">
        <v>16</v>
      </c>
    </row>
    <row r="463" spans="1:15" x14ac:dyDescent="0.25">
      <c r="A463">
        <f t="shared" si="28"/>
        <v>115186</v>
      </c>
      <c r="B463" t="s">
        <v>178</v>
      </c>
      <c r="C463" s="3">
        <v>42933</v>
      </c>
      <c r="D463" s="13">
        <f t="shared" si="29"/>
        <v>2017</v>
      </c>
      <c r="E463" s="13">
        <f t="shared" si="30"/>
        <v>7</v>
      </c>
      <c r="F463" s="13">
        <f t="shared" si="31"/>
        <v>17</v>
      </c>
      <c r="G463" s="4" t="s">
        <v>14</v>
      </c>
      <c r="H463">
        <v>46.874464010452407</v>
      </c>
      <c r="I463">
        <v>6.6597750065520449</v>
      </c>
      <c r="J463" s="4" t="s">
        <v>44</v>
      </c>
      <c r="L463" s="4" t="s">
        <v>42</v>
      </c>
      <c r="M463" s="4" t="s">
        <v>43</v>
      </c>
      <c r="N463" s="4" t="s">
        <v>16</v>
      </c>
    </row>
    <row r="464" spans="1:15" x14ac:dyDescent="0.25">
      <c r="A464">
        <f t="shared" ref="A464:A527" si="32">RIGHT(B464,6)*1</f>
        <v>115186</v>
      </c>
      <c r="B464" t="s">
        <v>178</v>
      </c>
      <c r="C464" s="3">
        <v>42963</v>
      </c>
      <c r="D464" s="13">
        <f t="shared" si="29"/>
        <v>2017</v>
      </c>
      <c r="E464" s="13">
        <f t="shared" si="30"/>
        <v>8</v>
      </c>
      <c r="F464" s="13">
        <f t="shared" si="31"/>
        <v>16</v>
      </c>
      <c r="G464" s="4" t="s">
        <v>14</v>
      </c>
      <c r="H464">
        <v>46.913068010462517</v>
      </c>
      <c r="I464">
        <v>6.6867800065739447</v>
      </c>
      <c r="J464" s="4" t="s">
        <v>44</v>
      </c>
      <c r="L464" s="4" t="s">
        <v>42</v>
      </c>
      <c r="M464" s="4" t="s">
        <v>43</v>
      </c>
      <c r="N464" s="4" t="s">
        <v>16</v>
      </c>
    </row>
    <row r="465" spans="1:15" x14ac:dyDescent="0.25">
      <c r="A465">
        <f t="shared" si="32"/>
        <v>115186</v>
      </c>
      <c r="B465" t="s">
        <v>178</v>
      </c>
      <c r="C465" s="3">
        <v>42993</v>
      </c>
      <c r="D465" s="13">
        <f t="shared" si="29"/>
        <v>2017</v>
      </c>
      <c r="E465" s="13">
        <f t="shared" si="30"/>
        <v>9</v>
      </c>
      <c r="F465" s="13">
        <f t="shared" si="31"/>
        <v>15</v>
      </c>
      <c r="G465" s="4" t="s">
        <v>14</v>
      </c>
      <c r="H465">
        <v>46.923332010468407</v>
      </c>
      <c r="I465">
        <v>6.678802006562873</v>
      </c>
      <c r="J465" s="4" t="s">
        <v>44</v>
      </c>
      <c r="L465" s="4" t="s">
        <v>42</v>
      </c>
      <c r="M465" s="4" t="s">
        <v>43</v>
      </c>
      <c r="N465" s="4" t="s">
        <v>16</v>
      </c>
    </row>
    <row r="466" spans="1:15" x14ac:dyDescent="0.25">
      <c r="A466">
        <f t="shared" si="32"/>
        <v>115186</v>
      </c>
      <c r="B466" t="s">
        <v>178</v>
      </c>
      <c r="C466" s="3">
        <v>43031</v>
      </c>
      <c r="D466" s="13">
        <f t="shared" si="29"/>
        <v>2017</v>
      </c>
      <c r="E466" s="13">
        <f t="shared" si="30"/>
        <v>10</v>
      </c>
      <c r="F466" s="13">
        <f t="shared" si="31"/>
        <v>23</v>
      </c>
      <c r="G466" s="4" t="s">
        <v>14</v>
      </c>
      <c r="H466">
        <v>46.921368010472889</v>
      </c>
      <c r="I466">
        <v>6.654104006535781</v>
      </c>
      <c r="J466" s="4" t="s">
        <v>44</v>
      </c>
      <c r="L466" s="4" t="s">
        <v>42</v>
      </c>
      <c r="M466" s="4" t="s">
        <v>43</v>
      </c>
      <c r="N466" s="4" t="s">
        <v>16</v>
      </c>
    </row>
    <row r="467" spans="1:15" x14ac:dyDescent="0.25">
      <c r="A467">
        <f t="shared" si="32"/>
        <v>115186</v>
      </c>
      <c r="B467" t="s">
        <v>178</v>
      </c>
      <c r="C467" s="3">
        <v>43215</v>
      </c>
      <c r="D467" s="13">
        <f t="shared" si="29"/>
        <v>2018</v>
      </c>
      <c r="E467" s="13">
        <f t="shared" si="30"/>
        <v>4</v>
      </c>
      <c r="F467" s="13">
        <f t="shared" si="31"/>
        <v>25</v>
      </c>
      <c r="G467" s="4" t="s">
        <v>14</v>
      </c>
      <c r="H467">
        <v>46.873108010451638</v>
      </c>
      <c r="I467">
        <v>6.6605650065532176</v>
      </c>
      <c r="J467" s="4" t="s">
        <v>44</v>
      </c>
      <c r="L467" s="4" t="s">
        <v>42</v>
      </c>
      <c r="M467" s="4" t="s">
        <v>43</v>
      </c>
      <c r="N467" s="4" t="s">
        <v>16</v>
      </c>
    </row>
    <row r="468" spans="1:15" x14ac:dyDescent="0.25">
      <c r="A468">
        <f t="shared" si="32"/>
        <v>115186</v>
      </c>
      <c r="B468" t="s">
        <v>178</v>
      </c>
      <c r="C468" s="3">
        <v>43236</v>
      </c>
      <c r="D468" s="13">
        <f t="shared" si="29"/>
        <v>2018</v>
      </c>
      <c r="E468" s="13">
        <f t="shared" si="30"/>
        <v>5</v>
      </c>
      <c r="F468" s="13">
        <f t="shared" si="31"/>
        <v>16</v>
      </c>
      <c r="G468" s="4" t="s">
        <v>14</v>
      </c>
      <c r="H468">
        <v>46.935060010463133</v>
      </c>
      <c r="I468">
        <v>6.7254020066121454</v>
      </c>
      <c r="J468" s="4" t="s">
        <v>44</v>
      </c>
      <c r="L468" s="4" t="s">
        <v>42</v>
      </c>
      <c r="M468" s="4" t="s">
        <v>43</v>
      </c>
      <c r="N468" s="4" t="s">
        <v>16</v>
      </c>
    </row>
    <row r="469" spans="1:15" x14ac:dyDescent="0.25">
      <c r="A469">
        <f t="shared" si="32"/>
        <v>115186</v>
      </c>
      <c r="B469" t="s">
        <v>178</v>
      </c>
      <c r="C469" s="3">
        <v>43265</v>
      </c>
      <c r="D469" s="13">
        <f t="shared" si="29"/>
        <v>2018</v>
      </c>
      <c r="E469" s="13">
        <f t="shared" si="30"/>
        <v>6</v>
      </c>
      <c r="F469" s="13">
        <f t="shared" si="31"/>
        <v>14</v>
      </c>
      <c r="G469" s="4" t="s">
        <v>14</v>
      </c>
      <c r="H469">
        <v>46.935692010463207</v>
      </c>
      <c r="I469">
        <v>6.7260060066126819</v>
      </c>
      <c r="J469" s="4" t="s">
        <v>44</v>
      </c>
      <c r="L469" s="4" t="s">
        <v>42</v>
      </c>
      <c r="M469" s="4" t="s">
        <v>43</v>
      </c>
      <c r="N469" s="4" t="s">
        <v>16</v>
      </c>
    </row>
    <row r="470" spans="1:15" x14ac:dyDescent="0.25">
      <c r="A470">
        <f t="shared" si="32"/>
        <v>115186</v>
      </c>
      <c r="B470" t="s">
        <v>178</v>
      </c>
      <c r="C470" s="3">
        <v>43297</v>
      </c>
      <c r="D470" s="13">
        <f t="shared" si="29"/>
        <v>2018</v>
      </c>
      <c r="E470" s="13">
        <f t="shared" si="30"/>
        <v>7</v>
      </c>
      <c r="F470" s="13">
        <f t="shared" si="31"/>
        <v>16</v>
      </c>
      <c r="G470" s="4" t="s">
        <v>14</v>
      </c>
      <c r="H470">
        <v>46.936976010463468</v>
      </c>
      <c r="I470">
        <v>6.7273820066139294</v>
      </c>
      <c r="J470" s="4" t="s">
        <v>44</v>
      </c>
      <c r="L470" s="4" t="s">
        <v>42</v>
      </c>
      <c r="M470" s="4" t="s">
        <v>43</v>
      </c>
      <c r="N470" s="4" t="s">
        <v>16</v>
      </c>
    </row>
    <row r="471" spans="1:15" x14ac:dyDescent="0.25">
      <c r="A471">
        <f t="shared" si="32"/>
        <v>115186</v>
      </c>
      <c r="B471" t="s">
        <v>178</v>
      </c>
      <c r="C471" s="3">
        <v>43332</v>
      </c>
      <c r="D471" s="13">
        <f t="shared" si="29"/>
        <v>2018</v>
      </c>
      <c r="E471" s="13">
        <f t="shared" si="30"/>
        <v>8</v>
      </c>
      <c r="F471" s="13">
        <f t="shared" si="31"/>
        <v>20</v>
      </c>
      <c r="G471" s="4" t="s">
        <v>14</v>
      </c>
      <c r="H471">
        <v>46.933744010462902</v>
      </c>
      <c r="I471">
        <v>6.7239940066108694</v>
      </c>
      <c r="J471" s="4" t="s">
        <v>44</v>
      </c>
      <c r="L471" s="4" t="s">
        <v>42</v>
      </c>
      <c r="M471" s="4" t="s">
        <v>43</v>
      </c>
      <c r="N471" s="4" t="s">
        <v>17</v>
      </c>
    </row>
    <row r="472" spans="1:15" x14ac:dyDescent="0.25">
      <c r="A472">
        <f t="shared" si="32"/>
        <v>115187</v>
      </c>
      <c r="B472" t="s">
        <v>179</v>
      </c>
      <c r="C472" s="9">
        <v>42661</v>
      </c>
      <c r="D472" s="13">
        <f t="shared" si="29"/>
        <v>2016</v>
      </c>
      <c r="E472" s="13">
        <f t="shared" si="30"/>
        <v>10</v>
      </c>
      <c r="F472" s="13">
        <f t="shared" si="31"/>
        <v>18</v>
      </c>
      <c r="G472" s="4" t="s">
        <v>14</v>
      </c>
      <c r="H472">
        <v>46.934399999999997</v>
      </c>
      <c r="I472">
        <v>6.5835999999999997</v>
      </c>
      <c r="J472" s="4" t="s">
        <v>15</v>
      </c>
      <c r="L472" s="4" t="s">
        <v>1</v>
      </c>
      <c r="N472" s="4" t="s">
        <v>17</v>
      </c>
      <c r="O472" s="4" t="s">
        <v>24</v>
      </c>
    </row>
    <row r="473" spans="1:15" x14ac:dyDescent="0.25">
      <c r="A473">
        <f t="shared" si="32"/>
        <v>115188</v>
      </c>
      <c r="B473" t="s">
        <v>180</v>
      </c>
      <c r="C473" s="9">
        <v>42661</v>
      </c>
      <c r="D473" s="13">
        <f t="shared" si="29"/>
        <v>2016</v>
      </c>
      <c r="E473" s="13">
        <f t="shared" si="30"/>
        <v>10</v>
      </c>
      <c r="F473" s="13">
        <f t="shared" si="31"/>
        <v>18</v>
      </c>
      <c r="G473" s="4" t="s">
        <v>14</v>
      </c>
      <c r="H473">
        <v>46.934399999999997</v>
      </c>
      <c r="I473">
        <v>6.5835999999999997</v>
      </c>
      <c r="J473" s="4" t="s">
        <v>15</v>
      </c>
      <c r="L473" s="4" t="s">
        <v>1</v>
      </c>
      <c r="N473" s="4" t="s">
        <v>17</v>
      </c>
      <c r="O473" s="4" t="s">
        <v>24</v>
      </c>
    </row>
    <row r="474" spans="1:15" x14ac:dyDescent="0.25">
      <c r="A474">
        <f t="shared" si="32"/>
        <v>115189</v>
      </c>
      <c r="B474" t="s">
        <v>181</v>
      </c>
      <c r="C474" s="9">
        <v>42661</v>
      </c>
      <c r="D474" s="13">
        <f t="shared" si="29"/>
        <v>2016</v>
      </c>
      <c r="E474" s="13">
        <f t="shared" si="30"/>
        <v>10</v>
      </c>
      <c r="F474" s="13">
        <f t="shared" si="31"/>
        <v>18</v>
      </c>
      <c r="G474" s="4" t="s">
        <v>14</v>
      </c>
      <c r="H474">
        <v>46.992800000000003</v>
      </c>
      <c r="I474">
        <v>6.6971999999999996</v>
      </c>
      <c r="J474" s="4" t="s">
        <v>15</v>
      </c>
      <c r="L474" s="4" t="s">
        <v>1</v>
      </c>
      <c r="N474" s="4" t="s">
        <v>17</v>
      </c>
      <c r="O474" s="4" t="s">
        <v>24</v>
      </c>
    </row>
    <row r="475" spans="1:15" x14ac:dyDescent="0.25">
      <c r="A475">
        <f t="shared" si="32"/>
        <v>115190</v>
      </c>
      <c r="B475" t="s">
        <v>182</v>
      </c>
      <c r="C475" s="9">
        <v>42661</v>
      </c>
      <c r="D475" s="13">
        <f t="shared" si="29"/>
        <v>2016</v>
      </c>
      <c r="E475" s="13">
        <f t="shared" si="30"/>
        <v>10</v>
      </c>
      <c r="F475" s="13">
        <f t="shared" si="31"/>
        <v>18</v>
      </c>
      <c r="G475" s="4" t="s">
        <v>14</v>
      </c>
      <c r="H475">
        <v>46.992800000000003</v>
      </c>
      <c r="I475">
        <v>6.6971999999999996</v>
      </c>
      <c r="J475" s="4" t="s">
        <v>15</v>
      </c>
      <c r="L475" s="4" t="s">
        <v>1</v>
      </c>
      <c r="N475" s="4" t="s">
        <v>17</v>
      </c>
      <c r="O475" s="4" t="s">
        <v>24</v>
      </c>
    </row>
    <row r="476" spans="1:15" x14ac:dyDescent="0.25">
      <c r="A476">
        <f t="shared" si="32"/>
        <v>115191</v>
      </c>
      <c r="B476" t="s">
        <v>183</v>
      </c>
      <c r="C476" s="9">
        <v>42661</v>
      </c>
      <c r="D476" s="13">
        <f t="shared" si="29"/>
        <v>2016</v>
      </c>
      <c r="E476" s="13">
        <f t="shared" si="30"/>
        <v>10</v>
      </c>
      <c r="F476" s="13">
        <f t="shared" si="31"/>
        <v>18</v>
      </c>
      <c r="G476" s="4" t="s">
        <v>14</v>
      </c>
      <c r="H476">
        <v>46.992800000000003</v>
      </c>
      <c r="I476">
        <v>6.6971999999999996</v>
      </c>
      <c r="J476" s="4" t="s">
        <v>15</v>
      </c>
      <c r="L476" s="4" t="s">
        <v>1</v>
      </c>
      <c r="N476" s="4" t="s">
        <v>17</v>
      </c>
      <c r="O476" s="4" t="s">
        <v>184</v>
      </c>
    </row>
    <row r="477" spans="1:15" x14ac:dyDescent="0.25">
      <c r="A477">
        <f t="shared" si="32"/>
        <v>115192</v>
      </c>
      <c r="B477" t="s">
        <v>185</v>
      </c>
      <c r="C477" s="9">
        <v>42662</v>
      </c>
      <c r="D477" s="13">
        <f t="shared" si="29"/>
        <v>2016</v>
      </c>
      <c r="E477" s="13">
        <f t="shared" si="30"/>
        <v>10</v>
      </c>
      <c r="F477" s="13">
        <f t="shared" si="31"/>
        <v>19</v>
      </c>
      <c r="G477" s="4" t="s">
        <v>14</v>
      </c>
      <c r="H477">
        <v>46.992800000000003</v>
      </c>
      <c r="I477">
        <v>6.6971999999999996</v>
      </c>
      <c r="J477" s="4" t="s">
        <v>15</v>
      </c>
      <c r="L477" s="4" t="s">
        <v>1</v>
      </c>
      <c r="N477" s="4" t="s">
        <v>17</v>
      </c>
      <c r="O477" s="4" t="s">
        <v>24</v>
      </c>
    </row>
    <row r="478" spans="1:15" x14ac:dyDescent="0.25">
      <c r="A478">
        <f t="shared" si="32"/>
        <v>115193</v>
      </c>
      <c r="B478" t="s">
        <v>186</v>
      </c>
      <c r="C478" s="9">
        <v>42662</v>
      </c>
      <c r="D478" s="13">
        <f t="shared" si="29"/>
        <v>2016</v>
      </c>
      <c r="E478" s="13">
        <f t="shared" si="30"/>
        <v>10</v>
      </c>
      <c r="F478" s="13">
        <f t="shared" si="31"/>
        <v>19</v>
      </c>
      <c r="G478" s="4" t="s">
        <v>14</v>
      </c>
      <c r="H478">
        <v>46.9283</v>
      </c>
      <c r="I478">
        <v>6.7336</v>
      </c>
      <c r="J478" s="4" t="s">
        <v>15</v>
      </c>
      <c r="L478" s="4" t="s">
        <v>1</v>
      </c>
      <c r="N478" s="4" t="s">
        <v>17</v>
      </c>
      <c r="O478" s="4" t="s">
        <v>184</v>
      </c>
    </row>
    <row r="479" spans="1:15" x14ac:dyDescent="0.25">
      <c r="A479">
        <f t="shared" si="32"/>
        <v>115194</v>
      </c>
      <c r="B479" t="s">
        <v>187</v>
      </c>
      <c r="C479" s="9">
        <v>42663</v>
      </c>
      <c r="D479" s="13">
        <f t="shared" si="29"/>
        <v>2016</v>
      </c>
      <c r="E479" s="13">
        <f t="shared" si="30"/>
        <v>10</v>
      </c>
      <c r="F479" s="13">
        <f t="shared" si="31"/>
        <v>20</v>
      </c>
      <c r="G479" s="4" t="s">
        <v>14</v>
      </c>
      <c r="H479">
        <v>46.884399999999999</v>
      </c>
      <c r="I479">
        <v>6.6238999999999999</v>
      </c>
      <c r="J479" s="4" t="s">
        <v>15</v>
      </c>
      <c r="L479" s="4" t="s">
        <v>1</v>
      </c>
      <c r="N479" s="4" t="s">
        <v>17</v>
      </c>
      <c r="O479" s="4" t="s">
        <v>24</v>
      </c>
    </row>
    <row r="480" spans="1:15" x14ac:dyDescent="0.25">
      <c r="A480">
        <f t="shared" si="32"/>
        <v>115195</v>
      </c>
      <c r="B480" t="s">
        <v>188</v>
      </c>
      <c r="C480" s="9">
        <v>42663</v>
      </c>
      <c r="D480" s="13">
        <f t="shared" si="29"/>
        <v>2016</v>
      </c>
      <c r="E480" s="13">
        <f t="shared" si="30"/>
        <v>10</v>
      </c>
      <c r="F480" s="13">
        <f t="shared" si="31"/>
        <v>20</v>
      </c>
      <c r="G480" s="4" t="s">
        <v>14</v>
      </c>
      <c r="H480">
        <v>46.884399999999999</v>
      </c>
      <c r="I480">
        <v>6.6238999999999999</v>
      </c>
      <c r="J480" s="4" t="s">
        <v>15</v>
      </c>
      <c r="L480" s="4" t="s">
        <v>1</v>
      </c>
      <c r="N480" s="4" t="s">
        <v>17</v>
      </c>
      <c r="O480" s="4" t="s">
        <v>24</v>
      </c>
    </row>
    <row r="481" spans="1:15" x14ac:dyDescent="0.25">
      <c r="A481">
        <f t="shared" si="32"/>
        <v>115196</v>
      </c>
      <c r="B481" t="s">
        <v>189</v>
      </c>
      <c r="C481" s="9">
        <v>42663</v>
      </c>
      <c r="D481" s="13">
        <f t="shared" si="29"/>
        <v>2016</v>
      </c>
      <c r="E481" s="13">
        <f t="shared" si="30"/>
        <v>10</v>
      </c>
      <c r="F481" s="13">
        <f t="shared" si="31"/>
        <v>20</v>
      </c>
      <c r="G481" s="4" t="s">
        <v>14</v>
      </c>
      <c r="H481">
        <v>46.884399999999999</v>
      </c>
      <c r="I481">
        <v>6.6238999999999999</v>
      </c>
      <c r="J481" s="4" t="s">
        <v>15</v>
      </c>
      <c r="L481" s="4" t="s">
        <v>1</v>
      </c>
      <c r="N481" s="4" t="s">
        <v>17</v>
      </c>
      <c r="O481" s="4" t="s">
        <v>184</v>
      </c>
    </row>
    <row r="482" spans="1:15" x14ac:dyDescent="0.25">
      <c r="A482">
        <f t="shared" si="32"/>
        <v>115197</v>
      </c>
      <c r="B482" t="s">
        <v>190</v>
      </c>
      <c r="C482" s="9">
        <v>42663</v>
      </c>
      <c r="D482" s="13">
        <f t="shared" si="29"/>
        <v>2016</v>
      </c>
      <c r="E482" s="13">
        <f t="shared" si="30"/>
        <v>10</v>
      </c>
      <c r="F482" s="13">
        <f t="shared" si="31"/>
        <v>20</v>
      </c>
      <c r="G482" s="4" t="s">
        <v>14</v>
      </c>
      <c r="H482">
        <v>46.884399999999999</v>
      </c>
      <c r="I482">
        <v>6.6238999999999999</v>
      </c>
      <c r="J482" s="4" t="s">
        <v>15</v>
      </c>
      <c r="L482" s="4" t="s">
        <v>1</v>
      </c>
      <c r="N482" s="4" t="s">
        <v>17</v>
      </c>
      <c r="O482" s="4" t="s">
        <v>24</v>
      </c>
    </row>
    <row r="483" spans="1:15" x14ac:dyDescent="0.25">
      <c r="A483">
        <f t="shared" si="32"/>
        <v>115198</v>
      </c>
      <c r="B483" t="s">
        <v>191</v>
      </c>
      <c r="C483" s="9">
        <v>42666</v>
      </c>
      <c r="D483" s="13">
        <f t="shared" si="29"/>
        <v>2016</v>
      </c>
      <c r="E483" s="13">
        <f t="shared" si="30"/>
        <v>10</v>
      </c>
      <c r="F483" s="13">
        <f t="shared" si="31"/>
        <v>23</v>
      </c>
      <c r="G483" s="4" t="s">
        <v>14</v>
      </c>
      <c r="H483">
        <v>46.928899999999999</v>
      </c>
      <c r="I483">
        <v>6.4592000000000001</v>
      </c>
      <c r="J483" s="4" t="s">
        <v>15</v>
      </c>
      <c r="L483" s="4" t="s">
        <v>1</v>
      </c>
      <c r="N483" s="4" t="s">
        <v>17</v>
      </c>
      <c r="O483" s="4" t="s">
        <v>24</v>
      </c>
    </row>
    <row r="484" spans="1:15" x14ac:dyDescent="0.25">
      <c r="A484">
        <f t="shared" si="32"/>
        <v>115199</v>
      </c>
      <c r="B484" t="s">
        <v>192</v>
      </c>
      <c r="C484" s="9">
        <v>42666</v>
      </c>
      <c r="D484" s="13">
        <f t="shared" si="29"/>
        <v>2016</v>
      </c>
      <c r="E484" s="13">
        <f t="shared" si="30"/>
        <v>10</v>
      </c>
      <c r="F484" s="13">
        <f t="shared" si="31"/>
        <v>23</v>
      </c>
      <c r="G484" s="4" t="s">
        <v>14</v>
      </c>
      <c r="H484">
        <v>46.929699999999997</v>
      </c>
      <c r="I484">
        <v>6.4603000000000002</v>
      </c>
      <c r="J484" s="4" t="s">
        <v>15</v>
      </c>
      <c r="L484" s="4" t="s">
        <v>1</v>
      </c>
      <c r="N484" s="4" t="s">
        <v>17</v>
      </c>
      <c r="O484" s="4" t="s">
        <v>24</v>
      </c>
    </row>
    <row r="485" spans="1:15" x14ac:dyDescent="0.25">
      <c r="A485">
        <f t="shared" si="32"/>
        <v>115200</v>
      </c>
      <c r="B485" t="s">
        <v>193</v>
      </c>
      <c r="C485" s="9">
        <v>42666</v>
      </c>
      <c r="D485" s="13">
        <f t="shared" si="29"/>
        <v>2016</v>
      </c>
      <c r="E485" s="13">
        <f t="shared" si="30"/>
        <v>10</v>
      </c>
      <c r="F485" s="13">
        <f t="shared" si="31"/>
        <v>23</v>
      </c>
      <c r="G485" s="4" t="s">
        <v>14</v>
      </c>
      <c r="H485">
        <v>46.929699999999997</v>
      </c>
      <c r="I485">
        <v>6.4603000000000002</v>
      </c>
      <c r="J485" s="4" t="s">
        <v>15</v>
      </c>
      <c r="L485" s="4" t="s">
        <v>1</v>
      </c>
      <c r="N485" s="4" t="s">
        <v>17</v>
      </c>
      <c r="O485" s="4" t="s">
        <v>184</v>
      </c>
    </row>
    <row r="486" spans="1:15" x14ac:dyDescent="0.25">
      <c r="A486">
        <f t="shared" si="32"/>
        <v>115486</v>
      </c>
      <c r="B486" t="s">
        <v>194</v>
      </c>
      <c r="C486" s="9">
        <v>43411</v>
      </c>
      <c r="D486" s="13">
        <f t="shared" si="29"/>
        <v>2018</v>
      </c>
      <c r="E486" s="13">
        <f t="shared" si="30"/>
        <v>11</v>
      </c>
      <c r="F486" s="13">
        <f t="shared" si="31"/>
        <v>7</v>
      </c>
      <c r="G486" s="4" t="s">
        <v>14</v>
      </c>
      <c r="H486">
        <v>46.91</v>
      </c>
      <c r="I486">
        <v>6.6863999999999999</v>
      </c>
      <c r="J486" s="4" t="s">
        <v>15</v>
      </c>
      <c r="L486" s="4" t="s">
        <v>1</v>
      </c>
      <c r="N486" s="4" t="s">
        <v>17</v>
      </c>
      <c r="O486" s="4" t="s">
        <v>29</v>
      </c>
    </row>
    <row r="487" spans="1:15" x14ac:dyDescent="0.25">
      <c r="A487">
        <f t="shared" si="32"/>
        <v>115487</v>
      </c>
      <c r="B487" t="s">
        <v>195</v>
      </c>
      <c r="C487" s="9">
        <v>43411</v>
      </c>
      <c r="D487" s="13">
        <f t="shared" si="29"/>
        <v>2018</v>
      </c>
      <c r="E487" s="13">
        <f t="shared" si="30"/>
        <v>11</v>
      </c>
      <c r="F487" s="13">
        <f t="shared" si="31"/>
        <v>7</v>
      </c>
      <c r="G487" s="4" t="s">
        <v>14</v>
      </c>
      <c r="H487">
        <v>46.91</v>
      </c>
      <c r="I487">
        <v>6.6863999999999999</v>
      </c>
      <c r="J487" s="4" t="s">
        <v>15</v>
      </c>
      <c r="L487" s="4" t="s">
        <v>1</v>
      </c>
      <c r="N487" s="4" t="s">
        <v>17</v>
      </c>
      <c r="O487" s="4" t="s">
        <v>29</v>
      </c>
    </row>
    <row r="488" spans="1:15" x14ac:dyDescent="0.25">
      <c r="A488">
        <f t="shared" si="32"/>
        <v>115488</v>
      </c>
      <c r="B488" t="s">
        <v>196</v>
      </c>
      <c r="C488" s="9">
        <v>43411</v>
      </c>
      <c r="D488" s="13">
        <f t="shared" si="29"/>
        <v>2018</v>
      </c>
      <c r="E488" s="13">
        <f t="shared" si="30"/>
        <v>11</v>
      </c>
      <c r="F488" s="13">
        <f t="shared" si="31"/>
        <v>7</v>
      </c>
      <c r="G488" s="4" t="s">
        <v>14</v>
      </c>
      <c r="H488">
        <v>46.91</v>
      </c>
      <c r="I488">
        <v>6.6863999999999999</v>
      </c>
      <c r="J488" s="4" t="s">
        <v>15</v>
      </c>
      <c r="L488" s="4" t="s">
        <v>1</v>
      </c>
      <c r="N488" s="4" t="s">
        <v>17</v>
      </c>
      <c r="O488" s="4" t="s">
        <v>29</v>
      </c>
    </row>
    <row r="489" spans="1:15" x14ac:dyDescent="0.25">
      <c r="A489">
        <f t="shared" si="32"/>
        <v>115489</v>
      </c>
      <c r="B489" t="s">
        <v>197</v>
      </c>
      <c r="C489" s="9">
        <v>43411</v>
      </c>
      <c r="D489" s="13">
        <f t="shared" si="29"/>
        <v>2018</v>
      </c>
      <c r="E489" s="13">
        <f t="shared" si="30"/>
        <v>11</v>
      </c>
      <c r="F489" s="13">
        <f t="shared" si="31"/>
        <v>7</v>
      </c>
      <c r="G489" s="4" t="s">
        <v>14</v>
      </c>
      <c r="H489">
        <v>46.91</v>
      </c>
      <c r="I489">
        <v>6.6863999999999999</v>
      </c>
      <c r="J489" s="4" t="s">
        <v>15</v>
      </c>
      <c r="L489" s="4" t="s">
        <v>1</v>
      </c>
      <c r="N489" s="4" t="s">
        <v>17</v>
      </c>
      <c r="O489" s="4" t="s">
        <v>184</v>
      </c>
    </row>
    <row r="490" spans="1:15" x14ac:dyDescent="0.25">
      <c r="A490">
        <f t="shared" si="32"/>
        <v>115490</v>
      </c>
      <c r="B490" t="s">
        <v>198</v>
      </c>
      <c r="C490" s="9">
        <v>43411</v>
      </c>
      <c r="D490" s="13">
        <f t="shared" si="29"/>
        <v>2018</v>
      </c>
      <c r="E490" s="13">
        <f t="shared" si="30"/>
        <v>11</v>
      </c>
      <c r="F490" s="13">
        <f t="shared" si="31"/>
        <v>7</v>
      </c>
      <c r="G490" s="4" t="s">
        <v>14</v>
      </c>
      <c r="H490">
        <v>46.91</v>
      </c>
      <c r="I490">
        <v>6.6863999999999999</v>
      </c>
      <c r="J490" s="4" t="s">
        <v>15</v>
      </c>
      <c r="L490" s="4" t="s">
        <v>1</v>
      </c>
      <c r="N490" s="4" t="s">
        <v>17</v>
      </c>
      <c r="O490" s="4" t="s">
        <v>19</v>
      </c>
    </row>
    <row r="491" spans="1:15" x14ac:dyDescent="0.25">
      <c r="A491">
        <f t="shared" si="32"/>
        <v>115491</v>
      </c>
      <c r="B491" t="s">
        <v>199</v>
      </c>
      <c r="C491" s="9">
        <v>43411</v>
      </c>
      <c r="D491" s="13">
        <f t="shared" si="29"/>
        <v>2018</v>
      </c>
      <c r="E491" s="13">
        <f t="shared" si="30"/>
        <v>11</v>
      </c>
      <c r="F491" s="13">
        <f t="shared" si="31"/>
        <v>7</v>
      </c>
      <c r="G491" s="4" t="s">
        <v>14</v>
      </c>
      <c r="H491">
        <v>46.91</v>
      </c>
      <c r="I491">
        <v>6.6863999999999999</v>
      </c>
      <c r="J491" s="4" t="s">
        <v>15</v>
      </c>
      <c r="L491" s="4" t="s">
        <v>1</v>
      </c>
      <c r="N491" s="4" t="s">
        <v>17</v>
      </c>
      <c r="O491" s="4" t="s">
        <v>19</v>
      </c>
    </row>
    <row r="492" spans="1:15" x14ac:dyDescent="0.25">
      <c r="A492">
        <f t="shared" si="32"/>
        <v>115492</v>
      </c>
      <c r="B492" t="s">
        <v>200</v>
      </c>
      <c r="C492" s="9">
        <v>43411</v>
      </c>
      <c r="D492" s="13">
        <f t="shared" si="29"/>
        <v>2018</v>
      </c>
      <c r="E492" s="13">
        <f t="shared" si="30"/>
        <v>11</v>
      </c>
      <c r="F492" s="13">
        <f t="shared" si="31"/>
        <v>7</v>
      </c>
      <c r="G492" s="4" t="s">
        <v>14</v>
      </c>
      <c r="H492">
        <v>46.903599999999997</v>
      </c>
      <c r="I492">
        <v>6.6722000000000001</v>
      </c>
      <c r="J492" s="4" t="s">
        <v>15</v>
      </c>
      <c r="L492" s="4" t="s">
        <v>1</v>
      </c>
      <c r="N492" s="4" t="s">
        <v>17</v>
      </c>
      <c r="O492" s="4" t="s">
        <v>19</v>
      </c>
    </row>
    <row r="493" spans="1:15" x14ac:dyDescent="0.25">
      <c r="A493">
        <f t="shared" si="32"/>
        <v>115493</v>
      </c>
      <c r="B493" t="s">
        <v>201</v>
      </c>
      <c r="C493" s="9">
        <v>43411</v>
      </c>
      <c r="D493" s="13">
        <f t="shared" si="29"/>
        <v>2018</v>
      </c>
      <c r="E493" s="13">
        <f t="shared" si="30"/>
        <v>11</v>
      </c>
      <c r="F493" s="13">
        <f t="shared" si="31"/>
        <v>7</v>
      </c>
      <c r="G493" s="4" t="s">
        <v>14</v>
      </c>
      <c r="H493">
        <v>46.903599999999997</v>
      </c>
      <c r="I493">
        <v>6.6722000000000001</v>
      </c>
      <c r="J493" s="4" t="s">
        <v>15</v>
      </c>
      <c r="L493" s="4" t="s">
        <v>1</v>
      </c>
      <c r="N493" s="4" t="s">
        <v>17</v>
      </c>
      <c r="O493" s="4" t="s">
        <v>29</v>
      </c>
    </row>
    <row r="494" spans="1:15" x14ac:dyDescent="0.25">
      <c r="A494">
        <f t="shared" si="32"/>
        <v>115494</v>
      </c>
      <c r="B494" t="s">
        <v>202</v>
      </c>
      <c r="C494" s="9">
        <v>43411</v>
      </c>
      <c r="D494" s="13">
        <f t="shared" si="29"/>
        <v>2018</v>
      </c>
      <c r="E494" s="13">
        <f t="shared" si="30"/>
        <v>11</v>
      </c>
      <c r="F494" s="13">
        <f t="shared" si="31"/>
        <v>7</v>
      </c>
      <c r="G494" s="4" t="s">
        <v>14</v>
      </c>
      <c r="H494">
        <v>46.923299999999998</v>
      </c>
      <c r="I494">
        <v>6.4356</v>
      </c>
      <c r="J494" s="4" t="s">
        <v>15</v>
      </c>
      <c r="L494" s="4" t="s">
        <v>1</v>
      </c>
      <c r="N494" s="4" t="s">
        <v>17</v>
      </c>
      <c r="O494" s="4" t="s">
        <v>19</v>
      </c>
    </row>
    <row r="495" spans="1:15" x14ac:dyDescent="0.25">
      <c r="A495">
        <f t="shared" si="32"/>
        <v>115495</v>
      </c>
      <c r="B495" t="s">
        <v>203</v>
      </c>
      <c r="C495" s="9">
        <v>43411</v>
      </c>
      <c r="D495" s="13">
        <f t="shared" si="29"/>
        <v>2018</v>
      </c>
      <c r="E495" s="13">
        <f t="shared" si="30"/>
        <v>11</v>
      </c>
      <c r="F495" s="13">
        <f t="shared" si="31"/>
        <v>7</v>
      </c>
      <c r="G495" s="4" t="s">
        <v>14</v>
      </c>
      <c r="H495">
        <v>46.923299999999998</v>
      </c>
      <c r="I495">
        <v>6.4356</v>
      </c>
      <c r="J495" s="4" t="s">
        <v>15</v>
      </c>
      <c r="L495" s="4" t="s">
        <v>1</v>
      </c>
      <c r="N495" s="4" t="s">
        <v>17</v>
      </c>
      <c r="O495" s="4" t="s">
        <v>29</v>
      </c>
    </row>
    <row r="496" spans="1:15" x14ac:dyDescent="0.25">
      <c r="A496">
        <f t="shared" si="32"/>
        <v>115496</v>
      </c>
      <c r="B496" t="s">
        <v>204</v>
      </c>
      <c r="C496" s="9">
        <v>43411</v>
      </c>
      <c r="D496" s="13">
        <f t="shared" si="29"/>
        <v>2018</v>
      </c>
      <c r="E496" s="13">
        <f t="shared" si="30"/>
        <v>11</v>
      </c>
      <c r="F496" s="13">
        <f t="shared" si="31"/>
        <v>7</v>
      </c>
      <c r="G496" s="4" t="s">
        <v>14</v>
      </c>
      <c r="H496">
        <v>46.8992</v>
      </c>
      <c r="I496">
        <v>6.6707999999999998</v>
      </c>
      <c r="J496" s="4" t="s">
        <v>15</v>
      </c>
      <c r="L496" s="4" t="s">
        <v>1</v>
      </c>
      <c r="N496" s="4" t="s">
        <v>17</v>
      </c>
      <c r="O496" s="4" t="s">
        <v>19</v>
      </c>
    </row>
    <row r="497" spans="1:15" x14ac:dyDescent="0.25">
      <c r="A497">
        <f t="shared" si="32"/>
        <v>115497</v>
      </c>
      <c r="B497" t="s">
        <v>205</v>
      </c>
      <c r="C497" s="9">
        <v>43411</v>
      </c>
      <c r="D497" s="13">
        <f t="shared" si="29"/>
        <v>2018</v>
      </c>
      <c r="E497" s="13">
        <f t="shared" si="30"/>
        <v>11</v>
      </c>
      <c r="F497" s="13">
        <f t="shared" si="31"/>
        <v>7</v>
      </c>
      <c r="G497" s="4" t="s">
        <v>14</v>
      </c>
      <c r="H497">
        <v>46.8992</v>
      </c>
      <c r="I497">
        <v>6.6707999999999998</v>
      </c>
      <c r="J497" s="4" t="s">
        <v>15</v>
      </c>
      <c r="L497" s="4" t="s">
        <v>1</v>
      </c>
      <c r="N497" s="4" t="s">
        <v>17</v>
      </c>
      <c r="O497" s="4" t="s">
        <v>29</v>
      </c>
    </row>
    <row r="498" spans="1:15" x14ac:dyDescent="0.25">
      <c r="A498">
        <f t="shared" si="32"/>
        <v>115498</v>
      </c>
      <c r="B498" t="s">
        <v>206</v>
      </c>
      <c r="C498" s="9">
        <v>43412</v>
      </c>
      <c r="D498" s="13">
        <f t="shared" si="29"/>
        <v>2018</v>
      </c>
      <c r="E498" s="13">
        <f t="shared" si="30"/>
        <v>11</v>
      </c>
      <c r="F498" s="13">
        <f t="shared" si="31"/>
        <v>8</v>
      </c>
      <c r="G498" s="4" t="s">
        <v>14</v>
      </c>
      <c r="H498">
        <v>46.908099999999997</v>
      </c>
      <c r="I498">
        <v>6.6852</v>
      </c>
      <c r="J498" s="4" t="s">
        <v>15</v>
      </c>
      <c r="L498" s="4" t="s">
        <v>1</v>
      </c>
      <c r="N498" s="4" t="s">
        <v>17</v>
      </c>
      <c r="O498" s="4" t="s">
        <v>29</v>
      </c>
    </row>
    <row r="499" spans="1:15" x14ac:dyDescent="0.25">
      <c r="A499">
        <f t="shared" si="32"/>
        <v>115499</v>
      </c>
      <c r="B499" t="s">
        <v>207</v>
      </c>
      <c r="C499" s="9">
        <v>43412</v>
      </c>
      <c r="D499" s="13">
        <f t="shared" si="29"/>
        <v>2018</v>
      </c>
      <c r="E499" s="13">
        <f t="shared" si="30"/>
        <v>11</v>
      </c>
      <c r="F499" s="13">
        <f t="shared" si="31"/>
        <v>8</v>
      </c>
      <c r="G499" s="4" t="s">
        <v>14</v>
      </c>
      <c r="H499">
        <v>46.908099999999997</v>
      </c>
      <c r="I499">
        <v>6.6852</v>
      </c>
      <c r="J499" s="4" t="s">
        <v>15</v>
      </c>
      <c r="L499" s="4" t="s">
        <v>1</v>
      </c>
      <c r="N499" s="4" t="s">
        <v>17</v>
      </c>
      <c r="O499" s="4" t="s">
        <v>29</v>
      </c>
    </row>
    <row r="500" spans="1:15" x14ac:dyDescent="0.25">
      <c r="A500">
        <f t="shared" si="32"/>
        <v>115500</v>
      </c>
      <c r="B500" t="s">
        <v>208</v>
      </c>
      <c r="C500" s="9">
        <v>43415</v>
      </c>
      <c r="D500" s="13">
        <f t="shared" si="29"/>
        <v>2018</v>
      </c>
      <c r="E500" s="13">
        <f t="shared" si="30"/>
        <v>11</v>
      </c>
      <c r="F500" s="13">
        <f t="shared" si="31"/>
        <v>11</v>
      </c>
      <c r="G500" s="4" t="s">
        <v>14</v>
      </c>
      <c r="H500">
        <v>46.979100000000003</v>
      </c>
      <c r="I500">
        <v>6.6723999999999997</v>
      </c>
      <c r="J500" s="4" t="s">
        <v>15</v>
      </c>
      <c r="L500" s="4" t="s">
        <v>1</v>
      </c>
      <c r="N500" s="4" t="s">
        <v>17</v>
      </c>
      <c r="O500" s="4" t="s">
        <v>29</v>
      </c>
    </row>
    <row r="501" spans="1:15" x14ac:dyDescent="0.25">
      <c r="A501">
        <f t="shared" si="32"/>
        <v>116301</v>
      </c>
      <c r="B501" t="s">
        <v>209</v>
      </c>
      <c r="C501" s="9">
        <v>42825</v>
      </c>
      <c r="D501" s="13">
        <f t="shared" si="29"/>
        <v>2017</v>
      </c>
      <c r="E501" s="13">
        <f t="shared" si="30"/>
        <v>3</v>
      </c>
      <c r="F501" s="13">
        <f t="shared" si="31"/>
        <v>31</v>
      </c>
      <c r="G501" s="4" t="s">
        <v>14</v>
      </c>
      <c r="H501">
        <v>46.925600000000003</v>
      </c>
      <c r="I501">
        <v>6.4905999999999997</v>
      </c>
      <c r="J501" s="4" t="s">
        <v>15</v>
      </c>
      <c r="L501" s="4" t="s">
        <v>42</v>
      </c>
      <c r="M501" s="4" t="s">
        <v>43</v>
      </c>
      <c r="N501" s="4" t="s">
        <v>16</v>
      </c>
      <c r="O501" s="4" t="s">
        <v>27</v>
      </c>
    </row>
    <row r="502" spans="1:15" x14ac:dyDescent="0.25">
      <c r="A502">
        <f t="shared" si="32"/>
        <v>116301</v>
      </c>
      <c r="B502" t="s">
        <v>209</v>
      </c>
      <c r="C502" s="9">
        <v>42837</v>
      </c>
      <c r="D502" s="13">
        <f t="shared" si="29"/>
        <v>2017</v>
      </c>
      <c r="E502" s="13">
        <f t="shared" si="30"/>
        <v>4</v>
      </c>
      <c r="F502" s="13">
        <f t="shared" si="31"/>
        <v>12</v>
      </c>
      <c r="G502" s="4" t="s">
        <v>14</v>
      </c>
      <c r="H502">
        <v>46.955040010522453</v>
      </c>
      <c r="I502">
        <v>6.4843050063387704</v>
      </c>
      <c r="J502" s="4" t="s">
        <v>44</v>
      </c>
      <c r="L502" s="4" t="s">
        <v>42</v>
      </c>
      <c r="M502" s="4" t="s">
        <v>43</v>
      </c>
      <c r="N502" s="4" t="s">
        <v>16</v>
      </c>
    </row>
    <row r="503" spans="1:15" x14ac:dyDescent="0.25">
      <c r="A503">
        <f t="shared" si="32"/>
        <v>116301</v>
      </c>
      <c r="B503" t="s">
        <v>209</v>
      </c>
      <c r="C503" s="9">
        <v>42870</v>
      </c>
      <c r="D503" s="13">
        <f t="shared" si="29"/>
        <v>2017</v>
      </c>
      <c r="E503" s="13">
        <f t="shared" si="30"/>
        <v>5</v>
      </c>
      <c r="F503" s="13">
        <f t="shared" si="31"/>
        <v>15</v>
      </c>
      <c r="G503" s="4" t="s">
        <v>14</v>
      </c>
      <c r="H503">
        <v>46.957548010521158</v>
      </c>
      <c r="I503">
        <v>6.4953320063506279</v>
      </c>
      <c r="J503" s="4" t="s">
        <v>44</v>
      </c>
      <c r="L503" s="4" t="s">
        <v>42</v>
      </c>
      <c r="M503" s="4" t="s">
        <v>43</v>
      </c>
      <c r="N503" s="4" t="s">
        <v>16</v>
      </c>
    </row>
    <row r="504" spans="1:15" x14ac:dyDescent="0.25">
      <c r="A504">
        <f t="shared" si="32"/>
        <v>116301</v>
      </c>
      <c r="B504" t="s">
        <v>209</v>
      </c>
      <c r="C504" s="9">
        <v>42894</v>
      </c>
      <c r="D504" s="13">
        <f t="shared" si="29"/>
        <v>2017</v>
      </c>
      <c r="E504" s="13">
        <f t="shared" si="30"/>
        <v>6</v>
      </c>
      <c r="F504" s="13">
        <f t="shared" si="31"/>
        <v>8</v>
      </c>
      <c r="G504" s="4" t="s">
        <v>14</v>
      </c>
      <c r="H504">
        <v>46.974920010526809</v>
      </c>
      <c r="I504">
        <v>6.501668006354115</v>
      </c>
      <c r="J504" s="4" t="s">
        <v>21</v>
      </c>
      <c r="K504" s="12" t="s">
        <v>53</v>
      </c>
      <c r="L504" s="12" t="s">
        <v>42</v>
      </c>
      <c r="M504" s="12" t="s">
        <v>43</v>
      </c>
      <c r="N504" s="4" t="s">
        <v>17</v>
      </c>
    </row>
    <row r="505" spans="1:15" x14ac:dyDescent="0.25">
      <c r="A505">
        <f t="shared" si="32"/>
        <v>116302</v>
      </c>
      <c r="B505" t="s">
        <v>210</v>
      </c>
      <c r="C505" s="9">
        <v>42837</v>
      </c>
      <c r="D505" s="13">
        <f t="shared" si="29"/>
        <v>2017</v>
      </c>
      <c r="E505" s="13">
        <f t="shared" si="30"/>
        <v>4</v>
      </c>
      <c r="F505" s="13">
        <f t="shared" si="31"/>
        <v>12</v>
      </c>
      <c r="G505" s="4" t="s">
        <v>14</v>
      </c>
      <c r="H505">
        <v>46.9392</v>
      </c>
      <c r="I505">
        <v>6.7453000000000003</v>
      </c>
      <c r="J505" s="4" t="s">
        <v>15</v>
      </c>
      <c r="L505" s="4" t="s">
        <v>42</v>
      </c>
      <c r="M505" s="4" t="s">
        <v>43</v>
      </c>
      <c r="N505" s="4" t="s">
        <v>16</v>
      </c>
      <c r="O505" s="4" t="s">
        <v>27</v>
      </c>
    </row>
    <row r="506" spans="1:15" x14ac:dyDescent="0.25">
      <c r="A506">
        <f t="shared" si="32"/>
        <v>116302</v>
      </c>
      <c r="B506" t="s">
        <v>210</v>
      </c>
      <c r="C506" s="9">
        <v>42870</v>
      </c>
      <c r="D506" s="13">
        <f t="shared" si="29"/>
        <v>2017</v>
      </c>
      <c r="E506" s="13">
        <f t="shared" si="30"/>
        <v>5</v>
      </c>
      <c r="F506" s="13">
        <f t="shared" si="31"/>
        <v>15</v>
      </c>
      <c r="G506" s="4" t="s">
        <v>14</v>
      </c>
      <c r="H506">
        <v>46.775364010450367</v>
      </c>
      <c r="I506">
        <v>6.469588006358804</v>
      </c>
      <c r="J506" s="4" t="s">
        <v>44</v>
      </c>
      <c r="L506" s="4" t="s">
        <v>42</v>
      </c>
      <c r="M506" s="4" t="s">
        <v>43</v>
      </c>
      <c r="N506" s="4" t="s">
        <v>16</v>
      </c>
    </row>
    <row r="507" spans="1:15" x14ac:dyDescent="0.25">
      <c r="A507">
        <f t="shared" si="32"/>
        <v>116302</v>
      </c>
      <c r="B507" t="s">
        <v>210</v>
      </c>
      <c r="C507" s="9">
        <v>42891</v>
      </c>
      <c r="D507" s="13">
        <f t="shared" si="29"/>
        <v>2017</v>
      </c>
      <c r="E507" s="13">
        <f t="shared" si="30"/>
        <v>6</v>
      </c>
      <c r="F507" s="13">
        <f t="shared" si="31"/>
        <v>5</v>
      </c>
      <c r="G507" s="4" t="s">
        <v>14</v>
      </c>
      <c r="H507">
        <v>46.928788010472132</v>
      </c>
      <c r="I507">
        <v>6.6718180065539334</v>
      </c>
      <c r="J507" s="4" t="s">
        <v>21</v>
      </c>
      <c r="K507" s="12" t="s">
        <v>53</v>
      </c>
      <c r="L507" s="12" t="s">
        <v>42</v>
      </c>
      <c r="M507" s="12" t="s">
        <v>43</v>
      </c>
      <c r="N507" s="4" t="s">
        <v>17</v>
      </c>
    </row>
    <row r="508" spans="1:15" x14ac:dyDescent="0.25">
      <c r="A508">
        <f t="shared" si="32"/>
        <v>116303</v>
      </c>
      <c r="B508" t="s">
        <v>211</v>
      </c>
      <c r="C508" s="9">
        <v>42838</v>
      </c>
      <c r="D508" s="13">
        <f t="shared" si="29"/>
        <v>2017</v>
      </c>
      <c r="E508" s="13">
        <f t="shared" si="30"/>
        <v>4</v>
      </c>
      <c r="F508" s="13">
        <f t="shared" si="31"/>
        <v>13</v>
      </c>
      <c r="G508" s="4" t="s">
        <v>14</v>
      </c>
      <c r="H508">
        <v>46.988100000000003</v>
      </c>
      <c r="I508">
        <v>6.6749999999999998</v>
      </c>
      <c r="J508" s="4" t="s">
        <v>15</v>
      </c>
      <c r="L508" s="4" t="s">
        <v>42</v>
      </c>
      <c r="M508" s="4" t="s">
        <v>43</v>
      </c>
      <c r="N508" s="4" t="s">
        <v>16</v>
      </c>
      <c r="O508" s="4" t="s">
        <v>27</v>
      </c>
    </row>
    <row r="509" spans="1:15" x14ac:dyDescent="0.25">
      <c r="A509">
        <f t="shared" si="32"/>
        <v>116303</v>
      </c>
      <c r="B509" t="s">
        <v>211</v>
      </c>
      <c r="C509" s="9">
        <v>42870</v>
      </c>
      <c r="D509" s="13">
        <f t="shared" si="29"/>
        <v>2017</v>
      </c>
      <c r="E509" s="13">
        <f t="shared" si="30"/>
        <v>5</v>
      </c>
      <c r="F509" s="13">
        <f t="shared" si="31"/>
        <v>15</v>
      </c>
      <c r="G509" s="4" t="s">
        <v>14</v>
      </c>
      <c r="H509">
        <v>46.992596010496243</v>
      </c>
      <c r="I509">
        <v>6.679022006548224</v>
      </c>
      <c r="J509" s="4" t="s">
        <v>44</v>
      </c>
      <c r="L509" s="4" t="s">
        <v>42</v>
      </c>
      <c r="M509" s="4" t="s">
        <v>43</v>
      </c>
      <c r="N509" s="4" t="s">
        <v>16</v>
      </c>
    </row>
    <row r="510" spans="1:15" x14ac:dyDescent="0.25">
      <c r="A510">
        <f t="shared" si="32"/>
        <v>116303</v>
      </c>
      <c r="B510" t="s">
        <v>211</v>
      </c>
      <c r="C510" s="9">
        <v>42902</v>
      </c>
      <c r="D510" s="13">
        <f t="shared" si="29"/>
        <v>2017</v>
      </c>
      <c r="E510" s="13">
        <f t="shared" si="30"/>
        <v>6</v>
      </c>
      <c r="F510" s="13">
        <f t="shared" si="31"/>
        <v>16</v>
      </c>
      <c r="G510" s="4" t="s">
        <v>14</v>
      </c>
      <c r="H510">
        <v>46.990972010496208</v>
      </c>
      <c r="I510">
        <v>6.6763220065455764</v>
      </c>
      <c r="J510" s="4" t="s">
        <v>44</v>
      </c>
      <c r="L510" s="4" t="s">
        <v>42</v>
      </c>
      <c r="M510" s="4" t="s">
        <v>43</v>
      </c>
      <c r="N510" s="4" t="s">
        <v>16</v>
      </c>
    </row>
    <row r="511" spans="1:15" x14ac:dyDescent="0.25">
      <c r="A511">
        <f t="shared" si="32"/>
        <v>116303</v>
      </c>
      <c r="B511" t="s">
        <v>211</v>
      </c>
      <c r="C511" s="9">
        <v>42933</v>
      </c>
      <c r="D511" s="13">
        <f t="shared" si="29"/>
        <v>2017</v>
      </c>
      <c r="E511" s="13">
        <f t="shared" si="30"/>
        <v>7</v>
      </c>
      <c r="F511" s="13">
        <f t="shared" si="31"/>
        <v>17</v>
      </c>
      <c r="G511" s="4" t="s">
        <v>14</v>
      </c>
      <c r="H511">
        <v>46.995240010497781</v>
      </c>
      <c r="I511">
        <v>6.6768910065452856</v>
      </c>
      <c r="J511" s="4" t="s">
        <v>44</v>
      </c>
      <c r="L511" s="4" t="s">
        <v>42</v>
      </c>
      <c r="M511" s="4" t="s">
        <v>43</v>
      </c>
      <c r="N511" s="4" t="s">
        <v>16</v>
      </c>
    </row>
    <row r="512" spans="1:15" x14ac:dyDescent="0.25">
      <c r="A512">
        <f t="shared" si="32"/>
        <v>116303</v>
      </c>
      <c r="B512" t="s">
        <v>211</v>
      </c>
      <c r="C512" s="9">
        <v>42961</v>
      </c>
      <c r="D512" s="13">
        <f t="shared" si="29"/>
        <v>2017</v>
      </c>
      <c r="E512" s="13">
        <f t="shared" si="30"/>
        <v>8</v>
      </c>
      <c r="F512" s="13">
        <f t="shared" si="31"/>
        <v>14</v>
      </c>
      <c r="G512" s="4" t="s">
        <v>14</v>
      </c>
      <c r="H512">
        <v>46.993896010497437</v>
      </c>
      <c r="I512">
        <v>6.6759300065445073</v>
      </c>
      <c r="J512" s="4" t="s">
        <v>44</v>
      </c>
      <c r="L512" s="4" t="s">
        <v>42</v>
      </c>
      <c r="M512" s="4" t="s">
        <v>43</v>
      </c>
      <c r="N512" s="4" t="s">
        <v>16</v>
      </c>
    </row>
    <row r="513" spans="1:15" x14ac:dyDescent="0.25">
      <c r="A513">
        <f t="shared" si="32"/>
        <v>116303</v>
      </c>
      <c r="B513" t="s">
        <v>211</v>
      </c>
      <c r="C513" s="9">
        <v>42993</v>
      </c>
      <c r="D513" s="13">
        <f t="shared" si="29"/>
        <v>2017</v>
      </c>
      <c r="E513" s="13">
        <f t="shared" si="30"/>
        <v>9</v>
      </c>
      <c r="F513" s="13">
        <f t="shared" si="31"/>
        <v>15</v>
      </c>
      <c r="G513" s="4" t="s">
        <v>14</v>
      </c>
      <c r="H513">
        <v>46.989968010495183</v>
      </c>
      <c r="I513">
        <v>6.6791800065489699</v>
      </c>
      <c r="J513" s="4" t="s">
        <v>44</v>
      </c>
      <c r="L513" s="4" t="s">
        <v>42</v>
      </c>
      <c r="M513" s="4" t="s">
        <v>43</v>
      </c>
      <c r="N513" s="4" t="s">
        <v>16</v>
      </c>
    </row>
    <row r="514" spans="1:15" x14ac:dyDescent="0.25">
      <c r="A514">
        <f t="shared" si="32"/>
        <v>116303</v>
      </c>
      <c r="B514" t="s">
        <v>211</v>
      </c>
      <c r="C514" s="9">
        <v>43024</v>
      </c>
      <c r="D514" s="13">
        <f t="shared" si="29"/>
        <v>2017</v>
      </c>
      <c r="E514" s="13">
        <f t="shared" si="30"/>
        <v>10</v>
      </c>
      <c r="F514" s="13">
        <f t="shared" si="31"/>
        <v>16</v>
      </c>
      <c r="G514" s="4" t="s">
        <v>14</v>
      </c>
      <c r="H514">
        <v>46.985952010493769</v>
      </c>
      <c r="I514">
        <v>6.6781870065487352</v>
      </c>
      <c r="J514" s="4" t="s">
        <v>44</v>
      </c>
      <c r="L514" s="4" t="s">
        <v>42</v>
      </c>
      <c r="M514" s="4" t="s">
        <v>43</v>
      </c>
      <c r="N514" s="4" t="s">
        <v>16</v>
      </c>
    </row>
    <row r="515" spans="1:15" x14ac:dyDescent="0.25">
      <c r="A515">
        <f t="shared" si="32"/>
        <v>116303</v>
      </c>
      <c r="B515" t="s">
        <v>211</v>
      </c>
      <c r="C515" s="9">
        <v>43041</v>
      </c>
      <c r="D515" s="13">
        <f t="shared" ref="D515:D578" si="33">YEAR(C515)</f>
        <v>2017</v>
      </c>
      <c r="E515" s="13">
        <f t="shared" ref="E515:E578" si="34">MONTH(C515)</f>
        <v>11</v>
      </c>
      <c r="F515" s="13">
        <f t="shared" ref="F515:F578" si="35">DAY(C515)</f>
        <v>2</v>
      </c>
      <c r="G515" s="4" t="s">
        <v>14</v>
      </c>
      <c r="H515">
        <v>46.989208010495638</v>
      </c>
      <c r="I515">
        <v>6.6757580065453288</v>
      </c>
      <c r="J515" s="4" t="s">
        <v>44</v>
      </c>
      <c r="L515" s="4" t="s">
        <v>42</v>
      </c>
      <c r="M515" s="4" t="s">
        <v>43</v>
      </c>
      <c r="N515" s="4" t="s">
        <v>16</v>
      </c>
    </row>
    <row r="516" spans="1:15" x14ac:dyDescent="0.25">
      <c r="A516">
        <f t="shared" si="32"/>
        <v>116303</v>
      </c>
      <c r="B516" t="s">
        <v>211</v>
      </c>
      <c r="C516" s="9">
        <v>43185</v>
      </c>
      <c r="D516" s="13">
        <f t="shared" si="33"/>
        <v>2018</v>
      </c>
      <c r="E516" s="13">
        <f t="shared" si="34"/>
        <v>3</v>
      </c>
      <c r="F516" s="13">
        <f t="shared" si="35"/>
        <v>26</v>
      </c>
      <c r="G516" s="4" t="s">
        <v>14</v>
      </c>
      <c r="H516">
        <v>46.978072010492561</v>
      </c>
      <c r="I516">
        <v>6.6693460065406081</v>
      </c>
      <c r="J516" s="4" t="s">
        <v>44</v>
      </c>
      <c r="L516" s="4" t="s">
        <v>42</v>
      </c>
      <c r="M516" s="4" t="s">
        <v>43</v>
      </c>
      <c r="N516" s="4" t="s">
        <v>16</v>
      </c>
    </row>
    <row r="517" spans="1:15" x14ac:dyDescent="0.25">
      <c r="A517">
        <f t="shared" si="32"/>
        <v>116303</v>
      </c>
      <c r="B517" t="s">
        <v>211</v>
      </c>
      <c r="C517" s="9">
        <v>43206</v>
      </c>
      <c r="D517" s="13">
        <f t="shared" si="33"/>
        <v>2018</v>
      </c>
      <c r="E517" s="13">
        <f t="shared" si="34"/>
        <v>4</v>
      </c>
      <c r="F517" s="13">
        <f t="shared" si="35"/>
        <v>16</v>
      </c>
      <c r="G517" s="4" t="s">
        <v>14</v>
      </c>
      <c r="H517">
        <v>46.990628010496287</v>
      </c>
      <c r="I517">
        <v>6.6752240065444308</v>
      </c>
      <c r="J517" s="4" t="s">
        <v>44</v>
      </c>
      <c r="L517" s="4" t="s">
        <v>42</v>
      </c>
      <c r="M517" s="4" t="s">
        <v>43</v>
      </c>
      <c r="N517" s="4" t="s">
        <v>16</v>
      </c>
    </row>
    <row r="518" spans="1:15" x14ac:dyDescent="0.25">
      <c r="A518">
        <f t="shared" si="32"/>
        <v>116303</v>
      </c>
      <c r="B518" t="s">
        <v>211</v>
      </c>
      <c r="C518" s="9">
        <v>43234</v>
      </c>
      <c r="D518" s="13">
        <f t="shared" si="33"/>
        <v>2018</v>
      </c>
      <c r="E518" s="13">
        <f t="shared" si="34"/>
        <v>5</v>
      </c>
      <c r="F518" s="13">
        <f t="shared" si="35"/>
        <v>14</v>
      </c>
      <c r="G518" s="4" t="s">
        <v>14</v>
      </c>
      <c r="H518">
        <v>46.991000010495497</v>
      </c>
      <c r="I518">
        <v>6.6795070065491071</v>
      </c>
      <c r="J518" s="4" t="s">
        <v>44</v>
      </c>
      <c r="L518" s="4" t="s">
        <v>42</v>
      </c>
      <c r="M518" s="4" t="s">
        <v>43</v>
      </c>
      <c r="N518" s="4" t="s">
        <v>16</v>
      </c>
    </row>
    <row r="519" spans="1:15" x14ac:dyDescent="0.25">
      <c r="A519">
        <f t="shared" si="32"/>
        <v>116303</v>
      </c>
      <c r="B519" t="s">
        <v>211</v>
      </c>
      <c r="C519" s="9">
        <v>43263</v>
      </c>
      <c r="D519" s="13">
        <f t="shared" si="33"/>
        <v>2018</v>
      </c>
      <c r="E519" s="13">
        <f t="shared" si="34"/>
        <v>6</v>
      </c>
      <c r="F519" s="13">
        <f t="shared" si="35"/>
        <v>12</v>
      </c>
      <c r="G519" s="4" t="s">
        <v>14</v>
      </c>
      <c r="H519">
        <v>46.988900000000001</v>
      </c>
      <c r="I519">
        <v>6.6993999999999998</v>
      </c>
      <c r="J519" s="4" t="s">
        <v>44</v>
      </c>
      <c r="K519" s="12" t="s">
        <v>53</v>
      </c>
      <c r="L519" s="12" t="s">
        <v>42</v>
      </c>
      <c r="M519" s="12" t="s">
        <v>43</v>
      </c>
      <c r="N519" s="4" t="s">
        <v>17</v>
      </c>
    </row>
    <row r="520" spans="1:15" x14ac:dyDescent="0.25">
      <c r="A520">
        <f t="shared" si="32"/>
        <v>116304</v>
      </c>
      <c r="B520" t="s">
        <v>212</v>
      </c>
      <c r="C520" s="9">
        <v>42844</v>
      </c>
      <c r="D520" s="13">
        <f t="shared" si="33"/>
        <v>2017</v>
      </c>
      <c r="E520" s="13">
        <f t="shared" si="34"/>
        <v>4</v>
      </c>
      <c r="F520" s="13">
        <f t="shared" si="35"/>
        <v>19</v>
      </c>
      <c r="G520" s="4" t="s">
        <v>14</v>
      </c>
      <c r="H520">
        <v>46.933599999999998</v>
      </c>
      <c r="I520">
        <v>6.4722</v>
      </c>
      <c r="J520" s="4" t="s">
        <v>15</v>
      </c>
      <c r="L520" s="4" t="s">
        <v>42</v>
      </c>
      <c r="M520" s="4" t="s">
        <v>43</v>
      </c>
      <c r="N520" s="4" t="s">
        <v>16</v>
      </c>
      <c r="O520" s="4" t="s">
        <v>19</v>
      </c>
    </row>
    <row r="521" spans="1:15" x14ac:dyDescent="0.25">
      <c r="A521">
        <f t="shared" si="32"/>
        <v>116304</v>
      </c>
      <c r="B521" t="s">
        <v>212</v>
      </c>
      <c r="C521" s="9">
        <v>42870</v>
      </c>
      <c r="D521" s="13">
        <f t="shared" si="33"/>
        <v>2017</v>
      </c>
      <c r="E521" s="13">
        <f t="shared" si="34"/>
        <v>5</v>
      </c>
      <c r="F521" s="13">
        <f t="shared" si="35"/>
        <v>15</v>
      </c>
      <c r="G521" s="4" t="s">
        <v>14</v>
      </c>
      <c r="H521">
        <v>46.954860010520576</v>
      </c>
      <c r="I521">
        <v>6.4928820063484354</v>
      </c>
      <c r="J521" s="4" t="s">
        <v>44</v>
      </c>
      <c r="L521" s="4" t="s">
        <v>42</v>
      </c>
      <c r="M521" s="4" t="s">
        <v>43</v>
      </c>
      <c r="N521" s="4" t="s">
        <v>16</v>
      </c>
    </row>
    <row r="522" spans="1:15" x14ac:dyDescent="0.25">
      <c r="A522">
        <f t="shared" si="32"/>
        <v>116304</v>
      </c>
      <c r="B522" t="s">
        <v>212</v>
      </c>
      <c r="C522" s="9">
        <v>42901</v>
      </c>
      <c r="D522" s="13">
        <f t="shared" si="33"/>
        <v>2017</v>
      </c>
      <c r="E522" s="13">
        <f t="shared" si="34"/>
        <v>6</v>
      </c>
      <c r="F522" s="13">
        <f t="shared" si="35"/>
        <v>15</v>
      </c>
      <c r="G522" s="4" t="s">
        <v>14</v>
      </c>
      <c r="H522">
        <v>46.955368010520758</v>
      </c>
      <c r="I522">
        <v>6.4929280063483796</v>
      </c>
      <c r="J522" s="4" t="s">
        <v>44</v>
      </c>
      <c r="L522" s="4" t="s">
        <v>42</v>
      </c>
      <c r="M522" s="4" t="s">
        <v>43</v>
      </c>
      <c r="N522" s="4" t="s">
        <v>16</v>
      </c>
    </row>
    <row r="523" spans="1:15" x14ac:dyDescent="0.25">
      <c r="A523">
        <f t="shared" si="32"/>
        <v>116304</v>
      </c>
      <c r="B523" t="s">
        <v>212</v>
      </c>
      <c r="C523" s="9">
        <v>42933</v>
      </c>
      <c r="D523" s="13">
        <f t="shared" si="33"/>
        <v>2017</v>
      </c>
      <c r="E523" s="13">
        <f t="shared" si="34"/>
        <v>7</v>
      </c>
      <c r="F523" s="13">
        <f t="shared" si="35"/>
        <v>17</v>
      </c>
      <c r="G523" s="4" t="s">
        <v>14</v>
      </c>
      <c r="H523">
        <v>46.955500010522172</v>
      </c>
      <c r="I523">
        <v>6.486341006340961</v>
      </c>
      <c r="J523" s="4" t="s">
        <v>44</v>
      </c>
      <c r="L523" s="4" t="s">
        <v>42</v>
      </c>
      <c r="M523" s="4" t="s">
        <v>43</v>
      </c>
      <c r="N523" s="4" t="s">
        <v>16</v>
      </c>
    </row>
    <row r="524" spans="1:15" x14ac:dyDescent="0.25">
      <c r="A524">
        <f t="shared" si="32"/>
        <v>116304</v>
      </c>
      <c r="B524" t="s">
        <v>212</v>
      </c>
      <c r="C524" s="9">
        <v>42963</v>
      </c>
      <c r="D524" s="13">
        <f t="shared" si="33"/>
        <v>2017</v>
      </c>
      <c r="E524" s="13">
        <f t="shared" si="34"/>
        <v>8</v>
      </c>
      <c r="F524" s="13">
        <f t="shared" si="35"/>
        <v>16</v>
      </c>
      <c r="G524" s="4" t="s">
        <v>14</v>
      </c>
      <c r="H524">
        <v>46.947740010524782</v>
      </c>
      <c r="I524">
        <v>6.4586190063114186</v>
      </c>
      <c r="J524" s="4" t="s">
        <v>44</v>
      </c>
      <c r="L524" s="4" t="s">
        <v>42</v>
      </c>
      <c r="M524" s="4" t="s">
        <v>43</v>
      </c>
      <c r="N524" s="4" t="s">
        <v>16</v>
      </c>
    </row>
    <row r="525" spans="1:15" x14ac:dyDescent="0.25">
      <c r="A525">
        <f t="shared" si="32"/>
        <v>116304</v>
      </c>
      <c r="B525" t="s">
        <v>212</v>
      </c>
      <c r="C525" s="9">
        <v>42993</v>
      </c>
      <c r="D525" s="13">
        <f t="shared" si="33"/>
        <v>2017</v>
      </c>
      <c r="E525" s="13">
        <f t="shared" si="34"/>
        <v>9</v>
      </c>
      <c r="F525" s="13">
        <f t="shared" si="35"/>
        <v>15</v>
      </c>
      <c r="G525" s="4" t="s">
        <v>14</v>
      </c>
      <c r="H525">
        <v>46.946856010524208</v>
      </c>
      <c r="I525">
        <v>6.4597070063128283</v>
      </c>
      <c r="J525" s="4" t="s">
        <v>44</v>
      </c>
      <c r="L525" s="4" t="s">
        <v>42</v>
      </c>
      <c r="M525" s="4" t="s">
        <v>43</v>
      </c>
      <c r="N525" s="4" t="s">
        <v>16</v>
      </c>
    </row>
    <row r="526" spans="1:15" x14ac:dyDescent="0.25">
      <c r="A526">
        <f t="shared" si="32"/>
        <v>116304</v>
      </c>
      <c r="B526" t="s">
        <v>212</v>
      </c>
      <c r="C526" s="9">
        <v>43024</v>
      </c>
      <c r="D526" s="13">
        <f t="shared" si="33"/>
        <v>2017</v>
      </c>
      <c r="E526" s="13">
        <f t="shared" si="34"/>
        <v>10</v>
      </c>
      <c r="F526" s="13">
        <f t="shared" si="35"/>
        <v>16</v>
      </c>
      <c r="G526" s="4" t="s">
        <v>14</v>
      </c>
      <c r="H526">
        <v>46.947208010524271</v>
      </c>
      <c r="I526">
        <v>6.4599510063130303</v>
      </c>
      <c r="J526" s="4" t="s">
        <v>44</v>
      </c>
      <c r="L526" s="4" t="s">
        <v>42</v>
      </c>
      <c r="M526" s="4" t="s">
        <v>43</v>
      </c>
      <c r="N526" s="4" t="s">
        <v>16</v>
      </c>
    </row>
    <row r="527" spans="1:15" x14ac:dyDescent="0.25">
      <c r="A527">
        <f t="shared" si="32"/>
        <v>116304</v>
      </c>
      <c r="B527" t="s">
        <v>212</v>
      </c>
      <c r="C527" s="9">
        <v>43049</v>
      </c>
      <c r="D527" s="13">
        <f t="shared" si="33"/>
        <v>2017</v>
      </c>
      <c r="E527" s="13">
        <f t="shared" si="34"/>
        <v>11</v>
      </c>
      <c r="F527" s="13">
        <f t="shared" si="35"/>
        <v>10</v>
      </c>
      <c r="G527" s="4" t="s">
        <v>14</v>
      </c>
      <c r="H527">
        <v>46.951100010524328</v>
      </c>
      <c r="I527">
        <v>6.4674230063206259</v>
      </c>
      <c r="J527" s="4" t="s">
        <v>44</v>
      </c>
      <c r="L527" s="4" t="s">
        <v>42</v>
      </c>
      <c r="M527" s="4" t="s">
        <v>43</v>
      </c>
      <c r="N527" s="4" t="s">
        <v>16</v>
      </c>
    </row>
    <row r="528" spans="1:15" x14ac:dyDescent="0.25">
      <c r="A528">
        <f t="shared" ref="A528:A591" si="36">RIGHT(B528,6)*1</f>
        <v>116304</v>
      </c>
      <c r="B528" t="s">
        <v>212</v>
      </c>
      <c r="C528" s="9">
        <v>43185</v>
      </c>
      <c r="D528" s="13">
        <f t="shared" si="33"/>
        <v>2018</v>
      </c>
      <c r="E528" s="13">
        <f t="shared" si="34"/>
        <v>3</v>
      </c>
      <c r="F528" s="13">
        <f t="shared" si="35"/>
        <v>26</v>
      </c>
      <c r="G528" s="4" t="s">
        <v>14</v>
      </c>
      <c r="H528">
        <v>46.956488010527337</v>
      </c>
      <c r="I528">
        <v>6.4634240063150159</v>
      </c>
      <c r="J528" s="4" t="s">
        <v>44</v>
      </c>
      <c r="L528" s="4" t="s">
        <v>42</v>
      </c>
      <c r="M528" s="4" t="s">
        <v>43</v>
      </c>
      <c r="N528" s="4" t="s">
        <v>16</v>
      </c>
    </row>
    <row r="529" spans="1:15" x14ac:dyDescent="0.25">
      <c r="A529">
        <f t="shared" si="36"/>
        <v>116304</v>
      </c>
      <c r="B529" t="s">
        <v>212</v>
      </c>
      <c r="C529" s="9">
        <v>43206</v>
      </c>
      <c r="D529" s="13">
        <f t="shared" si="33"/>
        <v>2018</v>
      </c>
      <c r="E529" s="13">
        <f t="shared" si="34"/>
        <v>4</v>
      </c>
      <c r="F529" s="13">
        <f t="shared" si="35"/>
        <v>16</v>
      </c>
      <c r="G529" s="4" t="s">
        <v>14</v>
      </c>
      <c r="H529">
        <v>46.967100010519303</v>
      </c>
      <c r="I529">
        <v>6.5224950063790841</v>
      </c>
      <c r="J529" s="4" t="s">
        <v>44</v>
      </c>
      <c r="L529" s="4" t="s">
        <v>42</v>
      </c>
      <c r="M529" s="4" t="s">
        <v>43</v>
      </c>
      <c r="N529" s="4" t="s">
        <v>16</v>
      </c>
    </row>
    <row r="530" spans="1:15" x14ac:dyDescent="0.25">
      <c r="A530">
        <f t="shared" si="36"/>
        <v>116304</v>
      </c>
      <c r="B530" t="s">
        <v>212</v>
      </c>
      <c r="C530" s="9">
        <v>43235</v>
      </c>
      <c r="D530" s="13">
        <f t="shared" si="33"/>
        <v>2018</v>
      </c>
      <c r="E530" s="13">
        <f t="shared" si="34"/>
        <v>5</v>
      </c>
      <c r="F530" s="13">
        <f t="shared" si="35"/>
        <v>15</v>
      </c>
      <c r="G530" s="4" t="s">
        <v>14</v>
      </c>
      <c r="H530">
        <v>46.95710401052078</v>
      </c>
      <c r="I530">
        <v>6.4962790063517826</v>
      </c>
      <c r="J530" s="4" t="s">
        <v>44</v>
      </c>
      <c r="L530" s="4" t="s">
        <v>42</v>
      </c>
      <c r="M530" s="4" t="s">
        <v>43</v>
      </c>
      <c r="N530" s="4" t="s">
        <v>16</v>
      </c>
    </row>
    <row r="531" spans="1:15" x14ac:dyDescent="0.25">
      <c r="A531">
        <f t="shared" si="36"/>
        <v>116304</v>
      </c>
      <c r="B531" t="s">
        <v>212</v>
      </c>
      <c r="C531" s="9">
        <v>43266</v>
      </c>
      <c r="D531" s="13">
        <f t="shared" si="33"/>
        <v>2018</v>
      </c>
      <c r="E531" s="13">
        <f t="shared" si="34"/>
        <v>6</v>
      </c>
      <c r="F531" s="13">
        <f t="shared" si="35"/>
        <v>15</v>
      </c>
      <c r="G531" s="4" t="s">
        <v>14</v>
      </c>
      <c r="H531">
        <v>46.957308010521992</v>
      </c>
      <c r="I531">
        <v>6.4909200063457249</v>
      </c>
      <c r="J531" s="4" t="s">
        <v>44</v>
      </c>
      <c r="L531" s="4" t="s">
        <v>42</v>
      </c>
      <c r="M531" s="4" t="s">
        <v>43</v>
      </c>
      <c r="N531" s="4" t="s">
        <v>16</v>
      </c>
    </row>
    <row r="532" spans="1:15" x14ac:dyDescent="0.25">
      <c r="A532">
        <f t="shared" si="36"/>
        <v>116304</v>
      </c>
      <c r="B532" t="s">
        <v>212</v>
      </c>
      <c r="C532" s="9">
        <v>43305</v>
      </c>
      <c r="D532" s="13">
        <f t="shared" si="33"/>
        <v>2018</v>
      </c>
      <c r="E532" s="13">
        <f t="shared" si="34"/>
        <v>7</v>
      </c>
      <c r="F532" s="13">
        <f t="shared" si="35"/>
        <v>24</v>
      </c>
      <c r="G532" s="4" t="s">
        <v>14</v>
      </c>
      <c r="H532">
        <v>46.945540010523189</v>
      </c>
      <c r="I532">
        <v>6.4619080063155732</v>
      </c>
      <c r="J532" s="4" t="s">
        <v>44</v>
      </c>
      <c r="L532" s="4" t="s">
        <v>42</v>
      </c>
      <c r="M532" s="4" t="s">
        <v>43</v>
      </c>
      <c r="N532" s="4" t="s">
        <v>17</v>
      </c>
    </row>
    <row r="533" spans="1:15" x14ac:dyDescent="0.25">
      <c r="A533">
        <f t="shared" si="36"/>
        <v>116305</v>
      </c>
      <c r="B533" t="s">
        <v>213</v>
      </c>
      <c r="C533" s="9">
        <v>42846</v>
      </c>
      <c r="D533" s="13">
        <f t="shared" si="33"/>
        <v>2017</v>
      </c>
      <c r="E533" s="13">
        <f t="shared" si="34"/>
        <v>4</v>
      </c>
      <c r="F533" s="13">
        <f t="shared" si="35"/>
        <v>21</v>
      </c>
      <c r="G533" s="4" t="s">
        <v>14</v>
      </c>
      <c r="H533">
        <v>46.8842</v>
      </c>
      <c r="I533">
        <v>6.5989000000000004</v>
      </c>
      <c r="J533" s="4" t="s">
        <v>15</v>
      </c>
      <c r="L533" s="4" t="s">
        <v>42</v>
      </c>
      <c r="M533" s="4" t="s">
        <v>43</v>
      </c>
      <c r="N533" s="4" t="s">
        <v>16</v>
      </c>
      <c r="O533" s="4" t="s">
        <v>27</v>
      </c>
    </row>
    <row r="534" spans="1:15" x14ac:dyDescent="0.25">
      <c r="A534">
        <f t="shared" si="36"/>
        <v>116305</v>
      </c>
      <c r="B534" t="s">
        <v>213</v>
      </c>
      <c r="C534" s="9">
        <v>42870</v>
      </c>
      <c r="D534" s="13">
        <f t="shared" si="33"/>
        <v>2017</v>
      </c>
      <c r="E534" s="13">
        <f t="shared" si="34"/>
        <v>5</v>
      </c>
      <c r="F534" s="13">
        <f t="shared" si="35"/>
        <v>15</v>
      </c>
      <c r="G534" s="4" t="s">
        <v>14</v>
      </c>
      <c r="H534">
        <v>46.885292010470337</v>
      </c>
      <c r="I534">
        <v>6.5964910064790443</v>
      </c>
      <c r="J534" s="4" t="s">
        <v>44</v>
      </c>
      <c r="L534" s="4" t="s">
        <v>42</v>
      </c>
      <c r="M534" s="4" t="s">
        <v>43</v>
      </c>
      <c r="N534" s="4" t="s">
        <v>16</v>
      </c>
    </row>
    <row r="535" spans="1:15" x14ac:dyDescent="0.25">
      <c r="A535">
        <f t="shared" si="36"/>
        <v>116305</v>
      </c>
      <c r="B535" t="s">
        <v>213</v>
      </c>
      <c r="C535" s="9">
        <v>42900</v>
      </c>
      <c r="D535" s="13">
        <f t="shared" si="33"/>
        <v>2017</v>
      </c>
      <c r="E535" s="13">
        <f t="shared" si="34"/>
        <v>6</v>
      </c>
      <c r="F535" s="13">
        <f t="shared" si="35"/>
        <v>14</v>
      </c>
      <c r="G535" s="4" t="s">
        <v>14</v>
      </c>
      <c r="H535">
        <v>46.884972010470008</v>
      </c>
      <c r="I535">
        <v>6.5974600064801967</v>
      </c>
      <c r="J535" s="4" t="s">
        <v>44</v>
      </c>
      <c r="L535" s="4" t="s">
        <v>42</v>
      </c>
      <c r="M535" s="4" t="s">
        <v>43</v>
      </c>
      <c r="N535" s="4" t="s">
        <v>16</v>
      </c>
    </row>
    <row r="536" spans="1:15" x14ac:dyDescent="0.25">
      <c r="A536">
        <f t="shared" si="36"/>
        <v>116305</v>
      </c>
      <c r="B536" t="s">
        <v>213</v>
      </c>
      <c r="C536" s="9">
        <v>42930</v>
      </c>
      <c r="D536" s="13">
        <f t="shared" si="33"/>
        <v>2017</v>
      </c>
      <c r="E536" s="13">
        <f t="shared" si="34"/>
        <v>7</v>
      </c>
      <c r="F536" s="13">
        <f t="shared" si="35"/>
        <v>14</v>
      </c>
      <c r="G536" s="4" t="s">
        <v>14</v>
      </c>
      <c r="H536">
        <v>46.88597201047115</v>
      </c>
      <c r="I536">
        <v>6.5939720064760809</v>
      </c>
      <c r="J536" s="4" t="s">
        <v>44</v>
      </c>
      <c r="L536" s="4" t="s">
        <v>42</v>
      </c>
      <c r="M536" s="4" t="s">
        <v>43</v>
      </c>
      <c r="N536" s="4" t="s">
        <v>16</v>
      </c>
    </row>
    <row r="537" spans="1:15" x14ac:dyDescent="0.25">
      <c r="A537">
        <f t="shared" si="36"/>
        <v>116305</v>
      </c>
      <c r="B537" t="s">
        <v>213</v>
      </c>
      <c r="C537" s="9">
        <v>42961</v>
      </c>
      <c r="D537" s="13">
        <f t="shared" si="33"/>
        <v>2017</v>
      </c>
      <c r="E537" s="13">
        <f t="shared" si="34"/>
        <v>8</v>
      </c>
      <c r="F537" s="13">
        <f t="shared" si="35"/>
        <v>14</v>
      </c>
      <c r="G537" s="4" t="s">
        <v>14</v>
      </c>
      <c r="H537">
        <v>46.885256010470137</v>
      </c>
      <c r="I537">
        <v>6.5972650064799154</v>
      </c>
      <c r="J537" s="4" t="s">
        <v>44</v>
      </c>
      <c r="L537" s="4" t="s">
        <v>42</v>
      </c>
      <c r="M537" s="4" t="s">
        <v>43</v>
      </c>
      <c r="N537" s="4" t="s">
        <v>16</v>
      </c>
    </row>
    <row r="538" spans="1:15" x14ac:dyDescent="0.25">
      <c r="A538">
        <f t="shared" si="36"/>
        <v>116305</v>
      </c>
      <c r="B538" t="s">
        <v>213</v>
      </c>
      <c r="C538" s="9">
        <v>42993</v>
      </c>
      <c r="D538" s="13">
        <f t="shared" si="33"/>
        <v>2017</v>
      </c>
      <c r="E538" s="13">
        <f t="shared" si="34"/>
        <v>9</v>
      </c>
      <c r="F538" s="13">
        <f t="shared" si="35"/>
        <v>15</v>
      </c>
      <c r="G538" s="4" t="s">
        <v>14</v>
      </c>
      <c r="H538">
        <v>46.885112010473797</v>
      </c>
      <c r="I538">
        <v>6.5797180064602969</v>
      </c>
      <c r="J538" s="4" t="s">
        <v>44</v>
      </c>
      <c r="L538" s="4" t="s">
        <v>42</v>
      </c>
      <c r="M538" s="4" t="s">
        <v>43</v>
      </c>
      <c r="N538" s="4" t="s">
        <v>16</v>
      </c>
    </row>
    <row r="539" spans="1:15" x14ac:dyDescent="0.25">
      <c r="A539">
        <f t="shared" si="36"/>
        <v>116305</v>
      </c>
      <c r="B539" t="s">
        <v>213</v>
      </c>
      <c r="C539" s="9">
        <v>43035</v>
      </c>
      <c r="D539" s="13">
        <f t="shared" si="33"/>
        <v>2017</v>
      </c>
      <c r="E539" s="13">
        <f t="shared" si="34"/>
        <v>10</v>
      </c>
      <c r="F539" s="13">
        <f t="shared" si="35"/>
        <v>27</v>
      </c>
      <c r="G539" s="4" t="s">
        <v>14</v>
      </c>
      <c r="H539">
        <v>46.882648010467904</v>
      </c>
      <c r="I539">
        <v>6.6027740064866256</v>
      </c>
      <c r="J539" s="4" t="s">
        <v>44</v>
      </c>
      <c r="L539" s="4" t="s">
        <v>42</v>
      </c>
      <c r="M539" s="4" t="s">
        <v>43</v>
      </c>
      <c r="N539" s="4" t="s">
        <v>16</v>
      </c>
    </row>
    <row r="540" spans="1:15" x14ac:dyDescent="0.25">
      <c r="A540">
        <f t="shared" si="36"/>
        <v>116305</v>
      </c>
      <c r="B540" t="s">
        <v>213</v>
      </c>
      <c r="C540" s="9">
        <v>43197</v>
      </c>
      <c r="D540" s="13">
        <f t="shared" si="33"/>
        <v>2018</v>
      </c>
      <c r="E540" s="13">
        <f t="shared" si="34"/>
        <v>4</v>
      </c>
      <c r="F540" s="13">
        <f t="shared" si="35"/>
        <v>7</v>
      </c>
      <c r="G540" s="4" t="s">
        <v>14</v>
      </c>
      <c r="H540">
        <v>46.88588801047085</v>
      </c>
      <c r="I540">
        <v>6.5951420064774098</v>
      </c>
      <c r="J540" s="4" t="s">
        <v>44</v>
      </c>
      <c r="L540" s="4" t="s">
        <v>42</v>
      </c>
      <c r="M540" s="4" t="s">
        <v>43</v>
      </c>
      <c r="N540" s="4" t="s">
        <v>16</v>
      </c>
    </row>
    <row r="541" spans="1:15" x14ac:dyDescent="0.25">
      <c r="A541">
        <f t="shared" si="36"/>
        <v>116305</v>
      </c>
      <c r="B541" t="s">
        <v>213</v>
      </c>
      <c r="C541" s="9">
        <v>43235</v>
      </c>
      <c r="D541" s="13">
        <f t="shared" si="33"/>
        <v>2018</v>
      </c>
      <c r="E541" s="13">
        <f t="shared" si="34"/>
        <v>5</v>
      </c>
      <c r="F541" s="13">
        <f t="shared" si="35"/>
        <v>15</v>
      </c>
      <c r="G541" s="4" t="s">
        <v>14</v>
      </c>
      <c r="H541">
        <v>46.877664010464891</v>
      </c>
      <c r="I541">
        <v>6.6071340064925463</v>
      </c>
      <c r="J541" s="4" t="s">
        <v>44</v>
      </c>
      <c r="L541" s="4" t="s">
        <v>42</v>
      </c>
      <c r="M541" s="4" t="s">
        <v>43</v>
      </c>
      <c r="N541" s="4" t="s">
        <v>16</v>
      </c>
    </row>
    <row r="542" spans="1:15" x14ac:dyDescent="0.25">
      <c r="A542">
        <f t="shared" si="36"/>
        <v>116305</v>
      </c>
      <c r="B542" t="s">
        <v>213</v>
      </c>
      <c r="C542" s="9">
        <v>43267</v>
      </c>
      <c r="D542" s="13">
        <f t="shared" si="33"/>
        <v>2018</v>
      </c>
      <c r="E542" s="13">
        <f t="shared" si="34"/>
        <v>6</v>
      </c>
      <c r="F542" s="13">
        <f t="shared" si="35"/>
        <v>16</v>
      </c>
      <c r="G542" s="4" t="s">
        <v>14</v>
      </c>
      <c r="H542">
        <v>46.88501601047146</v>
      </c>
      <c r="I542">
        <v>6.5906920064726098</v>
      </c>
      <c r="J542" s="4" t="s">
        <v>44</v>
      </c>
      <c r="L542" s="4" t="s">
        <v>42</v>
      </c>
      <c r="M542" s="4" t="s">
        <v>43</v>
      </c>
      <c r="N542" s="4" t="s">
        <v>16</v>
      </c>
    </row>
    <row r="543" spans="1:15" x14ac:dyDescent="0.25">
      <c r="A543">
        <f t="shared" si="36"/>
        <v>116305</v>
      </c>
      <c r="B543" t="s">
        <v>213</v>
      </c>
      <c r="C543" s="9">
        <v>43301</v>
      </c>
      <c r="D543" s="13">
        <f t="shared" si="33"/>
        <v>2018</v>
      </c>
      <c r="E543" s="13">
        <f t="shared" si="34"/>
        <v>7</v>
      </c>
      <c r="F543" s="13">
        <f t="shared" si="35"/>
        <v>20</v>
      </c>
      <c r="G543" s="4" t="s">
        <v>14</v>
      </c>
      <c r="H543">
        <v>46.885216010470508</v>
      </c>
      <c r="I543">
        <v>6.5954870064779367</v>
      </c>
      <c r="J543" s="4" t="s">
        <v>44</v>
      </c>
      <c r="L543" s="4" t="s">
        <v>42</v>
      </c>
      <c r="M543" s="4" t="s">
        <v>43</v>
      </c>
      <c r="N543" s="4" t="s">
        <v>17</v>
      </c>
    </row>
    <row r="544" spans="1:15" x14ac:dyDescent="0.25">
      <c r="A544">
        <f t="shared" si="36"/>
        <v>116306</v>
      </c>
      <c r="B544" t="s">
        <v>214</v>
      </c>
      <c r="C544" s="9">
        <v>42848</v>
      </c>
      <c r="D544" s="13">
        <f t="shared" si="33"/>
        <v>2017</v>
      </c>
      <c r="E544" s="13">
        <f t="shared" si="34"/>
        <v>4</v>
      </c>
      <c r="F544" s="13">
        <f t="shared" si="35"/>
        <v>23</v>
      </c>
      <c r="G544" s="4" t="s">
        <v>14</v>
      </c>
      <c r="H544">
        <v>46.942500000000003</v>
      </c>
      <c r="I544">
        <v>6.4771999999999998</v>
      </c>
      <c r="J544" s="4" t="s">
        <v>15</v>
      </c>
      <c r="L544" s="4" t="s">
        <v>42</v>
      </c>
      <c r="M544" s="4" t="s">
        <v>43</v>
      </c>
      <c r="N544" s="4" t="s">
        <v>16</v>
      </c>
      <c r="O544" s="4" t="s">
        <v>27</v>
      </c>
    </row>
    <row r="545" spans="1:15" x14ac:dyDescent="0.25">
      <c r="A545">
        <f t="shared" si="36"/>
        <v>116306</v>
      </c>
      <c r="B545" t="s">
        <v>214</v>
      </c>
      <c r="C545" s="9">
        <v>42870</v>
      </c>
      <c r="D545" s="13">
        <f t="shared" si="33"/>
        <v>2017</v>
      </c>
      <c r="E545" s="13">
        <f t="shared" si="34"/>
        <v>5</v>
      </c>
      <c r="F545" s="13">
        <f t="shared" si="35"/>
        <v>15</v>
      </c>
      <c r="G545" s="4" t="s">
        <v>14</v>
      </c>
      <c r="H545">
        <v>46.934820010516312</v>
      </c>
      <c r="I545">
        <v>6.4740010063313749</v>
      </c>
      <c r="J545" s="4" t="s">
        <v>44</v>
      </c>
      <c r="L545" s="4" t="s">
        <v>42</v>
      </c>
      <c r="M545" s="4" t="s">
        <v>43</v>
      </c>
      <c r="N545" s="4" t="s">
        <v>16</v>
      </c>
    </row>
    <row r="546" spans="1:15" x14ac:dyDescent="0.25">
      <c r="A546">
        <f t="shared" si="36"/>
        <v>116306</v>
      </c>
      <c r="B546" t="s">
        <v>214</v>
      </c>
      <c r="C546" s="9">
        <v>42901</v>
      </c>
      <c r="D546" s="13">
        <f t="shared" si="33"/>
        <v>2017</v>
      </c>
      <c r="E546" s="13">
        <f t="shared" si="34"/>
        <v>6</v>
      </c>
      <c r="F546" s="13">
        <f t="shared" si="35"/>
        <v>15</v>
      </c>
      <c r="G546" s="4" t="s">
        <v>14</v>
      </c>
      <c r="H546">
        <v>46.922044010518754</v>
      </c>
      <c r="I546">
        <v>6.4367470062920757</v>
      </c>
      <c r="J546" s="4" t="s">
        <v>44</v>
      </c>
      <c r="L546" s="4" t="s">
        <v>42</v>
      </c>
      <c r="M546" s="4" t="s">
        <v>43</v>
      </c>
      <c r="N546" s="4" t="s">
        <v>16</v>
      </c>
    </row>
    <row r="547" spans="1:15" x14ac:dyDescent="0.25">
      <c r="A547">
        <f t="shared" si="36"/>
        <v>116306</v>
      </c>
      <c r="B547" t="s">
        <v>214</v>
      </c>
      <c r="C547" s="9">
        <v>42926</v>
      </c>
      <c r="D547" s="13">
        <f t="shared" si="33"/>
        <v>2017</v>
      </c>
      <c r="E547" s="13">
        <f t="shared" si="34"/>
        <v>7</v>
      </c>
      <c r="F547" s="13">
        <f t="shared" si="35"/>
        <v>10</v>
      </c>
      <c r="G547" s="4" t="s">
        <v>14</v>
      </c>
      <c r="H547">
        <v>46.930904010514972</v>
      </c>
      <c r="I547">
        <v>6.4727530063307777</v>
      </c>
      <c r="J547" s="4" t="s">
        <v>44</v>
      </c>
      <c r="L547" s="4" t="s">
        <v>42</v>
      </c>
      <c r="M547" s="4" t="s">
        <v>43</v>
      </c>
      <c r="N547" s="4" t="s">
        <v>17</v>
      </c>
    </row>
    <row r="548" spans="1:15" x14ac:dyDescent="0.25">
      <c r="A548">
        <f t="shared" si="36"/>
        <v>116307</v>
      </c>
      <c r="B548" t="s">
        <v>215</v>
      </c>
      <c r="C548" s="9">
        <v>42854</v>
      </c>
      <c r="D548" s="13">
        <f t="shared" si="33"/>
        <v>2017</v>
      </c>
      <c r="E548" s="13">
        <f t="shared" si="34"/>
        <v>4</v>
      </c>
      <c r="F548" s="13">
        <f t="shared" si="35"/>
        <v>29</v>
      </c>
      <c r="G548" s="4" t="s">
        <v>14</v>
      </c>
      <c r="H548">
        <v>46.884999999999998</v>
      </c>
      <c r="I548">
        <v>6.5911</v>
      </c>
      <c r="J548" s="4" t="s">
        <v>15</v>
      </c>
      <c r="L548" s="4" t="s">
        <v>42</v>
      </c>
      <c r="M548" s="4" t="s">
        <v>43</v>
      </c>
      <c r="N548" s="4" t="s">
        <v>16</v>
      </c>
      <c r="O548" s="4" t="s">
        <v>19</v>
      </c>
    </row>
    <row r="549" spans="1:15" x14ac:dyDescent="0.25">
      <c r="A549">
        <f t="shared" si="36"/>
        <v>116307</v>
      </c>
      <c r="B549" t="s">
        <v>215</v>
      </c>
      <c r="C549" s="9">
        <v>42870</v>
      </c>
      <c r="D549" s="13">
        <f t="shared" si="33"/>
        <v>2017</v>
      </c>
      <c r="E549" s="13">
        <f t="shared" si="34"/>
        <v>5</v>
      </c>
      <c r="F549" s="13">
        <f t="shared" si="35"/>
        <v>15</v>
      </c>
      <c r="G549" s="4" t="s">
        <v>14</v>
      </c>
      <c r="H549">
        <v>46.872524010470201</v>
      </c>
      <c r="I549">
        <v>6.5719890064542561</v>
      </c>
      <c r="J549" s="4" t="s">
        <v>44</v>
      </c>
      <c r="L549" s="4" t="s">
        <v>42</v>
      </c>
      <c r="M549" s="4" t="s">
        <v>43</v>
      </c>
      <c r="N549" s="4" t="s">
        <v>16</v>
      </c>
    </row>
    <row r="550" spans="1:15" x14ac:dyDescent="0.25">
      <c r="A550">
        <f t="shared" si="36"/>
        <v>116307</v>
      </c>
      <c r="B550" t="s">
        <v>215</v>
      </c>
      <c r="C550" s="9">
        <v>42900</v>
      </c>
      <c r="D550" s="13">
        <f t="shared" si="33"/>
        <v>2017</v>
      </c>
      <c r="E550" s="13">
        <f t="shared" si="34"/>
        <v>6</v>
      </c>
      <c r="F550" s="13">
        <f t="shared" si="35"/>
        <v>14</v>
      </c>
      <c r="G550" s="4" t="s">
        <v>14</v>
      </c>
      <c r="H550">
        <v>46.870036010465647</v>
      </c>
      <c r="I550">
        <v>6.5887410064735503</v>
      </c>
      <c r="J550" s="4" t="s">
        <v>44</v>
      </c>
      <c r="L550" s="4" t="s">
        <v>42</v>
      </c>
      <c r="M550" s="4" t="s">
        <v>43</v>
      </c>
      <c r="N550" s="4" t="s">
        <v>16</v>
      </c>
    </row>
    <row r="551" spans="1:15" x14ac:dyDescent="0.25">
      <c r="A551">
        <f t="shared" si="36"/>
        <v>116307</v>
      </c>
      <c r="B551" t="s">
        <v>215</v>
      </c>
      <c r="C551" s="9">
        <v>42930</v>
      </c>
      <c r="D551" s="13">
        <f t="shared" si="33"/>
        <v>2017</v>
      </c>
      <c r="E551" s="13">
        <f t="shared" si="34"/>
        <v>7</v>
      </c>
      <c r="F551" s="13">
        <f t="shared" si="35"/>
        <v>14</v>
      </c>
      <c r="G551" s="4" t="s">
        <v>14</v>
      </c>
      <c r="H551">
        <v>46.866508010464322</v>
      </c>
      <c r="I551">
        <v>6.5880220064734791</v>
      </c>
      <c r="J551" s="4" t="s">
        <v>44</v>
      </c>
      <c r="L551" s="4" t="s">
        <v>42</v>
      </c>
      <c r="M551" s="4" t="s">
        <v>43</v>
      </c>
      <c r="N551" s="4" t="s">
        <v>16</v>
      </c>
    </row>
    <row r="552" spans="1:15" x14ac:dyDescent="0.25">
      <c r="A552">
        <f t="shared" si="36"/>
        <v>116307</v>
      </c>
      <c r="B552" t="s">
        <v>215</v>
      </c>
      <c r="C552" s="9">
        <v>42963</v>
      </c>
      <c r="D552" s="13">
        <f t="shared" si="33"/>
        <v>2017</v>
      </c>
      <c r="E552" s="13">
        <f t="shared" si="34"/>
        <v>8</v>
      </c>
      <c r="F552" s="13">
        <f t="shared" si="35"/>
        <v>16</v>
      </c>
      <c r="G552" s="4" t="s">
        <v>14</v>
      </c>
      <c r="H552">
        <v>46.869224010465182</v>
      </c>
      <c r="I552">
        <v>6.589167006474197</v>
      </c>
      <c r="J552" s="4" t="s">
        <v>44</v>
      </c>
      <c r="L552" s="4" t="s">
        <v>42</v>
      </c>
      <c r="M552" s="4" t="s">
        <v>43</v>
      </c>
      <c r="N552" s="4" t="s">
        <v>16</v>
      </c>
    </row>
    <row r="553" spans="1:15" x14ac:dyDescent="0.25">
      <c r="A553">
        <f t="shared" si="36"/>
        <v>116307</v>
      </c>
      <c r="B553" t="s">
        <v>215</v>
      </c>
      <c r="C553" s="9">
        <v>42993</v>
      </c>
      <c r="D553" s="13">
        <f t="shared" si="33"/>
        <v>2017</v>
      </c>
      <c r="E553" s="13">
        <f t="shared" si="34"/>
        <v>9</v>
      </c>
      <c r="F553" s="13">
        <f t="shared" si="35"/>
        <v>15</v>
      </c>
      <c r="G553" s="4" t="s">
        <v>14</v>
      </c>
      <c r="H553">
        <v>46.871516010470323</v>
      </c>
      <c r="I553">
        <v>6.5694890064516658</v>
      </c>
      <c r="J553" s="4" t="s">
        <v>44</v>
      </c>
      <c r="L553" s="4" t="s">
        <v>42</v>
      </c>
      <c r="M553" s="4" t="s">
        <v>43</v>
      </c>
      <c r="N553" s="4" t="s">
        <v>16</v>
      </c>
    </row>
    <row r="554" spans="1:15" x14ac:dyDescent="0.25">
      <c r="A554">
        <f t="shared" si="36"/>
        <v>116307</v>
      </c>
      <c r="B554" t="s">
        <v>215</v>
      </c>
      <c r="C554" s="9">
        <v>43024</v>
      </c>
      <c r="D554" s="13">
        <f t="shared" si="33"/>
        <v>2017</v>
      </c>
      <c r="E554" s="13">
        <f t="shared" si="34"/>
        <v>10</v>
      </c>
      <c r="F554" s="13">
        <f t="shared" si="35"/>
        <v>16</v>
      </c>
      <c r="G554" s="4" t="s">
        <v>14</v>
      </c>
      <c r="H554">
        <v>46.872748010470239</v>
      </c>
      <c r="I554">
        <v>6.5723800064546491</v>
      </c>
      <c r="J554" s="4" t="s">
        <v>44</v>
      </c>
      <c r="L554" s="4" t="s">
        <v>42</v>
      </c>
      <c r="M554" s="4" t="s">
        <v>43</v>
      </c>
      <c r="N554" s="4" t="s">
        <v>16</v>
      </c>
    </row>
    <row r="555" spans="1:15" x14ac:dyDescent="0.25">
      <c r="A555">
        <f t="shared" si="36"/>
        <v>116307</v>
      </c>
      <c r="B555" t="s">
        <v>215</v>
      </c>
      <c r="C555" s="9">
        <v>43045</v>
      </c>
      <c r="D555" s="13">
        <f t="shared" si="33"/>
        <v>2017</v>
      </c>
      <c r="E555" s="13">
        <f t="shared" si="34"/>
        <v>11</v>
      </c>
      <c r="F555" s="13">
        <f t="shared" si="35"/>
        <v>6</v>
      </c>
      <c r="G555" s="4" t="s">
        <v>14</v>
      </c>
      <c r="H555">
        <v>46.874784010470407</v>
      </c>
      <c r="I555">
        <v>6.5756740064579224</v>
      </c>
      <c r="J555" s="4" t="s">
        <v>44</v>
      </c>
      <c r="L555" s="4" t="s">
        <v>42</v>
      </c>
      <c r="M555" s="4" t="s">
        <v>43</v>
      </c>
      <c r="N555" s="4" t="s">
        <v>16</v>
      </c>
    </row>
    <row r="556" spans="1:15" x14ac:dyDescent="0.25">
      <c r="A556">
        <f t="shared" si="36"/>
        <v>116307</v>
      </c>
      <c r="B556" t="s">
        <v>215</v>
      </c>
      <c r="C556" s="9">
        <v>43181</v>
      </c>
      <c r="D556" s="13">
        <f t="shared" si="33"/>
        <v>2018</v>
      </c>
      <c r="E556" s="13">
        <f t="shared" si="34"/>
        <v>3</v>
      </c>
      <c r="F556" s="13">
        <f t="shared" si="35"/>
        <v>22</v>
      </c>
      <c r="G556" s="4" t="s">
        <v>14</v>
      </c>
      <c r="H556">
        <v>46.851760010468631</v>
      </c>
      <c r="I556">
        <v>6.5381340064205524</v>
      </c>
      <c r="J556" s="4" t="s">
        <v>44</v>
      </c>
      <c r="L556" s="4" t="s">
        <v>42</v>
      </c>
      <c r="M556" s="4" t="s">
        <v>43</v>
      </c>
      <c r="N556" s="4" t="s">
        <v>16</v>
      </c>
    </row>
    <row r="557" spans="1:15" x14ac:dyDescent="0.25">
      <c r="A557">
        <f t="shared" si="36"/>
        <v>116307</v>
      </c>
      <c r="B557" t="s">
        <v>215</v>
      </c>
      <c r="C557" s="9">
        <v>43209</v>
      </c>
      <c r="D557" s="13">
        <f t="shared" si="33"/>
        <v>2018</v>
      </c>
      <c r="E557" s="13">
        <f t="shared" si="34"/>
        <v>4</v>
      </c>
      <c r="F557" s="13">
        <f t="shared" si="35"/>
        <v>19</v>
      </c>
      <c r="G557" s="4" t="s">
        <v>14</v>
      </c>
      <c r="H557">
        <v>46.867304010464842</v>
      </c>
      <c r="I557">
        <v>6.5870750064722507</v>
      </c>
      <c r="J557" s="4" t="s">
        <v>44</v>
      </c>
      <c r="L557" s="4" t="s">
        <v>42</v>
      </c>
      <c r="M557" s="4" t="s">
        <v>43</v>
      </c>
      <c r="N557" s="4" t="s">
        <v>16</v>
      </c>
    </row>
    <row r="558" spans="1:15" x14ac:dyDescent="0.25">
      <c r="A558">
        <f t="shared" si="36"/>
        <v>116307</v>
      </c>
      <c r="B558" t="s">
        <v>215</v>
      </c>
      <c r="C558" s="9">
        <v>43235</v>
      </c>
      <c r="D558" s="13">
        <f t="shared" si="33"/>
        <v>2018</v>
      </c>
      <c r="E558" s="13">
        <f t="shared" si="34"/>
        <v>5</v>
      </c>
      <c r="F558" s="13">
        <f t="shared" si="35"/>
        <v>15</v>
      </c>
      <c r="G558" s="4" t="s">
        <v>14</v>
      </c>
      <c r="H558">
        <v>46.885116010470867</v>
      </c>
      <c r="I558">
        <v>6.5934780064757037</v>
      </c>
      <c r="J558" s="4" t="s">
        <v>44</v>
      </c>
      <c r="L558" s="4" t="s">
        <v>42</v>
      </c>
      <c r="M558" s="4" t="s">
        <v>43</v>
      </c>
      <c r="N558" s="4" t="s">
        <v>16</v>
      </c>
    </row>
    <row r="559" spans="1:15" x14ac:dyDescent="0.25">
      <c r="A559">
        <f t="shared" si="36"/>
        <v>116307</v>
      </c>
      <c r="B559" t="s">
        <v>215</v>
      </c>
      <c r="C559" s="9">
        <v>43266</v>
      </c>
      <c r="D559" s="13">
        <f t="shared" si="33"/>
        <v>2018</v>
      </c>
      <c r="E559" s="13">
        <f t="shared" si="34"/>
        <v>6</v>
      </c>
      <c r="F559" s="13">
        <f t="shared" si="35"/>
        <v>15</v>
      </c>
      <c r="G559" s="4" t="s">
        <v>14</v>
      </c>
      <c r="H559">
        <v>46.851984010465941</v>
      </c>
      <c r="I559">
        <v>6.5515620064355922</v>
      </c>
      <c r="J559" s="4" t="s">
        <v>44</v>
      </c>
      <c r="L559" s="4" t="s">
        <v>42</v>
      </c>
      <c r="M559" s="4" t="s">
        <v>43</v>
      </c>
      <c r="N559" s="4" t="s">
        <v>16</v>
      </c>
    </row>
    <row r="560" spans="1:15" x14ac:dyDescent="0.25">
      <c r="A560">
        <f t="shared" si="36"/>
        <v>116307</v>
      </c>
      <c r="B560" t="s">
        <v>215</v>
      </c>
      <c r="C560" s="9">
        <v>43297</v>
      </c>
      <c r="D560" s="13">
        <f t="shared" si="33"/>
        <v>2018</v>
      </c>
      <c r="E560" s="13">
        <f t="shared" si="34"/>
        <v>7</v>
      </c>
      <c r="F560" s="13">
        <f t="shared" si="35"/>
        <v>16</v>
      </c>
      <c r="G560" s="4" t="s">
        <v>14</v>
      </c>
      <c r="H560">
        <v>46.848288010463257</v>
      </c>
      <c r="I560">
        <v>6.5568350064422729</v>
      </c>
      <c r="J560" s="4" t="s">
        <v>44</v>
      </c>
      <c r="L560" s="4" t="s">
        <v>42</v>
      </c>
      <c r="M560" s="4" t="s">
        <v>43</v>
      </c>
      <c r="N560" s="4" t="s">
        <v>16</v>
      </c>
    </row>
    <row r="561" spans="1:15" x14ac:dyDescent="0.25">
      <c r="A561">
        <f t="shared" si="36"/>
        <v>116307</v>
      </c>
      <c r="B561" t="s">
        <v>215</v>
      </c>
      <c r="C561" s="9">
        <v>43330</v>
      </c>
      <c r="D561" s="13">
        <f t="shared" si="33"/>
        <v>2018</v>
      </c>
      <c r="E561" s="13">
        <f t="shared" si="34"/>
        <v>8</v>
      </c>
      <c r="F561" s="13">
        <f t="shared" si="35"/>
        <v>18</v>
      </c>
      <c r="G561" s="4" t="s">
        <v>14</v>
      </c>
      <c r="H561">
        <v>46.851808010465312</v>
      </c>
      <c r="I561">
        <v>6.5539600064383201</v>
      </c>
      <c r="J561" s="4" t="s">
        <v>44</v>
      </c>
      <c r="L561" s="4" t="s">
        <v>42</v>
      </c>
      <c r="M561" s="4" t="s">
        <v>43</v>
      </c>
      <c r="N561" s="4" t="s">
        <v>17</v>
      </c>
    </row>
    <row r="562" spans="1:15" x14ac:dyDescent="0.25">
      <c r="A562">
        <f t="shared" si="36"/>
        <v>116308</v>
      </c>
      <c r="B562" t="s">
        <v>216</v>
      </c>
      <c r="C562" s="9">
        <v>42855</v>
      </c>
      <c r="D562" s="13">
        <f t="shared" si="33"/>
        <v>2017</v>
      </c>
      <c r="E562" s="13">
        <f t="shared" si="34"/>
        <v>4</v>
      </c>
      <c r="F562" s="13">
        <f t="shared" si="35"/>
        <v>30</v>
      </c>
      <c r="G562" s="4" t="s">
        <v>14</v>
      </c>
      <c r="H562">
        <v>46.864699999999999</v>
      </c>
      <c r="I562">
        <v>6.5311000000000003</v>
      </c>
      <c r="J562" s="4" t="s">
        <v>15</v>
      </c>
      <c r="L562" s="4" t="s">
        <v>42</v>
      </c>
      <c r="M562" s="4" t="s">
        <v>43</v>
      </c>
      <c r="N562" s="4" t="s">
        <v>16</v>
      </c>
      <c r="O562" s="4" t="s">
        <v>19</v>
      </c>
    </row>
    <row r="563" spans="1:15" x14ac:dyDescent="0.25">
      <c r="A563">
        <f t="shared" si="36"/>
        <v>116308</v>
      </c>
      <c r="B563" t="s">
        <v>216</v>
      </c>
      <c r="C563" s="9">
        <v>42871</v>
      </c>
      <c r="D563" s="13">
        <f t="shared" si="33"/>
        <v>2017</v>
      </c>
      <c r="E563" s="13">
        <f t="shared" si="34"/>
        <v>5</v>
      </c>
      <c r="F563" s="13">
        <f t="shared" si="35"/>
        <v>16</v>
      </c>
      <c r="G563" s="4" t="s">
        <v>14</v>
      </c>
      <c r="H563">
        <v>46.850760010475277</v>
      </c>
      <c r="I563">
        <v>6.5040790063824572</v>
      </c>
      <c r="J563" s="4" t="s">
        <v>44</v>
      </c>
      <c r="L563" s="4" t="s">
        <v>42</v>
      </c>
      <c r="M563" s="4" t="s">
        <v>43</v>
      </c>
      <c r="N563" s="4" t="s">
        <v>16</v>
      </c>
    </row>
    <row r="564" spans="1:15" x14ac:dyDescent="0.25">
      <c r="A564">
        <f t="shared" si="36"/>
        <v>116308</v>
      </c>
      <c r="B564" t="s">
        <v>216</v>
      </c>
      <c r="C564" s="9">
        <v>42902</v>
      </c>
      <c r="D564" s="13">
        <f t="shared" si="33"/>
        <v>2017</v>
      </c>
      <c r="E564" s="13">
        <f t="shared" si="34"/>
        <v>6</v>
      </c>
      <c r="F564" s="13">
        <f t="shared" si="35"/>
        <v>16</v>
      </c>
      <c r="G564" s="4" t="s">
        <v>14</v>
      </c>
      <c r="H564">
        <v>46.847848010474173</v>
      </c>
      <c r="I564">
        <v>6.503715006382639</v>
      </c>
      <c r="J564" s="4" t="s">
        <v>44</v>
      </c>
      <c r="L564" s="4" t="s">
        <v>42</v>
      </c>
      <c r="M564" s="4" t="s">
        <v>43</v>
      </c>
      <c r="N564" s="4" t="s">
        <v>16</v>
      </c>
    </row>
    <row r="565" spans="1:15" x14ac:dyDescent="0.25">
      <c r="A565">
        <f t="shared" si="36"/>
        <v>116308</v>
      </c>
      <c r="B565" t="s">
        <v>216</v>
      </c>
      <c r="C565" s="9">
        <v>42930</v>
      </c>
      <c r="D565" s="13">
        <f t="shared" si="33"/>
        <v>2017</v>
      </c>
      <c r="E565" s="13">
        <f t="shared" si="34"/>
        <v>7</v>
      </c>
      <c r="F565" s="13">
        <f t="shared" si="35"/>
        <v>14</v>
      </c>
      <c r="G565" s="4" t="s">
        <v>14</v>
      </c>
      <c r="H565">
        <v>46.792168010458617</v>
      </c>
      <c r="I565">
        <v>6.4646850063498889</v>
      </c>
      <c r="J565" s="4" t="s">
        <v>44</v>
      </c>
      <c r="L565" s="4" t="s">
        <v>42</v>
      </c>
      <c r="M565" s="4" t="s">
        <v>43</v>
      </c>
      <c r="N565" s="4" t="s">
        <v>16</v>
      </c>
    </row>
    <row r="566" spans="1:15" x14ac:dyDescent="0.25">
      <c r="A566">
        <f t="shared" si="36"/>
        <v>116308</v>
      </c>
      <c r="B566" t="s">
        <v>216</v>
      </c>
      <c r="C566" s="9">
        <v>42963</v>
      </c>
      <c r="D566" s="13">
        <f t="shared" si="33"/>
        <v>2017</v>
      </c>
      <c r="E566" s="13">
        <f t="shared" si="34"/>
        <v>8</v>
      </c>
      <c r="F566" s="13">
        <f t="shared" si="35"/>
        <v>16</v>
      </c>
      <c r="G566" s="4" t="s">
        <v>14</v>
      </c>
      <c r="H566">
        <v>46.866816010476107</v>
      </c>
      <c r="I566">
        <v>6.5324640064110833</v>
      </c>
      <c r="J566" s="4" t="s">
        <v>44</v>
      </c>
      <c r="L566" s="4" t="s">
        <v>42</v>
      </c>
      <c r="M566" s="4" t="s">
        <v>43</v>
      </c>
      <c r="N566" s="4" t="s">
        <v>16</v>
      </c>
    </row>
    <row r="567" spans="1:15" x14ac:dyDescent="0.25">
      <c r="A567">
        <f t="shared" si="36"/>
        <v>116308</v>
      </c>
      <c r="B567" t="s">
        <v>216</v>
      </c>
      <c r="C567" s="9">
        <v>42993</v>
      </c>
      <c r="D567" s="13">
        <f t="shared" si="33"/>
        <v>2017</v>
      </c>
      <c r="E567" s="13">
        <f t="shared" si="34"/>
        <v>9</v>
      </c>
      <c r="F567" s="13">
        <f t="shared" si="35"/>
        <v>15</v>
      </c>
      <c r="G567" s="4" t="s">
        <v>14</v>
      </c>
      <c r="H567">
        <v>46.867960010477383</v>
      </c>
      <c r="I567">
        <v>6.528730006406648</v>
      </c>
      <c r="J567" s="4" t="s">
        <v>44</v>
      </c>
      <c r="L567" s="4" t="s">
        <v>42</v>
      </c>
      <c r="M567" s="4" t="s">
        <v>43</v>
      </c>
      <c r="N567" s="4" t="s">
        <v>16</v>
      </c>
    </row>
    <row r="568" spans="1:15" x14ac:dyDescent="0.25">
      <c r="A568">
        <f t="shared" si="36"/>
        <v>116308</v>
      </c>
      <c r="B568" t="s">
        <v>216</v>
      </c>
      <c r="C568" s="9">
        <v>43024</v>
      </c>
      <c r="D568" s="13">
        <f t="shared" si="33"/>
        <v>2017</v>
      </c>
      <c r="E568" s="13">
        <f t="shared" si="34"/>
        <v>10</v>
      </c>
      <c r="F568" s="13">
        <f t="shared" si="35"/>
        <v>16</v>
      </c>
      <c r="G568" s="4" t="s">
        <v>14</v>
      </c>
      <c r="H568">
        <v>46.888088010485284</v>
      </c>
      <c r="I568">
        <v>6.5309370064049803</v>
      </c>
      <c r="J568" s="4" t="s">
        <v>44</v>
      </c>
      <c r="L568" s="4" t="s">
        <v>42</v>
      </c>
      <c r="M568" s="4" t="s">
        <v>43</v>
      </c>
      <c r="N568" s="4" t="s">
        <v>16</v>
      </c>
    </row>
    <row r="569" spans="1:15" x14ac:dyDescent="0.25">
      <c r="A569">
        <f t="shared" si="36"/>
        <v>116308</v>
      </c>
      <c r="B569" t="s">
        <v>216</v>
      </c>
      <c r="C569" s="9">
        <v>43052</v>
      </c>
      <c r="D569" s="13">
        <f t="shared" si="33"/>
        <v>2017</v>
      </c>
      <c r="E569" s="13">
        <f t="shared" si="34"/>
        <v>11</v>
      </c>
      <c r="F569" s="13">
        <f t="shared" si="35"/>
        <v>13</v>
      </c>
      <c r="G569" s="4" t="s">
        <v>14</v>
      </c>
      <c r="H569">
        <v>46.8916560104852</v>
      </c>
      <c r="I569">
        <v>6.5383960064126114</v>
      </c>
      <c r="J569" s="4" t="s">
        <v>44</v>
      </c>
      <c r="L569" s="4" t="s">
        <v>42</v>
      </c>
      <c r="M569" s="4" t="s">
        <v>43</v>
      </c>
      <c r="N569" s="4" t="s">
        <v>16</v>
      </c>
    </row>
    <row r="570" spans="1:15" x14ac:dyDescent="0.25">
      <c r="A570">
        <f t="shared" si="36"/>
        <v>116308</v>
      </c>
      <c r="B570" t="s">
        <v>216</v>
      </c>
      <c r="C570" s="9">
        <v>43173</v>
      </c>
      <c r="D570" s="13">
        <f t="shared" si="33"/>
        <v>2018</v>
      </c>
      <c r="E570" s="13">
        <f t="shared" si="34"/>
        <v>3</v>
      </c>
      <c r="F570" s="13">
        <f t="shared" si="35"/>
        <v>14</v>
      </c>
      <c r="G570" s="4" t="s">
        <v>14</v>
      </c>
      <c r="H570">
        <v>46.893588010485203</v>
      </c>
      <c r="I570">
        <v>6.5421750064164517</v>
      </c>
      <c r="J570" s="4" t="s">
        <v>44</v>
      </c>
      <c r="L570" s="4" t="s">
        <v>42</v>
      </c>
      <c r="M570" s="4" t="s">
        <v>43</v>
      </c>
      <c r="N570" s="4" t="s">
        <v>16</v>
      </c>
    </row>
    <row r="571" spans="1:15" x14ac:dyDescent="0.25">
      <c r="A571">
        <f t="shared" si="36"/>
        <v>116308</v>
      </c>
      <c r="B571" t="s">
        <v>216</v>
      </c>
      <c r="C571" s="9">
        <v>43206</v>
      </c>
      <c r="D571" s="13">
        <f t="shared" si="33"/>
        <v>2018</v>
      </c>
      <c r="E571" s="13">
        <f t="shared" si="34"/>
        <v>4</v>
      </c>
      <c r="F571" s="13">
        <f t="shared" si="35"/>
        <v>16</v>
      </c>
      <c r="G571" s="4" t="s">
        <v>14</v>
      </c>
      <c r="H571">
        <v>46.853704010475823</v>
      </c>
      <c r="I571">
        <v>6.5075580063857679</v>
      </c>
      <c r="J571" s="4" t="s">
        <v>44</v>
      </c>
      <c r="L571" s="4" t="s">
        <v>42</v>
      </c>
      <c r="M571" s="4" t="s">
        <v>43</v>
      </c>
      <c r="N571" s="4" t="s">
        <v>16</v>
      </c>
    </row>
    <row r="572" spans="1:15" x14ac:dyDescent="0.25">
      <c r="A572">
        <f t="shared" si="36"/>
        <v>116308</v>
      </c>
      <c r="B572" t="s">
        <v>216</v>
      </c>
      <c r="C572" s="9">
        <v>43235</v>
      </c>
      <c r="D572" s="13">
        <f t="shared" si="33"/>
        <v>2018</v>
      </c>
      <c r="E572" s="13">
        <f t="shared" si="34"/>
        <v>5</v>
      </c>
      <c r="F572" s="13">
        <f t="shared" si="35"/>
        <v>15</v>
      </c>
      <c r="G572" s="4" t="s">
        <v>14</v>
      </c>
      <c r="H572">
        <v>46.797032010466658</v>
      </c>
      <c r="I572">
        <v>6.4354900063159057</v>
      </c>
      <c r="J572" s="4" t="s">
        <v>44</v>
      </c>
      <c r="L572" s="4" t="s">
        <v>42</v>
      </c>
      <c r="M572" s="4" t="s">
        <v>43</v>
      </c>
      <c r="N572" s="4" t="s">
        <v>16</v>
      </c>
    </row>
    <row r="573" spans="1:15" x14ac:dyDescent="0.25">
      <c r="A573">
        <f t="shared" si="36"/>
        <v>116308</v>
      </c>
      <c r="B573" t="s">
        <v>216</v>
      </c>
      <c r="C573" s="9">
        <v>43265</v>
      </c>
      <c r="D573" s="13">
        <f t="shared" si="33"/>
        <v>2018</v>
      </c>
      <c r="E573" s="13">
        <f t="shared" si="34"/>
        <v>6</v>
      </c>
      <c r="F573" s="13">
        <f t="shared" si="35"/>
        <v>14</v>
      </c>
      <c r="G573" s="4" t="s">
        <v>14</v>
      </c>
      <c r="H573">
        <v>46.86537601047587</v>
      </c>
      <c r="I573">
        <v>6.5306190064093048</v>
      </c>
      <c r="J573" s="4" t="s">
        <v>44</v>
      </c>
      <c r="L573" s="4" t="s">
        <v>42</v>
      </c>
      <c r="M573" s="4" t="s">
        <v>43</v>
      </c>
      <c r="N573" s="4" t="s">
        <v>16</v>
      </c>
    </row>
    <row r="574" spans="1:15" x14ac:dyDescent="0.25">
      <c r="A574">
        <f t="shared" si="36"/>
        <v>116308</v>
      </c>
      <c r="B574" t="s">
        <v>216</v>
      </c>
      <c r="C574" s="9">
        <v>43307</v>
      </c>
      <c r="D574" s="13">
        <f t="shared" si="33"/>
        <v>2018</v>
      </c>
      <c r="E574" s="13">
        <f t="shared" si="34"/>
        <v>7</v>
      </c>
      <c r="F574" s="13">
        <f t="shared" si="35"/>
        <v>26</v>
      </c>
      <c r="G574" s="4" t="s">
        <v>14</v>
      </c>
      <c r="H574">
        <v>46.773880010453837</v>
      </c>
      <c r="I574">
        <v>6.4495990063364941</v>
      </c>
      <c r="J574" s="4" t="s">
        <v>44</v>
      </c>
      <c r="L574" s="4" t="s">
        <v>42</v>
      </c>
      <c r="M574" s="4" t="s">
        <v>43</v>
      </c>
      <c r="N574" s="4" t="s">
        <v>16</v>
      </c>
    </row>
    <row r="575" spans="1:15" x14ac:dyDescent="0.25">
      <c r="A575">
        <f t="shared" si="36"/>
        <v>116308</v>
      </c>
      <c r="B575" t="s">
        <v>216</v>
      </c>
      <c r="C575" s="9">
        <v>43395</v>
      </c>
      <c r="D575" s="13">
        <f t="shared" si="33"/>
        <v>2018</v>
      </c>
      <c r="E575" s="13">
        <f t="shared" si="34"/>
        <v>10</v>
      </c>
      <c r="F575" s="13">
        <f t="shared" si="35"/>
        <v>22</v>
      </c>
      <c r="G575" s="4" t="s">
        <v>14</v>
      </c>
      <c r="H575">
        <v>46.866700000000002</v>
      </c>
      <c r="I575">
        <v>6.55</v>
      </c>
      <c r="J575" s="4" t="s">
        <v>21</v>
      </c>
      <c r="K575" s="12" t="s">
        <v>22</v>
      </c>
      <c r="L575" s="12" t="s">
        <v>42</v>
      </c>
      <c r="M575" s="12" t="s">
        <v>43</v>
      </c>
      <c r="N575" s="4" t="s">
        <v>17</v>
      </c>
    </row>
    <row r="576" spans="1:15" x14ac:dyDescent="0.25">
      <c r="A576">
        <f t="shared" si="36"/>
        <v>116309</v>
      </c>
      <c r="B576" t="s">
        <v>217</v>
      </c>
      <c r="C576" s="9">
        <v>42855</v>
      </c>
      <c r="D576" s="13">
        <f t="shared" si="33"/>
        <v>2017</v>
      </c>
      <c r="E576" s="13">
        <f t="shared" si="34"/>
        <v>4</v>
      </c>
      <c r="F576" s="13">
        <f t="shared" si="35"/>
        <v>30</v>
      </c>
      <c r="G576" s="4" t="s">
        <v>14</v>
      </c>
      <c r="H576">
        <v>46.864699999999999</v>
      </c>
      <c r="I576">
        <v>6.5311000000000003</v>
      </c>
      <c r="J576" s="4" t="s">
        <v>15</v>
      </c>
      <c r="L576" s="4" t="s">
        <v>42</v>
      </c>
      <c r="M576" s="4" t="s">
        <v>43</v>
      </c>
      <c r="N576" s="4" t="s">
        <v>16</v>
      </c>
      <c r="O576" s="4" t="s">
        <v>27</v>
      </c>
    </row>
    <row r="577" spans="1:15" x14ac:dyDescent="0.25">
      <c r="A577">
        <f t="shared" si="36"/>
        <v>116309</v>
      </c>
      <c r="B577" t="s">
        <v>217</v>
      </c>
      <c r="C577" s="9">
        <v>42870</v>
      </c>
      <c r="D577" s="13">
        <f t="shared" si="33"/>
        <v>2017</v>
      </c>
      <c r="E577" s="13">
        <f t="shared" si="34"/>
        <v>5</v>
      </c>
      <c r="F577" s="13">
        <f t="shared" si="35"/>
        <v>15</v>
      </c>
      <c r="G577" s="4" t="s">
        <v>14</v>
      </c>
      <c r="H577">
        <v>46.869468010475217</v>
      </c>
      <c r="I577">
        <v>6.5420740064213279</v>
      </c>
      <c r="J577" s="4" t="s">
        <v>44</v>
      </c>
      <c r="L577" s="4" t="s">
        <v>42</v>
      </c>
      <c r="M577" s="4" t="s">
        <v>43</v>
      </c>
      <c r="N577" s="4" t="s">
        <v>16</v>
      </c>
    </row>
    <row r="578" spans="1:15" x14ac:dyDescent="0.25">
      <c r="A578">
        <f t="shared" si="36"/>
        <v>116309</v>
      </c>
      <c r="B578" t="s">
        <v>217</v>
      </c>
      <c r="C578" s="9">
        <v>42900</v>
      </c>
      <c r="D578" s="13">
        <f t="shared" si="33"/>
        <v>2017</v>
      </c>
      <c r="E578" s="13">
        <f t="shared" si="34"/>
        <v>6</v>
      </c>
      <c r="F578" s="13">
        <f t="shared" si="35"/>
        <v>14</v>
      </c>
      <c r="G578" s="4" t="s">
        <v>14</v>
      </c>
      <c r="H578">
        <v>46.863848010470633</v>
      </c>
      <c r="I578">
        <v>6.5527940064345236</v>
      </c>
      <c r="J578" s="4" t="s">
        <v>44</v>
      </c>
      <c r="L578" s="4" t="s">
        <v>42</v>
      </c>
      <c r="M578" s="4" t="s">
        <v>43</v>
      </c>
      <c r="N578" s="4" t="s">
        <v>16</v>
      </c>
    </row>
    <row r="579" spans="1:15" x14ac:dyDescent="0.25">
      <c r="A579">
        <f t="shared" si="36"/>
        <v>116309</v>
      </c>
      <c r="B579" t="s">
        <v>217</v>
      </c>
      <c r="C579" s="9">
        <v>42928</v>
      </c>
      <c r="D579" s="13">
        <f t="shared" ref="D579:D642" si="37">YEAR(C579)</f>
        <v>2017</v>
      </c>
      <c r="E579" s="13">
        <f t="shared" ref="E579:E642" si="38">MONTH(C579)</f>
        <v>7</v>
      </c>
      <c r="F579" s="13">
        <f t="shared" ref="F579:F642" si="39">DAY(C579)</f>
        <v>12</v>
      </c>
      <c r="G579" s="4" t="s">
        <v>14</v>
      </c>
      <c r="H579">
        <v>46.854352010465952</v>
      </c>
      <c r="I579">
        <v>6.556071006440165</v>
      </c>
      <c r="J579" s="4" t="s">
        <v>44</v>
      </c>
      <c r="L579" s="4" t="s">
        <v>42</v>
      </c>
      <c r="M579" s="4" t="s">
        <v>43</v>
      </c>
      <c r="N579" s="4" t="s">
        <v>16</v>
      </c>
    </row>
    <row r="580" spans="1:15" x14ac:dyDescent="0.25">
      <c r="A580">
        <f t="shared" si="36"/>
        <v>116309</v>
      </c>
      <c r="B580" t="s">
        <v>217</v>
      </c>
      <c r="C580" s="9">
        <v>42951</v>
      </c>
      <c r="D580" s="13">
        <f t="shared" si="37"/>
        <v>2017</v>
      </c>
      <c r="E580" s="13">
        <f t="shared" si="38"/>
        <v>8</v>
      </c>
      <c r="F580" s="13">
        <f t="shared" si="39"/>
        <v>4</v>
      </c>
      <c r="G580" s="4" t="s">
        <v>14</v>
      </c>
      <c r="H580">
        <v>46.860900010467986</v>
      </c>
      <c r="I580">
        <v>6.5594930064426524</v>
      </c>
      <c r="J580" s="4" t="s">
        <v>44</v>
      </c>
      <c r="L580" s="4" t="s">
        <v>42</v>
      </c>
      <c r="M580" s="4" t="s">
        <v>43</v>
      </c>
      <c r="N580" s="4" t="s">
        <v>17</v>
      </c>
    </row>
    <row r="581" spans="1:15" x14ac:dyDescent="0.25">
      <c r="A581">
        <f t="shared" si="36"/>
        <v>116310</v>
      </c>
      <c r="B581" t="s">
        <v>218</v>
      </c>
      <c r="C581" s="9">
        <v>42859</v>
      </c>
      <c r="D581" s="13">
        <f t="shared" si="37"/>
        <v>2017</v>
      </c>
      <c r="E581" s="13">
        <f t="shared" si="38"/>
        <v>5</v>
      </c>
      <c r="F581" s="13">
        <f t="shared" si="39"/>
        <v>4</v>
      </c>
      <c r="G581" s="4" t="s">
        <v>14</v>
      </c>
      <c r="H581">
        <v>46.9392</v>
      </c>
      <c r="I581">
        <v>6.7453000000000003</v>
      </c>
      <c r="J581" s="4" t="s">
        <v>15</v>
      </c>
      <c r="L581" s="4" t="s">
        <v>42</v>
      </c>
      <c r="M581" s="4" t="s">
        <v>43</v>
      </c>
      <c r="N581" s="4" t="s">
        <v>16</v>
      </c>
      <c r="O581" s="4" t="s">
        <v>19</v>
      </c>
    </row>
    <row r="582" spans="1:15" x14ac:dyDescent="0.25">
      <c r="A582">
        <f t="shared" si="36"/>
        <v>116310</v>
      </c>
      <c r="B582" t="s">
        <v>218</v>
      </c>
      <c r="C582" s="9">
        <v>42902</v>
      </c>
      <c r="D582" s="13">
        <f t="shared" si="37"/>
        <v>2017</v>
      </c>
      <c r="E582" s="13">
        <f t="shared" si="38"/>
        <v>6</v>
      </c>
      <c r="F582" s="13">
        <f t="shared" si="39"/>
        <v>16</v>
      </c>
      <c r="G582" s="4" t="s">
        <v>14</v>
      </c>
      <c r="H582">
        <v>46.948612010455541</v>
      </c>
      <c r="I582">
        <v>6.7852890066755513</v>
      </c>
      <c r="J582" s="4" t="s">
        <v>44</v>
      </c>
      <c r="L582" s="4" t="s">
        <v>42</v>
      </c>
      <c r="M582" s="4" t="s">
        <v>43</v>
      </c>
      <c r="N582" s="4" t="s">
        <v>16</v>
      </c>
    </row>
    <row r="583" spans="1:15" x14ac:dyDescent="0.25">
      <c r="A583">
        <f t="shared" si="36"/>
        <v>116310</v>
      </c>
      <c r="B583" t="s">
        <v>218</v>
      </c>
      <c r="C583" s="9">
        <v>42930</v>
      </c>
      <c r="D583" s="13">
        <f t="shared" si="37"/>
        <v>2017</v>
      </c>
      <c r="E583" s="13">
        <f t="shared" si="38"/>
        <v>7</v>
      </c>
      <c r="F583" s="13">
        <f t="shared" si="39"/>
        <v>14</v>
      </c>
      <c r="G583" s="4" t="s">
        <v>14</v>
      </c>
      <c r="H583">
        <v>46.87319201046521</v>
      </c>
      <c r="I583">
        <v>6.5969340064820701</v>
      </c>
      <c r="J583" s="4" t="s">
        <v>44</v>
      </c>
      <c r="L583" s="4" t="s">
        <v>42</v>
      </c>
      <c r="M583" s="4" t="s">
        <v>43</v>
      </c>
      <c r="N583" s="4" t="s">
        <v>16</v>
      </c>
    </row>
    <row r="584" spans="1:15" x14ac:dyDescent="0.25">
      <c r="A584">
        <f t="shared" si="36"/>
        <v>116310</v>
      </c>
      <c r="B584" t="s">
        <v>218</v>
      </c>
      <c r="C584" s="9">
        <v>42963</v>
      </c>
      <c r="D584" s="13">
        <f t="shared" si="37"/>
        <v>2017</v>
      </c>
      <c r="E584" s="13">
        <f t="shared" si="38"/>
        <v>8</v>
      </c>
      <c r="F584" s="13">
        <f t="shared" si="39"/>
        <v>16</v>
      </c>
      <c r="G584" s="4" t="s">
        <v>14</v>
      </c>
      <c r="H584">
        <v>46.943824010454982</v>
      </c>
      <c r="I584">
        <v>6.7788860066695138</v>
      </c>
      <c r="J584" s="4" t="s">
        <v>44</v>
      </c>
      <c r="L584" s="4" t="s">
        <v>42</v>
      </c>
      <c r="M584" s="4" t="s">
        <v>43</v>
      </c>
      <c r="N584" s="4" t="s">
        <v>16</v>
      </c>
    </row>
    <row r="585" spans="1:15" x14ac:dyDescent="0.25">
      <c r="A585">
        <f t="shared" si="36"/>
        <v>116310</v>
      </c>
      <c r="B585" t="s">
        <v>218</v>
      </c>
      <c r="C585" s="9">
        <v>42991</v>
      </c>
      <c r="D585" s="13">
        <f t="shared" si="37"/>
        <v>2017</v>
      </c>
      <c r="E585" s="13">
        <f t="shared" si="38"/>
        <v>9</v>
      </c>
      <c r="F585" s="13">
        <f t="shared" si="39"/>
        <v>13</v>
      </c>
      <c r="G585" s="4" t="s">
        <v>14</v>
      </c>
      <c r="H585">
        <v>46.944404010455273</v>
      </c>
      <c r="I585">
        <v>6.7787960066692916</v>
      </c>
      <c r="J585" s="4" t="s">
        <v>44</v>
      </c>
      <c r="L585" s="4" t="s">
        <v>42</v>
      </c>
      <c r="M585" s="4" t="s">
        <v>43</v>
      </c>
      <c r="N585" s="4" t="s">
        <v>16</v>
      </c>
    </row>
    <row r="586" spans="1:15" x14ac:dyDescent="0.25">
      <c r="A586">
        <f t="shared" si="36"/>
        <v>116310</v>
      </c>
      <c r="B586" t="s">
        <v>218</v>
      </c>
      <c r="C586" s="9">
        <v>43024</v>
      </c>
      <c r="D586" s="13">
        <f t="shared" si="37"/>
        <v>2017</v>
      </c>
      <c r="E586" s="13">
        <f t="shared" si="38"/>
        <v>10</v>
      </c>
      <c r="F586" s="13">
        <f t="shared" si="39"/>
        <v>16</v>
      </c>
      <c r="G586" s="4" t="s">
        <v>14</v>
      </c>
      <c r="H586">
        <v>46.94418401045543</v>
      </c>
      <c r="I586">
        <v>6.7776780066680979</v>
      </c>
      <c r="J586" s="4" t="s">
        <v>44</v>
      </c>
      <c r="L586" s="4" t="s">
        <v>42</v>
      </c>
      <c r="M586" s="4" t="s">
        <v>43</v>
      </c>
      <c r="N586" s="4" t="s">
        <v>16</v>
      </c>
    </row>
    <row r="587" spans="1:15" x14ac:dyDescent="0.25">
      <c r="A587">
        <f t="shared" si="36"/>
        <v>116310</v>
      </c>
      <c r="B587" t="s">
        <v>218</v>
      </c>
      <c r="C587" s="9">
        <v>43049</v>
      </c>
      <c r="D587" s="13">
        <f t="shared" si="37"/>
        <v>2017</v>
      </c>
      <c r="E587" s="13">
        <f t="shared" si="38"/>
        <v>11</v>
      </c>
      <c r="F587" s="13">
        <f t="shared" si="39"/>
        <v>10</v>
      </c>
      <c r="G587" s="4" t="s">
        <v>14</v>
      </c>
      <c r="H587">
        <v>46.875660010461402</v>
      </c>
      <c r="I587">
        <v>6.6197820065071182</v>
      </c>
      <c r="J587" s="4" t="s">
        <v>44</v>
      </c>
      <c r="L587" s="4" t="s">
        <v>42</v>
      </c>
      <c r="M587" s="4" t="s">
        <v>43</v>
      </c>
      <c r="N587" s="4" t="s">
        <v>16</v>
      </c>
    </row>
    <row r="588" spans="1:15" x14ac:dyDescent="0.25">
      <c r="A588">
        <f t="shared" si="36"/>
        <v>116310</v>
      </c>
      <c r="B588" t="s">
        <v>218</v>
      </c>
      <c r="C588" s="9">
        <v>43179</v>
      </c>
      <c r="D588" s="13">
        <f t="shared" si="37"/>
        <v>2018</v>
      </c>
      <c r="E588" s="13">
        <f t="shared" si="38"/>
        <v>3</v>
      </c>
      <c r="F588" s="13">
        <f t="shared" si="39"/>
        <v>20</v>
      </c>
      <c r="G588" s="4" t="s">
        <v>14</v>
      </c>
      <c r="H588">
        <v>46.956408010458652</v>
      </c>
      <c r="I588">
        <v>6.7855200066741022</v>
      </c>
      <c r="J588" s="4" t="s">
        <v>44</v>
      </c>
      <c r="L588" s="4" t="s">
        <v>42</v>
      </c>
      <c r="M588" s="4" t="s">
        <v>43</v>
      </c>
      <c r="N588" s="4" t="s">
        <v>16</v>
      </c>
    </row>
    <row r="589" spans="1:15" x14ac:dyDescent="0.25">
      <c r="A589">
        <f t="shared" si="36"/>
        <v>116310</v>
      </c>
      <c r="B589" t="s">
        <v>218</v>
      </c>
      <c r="C589" s="9">
        <v>43206</v>
      </c>
      <c r="D589" s="13">
        <f t="shared" si="37"/>
        <v>2018</v>
      </c>
      <c r="E589" s="13">
        <f t="shared" si="38"/>
        <v>4</v>
      </c>
      <c r="F589" s="13">
        <f t="shared" si="39"/>
        <v>16</v>
      </c>
      <c r="G589" s="4" t="s">
        <v>14</v>
      </c>
      <c r="H589">
        <v>46.94351201045486</v>
      </c>
      <c r="I589">
        <v>6.7790220066697371</v>
      </c>
      <c r="J589" s="4" t="s">
        <v>44</v>
      </c>
      <c r="L589" s="4" t="s">
        <v>42</v>
      </c>
      <c r="M589" s="4" t="s">
        <v>43</v>
      </c>
      <c r="N589" s="4" t="s">
        <v>16</v>
      </c>
    </row>
    <row r="590" spans="1:15" x14ac:dyDescent="0.25">
      <c r="A590">
        <f t="shared" si="36"/>
        <v>116310</v>
      </c>
      <c r="B590" t="s">
        <v>218</v>
      </c>
      <c r="C590" s="9">
        <v>43236</v>
      </c>
      <c r="D590" s="13">
        <f t="shared" si="37"/>
        <v>2018</v>
      </c>
      <c r="E590" s="13">
        <f t="shared" si="38"/>
        <v>5</v>
      </c>
      <c r="F590" s="13">
        <f t="shared" si="39"/>
        <v>16</v>
      </c>
      <c r="G590" s="4" t="s">
        <v>14</v>
      </c>
      <c r="H590">
        <v>46.948168010460293</v>
      </c>
      <c r="I590">
        <v>6.7628520066508218</v>
      </c>
      <c r="J590" s="4" t="s">
        <v>44</v>
      </c>
      <c r="L590" s="4" t="s">
        <v>42</v>
      </c>
      <c r="M590" s="4" t="s">
        <v>43</v>
      </c>
      <c r="N590" s="4" t="s">
        <v>16</v>
      </c>
    </row>
    <row r="591" spans="1:15" x14ac:dyDescent="0.25">
      <c r="A591">
        <f t="shared" si="36"/>
        <v>116310</v>
      </c>
      <c r="B591" t="s">
        <v>218</v>
      </c>
      <c r="C591" s="9">
        <v>43266</v>
      </c>
      <c r="D591" s="13">
        <f t="shared" si="37"/>
        <v>2018</v>
      </c>
      <c r="E591" s="13">
        <f t="shared" si="38"/>
        <v>6</v>
      </c>
      <c r="F591" s="13">
        <f t="shared" si="39"/>
        <v>15</v>
      </c>
      <c r="G591" s="4" t="s">
        <v>14</v>
      </c>
      <c r="H591">
        <v>46.95010401046197</v>
      </c>
      <c r="I591">
        <v>6.7586200066457129</v>
      </c>
      <c r="J591" s="4" t="s">
        <v>44</v>
      </c>
      <c r="L591" s="4" t="s">
        <v>42</v>
      </c>
      <c r="M591" s="4" t="s">
        <v>43</v>
      </c>
      <c r="N591" s="4" t="s">
        <v>16</v>
      </c>
    </row>
    <row r="592" spans="1:15" x14ac:dyDescent="0.25">
      <c r="A592">
        <f t="shared" ref="A592:A655" si="40">RIGHT(B592,6)*1</f>
        <v>116310</v>
      </c>
      <c r="B592" t="s">
        <v>218</v>
      </c>
      <c r="C592" s="9">
        <v>43297</v>
      </c>
      <c r="D592" s="13">
        <f t="shared" si="37"/>
        <v>2018</v>
      </c>
      <c r="E592" s="13">
        <f t="shared" si="38"/>
        <v>7</v>
      </c>
      <c r="F592" s="13">
        <f t="shared" si="39"/>
        <v>16</v>
      </c>
      <c r="G592" s="4" t="s">
        <v>14</v>
      </c>
      <c r="H592">
        <v>46.877632010464943</v>
      </c>
      <c r="I592">
        <v>6.6069610064923614</v>
      </c>
      <c r="J592" s="4" t="s">
        <v>44</v>
      </c>
      <c r="L592" s="4" t="s">
        <v>42</v>
      </c>
      <c r="M592" s="4" t="s">
        <v>43</v>
      </c>
      <c r="N592" s="4" t="s">
        <v>16</v>
      </c>
    </row>
    <row r="593" spans="1:15" x14ac:dyDescent="0.25">
      <c r="A593">
        <f t="shared" si="40"/>
        <v>116310</v>
      </c>
      <c r="B593" t="s">
        <v>218</v>
      </c>
      <c r="C593" s="9">
        <v>43328</v>
      </c>
      <c r="D593" s="13">
        <f t="shared" si="37"/>
        <v>2018</v>
      </c>
      <c r="E593" s="13">
        <f t="shared" si="38"/>
        <v>8</v>
      </c>
      <c r="F593" s="13">
        <f t="shared" si="39"/>
        <v>16</v>
      </c>
      <c r="G593" s="4" t="s">
        <v>14</v>
      </c>
      <c r="H593">
        <v>46.866172010456758</v>
      </c>
      <c r="I593">
        <v>6.6231250065128444</v>
      </c>
      <c r="J593" s="4" t="s">
        <v>44</v>
      </c>
      <c r="L593" s="4" t="s">
        <v>42</v>
      </c>
      <c r="M593" s="4" t="s">
        <v>43</v>
      </c>
      <c r="N593" s="4" t="s">
        <v>16</v>
      </c>
    </row>
    <row r="594" spans="1:15" x14ac:dyDescent="0.25">
      <c r="A594">
        <f t="shared" si="40"/>
        <v>116310</v>
      </c>
      <c r="B594" t="s">
        <v>218</v>
      </c>
      <c r="C594" s="9">
        <v>43357</v>
      </c>
      <c r="D594" s="13">
        <f t="shared" si="37"/>
        <v>2018</v>
      </c>
      <c r="E594" s="13">
        <f t="shared" si="38"/>
        <v>9</v>
      </c>
      <c r="F594" s="13">
        <f t="shared" si="39"/>
        <v>14</v>
      </c>
      <c r="G594" s="4" t="s">
        <v>14</v>
      </c>
      <c r="H594">
        <v>46.934944010458118</v>
      </c>
      <c r="I594">
        <v>6.7481600066374172</v>
      </c>
      <c r="J594" s="4" t="s">
        <v>44</v>
      </c>
      <c r="L594" s="4" t="s">
        <v>42</v>
      </c>
      <c r="M594" s="4" t="s">
        <v>43</v>
      </c>
      <c r="N594" s="4" t="s">
        <v>17</v>
      </c>
    </row>
    <row r="595" spans="1:15" x14ac:dyDescent="0.25">
      <c r="A595">
        <f t="shared" si="40"/>
        <v>116311</v>
      </c>
      <c r="B595" t="s">
        <v>219</v>
      </c>
      <c r="C595" s="9">
        <v>42859</v>
      </c>
      <c r="D595" s="13">
        <f t="shared" si="37"/>
        <v>2017</v>
      </c>
      <c r="E595" s="13">
        <f t="shared" si="38"/>
        <v>5</v>
      </c>
      <c r="F595" s="13">
        <f t="shared" si="39"/>
        <v>4</v>
      </c>
      <c r="G595" s="4" t="s">
        <v>14</v>
      </c>
      <c r="H595">
        <v>46.9392</v>
      </c>
      <c r="I595">
        <v>6.7453000000000003</v>
      </c>
      <c r="J595" s="4" t="s">
        <v>15</v>
      </c>
      <c r="L595" s="4" t="s">
        <v>42</v>
      </c>
      <c r="M595" s="4" t="s">
        <v>43</v>
      </c>
      <c r="N595" s="4" t="s">
        <v>16</v>
      </c>
      <c r="O595" s="4" t="s">
        <v>19</v>
      </c>
    </row>
    <row r="596" spans="1:15" x14ac:dyDescent="0.25">
      <c r="A596">
        <f t="shared" si="40"/>
        <v>116311</v>
      </c>
      <c r="B596" t="s">
        <v>219</v>
      </c>
      <c r="C596" s="9">
        <v>42898</v>
      </c>
      <c r="D596" s="13">
        <f t="shared" si="37"/>
        <v>2017</v>
      </c>
      <c r="E596" s="13">
        <f t="shared" si="38"/>
        <v>6</v>
      </c>
      <c r="F596" s="13">
        <f t="shared" si="39"/>
        <v>12</v>
      </c>
      <c r="G596" s="4" t="s">
        <v>14</v>
      </c>
      <c r="H596">
        <v>46.874804010466463</v>
      </c>
      <c r="I596">
        <v>6.5943670064788593</v>
      </c>
      <c r="J596" s="4" t="s">
        <v>44</v>
      </c>
      <c r="L596" s="4" t="s">
        <v>42</v>
      </c>
      <c r="M596" s="4" t="s">
        <v>43</v>
      </c>
      <c r="N596" s="4" t="s">
        <v>16</v>
      </c>
    </row>
    <row r="597" spans="1:15" x14ac:dyDescent="0.25">
      <c r="A597">
        <f t="shared" si="40"/>
        <v>116311</v>
      </c>
      <c r="B597" t="s">
        <v>219</v>
      </c>
      <c r="C597" s="9">
        <v>42930</v>
      </c>
      <c r="D597" s="13">
        <f t="shared" si="37"/>
        <v>2017</v>
      </c>
      <c r="E597" s="13">
        <f t="shared" si="38"/>
        <v>7</v>
      </c>
      <c r="F597" s="13">
        <f t="shared" si="39"/>
        <v>14</v>
      </c>
      <c r="G597" s="4" t="s">
        <v>14</v>
      </c>
      <c r="H597">
        <v>46.874744010463857</v>
      </c>
      <c r="I597">
        <v>6.6064050064923432</v>
      </c>
      <c r="J597" s="4" t="s">
        <v>44</v>
      </c>
      <c r="L597" s="4" t="s">
        <v>42</v>
      </c>
      <c r="M597" s="4" t="s">
        <v>43</v>
      </c>
      <c r="N597" s="4" t="s">
        <v>16</v>
      </c>
    </row>
    <row r="598" spans="1:15" x14ac:dyDescent="0.25">
      <c r="A598">
        <f t="shared" si="40"/>
        <v>116311</v>
      </c>
      <c r="B598" t="s">
        <v>219</v>
      </c>
      <c r="C598" s="9">
        <v>42961</v>
      </c>
      <c r="D598" s="13">
        <f t="shared" si="37"/>
        <v>2017</v>
      </c>
      <c r="E598" s="13">
        <f t="shared" si="38"/>
        <v>8</v>
      </c>
      <c r="F598" s="13">
        <f t="shared" si="39"/>
        <v>14</v>
      </c>
      <c r="G598" s="4" t="s">
        <v>14</v>
      </c>
      <c r="H598">
        <v>46.876284010463138</v>
      </c>
      <c r="I598">
        <v>6.6128960064992821</v>
      </c>
      <c r="J598" s="4" t="s">
        <v>44</v>
      </c>
      <c r="L598" s="4" t="s">
        <v>42</v>
      </c>
      <c r="M598" s="4" t="s">
        <v>43</v>
      </c>
      <c r="N598" s="4" t="s">
        <v>16</v>
      </c>
    </row>
    <row r="599" spans="1:15" x14ac:dyDescent="0.25">
      <c r="A599">
        <f t="shared" si="40"/>
        <v>116311</v>
      </c>
      <c r="B599" t="s">
        <v>219</v>
      </c>
      <c r="C599" s="9">
        <v>43005</v>
      </c>
      <c r="D599" s="13">
        <f t="shared" si="37"/>
        <v>2017</v>
      </c>
      <c r="E599" s="13">
        <f t="shared" si="38"/>
        <v>9</v>
      </c>
      <c r="F599" s="13">
        <f t="shared" si="39"/>
        <v>27</v>
      </c>
      <c r="G599" s="4" t="s">
        <v>14</v>
      </c>
      <c r="H599">
        <v>46.884772010469561</v>
      </c>
      <c r="I599">
        <v>6.5992110064821947</v>
      </c>
      <c r="J599" s="4" t="s">
        <v>44</v>
      </c>
      <c r="L599" s="4" t="s">
        <v>42</v>
      </c>
      <c r="M599" s="4" t="s">
        <v>43</v>
      </c>
      <c r="N599" s="4" t="s">
        <v>16</v>
      </c>
    </row>
    <row r="600" spans="1:15" x14ac:dyDescent="0.25">
      <c r="A600">
        <f t="shared" si="40"/>
        <v>116311</v>
      </c>
      <c r="B600" t="s">
        <v>219</v>
      </c>
      <c r="C600" s="9">
        <v>43026</v>
      </c>
      <c r="D600" s="13">
        <f t="shared" si="37"/>
        <v>2017</v>
      </c>
      <c r="E600" s="13">
        <f t="shared" si="38"/>
        <v>10</v>
      </c>
      <c r="F600" s="13">
        <f t="shared" si="39"/>
        <v>18</v>
      </c>
      <c r="G600" s="4" t="s">
        <v>14</v>
      </c>
      <c r="H600">
        <v>46.87289601046561</v>
      </c>
      <c r="I600">
        <v>6.5944730064793697</v>
      </c>
      <c r="J600" s="4" t="s">
        <v>44</v>
      </c>
      <c r="L600" s="4" t="s">
        <v>42</v>
      </c>
      <c r="M600" s="4" t="s">
        <v>43</v>
      </c>
      <c r="N600" s="4" t="s">
        <v>16</v>
      </c>
    </row>
    <row r="601" spans="1:15" x14ac:dyDescent="0.25">
      <c r="A601">
        <f t="shared" si="40"/>
        <v>116311</v>
      </c>
      <c r="B601" t="s">
        <v>219</v>
      </c>
      <c r="C601" s="9">
        <v>43049</v>
      </c>
      <c r="D601" s="13">
        <f t="shared" si="37"/>
        <v>2017</v>
      </c>
      <c r="E601" s="13">
        <f t="shared" si="38"/>
        <v>11</v>
      </c>
      <c r="F601" s="13">
        <f t="shared" si="39"/>
        <v>10</v>
      </c>
      <c r="G601" s="4" t="s">
        <v>14</v>
      </c>
      <c r="H601">
        <v>46.881272010466589</v>
      </c>
      <c r="I601">
        <v>6.6063000064908604</v>
      </c>
      <c r="J601" s="4" t="s">
        <v>44</v>
      </c>
      <c r="L601" s="4" t="s">
        <v>42</v>
      </c>
      <c r="M601" s="4" t="s">
        <v>43</v>
      </c>
      <c r="N601" s="4" t="s">
        <v>16</v>
      </c>
    </row>
    <row r="602" spans="1:15" x14ac:dyDescent="0.25">
      <c r="A602">
        <f t="shared" si="40"/>
        <v>116311</v>
      </c>
      <c r="B602" t="s">
        <v>219</v>
      </c>
      <c r="C602" s="9">
        <v>43173</v>
      </c>
      <c r="D602" s="13">
        <f t="shared" si="37"/>
        <v>2018</v>
      </c>
      <c r="E602" s="13">
        <f t="shared" si="38"/>
        <v>3</v>
      </c>
      <c r="F602" s="13">
        <f t="shared" si="39"/>
        <v>14</v>
      </c>
      <c r="G602" s="4" t="s">
        <v>14</v>
      </c>
      <c r="H602">
        <v>46.953656010460143</v>
      </c>
      <c r="I602">
        <v>6.7735910066615101</v>
      </c>
      <c r="J602" s="4" t="s">
        <v>44</v>
      </c>
      <c r="L602" s="4" t="s">
        <v>42</v>
      </c>
      <c r="M602" s="4" t="s">
        <v>43</v>
      </c>
      <c r="N602" s="4" t="s">
        <v>16</v>
      </c>
    </row>
    <row r="603" spans="1:15" x14ac:dyDescent="0.25">
      <c r="A603">
        <f t="shared" si="40"/>
        <v>116311</v>
      </c>
      <c r="B603" t="s">
        <v>219</v>
      </c>
      <c r="C603" s="9">
        <v>43206</v>
      </c>
      <c r="D603" s="13">
        <f t="shared" si="37"/>
        <v>2018</v>
      </c>
      <c r="E603" s="13">
        <f t="shared" si="38"/>
        <v>4</v>
      </c>
      <c r="F603" s="13">
        <f t="shared" si="39"/>
        <v>16</v>
      </c>
      <c r="G603" s="4" t="s">
        <v>14</v>
      </c>
      <c r="H603">
        <v>46.875724010464587</v>
      </c>
      <c r="I603">
        <v>6.6048590064904102</v>
      </c>
      <c r="J603" s="4" t="s">
        <v>44</v>
      </c>
      <c r="L603" s="4" t="s">
        <v>42</v>
      </c>
      <c r="M603" s="4" t="s">
        <v>43</v>
      </c>
      <c r="N603" s="4" t="s">
        <v>16</v>
      </c>
    </row>
    <row r="604" spans="1:15" x14ac:dyDescent="0.25">
      <c r="A604">
        <f t="shared" si="40"/>
        <v>116311</v>
      </c>
      <c r="B604" t="s">
        <v>219</v>
      </c>
      <c r="C604" s="9">
        <v>43235</v>
      </c>
      <c r="D604" s="13">
        <f t="shared" si="37"/>
        <v>2018</v>
      </c>
      <c r="E604" s="13">
        <f t="shared" si="38"/>
        <v>5</v>
      </c>
      <c r="F604" s="13">
        <f t="shared" si="39"/>
        <v>15</v>
      </c>
      <c r="G604" s="4" t="s">
        <v>14</v>
      </c>
      <c r="H604">
        <v>46.885056010472148</v>
      </c>
      <c r="I604">
        <v>6.5874330064689532</v>
      </c>
      <c r="J604" s="4" t="s">
        <v>44</v>
      </c>
      <c r="L604" s="4" t="s">
        <v>42</v>
      </c>
      <c r="M604" s="4" t="s">
        <v>43</v>
      </c>
      <c r="N604" s="4" t="s">
        <v>16</v>
      </c>
    </row>
    <row r="605" spans="1:15" x14ac:dyDescent="0.25">
      <c r="A605">
        <f t="shared" si="40"/>
        <v>116311</v>
      </c>
      <c r="B605" t="s">
        <v>219</v>
      </c>
      <c r="C605" s="9">
        <v>43266</v>
      </c>
      <c r="D605" s="13">
        <f t="shared" si="37"/>
        <v>2018</v>
      </c>
      <c r="E605" s="13">
        <f t="shared" si="38"/>
        <v>6</v>
      </c>
      <c r="F605" s="13">
        <f t="shared" si="39"/>
        <v>15</v>
      </c>
      <c r="G605" s="4" t="s">
        <v>14</v>
      </c>
      <c r="H605">
        <v>46.874660010464389</v>
      </c>
      <c r="I605">
        <v>6.6036520064892814</v>
      </c>
      <c r="J605" s="4" t="s">
        <v>44</v>
      </c>
      <c r="L605" s="4" t="s">
        <v>42</v>
      </c>
      <c r="M605" s="4" t="s">
        <v>43</v>
      </c>
      <c r="N605" s="4" t="s">
        <v>16</v>
      </c>
    </row>
    <row r="606" spans="1:15" x14ac:dyDescent="0.25">
      <c r="A606">
        <f t="shared" si="40"/>
        <v>116311</v>
      </c>
      <c r="B606" t="s">
        <v>219</v>
      </c>
      <c r="C606" s="9">
        <v>43297</v>
      </c>
      <c r="D606" s="13">
        <f t="shared" si="37"/>
        <v>2018</v>
      </c>
      <c r="E606" s="13">
        <f t="shared" si="38"/>
        <v>7</v>
      </c>
      <c r="F606" s="13">
        <f t="shared" si="39"/>
        <v>16</v>
      </c>
      <c r="G606" s="4" t="s">
        <v>14</v>
      </c>
      <c r="H606">
        <v>46.884848010473569</v>
      </c>
      <c r="I606">
        <v>6.5802660064609704</v>
      </c>
      <c r="J606" s="4" t="s">
        <v>44</v>
      </c>
      <c r="L606" s="4" t="s">
        <v>42</v>
      </c>
      <c r="M606" s="4" t="s">
        <v>43</v>
      </c>
      <c r="N606" s="4" t="s">
        <v>16</v>
      </c>
    </row>
    <row r="607" spans="1:15" x14ac:dyDescent="0.25">
      <c r="A607">
        <f t="shared" si="40"/>
        <v>116311</v>
      </c>
      <c r="B607" t="s">
        <v>219</v>
      </c>
      <c r="C607" s="9">
        <v>43333</v>
      </c>
      <c r="D607" s="13">
        <f t="shared" si="37"/>
        <v>2018</v>
      </c>
      <c r="E607" s="13">
        <f t="shared" si="38"/>
        <v>8</v>
      </c>
      <c r="F607" s="13">
        <f t="shared" si="39"/>
        <v>21</v>
      </c>
      <c r="G607" s="4" t="s">
        <v>14</v>
      </c>
      <c r="H607">
        <v>46.884632010469822</v>
      </c>
      <c r="I607">
        <v>6.597560006480375</v>
      </c>
      <c r="J607" s="4" t="s">
        <v>44</v>
      </c>
      <c r="L607" s="4" t="s">
        <v>42</v>
      </c>
      <c r="M607" s="4" t="s">
        <v>43</v>
      </c>
      <c r="N607" s="4" t="s">
        <v>17</v>
      </c>
    </row>
    <row r="608" spans="1:15" x14ac:dyDescent="0.25">
      <c r="A608">
        <f t="shared" si="40"/>
        <v>116312</v>
      </c>
      <c r="B608" t="s">
        <v>220</v>
      </c>
      <c r="C608" s="9">
        <v>42864</v>
      </c>
      <c r="D608" s="13">
        <f t="shared" si="37"/>
        <v>2017</v>
      </c>
      <c r="E608" s="13">
        <f t="shared" si="38"/>
        <v>5</v>
      </c>
      <c r="F608" s="13">
        <f t="shared" si="39"/>
        <v>9</v>
      </c>
      <c r="G608" s="4" t="s">
        <v>14</v>
      </c>
      <c r="H608">
        <v>46.931899999999999</v>
      </c>
      <c r="I608">
        <v>6.5022000000000002</v>
      </c>
      <c r="J608" s="4" t="s">
        <v>15</v>
      </c>
      <c r="L608" s="4" t="s">
        <v>42</v>
      </c>
      <c r="M608" s="4" t="s">
        <v>43</v>
      </c>
      <c r="N608" s="4" t="s">
        <v>16</v>
      </c>
      <c r="O608" s="4" t="s">
        <v>27</v>
      </c>
    </row>
    <row r="609" spans="1:15" x14ac:dyDescent="0.25">
      <c r="A609">
        <f t="shared" si="40"/>
        <v>116312</v>
      </c>
      <c r="B609" t="s">
        <v>220</v>
      </c>
      <c r="C609" s="9">
        <v>42870</v>
      </c>
      <c r="D609" s="13">
        <f t="shared" si="37"/>
        <v>2017</v>
      </c>
      <c r="E609" s="13">
        <f t="shared" si="38"/>
        <v>5</v>
      </c>
      <c r="F609" s="13">
        <f t="shared" si="39"/>
        <v>15</v>
      </c>
      <c r="G609" s="4" t="s">
        <v>14</v>
      </c>
      <c r="H609">
        <v>46.943744010505633</v>
      </c>
      <c r="I609">
        <v>6.5426960064065973</v>
      </c>
      <c r="J609" s="4" t="s">
        <v>44</v>
      </c>
      <c r="L609" s="4" t="s">
        <v>42</v>
      </c>
      <c r="M609" s="4" t="s">
        <v>43</v>
      </c>
      <c r="N609" s="4" t="s">
        <v>16</v>
      </c>
    </row>
    <row r="610" spans="1:15" x14ac:dyDescent="0.25">
      <c r="A610">
        <f t="shared" si="40"/>
        <v>116312</v>
      </c>
      <c r="B610" t="s">
        <v>220</v>
      </c>
      <c r="C610" s="9">
        <v>42933</v>
      </c>
      <c r="D610" s="13">
        <f t="shared" si="37"/>
        <v>2017</v>
      </c>
      <c r="E610" s="13">
        <f t="shared" si="38"/>
        <v>7</v>
      </c>
      <c r="F610" s="13">
        <f t="shared" si="39"/>
        <v>17</v>
      </c>
      <c r="G610" s="4" t="s">
        <v>14</v>
      </c>
      <c r="H610">
        <v>46.932204010507917</v>
      </c>
      <c r="I610">
        <v>6.5092050063714542</v>
      </c>
      <c r="J610" s="4" t="s">
        <v>44</v>
      </c>
      <c r="L610" s="4" t="s">
        <v>42</v>
      </c>
      <c r="M610" s="4" t="s">
        <v>43</v>
      </c>
      <c r="N610" s="4" t="s">
        <v>16</v>
      </c>
    </row>
    <row r="611" spans="1:15" x14ac:dyDescent="0.25">
      <c r="A611">
        <f t="shared" si="40"/>
        <v>116312</v>
      </c>
      <c r="B611" t="s">
        <v>220</v>
      </c>
      <c r="C611" s="9">
        <v>42961</v>
      </c>
      <c r="D611" s="13">
        <f t="shared" si="37"/>
        <v>2017</v>
      </c>
      <c r="E611" s="13">
        <f t="shared" si="38"/>
        <v>8</v>
      </c>
      <c r="F611" s="13">
        <f t="shared" si="39"/>
        <v>14</v>
      </c>
      <c r="G611" s="4" t="s">
        <v>14</v>
      </c>
      <c r="H611">
        <v>46.927012010507163</v>
      </c>
      <c r="I611">
        <v>6.5028240063653664</v>
      </c>
      <c r="J611" s="4" t="s">
        <v>44</v>
      </c>
      <c r="L611" s="4" t="s">
        <v>42</v>
      </c>
      <c r="M611" s="4" t="s">
        <v>43</v>
      </c>
      <c r="N611" s="4" t="s">
        <v>16</v>
      </c>
    </row>
    <row r="612" spans="1:15" x14ac:dyDescent="0.25">
      <c r="A612">
        <f t="shared" si="40"/>
        <v>116312</v>
      </c>
      <c r="B612" t="s">
        <v>220</v>
      </c>
      <c r="C612" s="9">
        <v>42993</v>
      </c>
      <c r="D612" s="13">
        <f t="shared" si="37"/>
        <v>2017</v>
      </c>
      <c r="E612" s="13">
        <f t="shared" si="38"/>
        <v>9</v>
      </c>
      <c r="F612" s="13">
        <f t="shared" si="39"/>
        <v>15</v>
      </c>
      <c r="G612" s="4" t="s">
        <v>14</v>
      </c>
      <c r="H612">
        <v>46.927380010506837</v>
      </c>
      <c r="I612">
        <v>6.5051810063679358</v>
      </c>
      <c r="J612" s="4" t="s">
        <v>44</v>
      </c>
      <c r="L612" s="4" t="s">
        <v>42</v>
      </c>
      <c r="M612" s="4" t="s">
        <v>43</v>
      </c>
      <c r="N612" s="4" t="s">
        <v>16</v>
      </c>
    </row>
    <row r="613" spans="1:15" x14ac:dyDescent="0.25">
      <c r="A613">
        <f t="shared" si="40"/>
        <v>116312</v>
      </c>
      <c r="B613" t="s">
        <v>220</v>
      </c>
      <c r="C613" s="9">
        <v>43035</v>
      </c>
      <c r="D613" s="13">
        <f t="shared" si="37"/>
        <v>2017</v>
      </c>
      <c r="E613" s="13">
        <f t="shared" si="38"/>
        <v>10</v>
      </c>
      <c r="F613" s="13">
        <f t="shared" si="39"/>
        <v>27</v>
      </c>
      <c r="G613" s="4" t="s">
        <v>14</v>
      </c>
      <c r="H613">
        <v>46.861976010500697</v>
      </c>
      <c r="I613">
        <v>6.4034510062666588</v>
      </c>
      <c r="J613" s="4" t="s">
        <v>44</v>
      </c>
      <c r="L613" s="4" t="s">
        <v>42</v>
      </c>
      <c r="M613" s="4" t="s">
        <v>43</v>
      </c>
      <c r="N613" s="4" t="s">
        <v>16</v>
      </c>
    </row>
    <row r="614" spans="1:15" x14ac:dyDescent="0.25">
      <c r="A614">
        <f t="shared" si="40"/>
        <v>116312</v>
      </c>
      <c r="B614" t="s">
        <v>220</v>
      </c>
      <c r="C614" s="9">
        <v>43193</v>
      </c>
      <c r="D614" s="13">
        <f t="shared" si="37"/>
        <v>2018</v>
      </c>
      <c r="E614" s="13">
        <f t="shared" si="38"/>
        <v>4</v>
      </c>
      <c r="F614" s="13">
        <f t="shared" si="39"/>
        <v>3</v>
      </c>
      <c r="G614" s="4" t="s">
        <v>14</v>
      </c>
      <c r="H614">
        <v>46.857604010501568</v>
      </c>
      <c r="I614">
        <v>6.3902950062526553</v>
      </c>
      <c r="J614" s="4" t="s">
        <v>44</v>
      </c>
      <c r="L614" s="4" t="s">
        <v>42</v>
      </c>
      <c r="M614" s="4" t="s">
        <v>43</v>
      </c>
      <c r="N614" s="4" t="s">
        <v>16</v>
      </c>
    </row>
    <row r="615" spans="1:15" x14ac:dyDescent="0.25">
      <c r="A615">
        <f t="shared" si="40"/>
        <v>116312</v>
      </c>
      <c r="B615" t="s">
        <v>220</v>
      </c>
      <c r="C615" s="9">
        <v>43234</v>
      </c>
      <c r="D615" s="13">
        <f t="shared" si="37"/>
        <v>2018</v>
      </c>
      <c r="E615" s="13">
        <f t="shared" si="38"/>
        <v>5</v>
      </c>
      <c r="F615" s="13">
        <f t="shared" si="39"/>
        <v>14</v>
      </c>
      <c r="G615" s="4" t="s">
        <v>14</v>
      </c>
      <c r="H615">
        <v>46.927556010509882</v>
      </c>
      <c r="I615">
        <v>6.4906520063515858</v>
      </c>
      <c r="J615" s="4" t="s">
        <v>44</v>
      </c>
      <c r="L615" s="4" t="s">
        <v>42</v>
      </c>
      <c r="M615" s="4" t="s">
        <v>43</v>
      </c>
      <c r="N615" s="4" t="s">
        <v>16</v>
      </c>
    </row>
    <row r="616" spans="1:15" x14ac:dyDescent="0.25">
      <c r="A616">
        <f t="shared" si="40"/>
        <v>116312</v>
      </c>
      <c r="B616" t="s">
        <v>220</v>
      </c>
      <c r="C616" s="9">
        <v>43264</v>
      </c>
      <c r="D616" s="13">
        <f t="shared" si="37"/>
        <v>2018</v>
      </c>
      <c r="E616" s="13">
        <f t="shared" si="38"/>
        <v>6</v>
      </c>
      <c r="F616" s="13">
        <f t="shared" si="39"/>
        <v>13</v>
      </c>
      <c r="G616" s="4" t="s">
        <v>14</v>
      </c>
      <c r="H616">
        <v>46.861580010500461</v>
      </c>
      <c r="I616">
        <v>6.4040170062673782</v>
      </c>
      <c r="J616" s="4" t="s">
        <v>44</v>
      </c>
      <c r="L616" s="4" t="s">
        <v>42</v>
      </c>
      <c r="M616" s="4" t="s">
        <v>43</v>
      </c>
      <c r="N616" s="4" t="s">
        <v>16</v>
      </c>
    </row>
    <row r="617" spans="1:15" x14ac:dyDescent="0.25">
      <c r="A617">
        <f t="shared" si="40"/>
        <v>116312</v>
      </c>
      <c r="B617" t="s">
        <v>220</v>
      </c>
      <c r="C617" s="9">
        <v>43297</v>
      </c>
      <c r="D617" s="13">
        <f t="shared" si="37"/>
        <v>2018</v>
      </c>
      <c r="E617" s="13">
        <f t="shared" si="38"/>
        <v>7</v>
      </c>
      <c r="F617" s="13">
        <f t="shared" si="39"/>
        <v>16</v>
      </c>
      <c r="G617" s="4" t="s">
        <v>14</v>
      </c>
      <c r="H617">
        <v>46.931824010507711</v>
      </c>
      <c r="I617">
        <v>6.5097170063721093</v>
      </c>
      <c r="J617" s="4" t="s">
        <v>44</v>
      </c>
      <c r="L617" s="4" t="s">
        <v>42</v>
      </c>
      <c r="M617" s="4" t="s">
        <v>43</v>
      </c>
      <c r="N617" s="4" t="s">
        <v>16</v>
      </c>
    </row>
    <row r="618" spans="1:15" x14ac:dyDescent="0.25">
      <c r="A618">
        <f t="shared" si="40"/>
        <v>116312</v>
      </c>
      <c r="B618" t="s">
        <v>220</v>
      </c>
      <c r="C618" s="9">
        <v>43328</v>
      </c>
      <c r="D618" s="13">
        <f t="shared" si="37"/>
        <v>2018</v>
      </c>
      <c r="E618" s="13">
        <f t="shared" si="38"/>
        <v>8</v>
      </c>
      <c r="F618" s="13">
        <f t="shared" si="39"/>
        <v>16</v>
      </c>
      <c r="G618" s="4" t="s">
        <v>14</v>
      </c>
      <c r="H618">
        <v>46.938164010517539</v>
      </c>
      <c r="I618">
        <v>6.4747970063315776</v>
      </c>
      <c r="J618" s="4" t="s">
        <v>44</v>
      </c>
      <c r="L618" s="4" t="s">
        <v>42</v>
      </c>
      <c r="M618" s="4" t="s">
        <v>43</v>
      </c>
      <c r="N618" s="4" t="s">
        <v>16</v>
      </c>
    </row>
    <row r="619" spans="1:15" x14ac:dyDescent="0.25">
      <c r="A619">
        <f t="shared" si="40"/>
        <v>116312</v>
      </c>
      <c r="B619" t="s">
        <v>220</v>
      </c>
      <c r="C619" s="9">
        <v>43364</v>
      </c>
      <c r="D619" s="13">
        <f t="shared" si="37"/>
        <v>2018</v>
      </c>
      <c r="E619" s="13">
        <f t="shared" si="38"/>
        <v>9</v>
      </c>
      <c r="F619" s="13">
        <f t="shared" si="39"/>
        <v>21</v>
      </c>
      <c r="G619" s="4" t="s">
        <v>14</v>
      </c>
      <c r="H619">
        <v>46.931296010513783</v>
      </c>
      <c r="I619">
        <v>6.4793470063381076</v>
      </c>
      <c r="J619" s="4" t="s">
        <v>44</v>
      </c>
      <c r="L619" s="4" t="s">
        <v>42</v>
      </c>
      <c r="M619" s="4" t="s">
        <v>43</v>
      </c>
      <c r="N619" s="4" t="s">
        <v>16</v>
      </c>
    </row>
    <row r="620" spans="1:15" x14ac:dyDescent="0.25">
      <c r="A620">
        <f t="shared" si="40"/>
        <v>116312</v>
      </c>
      <c r="B620" t="s">
        <v>220</v>
      </c>
      <c r="C620" s="9">
        <v>43379</v>
      </c>
      <c r="D620" s="13">
        <f t="shared" si="37"/>
        <v>2018</v>
      </c>
      <c r="E620" s="13">
        <f t="shared" si="38"/>
        <v>10</v>
      </c>
      <c r="F620" s="13">
        <f t="shared" si="39"/>
        <v>6</v>
      </c>
      <c r="G620" s="4" t="s">
        <v>20</v>
      </c>
      <c r="H620">
        <v>46.833300000000001</v>
      </c>
      <c r="I620">
        <v>6.4166999999999996</v>
      </c>
      <c r="J620" s="4" t="s">
        <v>21</v>
      </c>
      <c r="K620" s="12" t="s">
        <v>22</v>
      </c>
      <c r="L620" s="12" t="s">
        <v>42</v>
      </c>
      <c r="M620" s="12" t="s">
        <v>43</v>
      </c>
      <c r="N620" s="4" t="s">
        <v>17</v>
      </c>
    </row>
    <row r="621" spans="1:15" x14ac:dyDescent="0.25">
      <c r="A621">
        <f t="shared" si="40"/>
        <v>116313</v>
      </c>
      <c r="B621" t="s">
        <v>221</v>
      </c>
      <c r="C621" s="9">
        <v>42878</v>
      </c>
      <c r="D621" s="13">
        <f t="shared" si="37"/>
        <v>2017</v>
      </c>
      <c r="E621" s="13">
        <f t="shared" si="38"/>
        <v>5</v>
      </c>
      <c r="F621" s="13">
        <f t="shared" si="39"/>
        <v>23</v>
      </c>
      <c r="G621" s="4" t="s">
        <v>14</v>
      </c>
      <c r="H621">
        <v>46.931100000000001</v>
      </c>
      <c r="I621">
        <v>6.4958</v>
      </c>
      <c r="J621" s="4" t="s">
        <v>15</v>
      </c>
      <c r="L621" s="4" t="s">
        <v>42</v>
      </c>
      <c r="M621" s="4" t="s">
        <v>43</v>
      </c>
      <c r="N621" s="4" t="s">
        <v>16</v>
      </c>
      <c r="O621" s="4" t="s">
        <v>27</v>
      </c>
    </row>
    <row r="622" spans="1:15" x14ac:dyDescent="0.25">
      <c r="A622">
        <f t="shared" si="40"/>
        <v>116313</v>
      </c>
      <c r="B622" t="s">
        <v>221</v>
      </c>
      <c r="C622" s="9">
        <v>42901</v>
      </c>
      <c r="D622" s="13">
        <f t="shared" si="37"/>
        <v>2017</v>
      </c>
      <c r="E622" s="13">
        <f t="shared" si="38"/>
        <v>6</v>
      </c>
      <c r="F622" s="13">
        <f t="shared" si="39"/>
        <v>15</v>
      </c>
      <c r="G622" s="4" t="s">
        <v>14</v>
      </c>
      <c r="H622">
        <v>46.960360010519729</v>
      </c>
      <c r="I622">
        <v>6.5075780063637776</v>
      </c>
      <c r="J622" s="4" t="s">
        <v>44</v>
      </c>
      <c r="L622" s="4" t="s">
        <v>42</v>
      </c>
      <c r="M622" s="4" t="s">
        <v>43</v>
      </c>
      <c r="N622" s="4" t="s">
        <v>16</v>
      </c>
    </row>
    <row r="623" spans="1:15" x14ac:dyDescent="0.25">
      <c r="A623">
        <f t="shared" si="40"/>
        <v>116313</v>
      </c>
      <c r="B623" t="s">
        <v>221</v>
      </c>
      <c r="C623" s="9">
        <v>42933</v>
      </c>
      <c r="D623" s="13">
        <f t="shared" si="37"/>
        <v>2017</v>
      </c>
      <c r="E623" s="13">
        <f t="shared" si="38"/>
        <v>7</v>
      </c>
      <c r="F623" s="13">
        <f t="shared" si="39"/>
        <v>17</v>
      </c>
      <c r="G623" s="4" t="s">
        <v>14</v>
      </c>
      <c r="H623">
        <v>46.930212010505791</v>
      </c>
      <c r="I623">
        <v>6.51564300637909</v>
      </c>
      <c r="J623" s="4" t="s">
        <v>44</v>
      </c>
      <c r="L623" s="4" t="s">
        <v>42</v>
      </c>
      <c r="M623" s="4" t="s">
        <v>43</v>
      </c>
      <c r="N623" s="4" t="s">
        <v>16</v>
      </c>
    </row>
    <row r="624" spans="1:15" x14ac:dyDescent="0.25">
      <c r="A624">
        <f t="shared" si="40"/>
        <v>116313</v>
      </c>
      <c r="B624" t="s">
        <v>221</v>
      </c>
      <c r="C624" s="9">
        <v>42963</v>
      </c>
      <c r="D624" s="13">
        <f t="shared" si="37"/>
        <v>2017</v>
      </c>
      <c r="E624" s="13">
        <f t="shared" si="38"/>
        <v>8</v>
      </c>
      <c r="F624" s="13">
        <f t="shared" si="39"/>
        <v>16</v>
      </c>
      <c r="G624" s="4" t="s">
        <v>14</v>
      </c>
      <c r="H624">
        <v>46.96052001051892</v>
      </c>
      <c r="I624">
        <v>6.5115840063682349</v>
      </c>
      <c r="J624" s="4" t="s">
        <v>44</v>
      </c>
      <c r="L624" s="4" t="s">
        <v>42</v>
      </c>
      <c r="M624" s="4" t="s">
        <v>43</v>
      </c>
      <c r="N624" s="4" t="s">
        <v>16</v>
      </c>
    </row>
    <row r="625" spans="1:15" x14ac:dyDescent="0.25">
      <c r="A625">
        <f t="shared" si="40"/>
        <v>116313</v>
      </c>
      <c r="B625" t="s">
        <v>221</v>
      </c>
      <c r="C625" s="9">
        <v>42993</v>
      </c>
      <c r="D625" s="13">
        <f t="shared" si="37"/>
        <v>2017</v>
      </c>
      <c r="E625" s="13">
        <f t="shared" si="38"/>
        <v>9</v>
      </c>
      <c r="F625" s="13">
        <f t="shared" si="39"/>
        <v>15</v>
      </c>
      <c r="G625" s="4" t="s">
        <v>14</v>
      </c>
      <c r="H625">
        <v>46.961752010519078</v>
      </c>
      <c r="I625">
        <v>6.5131710063697579</v>
      </c>
      <c r="J625" s="4" t="s">
        <v>44</v>
      </c>
      <c r="L625" s="4" t="s">
        <v>42</v>
      </c>
      <c r="M625" s="4" t="s">
        <v>43</v>
      </c>
      <c r="N625" s="4" t="s">
        <v>16</v>
      </c>
    </row>
    <row r="626" spans="1:15" x14ac:dyDescent="0.25">
      <c r="A626">
        <f t="shared" si="40"/>
        <v>116313</v>
      </c>
      <c r="B626" t="s">
        <v>221</v>
      </c>
      <c r="C626" s="9">
        <v>43024</v>
      </c>
      <c r="D626" s="13">
        <f t="shared" si="37"/>
        <v>2017</v>
      </c>
      <c r="E626" s="13">
        <f t="shared" si="38"/>
        <v>10</v>
      </c>
      <c r="F626" s="13">
        <f t="shared" si="39"/>
        <v>16</v>
      </c>
      <c r="G626" s="4" t="s">
        <v>14</v>
      </c>
      <c r="H626">
        <v>46.875864010494134</v>
      </c>
      <c r="I626">
        <v>6.4638260063320017</v>
      </c>
      <c r="J626" s="4" t="s">
        <v>44</v>
      </c>
      <c r="L626" s="4" t="s">
        <v>42</v>
      </c>
      <c r="M626" s="4" t="s">
        <v>43</v>
      </c>
      <c r="N626" s="4" t="s">
        <v>16</v>
      </c>
    </row>
    <row r="627" spans="1:15" x14ac:dyDescent="0.25">
      <c r="A627">
        <f t="shared" si="40"/>
        <v>116313</v>
      </c>
      <c r="B627" t="s">
        <v>221</v>
      </c>
      <c r="C627" s="9">
        <v>43052</v>
      </c>
      <c r="D627" s="13">
        <f t="shared" si="37"/>
        <v>2017</v>
      </c>
      <c r="E627" s="13">
        <f t="shared" si="38"/>
        <v>11</v>
      </c>
      <c r="F627" s="13">
        <f t="shared" si="39"/>
        <v>13</v>
      </c>
      <c r="G627" s="4" t="s">
        <v>14</v>
      </c>
      <c r="H627">
        <v>46.876636010494543</v>
      </c>
      <c r="I627">
        <v>6.4634170063313787</v>
      </c>
      <c r="J627" s="4" t="s">
        <v>44</v>
      </c>
      <c r="L627" s="4" t="s">
        <v>42</v>
      </c>
      <c r="M627" s="4" t="s">
        <v>43</v>
      </c>
      <c r="N627" s="4" t="s">
        <v>17</v>
      </c>
    </row>
    <row r="628" spans="1:15" x14ac:dyDescent="0.25">
      <c r="A628">
        <f t="shared" si="40"/>
        <v>116314</v>
      </c>
      <c r="B628" t="s">
        <v>222</v>
      </c>
      <c r="C628" s="9">
        <v>42881</v>
      </c>
      <c r="D628" s="13">
        <f t="shared" si="37"/>
        <v>2017</v>
      </c>
      <c r="E628" s="13">
        <f t="shared" si="38"/>
        <v>5</v>
      </c>
      <c r="F628" s="13">
        <f t="shared" si="39"/>
        <v>26</v>
      </c>
      <c r="G628" s="4" t="s">
        <v>14</v>
      </c>
      <c r="H628">
        <v>46.933599999999998</v>
      </c>
      <c r="I628">
        <v>6.4722</v>
      </c>
      <c r="J628" s="4" t="s">
        <v>15</v>
      </c>
      <c r="L628" s="4" t="s">
        <v>42</v>
      </c>
      <c r="M628" s="4" t="s">
        <v>118</v>
      </c>
      <c r="N628" s="4" t="s">
        <v>16</v>
      </c>
      <c r="O628" s="4" t="s">
        <v>19</v>
      </c>
    </row>
    <row r="629" spans="1:15" x14ac:dyDescent="0.25">
      <c r="A629">
        <f t="shared" si="40"/>
        <v>116314</v>
      </c>
      <c r="B629" t="s">
        <v>222</v>
      </c>
      <c r="C629" s="9">
        <v>42930</v>
      </c>
      <c r="D629" s="13">
        <f t="shared" si="37"/>
        <v>2017</v>
      </c>
      <c r="E629" s="13">
        <f t="shared" si="38"/>
        <v>7</v>
      </c>
      <c r="F629" s="13">
        <f t="shared" si="39"/>
        <v>14</v>
      </c>
      <c r="G629" s="4" t="s">
        <v>14</v>
      </c>
      <c r="H629">
        <v>46.923009999999998</v>
      </c>
      <c r="I629">
        <v>6.4946999999999999</v>
      </c>
      <c r="J629" s="4" t="s">
        <v>44</v>
      </c>
      <c r="L629" s="4" t="s">
        <v>42</v>
      </c>
      <c r="M629" s="4" t="s">
        <v>118</v>
      </c>
      <c r="N629" s="4" t="s">
        <v>16</v>
      </c>
    </row>
    <row r="630" spans="1:15" x14ac:dyDescent="0.25">
      <c r="A630">
        <f t="shared" si="40"/>
        <v>116314</v>
      </c>
      <c r="B630" t="s">
        <v>222</v>
      </c>
      <c r="C630" s="9">
        <v>42962</v>
      </c>
      <c r="D630" s="13">
        <f t="shared" si="37"/>
        <v>2017</v>
      </c>
      <c r="E630" s="13">
        <f t="shared" si="38"/>
        <v>8</v>
      </c>
      <c r="F630" s="13">
        <f t="shared" si="39"/>
        <v>15</v>
      </c>
      <c r="G630" s="4" t="s">
        <v>14</v>
      </c>
      <c r="H630">
        <v>46.933140000000002</v>
      </c>
      <c r="I630">
        <v>6.4787100000000004</v>
      </c>
      <c r="J630" s="4" t="s">
        <v>44</v>
      </c>
      <c r="L630" s="4" t="s">
        <v>42</v>
      </c>
      <c r="M630" s="4" t="s">
        <v>118</v>
      </c>
      <c r="N630" s="4" t="s">
        <v>16</v>
      </c>
    </row>
    <row r="631" spans="1:15" x14ac:dyDescent="0.25">
      <c r="A631">
        <f t="shared" si="40"/>
        <v>116314</v>
      </c>
      <c r="B631" t="s">
        <v>222</v>
      </c>
      <c r="C631" s="9">
        <v>42984</v>
      </c>
      <c r="D631" s="13">
        <f t="shared" si="37"/>
        <v>2017</v>
      </c>
      <c r="E631" s="13">
        <f t="shared" si="38"/>
        <v>9</v>
      </c>
      <c r="F631" s="13">
        <f t="shared" si="39"/>
        <v>6</v>
      </c>
      <c r="G631" s="4" t="s">
        <v>14</v>
      </c>
      <c r="H631">
        <v>46.9435</v>
      </c>
      <c r="I631">
        <v>6.4796100000000001</v>
      </c>
      <c r="J631" s="4" t="s">
        <v>44</v>
      </c>
      <c r="L631" s="4" t="s">
        <v>42</v>
      </c>
      <c r="M631" s="4" t="s">
        <v>118</v>
      </c>
      <c r="N631" s="4" t="s">
        <v>16</v>
      </c>
    </row>
    <row r="632" spans="1:15" x14ac:dyDescent="0.25">
      <c r="A632">
        <f t="shared" si="40"/>
        <v>116314</v>
      </c>
      <c r="B632" t="s">
        <v>222</v>
      </c>
      <c r="C632" s="9">
        <v>43054</v>
      </c>
      <c r="D632" s="13">
        <f t="shared" si="37"/>
        <v>2017</v>
      </c>
      <c r="E632" s="13">
        <f t="shared" si="38"/>
        <v>11</v>
      </c>
      <c r="F632" s="13">
        <f t="shared" si="39"/>
        <v>15</v>
      </c>
      <c r="G632" s="4" t="s">
        <v>48</v>
      </c>
      <c r="H632">
        <v>43.057519999999997</v>
      </c>
      <c r="I632">
        <v>-2.9729199999999998</v>
      </c>
      <c r="J632" s="4" t="s">
        <v>44</v>
      </c>
      <c r="L632" s="4" t="s">
        <v>42</v>
      </c>
      <c r="M632" s="4" t="s">
        <v>118</v>
      </c>
      <c r="N632" s="4" t="s">
        <v>16</v>
      </c>
    </row>
    <row r="633" spans="1:15" x14ac:dyDescent="0.25">
      <c r="A633">
        <f t="shared" si="40"/>
        <v>116314</v>
      </c>
      <c r="B633" t="s">
        <v>222</v>
      </c>
      <c r="C633" s="9">
        <v>43083</v>
      </c>
      <c r="D633" s="13">
        <f t="shared" si="37"/>
        <v>2017</v>
      </c>
      <c r="E633" s="13">
        <f t="shared" si="38"/>
        <v>12</v>
      </c>
      <c r="F633" s="13">
        <f t="shared" si="39"/>
        <v>14</v>
      </c>
      <c r="G633" s="4" t="s">
        <v>48</v>
      </c>
      <c r="H633">
        <v>43.059370000000001</v>
      </c>
      <c r="I633">
        <v>-2.99275</v>
      </c>
      <c r="J633" s="4" t="s">
        <v>44</v>
      </c>
      <c r="L633" s="4" t="s">
        <v>42</v>
      </c>
      <c r="M633" s="4" t="s">
        <v>118</v>
      </c>
      <c r="N633" s="4" t="s">
        <v>17</v>
      </c>
    </row>
    <row r="634" spans="1:15" x14ac:dyDescent="0.25">
      <c r="A634">
        <f t="shared" si="40"/>
        <v>116315</v>
      </c>
      <c r="B634" t="s">
        <v>223</v>
      </c>
      <c r="C634" s="9">
        <v>42885</v>
      </c>
      <c r="D634" s="13">
        <f t="shared" si="37"/>
        <v>2017</v>
      </c>
      <c r="E634" s="13">
        <f t="shared" si="38"/>
        <v>5</v>
      </c>
      <c r="F634" s="13">
        <f t="shared" si="39"/>
        <v>30</v>
      </c>
      <c r="G634" s="4" t="s">
        <v>14</v>
      </c>
      <c r="H634">
        <v>46.955300000000001</v>
      </c>
      <c r="I634">
        <v>6.5072000000000001</v>
      </c>
      <c r="J634" s="4" t="s">
        <v>15</v>
      </c>
      <c r="L634" s="4" t="s">
        <v>42</v>
      </c>
      <c r="M634" s="4" t="s">
        <v>118</v>
      </c>
      <c r="N634" s="4" t="s">
        <v>16</v>
      </c>
      <c r="O634" s="4" t="s">
        <v>19</v>
      </c>
    </row>
    <row r="635" spans="1:15" x14ac:dyDescent="0.25">
      <c r="A635">
        <f t="shared" si="40"/>
        <v>116315</v>
      </c>
      <c r="B635" t="s">
        <v>223</v>
      </c>
      <c r="C635" s="9">
        <v>42931</v>
      </c>
      <c r="D635" s="13">
        <f t="shared" si="37"/>
        <v>2017</v>
      </c>
      <c r="E635" s="13">
        <f t="shared" si="38"/>
        <v>7</v>
      </c>
      <c r="F635" s="13">
        <f t="shared" si="39"/>
        <v>15</v>
      </c>
      <c r="G635" s="4" t="s">
        <v>14</v>
      </c>
      <c r="H635">
        <v>46.924329999999998</v>
      </c>
      <c r="I635">
        <v>6.4660299999999999</v>
      </c>
      <c r="J635" s="4" t="s">
        <v>44</v>
      </c>
      <c r="L635" s="4" t="s">
        <v>42</v>
      </c>
      <c r="M635" s="4" t="s">
        <v>118</v>
      </c>
      <c r="N635" s="4" t="s">
        <v>16</v>
      </c>
    </row>
    <row r="636" spans="1:15" x14ac:dyDescent="0.25">
      <c r="A636">
        <f t="shared" si="40"/>
        <v>116315</v>
      </c>
      <c r="B636" t="s">
        <v>223</v>
      </c>
      <c r="C636" s="9">
        <v>42962</v>
      </c>
      <c r="D636" s="13">
        <f t="shared" si="37"/>
        <v>2017</v>
      </c>
      <c r="E636" s="13">
        <f t="shared" si="38"/>
        <v>8</v>
      </c>
      <c r="F636" s="13">
        <f t="shared" si="39"/>
        <v>15</v>
      </c>
      <c r="G636" s="4" t="s">
        <v>14</v>
      </c>
      <c r="H636">
        <v>46.934159999999999</v>
      </c>
      <c r="I636">
        <v>6.3859899999999996</v>
      </c>
      <c r="J636" s="4" t="s">
        <v>44</v>
      </c>
      <c r="L636" s="4" t="s">
        <v>42</v>
      </c>
      <c r="M636" s="4" t="s">
        <v>118</v>
      </c>
      <c r="N636" s="4" t="s">
        <v>16</v>
      </c>
    </row>
    <row r="637" spans="1:15" x14ac:dyDescent="0.25">
      <c r="A637">
        <f t="shared" si="40"/>
        <v>116315</v>
      </c>
      <c r="B637" t="s">
        <v>223</v>
      </c>
      <c r="C637" s="9">
        <v>43059</v>
      </c>
      <c r="D637" s="13">
        <f t="shared" si="37"/>
        <v>2017</v>
      </c>
      <c r="E637" s="13">
        <f t="shared" si="38"/>
        <v>11</v>
      </c>
      <c r="F637" s="13">
        <f t="shared" si="39"/>
        <v>20</v>
      </c>
      <c r="G637" s="4" t="s">
        <v>224</v>
      </c>
      <c r="H637">
        <v>36.412959999999998</v>
      </c>
      <c r="I637">
        <v>6.7884599999999997</v>
      </c>
      <c r="J637" s="4" t="s">
        <v>44</v>
      </c>
      <c r="L637" s="4" t="s">
        <v>42</v>
      </c>
      <c r="M637" s="4" t="s">
        <v>118</v>
      </c>
      <c r="N637" s="4" t="s">
        <v>17</v>
      </c>
    </row>
    <row r="638" spans="1:15" x14ac:dyDescent="0.25">
      <c r="A638">
        <f t="shared" si="40"/>
        <v>116316</v>
      </c>
      <c r="B638" t="s">
        <v>225</v>
      </c>
      <c r="C638" s="9">
        <v>42888</v>
      </c>
      <c r="D638" s="13">
        <f t="shared" si="37"/>
        <v>2017</v>
      </c>
      <c r="E638" s="13">
        <f t="shared" si="38"/>
        <v>6</v>
      </c>
      <c r="F638" s="13">
        <f t="shared" si="39"/>
        <v>2</v>
      </c>
      <c r="G638" s="4" t="s">
        <v>14</v>
      </c>
      <c r="H638">
        <v>46.849699999999999</v>
      </c>
      <c r="I638">
        <v>6.5510999999999999</v>
      </c>
      <c r="J638" s="4" t="s">
        <v>15</v>
      </c>
      <c r="L638" s="4" t="s">
        <v>1</v>
      </c>
      <c r="N638" s="4" t="s">
        <v>17</v>
      </c>
      <c r="O638" s="4" t="s">
        <v>19</v>
      </c>
    </row>
    <row r="639" spans="1:15" x14ac:dyDescent="0.25">
      <c r="A639">
        <f t="shared" si="40"/>
        <v>116317</v>
      </c>
      <c r="B639" t="s">
        <v>226</v>
      </c>
      <c r="C639" s="9">
        <v>42898</v>
      </c>
      <c r="D639" s="13">
        <f t="shared" si="37"/>
        <v>2017</v>
      </c>
      <c r="E639" s="13">
        <f t="shared" si="38"/>
        <v>6</v>
      </c>
      <c r="F639" s="13">
        <f t="shared" si="39"/>
        <v>12</v>
      </c>
      <c r="G639" s="4" t="s">
        <v>14</v>
      </c>
      <c r="H639">
        <v>46.923299999999998</v>
      </c>
      <c r="I639">
        <v>6.4356</v>
      </c>
      <c r="J639" s="4" t="s">
        <v>15</v>
      </c>
      <c r="L639" s="4" t="s">
        <v>42</v>
      </c>
      <c r="M639" s="4" t="s">
        <v>118</v>
      </c>
      <c r="N639" s="4" t="s">
        <v>16</v>
      </c>
      <c r="O639" s="4" t="s">
        <v>19</v>
      </c>
    </row>
    <row r="640" spans="1:15" x14ac:dyDescent="0.25">
      <c r="A640">
        <f t="shared" si="40"/>
        <v>116317</v>
      </c>
      <c r="B640" t="s">
        <v>226</v>
      </c>
      <c r="C640" s="9">
        <v>42932</v>
      </c>
      <c r="D640" s="13">
        <f t="shared" si="37"/>
        <v>2017</v>
      </c>
      <c r="E640" s="13">
        <f t="shared" si="38"/>
        <v>7</v>
      </c>
      <c r="F640" s="13">
        <f t="shared" si="39"/>
        <v>16</v>
      </c>
      <c r="G640" s="4" t="s">
        <v>14</v>
      </c>
      <c r="H640">
        <v>46.91751</v>
      </c>
      <c r="I640">
        <v>6.4443900000000003</v>
      </c>
      <c r="J640" s="4" t="s">
        <v>44</v>
      </c>
      <c r="L640" s="4" t="s">
        <v>42</v>
      </c>
      <c r="M640" s="4" t="s">
        <v>118</v>
      </c>
      <c r="N640" s="4" t="s">
        <v>16</v>
      </c>
    </row>
    <row r="641" spans="1:15" x14ac:dyDescent="0.25">
      <c r="A641">
        <f t="shared" si="40"/>
        <v>116317</v>
      </c>
      <c r="B641" t="s">
        <v>226</v>
      </c>
      <c r="C641" s="9">
        <v>42963</v>
      </c>
      <c r="D641" s="13">
        <f t="shared" si="37"/>
        <v>2017</v>
      </c>
      <c r="E641" s="13">
        <f t="shared" si="38"/>
        <v>8</v>
      </c>
      <c r="F641" s="13">
        <f t="shared" si="39"/>
        <v>16</v>
      </c>
      <c r="G641" s="4" t="s">
        <v>14</v>
      </c>
      <c r="H641">
        <v>46.916220000000003</v>
      </c>
      <c r="I641">
        <v>6.4450700000000003</v>
      </c>
      <c r="J641" s="4" t="s">
        <v>44</v>
      </c>
      <c r="L641" s="4" t="s">
        <v>42</v>
      </c>
      <c r="M641" s="4" t="s">
        <v>118</v>
      </c>
      <c r="N641" s="4" t="s">
        <v>16</v>
      </c>
    </row>
    <row r="642" spans="1:15" x14ac:dyDescent="0.25">
      <c r="A642">
        <f t="shared" si="40"/>
        <v>116317</v>
      </c>
      <c r="B642" t="s">
        <v>226</v>
      </c>
      <c r="C642" s="9">
        <v>42985</v>
      </c>
      <c r="D642" s="13">
        <f t="shared" si="37"/>
        <v>2017</v>
      </c>
      <c r="E642" s="13">
        <f t="shared" si="38"/>
        <v>9</v>
      </c>
      <c r="F642" s="13">
        <f t="shared" si="39"/>
        <v>7</v>
      </c>
      <c r="G642" s="4" t="s">
        <v>14</v>
      </c>
      <c r="H642">
        <v>46.918419999999998</v>
      </c>
      <c r="I642">
        <v>6.4384899999999998</v>
      </c>
      <c r="J642" s="4" t="s">
        <v>44</v>
      </c>
      <c r="L642" s="4" t="s">
        <v>42</v>
      </c>
      <c r="M642" s="4" t="s">
        <v>118</v>
      </c>
      <c r="N642" s="4" t="s">
        <v>16</v>
      </c>
    </row>
    <row r="643" spans="1:15" x14ac:dyDescent="0.25">
      <c r="A643">
        <f t="shared" si="40"/>
        <v>116317</v>
      </c>
      <c r="B643" t="s">
        <v>226</v>
      </c>
      <c r="C643" s="9">
        <v>43054</v>
      </c>
      <c r="D643" s="13">
        <f t="shared" ref="D643:D706" si="41">YEAR(C643)</f>
        <v>2017</v>
      </c>
      <c r="E643" s="13">
        <f t="shared" ref="E643:E706" si="42">MONTH(C643)</f>
        <v>11</v>
      </c>
      <c r="F643" s="13">
        <f t="shared" ref="F643:F706" si="43">DAY(C643)</f>
        <v>15</v>
      </c>
      <c r="G643" s="4" t="s">
        <v>48</v>
      </c>
      <c r="H643">
        <v>40.840899999999998</v>
      </c>
      <c r="I643">
        <v>-3.9389400000000001</v>
      </c>
      <c r="J643" s="4" t="s">
        <v>44</v>
      </c>
      <c r="L643" s="4" t="s">
        <v>42</v>
      </c>
      <c r="M643" s="4" t="s">
        <v>118</v>
      </c>
      <c r="N643" s="4" t="s">
        <v>16</v>
      </c>
    </row>
    <row r="644" spans="1:15" x14ac:dyDescent="0.25">
      <c r="A644">
        <f t="shared" si="40"/>
        <v>116317</v>
      </c>
      <c r="B644" t="s">
        <v>226</v>
      </c>
      <c r="C644" s="9">
        <v>43085</v>
      </c>
      <c r="D644" s="13">
        <f t="shared" si="41"/>
        <v>2017</v>
      </c>
      <c r="E644" s="13">
        <f t="shared" si="42"/>
        <v>12</v>
      </c>
      <c r="F644" s="13">
        <f t="shared" si="43"/>
        <v>16</v>
      </c>
      <c r="G644" s="4" t="s">
        <v>48</v>
      </c>
      <c r="H644">
        <v>39.961970000000001</v>
      </c>
      <c r="I644">
        <v>-6.4364100000000004</v>
      </c>
      <c r="J644" s="4" t="s">
        <v>44</v>
      </c>
      <c r="L644" s="4" t="s">
        <v>42</v>
      </c>
      <c r="M644" s="4" t="s">
        <v>118</v>
      </c>
      <c r="N644" s="4" t="s">
        <v>16</v>
      </c>
    </row>
    <row r="645" spans="1:15" x14ac:dyDescent="0.25">
      <c r="A645">
        <f t="shared" si="40"/>
        <v>116317</v>
      </c>
      <c r="B645" t="s">
        <v>226</v>
      </c>
      <c r="C645" s="9">
        <v>43114</v>
      </c>
      <c r="D645" s="13">
        <f t="shared" si="41"/>
        <v>2018</v>
      </c>
      <c r="E645" s="13">
        <f t="shared" si="42"/>
        <v>1</v>
      </c>
      <c r="F645" s="13">
        <f t="shared" si="43"/>
        <v>14</v>
      </c>
      <c r="G645" s="4" t="s">
        <v>48</v>
      </c>
      <c r="H645">
        <v>39.960599999999999</v>
      </c>
      <c r="I645">
        <v>-6.4397599999999997</v>
      </c>
      <c r="J645" s="4" t="s">
        <v>44</v>
      </c>
      <c r="L645" s="4" t="s">
        <v>42</v>
      </c>
      <c r="M645" s="4" t="s">
        <v>118</v>
      </c>
      <c r="N645" s="4" t="s">
        <v>16</v>
      </c>
    </row>
    <row r="646" spans="1:15" x14ac:dyDescent="0.25">
      <c r="A646">
        <f t="shared" si="40"/>
        <v>116317</v>
      </c>
      <c r="B646" t="s">
        <v>226</v>
      </c>
      <c r="C646" s="9">
        <v>43150</v>
      </c>
      <c r="D646" s="13">
        <f t="shared" si="41"/>
        <v>2018</v>
      </c>
      <c r="E646" s="13">
        <f t="shared" si="42"/>
        <v>2</v>
      </c>
      <c r="F646" s="13">
        <f t="shared" si="43"/>
        <v>19</v>
      </c>
      <c r="G646" s="4" t="s">
        <v>48</v>
      </c>
      <c r="H646">
        <v>39.963880000000003</v>
      </c>
      <c r="I646">
        <v>-6.4411100000000001</v>
      </c>
      <c r="J646" s="4" t="s">
        <v>44</v>
      </c>
      <c r="L646" s="4" t="s">
        <v>42</v>
      </c>
      <c r="M646" s="4" t="s">
        <v>118</v>
      </c>
      <c r="N646" s="4" t="s">
        <v>16</v>
      </c>
    </row>
    <row r="647" spans="1:15" x14ac:dyDescent="0.25">
      <c r="A647">
        <f t="shared" si="40"/>
        <v>116317</v>
      </c>
      <c r="B647" t="s">
        <v>226</v>
      </c>
      <c r="C647" s="9">
        <v>43295</v>
      </c>
      <c r="D647" s="13">
        <f t="shared" si="41"/>
        <v>2018</v>
      </c>
      <c r="E647" s="13">
        <f t="shared" si="42"/>
        <v>7</v>
      </c>
      <c r="F647" s="13">
        <f t="shared" si="43"/>
        <v>14</v>
      </c>
      <c r="G647" s="4" t="s">
        <v>14</v>
      </c>
      <c r="H647">
        <v>46.919339999999998</v>
      </c>
      <c r="I647">
        <v>6.4404000000000003</v>
      </c>
      <c r="J647" s="4" t="s">
        <v>44</v>
      </c>
      <c r="L647" s="4" t="s">
        <v>42</v>
      </c>
      <c r="M647" s="4" t="s">
        <v>118</v>
      </c>
      <c r="N647" s="4" t="s">
        <v>16</v>
      </c>
    </row>
    <row r="648" spans="1:15" x14ac:dyDescent="0.25">
      <c r="A648">
        <f t="shared" si="40"/>
        <v>116317</v>
      </c>
      <c r="B648" t="s">
        <v>226</v>
      </c>
      <c r="C648" s="9">
        <v>43326</v>
      </c>
      <c r="D648" s="13">
        <f t="shared" si="41"/>
        <v>2018</v>
      </c>
      <c r="E648" s="13">
        <f t="shared" si="42"/>
        <v>8</v>
      </c>
      <c r="F648" s="13">
        <f t="shared" si="43"/>
        <v>14</v>
      </c>
      <c r="G648" s="4" t="s">
        <v>14</v>
      </c>
      <c r="H648">
        <v>46.909379999999999</v>
      </c>
      <c r="I648">
        <v>6.4322699999999999</v>
      </c>
      <c r="J648" s="4" t="s">
        <v>44</v>
      </c>
      <c r="L648" s="4" t="s">
        <v>42</v>
      </c>
      <c r="M648" s="4" t="s">
        <v>118</v>
      </c>
      <c r="N648" s="4" t="s">
        <v>16</v>
      </c>
    </row>
    <row r="649" spans="1:15" x14ac:dyDescent="0.25">
      <c r="A649">
        <f t="shared" si="40"/>
        <v>116317</v>
      </c>
      <c r="B649" t="s">
        <v>226</v>
      </c>
      <c r="C649" s="9">
        <v>43353</v>
      </c>
      <c r="D649" s="13">
        <f t="shared" si="41"/>
        <v>2018</v>
      </c>
      <c r="E649" s="13">
        <f t="shared" si="42"/>
        <v>9</v>
      </c>
      <c r="F649" s="13">
        <f t="shared" si="43"/>
        <v>10</v>
      </c>
      <c r="G649" s="4" t="s">
        <v>14</v>
      </c>
      <c r="H649">
        <v>46.917610000000003</v>
      </c>
      <c r="I649">
        <v>6.4394900000000002</v>
      </c>
      <c r="J649" s="4" t="s">
        <v>44</v>
      </c>
      <c r="L649" s="4" t="s">
        <v>42</v>
      </c>
      <c r="M649" s="4" t="s">
        <v>118</v>
      </c>
      <c r="N649" s="4" t="s">
        <v>16</v>
      </c>
    </row>
    <row r="650" spans="1:15" x14ac:dyDescent="0.25">
      <c r="A650">
        <f t="shared" si="40"/>
        <v>116317</v>
      </c>
      <c r="B650" t="s">
        <v>226</v>
      </c>
      <c r="C650" s="9">
        <v>43428</v>
      </c>
      <c r="D650" s="13">
        <f t="shared" si="41"/>
        <v>2018</v>
      </c>
      <c r="E650" s="13">
        <f t="shared" si="42"/>
        <v>11</v>
      </c>
      <c r="F650" s="13">
        <f t="shared" si="43"/>
        <v>24</v>
      </c>
      <c r="G650" s="4" t="s">
        <v>48</v>
      </c>
      <c r="H650">
        <v>39.848269999999999</v>
      </c>
      <c r="I650">
        <v>-6.7443900000000001</v>
      </c>
      <c r="J650" s="4" t="s">
        <v>44</v>
      </c>
      <c r="L650" s="4" t="s">
        <v>42</v>
      </c>
      <c r="M650" s="4" t="s">
        <v>118</v>
      </c>
      <c r="N650" s="4" t="s">
        <v>16</v>
      </c>
    </row>
    <row r="651" spans="1:15" x14ac:dyDescent="0.25">
      <c r="A651">
        <f t="shared" si="40"/>
        <v>116317</v>
      </c>
      <c r="B651" t="s">
        <v>226</v>
      </c>
      <c r="C651" s="9">
        <v>43448</v>
      </c>
      <c r="D651" s="13">
        <f t="shared" si="41"/>
        <v>2018</v>
      </c>
      <c r="E651" s="13">
        <f t="shared" si="42"/>
        <v>12</v>
      </c>
      <c r="F651" s="13">
        <f t="shared" si="43"/>
        <v>14</v>
      </c>
      <c r="G651" s="4" t="s">
        <v>48</v>
      </c>
      <c r="H651">
        <v>39.846690000000002</v>
      </c>
      <c r="I651">
        <v>-6.7392700000000003</v>
      </c>
      <c r="J651" s="4" t="s">
        <v>44</v>
      </c>
      <c r="L651" s="4" t="s">
        <v>42</v>
      </c>
      <c r="M651" s="4" t="s">
        <v>118</v>
      </c>
      <c r="N651" s="4" t="s">
        <v>16</v>
      </c>
    </row>
    <row r="652" spans="1:15" x14ac:dyDescent="0.25">
      <c r="A652">
        <f t="shared" si="40"/>
        <v>116317</v>
      </c>
      <c r="B652" t="s">
        <v>226</v>
      </c>
      <c r="C652" s="9">
        <v>43482</v>
      </c>
      <c r="D652" s="13">
        <f t="shared" si="41"/>
        <v>2019</v>
      </c>
      <c r="E652" s="13">
        <f t="shared" si="42"/>
        <v>1</v>
      </c>
      <c r="F652" s="13">
        <f t="shared" si="43"/>
        <v>17</v>
      </c>
      <c r="G652" s="4" t="s">
        <v>48</v>
      </c>
      <c r="H652">
        <v>39.849580000000003</v>
      </c>
      <c r="I652">
        <v>-6.7354799999999999</v>
      </c>
      <c r="J652" s="4" t="s">
        <v>44</v>
      </c>
      <c r="L652" s="4" t="s">
        <v>42</v>
      </c>
      <c r="M652" s="4" t="s">
        <v>118</v>
      </c>
      <c r="N652" s="4" t="s">
        <v>16</v>
      </c>
    </row>
    <row r="653" spans="1:15" x14ac:dyDescent="0.25">
      <c r="A653">
        <f t="shared" si="40"/>
        <v>116317</v>
      </c>
      <c r="B653" t="s">
        <v>226</v>
      </c>
      <c r="C653" s="9">
        <v>43524</v>
      </c>
      <c r="D653" s="13">
        <f t="shared" si="41"/>
        <v>2019</v>
      </c>
      <c r="E653" s="13">
        <f t="shared" si="42"/>
        <v>2</v>
      </c>
      <c r="F653" s="13">
        <f t="shared" si="43"/>
        <v>28</v>
      </c>
      <c r="G653" s="4" t="s">
        <v>31</v>
      </c>
      <c r="H653">
        <v>44.375149999999998</v>
      </c>
      <c r="I653">
        <v>3.9546800000000002</v>
      </c>
      <c r="J653" s="4" t="s">
        <v>44</v>
      </c>
      <c r="L653" s="4" t="s">
        <v>42</v>
      </c>
      <c r="M653" s="4" t="s">
        <v>118</v>
      </c>
      <c r="N653" s="4" t="s">
        <v>17</v>
      </c>
    </row>
    <row r="654" spans="1:15" x14ac:dyDescent="0.25">
      <c r="A654">
        <f t="shared" si="40"/>
        <v>116318</v>
      </c>
      <c r="B654" t="s">
        <v>227</v>
      </c>
      <c r="C654" s="9">
        <v>42901</v>
      </c>
      <c r="D654" s="13">
        <f t="shared" si="41"/>
        <v>2017</v>
      </c>
      <c r="E654" s="13">
        <f t="shared" si="42"/>
        <v>6</v>
      </c>
      <c r="F654" s="13">
        <f t="shared" si="43"/>
        <v>15</v>
      </c>
      <c r="G654" s="4" t="s">
        <v>14</v>
      </c>
      <c r="H654">
        <v>47.0214</v>
      </c>
      <c r="I654">
        <v>6.8308</v>
      </c>
      <c r="J654" s="4" t="s">
        <v>15</v>
      </c>
      <c r="L654" s="4" t="s">
        <v>1</v>
      </c>
      <c r="N654" s="4" t="s">
        <v>17</v>
      </c>
      <c r="O654" s="4" t="s">
        <v>19</v>
      </c>
    </row>
    <row r="655" spans="1:15" x14ac:dyDescent="0.25">
      <c r="A655">
        <f t="shared" si="40"/>
        <v>116319</v>
      </c>
      <c r="B655" t="s">
        <v>228</v>
      </c>
      <c r="C655" s="9">
        <v>42901</v>
      </c>
      <c r="D655" s="13">
        <f t="shared" si="41"/>
        <v>2017</v>
      </c>
      <c r="E655" s="13">
        <f t="shared" si="42"/>
        <v>6</v>
      </c>
      <c r="F655" s="13">
        <f t="shared" si="43"/>
        <v>15</v>
      </c>
      <c r="G655" s="4" t="s">
        <v>14</v>
      </c>
      <c r="H655">
        <v>47.0214</v>
      </c>
      <c r="I655">
        <v>6.8308</v>
      </c>
      <c r="J655" s="4" t="s">
        <v>15</v>
      </c>
      <c r="L655" s="4" t="s">
        <v>42</v>
      </c>
      <c r="M655" s="4" t="s">
        <v>118</v>
      </c>
      <c r="N655" s="4" t="s">
        <v>16</v>
      </c>
      <c r="O655" s="4" t="s">
        <v>27</v>
      </c>
    </row>
    <row r="656" spans="1:15" x14ac:dyDescent="0.25">
      <c r="A656">
        <f t="shared" ref="A656:A719" si="44">RIGHT(B656,6)*1</f>
        <v>116319</v>
      </c>
      <c r="B656" t="s">
        <v>228</v>
      </c>
      <c r="C656" s="9">
        <v>42930</v>
      </c>
      <c r="D656" s="13">
        <f t="shared" si="41"/>
        <v>2017</v>
      </c>
      <c r="E656" s="13">
        <f t="shared" si="42"/>
        <v>7</v>
      </c>
      <c r="F656" s="13">
        <f t="shared" si="43"/>
        <v>14</v>
      </c>
      <c r="G656" s="4" t="s">
        <v>14</v>
      </c>
      <c r="H656">
        <v>46.921520000000001</v>
      </c>
      <c r="I656">
        <v>6.6818499999999998</v>
      </c>
      <c r="J656" s="4" t="s">
        <v>44</v>
      </c>
      <c r="L656" s="4" t="s">
        <v>42</v>
      </c>
      <c r="M656" s="4" t="s">
        <v>118</v>
      </c>
      <c r="N656" s="4" t="s">
        <v>16</v>
      </c>
    </row>
    <row r="657" spans="1:15" x14ac:dyDescent="0.25">
      <c r="A657">
        <f t="shared" si="44"/>
        <v>116319</v>
      </c>
      <c r="B657" t="s">
        <v>228</v>
      </c>
      <c r="C657" s="9">
        <v>42968</v>
      </c>
      <c r="D657" s="13">
        <f t="shared" si="41"/>
        <v>2017</v>
      </c>
      <c r="E657" s="13">
        <f t="shared" si="42"/>
        <v>8</v>
      </c>
      <c r="F657" s="13">
        <f t="shared" si="43"/>
        <v>21</v>
      </c>
      <c r="G657" s="4" t="s">
        <v>14</v>
      </c>
      <c r="H657">
        <v>46.920969999999997</v>
      </c>
      <c r="I657">
        <v>6.6581000000000001</v>
      </c>
      <c r="J657" s="4" t="s">
        <v>44</v>
      </c>
      <c r="L657" s="4" t="s">
        <v>42</v>
      </c>
      <c r="M657" s="4" t="s">
        <v>118</v>
      </c>
      <c r="N657" s="4" t="s">
        <v>16</v>
      </c>
    </row>
    <row r="658" spans="1:15" x14ac:dyDescent="0.25">
      <c r="A658">
        <f t="shared" si="44"/>
        <v>116319</v>
      </c>
      <c r="B658" t="s">
        <v>228</v>
      </c>
      <c r="C658" s="9">
        <v>42986</v>
      </c>
      <c r="D658" s="13">
        <f t="shared" si="41"/>
        <v>2017</v>
      </c>
      <c r="E658" s="13">
        <f t="shared" si="42"/>
        <v>9</v>
      </c>
      <c r="F658" s="13">
        <f t="shared" si="43"/>
        <v>8</v>
      </c>
      <c r="G658" s="4" t="s">
        <v>14</v>
      </c>
      <c r="H658">
        <v>46.920929999999998</v>
      </c>
      <c r="I658">
        <v>6.6829799999999997</v>
      </c>
      <c r="J658" s="4" t="s">
        <v>44</v>
      </c>
      <c r="L658" s="4" t="s">
        <v>42</v>
      </c>
      <c r="M658" s="4" t="s">
        <v>118</v>
      </c>
      <c r="N658" s="4" t="s">
        <v>16</v>
      </c>
    </row>
    <row r="659" spans="1:15" x14ac:dyDescent="0.25">
      <c r="A659">
        <f t="shared" si="44"/>
        <v>116319</v>
      </c>
      <c r="B659" t="s">
        <v>228</v>
      </c>
      <c r="C659" s="9">
        <v>43027</v>
      </c>
      <c r="D659" s="13">
        <f t="shared" si="41"/>
        <v>2017</v>
      </c>
      <c r="E659" s="13">
        <f t="shared" si="42"/>
        <v>10</v>
      </c>
      <c r="F659" s="13">
        <f t="shared" si="43"/>
        <v>19</v>
      </c>
      <c r="G659" s="4" t="s">
        <v>14</v>
      </c>
      <c r="H659">
        <v>46.922600000000003</v>
      </c>
      <c r="I659">
        <v>6.6660899999999996</v>
      </c>
      <c r="J659" s="4" t="s">
        <v>44</v>
      </c>
      <c r="L659" s="4" t="s">
        <v>42</v>
      </c>
      <c r="M659" s="4" t="s">
        <v>118</v>
      </c>
      <c r="N659" s="4" t="s">
        <v>16</v>
      </c>
    </row>
    <row r="660" spans="1:15" x14ac:dyDescent="0.25">
      <c r="A660">
        <f t="shared" si="44"/>
        <v>116319</v>
      </c>
      <c r="B660" t="s">
        <v>228</v>
      </c>
      <c r="C660" s="9">
        <v>43054</v>
      </c>
      <c r="D660" s="13">
        <f t="shared" si="41"/>
        <v>2017</v>
      </c>
      <c r="E660" s="13">
        <f t="shared" si="42"/>
        <v>11</v>
      </c>
      <c r="F660" s="13">
        <f t="shared" si="43"/>
        <v>15</v>
      </c>
      <c r="G660" s="4" t="s">
        <v>48</v>
      </c>
      <c r="H660">
        <v>42.32358</v>
      </c>
      <c r="I660">
        <v>-2.9480400000000002</v>
      </c>
      <c r="J660" s="4" t="s">
        <v>44</v>
      </c>
      <c r="L660" s="4" t="s">
        <v>42</v>
      </c>
      <c r="M660" s="4" t="s">
        <v>118</v>
      </c>
      <c r="N660" s="4" t="s">
        <v>17</v>
      </c>
    </row>
    <row r="661" spans="1:15" x14ac:dyDescent="0.25">
      <c r="A661">
        <f t="shared" si="44"/>
        <v>116320</v>
      </c>
      <c r="B661" t="s">
        <v>229</v>
      </c>
      <c r="C661" s="9">
        <v>42904</v>
      </c>
      <c r="D661" s="13">
        <f t="shared" si="41"/>
        <v>2017</v>
      </c>
      <c r="E661" s="13">
        <f t="shared" si="42"/>
        <v>6</v>
      </c>
      <c r="F661" s="13">
        <f t="shared" si="43"/>
        <v>18</v>
      </c>
      <c r="G661" s="4" t="s">
        <v>14</v>
      </c>
      <c r="H661">
        <v>46.868899999999996</v>
      </c>
      <c r="I661">
        <v>6.6058000000000003</v>
      </c>
      <c r="J661" s="4" t="s">
        <v>15</v>
      </c>
      <c r="L661" s="4" t="s">
        <v>1</v>
      </c>
      <c r="N661" s="4" t="s">
        <v>17</v>
      </c>
      <c r="O661" s="4" t="s">
        <v>27</v>
      </c>
    </row>
    <row r="662" spans="1:15" x14ac:dyDescent="0.25">
      <c r="A662">
        <f t="shared" si="44"/>
        <v>116321</v>
      </c>
      <c r="B662" t="s">
        <v>230</v>
      </c>
      <c r="C662" s="9">
        <v>42998</v>
      </c>
      <c r="D662" s="13">
        <f t="shared" si="41"/>
        <v>2017</v>
      </c>
      <c r="E662" s="13">
        <f t="shared" si="42"/>
        <v>9</v>
      </c>
      <c r="F662" s="13">
        <f t="shared" si="43"/>
        <v>20</v>
      </c>
      <c r="G662" s="4" t="s">
        <v>14</v>
      </c>
      <c r="H662">
        <v>46.903599999999997</v>
      </c>
      <c r="I662">
        <v>6.6722000000000001</v>
      </c>
      <c r="J662" s="4" t="s">
        <v>15</v>
      </c>
      <c r="L662" s="4" t="s">
        <v>42</v>
      </c>
      <c r="M662" s="4" t="s">
        <v>118</v>
      </c>
      <c r="N662" s="4" t="s">
        <v>16</v>
      </c>
      <c r="O662" s="4" t="s">
        <v>29</v>
      </c>
    </row>
    <row r="663" spans="1:15" x14ac:dyDescent="0.25">
      <c r="A663">
        <f t="shared" si="44"/>
        <v>116321</v>
      </c>
      <c r="B663" t="s">
        <v>230</v>
      </c>
      <c r="C663" s="9">
        <v>43006</v>
      </c>
      <c r="D663" s="13">
        <f t="shared" si="41"/>
        <v>2017</v>
      </c>
      <c r="E663" s="13">
        <f t="shared" si="42"/>
        <v>9</v>
      </c>
      <c r="F663" s="13">
        <f t="shared" si="43"/>
        <v>28</v>
      </c>
      <c r="G663" s="4" t="s">
        <v>14</v>
      </c>
      <c r="H663">
        <v>46.905729999999998</v>
      </c>
      <c r="I663">
        <v>6.6443099999999999</v>
      </c>
      <c r="J663" s="4" t="s">
        <v>44</v>
      </c>
      <c r="L663" s="4" t="s">
        <v>42</v>
      </c>
      <c r="M663" s="4" t="s">
        <v>118</v>
      </c>
      <c r="N663" s="4" t="s">
        <v>17</v>
      </c>
    </row>
    <row r="664" spans="1:15" x14ac:dyDescent="0.25">
      <c r="A664">
        <f t="shared" si="44"/>
        <v>116322</v>
      </c>
      <c r="B664" t="s">
        <v>231</v>
      </c>
      <c r="C664" s="9">
        <v>43000</v>
      </c>
      <c r="D664" s="13">
        <f t="shared" si="41"/>
        <v>2017</v>
      </c>
      <c r="E664" s="13">
        <f t="shared" si="42"/>
        <v>9</v>
      </c>
      <c r="F664" s="13">
        <f t="shared" si="43"/>
        <v>22</v>
      </c>
      <c r="G664" s="4" t="s">
        <v>14</v>
      </c>
      <c r="H664">
        <v>46.992800000000003</v>
      </c>
      <c r="I664">
        <v>6.6971999999999996</v>
      </c>
      <c r="J664" s="4" t="s">
        <v>15</v>
      </c>
      <c r="L664" s="4" t="s">
        <v>42</v>
      </c>
      <c r="M664" s="4" t="s">
        <v>118</v>
      </c>
      <c r="N664" s="4" t="s">
        <v>16</v>
      </c>
      <c r="O664" s="4" t="s">
        <v>184</v>
      </c>
    </row>
    <row r="665" spans="1:15" x14ac:dyDescent="0.25">
      <c r="A665">
        <f t="shared" si="44"/>
        <v>116322</v>
      </c>
      <c r="B665" t="s">
        <v>231</v>
      </c>
      <c r="C665" s="9">
        <v>43024</v>
      </c>
      <c r="D665" s="13">
        <f t="shared" si="41"/>
        <v>2017</v>
      </c>
      <c r="E665" s="13">
        <f t="shared" si="42"/>
        <v>10</v>
      </c>
      <c r="F665" s="13">
        <f t="shared" si="43"/>
        <v>16</v>
      </c>
      <c r="G665" s="4" t="s">
        <v>14</v>
      </c>
      <c r="H665">
        <v>47.024169999999998</v>
      </c>
      <c r="I665">
        <v>6.8320400000000001</v>
      </c>
      <c r="J665" s="4" t="s">
        <v>44</v>
      </c>
      <c r="L665" s="4" t="s">
        <v>42</v>
      </c>
      <c r="M665" s="4" t="s">
        <v>118</v>
      </c>
      <c r="N665" s="4" t="s">
        <v>16</v>
      </c>
    </row>
    <row r="666" spans="1:15" x14ac:dyDescent="0.25">
      <c r="A666">
        <f t="shared" si="44"/>
        <v>116322</v>
      </c>
      <c r="B666" t="s">
        <v>231</v>
      </c>
      <c r="C666" s="9">
        <v>43055</v>
      </c>
      <c r="D666" s="13">
        <f t="shared" si="41"/>
        <v>2017</v>
      </c>
      <c r="E666" s="13">
        <f t="shared" si="42"/>
        <v>11</v>
      </c>
      <c r="F666" s="13">
        <f t="shared" si="43"/>
        <v>16</v>
      </c>
      <c r="G666" s="4" t="s">
        <v>31</v>
      </c>
      <c r="H666">
        <v>46.441800000000001</v>
      </c>
      <c r="I666">
        <v>4.7973800000000004</v>
      </c>
      <c r="J666" s="4" t="s">
        <v>44</v>
      </c>
      <c r="L666" s="4" t="s">
        <v>42</v>
      </c>
      <c r="M666" s="4" t="s">
        <v>118</v>
      </c>
      <c r="N666" s="4" t="s">
        <v>16</v>
      </c>
    </row>
    <row r="667" spans="1:15" x14ac:dyDescent="0.25">
      <c r="A667">
        <f t="shared" si="44"/>
        <v>116322</v>
      </c>
      <c r="B667" t="s">
        <v>231</v>
      </c>
      <c r="C667" s="9">
        <v>43086</v>
      </c>
      <c r="D667" s="13">
        <f t="shared" si="41"/>
        <v>2017</v>
      </c>
      <c r="E667" s="13">
        <f t="shared" si="42"/>
        <v>12</v>
      </c>
      <c r="F667" s="13">
        <f t="shared" si="43"/>
        <v>17</v>
      </c>
      <c r="G667" s="4" t="s">
        <v>31</v>
      </c>
      <c r="H667">
        <v>45.826390000000004</v>
      </c>
      <c r="I667">
        <v>4.6363200000000004</v>
      </c>
      <c r="J667" s="4" t="s">
        <v>44</v>
      </c>
      <c r="L667" s="4" t="s">
        <v>42</v>
      </c>
      <c r="M667" s="4" t="s">
        <v>118</v>
      </c>
      <c r="N667" s="4" t="s">
        <v>16</v>
      </c>
    </row>
    <row r="668" spans="1:15" x14ac:dyDescent="0.25">
      <c r="A668">
        <f t="shared" si="44"/>
        <v>116322</v>
      </c>
      <c r="B668" t="s">
        <v>231</v>
      </c>
      <c r="C668" s="9">
        <v>43115</v>
      </c>
      <c r="D668" s="13">
        <f t="shared" si="41"/>
        <v>2018</v>
      </c>
      <c r="E668" s="13">
        <f t="shared" si="42"/>
        <v>1</v>
      </c>
      <c r="F668" s="13">
        <f t="shared" si="43"/>
        <v>15</v>
      </c>
      <c r="G668" s="4" t="s">
        <v>31</v>
      </c>
      <c r="H668">
        <v>45.829790000000003</v>
      </c>
      <c r="I668">
        <v>4.6348000000000003</v>
      </c>
      <c r="J668" s="4" t="s">
        <v>44</v>
      </c>
      <c r="L668" s="4" t="s">
        <v>42</v>
      </c>
      <c r="M668" s="4" t="s">
        <v>118</v>
      </c>
      <c r="N668" s="4" t="s">
        <v>16</v>
      </c>
    </row>
    <row r="669" spans="1:15" x14ac:dyDescent="0.25">
      <c r="A669">
        <f t="shared" si="44"/>
        <v>116322</v>
      </c>
      <c r="B669" t="s">
        <v>231</v>
      </c>
      <c r="C669" s="9">
        <v>43146</v>
      </c>
      <c r="D669" s="13">
        <f t="shared" si="41"/>
        <v>2018</v>
      </c>
      <c r="E669" s="13">
        <f t="shared" si="42"/>
        <v>2</v>
      </c>
      <c r="F669" s="13">
        <f t="shared" si="43"/>
        <v>15</v>
      </c>
      <c r="G669" s="4" t="s">
        <v>31</v>
      </c>
      <c r="H669">
        <v>45.835900000000002</v>
      </c>
      <c r="I669">
        <v>4.6232699999999998</v>
      </c>
      <c r="J669" s="4" t="s">
        <v>44</v>
      </c>
      <c r="L669" s="4" t="s">
        <v>42</v>
      </c>
      <c r="M669" s="4" t="s">
        <v>118</v>
      </c>
      <c r="N669" s="4" t="s">
        <v>16</v>
      </c>
    </row>
    <row r="670" spans="1:15" x14ac:dyDescent="0.25">
      <c r="A670">
        <f t="shared" si="44"/>
        <v>116322</v>
      </c>
      <c r="B670" t="s">
        <v>231</v>
      </c>
      <c r="C670" s="9">
        <v>43294</v>
      </c>
      <c r="D670" s="13">
        <f t="shared" si="41"/>
        <v>2018</v>
      </c>
      <c r="E670" s="13">
        <f t="shared" si="42"/>
        <v>7</v>
      </c>
      <c r="F670" s="13">
        <f t="shared" si="43"/>
        <v>13</v>
      </c>
      <c r="G670" s="4" t="s">
        <v>14</v>
      </c>
      <c r="H670">
        <v>46.994059999999998</v>
      </c>
      <c r="I670">
        <v>6.6472199999999999</v>
      </c>
      <c r="J670" s="4" t="s">
        <v>44</v>
      </c>
      <c r="L670" s="4" t="s">
        <v>42</v>
      </c>
      <c r="M670" s="4" t="s">
        <v>118</v>
      </c>
      <c r="N670" s="4" t="s">
        <v>16</v>
      </c>
    </row>
    <row r="671" spans="1:15" x14ac:dyDescent="0.25">
      <c r="A671">
        <f t="shared" si="44"/>
        <v>116322</v>
      </c>
      <c r="B671" t="s">
        <v>231</v>
      </c>
      <c r="C671" s="9">
        <v>43327</v>
      </c>
      <c r="D671" s="13">
        <f t="shared" si="41"/>
        <v>2018</v>
      </c>
      <c r="E671" s="13">
        <f t="shared" si="42"/>
        <v>8</v>
      </c>
      <c r="F671" s="13">
        <f t="shared" si="43"/>
        <v>15</v>
      </c>
      <c r="G671" s="4" t="s">
        <v>14</v>
      </c>
      <c r="H671">
        <v>46.992089999999997</v>
      </c>
      <c r="I671">
        <v>6.6639600000000003</v>
      </c>
      <c r="J671" s="4" t="s">
        <v>44</v>
      </c>
      <c r="L671" s="4" t="s">
        <v>42</v>
      </c>
      <c r="M671" s="4" t="s">
        <v>118</v>
      </c>
      <c r="N671" s="4" t="s">
        <v>16</v>
      </c>
    </row>
    <row r="672" spans="1:15" x14ac:dyDescent="0.25">
      <c r="A672">
        <f t="shared" si="44"/>
        <v>116322</v>
      </c>
      <c r="B672" t="s">
        <v>231</v>
      </c>
      <c r="C672" s="9">
        <v>43367</v>
      </c>
      <c r="D672" s="13">
        <f t="shared" si="41"/>
        <v>2018</v>
      </c>
      <c r="E672" s="13">
        <f t="shared" si="42"/>
        <v>9</v>
      </c>
      <c r="F672" s="13">
        <f t="shared" si="43"/>
        <v>24</v>
      </c>
      <c r="G672" s="4" t="s">
        <v>14</v>
      </c>
      <c r="H672">
        <v>46.988770000000002</v>
      </c>
      <c r="I672">
        <v>6.6643999999999997</v>
      </c>
      <c r="J672" s="4" t="s">
        <v>44</v>
      </c>
      <c r="L672" s="4" t="s">
        <v>42</v>
      </c>
      <c r="M672" s="4" t="s">
        <v>118</v>
      </c>
      <c r="N672" s="4" t="s">
        <v>16</v>
      </c>
    </row>
    <row r="673" spans="1:15" x14ac:dyDescent="0.25">
      <c r="A673">
        <f t="shared" si="44"/>
        <v>116322</v>
      </c>
      <c r="B673" t="s">
        <v>231</v>
      </c>
      <c r="C673" s="9">
        <v>43386</v>
      </c>
      <c r="D673" s="13">
        <f t="shared" si="41"/>
        <v>2018</v>
      </c>
      <c r="E673" s="13">
        <f t="shared" si="42"/>
        <v>10</v>
      </c>
      <c r="F673" s="13">
        <f t="shared" si="43"/>
        <v>13</v>
      </c>
      <c r="G673" s="4" t="s">
        <v>14</v>
      </c>
      <c r="H673">
        <v>46.992559999999997</v>
      </c>
      <c r="I673">
        <v>6.6616</v>
      </c>
      <c r="J673" s="4" t="s">
        <v>44</v>
      </c>
      <c r="L673" s="4" t="s">
        <v>42</v>
      </c>
      <c r="M673" s="4" t="s">
        <v>118</v>
      </c>
      <c r="N673" s="4" t="s">
        <v>16</v>
      </c>
    </row>
    <row r="674" spans="1:15" x14ac:dyDescent="0.25">
      <c r="A674">
        <f t="shared" si="44"/>
        <v>116322</v>
      </c>
      <c r="B674" t="s">
        <v>231</v>
      </c>
      <c r="C674" s="9">
        <v>43415</v>
      </c>
      <c r="D674" s="13">
        <f t="shared" si="41"/>
        <v>2018</v>
      </c>
      <c r="E674" s="13">
        <f t="shared" si="42"/>
        <v>11</v>
      </c>
      <c r="F674" s="13">
        <f t="shared" si="43"/>
        <v>11</v>
      </c>
      <c r="G674" s="4" t="s">
        <v>14</v>
      </c>
      <c r="H674">
        <v>46.992190000000001</v>
      </c>
      <c r="I674">
        <v>6.6629500000000004</v>
      </c>
      <c r="J674" s="4" t="s">
        <v>44</v>
      </c>
      <c r="L674" s="4" t="s">
        <v>42</v>
      </c>
      <c r="M674" s="4" t="s">
        <v>118</v>
      </c>
      <c r="N674" s="4" t="s">
        <v>16</v>
      </c>
    </row>
    <row r="675" spans="1:15" x14ac:dyDescent="0.25">
      <c r="A675">
        <f t="shared" si="44"/>
        <v>116322</v>
      </c>
      <c r="B675" t="s">
        <v>231</v>
      </c>
      <c r="C675" s="9">
        <v>43459</v>
      </c>
      <c r="D675" s="13">
        <f t="shared" si="41"/>
        <v>2018</v>
      </c>
      <c r="E675" s="13">
        <f t="shared" si="42"/>
        <v>12</v>
      </c>
      <c r="F675" s="13">
        <f t="shared" si="43"/>
        <v>25</v>
      </c>
      <c r="G675" s="4" t="s">
        <v>14</v>
      </c>
      <c r="H675">
        <v>46.995170000000002</v>
      </c>
      <c r="I675">
        <v>6.6447000000000003</v>
      </c>
      <c r="J675" s="4" t="s">
        <v>44</v>
      </c>
      <c r="L675" s="4" t="s">
        <v>42</v>
      </c>
      <c r="M675" s="4" t="s">
        <v>118</v>
      </c>
      <c r="N675" s="4" t="s">
        <v>16</v>
      </c>
    </row>
    <row r="676" spans="1:15" x14ac:dyDescent="0.25">
      <c r="A676">
        <f t="shared" si="44"/>
        <v>116322</v>
      </c>
      <c r="B676" t="s">
        <v>231</v>
      </c>
      <c r="C676" s="9">
        <v>43691</v>
      </c>
      <c r="D676" s="13">
        <f t="shared" si="41"/>
        <v>2019</v>
      </c>
      <c r="E676" s="13">
        <f t="shared" si="42"/>
        <v>8</v>
      </c>
      <c r="F676" s="13">
        <f t="shared" si="43"/>
        <v>14</v>
      </c>
      <c r="G676" s="4" t="s">
        <v>14</v>
      </c>
      <c r="H676">
        <v>46.997839999999997</v>
      </c>
      <c r="I676">
        <v>6.67448</v>
      </c>
      <c r="J676" s="4" t="s">
        <v>44</v>
      </c>
      <c r="L676" s="4" t="s">
        <v>42</v>
      </c>
      <c r="M676" s="4" t="s">
        <v>118</v>
      </c>
      <c r="N676" s="4" t="s">
        <v>17</v>
      </c>
    </row>
    <row r="677" spans="1:15" x14ac:dyDescent="0.25">
      <c r="A677">
        <f t="shared" si="44"/>
        <v>116323</v>
      </c>
      <c r="B677" t="s">
        <v>232</v>
      </c>
      <c r="C677" s="9">
        <v>43003</v>
      </c>
      <c r="D677" s="13">
        <f t="shared" si="41"/>
        <v>2017</v>
      </c>
      <c r="E677" s="13">
        <f t="shared" si="42"/>
        <v>9</v>
      </c>
      <c r="F677" s="13">
        <f t="shared" si="43"/>
        <v>25</v>
      </c>
      <c r="G677" s="4" t="s">
        <v>14</v>
      </c>
      <c r="H677">
        <v>46.992800000000003</v>
      </c>
      <c r="I677">
        <v>6.6971999999999996</v>
      </c>
      <c r="J677" s="4" t="s">
        <v>15</v>
      </c>
      <c r="L677" s="4" t="s">
        <v>42</v>
      </c>
      <c r="M677" s="4" t="s">
        <v>118</v>
      </c>
      <c r="N677" s="4" t="s">
        <v>16</v>
      </c>
      <c r="O677" s="4" t="s">
        <v>29</v>
      </c>
    </row>
    <row r="678" spans="1:15" x14ac:dyDescent="0.25">
      <c r="A678">
        <f t="shared" si="44"/>
        <v>116323</v>
      </c>
      <c r="B678" t="s">
        <v>232</v>
      </c>
      <c r="C678" s="9">
        <v>43022</v>
      </c>
      <c r="D678" s="13">
        <f t="shared" si="41"/>
        <v>2017</v>
      </c>
      <c r="E678" s="13">
        <f t="shared" si="42"/>
        <v>10</v>
      </c>
      <c r="F678" s="13">
        <f t="shared" si="43"/>
        <v>14</v>
      </c>
      <c r="G678" s="4" t="s">
        <v>14</v>
      </c>
      <c r="H678">
        <v>46.998660000000001</v>
      </c>
      <c r="I678">
        <v>6.7044899999999998</v>
      </c>
      <c r="J678" s="4" t="s">
        <v>44</v>
      </c>
      <c r="L678" s="4" t="s">
        <v>42</v>
      </c>
      <c r="M678" s="4" t="s">
        <v>118</v>
      </c>
      <c r="N678" s="4" t="s">
        <v>16</v>
      </c>
    </row>
    <row r="679" spans="1:15" x14ac:dyDescent="0.25">
      <c r="A679">
        <f t="shared" si="44"/>
        <v>116323</v>
      </c>
      <c r="B679" t="s">
        <v>232</v>
      </c>
      <c r="C679" s="9">
        <v>43057</v>
      </c>
      <c r="D679" s="13">
        <f t="shared" si="41"/>
        <v>2017</v>
      </c>
      <c r="E679" s="13">
        <f t="shared" si="42"/>
        <v>11</v>
      </c>
      <c r="F679" s="13">
        <f t="shared" si="43"/>
        <v>18</v>
      </c>
      <c r="G679" s="4" t="s">
        <v>14</v>
      </c>
      <c r="H679">
        <v>46.910980000000002</v>
      </c>
      <c r="I679">
        <v>6.6027300000000002</v>
      </c>
      <c r="J679" s="4" t="s">
        <v>44</v>
      </c>
      <c r="L679" s="4" t="s">
        <v>42</v>
      </c>
      <c r="M679" s="4" t="s">
        <v>118</v>
      </c>
      <c r="N679" s="4" t="s">
        <v>17</v>
      </c>
    </row>
    <row r="680" spans="1:15" x14ac:dyDescent="0.25">
      <c r="A680">
        <f t="shared" si="44"/>
        <v>116324</v>
      </c>
      <c r="B680" t="s">
        <v>233</v>
      </c>
      <c r="C680" s="9">
        <v>43003</v>
      </c>
      <c r="D680" s="13">
        <f t="shared" si="41"/>
        <v>2017</v>
      </c>
      <c r="E680" s="13">
        <f t="shared" si="42"/>
        <v>9</v>
      </c>
      <c r="F680" s="13">
        <f t="shared" si="43"/>
        <v>25</v>
      </c>
      <c r="G680" s="4" t="s">
        <v>14</v>
      </c>
      <c r="H680">
        <v>46.992800000000003</v>
      </c>
      <c r="I680">
        <v>6.6971999999999996</v>
      </c>
      <c r="J680" s="4" t="s">
        <v>15</v>
      </c>
      <c r="L680" s="4" t="s">
        <v>1</v>
      </c>
      <c r="N680" s="4" t="s">
        <v>17</v>
      </c>
      <c r="O680" s="4" t="s">
        <v>29</v>
      </c>
    </row>
    <row r="681" spans="1:15" x14ac:dyDescent="0.25">
      <c r="A681">
        <f t="shared" si="44"/>
        <v>116325</v>
      </c>
      <c r="B681" t="s">
        <v>234</v>
      </c>
      <c r="C681" s="9">
        <v>43006</v>
      </c>
      <c r="D681" s="13">
        <f t="shared" si="41"/>
        <v>2017</v>
      </c>
      <c r="E681" s="13">
        <f t="shared" si="42"/>
        <v>9</v>
      </c>
      <c r="F681" s="13">
        <f t="shared" si="43"/>
        <v>28</v>
      </c>
      <c r="G681" s="4" t="s">
        <v>14</v>
      </c>
      <c r="H681">
        <v>46.868699999999997</v>
      </c>
      <c r="I681">
        <v>6.5781999999999998</v>
      </c>
      <c r="J681" s="4" t="s">
        <v>15</v>
      </c>
      <c r="L681" s="4" t="s">
        <v>42</v>
      </c>
      <c r="M681" s="4" t="s">
        <v>118</v>
      </c>
      <c r="N681" s="4" t="s">
        <v>16</v>
      </c>
      <c r="O681" s="4" t="s">
        <v>184</v>
      </c>
    </row>
    <row r="682" spans="1:15" x14ac:dyDescent="0.25">
      <c r="A682">
        <f t="shared" si="44"/>
        <v>116325</v>
      </c>
      <c r="B682" t="s">
        <v>234</v>
      </c>
      <c r="C682" s="9">
        <v>43024</v>
      </c>
      <c r="D682" s="13">
        <f t="shared" si="41"/>
        <v>2017</v>
      </c>
      <c r="E682" s="13">
        <f t="shared" si="42"/>
        <v>10</v>
      </c>
      <c r="F682" s="13">
        <f t="shared" si="43"/>
        <v>16</v>
      </c>
      <c r="G682" s="4" t="s">
        <v>14</v>
      </c>
      <c r="H682">
        <v>46.878540000000001</v>
      </c>
      <c r="I682">
        <v>6.6082000000000001</v>
      </c>
      <c r="J682" s="4" t="s">
        <v>44</v>
      </c>
      <c r="L682" s="4" t="s">
        <v>42</v>
      </c>
      <c r="M682" s="4" t="s">
        <v>118</v>
      </c>
      <c r="N682" s="4" t="s">
        <v>16</v>
      </c>
    </row>
    <row r="683" spans="1:15" x14ac:dyDescent="0.25">
      <c r="A683">
        <f t="shared" si="44"/>
        <v>116325</v>
      </c>
      <c r="B683" t="s">
        <v>234</v>
      </c>
      <c r="C683" s="9">
        <v>43058</v>
      </c>
      <c r="D683" s="13">
        <f t="shared" si="41"/>
        <v>2017</v>
      </c>
      <c r="E683" s="13">
        <f t="shared" si="42"/>
        <v>11</v>
      </c>
      <c r="F683" s="13">
        <f t="shared" si="43"/>
        <v>19</v>
      </c>
      <c r="G683" s="4" t="s">
        <v>48</v>
      </c>
      <c r="H683">
        <v>41.878799999999998</v>
      </c>
      <c r="I683">
        <v>-2.9757099999999999</v>
      </c>
      <c r="J683" s="4" t="s">
        <v>44</v>
      </c>
      <c r="L683" s="4" t="s">
        <v>42</v>
      </c>
      <c r="M683" s="4" t="s">
        <v>118</v>
      </c>
      <c r="N683" s="4" t="s">
        <v>16</v>
      </c>
    </row>
    <row r="684" spans="1:15" x14ac:dyDescent="0.25">
      <c r="A684">
        <f t="shared" si="44"/>
        <v>116325</v>
      </c>
      <c r="B684" t="s">
        <v>234</v>
      </c>
      <c r="C684" s="9">
        <v>43083</v>
      </c>
      <c r="D684" s="13">
        <f t="shared" si="41"/>
        <v>2017</v>
      </c>
      <c r="E684" s="13">
        <f t="shared" si="42"/>
        <v>12</v>
      </c>
      <c r="F684" s="13">
        <f t="shared" si="43"/>
        <v>14</v>
      </c>
      <c r="G684" s="4" t="s">
        <v>48</v>
      </c>
      <c r="H684">
        <v>41.874549999999999</v>
      </c>
      <c r="I684">
        <v>-2.9793500000000002</v>
      </c>
      <c r="J684" s="4" t="s">
        <v>44</v>
      </c>
      <c r="L684" s="4" t="s">
        <v>42</v>
      </c>
      <c r="M684" s="4" t="s">
        <v>118</v>
      </c>
      <c r="N684" s="4" t="s">
        <v>16</v>
      </c>
    </row>
    <row r="685" spans="1:15" x14ac:dyDescent="0.25">
      <c r="A685">
        <f t="shared" si="44"/>
        <v>116325</v>
      </c>
      <c r="B685" t="s">
        <v>234</v>
      </c>
      <c r="C685" s="9">
        <v>43116</v>
      </c>
      <c r="D685" s="13">
        <f t="shared" si="41"/>
        <v>2018</v>
      </c>
      <c r="E685" s="13">
        <f t="shared" si="42"/>
        <v>1</v>
      </c>
      <c r="F685" s="13">
        <f t="shared" si="43"/>
        <v>16</v>
      </c>
      <c r="G685" s="4" t="s">
        <v>48</v>
      </c>
      <c r="H685">
        <v>41.863880000000002</v>
      </c>
      <c r="I685">
        <v>-2.9623599999999999</v>
      </c>
      <c r="J685" s="4" t="s">
        <v>44</v>
      </c>
      <c r="L685" s="4" t="s">
        <v>42</v>
      </c>
      <c r="M685" s="4" t="s">
        <v>118</v>
      </c>
      <c r="N685" s="4" t="s">
        <v>16</v>
      </c>
    </row>
    <row r="686" spans="1:15" x14ac:dyDescent="0.25">
      <c r="A686">
        <f t="shared" si="44"/>
        <v>116325</v>
      </c>
      <c r="B686" t="s">
        <v>234</v>
      </c>
      <c r="C686" s="9">
        <v>43144</v>
      </c>
      <c r="D686" s="13">
        <f t="shared" si="41"/>
        <v>2018</v>
      </c>
      <c r="E686" s="13">
        <f t="shared" si="42"/>
        <v>2</v>
      </c>
      <c r="F686" s="13">
        <f t="shared" si="43"/>
        <v>13</v>
      </c>
      <c r="G686" s="4" t="s">
        <v>48</v>
      </c>
      <c r="H686">
        <v>41.868989999999997</v>
      </c>
      <c r="I686">
        <v>-3.0128599999999999</v>
      </c>
      <c r="J686" s="4" t="s">
        <v>44</v>
      </c>
      <c r="L686" s="4" t="s">
        <v>42</v>
      </c>
      <c r="M686" s="4" t="s">
        <v>118</v>
      </c>
      <c r="N686" s="4" t="s">
        <v>17</v>
      </c>
    </row>
    <row r="687" spans="1:15" x14ac:dyDescent="0.25">
      <c r="A687">
        <f t="shared" si="44"/>
        <v>116326</v>
      </c>
      <c r="B687" t="s">
        <v>235</v>
      </c>
      <c r="C687" s="9">
        <v>43011</v>
      </c>
      <c r="D687" s="13">
        <f t="shared" si="41"/>
        <v>2017</v>
      </c>
      <c r="E687" s="13">
        <f t="shared" si="42"/>
        <v>10</v>
      </c>
      <c r="F687" s="13">
        <f t="shared" si="43"/>
        <v>3</v>
      </c>
      <c r="G687" s="4" t="s">
        <v>14</v>
      </c>
      <c r="H687">
        <v>46.854900000000001</v>
      </c>
      <c r="I687">
        <v>6.5456000000000003</v>
      </c>
      <c r="J687" s="4" t="s">
        <v>15</v>
      </c>
      <c r="L687" s="4" t="s">
        <v>42</v>
      </c>
      <c r="M687" s="4" t="s">
        <v>118</v>
      </c>
      <c r="N687" s="4" t="s">
        <v>17</v>
      </c>
      <c r="O687" s="4" t="s">
        <v>29</v>
      </c>
    </row>
    <row r="688" spans="1:15" x14ac:dyDescent="0.25">
      <c r="A688">
        <f t="shared" si="44"/>
        <v>116327</v>
      </c>
      <c r="B688" t="s">
        <v>236</v>
      </c>
      <c r="C688" s="9">
        <v>43013</v>
      </c>
      <c r="D688" s="13">
        <f t="shared" si="41"/>
        <v>2017</v>
      </c>
      <c r="E688" s="13">
        <f t="shared" si="42"/>
        <v>10</v>
      </c>
      <c r="F688" s="13">
        <f t="shared" si="43"/>
        <v>5</v>
      </c>
      <c r="G688" s="4" t="s">
        <v>14</v>
      </c>
      <c r="H688">
        <v>46.992800000000003</v>
      </c>
      <c r="I688">
        <v>6.6971999999999996</v>
      </c>
      <c r="J688" s="4" t="s">
        <v>15</v>
      </c>
      <c r="L688" s="4" t="s">
        <v>42</v>
      </c>
      <c r="M688" s="4" t="s">
        <v>118</v>
      </c>
      <c r="N688" s="4" t="s">
        <v>17</v>
      </c>
      <c r="O688" s="4" t="s">
        <v>29</v>
      </c>
    </row>
    <row r="689" spans="1:15" x14ac:dyDescent="0.25">
      <c r="A689">
        <f t="shared" si="44"/>
        <v>116328</v>
      </c>
      <c r="B689" t="s">
        <v>237</v>
      </c>
      <c r="C689" s="9">
        <v>43014</v>
      </c>
      <c r="D689" s="13">
        <f t="shared" si="41"/>
        <v>2017</v>
      </c>
      <c r="E689" s="13">
        <f t="shared" si="42"/>
        <v>10</v>
      </c>
      <c r="F689" s="13">
        <f t="shared" si="43"/>
        <v>6</v>
      </c>
      <c r="G689" s="4" t="s">
        <v>14</v>
      </c>
      <c r="H689">
        <v>46.929699999999997</v>
      </c>
      <c r="I689">
        <v>6.4603000000000002</v>
      </c>
      <c r="J689" s="4" t="s">
        <v>15</v>
      </c>
      <c r="L689" s="4" t="s">
        <v>42</v>
      </c>
      <c r="M689" s="4" t="s">
        <v>43</v>
      </c>
      <c r="N689" s="4" t="s">
        <v>16</v>
      </c>
      <c r="O689" s="4" t="s">
        <v>29</v>
      </c>
    </row>
    <row r="690" spans="1:15" x14ac:dyDescent="0.25">
      <c r="A690">
        <f t="shared" si="44"/>
        <v>116328</v>
      </c>
      <c r="B690" t="s">
        <v>237</v>
      </c>
      <c r="C690" s="9">
        <v>43024</v>
      </c>
      <c r="D690" s="13">
        <f t="shared" si="41"/>
        <v>2017</v>
      </c>
      <c r="E690" s="13">
        <f t="shared" si="42"/>
        <v>10</v>
      </c>
      <c r="F690" s="13">
        <f t="shared" si="43"/>
        <v>16</v>
      </c>
      <c r="G690" s="4" t="s">
        <v>14</v>
      </c>
      <c r="H690">
        <v>46.916699999999999</v>
      </c>
      <c r="I690">
        <v>6.4667000000000003</v>
      </c>
      <c r="J690" s="4" t="s">
        <v>21</v>
      </c>
      <c r="K690" s="12" t="s">
        <v>22</v>
      </c>
      <c r="L690" s="12" t="s">
        <v>42</v>
      </c>
      <c r="M690" s="12" t="s">
        <v>43</v>
      </c>
      <c r="N690" s="4" t="s">
        <v>17</v>
      </c>
    </row>
    <row r="691" spans="1:15" x14ac:dyDescent="0.25">
      <c r="A691">
        <f t="shared" si="44"/>
        <v>116329</v>
      </c>
      <c r="B691" t="s">
        <v>238</v>
      </c>
      <c r="C691" s="9">
        <v>43014</v>
      </c>
      <c r="D691" s="13">
        <f t="shared" si="41"/>
        <v>2017</v>
      </c>
      <c r="E691" s="13">
        <f t="shared" si="42"/>
        <v>10</v>
      </c>
      <c r="F691" s="13">
        <f t="shared" si="43"/>
        <v>6</v>
      </c>
      <c r="G691" s="4" t="s">
        <v>14</v>
      </c>
      <c r="H691">
        <v>46.929699999999997</v>
      </c>
      <c r="I691">
        <v>6.4603000000000002</v>
      </c>
      <c r="J691" s="4" t="s">
        <v>15</v>
      </c>
      <c r="L691" s="4" t="s">
        <v>42</v>
      </c>
      <c r="M691" s="4" t="s">
        <v>43</v>
      </c>
      <c r="N691" s="4" t="s">
        <v>16</v>
      </c>
      <c r="O691" s="4" t="s">
        <v>29</v>
      </c>
    </row>
    <row r="692" spans="1:15" x14ac:dyDescent="0.25">
      <c r="A692">
        <f t="shared" si="44"/>
        <v>116329</v>
      </c>
      <c r="B692" t="s">
        <v>238</v>
      </c>
      <c r="C692" s="9">
        <v>43038</v>
      </c>
      <c r="D692" s="13">
        <f t="shared" si="41"/>
        <v>2017</v>
      </c>
      <c r="E692" s="13">
        <f t="shared" si="42"/>
        <v>10</v>
      </c>
      <c r="F692" s="13">
        <f t="shared" si="43"/>
        <v>30</v>
      </c>
      <c r="G692" s="4" t="s">
        <v>14</v>
      </c>
      <c r="H692">
        <v>47.008024010555623</v>
      </c>
      <c r="I692">
        <v>6.4266460062630486</v>
      </c>
      <c r="J692" s="4" t="s">
        <v>44</v>
      </c>
      <c r="L692" s="4" t="s">
        <v>42</v>
      </c>
      <c r="M692" s="4" t="s">
        <v>43</v>
      </c>
      <c r="N692" s="4" t="s">
        <v>17</v>
      </c>
    </row>
    <row r="693" spans="1:15" x14ac:dyDescent="0.25">
      <c r="A693">
        <f t="shared" si="44"/>
        <v>116330</v>
      </c>
      <c r="B693" t="s">
        <v>239</v>
      </c>
      <c r="C693" s="9">
        <v>43024</v>
      </c>
      <c r="D693" s="13">
        <f t="shared" si="41"/>
        <v>2017</v>
      </c>
      <c r="E693" s="13">
        <f t="shared" si="42"/>
        <v>10</v>
      </c>
      <c r="F693" s="13">
        <f t="shared" si="43"/>
        <v>16</v>
      </c>
      <c r="G693" s="4" t="s">
        <v>14</v>
      </c>
      <c r="H693">
        <v>46.929699999999997</v>
      </c>
      <c r="I693">
        <v>6.4603000000000002</v>
      </c>
      <c r="J693" s="4" t="s">
        <v>15</v>
      </c>
      <c r="L693" s="4" t="s">
        <v>42</v>
      </c>
      <c r="M693" s="4" t="s">
        <v>43</v>
      </c>
      <c r="N693" s="4" t="s">
        <v>16</v>
      </c>
      <c r="O693" s="4" t="s">
        <v>29</v>
      </c>
    </row>
    <row r="694" spans="1:15" x14ac:dyDescent="0.25">
      <c r="A694">
        <f t="shared" si="44"/>
        <v>116330</v>
      </c>
      <c r="B694" t="s">
        <v>239</v>
      </c>
      <c r="C694" s="9">
        <v>43049</v>
      </c>
      <c r="D694" s="13">
        <f t="shared" si="41"/>
        <v>2017</v>
      </c>
      <c r="E694" s="13">
        <f t="shared" si="42"/>
        <v>11</v>
      </c>
      <c r="F694" s="13">
        <f t="shared" si="43"/>
        <v>10</v>
      </c>
      <c r="G694" s="4" t="s">
        <v>14</v>
      </c>
      <c r="H694">
        <v>46.92870401051497</v>
      </c>
      <c r="I694">
        <v>6.4687230063267034</v>
      </c>
      <c r="J694" s="4" t="s">
        <v>44</v>
      </c>
      <c r="L694" s="4" t="s">
        <v>42</v>
      </c>
      <c r="M694" s="4" t="s">
        <v>43</v>
      </c>
      <c r="N694" s="4" t="s">
        <v>16</v>
      </c>
    </row>
    <row r="695" spans="1:15" x14ac:dyDescent="0.25">
      <c r="A695">
        <f t="shared" si="44"/>
        <v>116330</v>
      </c>
      <c r="B695" t="s">
        <v>239</v>
      </c>
      <c r="C695" s="9">
        <v>43121</v>
      </c>
      <c r="D695" s="13">
        <f t="shared" si="41"/>
        <v>2018</v>
      </c>
      <c r="E695" s="13">
        <f t="shared" si="42"/>
        <v>1</v>
      </c>
      <c r="F695" s="13">
        <f t="shared" si="43"/>
        <v>21</v>
      </c>
      <c r="G695" s="4" t="s">
        <v>31</v>
      </c>
      <c r="H695">
        <v>45.5</v>
      </c>
      <c r="I695">
        <v>1.2</v>
      </c>
      <c r="J695" s="4" t="s">
        <v>21</v>
      </c>
      <c r="K695" s="12" t="s">
        <v>22</v>
      </c>
      <c r="L695" s="12" t="s">
        <v>42</v>
      </c>
      <c r="M695" s="12" t="s">
        <v>43</v>
      </c>
      <c r="N695" s="4" t="s">
        <v>17</v>
      </c>
    </row>
    <row r="696" spans="1:15" x14ac:dyDescent="0.25">
      <c r="A696">
        <f t="shared" si="44"/>
        <v>116331</v>
      </c>
      <c r="B696" t="s">
        <v>240</v>
      </c>
      <c r="C696" s="9">
        <v>43025</v>
      </c>
      <c r="D696" s="13">
        <f t="shared" si="41"/>
        <v>2017</v>
      </c>
      <c r="E696" s="13">
        <f t="shared" si="42"/>
        <v>10</v>
      </c>
      <c r="F696" s="13">
        <f t="shared" si="43"/>
        <v>17</v>
      </c>
      <c r="G696" s="4" t="s">
        <v>14</v>
      </c>
      <c r="H696">
        <v>46.854900000000001</v>
      </c>
      <c r="I696">
        <v>6.5456000000000003</v>
      </c>
      <c r="J696" s="4" t="s">
        <v>15</v>
      </c>
      <c r="L696" s="4" t="s">
        <v>42</v>
      </c>
      <c r="M696" s="4" t="s">
        <v>43</v>
      </c>
      <c r="N696" s="4" t="s">
        <v>16</v>
      </c>
      <c r="O696" s="4" t="s">
        <v>29</v>
      </c>
    </row>
    <row r="697" spans="1:15" x14ac:dyDescent="0.25">
      <c r="A697">
        <f t="shared" si="44"/>
        <v>116331</v>
      </c>
      <c r="B697" t="s">
        <v>240</v>
      </c>
      <c r="C697" s="9">
        <v>43039</v>
      </c>
      <c r="D697" s="13">
        <f t="shared" si="41"/>
        <v>2017</v>
      </c>
      <c r="E697" s="13">
        <f t="shared" si="42"/>
        <v>10</v>
      </c>
      <c r="F697" s="13">
        <f t="shared" si="43"/>
        <v>31</v>
      </c>
      <c r="G697" s="4" t="s">
        <v>14</v>
      </c>
      <c r="H697">
        <v>46.851260010465388</v>
      </c>
      <c r="I697">
        <v>6.552640006436949</v>
      </c>
      <c r="J697" s="4" t="s">
        <v>44</v>
      </c>
      <c r="L697" s="4" t="s">
        <v>42</v>
      </c>
      <c r="M697" s="4" t="s">
        <v>43</v>
      </c>
      <c r="N697" s="4" t="s">
        <v>17</v>
      </c>
    </row>
    <row r="698" spans="1:15" x14ac:dyDescent="0.25">
      <c r="A698">
        <f t="shared" si="44"/>
        <v>116332</v>
      </c>
      <c r="B698" t="s">
        <v>241</v>
      </c>
      <c r="C698" s="9">
        <v>43026</v>
      </c>
      <c r="D698" s="13">
        <f t="shared" si="41"/>
        <v>2017</v>
      </c>
      <c r="E698" s="13">
        <f t="shared" si="42"/>
        <v>10</v>
      </c>
      <c r="F698" s="13">
        <f t="shared" si="43"/>
        <v>18</v>
      </c>
      <c r="G698" s="4" t="s">
        <v>14</v>
      </c>
      <c r="H698">
        <v>46.854900000000001</v>
      </c>
      <c r="I698">
        <v>6.5456000000000003</v>
      </c>
      <c r="J698" s="4" t="s">
        <v>15</v>
      </c>
      <c r="L698" s="4" t="s">
        <v>1</v>
      </c>
      <c r="N698" s="4" t="s">
        <v>16</v>
      </c>
      <c r="O698" s="4" t="s">
        <v>29</v>
      </c>
    </row>
    <row r="699" spans="1:15" x14ac:dyDescent="0.25">
      <c r="A699">
        <f t="shared" si="44"/>
        <v>116332</v>
      </c>
      <c r="B699" t="s">
        <v>241</v>
      </c>
      <c r="C699" s="9">
        <v>43044</v>
      </c>
      <c r="D699" s="13">
        <f t="shared" si="41"/>
        <v>2017</v>
      </c>
      <c r="E699" s="13">
        <f t="shared" si="42"/>
        <v>11</v>
      </c>
      <c r="F699" s="13">
        <f t="shared" si="43"/>
        <v>5</v>
      </c>
      <c r="G699" s="4" t="s">
        <v>31</v>
      </c>
      <c r="H699">
        <v>45.65</v>
      </c>
      <c r="I699">
        <v>1.9333</v>
      </c>
      <c r="J699" s="4" t="s">
        <v>21</v>
      </c>
      <c r="K699" s="4" t="s">
        <v>22</v>
      </c>
      <c r="L699" s="4" t="s">
        <v>1</v>
      </c>
      <c r="N699" s="4" t="s">
        <v>17</v>
      </c>
    </row>
    <row r="700" spans="1:15" x14ac:dyDescent="0.25">
      <c r="A700">
        <f t="shared" si="44"/>
        <v>116333</v>
      </c>
      <c r="B700" t="s">
        <v>242</v>
      </c>
      <c r="C700" s="9">
        <v>43026</v>
      </c>
      <c r="D700" s="13">
        <f t="shared" si="41"/>
        <v>2017</v>
      </c>
      <c r="E700" s="13">
        <f t="shared" si="42"/>
        <v>10</v>
      </c>
      <c r="F700" s="13">
        <f t="shared" si="43"/>
        <v>18</v>
      </c>
      <c r="G700" s="4" t="s">
        <v>14</v>
      </c>
      <c r="H700">
        <v>46.868699999999997</v>
      </c>
      <c r="I700">
        <v>6.5781999999999998</v>
      </c>
      <c r="J700" s="4" t="s">
        <v>15</v>
      </c>
      <c r="L700" s="4" t="s">
        <v>1</v>
      </c>
      <c r="N700" s="4" t="s">
        <v>17</v>
      </c>
      <c r="O700" s="4" t="s">
        <v>184</v>
      </c>
    </row>
    <row r="701" spans="1:15" x14ac:dyDescent="0.25">
      <c r="A701">
        <f t="shared" si="44"/>
        <v>116334</v>
      </c>
      <c r="B701" t="s">
        <v>243</v>
      </c>
      <c r="C701" s="9">
        <v>43027</v>
      </c>
      <c r="D701" s="13">
        <f t="shared" si="41"/>
        <v>2017</v>
      </c>
      <c r="E701" s="13">
        <f t="shared" si="42"/>
        <v>10</v>
      </c>
      <c r="F701" s="13">
        <f t="shared" si="43"/>
        <v>19</v>
      </c>
      <c r="G701" s="4" t="s">
        <v>14</v>
      </c>
      <c r="H701">
        <v>46.868699999999997</v>
      </c>
      <c r="I701">
        <v>6.5781999999999998</v>
      </c>
      <c r="J701" s="4" t="s">
        <v>15</v>
      </c>
      <c r="L701" s="4" t="s">
        <v>1</v>
      </c>
      <c r="N701" s="4" t="s">
        <v>17</v>
      </c>
      <c r="O701" s="4" t="s">
        <v>184</v>
      </c>
    </row>
    <row r="702" spans="1:15" x14ac:dyDescent="0.25">
      <c r="A702">
        <f t="shared" si="44"/>
        <v>116335</v>
      </c>
      <c r="B702" t="s">
        <v>244</v>
      </c>
      <c r="C702" s="9">
        <v>43027</v>
      </c>
      <c r="D702" s="13">
        <f t="shared" si="41"/>
        <v>2017</v>
      </c>
      <c r="E702" s="13">
        <f t="shared" si="42"/>
        <v>10</v>
      </c>
      <c r="F702" s="13">
        <f t="shared" si="43"/>
        <v>19</v>
      </c>
      <c r="G702" s="4" t="s">
        <v>14</v>
      </c>
      <c r="H702">
        <v>46.868699999999997</v>
      </c>
      <c r="I702">
        <v>6.5781999999999998</v>
      </c>
      <c r="J702" s="4" t="s">
        <v>15</v>
      </c>
      <c r="L702" s="4" t="s">
        <v>1</v>
      </c>
      <c r="N702" s="4" t="s">
        <v>16</v>
      </c>
      <c r="O702" s="4" t="s">
        <v>29</v>
      </c>
    </row>
    <row r="703" spans="1:15" x14ac:dyDescent="0.25">
      <c r="A703">
        <f t="shared" si="44"/>
        <v>116335</v>
      </c>
      <c r="B703" t="s">
        <v>244</v>
      </c>
      <c r="C703" s="9">
        <v>43033</v>
      </c>
      <c r="D703" s="13">
        <f t="shared" si="41"/>
        <v>2017</v>
      </c>
      <c r="E703" s="13">
        <f t="shared" si="42"/>
        <v>10</v>
      </c>
      <c r="F703" s="13">
        <f t="shared" si="43"/>
        <v>25</v>
      </c>
      <c r="G703" s="4" t="s">
        <v>20</v>
      </c>
      <c r="H703">
        <v>46.9</v>
      </c>
      <c r="I703">
        <v>6.3666999999999998</v>
      </c>
      <c r="J703" s="4" t="s">
        <v>21</v>
      </c>
      <c r="K703" s="4" t="s">
        <v>22</v>
      </c>
      <c r="L703" s="4" t="s">
        <v>1</v>
      </c>
      <c r="N703" s="4" t="s">
        <v>17</v>
      </c>
    </row>
    <row r="704" spans="1:15" x14ac:dyDescent="0.25">
      <c r="A704">
        <f t="shared" si="44"/>
        <v>116336</v>
      </c>
      <c r="B704" t="s">
        <v>245</v>
      </c>
      <c r="C704" s="9">
        <v>43028</v>
      </c>
      <c r="D704" s="13">
        <f t="shared" si="41"/>
        <v>2017</v>
      </c>
      <c r="E704" s="13">
        <f t="shared" si="42"/>
        <v>10</v>
      </c>
      <c r="F704" s="13">
        <f t="shared" si="43"/>
        <v>20</v>
      </c>
      <c r="G704" s="4" t="s">
        <v>14</v>
      </c>
      <c r="H704">
        <v>46.934399999999997</v>
      </c>
      <c r="I704">
        <v>6.5835999999999997</v>
      </c>
      <c r="J704" s="4" t="s">
        <v>15</v>
      </c>
      <c r="L704" s="4" t="s">
        <v>1</v>
      </c>
      <c r="N704" s="4" t="s">
        <v>17</v>
      </c>
      <c r="O704" s="4" t="s">
        <v>29</v>
      </c>
    </row>
    <row r="705" spans="1:15" x14ac:dyDescent="0.25">
      <c r="A705">
        <f t="shared" si="44"/>
        <v>116337</v>
      </c>
      <c r="B705" t="s">
        <v>246</v>
      </c>
      <c r="C705" s="9">
        <v>43028</v>
      </c>
      <c r="D705" s="13">
        <f t="shared" si="41"/>
        <v>2017</v>
      </c>
      <c r="E705" s="13">
        <f t="shared" si="42"/>
        <v>10</v>
      </c>
      <c r="F705" s="13">
        <f t="shared" si="43"/>
        <v>20</v>
      </c>
      <c r="G705" s="4" t="s">
        <v>14</v>
      </c>
      <c r="H705">
        <v>46.934399999999997</v>
      </c>
      <c r="I705">
        <v>6.5835999999999997</v>
      </c>
      <c r="J705" s="4" t="s">
        <v>15</v>
      </c>
      <c r="L705" s="4" t="s">
        <v>1</v>
      </c>
      <c r="N705" s="4" t="s">
        <v>17</v>
      </c>
      <c r="O705" s="4" t="s">
        <v>27</v>
      </c>
    </row>
    <row r="706" spans="1:15" x14ac:dyDescent="0.25">
      <c r="A706">
        <f t="shared" si="44"/>
        <v>116338</v>
      </c>
      <c r="B706" t="s">
        <v>247</v>
      </c>
      <c r="C706" s="9">
        <v>43028</v>
      </c>
      <c r="D706" s="13">
        <f t="shared" si="41"/>
        <v>2017</v>
      </c>
      <c r="E706" s="13">
        <f t="shared" si="42"/>
        <v>10</v>
      </c>
      <c r="F706" s="13">
        <f t="shared" si="43"/>
        <v>20</v>
      </c>
      <c r="G706" s="4" t="s">
        <v>14</v>
      </c>
      <c r="H706">
        <v>46.979100000000003</v>
      </c>
      <c r="I706">
        <v>6.6723999999999997</v>
      </c>
      <c r="J706" s="4" t="s">
        <v>15</v>
      </c>
      <c r="L706" s="4" t="s">
        <v>1</v>
      </c>
      <c r="N706" s="4" t="s">
        <v>16</v>
      </c>
      <c r="O706" s="4" t="s">
        <v>184</v>
      </c>
    </row>
    <row r="707" spans="1:15" x14ac:dyDescent="0.25">
      <c r="A707">
        <f t="shared" si="44"/>
        <v>116338</v>
      </c>
      <c r="B707" t="s">
        <v>247</v>
      </c>
      <c r="C707" s="9">
        <v>43062</v>
      </c>
      <c r="D707" s="13">
        <f t="shared" ref="D707:D770" si="45">YEAR(C707)</f>
        <v>2017</v>
      </c>
      <c r="E707" s="13">
        <f t="shared" ref="E707:E770" si="46">MONTH(C707)</f>
        <v>11</v>
      </c>
      <c r="F707" s="13">
        <f t="shared" ref="F707:F770" si="47">DAY(C707)</f>
        <v>23</v>
      </c>
      <c r="G707" s="4" t="s">
        <v>48</v>
      </c>
      <c r="H707">
        <v>42.2333</v>
      </c>
      <c r="I707">
        <v>2.6</v>
      </c>
      <c r="J707" s="4" t="s">
        <v>21</v>
      </c>
      <c r="K707" s="4" t="s">
        <v>22</v>
      </c>
      <c r="L707" s="4" t="s">
        <v>1</v>
      </c>
      <c r="N707" s="4" t="s">
        <v>17</v>
      </c>
    </row>
    <row r="708" spans="1:15" x14ac:dyDescent="0.25">
      <c r="A708">
        <f t="shared" si="44"/>
        <v>116339</v>
      </c>
      <c r="B708" t="s">
        <v>248</v>
      </c>
      <c r="C708" s="9">
        <v>43028</v>
      </c>
      <c r="D708" s="13">
        <f t="shared" si="45"/>
        <v>2017</v>
      </c>
      <c r="E708" s="13">
        <f t="shared" si="46"/>
        <v>10</v>
      </c>
      <c r="F708" s="13">
        <f t="shared" si="47"/>
        <v>20</v>
      </c>
      <c r="G708" s="4" t="s">
        <v>14</v>
      </c>
      <c r="H708">
        <v>46.903599999999997</v>
      </c>
      <c r="I708">
        <v>6.6722000000000001</v>
      </c>
      <c r="J708" s="4" t="s">
        <v>15</v>
      </c>
      <c r="L708" s="4" t="s">
        <v>1</v>
      </c>
      <c r="N708" s="4" t="s">
        <v>17</v>
      </c>
      <c r="O708" s="4" t="s">
        <v>184</v>
      </c>
    </row>
    <row r="709" spans="1:15" x14ac:dyDescent="0.25">
      <c r="A709">
        <f t="shared" si="44"/>
        <v>116340</v>
      </c>
      <c r="B709" t="s">
        <v>249</v>
      </c>
      <c r="C709" s="9">
        <v>43028</v>
      </c>
      <c r="D709" s="13">
        <f t="shared" si="45"/>
        <v>2017</v>
      </c>
      <c r="E709" s="13">
        <f t="shared" si="46"/>
        <v>10</v>
      </c>
      <c r="F709" s="13">
        <f t="shared" si="47"/>
        <v>20</v>
      </c>
      <c r="G709" s="4" t="s">
        <v>14</v>
      </c>
      <c r="H709">
        <v>46.903599999999997</v>
      </c>
      <c r="I709">
        <v>6.6722000000000001</v>
      </c>
      <c r="J709" s="4" t="s">
        <v>15</v>
      </c>
      <c r="L709" s="4" t="s">
        <v>1</v>
      </c>
      <c r="N709" s="4" t="s">
        <v>17</v>
      </c>
      <c r="O709" s="4" t="s">
        <v>19</v>
      </c>
    </row>
    <row r="710" spans="1:15" x14ac:dyDescent="0.25">
      <c r="A710">
        <f t="shared" si="44"/>
        <v>116341</v>
      </c>
      <c r="B710" t="s">
        <v>250</v>
      </c>
      <c r="C710" s="9">
        <v>43028</v>
      </c>
      <c r="D710" s="13">
        <f t="shared" si="45"/>
        <v>2017</v>
      </c>
      <c r="E710" s="13">
        <f t="shared" si="46"/>
        <v>10</v>
      </c>
      <c r="F710" s="13">
        <f t="shared" si="47"/>
        <v>20</v>
      </c>
      <c r="G710" s="4" t="s">
        <v>14</v>
      </c>
      <c r="H710">
        <v>46.903599999999997</v>
      </c>
      <c r="I710">
        <v>6.6722000000000001</v>
      </c>
      <c r="J710" s="4" t="s">
        <v>15</v>
      </c>
      <c r="L710" s="4" t="s">
        <v>42</v>
      </c>
      <c r="M710" s="4" t="s">
        <v>43</v>
      </c>
      <c r="N710" s="4" t="s">
        <v>16</v>
      </c>
      <c r="O710" s="4" t="s">
        <v>19</v>
      </c>
    </row>
    <row r="711" spans="1:15" x14ac:dyDescent="0.25">
      <c r="A711">
        <f t="shared" si="44"/>
        <v>116341</v>
      </c>
      <c r="B711" t="s">
        <v>250</v>
      </c>
      <c r="C711" s="9">
        <v>43032</v>
      </c>
      <c r="D711" s="13">
        <f t="shared" si="45"/>
        <v>2017</v>
      </c>
      <c r="E711" s="13">
        <f t="shared" si="46"/>
        <v>10</v>
      </c>
      <c r="F711" s="13">
        <f t="shared" si="47"/>
        <v>24</v>
      </c>
      <c r="G711" s="4" t="s">
        <v>14</v>
      </c>
      <c r="H711">
        <v>46.919936010468042</v>
      </c>
      <c r="I711">
        <v>6.6741380065584002</v>
      </c>
      <c r="J711" s="4" t="s">
        <v>44</v>
      </c>
      <c r="L711" s="4" t="s">
        <v>42</v>
      </c>
      <c r="M711" s="4" t="s">
        <v>43</v>
      </c>
      <c r="N711" s="4" t="s">
        <v>17</v>
      </c>
    </row>
    <row r="712" spans="1:15" x14ac:dyDescent="0.25">
      <c r="A712">
        <f t="shared" si="44"/>
        <v>116342</v>
      </c>
      <c r="B712" t="s">
        <v>251</v>
      </c>
      <c r="C712" s="9">
        <v>43028</v>
      </c>
      <c r="D712" s="13">
        <f t="shared" si="45"/>
        <v>2017</v>
      </c>
      <c r="E712" s="13">
        <f t="shared" si="46"/>
        <v>10</v>
      </c>
      <c r="F712" s="13">
        <f t="shared" si="47"/>
        <v>20</v>
      </c>
      <c r="G712" s="4" t="s">
        <v>14</v>
      </c>
      <c r="H712">
        <v>46.903599999999997</v>
      </c>
      <c r="I712">
        <v>6.6722000000000001</v>
      </c>
      <c r="J712" s="4" t="s">
        <v>15</v>
      </c>
      <c r="L712" s="4" t="s">
        <v>1</v>
      </c>
      <c r="N712" s="4" t="s">
        <v>16</v>
      </c>
      <c r="O712" s="4" t="s">
        <v>29</v>
      </c>
    </row>
    <row r="713" spans="1:15" x14ac:dyDescent="0.25">
      <c r="A713">
        <f t="shared" si="44"/>
        <v>116342</v>
      </c>
      <c r="B713" t="s">
        <v>251</v>
      </c>
      <c r="C713" s="9">
        <v>43092</v>
      </c>
      <c r="D713" s="13">
        <f t="shared" si="45"/>
        <v>2017</v>
      </c>
      <c r="E713" s="13">
        <f t="shared" si="46"/>
        <v>12</v>
      </c>
      <c r="F713" s="13">
        <f t="shared" si="47"/>
        <v>23</v>
      </c>
      <c r="G713" s="4" t="s">
        <v>20</v>
      </c>
      <c r="H713">
        <v>46.416699999999999</v>
      </c>
      <c r="I713">
        <v>5.4</v>
      </c>
      <c r="J713" s="4" t="s">
        <v>21</v>
      </c>
      <c r="K713" s="4" t="s">
        <v>22</v>
      </c>
      <c r="L713" s="4" t="s">
        <v>1</v>
      </c>
      <c r="N713" s="4" t="s">
        <v>17</v>
      </c>
    </row>
    <row r="714" spans="1:15" x14ac:dyDescent="0.25">
      <c r="A714">
        <f t="shared" si="44"/>
        <v>116343</v>
      </c>
      <c r="B714" t="s">
        <v>252</v>
      </c>
      <c r="C714" s="9">
        <v>43029</v>
      </c>
      <c r="D714" s="13">
        <f t="shared" si="45"/>
        <v>2017</v>
      </c>
      <c r="E714" s="13">
        <f t="shared" si="46"/>
        <v>10</v>
      </c>
      <c r="F714" s="13">
        <f t="shared" si="47"/>
        <v>21</v>
      </c>
      <c r="G714" s="4" t="s">
        <v>14</v>
      </c>
      <c r="H714">
        <v>46.903599999999997</v>
      </c>
      <c r="I714">
        <v>6.6722000000000001</v>
      </c>
      <c r="J714" s="4" t="s">
        <v>15</v>
      </c>
      <c r="L714" s="4" t="s">
        <v>1</v>
      </c>
      <c r="N714" s="4" t="s">
        <v>17</v>
      </c>
      <c r="O714" s="4" t="s">
        <v>27</v>
      </c>
    </row>
    <row r="715" spans="1:15" x14ac:dyDescent="0.25">
      <c r="A715">
        <f t="shared" si="44"/>
        <v>116344</v>
      </c>
      <c r="B715" t="s">
        <v>253</v>
      </c>
      <c r="C715" s="9">
        <v>43029</v>
      </c>
      <c r="D715" s="13">
        <f t="shared" si="45"/>
        <v>2017</v>
      </c>
      <c r="E715" s="13">
        <f t="shared" si="46"/>
        <v>10</v>
      </c>
      <c r="F715" s="13">
        <f t="shared" si="47"/>
        <v>21</v>
      </c>
      <c r="G715" s="4" t="s">
        <v>14</v>
      </c>
      <c r="H715">
        <v>46.903599999999997</v>
      </c>
      <c r="I715">
        <v>6.6722000000000001</v>
      </c>
      <c r="J715" s="4" t="s">
        <v>15</v>
      </c>
      <c r="L715" s="4" t="s">
        <v>1</v>
      </c>
      <c r="N715" s="4" t="s">
        <v>16</v>
      </c>
      <c r="O715" s="4" t="s">
        <v>29</v>
      </c>
    </row>
    <row r="716" spans="1:15" x14ac:dyDescent="0.25">
      <c r="A716">
        <f t="shared" si="44"/>
        <v>116344</v>
      </c>
      <c r="B716" t="s">
        <v>253</v>
      </c>
      <c r="C716" s="9">
        <v>43068</v>
      </c>
      <c r="D716" s="13">
        <f t="shared" si="45"/>
        <v>2017</v>
      </c>
      <c r="E716" s="13">
        <f t="shared" si="46"/>
        <v>11</v>
      </c>
      <c r="F716" s="13">
        <f t="shared" si="47"/>
        <v>29</v>
      </c>
      <c r="G716" s="4" t="s">
        <v>31</v>
      </c>
      <c r="H716">
        <v>45.466700000000003</v>
      </c>
      <c r="I716">
        <v>4.7167000000000003</v>
      </c>
      <c r="J716" s="4" t="s">
        <v>21</v>
      </c>
      <c r="K716" s="4" t="s">
        <v>22</v>
      </c>
      <c r="L716" s="4" t="s">
        <v>1</v>
      </c>
      <c r="N716" s="4" t="s">
        <v>17</v>
      </c>
    </row>
    <row r="717" spans="1:15" x14ac:dyDescent="0.25">
      <c r="A717">
        <f t="shared" si="44"/>
        <v>116345</v>
      </c>
      <c r="B717" t="s">
        <v>254</v>
      </c>
      <c r="C717" s="9">
        <v>43029</v>
      </c>
      <c r="D717" s="13">
        <f t="shared" si="45"/>
        <v>2017</v>
      </c>
      <c r="E717" s="13">
        <f t="shared" si="46"/>
        <v>10</v>
      </c>
      <c r="F717" s="13">
        <f t="shared" si="47"/>
        <v>21</v>
      </c>
      <c r="G717" s="4" t="s">
        <v>14</v>
      </c>
      <c r="H717">
        <v>46.903599999999997</v>
      </c>
      <c r="I717">
        <v>6.6722000000000001</v>
      </c>
      <c r="J717" s="4" t="s">
        <v>15</v>
      </c>
      <c r="L717" s="4" t="s">
        <v>1</v>
      </c>
      <c r="N717" s="4" t="s">
        <v>17</v>
      </c>
      <c r="O717" s="4" t="s">
        <v>184</v>
      </c>
    </row>
    <row r="718" spans="1:15" x14ac:dyDescent="0.25">
      <c r="A718">
        <f t="shared" si="44"/>
        <v>116346</v>
      </c>
      <c r="B718" t="s">
        <v>255</v>
      </c>
      <c r="C718" s="9">
        <v>43029</v>
      </c>
      <c r="D718" s="13">
        <f t="shared" si="45"/>
        <v>2017</v>
      </c>
      <c r="E718" s="13">
        <f t="shared" si="46"/>
        <v>10</v>
      </c>
      <c r="F718" s="13">
        <f t="shared" si="47"/>
        <v>21</v>
      </c>
      <c r="G718" s="4" t="s">
        <v>14</v>
      </c>
      <c r="H718">
        <v>46.992800000000003</v>
      </c>
      <c r="I718">
        <v>6.6971999999999996</v>
      </c>
      <c r="J718" s="4" t="s">
        <v>15</v>
      </c>
      <c r="L718" s="4" t="s">
        <v>1</v>
      </c>
      <c r="N718" s="4" t="s">
        <v>17</v>
      </c>
      <c r="O718" s="4" t="s">
        <v>29</v>
      </c>
    </row>
    <row r="719" spans="1:15" x14ac:dyDescent="0.25">
      <c r="A719">
        <f t="shared" si="44"/>
        <v>116347</v>
      </c>
      <c r="B719" t="s">
        <v>256</v>
      </c>
      <c r="C719" s="9">
        <v>43029</v>
      </c>
      <c r="D719" s="13">
        <f t="shared" si="45"/>
        <v>2017</v>
      </c>
      <c r="E719" s="13">
        <f t="shared" si="46"/>
        <v>10</v>
      </c>
      <c r="F719" s="13">
        <f t="shared" si="47"/>
        <v>21</v>
      </c>
      <c r="G719" s="4" t="s">
        <v>14</v>
      </c>
      <c r="H719">
        <v>46.992800000000003</v>
      </c>
      <c r="I719">
        <v>6.6971999999999996</v>
      </c>
      <c r="J719" s="4" t="s">
        <v>15</v>
      </c>
      <c r="L719" s="4" t="s">
        <v>1</v>
      </c>
      <c r="N719" s="4" t="s">
        <v>17</v>
      </c>
      <c r="O719" s="4" t="s">
        <v>29</v>
      </c>
    </row>
    <row r="720" spans="1:15" x14ac:dyDescent="0.25">
      <c r="A720">
        <f t="shared" ref="A720:A783" si="48">RIGHT(B720,6)*1</f>
        <v>116348</v>
      </c>
      <c r="B720" t="s">
        <v>257</v>
      </c>
      <c r="C720" s="9">
        <v>43029</v>
      </c>
      <c r="D720" s="13">
        <f t="shared" si="45"/>
        <v>2017</v>
      </c>
      <c r="E720" s="13">
        <f t="shared" si="46"/>
        <v>10</v>
      </c>
      <c r="F720" s="13">
        <f t="shared" si="47"/>
        <v>21</v>
      </c>
      <c r="G720" s="4" t="s">
        <v>14</v>
      </c>
      <c r="H720">
        <v>46.992800000000003</v>
      </c>
      <c r="I720">
        <v>6.6971999999999996</v>
      </c>
      <c r="J720" s="4" t="s">
        <v>15</v>
      </c>
      <c r="L720" s="4" t="s">
        <v>1</v>
      </c>
      <c r="N720" s="4" t="s">
        <v>17</v>
      </c>
      <c r="O720" s="4" t="s">
        <v>29</v>
      </c>
    </row>
    <row r="721" spans="1:15" x14ac:dyDescent="0.25">
      <c r="A721">
        <f t="shared" si="48"/>
        <v>116349</v>
      </c>
      <c r="B721" t="s">
        <v>258</v>
      </c>
      <c r="C721" s="9">
        <v>43029</v>
      </c>
      <c r="D721" s="13">
        <f t="shared" si="45"/>
        <v>2017</v>
      </c>
      <c r="E721" s="13">
        <f t="shared" si="46"/>
        <v>10</v>
      </c>
      <c r="F721" s="13">
        <f t="shared" si="47"/>
        <v>21</v>
      </c>
      <c r="G721" s="4" t="s">
        <v>14</v>
      </c>
      <c r="H721">
        <v>46.992800000000003</v>
      </c>
      <c r="I721">
        <v>6.6971999999999996</v>
      </c>
      <c r="J721" s="4" t="s">
        <v>15</v>
      </c>
      <c r="L721" s="4" t="s">
        <v>1</v>
      </c>
      <c r="N721" s="4" t="s">
        <v>17</v>
      </c>
      <c r="O721" s="4" t="s">
        <v>29</v>
      </c>
    </row>
    <row r="722" spans="1:15" x14ac:dyDescent="0.25">
      <c r="A722">
        <f t="shared" si="48"/>
        <v>116350</v>
      </c>
      <c r="B722" t="s">
        <v>259</v>
      </c>
      <c r="C722" s="9">
        <v>43030</v>
      </c>
      <c r="D722" s="13">
        <f t="shared" si="45"/>
        <v>2017</v>
      </c>
      <c r="E722" s="13">
        <f t="shared" si="46"/>
        <v>10</v>
      </c>
      <c r="F722" s="13">
        <f t="shared" si="47"/>
        <v>22</v>
      </c>
      <c r="G722" s="4" t="s">
        <v>14</v>
      </c>
      <c r="H722">
        <v>46.992800000000003</v>
      </c>
      <c r="I722">
        <v>6.6971999999999996</v>
      </c>
      <c r="J722" s="4" t="s">
        <v>15</v>
      </c>
      <c r="L722" s="4" t="s">
        <v>1</v>
      </c>
      <c r="N722" s="4" t="s">
        <v>17</v>
      </c>
      <c r="O722" s="4" t="s">
        <v>184</v>
      </c>
    </row>
    <row r="723" spans="1:15" x14ac:dyDescent="0.25">
      <c r="A723">
        <f t="shared" si="48"/>
        <v>118451</v>
      </c>
      <c r="B723" t="s">
        <v>260</v>
      </c>
      <c r="C723" s="9">
        <v>42666</v>
      </c>
      <c r="D723" s="13">
        <f t="shared" si="45"/>
        <v>2016</v>
      </c>
      <c r="E723" s="13">
        <f t="shared" si="46"/>
        <v>10</v>
      </c>
      <c r="F723" s="13">
        <f t="shared" si="47"/>
        <v>23</v>
      </c>
      <c r="G723" s="4" t="s">
        <v>14</v>
      </c>
      <c r="H723">
        <v>46.929699999999997</v>
      </c>
      <c r="I723">
        <v>6.4603000000000002</v>
      </c>
      <c r="J723" s="4" t="s">
        <v>15</v>
      </c>
      <c r="L723" s="4" t="s">
        <v>1</v>
      </c>
      <c r="N723" s="4" t="s">
        <v>17</v>
      </c>
      <c r="O723" s="4" t="s">
        <v>184</v>
      </c>
    </row>
    <row r="724" spans="1:15" x14ac:dyDescent="0.25">
      <c r="A724">
        <f t="shared" si="48"/>
        <v>118452</v>
      </c>
      <c r="B724" t="s">
        <v>261</v>
      </c>
      <c r="C724" s="9">
        <v>42667</v>
      </c>
      <c r="D724" s="13">
        <f t="shared" si="45"/>
        <v>2016</v>
      </c>
      <c r="E724" s="13">
        <f t="shared" si="46"/>
        <v>10</v>
      </c>
      <c r="F724" s="13">
        <f t="shared" si="47"/>
        <v>24</v>
      </c>
      <c r="G724" s="4" t="s">
        <v>14</v>
      </c>
      <c r="H724">
        <v>46.936900000000001</v>
      </c>
      <c r="I724">
        <v>6.4641999999999999</v>
      </c>
      <c r="J724" s="4" t="s">
        <v>15</v>
      </c>
      <c r="L724" s="4" t="s">
        <v>1</v>
      </c>
      <c r="N724" s="4" t="s">
        <v>16</v>
      </c>
      <c r="O724" s="4" t="s">
        <v>24</v>
      </c>
    </row>
    <row r="725" spans="1:15" x14ac:dyDescent="0.25">
      <c r="A725">
        <f t="shared" si="48"/>
        <v>118452</v>
      </c>
      <c r="B725" t="s">
        <v>261</v>
      </c>
      <c r="C725" s="9">
        <v>42702</v>
      </c>
      <c r="D725" s="13">
        <f t="shared" si="45"/>
        <v>2016</v>
      </c>
      <c r="E725" s="13">
        <f t="shared" si="46"/>
        <v>11</v>
      </c>
      <c r="F725" s="13">
        <f t="shared" si="47"/>
        <v>28</v>
      </c>
      <c r="G725" s="4" t="s">
        <v>14</v>
      </c>
      <c r="H725">
        <v>46.916699999999999</v>
      </c>
      <c r="I725">
        <v>6.4667000000000003</v>
      </c>
      <c r="J725" s="4" t="s">
        <v>21</v>
      </c>
      <c r="K725" s="4" t="s">
        <v>22</v>
      </c>
      <c r="L725" s="4" t="s">
        <v>1</v>
      </c>
      <c r="N725" s="4" t="s">
        <v>17</v>
      </c>
    </row>
    <row r="726" spans="1:15" x14ac:dyDescent="0.25">
      <c r="A726">
        <f t="shared" si="48"/>
        <v>118453</v>
      </c>
      <c r="B726" t="s">
        <v>262</v>
      </c>
      <c r="C726" s="9">
        <v>42668</v>
      </c>
      <c r="D726" s="13">
        <f t="shared" si="45"/>
        <v>2016</v>
      </c>
      <c r="E726" s="13">
        <f t="shared" si="46"/>
        <v>10</v>
      </c>
      <c r="F726" s="13">
        <f t="shared" si="47"/>
        <v>25</v>
      </c>
      <c r="G726" s="4" t="s">
        <v>14</v>
      </c>
      <c r="H726">
        <v>46.903599999999997</v>
      </c>
      <c r="I726">
        <v>6.6722000000000001</v>
      </c>
      <c r="J726" s="4" t="s">
        <v>15</v>
      </c>
      <c r="L726" s="4" t="s">
        <v>1</v>
      </c>
      <c r="N726" s="4" t="s">
        <v>17</v>
      </c>
      <c r="O726" s="4" t="s">
        <v>24</v>
      </c>
    </row>
    <row r="727" spans="1:15" x14ac:dyDescent="0.25">
      <c r="A727">
        <f t="shared" si="48"/>
        <v>118454</v>
      </c>
      <c r="B727" t="s">
        <v>263</v>
      </c>
      <c r="C727" s="9">
        <v>42669</v>
      </c>
      <c r="D727" s="13">
        <f t="shared" si="45"/>
        <v>2016</v>
      </c>
      <c r="E727" s="13">
        <f t="shared" si="46"/>
        <v>10</v>
      </c>
      <c r="F727" s="13">
        <f t="shared" si="47"/>
        <v>26</v>
      </c>
      <c r="G727" s="4" t="s">
        <v>14</v>
      </c>
      <c r="H727">
        <v>46.992800000000003</v>
      </c>
      <c r="I727">
        <v>6.6971999999999996</v>
      </c>
      <c r="J727" s="4" t="s">
        <v>15</v>
      </c>
      <c r="L727" s="4" t="s">
        <v>1</v>
      </c>
      <c r="N727" s="4" t="s">
        <v>17</v>
      </c>
      <c r="O727" s="4" t="s">
        <v>184</v>
      </c>
    </row>
    <row r="728" spans="1:15" x14ac:dyDescent="0.25">
      <c r="A728">
        <f t="shared" si="48"/>
        <v>118455</v>
      </c>
      <c r="B728" t="s">
        <v>264</v>
      </c>
      <c r="C728" s="9">
        <v>42669</v>
      </c>
      <c r="D728" s="13">
        <f t="shared" si="45"/>
        <v>2016</v>
      </c>
      <c r="E728" s="13">
        <f t="shared" si="46"/>
        <v>10</v>
      </c>
      <c r="F728" s="13">
        <f t="shared" si="47"/>
        <v>26</v>
      </c>
      <c r="G728" s="4" t="s">
        <v>14</v>
      </c>
      <c r="H728">
        <v>46.992800000000003</v>
      </c>
      <c r="I728">
        <v>6.6971999999999996</v>
      </c>
      <c r="J728" s="4" t="s">
        <v>15</v>
      </c>
      <c r="L728" s="4" t="s">
        <v>42</v>
      </c>
      <c r="M728" s="4" t="s">
        <v>43</v>
      </c>
      <c r="N728" s="4" t="s">
        <v>16</v>
      </c>
      <c r="O728" s="4" t="s">
        <v>184</v>
      </c>
    </row>
    <row r="729" spans="1:15" x14ac:dyDescent="0.25">
      <c r="A729">
        <f t="shared" si="48"/>
        <v>118455</v>
      </c>
      <c r="B729" t="s">
        <v>264</v>
      </c>
      <c r="C729" s="9">
        <v>43039</v>
      </c>
      <c r="D729" s="13">
        <f t="shared" si="45"/>
        <v>2017</v>
      </c>
      <c r="E729" s="13">
        <f t="shared" si="46"/>
        <v>10</v>
      </c>
      <c r="F729" s="13">
        <f t="shared" si="47"/>
        <v>31</v>
      </c>
      <c r="G729" s="4" t="s">
        <v>14</v>
      </c>
      <c r="H729">
        <v>47</v>
      </c>
      <c r="I729">
        <v>6.7</v>
      </c>
      <c r="J729" s="4" t="s">
        <v>21</v>
      </c>
      <c r="K729" s="4" t="s">
        <v>53</v>
      </c>
      <c r="L729" s="4" t="s">
        <v>42</v>
      </c>
      <c r="M729" s="4" t="s">
        <v>43</v>
      </c>
      <c r="N729" s="4" t="s">
        <v>17</v>
      </c>
    </row>
    <row r="730" spans="1:15" x14ac:dyDescent="0.25">
      <c r="A730">
        <f t="shared" si="48"/>
        <v>118456</v>
      </c>
      <c r="B730" t="s">
        <v>265</v>
      </c>
      <c r="C730" s="9">
        <v>42669</v>
      </c>
      <c r="D730" s="13">
        <f t="shared" si="45"/>
        <v>2016</v>
      </c>
      <c r="E730" s="13">
        <f t="shared" si="46"/>
        <v>10</v>
      </c>
      <c r="F730" s="13">
        <f t="shared" si="47"/>
        <v>26</v>
      </c>
      <c r="G730" s="4" t="s">
        <v>14</v>
      </c>
      <c r="H730">
        <v>46.992800000000003</v>
      </c>
      <c r="I730">
        <v>6.6971999999999996</v>
      </c>
      <c r="J730" s="4" t="s">
        <v>15</v>
      </c>
      <c r="L730" s="4" t="s">
        <v>1</v>
      </c>
      <c r="N730" s="4" t="s">
        <v>17</v>
      </c>
      <c r="O730" s="4" t="s">
        <v>184</v>
      </c>
    </row>
    <row r="731" spans="1:15" x14ac:dyDescent="0.25">
      <c r="A731">
        <f t="shared" si="48"/>
        <v>118457</v>
      </c>
      <c r="B731" t="s">
        <v>266</v>
      </c>
      <c r="C731" s="9">
        <v>42669</v>
      </c>
      <c r="D731" s="13">
        <f t="shared" si="45"/>
        <v>2016</v>
      </c>
      <c r="E731" s="13">
        <f t="shared" si="46"/>
        <v>10</v>
      </c>
      <c r="F731" s="13">
        <f t="shared" si="47"/>
        <v>26</v>
      </c>
      <c r="G731" s="4" t="s">
        <v>14</v>
      </c>
      <c r="H731">
        <v>46.898899999999998</v>
      </c>
      <c r="I731">
        <v>6.5213999999999999</v>
      </c>
      <c r="J731" s="4" t="s">
        <v>15</v>
      </c>
      <c r="L731" s="4" t="s">
        <v>1</v>
      </c>
      <c r="N731" s="4" t="s">
        <v>17</v>
      </c>
      <c r="O731" s="4" t="s">
        <v>29</v>
      </c>
    </row>
    <row r="732" spans="1:15" x14ac:dyDescent="0.25">
      <c r="A732">
        <f t="shared" si="48"/>
        <v>118458</v>
      </c>
      <c r="B732" t="s">
        <v>267</v>
      </c>
      <c r="C732" s="9">
        <v>42670</v>
      </c>
      <c r="D732" s="13">
        <f t="shared" si="45"/>
        <v>2016</v>
      </c>
      <c r="E732" s="13">
        <f t="shared" si="46"/>
        <v>10</v>
      </c>
      <c r="F732" s="13">
        <f t="shared" si="47"/>
        <v>27</v>
      </c>
      <c r="G732" s="4" t="s">
        <v>14</v>
      </c>
      <c r="H732">
        <v>46.898899999999998</v>
      </c>
      <c r="I732">
        <v>6.5213999999999999</v>
      </c>
      <c r="J732" s="4" t="s">
        <v>15</v>
      </c>
      <c r="L732" s="4" t="s">
        <v>1</v>
      </c>
      <c r="N732" s="4" t="s">
        <v>17</v>
      </c>
      <c r="O732" s="4" t="s">
        <v>27</v>
      </c>
    </row>
    <row r="733" spans="1:15" x14ac:dyDescent="0.25">
      <c r="A733">
        <f t="shared" si="48"/>
        <v>118459</v>
      </c>
      <c r="B733" t="s">
        <v>268</v>
      </c>
      <c r="C733" s="9">
        <v>42670</v>
      </c>
      <c r="D733" s="13">
        <f t="shared" si="45"/>
        <v>2016</v>
      </c>
      <c r="E733" s="13">
        <f t="shared" si="46"/>
        <v>10</v>
      </c>
      <c r="F733" s="13">
        <f t="shared" si="47"/>
        <v>27</v>
      </c>
      <c r="G733" s="4" t="s">
        <v>14</v>
      </c>
      <c r="H733">
        <v>46.9283</v>
      </c>
      <c r="I733">
        <v>6.7336</v>
      </c>
      <c r="J733" s="4" t="s">
        <v>15</v>
      </c>
      <c r="L733" s="4" t="s">
        <v>1</v>
      </c>
      <c r="N733" s="4" t="s">
        <v>17</v>
      </c>
      <c r="O733" s="4" t="s">
        <v>29</v>
      </c>
    </row>
    <row r="734" spans="1:15" x14ac:dyDescent="0.25">
      <c r="A734">
        <f t="shared" si="48"/>
        <v>118460</v>
      </c>
      <c r="B734" t="s">
        <v>269</v>
      </c>
      <c r="C734" s="9">
        <v>42670</v>
      </c>
      <c r="D734" s="13">
        <f t="shared" si="45"/>
        <v>2016</v>
      </c>
      <c r="E734" s="13">
        <f t="shared" si="46"/>
        <v>10</v>
      </c>
      <c r="F734" s="13">
        <f t="shared" si="47"/>
        <v>27</v>
      </c>
      <c r="G734" s="4" t="s">
        <v>14</v>
      </c>
      <c r="H734">
        <v>46.928100000000001</v>
      </c>
      <c r="I734">
        <v>6.7217000000000002</v>
      </c>
      <c r="J734" s="4" t="s">
        <v>15</v>
      </c>
      <c r="L734" s="4" t="s">
        <v>1</v>
      </c>
      <c r="N734" s="4" t="s">
        <v>17</v>
      </c>
      <c r="O734" s="4" t="s">
        <v>29</v>
      </c>
    </row>
    <row r="735" spans="1:15" x14ac:dyDescent="0.25">
      <c r="A735">
        <f t="shared" si="48"/>
        <v>118461</v>
      </c>
      <c r="B735" t="s">
        <v>270</v>
      </c>
      <c r="C735" s="9">
        <v>42670</v>
      </c>
      <c r="D735" s="13">
        <f t="shared" si="45"/>
        <v>2016</v>
      </c>
      <c r="E735" s="13">
        <f t="shared" si="46"/>
        <v>10</v>
      </c>
      <c r="F735" s="13">
        <f t="shared" si="47"/>
        <v>27</v>
      </c>
      <c r="G735" s="4" t="s">
        <v>14</v>
      </c>
      <c r="H735">
        <v>46.928100000000001</v>
      </c>
      <c r="I735">
        <v>6.7217000000000002</v>
      </c>
      <c r="J735" s="4" t="s">
        <v>15</v>
      </c>
      <c r="L735" s="4" t="s">
        <v>1</v>
      </c>
      <c r="N735" s="4" t="s">
        <v>17</v>
      </c>
      <c r="O735" s="4" t="s">
        <v>27</v>
      </c>
    </row>
    <row r="736" spans="1:15" x14ac:dyDescent="0.25">
      <c r="A736">
        <f t="shared" si="48"/>
        <v>118462</v>
      </c>
      <c r="B736" t="s">
        <v>271</v>
      </c>
      <c r="C736" s="9">
        <v>42673</v>
      </c>
      <c r="D736" s="13">
        <f t="shared" si="45"/>
        <v>2016</v>
      </c>
      <c r="E736" s="13">
        <f t="shared" si="46"/>
        <v>10</v>
      </c>
      <c r="F736" s="13">
        <f t="shared" si="47"/>
        <v>30</v>
      </c>
      <c r="G736" s="4" t="s">
        <v>14</v>
      </c>
      <c r="H736">
        <v>46.934399999999997</v>
      </c>
      <c r="I736">
        <v>6.5835999999999997</v>
      </c>
      <c r="J736" s="4" t="s">
        <v>15</v>
      </c>
      <c r="L736" s="4" t="s">
        <v>1</v>
      </c>
      <c r="N736" s="4" t="s">
        <v>17</v>
      </c>
      <c r="O736" s="4" t="s">
        <v>29</v>
      </c>
    </row>
    <row r="737" spans="1:15" x14ac:dyDescent="0.25">
      <c r="A737">
        <f t="shared" si="48"/>
        <v>118463</v>
      </c>
      <c r="B737" t="s">
        <v>272</v>
      </c>
      <c r="C737" s="9">
        <v>42674</v>
      </c>
      <c r="D737" s="13">
        <f t="shared" si="45"/>
        <v>2016</v>
      </c>
      <c r="E737" s="13">
        <f t="shared" si="46"/>
        <v>10</v>
      </c>
      <c r="F737" s="13">
        <f t="shared" si="47"/>
        <v>31</v>
      </c>
      <c r="G737" s="4" t="s">
        <v>14</v>
      </c>
      <c r="H737">
        <v>46.934399999999997</v>
      </c>
      <c r="I737">
        <v>6.5835999999999997</v>
      </c>
      <c r="J737" s="4" t="s">
        <v>15</v>
      </c>
      <c r="L737" s="4" t="s">
        <v>1</v>
      </c>
      <c r="N737" s="4" t="s">
        <v>17</v>
      </c>
      <c r="O737" s="4" t="s">
        <v>24</v>
      </c>
    </row>
    <row r="738" spans="1:15" x14ac:dyDescent="0.25">
      <c r="A738">
        <f t="shared" si="48"/>
        <v>118464</v>
      </c>
      <c r="B738" t="s">
        <v>273</v>
      </c>
      <c r="C738" s="9">
        <v>42674</v>
      </c>
      <c r="D738" s="13">
        <f t="shared" si="45"/>
        <v>2016</v>
      </c>
      <c r="E738" s="13">
        <f t="shared" si="46"/>
        <v>10</v>
      </c>
      <c r="F738" s="13">
        <f t="shared" si="47"/>
        <v>31</v>
      </c>
      <c r="G738" s="4" t="s">
        <v>14</v>
      </c>
      <c r="H738">
        <v>46.934399999999997</v>
      </c>
      <c r="I738">
        <v>6.5835999999999997</v>
      </c>
      <c r="J738" s="4" t="s">
        <v>15</v>
      </c>
      <c r="L738" s="4" t="s">
        <v>1</v>
      </c>
      <c r="N738" s="4" t="s">
        <v>17</v>
      </c>
      <c r="O738" s="4" t="s">
        <v>29</v>
      </c>
    </row>
    <row r="739" spans="1:15" x14ac:dyDescent="0.25">
      <c r="A739">
        <f t="shared" si="48"/>
        <v>118465</v>
      </c>
      <c r="B739" t="s">
        <v>274</v>
      </c>
      <c r="C739" s="9">
        <v>42674</v>
      </c>
      <c r="D739" s="13">
        <f t="shared" si="45"/>
        <v>2016</v>
      </c>
      <c r="E739" s="13">
        <f t="shared" si="46"/>
        <v>10</v>
      </c>
      <c r="F739" s="13">
        <f t="shared" si="47"/>
        <v>31</v>
      </c>
      <c r="G739" s="4" t="s">
        <v>14</v>
      </c>
      <c r="H739">
        <v>46.929699999999997</v>
      </c>
      <c r="I739">
        <v>6.4603000000000002</v>
      </c>
      <c r="J739" s="4" t="s">
        <v>15</v>
      </c>
      <c r="L739" s="4" t="s">
        <v>1</v>
      </c>
      <c r="N739" s="4" t="s">
        <v>17</v>
      </c>
      <c r="O739" s="4" t="s">
        <v>29</v>
      </c>
    </row>
    <row r="740" spans="1:15" x14ac:dyDescent="0.25">
      <c r="A740">
        <f t="shared" si="48"/>
        <v>118466</v>
      </c>
      <c r="B740" t="s">
        <v>275</v>
      </c>
      <c r="C740" s="9">
        <v>42674</v>
      </c>
      <c r="D740" s="13">
        <f t="shared" si="45"/>
        <v>2016</v>
      </c>
      <c r="E740" s="13">
        <f t="shared" si="46"/>
        <v>10</v>
      </c>
      <c r="F740" s="13">
        <f t="shared" si="47"/>
        <v>31</v>
      </c>
      <c r="G740" s="4" t="s">
        <v>14</v>
      </c>
      <c r="H740">
        <v>46.929699999999997</v>
      </c>
      <c r="I740">
        <v>6.4603000000000002</v>
      </c>
      <c r="J740" s="4" t="s">
        <v>15</v>
      </c>
      <c r="L740" s="4" t="s">
        <v>1</v>
      </c>
      <c r="N740" s="4" t="s">
        <v>17</v>
      </c>
      <c r="O740" s="4" t="s">
        <v>29</v>
      </c>
    </row>
    <row r="741" spans="1:15" x14ac:dyDescent="0.25">
      <c r="A741">
        <f t="shared" si="48"/>
        <v>118467</v>
      </c>
      <c r="B741" t="s">
        <v>276</v>
      </c>
      <c r="C741" s="9">
        <v>42675</v>
      </c>
      <c r="D741" s="13">
        <f t="shared" si="45"/>
        <v>2016</v>
      </c>
      <c r="E741" s="13">
        <f t="shared" si="46"/>
        <v>11</v>
      </c>
      <c r="F741" s="13">
        <f t="shared" si="47"/>
        <v>1</v>
      </c>
      <c r="G741" s="4" t="s">
        <v>14</v>
      </c>
      <c r="H741">
        <v>46.8992</v>
      </c>
      <c r="I741">
        <v>6.6707999999999998</v>
      </c>
      <c r="J741" s="4" t="s">
        <v>15</v>
      </c>
      <c r="L741" s="4" t="s">
        <v>1</v>
      </c>
      <c r="N741" s="4" t="s">
        <v>16</v>
      </c>
      <c r="O741" s="4" t="s">
        <v>29</v>
      </c>
    </row>
    <row r="742" spans="1:15" x14ac:dyDescent="0.25">
      <c r="A742">
        <f t="shared" si="48"/>
        <v>118467</v>
      </c>
      <c r="B742" t="s">
        <v>276</v>
      </c>
      <c r="C742" s="9">
        <v>42701</v>
      </c>
      <c r="D742" s="13">
        <f t="shared" si="45"/>
        <v>2016</v>
      </c>
      <c r="E742" s="13">
        <f t="shared" si="46"/>
        <v>11</v>
      </c>
      <c r="F742" s="13">
        <f t="shared" si="47"/>
        <v>27</v>
      </c>
      <c r="G742" s="4" t="s">
        <v>31</v>
      </c>
      <c r="H742">
        <v>45.35</v>
      </c>
      <c r="I742">
        <v>2.7667000000000002</v>
      </c>
      <c r="J742" s="4" t="s">
        <v>21</v>
      </c>
      <c r="K742" s="4" t="s">
        <v>22</v>
      </c>
      <c r="L742" s="4" t="s">
        <v>1</v>
      </c>
      <c r="N742" s="4" t="s">
        <v>17</v>
      </c>
    </row>
    <row r="743" spans="1:15" x14ac:dyDescent="0.25">
      <c r="A743">
        <f t="shared" si="48"/>
        <v>118468</v>
      </c>
      <c r="B743" t="s">
        <v>277</v>
      </c>
      <c r="C743" s="9">
        <v>42675</v>
      </c>
      <c r="D743" s="13">
        <f t="shared" si="45"/>
        <v>2016</v>
      </c>
      <c r="E743" s="13">
        <f t="shared" si="46"/>
        <v>11</v>
      </c>
      <c r="F743" s="13">
        <f t="shared" si="47"/>
        <v>1</v>
      </c>
      <c r="G743" s="4" t="s">
        <v>14</v>
      </c>
      <c r="H743">
        <v>46.8992</v>
      </c>
      <c r="I743">
        <v>6.6707999999999998</v>
      </c>
      <c r="J743" s="4" t="s">
        <v>15</v>
      </c>
      <c r="L743" s="4" t="s">
        <v>1</v>
      </c>
      <c r="N743" s="4" t="s">
        <v>16</v>
      </c>
      <c r="O743" s="4" t="s">
        <v>29</v>
      </c>
    </row>
    <row r="744" spans="1:15" x14ac:dyDescent="0.25">
      <c r="A744">
        <f t="shared" si="48"/>
        <v>118468</v>
      </c>
      <c r="B744" t="s">
        <v>277</v>
      </c>
      <c r="C744" s="9">
        <v>42689</v>
      </c>
      <c r="D744" s="13">
        <f t="shared" si="45"/>
        <v>2016</v>
      </c>
      <c r="E744" s="13">
        <f t="shared" si="46"/>
        <v>11</v>
      </c>
      <c r="F744" s="13">
        <f t="shared" si="47"/>
        <v>15</v>
      </c>
      <c r="G744" s="4" t="s">
        <v>20</v>
      </c>
      <c r="H744">
        <v>46.85</v>
      </c>
      <c r="I744">
        <v>6.1666999999999996</v>
      </c>
      <c r="J744" s="4" t="s">
        <v>21</v>
      </c>
      <c r="K744" s="4" t="s">
        <v>22</v>
      </c>
      <c r="L744" s="4" t="s">
        <v>1</v>
      </c>
      <c r="N744" s="4" t="s">
        <v>17</v>
      </c>
    </row>
    <row r="745" spans="1:15" x14ac:dyDescent="0.25">
      <c r="A745">
        <f t="shared" si="48"/>
        <v>118469</v>
      </c>
      <c r="B745" t="s">
        <v>278</v>
      </c>
      <c r="C745" s="9">
        <v>42675</v>
      </c>
      <c r="D745" s="13">
        <f t="shared" si="45"/>
        <v>2016</v>
      </c>
      <c r="E745" s="13">
        <f t="shared" si="46"/>
        <v>11</v>
      </c>
      <c r="F745" s="13">
        <f t="shared" si="47"/>
        <v>1</v>
      </c>
      <c r="G745" s="4" t="s">
        <v>14</v>
      </c>
      <c r="H745">
        <v>46.8992</v>
      </c>
      <c r="I745">
        <v>6.6707999999999998</v>
      </c>
      <c r="J745" s="4" t="s">
        <v>15</v>
      </c>
      <c r="L745" s="4" t="s">
        <v>1</v>
      </c>
      <c r="N745" s="4" t="s">
        <v>17</v>
      </c>
      <c r="O745" s="4" t="s">
        <v>184</v>
      </c>
    </row>
    <row r="746" spans="1:15" x14ac:dyDescent="0.25">
      <c r="A746">
        <f t="shared" si="48"/>
        <v>118470</v>
      </c>
      <c r="B746" t="s">
        <v>279</v>
      </c>
      <c r="C746" s="9">
        <v>42675</v>
      </c>
      <c r="D746" s="13">
        <f t="shared" si="45"/>
        <v>2016</v>
      </c>
      <c r="E746" s="13">
        <f t="shared" si="46"/>
        <v>11</v>
      </c>
      <c r="F746" s="13">
        <f t="shared" si="47"/>
        <v>1</v>
      </c>
      <c r="G746" s="4" t="s">
        <v>14</v>
      </c>
      <c r="H746">
        <v>46.903599999999997</v>
      </c>
      <c r="I746">
        <v>6.6722000000000001</v>
      </c>
      <c r="J746" s="4" t="s">
        <v>15</v>
      </c>
      <c r="L746" s="4" t="s">
        <v>1</v>
      </c>
      <c r="N746" s="4" t="s">
        <v>17</v>
      </c>
      <c r="O746" s="4" t="s">
        <v>184</v>
      </c>
    </row>
    <row r="747" spans="1:15" x14ac:dyDescent="0.25">
      <c r="A747">
        <f t="shared" si="48"/>
        <v>118471</v>
      </c>
      <c r="B747" t="s">
        <v>280</v>
      </c>
      <c r="C747" s="9">
        <v>42675</v>
      </c>
      <c r="D747" s="13">
        <f t="shared" si="45"/>
        <v>2016</v>
      </c>
      <c r="E747" s="13">
        <f t="shared" si="46"/>
        <v>11</v>
      </c>
      <c r="F747" s="13">
        <f t="shared" si="47"/>
        <v>1</v>
      </c>
      <c r="G747" s="4" t="s">
        <v>14</v>
      </c>
      <c r="H747">
        <v>46.903599999999997</v>
      </c>
      <c r="I747">
        <v>6.6722000000000001</v>
      </c>
      <c r="J747" s="4" t="s">
        <v>15</v>
      </c>
      <c r="L747" s="4" t="s">
        <v>1</v>
      </c>
      <c r="N747" s="4" t="s">
        <v>17</v>
      </c>
      <c r="O747" s="4" t="s">
        <v>29</v>
      </c>
    </row>
    <row r="748" spans="1:15" x14ac:dyDescent="0.25">
      <c r="A748">
        <f t="shared" si="48"/>
        <v>118472</v>
      </c>
      <c r="B748" t="s">
        <v>281</v>
      </c>
      <c r="C748" s="9">
        <v>42675</v>
      </c>
      <c r="D748" s="13">
        <f t="shared" si="45"/>
        <v>2016</v>
      </c>
      <c r="E748" s="13">
        <f t="shared" si="46"/>
        <v>11</v>
      </c>
      <c r="F748" s="13">
        <f t="shared" si="47"/>
        <v>1</v>
      </c>
      <c r="G748" s="4" t="s">
        <v>14</v>
      </c>
      <c r="H748">
        <v>46.91</v>
      </c>
      <c r="I748">
        <v>6.6863999999999999</v>
      </c>
      <c r="J748" s="4" t="s">
        <v>15</v>
      </c>
      <c r="L748" s="4" t="s">
        <v>1</v>
      </c>
      <c r="N748" s="4" t="s">
        <v>17</v>
      </c>
      <c r="O748" s="4" t="s">
        <v>184</v>
      </c>
    </row>
    <row r="749" spans="1:15" x14ac:dyDescent="0.25">
      <c r="A749">
        <f t="shared" si="48"/>
        <v>118473</v>
      </c>
      <c r="B749" t="s">
        <v>282</v>
      </c>
      <c r="C749" s="9">
        <v>42678</v>
      </c>
      <c r="D749" s="13">
        <f t="shared" si="45"/>
        <v>2016</v>
      </c>
      <c r="E749" s="13">
        <f t="shared" si="46"/>
        <v>11</v>
      </c>
      <c r="F749" s="13">
        <f t="shared" si="47"/>
        <v>4</v>
      </c>
      <c r="G749" s="4" t="s">
        <v>14</v>
      </c>
      <c r="H749">
        <v>46.9283</v>
      </c>
      <c r="I749">
        <v>6.7336</v>
      </c>
      <c r="J749" s="4" t="s">
        <v>15</v>
      </c>
      <c r="L749" s="4" t="s">
        <v>1</v>
      </c>
      <c r="N749" s="4" t="s">
        <v>17</v>
      </c>
      <c r="O749" s="4" t="s">
        <v>29</v>
      </c>
    </row>
    <row r="750" spans="1:15" x14ac:dyDescent="0.25">
      <c r="A750">
        <f t="shared" si="48"/>
        <v>118474</v>
      </c>
      <c r="B750" t="s">
        <v>283</v>
      </c>
      <c r="C750" s="9">
        <v>42678</v>
      </c>
      <c r="D750" s="13">
        <f t="shared" si="45"/>
        <v>2016</v>
      </c>
      <c r="E750" s="13">
        <f t="shared" si="46"/>
        <v>11</v>
      </c>
      <c r="F750" s="13">
        <f t="shared" si="47"/>
        <v>4</v>
      </c>
      <c r="G750" s="4" t="s">
        <v>14</v>
      </c>
      <c r="H750">
        <v>46.9283</v>
      </c>
      <c r="I750">
        <v>6.7336</v>
      </c>
      <c r="J750" s="4" t="s">
        <v>15</v>
      </c>
      <c r="L750" s="4" t="s">
        <v>1</v>
      </c>
      <c r="N750" s="4" t="s">
        <v>17</v>
      </c>
      <c r="O750" s="4" t="s">
        <v>29</v>
      </c>
    </row>
    <row r="751" spans="1:15" x14ac:dyDescent="0.25">
      <c r="A751">
        <f t="shared" si="48"/>
        <v>118475</v>
      </c>
      <c r="B751" t="s">
        <v>284</v>
      </c>
      <c r="C751" s="9">
        <v>42678</v>
      </c>
      <c r="D751" s="13">
        <f t="shared" si="45"/>
        <v>2016</v>
      </c>
      <c r="E751" s="13">
        <f t="shared" si="46"/>
        <v>11</v>
      </c>
      <c r="F751" s="13">
        <f t="shared" si="47"/>
        <v>4</v>
      </c>
      <c r="G751" s="4" t="s">
        <v>14</v>
      </c>
      <c r="H751">
        <v>46.9283</v>
      </c>
      <c r="I751">
        <v>6.7336</v>
      </c>
      <c r="J751" s="4" t="s">
        <v>15</v>
      </c>
      <c r="L751" s="4" t="s">
        <v>1</v>
      </c>
      <c r="N751" s="4" t="s">
        <v>16</v>
      </c>
      <c r="O751" s="4" t="s">
        <v>29</v>
      </c>
    </row>
    <row r="752" spans="1:15" x14ac:dyDescent="0.25">
      <c r="A752">
        <f t="shared" si="48"/>
        <v>118475</v>
      </c>
      <c r="B752" t="s">
        <v>284</v>
      </c>
      <c r="C752" s="9">
        <v>42712</v>
      </c>
      <c r="D752" s="13">
        <f t="shared" si="45"/>
        <v>2016</v>
      </c>
      <c r="E752" s="13">
        <f t="shared" si="46"/>
        <v>12</v>
      </c>
      <c r="F752" s="13">
        <f t="shared" si="47"/>
        <v>8</v>
      </c>
      <c r="G752" s="4" t="s">
        <v>31</v>
      </c>
      <c r="H752">
        <v>44.8</v>
      </c>
      <c r="I752">
        <v>-0.43330000000000002</v>
      </c>
      <c r="J752" s="4" t="s">
        <v>21</v>
      </c>
      <c r="K752" s="4" t="s">
        <v>22</v>
      </c>
      <c r="L752" s="4" t="s">
        <v>1</v>
      </c>
      <c r="N752" s="4" t="s">
        <v>17</v>
      </c>
    </row>
    <row r="753" spans="1:15" x14ac:dyDescent="0.25">
      <c r="A753">
        <f t="shared" si="48"/>
        <v>118476</v>
      </c>
      <c r="B753" t="s">
        <v>285</v>
      </c>
      <c r="C753" s="9">
        <v>42678</v>
      </c>
      <c r="D753" s="13">
        <f t="shared" si="45"/>
        <v>2016</v>
      </c>
      <c r="E753" s="13">
        <f t="shared" si="46"/>
        <v>11</v>
      </c>
      <c r="F753" s="13">
        <f t="shared" si="47"/>
        <v>4</v>
      </c>
      <c r="G753" s="4" t="s">
        <v>14</v>
      </c>
      <c r="H753">
        <v>46.928100000000001</v>
      </c>
      <c r="I753">
        <v>6.7217000000000002</v>
      </c>
      <c r="J753" s="4" t="s">
        <v>15</v>
      </c>
      <c r="L753" s="4" t="s">
        <v>1</v>
      </c>
      <c r="N753" s="4" t="s">
        <v>17</v>
      </c>
      <c r="O753" s="4" t="s">
        <v>29</v>
      </c>
    </row>
    <row r="754" spans="1:15" x14ac:dyDescent="0.25">
      <c r="A754">
        <f t="shared" si="48"/>
        <v>118477</v>
      </c>
      <c r="B754" t="s">
        <v>286</v>
      </c>
      <c r="C754" s="9">
        <v>42678</v>
      </c>
      <c r="D754" s="13">
        <f t="shared" si="45"/>
        <v>2016</v>
      </c>
      <c r="E754" s="13">
        <f t="shared" si="46"/>
        <v>11</v>
      </c>
      <c r="F754" s="13">
        <f t="shared" si="47"/>
        <v>4</v>
      </c>
      <c r="G754" s="4" t="s">
        <v>14</v>
      </c>
      <c r="H754">
        <v>46.928100000000001</v>
      </c>
      <c r="I754">
        <v>6.7217000000000002</v>
      </c>
      <c r="J754" s="4" t="s">
        <v>15</v>
      </c>
      <c r="L754" s="4" t="s">
        <v>1</v>
      </c>
      <c r="N754" s="4" t="s">
        <v>17</v>
      </c>
      <c r="O754" s="4" t="s">
        <v>29</v>
      </c>
    </row>
    <row r="755" spans="1:15" x14ac:dyDescent="0.25">
      <c r="A755">
        <f t="shared" si="48"/>
        <v>118478</v>
      </c>
      <c r="B755" t="s">
        <v>287</v>
      </c>
      <c r="C755" s="9">
        <v>42678</v>
      </c>
      <c r="D755" s="13">
        <f t="shared" si="45"/>
        <v>2016</v>
      </c>
      <c r="E755" s="13">
        <f t="shared" si="46"/>
        <v>11</v>
      </c>
      <c r="F755" s="13">
        <f t="shared" si="47"/>
        <v>4</v>
      </c>
      <c r="G755" s="4" t="s">
        <v>14</v>
      </c>
      <c r="H755">
        <v>46.928100000000001</v>
      </c>
      <c r="I755">
        <v>6.7217000000000002</v>
      </c>
      <c r="J755" s="4" t="s">
        <v>15</v>
      </c>
      <c r="L755" s="4" t="s">
        <v>1</v>
      </c>
      <c r="N755" s="4" t="s">
        <v>17</v>
      </c>
      <c r="O755" s="4" t="s">
        <v>29</v>
      </c>
    </row>
    <row r="756" spans="1:15" x14ac:dyDescent="0.25">
      <c r="A756">
        <f t="shared" si="48"/>
        <v>118479</v>
      </c>
      <c r="B756" t="s">
        <v>288</v>
      </c>
      <c r="C756" s="9">
        <v>42678</v>
      </c>
      <c r="D756" s="13">
        <f t="shared" si="45"/>
        <v>2016</v>
      </c>
      <c r="E756" s="13">
        <f t="shared" si="46"/>
        <v>11</v>
      </c>
      <c r="F756" s="13">
        <f t="shared" si="47"/>
        <v>4</v>
      </c>
      <c r="G756" s="4" t="s">
        <v>14</v>
      </c>
      <c r="H756">
        <v>46.928100000000001</v>
      </c>
      <c r="I756">
        <v>6.7217000000000002</v>
      </c>
      <c r="J756" s="4" t="s">
        <v>15</v>
      </c>
      <c r="L756" s="4" t="s">
        <v>1</v>
      </c>
      <c r="N756" s="4" t="s">
        <v>16</v>
      </c>
      <c r="O756" s="4" t="s">
        <v>29</v>
      </c>
    </row>
    <row r="757" spans="1:15" x14ac:dyDescent="0.25">
      <c r="A757">
        <f t="shared" si="48"/>
        <v>118479</v>
      </c>
      <c r="B757" t="s">
        <v>288</v>
      </c>
      <c r="C757" s="9">
        <v>42696</v>
      </c>
      <c r="D757" s="13">
        <f t="shared" si="45"/>
        <v>2016</v>
      </c>
      <c r="E757" s="13">
        <f t="shared" si="46"/>
        <v>11</v>
      </c>
      <c r="F757" s="13">
        <f t="shared" si="47"/>
        <v>22</v>
      </c>
      <c r="G757" s="4" t="s">
        <v>20</v>
      </c>
      <c r="H757">
        <v>47.216700000000003</v>
      </c>
      <c r="I757">
        <v>6.55</v>
      </c>
      <c r="J757" s="4" t="s">
        <v>21</v>
      </c>
      <c r="K757" s="4" t="s">
        <v>22</v>
      </c>
      <c r="L757" s="4" t="s">
        <v>1</v>
      </c>
      <c r="N757" s="4" t="s">
        <v>17</v>
      </c>
    </row>
    <row r="758" spans="1:15" x14ac:dyDescent="0.25">
      <c r="A758">
        <f t="shared" si="48"/>
        <v>118480</v>
      </c>
      <c r="B758" t="s">
        <v>289</v>
      </c>
      <c r="C758" s="9">
        <v>42678</v>
      </c>
      <c r="D758" s="13">
        <f t="shared" si="45"/>
        <v>2016</v>
      </c>
      <c r="E758" s="13">
        <f t="shared" si="46"/>
        <v>11</v>
      </c>
      <c r="F758" s="13">
        <f t="shared" si="47"/>
        <v>4</v>
      </c>
      <c r="G758" s="4" t="s">
        <v>14</v>
      </c>
      <c r="H758">
        <v>46.928100000000001</v>
      </c>
      <c r="I758">
        <v>6.7217000000000002</v>
      </c>
      <c r="J758" s="4" t="s">
        <v>15</v>
      </c>
      <c r="L758" s="4" t="s">
        <v>1</v>
      </c>
      <c r="N758" s="4" t="s">
        <v>17</v>
      </c>
      <c r="O758" s="4" t="s">
        <v>29</v>
      </c>
    </row>
    <row r="759" spans="1:15" x14ac:dyDescent="0.25">
      <c r="A759">
        <f t="shared" si="48"/>
        <v>118481</v>
      </c>
      <c r="B759" t="s">
        <v>290</v>
      </c>
      <c r="C759" s="9">
        <v>42679</v>
      </c>
      <c r="D759" s="13">
        <f t="shared" si="45"/>
        <v>2016</v>
      </c>
      <c r="E759" s="13">
        <f t="shared" si="46"/>
        <v>11</v>
      </c>
      <c r="F759" s="13">
        <f t="shared" si="47"/>
        <v>5</v>
      </c>
      <c r="G759" s="4" t="s">
        <v>14</v>
      </c>
      <c r="H759">
        <v>46.929699999999997</v>
      </c>
      <c r="I759">
        <v>6.4603000000000002</v>
      </c>
      <c r="J759" s="4" t="s">
        <v>15</v>
      </c>
      <c r="L759" s="4" t="s">
        <v>1</v>
      </c>
      <c r="N759" s="4" t="s">
        <v>16</v>
      </c>
      <c r="O759" s="4" t="s">
        <v>29</v>
      </c>
    </row>
    <row r="760" spans="1:15" x14ac:dyDescent="0.25">
      <c r="A760">
        <f t="shared" si="48"/>
        <v>118481</v>
      </c>
      <c r="B760" t="s">
        <v>290</v>
      </c>
      <c r="C760" s="9">
        <v>42781</v>
      </c>
      <c r="D760" s="13">
        <f t="shared" si="45"/>
        <v>2017</v>
      </c>
      <c r="E760" s="13">
        <f t="shared" si="46"/>
        <v>2</v>
      </c>
      <c r="F760" s="13">
        <f t="shared" si="47"/>
        <v>15</v>
      </c>
      <c r="G760" s="4" t="s">
        <v>48</v>
      </c>
      <c r="H760">
        <v>43.216700000000003</v>
      </c>
      <c r="I760">
        <v>-2.0167000000000002</v>
      </c>
      <c r="J760" s="4" t="s">
        <v>21</v>
      </c>
      <c r="K760" s="4" t="s">
        <v>22</v>
      </c>
      <c r="L760" s="4" t="s">
        <v>1</v>
      </c>
      <c r="N760" s="4" t="s">
        <v>17</v>
      </c>
    </row>
    <row r="761" spans="1:15" x14ac:dyDescent="0.25">
      <c r="A761">
        <f t="shared" si="48"/>
        <v>118482</v>
      </c>
      <c r="B761" t="s">
        <v>291</v>
      </c>
      <c r="C761" s="9">
        <v>42679</v>
      </c>
      <c r="D761" s="13">
        <f t="shared" si="45"/>
        <v>2016</v>
      </c>
      <c r="E761" s="13">
        <f t="shared" si="46"/>
        <v>11</v>
      </c>
      <c r="F761" s="13">
        <f t="shared" si="47"/>
        <v>5</v>
      </c>
      <c r="G761" s="4" t="s">
        <v>14</v>
      </c>
      <c r="H761">
        <v>46.929699999999997</v>
      </c>
      <c r="I761">
        <v>6.4603000000000002</v>
      </c>
      <c r="J761" s="4" t="s">
        <v>15</v>
      </c>
      <c r="L761" s="4" t="s">
        <v>1</v>
      </c>
      <c r="N761" s="4" t="s">
        <v>17</v>
      </c>
      <c r="O761" s="4" t="s">
        <v>29</v>
      </c>
    </row>
    <row r="762" spans="1:15" x14ac:dyDescent="0.25">
      <c r="A762">
        <f t="shared" si="48"/>
        <v>118483</v>
      </c>
      <c r="B762" t="s">
        <v>292</v>
      </c>
      <c r="C762" s="9">
        <v>42679</v>
      </c>
      <c r="D762" s="13">
        <f t="shared" si="45"/>
        <v>2016</v>
      </c>
      <c r="E762" s="13">
        <f t="shared" si="46"/>
        <v>11</v>
      </c>
      <c r="F762" s="13">
        <f t="shared" si="47"/>
        <v>5</v>
      </c>
      <c r="G762" s="4" t="s">
        <v>14</v>
      </c>
      <c r="H762">
        <v>46.929699999999997</v>
      </c>
      <c r="I762">
        <v>6.4603000000000002</v>
      </c>
      <c r="J762" s="4" t="s">
        <v>15</v>
      </c>
      <c r="L762" s="4" t="s">
        <v>1</v>
      </c>
      <c r="N762" s="4" t="s">
        <v>17</v>
      </c>
      <c r="O762" s="4" t="s">
        <v>29</v>
      </c>
    </row>
    <row r="763" spans="1:15" x14ac:dyDescent="0.25">
      <c r="A763">
        <f t="shared" si="48"/>
        <v>118484</v>
      </c>
      <c r="B763" t="s">
        <v>293</v>
      </c>
      <c r="C763" s="9">
        <v>42679</v>
      </c>
      <c r="D763" s="13">
        <f t="shared" si="45"/>
        <v>2016</v>
      </c>
      <c r="E763" s="13">
        <f t="shared" si="46"/>
        <v>11</v>
      </c>
      <c r="F763" s="13">
        <f t="shared" si="47"/>
        <v>5</v>
      </c>
      <c r="G763" s="4" t="s">
        <v>14</v>
      </c>
      <c r="H763">
        <v>46.929699999999997</v>
      </c>
      <c r="I763">
        <v>6.4603000000000002</v>
      </c>
      <c r="J763" s="4" t="s">
        <v>15</v>
      </c>
      <c r="L763" s="4" t="s">
        <v>1</v>
      </c>
      <c r="N763" s="4" t="s">
        <v>16</v>
      </c>
      <c r="O763" s="4" t="s">
        <v>29</v>
      </c>
    </row>
    <row r="764" spans="1:15" x14ac:dyDescent="0.25">
      <c r="A764">
        <f t="shared" si="48"/>
        <v>118484</v>
      </c>
      <c r="B764" t="s">
        <v>293</v>
      </c>
      <c r="C764" s="9">
        <v>42694</v>
      </c>
      <c r="D764" s="13">
        <f t="shared" si="45"/>
        <v>2016</v>
      </c>
      <c r="E764" s="13">
        <f t="shared" si="46"/>
        <v>11</v>
      </c>
      <c r="F764" s="13">
        <f t="shared" si="47"/>
        <v>20</v>
      </c>
      <c r="G764" s="4" t="s">
        <v>20</v>
      </c>
      <c r="H764">
        <v>47.35</v>
      </c>
      <c r="I764">
        <v>6.4166999999999996</v>
      </c>
      <c r="J764" s="4" t="s">
        <v>21</v>
      </c>
      <c r="K764" s="4" t="s">
        <v>22</v>
      </c>
      <c r="L764" s="4" t="s">
        <v>1</v>
      </c>
      <c r="N764" s="4" t="s">
        <v>17</v>
      </c>
    </row>
    <row r="765" spans="1:15" x14ac:dyDescent="0.25">
      <c r="A765">
        <f t="shared" si="48"/>
        <v>118485</v>
      </c>
      <c r="B765" t="s">
        <v>294</v>
      </c>
      <c r="C765" s="9">
        <v>42679</v>
      </c>
      <c r="D765" s="13">
        <f t="shared" si="45"/>
        <v>2016</v>
      </c>
      <c r="E765" s="13">
        <f t="shared" si="46"/>
        <v>11</v>
      </c>
      <c r="F765" s="13">
        <f t="shared" si="47"/>
        <v>5</v>
      </c>
      <c r="G765" s="4" t="s">
        <v>14</v>
      </c>
      <c r="H765">
        <v>46.929699999999997</v>
      </c>
      <c r="I765">
        <v>6.4603000000000002</v>
      </c>
      <c r="J765" s="4" t="s">
        <v>15</v>
      </c>
      <c r="L765" s="4" t="s">
        <v>1</v>
      </c>
      <c r="N765" s="4" t="s">
        <v>17</v>
      </c>
      <c r="O765" s="4" t="s">
        <v>29</v>
      </c>
    </row>
    <row r="766" spans="1:15" x14ac:dyDescent="0.25">
      <c r="A766">
        <f t="shared" si="48"/>
        <v>118486</v>
      </c>
      <c r="B766" t="s">
        <v>295</v>
      </c>
      <c r="C766" s="9">
        <v>42679</v>
      </c>
      <c r="D766" s="13">
        <f t="shared" si="45"/>
        <v>2016</v>
      </c>
      <c r="E766" s="13">
        <f t="shared" si="46"/>
        <v>11</v>
      </c>
      <c r="F766" s="13">
        <f t="shared" si="47"/>
        <v>5</v>
      </c>
      <c r="G766" s="4" t="s">
        <v>14</v>
      </c>
      <c r="H766">
        <v>46.929699999999997</v>
      </c>
      <c r="I766">
        <v>6.4603000000000002</v>
      </c>
      <c r="J766" s="4" t="s">
        <v>15</v>
      </c>
      <c r="L766" s="4" t="s">
        <v>1</v>
      </c>
      <c r="N766" s="4" t="s">
        <v>17</v>
      </c>
      <c r="O766" s="4" t="s">
        <v>184</v>
      </c>
    </row>
    <row r="767" spans="1:15" x14ac:dyDescent="0.25">
      <c r="A767">
        <f t="shared" si="48"/>
        <v>118487</v>
      </c>
      <c r="B767" t="s">
        <v>296</v>
      </c>
      <c r="C767" s="9">
        <v>42679</v>
      </c>
      <c r="D767" s="13">
        <f t="shared" si="45"/>
        <v>2016</v>
      </c>
      <c r="E767" s="13">
        <f t="shared" si="46"/>
        <v>11</v>
      </c>
      <c r="F767" s="13">
        <f t="shared" si="47"/>
        <v>5</v>
      </c>
      <c r="G767" s="4" t="s">
        <v>14</v>
      </c>
      <c r="H767">
        <v>46.929699999999997</v>
      </c>
      <c r="I767">
        <v>6.4603000000000002</v>
      </c>
      <c r="J767" s="4" t="s">
        <v>15</v>
      </c>
      <c r="L767" s="4" t="s">
        <v>1</v>
      </c>
      <c r="N767" s="4" t="s">
        <v>16</v>
      </c>
      <c r="O767" s="4" t="s">
        <v>184</v>
      </c>
    </row>
    <row r="768" spans="1:15" x14ac:dyDescent="0.25">
      <c r="A768">
        <f t="shared" si="48"/>
        <v>118487</v>
      </c>
      <c r="B768" t="s">
        <v>296</v>
      </c>
      <c r="C768" s="9">
        <v>43069</v>
      </c>
      <c r="D768" s="13">
        <f t="shared" si="45"/>
        <v>2017</v>
      </c>
      <c r="E768" s="13">
        <f t="shared" si="46"/>
        <v>11</v>
      </c>
      <c r="F768" s="13">
        <f t="shared" si="47"/>
        <v>30</v>
      </c>
      <c r="G768" s="4" t="s">
        <v>31</v>
      </c>
      <c r="H768">
        <v>44.566699999999997</v>
      </c>
      <c r="I768">
        <v>4.3833000000000002</v>
      </c>
      <c r="J768" s="4" t="s">
        <v>21</v>
      </c>
      <c r="K768" s="4" t="s">
        <v>22</v>
      </c>
      <c r="L768" s="4" t="s">
        <v>1</v>
      </c>
      <c r="N768" s="4" t="s">
        <v>17</v>
      </c>
    </row>
    <row r="769" spans="1:15" x14ac:dyDescent="0.25">
      <c r="A769">
        <f t="shared" si="48"/>
        <v>118488</v>
      </c>
      <c r="B769" t="s">
        <v>297</v>
      </c>
      <c r="C769" s="9">
        <v>42679</v>
      </c>
      <c r="D769" s="13">
        <f t="shared" si="45"/>
        <v>2016</v>
      </c>
      <c r="E769" s="13">
        <f t="shared" si="46"/>
        <v>11</v>
      </c>
      <c r="F769" s="13">
        <f t="shared" si="47"/>
        <v>5</v>
      </c>
      <c r="G769" s="4" t="s">
        <v>14</v>
      </c>
      <c r="H769">
        <v>46.929699999999997</v>
      </c>
      <c r="I769">
        <v>6.4603000000000002</v>
      </c>
      <c r="J769" s="4" t="s">
        <v>15</v>
      </c>
      <c r="L769" s="4" t="s">
        <v>1</v>
      </c>
      <c r="N769" s="4" t="s">
        <v>17</v>
      </c>
      <c r="O769" s="4" t="s">
        <v>29</v>
      </c>
    </row>
    <row r="770" spans="1:15" x14ac:dyDescent="0.25">
      <c r="A770">
        <f t="shared" si="48"/>
        <v>118489</v>
      </c>
      <c r="B770" t="s">
        <v>298</v>
      </c>
      <c r="C770" s="9">
        <v>42679</v>
      </c>
      <c r="D770" s="13">
        <f t="shared" si="45"/>
        <v>2016</v>
      </c>
      <c r="E770" s="13">
        <f t="shared" si="46"/>
        <v>11</v>
      </c>
      <c r="F770" s="13">
        <f t="shared" si="47"/>
        <v>5</v>
      </c>
      <c r="G770" s="4" t="s">
        <v>14</v>
      </c>
      <c r="H770">
        <v>46.934399999999997</v>
      </c>
      <c r="I770">
        <v>6.5835999999999997</v>
      </c>
      <c r="J770" s="4" t="s">
        <v>15</v>
      </c>
      <c r="L770" s="4" t="s">
        <v>1</v>
      </c>
      <c r="N770" s="4" t="s">
        <v>17</v>
      </c>
      <c r="O770" s="4" t="s">
        <v>29</v>
      </c>
    </row>
    <row r="771" spans="1:15" x14ac:dyDescent="0.25">
      <c r="A771">
        <f t="shared" si="48"/>
        <v>118490</v>
      </c>
      <c r="B771" t="s">
        <v>299</v>
      </c>
      <c r="C771" s="9">
        <v>42679</v>
      </c>
      <c r="D771" s="13">
        <f t="shared" ref="D771:D834" si="49">YEAR(C771)</f>
        <v>2016</v>
      </c>
      <c r="E771" s="13">
        <f t="shared" ref="E771:E834" si="50">MONTH(C771)</f>
        <v>11</v>
      </c>
      <c r="F771" s="13">
        <f t="shared" ref="F771:F834" si="51">DAY(C771)</f>
        <v>5</v>
      </c>
      <c r="G771" s="4" t="s">
        <v>14</v>
      </c>
      <c r="H771">
        <v>46.934399999999997</v>
      </c>
      <c r="I771">
        <v>6.5835999999999997</v>
      </c>
      <c r="J771" s="4" t="s">
        <v>15</v>
      </c>
      <c r="L771" s="4" t="s">
        <v>1</v>
      </c>
      <c r="N771" s="4" t="s">
        <v>17</v>
      </c>
      <c r="O771" s="4" t="s">
        <v>29</v>
      </c>
    </row>
    <row r="772" spans="1:15" x14ac:dyDescent="0.25">
      <c r="A772">
        <f t="shared" si="48"/>
        <v>118491</v>
      </c>
      <c r="B772" t="s">
        <v>300</v>
      </c>
      <c r="C772" s="9">
        <v>42679</v>
      </c>
      <c r="D772" s="13">
        <f t="shared" si="49"/>
        <v>2016</v>
      </c>
      <c r="E772" s="13">
        <f t="shared" si="50"/>
        <v>11</v>
      </c>
      <c r="F772" s="13">
        <f t="shared" si="51"/>
        <v>5</v>
      </c>
      <c r="G772" s="4" t="s">
        <v>14</v>
      </c>
      <c r="H772">
        <v>46.934399999999997</v>
      </c>
      <c r="I772">
        <v>6.5835999999999997</v>
      </c>
      <c r="J772" s="4" t="s">
        <v>15</v>
      </c>
      <c r="L772" s="4" t="s">
        <v>1</v>
      </c>
      <c r="N772" s="4" t="s">
        <v>17</v>
      </c>
      <c r="O772" s="4" t="s">
        <v>29</v>
      </c>
    </row>
    <row r="773" spans="1:15" x14ac:dyDescent="0.25">
      <c r="A773">
        <f t="shared" si="48"/>
        <v>118492</v>
      </c>
      <c r="B773" t="s">
        <v>301</v>
      </c>
      <c r="C773" s="9">
        <v>42679</v>
      </c>
      <c r="D773" s="13">
        <f t="shared" si="49"/>
        <v>2016</v>
      </c>
      <c r="E773" s="13">
        <f t="shared" si="50"/>
        <v>11</v>
      </c>
      <c r="F773" s="13">
        <f t="shared" si="51"/>
        <v>5</v>
      </c>
      <c r="G773" s="4" t="s">
        <v>14</v>
      </c>
      <c r="H773">
        <v>46.934399999999997</v>
      </c>
      <c r="I773">
        <v>6.5835999999999997</v>
      </c>
      <c r="J773" s="4" t="s">
        <v>15</v>
      </c>
      <c r="L773" s="4" t="s">
        <v>1</v>
      </c>
      <c r="N773" s="4" t="s">
        <v>17</v>
      </c>
      <c r="O773" s="4" t="s">
        <v>29</v>
      </c>
    </row>
    <row r="774" spans="1:15" x14ac:dyDescent="0.25">
      <c r="A774">
        <f t="shared" si="48"/>
        <v>118493</v>
      </c>
      <c r="B774" t="s">
        <v>302</v>
      </c>
      <c r="C774" s="9">
        <v>42679</v>
      </c>
      <c r="D774" s="13">
        <f t="shared" si="49"/>
        <v>2016</v>
      </c>
      <c r="E774" s="13">
        <f t="shared" si="50"/>
        <v>11</v>
      </c>
      <c r="F774" s="13">
        <f t="shared" si="51"/>
        <v>5</v>
      </c>
      <c r="G774" s="4" t="s">
        <v>14</v>
      </c>
      <c r="H774">
        <v>46.934399999999997</v>
      </c>
      <c r="I774">
        <v>6.5835999999999997</v>
      </c>
      <c r="J774" s="4" t="s">
        <v>15</v>
      </c>
      <c r="L774" s="4" t="s">
        <v>1</v>
      </c>
      <c r="N774" s="4" t="s">
        <v>17</v>
      </c>
      <c r="O774" s="4" t="s">
        <v>29</v>
      </c>
    </row>
    <row r="775" spans="1:15" x14ac:dyDescent="0.25">
      <c r="A775">
        <f t="shared" si="48"/>
        <v>118494</v>
      </c>
      <c r="B775" t="s">
        <v>303</v>
      </c>
      <c r="C775" s="9">
        <v>42679</v>
      </c>
      <c r="D775" s="13">
        <f t="shared" si="49"/>
        <v>2016</v>
      </c>
      <c r="E775" s="13">
        <f t="shared" si="50"/>
        <v>11</v>
      </c>
      <c r="F775" s="13">
        <f t="shared" si="51"/>
        <v>5</v>
      </c>
      <c r="G775" s="4" t="s">
        <v>14</v>
      </c>
      <c r="H775">
        <v>46.992800000000003</v>
      </c>
      <c r="I775">
        <v>6.6971999999999996</v>
      </c>
      <c r="J775" s="4" t="s">
        <v>15</v>
      </c>
      <c r="L775" s="4" t="s">
        <v>1</v>
      </c>
      <c r="N775" s="4" t="s">
        <v>17</v>
      </c>
      <c r="O775" s="4" t="s">
        <v>184</v>
      </c>
    </row>
    <row r="776" spans="1:15" x14ac:dyDescent="0.25">
      <c r="A776">
        <f t="shared" si="48"/>
        <v>118495</v>
      </c>
      <c r="B776" t="s">
        <v>304</v>
      </c>
      <c r="C776" s="9">
        <v>42679</v>
      </c>
      <c r="D776" s="13">
        <f t="shared" si="49"/>
        <v>2016</v>
      </c>
      <c r="E776" s="13">
        <f t="shared" si="50"/>
        <v>11</v>
      </c>
      <c r="F776" s="13">
        <f t="shared" si="51"/>
        <v>5</v>
      </c>
      <c r="G776" s="4" t="s">
        <v>14</v>
      </c>
      <c r="H776">
        <v>46.992800000000003</v>
      </c>
      <c r="I776">
        <v>6.6971999999999996</v>
      </c>
      <c r="J776" s="4" t="s">
        <v>15</v>
      </c>
      <c r="L776" s="4" t="s">
        <v>1</v>
      </c>
      <c r="N776" s="4" t="s">
        <v>17</v>
      </c>
      <c r="O776" s="4" t="s">
        <v>29</v>
      </c>
    </row>
    <row r="777" spans="1:15" x14ac:dyDescent="0.25">
      <c r="A777">
        <f t="shared" si="48"/>
        <v>118496</v>
      </c>
      <c r="B777" t="s">
        <v>305</v>
      </c>
      <c r="C777" s="9">
        <v>42679</v>
      </c>
      <c r="D777" s="13">
        <f t="shared" si="49"/>
        <v>2016</v>
      </c>
      <c r="E777" s="13">
        <f t="shared" si="50"/>
        <v>11</v>
      </c>
      <c r="F777" s="13">
        <f t="shared" si="51"/>
        <v>5</v>
      </c>
      <c r="G777" s="4" t="s">
        <v>14</v>
      </c>
      <c r="H777">
        <v>46.992800000000003</v>
      </c>
      <c r="I777">
        <v>6.6971999999999996</v>
      </c>
      <c r="J777" s="4" t="s">
        <v>15</v>
      </c>
      <c r="L777" s="4" t="s">
        <v>1</v>
      </c>
      <c r="N777" s="4" t="s">
        <v>17</v>
      </c>
      <c r="O777" s="4" t="s">
        <v>29</v>
      </c>
    </row>
    <row r="778" spans="1:15" x14ac:dyDescent="0.25">
      <c r="A778">
        <f t="shared" si="48"/>
        <v>118497</v>
      </c>
      <c r="B778" t="s">
        <v>306</v>
      </c>
      <c r="C778" s="9">
        <v>42679</v>
      </c>
      <c r="D778" s="13">
        <f t="shared" si="49"/>
        <v>2016</v>
      </c>
      <c r="E778" s="13">
        <f t="shared" si="50"/>
        <v>11</v>
      </c>
      <c r="F778" s="13">
        <f t="shared" si="51"/>
        <v>5</v>
      </c>
      <c r="G778" s="4" t="s">
        <v>14</v>
      </c>
      <c r="H778">
        <v>46.972799999999999</v>
      </c>
      <c r="I778">
        <v>6.6696999999999997</v>
      </c>
      <c r="J778" s="4" t="s">
        <v>15</v>
      </c>
      <c r="L778" s="4" t="s">
        <v>1</v>
      </c>
      <c r="N778" s="4" t="s">
        <v>17</v>
      </c>
      <c r="O778" s="4" t="s">
        <v>29</v>
      </c>
    </row>
    <row r="779" spans="1:15" x14ac:dyDescent="0.25">
      <c r="A779">
        <f t="shared" si="48"/>
        <v>118498</v>
      </c>
      <c r="B779" t="s">
        <v>307</v>
      </c>
      <c r="C779" s="9">
        <v>42679</v>
      </c>
      <c r="D779" s="13">
        <f t="shared" si="49"/>
        <v>2016</v>
      </c>
      <c r="E779" s="13">
        <f t="shared" si="50"/>
        <v>11</v>
      </c>
      <c r="F779" s="13">
        <f t="shared" si="51"/>
        <v>5</v>
      </c>
      <c r="G779" s="4" t="s">
        <v>14</v>
      </c>
      <c r="H779">
        <v>46.972799999999999</v>
      </c>
      <c r="I779">
        <v>6.6696999999999997</v>
      </c>
      <c r="J779" s="4" t="s">
        <v>15</v>
      </c>
      <c r="L779" s="4" t="s">
        <v>1</v>
      </c>
      <c r="N779" s="4" t="s">
        <v>17</v>
      </c>
      <c r="O779" s="4" t="s">
        <v>29</v>
      </c>
    </row>
    <row r="780" spans="1:15" x14ac:dyDescent="0.25">
      <c r="A780">
        <f t="shared" si="48"/>
        <v>118499</v>
      </c>
      <c r="B780" t="s">
        <v>308</v>
      </c>
      <c r="C780" s="9">
        <v>42818</v>
      </c>
      <c r="D780" s="13">
        <f t="shared" si="49"/>
        <v>2017</v>
      </c>
      <c r="E780" s="13">
        <f t="shared" si="50"/>
        <v>3</v>
      </c>
      <c r="F780" s="13">
        <f t="shared" si="51"/>
        <v>24</v>
      </c>
      <c r="G780" s="4" t="s">
        <v>14</v>
      </c>
      <c r="H780">
        <v>46.934399999999997</v>
      </c>
      <c r="I780">
        <v>6.5835999999999997</v>
      </c>
      <c r="J780" s="4" t="s">
        <v>15</v>
      </c>
      <c r="L780" s="4" t="s">
        <v>1</v>
      </c>
      <c r="N780" s="4" t="s">
        <v>17</v>
      </c>
      <c r="O780" s="4" t="s">
        <v>19</v>
      </c>
    </row>
    <row r="781" spans="1:15" x14ac:dyDescent="0.25">
      <c r="A781">
        <f t="shared" si="48"/>
        <v>118500</v>
      </c>
      <c r="B781" t="s">
        <v>309</v>
      </c>
      <c r="C781" s="9">
        <v>42824</v>
      </c>
      <c r="D781" s="13">
        <f t="shared" si="49"/>
        <v>2017</v>
      </c>
      <c r="E781" s="13">
        <f t="shared" si="50"/>
        <v>3</v>
      </c>
      <c r="F781" s="13">
        <f t="shared" si="51"/>
        <v>30</v>
      </c>
      <c r="G781" s="4" t="s">
        <v>14</v>
      </c>
      <c r="H781">
        <v>47.007199999999997</v>
      </c>
      <c r="I781">
        <v>6.7247000000000003</v>
      </c>
      <c r="J781" s="4" t="s">
        <v>15</v>
      </c>
      <c r="L781" s="4" t="s">
        <v>42</v>
      </c>
      <c r="M781" s="4" t="s">
        <v>43</v>
      </c>
      <c r="N781" s="4" t="s">
        <v>16</v>
      </c>
      <c r="O781" s="4" t="s">
        <v>27</v>
      </c>
    </row>
    <row r="782" spans="1:15" x14ac:dyDescent="0.25">
      <c r="A782">
        <f t="shared" si="48"/>
        <v>118500</v>
      </c>
      <c r="B782" t="s">
        <v>309</v>
      </c>
      <c r="C782" s="9">
        <v>42855</v>
      </c>
      <c r="D782" s="13">
        <f t="shared" si="49"/>
        <v>2017</v>
      </c>
      <c r="E782" s="13">
        <f t="shared" si="50"/>
        <v>4</v>
      </c>
      <c r="F782" s="13">
        <f t="shared" si="51"/>
        <v>30</v>
      </c>
      <c r="G782" s="4" t="s">
        <v>14</v>
      </c>
      <c r="H782">
        <v>46.988556010496183</v>
      </c>
      <c r="I782">
        <v>6.6718870065411746</v>
      </c>
      <c r="J782" s="4" t="s">
        <v>44</v>
      </c>
      <c r="L782" s="4" t="s">
        <v>42</v>
      </c>
      <c r="M782" s="4" t="s">
        <v>43</v>
      </c>
      <c r="N782" s="4" t="s">
        <v>16</v>
      </c>
    </row>
    <row r="783" spans="1:15" x14ac:dyDescent="0.25">
      <c r="A783">
        <f t="shared" si="48"/>
        <v>118500</v>
      </c>
      <c r="B783" t="s">
        <v>309</v>
      </c>
      <c r="C783" s="9">
        <v>42870</v>
      </c>
      <c r="D783" s="13">
        <f t="shared" si="49"/>
        <v>2017</v>
      </c>
      <c r="E783" s="13">
        <f t="shared" si="50"/>
        <v>5</v>
      </c>
      <c r="F783" s="13">
        <f t="shared" si="51"/>
        <v>15</v>
      </c>
      <c r="G783" s="4" t="s">
        <v>14</v>
      </c>
      <c r="H783">
        <v>46.98773601049453</v>
      </c>
      <c r="I783">
        <v>6.6781750065483321</v>
      </c>
      <c r="J783" s="4" t="s">
        <v>44</v>
      </c>
      <c r="L783" s="4" t="s">
        <v>42</v>
      </c>
      <c r="M783" s="4" t="s">
        <v>43</v>
      </c>
      <c r="N783" s="4" t="s">
        <v>16</v>
      </c>
    </row>
    <row r="784" spans="1:15" x14ac:dyDescent="0.25">
      <c r="A784">
        <f t="shared" ref="A784:A847" si="52">RIGHT(B784,6)*1</f>
        <v>118500</v>
      </c>
      <c r="B784" t="s">
        <v>309</v>
      </c>
      <c r="C784" s="9">
        <v>42900</v>
      </c>
      <c r="D784" s="13">
        <f t="shared" si="49"/>
        <v>2017</v>
      </c>
      <c r="E784" s="13">
        <f t="shared" si="50"/>
        <v>6</v>
      </c>
      <c r="F784" s="13">
        <f t="shared" si="51"/>
        <v>14</v>
      </c>
      <c r="G784" s="4" t="s">
        <v>14</v>
      </c>
      <c r="H784">
        <v>46.987900010495338</v>
      </c>
      <c r="I784">
        <v>6.674442006544151</v>
      </c>
      <c r="J784" s="4" t="s">
        <v>44</v>
      </c>
      <c r="L784" s="4" t="s">
        <v>42</v>
      </c>
      <c r="M784" s="4" t="s">
        <v>43</v>
      </c>
      <c r="N784" s="4" t="s">
        <v>16</v>
      </c>
    </row>
    <row r="785" spans="1:15" x14ac:dyDescent="0.25">
      <c r="A785">
        <f t="shared" si="52"/>
        <v>118500</v>
      </c>
      <c r="B785" t="s">
        <v>309</v>
      </c>
      <c r="C785" s="9">
        <v>42930</v>
      </c>
      <c r="D785" s="13">
        <f t="shared" si="49"/>
        <v>2017</v>
      </c>
      <c r="E785" s="13">
        <f t="shared" si="50"/>
        <v>7</v>
      </c>
      <c r="F785" s="13">
        <f t="shared" si="51"/>
        <v>14</v>
      </c>
      <c r="G785" s="4" t="s">
        <v>14</v>
      </c>
      <c r="H785">
        <v>46.984440010493799</v>
      </c>
      <c r="I785">
        <v>6.6753760065459362</v>
      </c>
      <c r="J785" s="4" t="s">
        <v>44</v>
      </c>
      <c r="L785" s="4" t="s">
        <v>42</v>
      </c>
      <c r="M785" s="4" t="s">
        <v>43</v>
      </c>
      <c r="N785" s="4" t="s">
        <v>16</v>
      </c>
    </row>
    <row r="786" spans="1:15" x14ac:dyDescent="0.25">
      <c r="A786">
        <f t="shared" si="52"/>
        <v>118500</v>
      </c>
      <c r="B786" t="s">
        <v>309</v>
      </c>
      <c r="C786" s="9">
        <v>42961</v>
      </c>
      <c r="D786" s="13">
        <f t="shared" si="49"/>
        <v>2017</v>
      </c>
      <c r="E786" s="13">
        <f t="shared" si="50"/>
        <v>8</v>
      </c>
      <c r="F786" s="13">
        <f t="shared" si="51"/>
        <v>14</v>
      </c>
      <c r="G786" s="4" t="s">
        <v>14</v>
      </c>
      <c r="H786">
        <v>46.987268010494908</v>
      </c>
      <c r="I786">
        <v>6.6755010065454652</v>
      </c>
      <c r="J786" s="4" t="s">
        <v>44</v>
      </c>
      <c r="L786" s="4" t="s">
        <v>42</v>
      </c>
      <c r="M786" s="4" t="s">
        <v>43</v>
      </c>
      <c r="N786" s="4" t="s">
        <v>16</v>
      </c>
    </row>
    <row r="787" spans="1:15" x14ac:dyDescent="0.25">
      <c r="A787">
        <f t="shared" si="52"/>
        <v>118500</v>
      </c>
      <c r="B787" t="s">
        <v>309</v>
      </c>
      <c r="C787" s="9">
        <v>42993</v>
      </c>
      <c r="D787" s="13">
        <f t="shared" si="49"/>
        <v>2017</v>
      </c>
      <c r="E787" s="13">
        <f t="shared" si="50"/>
        <v>9</v>
      </c>
      <c r="F787" s="13">
        <f t="shared" si="51"/>
        <v>15</v>
      </c>
      <c r="G787" s="4" t="s">
        <v>14</v>
      </c>
      <c r="H787">
        <v>46.98717601049372</v>
      </c>
      <c r="I787">
        <v>6.6807630065513246</v>
      </c>
      <c r="J787" s="4" t="s">
        <v>44</v>
      </c>
      <c r="L787" s="4" t="s">
        <v>42</v>
      </c>
      <c r="M787" s="4" t="s">
        <v>43</v>
      </c>
      <c r="N787" s="4" t="s">
        <v>16</v>
      </c>
    </row>
    <row r="788" spans="1:15" x14ac:dyDescent="0.25">
      <c r="A788">
        <f t="shared" si="52"/>
        <v>118500</v>
      </c>
      <c r="B788" t="s">
        <v>309</v>
      </c>
      <c r="C788" s="9">
        <v>43024</v>
      </c>
      <c r="D788" s="13">
        <f t="shared" si="49"/>
        <v>2017</v>
      </c>
      <c r="E788" s="13">
        <f t="shared" si="50"/>
        <v>10</v>
      </c>
      <c r="F788" s="13">
        <f t="shared" si="51"/>
        <v>16</v>
      </c>
      <c r="G788" s="4" t="s">
        <v>14</v>
      </c>
      <c r="H788">
        <v>46.988152010494623</v>
      </c>
      <c r="I788">
        <v>6.6784760065485758</v>
      </c>
      <c r="J788" s="4" t="s">
        <v>44</v>
      </c>
      <c r="L788" s="4" t="s">
        <v>42</v>
      </c>
      <c r="M788" s="4" t="s">
        <v>43</v>
      </c>
      <c r="N788" s="4" t="s">
        <v>16</v>
      </c>
    </row>
    <row r="789" spans="1:15" x14ac:dyDescent="0.25">
      <c r="A789">
        <f t="shared" si="52"/>
        <v>118500</v>
      </c>
      <c r="B789" t="s">
        <v>309</v>
      </c>
      <c r="C789" s="9">
        <v>43048</v>
      </c>
      <c r="D789" s="13">
        <f t="shared" si="49"/>
        <v>2017</v>
      </c>
      <c r="E789" s="13">
        <f t="shared" si="50"/>
        <v>11</v>
      </c>
      <c r="F789" s="13">
        <f t="shared" si="51"/>
        <v>9</v>
      </c>
      <c r="G789" s="4" t="s">
        <v>14</v>
      </c>
      <c r="H789">
        <v>47.008200010493667</v>
      </c>
      <c r="I789">
        <v>6.7195940065898201</v>
      </c>
      <c r="J789" s="4" t="s">
        <v>44</v>
      </c>
      <c r="L789" s="4" t="s">
        <v>42</v>
      </c>
      <c r="M789" s="4" t="s">
        <v>43</v>
      </c>
      <c r="N789" s="4" t="s">
        <v>16</v>
      </c>
    </row>
    <row r="790" spans="1:15" x14ac:dyDescent="0.25">
      <c r="A790">
        <f t="shared" si="52"/>
        <v>118500</v>
      </c>
      <c r="B790" t="s">
        <v>309</v>
      </c>
      <c r="C790" s="9">
        <v>43183</v>
      </c>
      <c r="D790" s="13">
        <f t="shared" si="49"/>
        <v>2018</v>
      </c>
      <c r="E790" s="13">
        <f t="shared" si="50"/>
        <v>3</v>
      </c>
      <c r="F790" s="13">
        <f t="shared" si="51"/>
        <v>24</v>
      </c>
      <c r="G790" s="4" t="s">
        <v>14</v>
      </c>
      <c r="H790">
        <v>46.931720010462541</v>
      </c>
      <c r="I790">
        <v>6.721950006609033</v>
      </c>
      <c r="J790" s="4" t="s">
        <v>44</v>
      </c>
      <c r="L790" s="4" t="s">
        <v>42</v>
      </c>
      <c r="M790" s="4" t="s">
        <v>43</v>
      </c>
      <c r="N790" s="4" t="s">
        <v>16</v>
      </c>
    </row>
    <row r="791" spans="1:15" x14ac:dyDescent="0.25">
      <c r="A791">
        <f t="shared" si="52"/>
        <v>118500</v>
      </c>
      <c r="B791" t="s">
        <v>309</v>
      </c>
      <c r="C791" s="9">
        <v>43206</v>
      </c>
      <c r="D791" s="13">
        <f t="shared" si="49"/>
        <v>2018</v>
      </c>
      <c r="E791" s="13">
        <f t="shared" si="50"/>
        <v>4</v>
      </c>
      <c r="F791" s="13">
        <f t="shared" si="51"/>
        <v>16</v>
      </c>
      <c r="G791" s="4" t="s">
        <v>14</v>
      </c>
      <c r="H791">
        <v>46.991060010496689</v>
      </c>
      <c r="I791">
        <v>6.6742390065432424</v>
      </c>
      <c r="J791" s="4" t="s">
        <v>44</v>
      </c>
      <c r="L791" s="4" t="s">
        <v>42</v>
      </c>
      <c r="M791" s="4" t="s">
        <v>43</v>
      </c>
      <c r="N791" s="4" t="s">
        <v>16</v>
      </c>
    </row>
    <row r="792" spans="1:15" x14ac:dyDescent="0.25">
      <c r="A792">
        <f t="shared" si="52"/>
        <v>118500</v>
      </c>
      <c r="B792" t="s">
        <v>309</v>
      </c>
      <c r="C792" s="9">
        <v>43236</v>
      </c>
      <c r="D792" s="13">
        <f t="shared" si="49"/>
        <v>2018</v>
      </c>
      <c r="E792" s="13">
        <f t="shared" si="50"/>
        <v>5</v>
      </c>
      <c r="F792" s="13">
        <f t="shared" si="51"/>
        <v>16</v>
      </c>
      <c r="G792" s="4" t="s">
        <v>14</v>
      </c>
      <c r="H792">
        <v>46.987136010494673</v>
      </c>
      <c r="I792">
        <v>6.6762300065463034</v>
      </c>
      <c r="J792" s="4" t="s">
        <v>44</v>
      </c>
      <c r="L792" s="4" t="s">
        <v>42</v>
      </c>
      <c r="M792" s="4" t="s">
        <v>43</v>
      </c>
      <c r="N792" s="4" t="s">
        <v>16</v>
      </c>
    </row>
    <row r="793" spans="1:15" x14ac:dyDescent="0.25">
      <c r="A793">
        <f t="shared" si="52"/>
        <v>118500</v>
      </c>
      <c r="B793" t="s">
        <v>309</v>
      </c>
      <c r="C793" s="9">
        <v>43267</v>
      </c>
      <c r="D793" s="13">
        <f t="shared" si="49"/>
        <v>2018</v>
      </c>
      <c r="E793" s="13">
        <f t="shared" si="50"/>
        <v>6</v>
      </c>
      <c r="F793" s="13">
        <f t="shared" si="51"/>
        <v>16</v>
      </c>
      <c r="G793" s="4" t="s">
        <v>14</v>
      </c>
      <c r="H793">
        <v>46.987268010493757</v>
      </c>
      <c r="I793">
        <v>6.6807410065512816</v>
      </c>
      <c r="J793" s="4" t="s">
        <v>44</v>
      </c>
      <c r="L793" s="4" t="s">
        <v>42</v>
      </c>
      <c r="M793" s="4" t="s">
        <v>43</v>
      </c>
      <c r="N793" s="4" t="s">
        <v>16</v>
      </c>
    </row>
    <row r="794" spans="1:15" x14ac:dyDescent="0.25">
      <c r="A794">
        <f t="shared" si="52"/>
        <v>118500</v>
      </c>
      <c r="B794" t="s">
        <v>309</v>
      </c>
      <c r="C794" s="9">
        <v>43297</v>
      </c>
      <c r="D794" s="13">
        <f t="shared" si="49"/>
        <v>2018</v>
      </c>
      <c r="E794" s="13">
        <f t="shared" si="50"/>
        <v>7</v>
      </c>
      <c r="F794" s="13">
        <f t="shared" si="51"/>
        <v>16</v>
      </c>
      <c r="G794" s="4" t="s">
        <v>14</v>
      </c>
      <c r="H794">
        <v>47.009364010492163</v>
      </c>
      <c r="I794">
        <v>6.728756006599709</v>
      </c>
      <c r="J794" s="4" t="s">
        <v>44</v>
      </c>
      <c r="L794" s="4" t="s">
        <v>42</v>
      </c>
      <c r="M794" s="4" t="s">
        <v>43</v>
      </c>
      <c r="N794" s="4" t="s">
        <v>16</v>
      </c>
    </row>
    <row r="795" spans="1:15" x14ac:dyDescent="0.25">
      <c r="A795">
        <f t="shared" si="52"/>
        <v>118500</v>
      </c>
      <c r="B795" t="s">
        <v>309</v>
      </c>
      <c r="C795" s="9">
        <v>43328</v>
      </c>
      <c r="D795" s="13">
        <f t="shared" si="49"/>
        <v>2018</v>
      </c>
      <c r="E795" s="13">
        <f t="shared" si="50"/>
        <v>8</v>
      </c>
      <c r="F795" s="13">
        <f t="shared" si="51"/>
        <v>16</v>
      </c>
      <c r="G795" s="4" t="s">
        <v>14</v>
      </c>
      <c r="H795">
        <v>46.987424010495062</v>
      </c>
      <c r="I795">
        <v>6.6751290065450171</v>
      </c>
      <c r="J795" s="4" t="s">
        <v>44</v>
      </c>
      <c r="L795" s="4" t="s">
        <v>42</v>
      </c>
      <c r="M795" s="4" t="s">
        <v>43</v>
      </c>
      <c r="N795" s="4" t="s">
        <v>16</v>
      </c>
    </row>
    <row r="796" spans="1:15" x14ac:dyDescent="0.25">
      <c r="A796">
        <f t="shared" si="52"/>
        <v>118500</v>
      </c>
      <c r="B796" t="s">
        <v>309</v>
      </c>
      <c r="C796" s="9">
        <v>43357</v>
      </c>
      <c r="D796" s="13">
        <f t="shared" si="49"/>
        <v>2018</v>
      </c>
      <c r="E796" s="13">
        <f t="shared" si="50"/>
        <v>9</v>
      </c>
      <c r="F796" s="13">
        <f t="shared" si="51"/>
        <v>14</v>
      </c>
      <c r="G796" s="4" t="s">
        <v>14</v>
      </c>
      <c r="H796">
        <v>46.987484010494903</v>
      </c>
      <c r="I796">
        <v>6.6757590065457046</v>
      </c>
      <c r="J796" s="4" t="s">
        <v>44</v>
      </c>
      <c r="L796" s="4" t="s">
        <v>42</v>
      </c>
      <c r="M796" s="4" t="s">
        <v>43</v>
      </c>
      <c r="N796" s="4" t="s">
        <v>16</v>
      </c>
    </row>
    <row r="797" spans="1:15" x14ac:dyDescent="0.25">
      <c r="A797">
        <f t="shared" si="52"/>
        <v>118500</v>
      </c>
      <c r="B797" t="s">
        <v>309</v>
      </c>
      <c r="C797" s="9">
        <v>43400</v>
      </c>
      <c r="D797" s="13">
        <f t="shared" si="49"/>
        <v>2018</v>
      </c>
      <c r="E797" s="13">
        <f t="shared" si="50"/>
        <v>10</v>
      </c>
      <c r="F797" s="13">
        <f t="shared" si="51"/>
        <v>27</v>
      </c>
      <c r="G797" s="4" t="s">
        <v>14</v>
      </c>
      <c r="H797">
        <v>47.006176010490883</v>
      </c>
      <c r="I797">
        <v>6.7287980066004538</v>
      </c>
      <c r="J797" s="4" t="s">
        <v>44</v>
      </c>
      <c r="L797" s="4" t="s">
        <v>42</v>
      </c>
      <c r="M797" s="4" t="s">
        <v>43</v>
      </c>
      <c r="N797" s="4" t="s">
        <v>17</v>
      </c>
    </row>
    <row r="798" spans="1:15" x14ac:dyDescent="0.25">
      <c r="A798">
        <f t="shared" si="52"/>
        <v>121951</v>
      </c>
      <c r="B798" t="s">
        <v>310</v>
      </c>
      <c r="C798" s="9">
        <v>43030</v>
      </c>
      <c r="D798" s="13">
        <f t="shared" si="49"/>
        <v>2017</v>
      </c>
      <c r="E798" s="13">
        <f t="shared" si="50"/>
        <v>10</v>
      </c>
      <c r="F798" s="13">
        <f t="shared" si="51"/>
        <v>22</v>
      </c>
      <c r="G798" s="4" t="s">
        <v>14</v>
      </c>
      <c r="H798">
        <v>46.992800000000003</v>
      </c>
      <c r="I798">
        <v>6.6971999999999996</v>
      </c>
      <c r="J798" s="4" t="s">
        <v>15</v>
      </c>
      <c r="L798" s="4" t="s">
        <v>1</v>
      </c>
      <c r="N798" s="4" t="s">
        <v>17</v>
      </c>
      <c r="O798" s="4" t="s">
        <v>29</v>
      </c>
    </row>
    <row r="799" spans="1:15" x14ac:dyDescent="0.25">
      <c r="A799">
        <f t="shared" si="52"/>
        <v>121952</v>
      </c>
      <c r="B799" t="s">
        <v>311</v>
      </c>
      <c r="C799" s="9">
        <v>43030</v>
      </c>
      <c r="D799" s="13">
        <f t="shared" si="49"/>
        <v>2017</v>
      </c>
      <c r="E799" s="13">
        <f t="shared" si="50"/>
        <v>10</v>
      </c>
      <c r="F799" s="13">
        <f t="shared" si="51"/>
        <v>22</v>
      </c>
      <c r="G799" s="4" t="s">
        <v>14</v>
      </c>
      <c r="H799">
        <v>46.929699999999997</v>
      </c>
      <c r="I799">
        <v>6.4603000000000002</v>
      </c>
      <c r="J799" s="4" t="s">
        <v>15</v>
      </c>
      <c r="L799" s="4" t="s">
        <v>1</v>
      </c>
      <c r="N799" s="4" t="s">
        <v>17</v>
      </c>
      <c r="O799" s="4" t="s">
        <v>184</v>
      </c>
    </row>
    <row r="800" spans="1:15" x14ac:dyDescent="0.25">
      <c r="A800">
        <f t="shared" si="52"/>
        <v>121953</v>
      </c>
      <c r="B800" t="s">
        <v>312</v>
      </c>
      <c r="C800" s="9">
        <v>43030</v>
      </c>
      <c r="D800" s="13">
        <f t="shared" si="49"/>
        <v>2017</v>
      </c>
      <c r="E800" s="13">
        <f t="shared" si="50"/>
        <v>10</v>
      </c>
      <c r="F800" s="13">
        <f t="shared" si="51"/>
        <v>22</v>
      </c>
      <c r="G800" s="4" t="s">
        <v>14</v>
      </c>
      <c r="H800">
        <v>46.929699999999997</v>
      </c>
      <c r="I800">
        <v>6.4603000000000002</v>
      </c>
      <c r="J800" s="4" t="s">
        <v>15</v>
      </c>
      <c r="L800" s="4" t="s">
        <v>1</v>
      </c>
      <c r="N800" s="4" t="s">
        <v>17</v>
      </c>
      <c r="O800" s="4" t="s">
        <v>29</v>
      </c>
    </row>
    <row r="801" spans="1:15" x14ac:dyDescent="0.25">
      <c r="A801">
        <f t="shared" si="52"/>
        <v>121954</v>
      </c>
      <c r="B801" t="s">
        <v>313</v>
      </c>
      <c r="C801" s="9">
        <v>43030</v>
      </c>
      <c r="D801" s="13">
        <f t="shared" si="49"/>
        <v>2017</v>
      </c>
      <c r="E801" s="13">
        <f t="shared" si="50"/>
        <v>10</v>
      </c>
      <c r="F801" s="13">
        <f t="shared" si="51"/>
        <v>22</v>
      </c>
      <c r="G801" s="4" t="s">
        <v>14</v>
      </c>
      <c r="H801">
        <v>46.929699999999997</v>
      </c>
      <c r="I801">
        <v>6.4603000000000002</v>
      </c>
      <c r="J801" s="4" t="s">
        <v>15</v>
      </c>
      <c r="L801" s="4" t="s">
        <v>1</v>
      </c>
      <c r="N801" s="4" t="s">
        <v>16</v>
      </c>
      <c r="O801" s="4" t="s">
        <v>184</v>
      </c>
    </row>
    <row r="802" spans="1:15" x14ac:dyDescent="0.25">
      <c r="A802">
        <f t="shared" si="52"/>
        <v>121954</v>
      </c>
      <c r="B802" t="s">
        <v>313</v>
      </c>
      <c r="C802" s="9">
        <v>43034</v>
      </c>
      <c r="D802" s="13">
        <f t="shared" si="49"/>
        <v>2017</v>
      </c>
      <c r="E802" s="13">
        <f t="shared" si="50"/>
        <v>10</v>
      </c>
      <c r="F802" s="13">
        <f t="shared" si="51"/>
        <v>26</v>
      </c>
      <c r="G802" s="4" t="s">
        <v>14</v>
      </c>
      <c r="H802">
        <v>46.916699999999999</v>
      </c>
      <c r="I802">
        <v>6.4667000000000003</v>
      </c>
      <c r="J802" s="4" t="s">
        <v>21</v>
      </c>
      <c r="K802" s="4" t="s">
        <v>22</v>
      </c>
      <c r="L802" s="4" t="s">
        <v>1</v>
      </c>
      <c r="N802" s="4" t="s">
        <v>17</v>
      </c>
    </row>
    <row r="803" spans="1:15" x14ac:dyDescent="0.25">
      <c r="A803">
        <f t="shared" si="52"/>
        <v>121955</v>
      </c>
      <c r="B803" t="s">
        <v>314</v>
      </c>
      <c r="C803" s="9">
        <v>43030</v>
      </c>
      <c r="D803" s="13">
        <f t="shared" si="49"/>
        <v>2017</v>
      </c>
      <c r="E803" s="13">
        <f t="shared" si="50"/>
        <v>10</v>
      </c>
      <c r="F803" s="13">
        <f t="shared" si="51"/>
        <v>22</v>
      </c>
      <c r="G803" s="4" t="s">
        <v>14</v>
      </c>
      <c r="H803">
        <v>46.929699999999997</v>
      </c>
      <c r="I803">
        <v>6.4603000000000002</v>
      </c>
      <c r="J803" s="4" t="s">
        <v>15</v>
      </c>
      <c r="L803" s="4" t="s">
        <v>1</v>
      </c>
      <c r="N803" s="4" t="s">
        <v>17</v>
      </c>
      <c r="O803" s="4" t="s">
        <v>27</v>
      </c>
    </row>
    <row r="804" spans="1:15" x14ac:dyDescent="0.25">
      <c r="A804">
        <f t="shared" si="52"/>
        <v>121956</v>
      </c>
      <c r="B804" t="s">
        <v>315</v>
      </c>
      <c r="C804" s="9">
        <v>43030</v>
      </c>
      <c r="D804" s="13">
        <f t="shared" si="49"/>
        <v>2017</v>
      </c>
      <c r="E804" s="13">
        <f t="shared" si="50"/>
        <v>10</v>
      </c>
      <c r="F804" s="13">
        <f t="shared" si="51"/>
        <v>22</v>
      </c>
      <c r="G804" s="4" t="s">
        <v>14</v>
      </c>
      <c r="H804">
        <v>46.929699999999997</v>
      </c>
      <c r="I804">
        <v>6.4603000000000002</v>
      </c>
      <c r="J804" s="4" t="s">
        <v>15</v>
      </c>
      <c r="L804" s="4" t="s">
        <v>1</v>
      </c>
      <c r="N804" s="4" t="s">
        <v>17</v>
      </c>
      <c r="O804" s="4" t="s">
        <v>184</v>
      </c>
    </row>
    <row r="805" spans="1:15" x14ac:dyDescent="0.25">
      <c r="A805">
        <f t="shared" si="52"/>
        <v>121957</v>
      </c>
      <c r="B805" t="s">
        <v>316</v>
      </c>
      <c r="C805" s="9">
        <v>43030</v>
      </c>
      <c r="D805" s="13">
        <f t="shared" si="49"/>
        <v>2017</v>
      </c>
      <c r="E805" s="13">
        <f t="shared" si="50"/>
        <v>10</v>
      </c>
      <c r="F805" s="13">
        <f t="shared" si="51"/>
        <v>22</v>
      </c>
      <c r="G805" s="4" t="s">
        <v>14</v>
      </c>
      <c r="H805">
        <v>46.929699999999997</v>
      </c>
      <c r="I805">
        <v>6.4603000000000002</v>
      </c>
      <c r="J805" s="4" t="s">
        <v>15</v>
      </c>
      <c r="L805" s="4" t="s">
        <v>1</v>
      </c>
      <c r="N805" s="4" t="s">
        <v>17</v>
      </c>
      <c r="O805" s="4" t="s">
        <v>29</v>
      </c>
    </row>
    <row r="806" spans="1:15" x14ac:dyDescent="0.25">
      <c r="A806">
        <f t="shared" si="52"/>
        <v>121958</v>
      </c>
      <c r="B806" t="s">
        <v>317</v>
      </c>
      <c r="C806" s="9">
        <v>43030</v>
      </c>
      <c r="D806" s="13">
        <f t="shared" si="49"/>
        <v>2017</v>
      </c>
      <c r="E806" s="13">
        <f t="shared" si="50"/>
        <v>10</v>
      </c>
      <c r="F806" s="13">
        <f t="shared" si="51"/>
        <v>22</v>
      </c>
      <c r="G806" s="4" t="s">
        <v>14</v>
      </c>
      <c r="H806">
        <v>46.934399999999997</v>
      </c>
      <c r="I806">
        <v>6.5835999999999997</v>
      </c>
      <c r="J806" s="4" t="s">
        <v>15</v>
      </c>
      <c r="L806" s="4" t="s">
        <v>1</v>
      </c>
      <c r="N806" s="4" t="s">
        <v>16</v>
      </c>
      <c r="O806" s="4" t="s">
        <v>29</v>
      </c>
    </row>
    <row r="807" spans="1:15" x14ac:dyDescent="0.25">
      <c r="A807">
        <f t="shared" si="52"/>
        <v>121958</v>
      </c>
      <c r="B807" t="s">
        <v>317</v>
      </c>
      <c r="C807" s="9">
        <v>43066</v>
      </c>
      <c r="D807" s="13">
        <f t="shared" si="49"/>
        <v>2017</v>
      </c>
      <c r="E807" s="13">
        <f t="shared" si="50"/>
        <v>11</v>
      </c>
      <c r="F807" s="13">
        <f t="shared" si="51"/>
        <v>27</v>
      </c>
      <c r="G807" s="4" t="s">
        <v>31</v>
      </c>
      <c r="H807">
        <v>46.133299999999998</v>
      </c>
      <c r="I807">
        <v>4.0167000000000002</v>
      </c>
      <c r="J807" s="4" t="s">
        <v>21</v>
      </c>
      <c r="K807" s="4" t="s">
        <v>22</v>
      </c>
      <c r="L807" s="4" t="s">
        <v>1</v>
      </c>
      <c r="N807" s="4" t="s">
        <v>17</v>
      </c>
    </row>
    <row r="808" spans="1:15" x14ac:dyDescent="0.25">
      <c r="A808">
        <f t="shared" si="52"/>
        <v>121959</v>
      </c>
      <c r="B808" t="s">
        <v>318</v>
      </c>
      <c r="C808" s="9">
        <v>43031</v>
      </c>
      <c r="D808" s="13">
        <f t="shared" si="49"/>
        <v>2017</v>
      </c>
      <c r="E808" s="13">
        <f t="shared" si="50"/>
        <v>10</v>
      </c>
      <c r="F808" s="13">
        <f t="shared" si="51"/>
        <v>23</v>
      </c>
      <c r="G808" s="4" t="s">
        <v>14</v>
      </c>
      <c r="H808">
        <v>46.992800000000003</v>
      </c>
      <c r="I808">
        <v>6.6971999999999996</v>
      </c>
      <c r="J808" s="4" t="s">
        <v>15</v>
      </c>
      <c r="L808" s="4" t="s">
        <v>1</v>
      </c>
      <c r="N808" s="4" t="s">
        <v>17</v>
      </c>
      <c r="O808" s="4" t="s">
        <v>29</v>
      </c>
    </row>
    <row r="809" spans="1:15" x14ac:dyDescent="0.25">
      <c r="A809">
        <f t="shared" si="52"/>
        <v>121960</v>
      </c>
      <c r="B809" t="s">
        <v>319</v>
      </c>
      <c r="C809" s="9">
        <v>43031</v>
      </c>
      <c r="D809" s="13">
        <f t="shared" si="49"/>
        <v>2017</v>
      </c>
      <c r="E809" s="13">
        <f t="shared" si="50"/>
        <v>10</v>
      </c>
      <c r="F809" s="13">
        <f t="shared" si="51"/>
        <v>23</v>
      </c>
      <c r="G809" s="4" t="s">
        <v>14</v>
      </c>
      <c r="H809">
        <v>46.992800000000003</v>
      </c>
      <c r="I809">
        <v>6.6971999999999996</v>
      </c>
      <c r="J809" s="4" t="s">
        <v>15</v>
      </c>
      <c r="L809" s="4" t="s">
        <v>1</v>
      </c>
      <c r="N809" s="4" t="s">
        <v>17</v>
      </c>
      <c r="O809" s="4" t="s">
        <v>29</v>
      </c>
    </row>
    <row r="810" spans="1:15" x14ac:dyDescent="0.25">
      <c r="A810">
        <f t="shared" si="52"/>
        <v>121961</v>
      </c>
      <c r="B810" t="s">
        <v>320</v>
      </c>
      <c r="C810" s="9">
        <v>43032</v>
      </c>
      <c r="D810" s="13">
        <f t="shared" si="49"/>
        <v>2017</v>
      </c>
      <c r="E810" s="13">
        <f t="shared" si="50"/>
        <v>10</v>
      </c>
      <c r="F810" s="13">
        <f t="shared" si="51"/>
        <v>24</v>
      </c>
      <c r="G810" s="4" t="s">
        <v>14</v>
      </c>
      <c r="H810">
        <v>46.9283</v>
      </c>
      <c r="I810">
        <v>6.7336</v>
      </c>
      <c r="J810" s="4" t="s">
        <v>15</v>
      </c>
      <c r="L810" s="4" t="s">
        <v>1</v>
      </c>
      <c r="N810" s="4" t="s">
        <v>17</v>
      </c>
      <c r="O810" s="4" t="s">
        <v>29</v>
      </c>
    </row>
    <row r="811" spans="1:15" x14ac:dyDescent="0.25">
      <c r="A811">
        <f t="shared" si="52"/>
        <v>121962</v>
      </c>
      <c r="B811" t="s">
        <v>321</v>
      </c>
      <c r="C811" s="9">
        <v>43032</v>
      </c>
      <c r="D811" s="13">
        <f t="shared" si="49"/>
        <v>2017</v>
      </c>
      <c r="E811" s="13">
        <f t="shared" si="50"/>
        <v>10</v>
      </c>
      <c r="F811" s="13">
        <f t="shared" si="51"/>
        <v>24</v>
      </c>
      <c r="G811" s="4" t="s">
        <v>14</v>
      </c>
      <c r="H811">
        <v>46.928100000000001</v>
      </c>
      <c r="I811">
        <v>6.7217000000000002</v>
      </c>
      <c r="J811" s="4" t="s">
        <v>15</v>
      </c>
      <c r="L811" s="4" t="s">
        <v>1</v>
      </c>
      <c r="N811" s="4" t="s">
        <v>17</v>
      </c>
      <c r="O811" s="4" t="s">
        <v>184</v>
      </c>
    </row>
    <row r="812" spans="1:15" x14ac:dyDescent="0.25">
      <c r="A812">
        <f t="shared" si="52"/>
        <v>121963</v>
      </c>
      <c r="B812" t="s">
        <v>322</v>
      </c>
      <c r="C812" s="9">
        <v>43033</v>
      </c>
      <c r="D812" s="13">
        <f t="shared" si="49"/>
        <v>2017</v>
      </c>
      <c r="E812" s="13">
        <f t="shared" si="50"/>
        <v>10</v>
      </c>
      <c r="F812" s="13">
        <f t="shared" si="51"/>
        <v>25</v>
      </c>
      <c r="G812" s="4" t="s">
        <v>14</v>
      </c>
      <c r="H812">
        <v>46.903599999999997</v>
      </c>
      <c r="I812">
        <v>6.6722000000000001</v>
      </c>
      <c r="J812" s="4" t="s">
        <v>15</v>
      </c>
      <c r="L812" s="4" t="s">
        <v>1</v>
      </c>
      <c r="N812" s="4" t="s">
        <v>17</v>
      </c>
      <c r="O812" s="4" t="s">
        <v>184</v>
      </c>
    </row>
    <row r="813" spans="1:15" x14ac:dyDescent="0.25">
      <c r="A813">
        <f t="shared" si="52"/>
        <v>121964</v>
      </c>
      <c r="B813" t="s">
        <v>323</v>
      </c>
      <c r="C813" s="9">
        <v>43033</v>
      </c>
      <c r="D813" s="13">
        <f t="shared" si="49"/>
        <v>2017</v>
      </c>
      <c r="E813" s="13">
        <f t="shared" si="50"/>
        <v>10</v>
      </c>
      <c r="F813" s="13">
        <f t="shared" si="51"/>
        <v>25</v>
      </c>
      <c r="G813" s="4" t="s">
        <v>14</v>
      </c>
      <c r="H813">
        <v>46.903599999999997</v>
      </c>
      <c r="I813">
        <v>6.6722000000000001</v>
      </c>
      <c r="J813" s="4" t="s">
        <v>15</v>
      </c>
      <c r="L813" s="4" t="s">
        <v>1</v>
      </c>
      <c r="N813" s="4" t="s">
        <v>17</v>
      </c>
      <c r="O813" s="4" t="s">
        <v>29</v>
      </c>
    </row>
    <row r="814" spans="1:15" x14ac:dyDescent="0.25">
      <c r="A814">
        <f t="shared" si="52"/>
        <v>121965</v>
      </c>
      <c r="B814" t="s">
        <v>324</v>
      </c>
      <c r="C814" s="9">
        <v>43033</v>
      </c>
      <c r="D814" s="13">
        <f t="shared" si="49"/>
        <v>2017</v>
      </c>
      <c r="E814" s="13">
        <f t="shared" si="50"/>
        <v>10</v>
      </c>
      <c r="F814" s="13">
        <f t="shared" si="51"/>
        <v>25</v>
      </c>
      <c r="G814" s="4" t="s">
        <v>14</v>
      </c>
      <c r="H814">
        <v>46.8992</v>
      </c>
      <c r="I814">
        <v>6.6707999999999998</v>
      </c>
      <c r="J814" s="4" t="s">
        <v>15</v>
      </c>
      <c r="L814" s="4" t="s">
        <v>1</v>
      </c>
      <c r="N814" s="4" t="s">
        <v>17</v>
      </c>
      <c r="O814" s="4" t="s">
        <v>29</v>
      </c>
    </row>
    <row r="815" spans="1:15" x14ac:dyDescent="0.25">
      <c r="A815">
        <f t="shared" si="52"/>
        <v>121966</v>
      </c>
      <c r="B815" t="s">
        <v>325</v>
      </c>
      <c r="C815" s="9">
        <v>43033</v>
      </c>
      <c r="D815" s="13">
        <f t="shared" si="49"/>
        <v>2017</v>
      </c>
      <c r="E815" s="13">
        <f t="shared" si="50"/>
        <v>10</v>
      </c>
      <c r="F815" s="13">
        <f t="shared" si="51"/>
        <v>25</v>
      </c>
      <c r="G815" s="4" t="s">
        <v>14</v>
      </c>
      <c r="H815">
        <v>46.903599999999997</v>
      </c>
      <c r="I815">
        <v>6.6722000000000001</v>
      </c>
      <c r="J815" s="4" t="s">
        <v>15</v>
      </c>
      <c r="L815" s="4" t="s">
        <v>1</v>
      </c>
      <c r="N815" s="4" t="s">
        <v>17</v>
      </c>
      <c r="O815" s="4" t="s">
        <v>19</v>
      </c>
    </row>
    <row r="816" spans="1:15" x14ac:dyDescent="0.25">
      <c r="A816">
        <f t="shared" si="52"/>
        <v>121967</v>
      </c>
      <c r="B816" t="s">
        <v>326</v>
      </c>
      <c r="C816" s="9">
        <v>43033</v>
      </c>
      <c r="D816" s="13">
        <f t="shared" si="49"/>
        <v>2017</v>
      </c>
      <c r="E816" s="13">
        <f t="shared" si="50"/>
        <v>10</v>
      </c>
      <c r="F816" s="13">
        <f t="shared" si="51"/>
        <v>25</v>
      </c>
      <c r="G816" s="4" t="s">
        <v>14</v>
      </c>
      <c r="H816">
        <v>46.854900000000001</v>
      </c>
      <c r="I816">
        <v>6.5456000000000003</v>
      </c>
      <c r="J816" s="4" t="s">
        <v>15</v>
      </c>
      <c r="L816" s="4" t="s">
        <v>1</v>
      </c>
      <c r="N816" s="4" t="s">
        <v>16</v>
      </c>
      <c r="O816" s="4" t="s">
        <v>19</v>
      </c>
    </row>
    <row r="817" spans="1:15" x14ac:dyDescent="0.25">
      <c r="A817">
        <f t="shared" si="52"/>
        <v>121967</v>
      </c>
      <c r="B817" t="s">
        <v>326</v>
      </c>
      <c r="C817" s="9">
        <v>43471</v>
      </c>
      <c r="D817" s="13">
        <f t="shared" si="49"/>
        <v>2019</v>
      </c>
      <c r="E817" s="13">
        <f t="shared" si="50"/>
        <v>1</v>
      </c>
      <c r="F817" s="13">
        <f t="shared" si="51"/>
        <v>6</v>
      </c>
      <c r="G817" s="4" t="s">
        <v>31</v>
      </c>
      <c r="H817">
        <v>46.4833</v>
      </c>
      <c r="I817">
        <v>0.81669999999999998</v>
      </c>
      <c r="J817" s="4" t="s">
        <v>21</v>
      </c>
      <c r="K817" s="4" t="s">
        <v>22</v>
      </c>
      <c r="L817" s="4" t="s">
        <v>1</v>
      </c>
      <c r="N817" s="4" t="s">
        <v>17</v>
      </c>
    </row>
    <row r="818" spans="1:15" x14ac:dyDescent="0.25">
      <c r="A818">
        <f t="shared" si="52"/>
        <v>121968</v>
      </c>
      <c r="B818" t="s">
        <v>327</v>
      </c>
      <c r="C818" s="9">
        <v>43033</v>
      </c>
      <c r="D818" s="13">
        <f t="shared" si="49"/>
        <v>2017</v>
      </c>
      <c r="E818" s="13">
        <f t="shared" si="50"/>
        <v>10</v>
      </c>
      <c r="F818" s="13">
        <f t="shared" si="51"/>
        <v>25</v>
      </c>
      <c r="G818" s="4" t="s">
        <v>14</v>
      </c>
      <c r="H818">
        <v>46.854900000000001</v>
      </c>
      <c r="I818">
        <v>6.5456000000000003</v>
      </c>
      <c r="J818" s="4" t="s">
        <v>15</v>
      </c>
      <c r="L818" s="4" t="s">
        <v>1</v>
      </c>
      <c r="N818" s="4" t="s">
        <v>17</v>
      </c>
      <c r="O818" s="4" t="s">
        <v>184</v>
      </c>
    </row>
    <row r="819" spans="1:15" x14ac:dyDescent="0.25">
      <c r="A819">
        <f t="shared" si="52"/>
        <v>121969</v>
      </c>
      <c r="B819" t="s">
        <v>328</v>
      </c>
      <c r="C819" s="9">
        <v>43034</v>
      </c>
      <c r="D819" s="13">
        <f t="shared" si="49"/>
        <v>2017</v>
      </c>
      <c r="E819" s="13">
        <f t="shared" si="50"/>
        <v>10</v>
      </c>
      <c r="F819" s="13">
        <f t="shared" si="51"/>
        <v>26</v>
      </c>
      <c r="G819" s="4" t="s">
        <v>14</v>
      </c>
      <c r="H819">
        <v>46.854900000000001</v>
      </c>
      <c r="I819">
        <v>6.5456000000000003</v>
      </c>
      <c r="J819" s="4" t="s">
        <v>15</v>
      </c>
      <c r="L819" s="4" t="s">
        <v>1</v>
      </c>
      <c r="N819" s="4" t="s">
        <v>16</v>
      </c>
      <c r="O819" s="4" t="s">
        <v>29</v>
      </c>
    </row>
    <row r="820" spans="1:15" x14ac:dyDescent="0.25">
      <c r="A820">
        <f t="shared" si="52"/>
        <v>121969</v>
      </c>
      <c r="B820" t="s">
        <v>328</v>
      </c>
      <c r="C820" s="9">
        <v>43093</v>
      </c>
      <c r="D820" s="13">
        <f t="shared" si="49"/>
        <v>2017</v>
      </c>
      <c r="E820" s="13">
        <f t="shared" si="50"/>
        <v>12</v>
      </c>
      <c r="F820" s="13">
        <f t="shared" si="51"/>
        <v>24</v>
      </c>
      <c r="G820" s="4" t="s">
        <v>48</v>
      </c>
      <c r="H820">
        <v>42.916699999999999</v>
      </c>
      <c r="I820">
        <v>-3.5832999999999999</v>
      </c>
      <c r="J820" s="4" t="s">
        <v>21</v>
      </c>
      <c r="K820" s="4" t="s">
        <v>22</v>
      </c>
      <c r="L820" s="4" t="s">
        <v>1</v>
      </c>
      <c r="N820" s="4" t="s">
        <v>17</v>
      </c>
    </row>
    <row r="821" spans="1:15" x14ac:dyDescent="0.25">
      <c r="A821">
        <f t="shared" si="52"/>
        <v>121970</v>
      </c>
      <c r="B821" t="s">
        <v>329</v>
      </c>
      <c r="C821" s="9">
        <v>43034</v>
      </c>
      <c r="D821" s="13">
        <f t="shared" si="49"/>
        <v>2017</v>
      </c>
      <c r="E821" s="13">
        <f t="shared" si="50"/>
        <v>10</v>
      </c>
      <c r="F821" s="13">
        <f t="shared" si="51"/>
        <v>26</v>
      </c>
      <c r="G821" s="4" t="s">
        <v>14</v>
      </c>
      <c r="H821">
        <v>46.936900000000001</v>
      </c>
      <c r="I821">
        <v>6.4641999999999999</v>
      </c>
      <c r="J821" s="4" t="s">
        <v>15</v>
      </c>
      <c r="L821" s="4" t="s">
        <v>1</v>
      </c>
      <c r="N821" s="4" t="s">
        <v>16</v>
      </c>
      <c r="O821" s="4" t="s">
        <v>29</v>
      </c>
    </row>
    <row r="822" spans="1:15" x14ac:dyDescent="0.25">
      <c r="A822">
        <f t="shared" si="52"/>
        <v>121970</v>
      </c>
      <c r="B822" t="s">
        <v>329</v>
      </c>
      <c r="C822" s="9">
        <v>43086</v>
      </c>
      <c r="D822" s="13">
        <f t="shared" si="49"/>
        <v>2017</v>
      </c>
      <c r="E822" s="13">
        <f t="shared" si="50"/>
        <v>12</v>
      </c>
      <c r="F822" s="13">
        <f t="shared" si="51"/>
        <v>17</v>
      </c>
      <c r="G822" s="4" t="s">
        <v>31</v>
      </c>
      <c r="H822">
        <v>44.4</v>
      </c>
      <c r="I822">
        <v>0.7</v>
      </c>
      <c r="J822" s="4" t="s">
        <v>21</v>
      </c>
      <c r="K822" s="4" t="s">
        <v>22</v>
      </c>
      <c r="L822" s="4" t="s">
        <v>1</v>
      </c>
      <c r="N822" s="4" t="s">
        <v>17</v>
      </c>
    </row>
    <row r="823" spans="1:15" x14ac:dyDescent="0.25">
      <c r="A823">
        <f t="shared" si="52"/>
        <v>121971</v>
      </c>
      <c r="B823" t="s">
        <v>330</v>
      </c>
      <c r="C823" s="9">
        <v>43034</v>
      </c>
      <c r="D823" s="13">
        <f t="shared" si="49"/>
        <v>2017</v>
      </c>
      <c r="E823" s="13">
        <f t="shared" si="50"/>
        <v>10</v>
      </c>
      <c r="F823" s="13">
        <f t="shared" si="51"/>
        <v>26</v>
      </c>
      <c r="G823" s="4" t="s">
        <v>14</v>
      </c>
      <c r="H823">
        <v>46.929699999999997</v>
      </c>
      <c r="I823">
        <v>6.4603000000000002</v>
      </c>
      <c r="J823" s="4" t="s">
        <v>15</v>
      </c>
      <c r="L823" s="4" t="s">
        <v>1</v>
      </c>
      <c r="N823" s="4" t="s">
        <v>16</v>
      </c>
      <c r="O823" s="4" t="s">
        <v>29</v>
      </c>
    </row>
    <row r="824" spans="1:15" x14ac:dyDescent="0.25">
      <c r="A824">
        <f t="shared" si="52"/>
        <v>121971</v>
      </c>
      <c r="B824" t="s">
        <v>330</v>
      </c>
      <c r="C824" s="9">
        <v>43097</v>
      </c>
      <c r="D824" s="13">
        <f t="shared" si="49"/>
        <v>2017</v>
      </c>
      <c r="E824" s="13">
        <f t="shared" si="50"/>
        <v>12</v>
      </c>
      <c r="F824" s="13">
        <f t="shared" si="51"/>
        <v>28</v>
      </c>
      <c r="G824" s="4" t="s">
        <v>31</v>
      </c>
      <c r="H824">
        <v>45.1</v>
      </c>
      <c r="I824">
        <v>0.68330000000000002</v>
      </c>
      <c r="J824" s="4" t="s">
        <v>21</v>
      </c>
      <c r="K824" s="4" t="s">
        <v>22</v>
      </c>
      <c r="L824" s="4" t="s">
        <v>1</v>
      </c>
      <c r="N824" s="4" t="s">
        <v>17</v>
      </c>
    </row>
    <row r="825" spans="1:15" x14ac:dyDescent="0.25">
      <c r="A825">
        <f t="shared" si="52"/>
        <v>121972</v>
      </c>
      <c r="B825" t="s">
        <v>331</v>
      </c>
      <c r="C825" s="9">
        <v>43034</v>
      </c>
      <c r="D825" s="13">
        <f t="shared" si="49"/>
        <v>2017</v>
      </c>
      <c r="E825" s="13">
        <f t="shared" si="50"/>
        <v>10</v>
      </c>
      <c r="F825" s="13">
        <f t="shared" si="51"/>
        <v>26</v>
      </c>
      <c r="G825" s="4" t="s">
        <v>14</v>
      </c>
      <c r="H825">
        <v>46.928899999999999</v>
      </c>
      <c r="I825">
        <v>6.4592000000000001</v>
      </c>
      <c r="J825" s="4" t="s">
        <v>15</v>
      </c>
      <c r="L825" s="4" t="s">
        <v>1</v>
      </c>
      <c r="N825" s="4" t="s">
        <v>17</v>
      </c>
      <c r="O825" s="4" t="s">
        <v>29</v>
      </c>
    </row>
    <row r="826" spans="1:15" x14ac:dyDescent="0.25">
      <c r="A826">
        <f t="shared" si="52"/>
        <v>121973</v>
      </c>
      <c r="B826" t="s">
        <v>332</v>
      </c>
      <c r="C826" s="9">
        <v>43035</v>
      </c>
      <c r="D826" s="13">
        <f t="shared" si="49"/>
        <v>2017</v>
      </c>
      <c r="E826" s="13">
        <f t="shared" si="50"/>
        <v>10</v>
      </c>
      <c r="F826" s="13">
        <f t="shared" si="51"/>
        <v>27</v>
      </c>
      <c r="G826" s="4" t="s">
        <v>14</v>
      </c>
      <c r="H826">
        <v>46.934399999999997</v>
      </c>
      <c r="I826">
        <v>6.5835999999999997</v>
      </c>
      <c r="J826" s="4" t="s">
        <v>15</v>
      </c>
      <c r="L826" s="4" t="s">
        <v>1</v>
      </c>
      <c r="N826" s="4" t="s">
        <v>16</v>
      </c>
      <c r="O826" s="4" t="s">
        <v>19</v>
      </c>
    </row>
    <row r="827" spans="1:15" x14ac:dyDescent="0.25">
      <c r="A827">
        <f t="shared" si="52"/>
        <v>121973</v>
      </c>
      <c r="B827" t="s">
        <v>332</v>
      </c>
      <c r="C827" s="9">
        <v>43219</v>
      </c>
      <c r="D827" s="13">
        <f t="shared" si="49"/>
        <v>2018</v>
      </c>
      <c r="E827" s="13">
        <f t="shared" si="50"/>
        <v>4</v>
      </c>
      <c r="F827" s="13">
        <f t="shared" si="51"/>
        <v>29</v>
      </c>
      <c r="G827" s="4" t="s">
        <v>333</v>
      </c>
      <c r="H827">
        <v>55.083300000000001</v>
      </c>
      <c r="I827">
        <v>34.466700000000003</v>
      </c>
      <c r="J827" s="4" t="s">
        <v>21</v>
      </c>
      <c r="K827" s="4" t="s">
        <v>22</v>
      </c>
      <c r="L827" s="4" t="s">
        <v>1</v>
      </c>
      <c r="N827" s="4" t="s">
        <v>17</v>
      </c>
    </row>
    <row r="828" spans="1:15" x14ac:dyDescent="0.25">
      <c r="A828">
        <f t="shared" si="52"/>
        <v>121974</v>
      </c>
      <c r="B828" t="s">
        <v>334</v>
      </c>
      <c r="C828" s="9">
        <v>43035</v>
      </c>
      <c r="D828" s="13">
        <f t="shared" si="49"/>
        <v>2017</v>
      </c>
      <c r="E828" s="13">
        <f t="shared" si="50"/>
        <v>10</v>
      </c>
      <c r="F828" s="13">
        <f t="shared" si="51"/>
        <v>27</v>
      </c>
      <c r="G828" s="4" t="s">
        <v>14</v>
      </c>
      <c r="H828">
        <v>46.934399999999997</v>
      </c>
      <c r="I828">
        <v>6.5835999999999997</v>
      </c>
      <c r="J828" s="4" t="s">
        <v>15</v>
      </c>
      <c r="L828" s="4" t="s">
        <v>1</v>
      </c>
      <c r="N828" s="4" t="s">
        <v>17</v>
      </c>
      <c r="O828" s="4" t="s">
        <v>19</v>
      </c>
    </row>
    <row r="829" spans="1:15" x14ac:dyDescent="0.25">
      <c r="A829">
        <f t="shared" si="52"/>
        <v>121975</v>
      </c>
      <c r="B829" t="s">
        <v>335</v>
      </c>
      <c r="C829" s="9">
        <v>43035</v>
      </c>
      <c r="D829" s="13">
        <f t="shared" si="49"/>
        <v>2017</v>
      </c>
      <c r="E829" s="13">
        <f t="shared" si="50"/>
        <v>10</v>
      </c>
      <c r="F829" s="13">
        <f t="shared" si="51"/>
        <v>27</v>
      </c>
      <c r="G829" s="4" t="s">
        <v>14</v>
      </c>
      <c r="H829">
        <v>46.934399999999997</v>
      </c>
      <c r="I829">
        <v>6.585</v>
      </c>
      <c r="J829" s="4" t="s">
        <v>15</v>
      </c>
      <c r="L829" s="4" t="s">
        <v>1</v>
      </c>
      <c r="N829" s="4" t="s">
        <v>17</v>
      </c>
      <c r="O829" s="4" t="s">
        <v>29</v>
      </c>
    </row>
    <row r="830" spans="1:15" x14ac:dyDescent="0.25">
      <c r="A830">
        <f t="shared" si="52"/>
        <v>121976</v>
      </c>
      <c r="B830" t="s">
        <v>336</v>
      </c>
      <c r="C830" s="9">
        <v>43035</v>
      </c>
      <c r="D830" s="13">
        <f t="shared" si="49"/>
        <v>2017</v>
      </c>
      <c r="E830" s="13">
        <f t="shared" si="50"/>
        <v>10</v>
      </c>
      <c r="F830" s="13">
        <f t="shared" si="51"/>
        <v>27</v>
      </c>
      <c r="G830" s="4" t="s">
        <v>14</v>
      </c>
      <c r="H830">
        <v>46.934399999999997</v>
      </c>
      <c r="I830">
        <v>6.585</v>
      </c>
      <c r="J830" s="4" t="s">
        <v>15</v>
      </c>
      <c r="L830" s="4" t="s">
        <v>1</v>
      </c>
      <c r="N830" s="4" t="s">
        <v>17</v>
      </c>
      <c r="O830" s="4" t="s">
        <v>29</v>
      </c>
    </row>
    <row r="831" spans="1:15" x14ac:dyDescent="0.25">
      <c r="A831">
        <f t="shared" si="52"/>
        <v>121977</v>
      </c>
      <c r="B831" t="s">
        <v>337</v>
      </c>
      <c r="C831" s="9">
        <v>43035</v>
      </c>
      <c r="D831" s="13">
        <f t="shared" si="49"/>
        <v>2017</v>
      </c>
      <c r="E831" s="13">
        <f t="shared" si="50"/>
        <v>10</v>
      </c>
      <c r="F831" s="13">
        <f t="shared" si="51"/>
        <v>27</v>
      </c>
      <c r="G831" s="4" t="s">
        <v>14</v>
      </c>
      <c r="H831">
        <v>46.934399999999997</v>
      </c>
      <c r="I831">
        <v>6.585</v>
      </c>
      <c r="J831" s="4" t="s">
        <v>15</v>
      </c>
      <c r="L831" s="4" t="s">
        <v>1</v>
      </c>
      <c r="N831" s="4" t="s">
        <v>17</v>
      </c>
      <c r="O831" s="4" t="s">
        <v>27</v>
      </c>
    </row>
    <row r="832" spans="1:15" x14ac:dyDescent="0.25">
      <c r="A832">
        <f t="shared" si="52"/>
        <v>121978</v>
      </c>
      <c r="B832" t="s">
        <v>338</v>
      </c>
      <c r="C832" s="9">
        <v>43035</v>
      </c>
      <c r="D832" s="13">
        <f t="shared" si="49"/>
        <v>2017</v>
      </c>
      <c r="E832" s="13">
        <f t="shared" si="50"/>
        <v>10</v>
      </c>
      <c r="F832" s="13">
        <f t="shared" si="51"/>
        <v>27</v>
      </c>
      <c r="G832" s="4" t="s">
        <v>14</v>
      </c>
      <c r="H832">
        <v>46.992800000000003</v>
      </c>
      <c r="I832">
        <v>6.6971999999999996</v>
      </c>
      <c r="J832" s="4" t="s">
        <v>15</v>
      </c>
      <c r="L832" s="4" t="s">
        <v>1</v>
      </c>
      <c r="N832" s="4" t="s">
        <v>17</v>
      </c>
      <c r="O832" s="4" t="s">
        <v>184</v>
      </c>
    </row>
    <row r="833" spans="1:15" x14ac:dyDescent="0.25">
      <c r="A833">
        <f t="shared" si="52"/>
        <v>121979</v>
      </c>
      <c r="B833" t="s">
        <v>339</v>
      </c>
      <c r="C833" s="9">
        <v>43035</v>
      </c>
      <c r="D833" s="13">
        <f t="shared" si="49"/>
        <v>2017</v>
      </c>
      <c r="E833" s="13">
        <f t="shared" si="50"/>
        <v>10</v>
      </c>
      <c r="F833" s="13">
        <f t="shared" si="51"/>
        <v>27</v>
      </c>
      <c r="G833" s="4" t="s">
        <v>14</v>
      </c>
      <c r="H833">
        <v>46.992800000000003</v>
      </c>
      <c r="I833">
        <v>6.6971999999999996</v>
      </c>
      <c r="J833" s="4" t="s">
        <v>15</v>
      </c>
      <c r="L833" s="4" t="s">
        <v>1</v>
      </c>
      <c r="N833" s="4" t="s">
        <v>17</v>
      </c>
      <c r="O833" s="4" t="s">
        <v>184</v>
      </c>
    </row>
    <row r="834" spans="1:15" x14ac:dyDescent="0.25">
      <c r="A834">
        <f t="shared" si="52"/>
        <v>121980</v>
      </c>
      <c r="B834" t="s">
        <v>340</v>
      </c>
      <c r="C834" s="9">
        <v>43035</v>
      </c>
      <c r="D834" s="13">
        <f t="shared" si="49"/>
        <v>2017</v>
      </c>
      <c r="E834" s="13">
        <f t="shared" si="50"/>
        <v>10</v>
      </c>
      <c r="F834" s="13">
        <f t="shared" si="51"/>
        <v>27</v>
      </c>
      <c r="G834" s="4" t="s">
        <v>14</v>
      </c>
      <c r="H834">
        <v>46.992800000000003</v>
      </c>
      <c r="I834">
        <v>6.6971999999999996</v>
      </c>
      <c r="J834" s="4" t="s">
        <v>15</v>
      </c>
      <c r="L834" s="4" t="s">
        <v>1</v>
      </c>
      <c r="N834" s="4" t="s">
        <v>17</v>
      </c>
      <c r="O834" s="4" t="s">
        <v>29</v>
      </c>
    </row>
    <row r="835" spans="1:15" x14ac:dyDescent="0.25">
      <c r="A835">
        <f t="shared" si="52"/>
        <v>121981</v>
      </c>
      <c r="B835" t="s">
        <v>341</v>
      </c>
      <c r="C835" s="9">
        <v>43035</v>
      </c>
      <c r="D835" s="13">
        <f t="shared" ref="D835:D898" si="53">YEAR(C835)</f>
        <v>2017</v>
      </c>
      <c r="E835" s="13">
        <f t="shared" ref="E835:E898" si="54">MONTH(C835)</f>
        <v>10</v>
      </c>
      <c r="F835" s="13">
        <f t="shared" ref="F835:F898" si="55">DAY(C835)</f>
        <v>27</v>
      </c>
      <c r="G835" s="4" t="s">
        <v>14</v>
      </c>
      <c r="H835">
        <v>46.992800000000003</v>
      </c>
      <c r="I835">
        <v>6.6971999999999996</v>
      </c>
      <c r="J835" s="4" t="s">
        <v>15</v>
      </c>
      <c r="L835" s="4" t="s">
        <v>1</v>
      </c>
      <c r="N835" s="4" t="s">
        <v>16</v>
      </c>
      <c r="O835" s="4" t="s">
        <v>184</v>
      </c>
    </row>
    <row r="836" spans="1:15" x14ac:dyDescent="0.25">
      <c r="A836">
        <f t="shared" si="52"/>
        <v>121981</v>
      </c>
      <c r="B836" t="s">
        <v>341</v>
      </c>
      <c r="C836" s="9">
        <v>43066</v>
      </c>
      <c r="D836" s="13">
        <f t="shared" si="53"/>
        <v>2017</v>
      </c>
      <c r="E836" s="13">
        <f t="shared" si="54"/>
        <v>11</v>
      </c>
      <c r="F836" s="13">
        <f t="shared" si="55"/>
        <v>27</v>
      </c>
      <c r="G836" s="4" t="s">
        <v>20</v>
      </c>
      <c r="H836">
        <v>46.7333</v>
      </c>
      <c r="I836">
        <v>5.4333</v>
      </c>
      <c r="J836" s="4" t="s">
        <v>21</v>
      </c>
      <c r="K836" s="4" t="s">
        <v>22</v>
      </c>
      <c r="L836" s="4" t="s">
        <v>1</v>
      </c>
      <c r="N836" s="4" t="s">
        <v>17</v>
      </c>
    </row>
    <row r="837" spans="1:15" x14ac:dyDescent="0.25">
      <c r="A837">
        <f t="shared" si="52"/>
        <v>121982</v>
      </c>
      <c r="B837" t="s">
        <v>342</v>
      </c>
      <c r="C837" s="9">
        <v>43035</v>
      </c>
      <c r="D837" s="13">
        <f t="shared" si="53"/>
        <v>2017</v>
      </c>
      <c r="E837" s="13">
        <f t="shared" si="54"/>
        <v>10</v>
      </c>
      <c r="F837" s="13">
        <f t="shared" si="55"/>
        <v>27</v>
      </c>
      <c r="G837" s="4" t="s">
        <v>14</v>
      </c>
      <c r="H837">
        <v>46.992800000000003</v>
      </c>
      <c r="I837">
        <v>6.6971999999999996</v>
      </c>
      <c r="J837" s="4" t="s">
        <v>15</v>
      </c>
      <c r="L837" s="4" t="s">
        <v>1</v>
      </c>
      <c r="N837" s="4" t="s">
        <v>17</v>
      </c>
      <c r="O837" s="4" t="s">
        <v>29</v>
      </c>
    </row>
    <row r="838" spans="1:15" x14ac:dyDescent="0.25">
      <c r="A838">
        <f t="shared" si="52"/>
        <v>121983</v>
      </c>
      <c r="B838" t="s">
        <v>343</v>
      </c>
      <c r="C838" s="9">
        <v>43035</v>
      </c>
      <c r="D838" s="13">
        <f t="shared" si="53"/>
        <v>2017</v>
      </c>
      <c r="E838" s="13">
        <f t="shared" si="54"/>
        <v>10</v>
      </c>
      <c r="F838" s="13">
        <f t="shared" si="55"/>
        <v>27</v>
      </c>
      <c r="G838" s="4" t="s">
        <v>14</v>
      </c>
      <c r="H838">
        <v>46.992800000000003</v>
      </c>
      <c r="I838">
        <v>6.6971999999999996</v>
      </c>
      <c r="J838" s="4" t="s">
        <v>15</v>
      </c>
      <c r="L838" s="4" t="s">
        <v>1</v>
      </c>
      <c r="N838" s="4" t="s">
        <v>16</v>
      </c>
      <c r="O838" s="4" t="s">
        <v>29</v>
      </c>
    </row>
    <row r="839" spans="1:15" x14ac:dyDescent="0.25">
      <c r="A839">
        <f t="shared" si="52"/>
        <v>121983</v>
      </c>
      <c r="B839" t="s">
        <v>343</v>
      </c>
      <c r="C839" s="9">
        <v>43043</v>
      </c>
      <c r="D839" s="13">
        <f t="shared" si="53"/>
        <v>2017</v>
      </c>
      <c r="E839" s="13">
        <f t="shared" si="54"/>
        <v>11</v>
      </c>
      <c r="F839" s="13">
        <f t="shared" si="55"/>
        <v>4</v>
      </c>
      <c r="G839" s="4" t="s">
        <v>31</v>
      </c>
      <c r="H839">
        <v>44.9833</v>
      </c>
      <c r="I839">
        <v>3.2833000000000001</v>
      </c>
      <c r="J839" s="4" t="s">
        <v>21</v>
      </c>
      <c r="K839" s="4" t="s">
        <v>22</v>
      </c>
      <c r="L839" s="4" t="s">
        <v>1</v>
      </c>
      <c r="N839" s="4" t="s">
        <v>17</v>
      </c>
    </row>
    <row r="840" spans="1:15" x14ac:dyDescent="0.25">
      <c r="A840">
        <f t="shared" si="52"/>
        <v>121984</v>
      </c>
      <c r="B840" t="s">
        <v>344</v>
      </c>
      <c r="C840" s="9">
        <v>43035</v>
      </c>
      <c r="D840" s="13">
        <f t="shared" si="53"/>
        <v>2017</v>
      </c>
      <c r="E840" s="13">
        <f t="shared" si="54"/>
        <v>10</v>
      </c>
      <c r="F840" s="13">
        <f t="shared" si="55"/>
        <v>27</v>
      </c>
      <c r="G840" s="4" t="s">
        <v>14</v>
      </c>
      <c r="H840">
        <v>46.992800000000003</v>
      </c>
      <c r="I840">
        <v>6.6971999999999996</v>
      </c>
      <c r="J840" s="4" t="s">
        <v>15</v>
      </c>
      <c r="L840" s="4" t="s">
        <v>1</v>
      </c>
      <c r="N840" s="4" t="s">
        <v>16</v>
      </c>
      <c r="O840" s="4" t="s">
        <v>184</v>
      </c>
    </row>
    <row r="841" spans="1:15" x14ac:dyDescent="0.25">
      <c r="A841">
        <f t="shared" si="52"/>
        <v>121984</v>
      </c>
      <c r="B841" t="s">
        <v>344</v>
      </c>
      <c r="C841" s="9">
        <v>43401</v>
      </c>
      <c r="D841" s="13">
        <f t="shared" si="53"/>
        <v>2018</v>
      </c>
      <c r="E841" s="13">
        <f t="shared" si="54"/>
        <v>10</v>
      </c>
      <c r="F841" s="13">
        <f t="shared" si="55"/>
        <v>28</v>
      </c>
      <c r="G841" s="4" t="s">
        <v>31</v>
      </c>
      <c r="H841">
        <v>44.65</v>
      </c>
      <c r="I841">
        <v>5.3167</v>
      </c>
      <c r="J841" s="4" t="s">
        <v>21</v>
      </c>
      <c r="K841" s="4" t="s">
        <v>22</v>
      </c>
      <c r="L841" s="4" t="s">
        <v>1</v>
      </c>
      <c r="N841" s="4" t="s">
        <v>17</v>
      </c>
    </row>
    <row r="842" spans="1:15" x14ac:dyDescent="0.25">
      <c r="A842">
        <f t="shared" si="52"/>
        <v>121985</v>
      </c>
      <c r="B842" t="s">
        <v>345</v>
      </c>
      <c r="C842" s="9">
        <v>43036</v>
      </c>
      <c r="D842" s="13">
        <f t="shared" si="53"/>
        <v>2017</v>
      </c>
      <c r="E842" s="13">
        <f t="shared" si="54"/>
        <v>10</v>
      </c>
      <c r="F842" s="13">
        <f t="shared" si="55"/>
        <v>28</v>
      </c>
      <c r="G842" s="4" t="s">
        <v>14</v>
      </c>
      <c r="H842">
        <v>46.979100000000003</v>
      </c>
      <c r="I842">
        <v>6.6723999999999997</v>
      </c>
      <c r="J842" s="4" t="s">
        <v>15</v>
      </c>
      <c r="L842" s="4" t="s">
        <v>1</v>
      </c>
      <c r="N842" s="4" t="s">
        <v>17</v>
      </c>
      <c r="O842" s="4" t="s">
        <v>29</v>
      </c>
    </row>
    <row r="843" spans="1:15" x14ac:dyDescent="0.25">
      <c r="A843">
        <f t="shared" si="52"/>
        <v>121986</v>
      </c>
      <c r="B843" t="s">
        <v>346</v>
      </c>
      <c r="C843" s="9">
        <v>43036</v>
      </c>
      <c r="D843" s="13">
        <f t="shared" si="53"/>
        <v>2017</v>
      </c>
      <c r="E843" s="13">
        <f t="shared" si="54"/>
        <v>10</v>
      </c>
      <c r="F843" s="13">
        <f t="shared" si="55"/>
        <v>28</v>
      </c>
      <c r="G843" s="4" t="s">
        <v>14</v>
      </c>
      <c r="H843">
        <v>46.979100000000003</v>
      </c>
      <c r="I843">
        <v>6.6723999999999997</v>
      </c>
      <c r="J843" s="4" t="s">
        <v>15</v>
      </c>
      <c r="L843" s="4" t="s">
        <v>1</v>
      </c>
      <c r="N843" s="4" t="s">
        <v>16</v>
      </c>
      <c r="O843" s="4" t="s">
        <v>184</v>
      </c>
    </row>
    <row r="844" spans="1:15" x14ac:dyDescent="0.25">
      <c r="A844">
        <f t="shared" si="52"/>
        <v>121986</v>
      </c>
      <c r="B844" t="s">
        <v>346</v>
      </c>
      <c r="C844" s="9">
        <v>43779</v>
      </c>
      <c r="D844" s="13">
        <f t="shared" si="53"/>
        <v>2019</v>
      </c>
      <c r="E844" s="13">
        <f t="shared" si="54"/>
        <v>11</v>
      </c>
      <c r="F844" s="13">
        <f t="shared" si="55"/>
        <v>10</v>
      </c>
      <c r="G844" s="4" t="s">
        <v>31</v>
      </c>
      <c r="H844">
        <v>43.866700000000002</v>
      </c>
      <c r="I844">
        <v>3.05</v>
      </c>
      <c r="J844" s="4" t="s">
        <v>21</v>
      </c>
      <c r="K844" s="4" t="s">
        <v>22</v>
      </c>
      <c r="L844" s="4" t="s">
        <v>1</v>
      </c>
      <c r="N844" s="4" t="s">
        <v>17</v>
      </c>
    </row>
    <row r="845" spans="1:15" x14ac:dyDescent="0.25">
      <c r="A845">
        <f t="shared" si="52"/>
        <v>121987</v>
      </c>
      <c r="B845" t="s">
        <v>347</v>
      </c>
      <c r="C845" s="9">
        <v>43036</v>
      </c>
      <c r="D845" s="13">
        <f t="shared" si="53"/>
        <v>2017</v>
      </c>
      <c r="E845" s="13">
        <f t="shared" si="54"/>
        <v>10</v>
      </c>
      <c r="F845" s="13">
        <f t="shared" si="55"/>
        <v>28</v>
      </c>
      <c r="G845" s="4" t="s">
        <v>14</v>
      </c>
      <c r="H845">
        <v>46.979100000000003</v>
      </c>
      <c r="I845">
        <v>6.6723999999999997</v>
      </c>
      <c r="J845" s="4" t="s">
        <v>15</v>
      </c>
      <c r="L845" s="4" t="s">
        <v>1</v>
      </c>
      <c r="N845" s="4" t="s">
        <v>16</v>
      </c>
      <c r="O845" s="4" t="s">
        <v>29</v>
      </c>
    </row>
    <row r="846" spans="1:15" x14ac:dyDescent="0.25">
      <c r="A846">
        <f t="shared" si="52"/>
        <v>121987</v>
      </c>
      <c r="B846" t="s">
        <v>347</v>
      </c>
      <c r="C846" s="9">
        <v>43509</v>
      </c>
      <c r="D846" s="13">
        <f t="shared" si="53"/>
        <v>2019</v>
      </c>
      <c r="E846" s="13">
        <f t="shared" si="54"/>
        <v>2</v>
      </c>
      <c r="F846" s="13">
        <f t="shared" si="55"/>
        <v>13</v>
      </c>
      <c r="G846" s="4" t="s">
        <v>31</v>
      </c>
      <c r="H846">
        <v>44.783299999999997</v>
      </c>
      <c r="I846">
        <v>1.7166999999999999</v>
      </c>
      <c r="J846" s="4" t="s">
        <v>21</v>
      </c>
      <c r="K846" s="4" t="s">
        <v>22</v>
      </c>
      <c r="L846" s="4" t="s">
        <v>1</v>
      </c>
      <c r="N846" s="4" t="s">
        <v>17</v>
      </c>
    </row>
    <row r="847" spans="1:15" x14ac:dyDescent="0.25">
      <c r="A847">
        <f t="shared" si="52"/>
        <v>121988</v>
      </c>
      <c r="B847" t="s">
        <v>348</v>
      </c>
      <c r="C847" s="9">
        <v>43036</v>
      </c>
      <c r="D847" s="13">
        <f t="shared" si="53"/>
        <v>2017</v>
      </c>
      <c r="E847" s="13">
        <f t="shared" si="54"/>
        <v>10</v>
      </c>
      <c r="F847" s="13">
        <f t="shared" si="55"/>
        <v>28</v>
      </c>
      <c r="G847" s="4" t="s">
        <v>14</v>
      </c>
      <c r="H847">
        <v>46.979100000000003</v>
      </c>
      <c r="I847">
        <v>6.6723999999999997</v>
      </c>
      <c r="J847" s="4" t="s">
        <v>15</v>
      </c>
      <c r="L847" s="4" t="s">
        <v>1</v>
      </c>
      <c r="N847" s="4" t="s">
        <v>17</v>
      </c>
      <c r="O847" s="4" t="s">
        <v>29</v>
      </c>
    </row>
    <row r="848" spans="1:15" x14ac:dyDescent="0.25">
      <c r="A848">
        <f t="shared" ref="A848:A911" si="56">RIGHT(B848,6)*1</f>
        <v>121989</v>
      </c>
      <c r="B848" t="s">
        <v>349</v>
      </c>
      <c r="C848" s="9">
        <v>43036</v>
      </c>
      <c r="D848" s="13">
        <f t="shared" si="53"/>
        <v>2017</v>
      </c>
      <c r="E848" s="13">
        <f t="shared" si="54"/>
        <v>10</v>
      </c>
      <c r="F848" s="13">
        <f t="shared" si="55"/>
        <v>28</v>
      </c>
      <c r="G848" s="4" t="s">
        <v>14</v>
      </c>
      <c r="H848">
        <v>46.979100000000003</v>
      </c>
      <c r="I848">
        <v>6.6723999999999997</v>
      </c>
      <c r="J848" s="4" t="s">
        <v>15</v>
      </c>
      <c r="L848" s="4" t="s">
        <v>1</v>
      </c>
      <c r="N848" s="4" t="s">
        <v>17</v>
      </c>
      <c r="O848" s="4" t="s">
        <v>29</v>
      </c>
    </row>
    <row r="849" spans="1:15" x14ac:dyDescent="0.25">
      <c r="A849">
        <f t="shared" si="56"/>
        <v>121990</v>
      </c>
      <c r="B849" t="s">
        <v>350</v>
      </c>
      <c r="C849" s="9">
        <v>43036</v>
      </c>
      <c r="D849" s="13">
        <f t="shared" si="53"/>
        <v>2017</v>
      </c>
      <c r="E849" s="13">
        <f t="shared" si="54"/>
        <v>10</v>
      </c>
      <c r="F849" s="13">
        <f t="shared" si="55"/>
        <v>28</v>
      </c>
      <c r="G849" s="4" t="s">
        <v>14</v>
      </c>
      <c r="H849">
        <v>46.979100000000003</v>
      </c>
      <c r="I849">
        <v>6.6723999999999997</v>
      </c>
      <c r="J849" s="4" t="s">
        <v>15</v>
      </c>
      <c r="L849" s="4" t="s">
        <v>1</v>
      </c>
      <c r="N849" s="4" t="s">
        <v>17</v>
      </c>
      <c r="O849" s="4" t="s">
        <v>29</v>
      </c>
    </row>
    <row r="850" spans="1:15" x14ac:dyDescent="0.25">
      <c r="A850">
        <f t="shared" si="56"/>
        <v>121991</v>
      </c>
      <c r="B850" t="s">
        <v>351</v>
      </c>
      <c r="C850" s="9">
        <v>43036</v>
      </c>
      <c r="D850" s="13">
        <f t="shared" si="53"/>
        <v>2017</v>
      </c>
      <c r="E850" s="13">
        <f t="shared" si="54"/>
        <v>10</v>
      </c>
      <c r="F850" s="13">
        <f t="shared" si="55"/>
        <v>28</v>
      </c>
      <c r="G850" s="4" t="s">
        <v>14</v>
      </c>
      <c r="H850">
        <v>46.979100000000003</v>
      </c>
      <c r="I850">
        <v>6.6723999999999997</v>
      </c>
      <c r="J850" s="4" t="s">
        <v>15</v>
      </c>
      <c r="L850" s="4" t="s">
        <v>1</v>
      </c>
      <c r="N850" s="4" t="s">
        <v>16</v>
      </c>
      <c r="O850" s="4" t="s">
        <v>184</v>
      </c>
    </row>
    <row r="851" spans="1:15" x14ac:dyDescent="0.25">
      <c r="A851">
        <f t="shared" si="56"/>
        <v>121991</v>
      </c>
      <c r="B851" t="s">
        <v>351</v>
      </c>
      <c r="C851" s="9">
        <v>43057</v>
      </c>
      <c r="D851" s="13">
        <f t="shared" si="53"/>
        <v>2017</v>
      </c>
      <c r="E851" s="13">
        <f t="shared" si="54"/>
        <v>11</v>
      </c>
      <c r="F851" s="13">
        <f t="shared" si="55"/>
        <v>18</v>
      </c>
      <c r="G851" s="4" t="s">
        <v>31</v>
      </c>
      <c r="H851">
        <v>45.2333</v>
      </c>
      <c r="I851">
        <v>5.3333000000000004</v>
      </c>
      <c r="J851" s="4" t="s">
        <v>21</v>
      </c>
      <c r="K851" s="4" t="s">
        <v>22</v>
      </c>
      <c r="L851" s="4" t="s">
        <v>1</v>
      </c>
      <c r="N851" s="4" t="s">
        <v>17</v>
      </c>
    </row>
    <row r="852" spans="1:15" x14ac:dyDescent="0.25">
      <c r="A852">
        <f t="shared" si="56"/>
        <v>121992</v>
      </c>
      <c r="B852" t="s">
        <v>352</v>
      </c>
      <c r="C852" s="9">
        <v>43036</v>
      </c>
      <c r="D852" s="13">
        <f t="shared" si="53"/>
        <v>2017</v>
      </c>
      <c r="E852" s="13">
        <f t="shared" si="54"/>
        <v>10</v>
      </c>
      <c r="F852" s="13">
        <f t="shared" si="55"/>
        <v>28</v>
      </c>
      <c r="G852" s="4" t="s">
        <v>14</v>
      </c>
      <c r="H852">
        <v>46.903599999999997</v>
      </c>
      <c r="I852">
        <v>6.6722000000000001</v>
      </c>
      <c r="J852" s="4" t="s">
        <v>15</v>
      </c>
      <c r="L852" s="4" t="s">
        <v>1</v>
      </c>
      <c r="N852" s="4" t="s">
        <v>16</v>
      </c>
      <c r="O852" s="4" t="s">
        <v>29</v>
      </c>
    </row>
    <row r="853" spans="1:15" x14ac:dyDescent="0.25">
      <c r="A853">
        <f t="shared" si="56"/>
        <v>121992</v>
      </c>
      <c r="B853" t="s">
        <v>352</v>
      </c>
      <c r="C853" s="9">
        <v>43091</v>
      </c>
      <c r="D853" s="13">
        <f t="shared" si="53"/>
        <v>2017</v>
      </c>
      <c r="E853" s="13">
        <f t="shared" si="54"/>
        <v>12</v>
      </c>
      <c r="F853" s="13">
        <f t="shared" si="55"/>
        <v>22</v>
      </c>
      <c r="G853" s="4" t="s">
        <v>31</v>
      </c>
      <c r="H853">
        <v>46.5</v>
      </c>
      <c r="I853">
        <v>5.0667</v>
      </c>
      <c r="J853" s="4" t="s">
        <v>21</v>
      </c>
      <c r="K853" s="4" t="s">
        <v>22</v>
      </c>
      <c r="L853" s="4" t="s">
        <v>1</v>
      </c>
      <c r="N853" s="4" t="s">
        <v>17</v>
      </c>
    </row>
    <row r="854" spans="1:15" x14ac:dyDescent="0.25">
      <c r="A854">
        <f t="shared" si="56"/>
        <v>121993</v>
      </c>
      <c r="B854" t="s">
        <v>353</v>
      </c>
      <c r="C854" s="9">
        <v>43036</v>
      </c>
      <c r="D854" s="13">
        <f t="shared" si="53"/>
        <v>2017</v>
      </c>
      <c r="E854" s="13">
        <f t="shared" si="54"/>
        <v>10</v>
      </c>
      <c r="F854" s="13">
        <f t="shared" si="55"/>
        <v>28</v>
      </c>
      <c r="G854" s="4" t="s">
        <v>14</v>
      </c>
      <c r="H854">
        <v>46.923299999999998</v>
      </c>
      <c r="I854">
        <v>6.4356</v>
      </c>
      <c r="J854" s="4" t="s">
        <v>15</v>
      </c>
      <c r="L854" s="4" t="s">
        <v>1</v>
      </c>
      <c r="N854" s="4" t="s">
        <v>17</v>
      </c>
      <c r="O854" s="4" t="s">
        <v>29</v>
      </c>
    </row>
    <row r="855" spans="1:15" x14ac:dyDescent="0.25">
      <c r="A855">
        <f t="shared" si="56"/>
        <v>121994</v>
      </c>
      <c r="B855" t="s">
        <v>354</v>
      </c>
      <c r="C855" s="9">
        <v>43036</v>
      </c>
      <c r="D855" s="13">
        <f t="shared" si="53"/>
        <v>2017</v>
      </c>
      <c r="E855" s="13">
        <f t="shared" si="54"/>
        <v>10</v>
      </c>
      <c r="F855" s="13">
        <f t="shared" si="55"/>
        <v>28</v>
      </c>
      <c r="G855" s="4" t="s">
        <v>14</v>
      </c>
      <c r="H855">
        <v>46.8992</v>
      </c>
      <c r="I855">
        <v>6.6707999999999998</v>
      </c>
      <c r="J855" s="4" t="s">
        <v>15</v>
      </c>
      <c r="L855" s="4" t="s">
        <v>1</v>
      </c>
      <c r="N855" s="4" t="s">
        <v>17</v>
      </c>
      <c r="O855" s="4" t="s">
        <v>184</v>
      </c>
    </row>
    <row r="856" spans="1:15" x14ac:dyDescent="0.25">
      <c r="A856">
        <f t="shared" si="56"/>
        <v>121995</v>
      </c>
      <c r="B856" t="s">
        <v>355</v>
      </c>
      <c r="C856" s="9">
        <v>43036</v>
      </c>
      <c r="D856" s="13">
        <f t="shared" si="53"/>
        <v>2017</v>
      </c>
      <c r="E856" s="13">
        <f t="shared" si="54"/>
        <v>10</v>
      </c>
      <c r="F856" s="13">
        <f t="shared" si="55"/>
        <v>28</v>
      </c>
      <c r="G856" s="4" t="s">
        <v>14</v>
      </c>
      <c r="H856">
        <v>46.903599999999997</v>
      </c>
      <c r="I856">
        <v>6.6722000000000001</v>
      </c>
      <c r="J856" s="4" t="s">
        <v>15</v>
      </c>
      <c r="L856" s="4" t="s">
        <v>1</v>
      </c>
      <c r="N856" s="4" t="s">
        <v>17</v>
      </c>
      <c r="O856" s="4" t="s">
        <v>19</v>
      </c>
    </row>
    <row r="857" spans="1:15" x14ac:dyDescent="0.25">
      <c r="A857">
        <f t="shared" si="56"/>
        <v>121996</v>
      </c>
      <c r="B857" t="s">
        <v>356</v>
      </c>
      <c r="C857" s="9">
        <v>43036</v>
      </c>
      <c r="D857" s="13">
        <f t="shared" si="53"/>
        <v>2017</v>
      </c>
      <c r="E857" s="13">
        <f t="shared" si="54"/>
        <v>10</v>
      </c>
      <c r="F857" s="13">
        <f t="shared" si="55"/>
        <v>28</v>
      </c>
      <c r="G857" s="4" t="s">
        <v>14</v>
      </c>
      <c r="H857">
        <v>46.91</v>
      </c>
      <c r="I857">
        <v>6.6863999999999999</v>
      </c>
      <c r="J857" s="4" t="s">
        <v>15</v>
      </c>
      <c r="L857" s="4" t="s">
        <v>1</v>
      </c>
      <c r="N857" s="4" t="s">
        <v>17</v>
      </c>
      <c r="O857" s="4" t="s">
        <v>29</v>
      </c>
    </row>
    <row r="858" spans="1:15" x14ac:dyDescent="0.25">
      <c r="A858">
        <f t="shared" si="56"/>
        <v>121997</v>
      </c>
      <c r="B858" t="s">
        <v>357</v>
      </c>
      <c r="C858" s="9">
        <v>43039</v>
      </c>
      <c r="D858" s="13">
        <f t="shared" si="53"/>
        <v>2017</v>
      </c>
      <c r="E858" s="13">
        <f t="shared" si="54"/>
        <v>10</v>
      </c>
      <c r="F858" s="13">
        <f t="shared" si="55"/>
        <v>31</v>
      </c>
      <c r="G858" s="4" t="s">
        <v>14</v>
      </c>
      <c r="H858">
        <v>46.929699999999997</v>
      </c>
      <c r="I858">
        <v>6.4603000000000002</v>
      </c>
      <c r="J858" s="4" t="s">
        <v>15</v>
      </c>
      <c r="L858" s="4" t="s">
        <v>1</v>
      </c>
      <c r="N858" s="4" t="s">
        <v>17</v>
      </c>
      <c r="O858" s="4" t="s">
        <v>184</v>
      </c>
    </row>
    <row r="859" spans="1:15" x14ac:dyDescent="0.25">
      <c r="A859">
        <f t="shared" si="56"/>
        <v>121998</v>
      </c>
      <c r="B859" t="s">
        <v>358</v>
      </c>
      <c r="C859" s="9">
        <v>43040</v>
      </c>
      <c r="D859" s="13">
        <f t="shared" si="53"/>
        <v>2017</v>
      </c>
      <c r="E859" s="13">
        <f t="shared" si="54"/>
        <v>11</v>
      </c>
      <c r="F859" s="13">
        <f t="shared" si="55"/>
        <v>1</v>
      </c>
      <c r="G859" s="4" t="s">
        <v>14</v>
      </c>
      <c r="H859">
        <v>46.992800000000003</v>
      </c>
      <c r="I859">
        <v>6.6971999999999996</v>
      </c>
      <c r="J859" s="4" t="s">
        <v>15</v>
      </c>
      <c r="L859" s="4" t="s">
        <v>1</v>
      </c>
      <c r="N859" s="4" t="s">
        <v>17</v>
      </c>
      <c r="O859" s="4" t="s">
        <v>29</v>
      </c>
    </row>
    <row r="860" spans="1:15" x14ac:dyDescent="0.25">
      <c r="A860">
        <f t="shared" si="56"/>
        <v>121999</v>
      </c>
      <c r="B860" t="s">
        <v>359</v>
      </c>
      <c r="C860" s="9">
        <v>43041</v>
      </c>
      <c r="D860" s="13">
        <f t="shared" si="53"/>
        <v>2017</v>
      </c>
      <c r="E860" s="13">
        <f t="shared" si="54"/>
        <v>11</v>
      </c>
      <c r="F860" s="13">
        <f t="shared" si="55"/>
        <v>2</v>
      </c>
      <c r="G860" s="4" t="s">
        <v>14</v>
      </c>
      <c r="H860">
        <v>46.992800000000003</v>
      </c>
      <c r="I860">
        <v>6.6971999999999996</v>
      </c>
      <c r="J860" s="4" t="s">
        <v>15</v>
      </c>
      <c r="L860" s="4" t="s">
        <v>1</v>
      </c>
      <c r="N860" s="4" t="s">
        <v>17</v>
      </c>
      <c r="O860" s="4" t="s">
        <v>184</v>
      </c>
    </row>
    <row r="861" spans="1:15" x14ac:dyDescent="0.25">
      <c r="A861">
        <f t="shared" si="56"/>
        <v>122000</v>
      </c>
      <c r="B861" t="s">
        <v>360</v>
      </c>
      <c r="C861" s="9">
        <v>43041</v>
      </c>
      <c r="D861" s="13">
        <f t="shared" si="53"/>
        <v>2017</v>
      </c>
      <c r="E861" s="13">
        <f t="shared" si="54"/>
        <v>11</v>
      </c>
      <c r="F861" s="13">
        <f t="shared" si="55"/>
        <v>2</v>
      </c>
      <c r="G861" s="4" t="s">
        <v>14</v>
      </c>
      <c r="H861">
        <v>46.903599999999997</v>
      </c>
      <c r="I861">
        <v>6.6722000000000001</v>
      </c>
      <c r="J861" s="4" t="s">
        <v>15</v>
      </c>
      <c r="L861" s="4" t="s">
        <v>1</v>
      </c>
      <c r="N861" s="4" t="s">
        <v>17</v>
      </c>
      <c r="O861" s="4" t="s">
        <v>29</v>
      </c>
    </row>
    <row r="862" spans="1:15" x14ac:dyDescent="0.25">
      <c r="A862">
        <f t="shared" si="56"/>
        <v>122001</v>
      </c>
      <c r="B862" t="s">
        <v>361</v>
      </c>
      <c r="C862" s="9">
        <v>43041</v>
      </c>
      <c r="D862" s="13">
        <f t="shared" si="53"/>
        <v>2017</v>
      </c>
      <c r="E862" s="13">
        <f t="shared" si="54"/>
        <v>11</v>
      </c>
      <c r="F862" s="13">
        <f t="shared" si="55"/>
        <v>2</v>
      </c>
      <c r="G862" s="4" t="s">
        <v>14</v>
      </c>
      <c r="H862">
        <v>46.903599999999997</v>
      </c>
      <c r="I862">
        <v>6.6722000000000001</v>
      </c>
      <c r="J862" s="4" t="s">
        <v>15</v>
      </c>
      <c r="L862" s="4" t="s">
        <v>1</v>
      </c>
      <c r="N862" s="4" t="s">
        <v>17</v>
      </c>
      <c r="O862" s="4" t="s">
        <v>184</v>
      </c>
    </row>
    <row r="863" spans="1:15" x14ac:dyDescent="0.25">
      <c r="A863">
        <f t="shared" si="56"/>
        <v>122002</v>
      </c>
      <c r="B863" t="s">
        <v>362</v>
      </c>
      <c r="C863" s="9">
        <v>43041</v>
      </c>
      <c r="D863" s="13">
        <f t="shared" si="53"/>
        <v>2017</v>
      </c>
      <c r="E863" s="13">
        <f t="shared" si="54"/>
        <v>11</v>
      </c>
      <c r="F863" s="13">
        <f t="shared" si="55"/>
        <v>2</v>
      </c>
      <c r="G863" s="4" t="s">
        <v>14</v>
      </c>
      <c r="H863">
        <v>46.8992</v>
      </c>
      <c r="I863">
        <v>6.6707999999999998</v>
      </c>
      <c r="J863" s="4" t="s">
        <v>15</v>
      </c>
      <c r="L863" s="4" t="s">
        <v>1</v>
      </c>
      <c r="N863" s="4" t="s">
        <v>17</v>
      </c>
      <c r="O863" s="4" t="s">
        <v>29</v>
      </c>
    </row>
    <row r="864" spans="1:15" x14ac:dyDescent="0.25">
      <c r="A864">
        <f t="shared" si="56"/>
        <v>122003</v>
      </c>
      <c r="B864" t="s">
        <v>363</v>
      </c>
      <c r="C864" s="9">
        <v>43041</v>
      </c>
      <c r="D864" s="13">
        <f t="shared" si="53"/>
        <v>2017</v>
      </c>
      <c r="E864" s="13">
        <f t="shared" si="54"/>
        <v>11</v>
      </c>
      <c r="F864" s="13">
        <f t="shared" si="55"/>
        <v>2</v>
      </c>
      <c r="G864" s="4" t="s">
        <v>14</v>
      </c>
      <c r="H864">
        <v>46.8992</v>
      </c>
      <c r="I864">
        <v>6.6707999999999998</v>
      </c>
      <c r="J864" s="4" t="s">
        <v>15</v>
      </c>
      <c r="L864" s="4" t="s">
        <v>1</v>
      </c>
      <c r="N864" s="4" t="s">
        <v>17</v>
      </c>
      <c r="O864" s="4" t="s">
        <v>184</v>
      </c>
    </row>
    <row r="865" spans="1:15" x14ac:dyDescent="0.25">
      <c r="A865">
        <f t="shared" si="56"/>
        <v>122004</v>
      </c>
      <c r="B865" t="s">
        <v>364</v>
      </c>
      <c r="C865" s="9">
        <v>43041</v>
      </c>
      <c r="D865" s="13">
        <f t="shared" si="53"/>
        <v>2017</v>
      </c>
      <c r="E865" s="13">
        <f t="shared" si="54"/>
        <v>11</v>
      </c>
      <c r="F865" s="13">
        <f t="shared" si="55"/>
        <v>2</v>
      </c>
      <c r="G865" s="4" t="s">
        <v>14</v>
      </c>
      <c r="H865">
        <v>46.8992</v>
      </c>
      <c r="I865">
        <v>6.6707999999999998</v>
      </c>
      <c r="J865" s="4" t="s">
        <v>15</v>
      </c>
      <c r="L865" s="4" t="s">
        <v>1</v>
      </c>
      <c r="N865" s="4" t="s">
        <v>16</v>
      </c>
      <c r="O865" s="4" t="s">
        <v>29</v>
      </c>
    </row>
    <row r="866" spans="1:15" x14ac:dyDescent="0.25">
      <c r="A866">
        <f t="shared" si="56"/>
        <v>122004</v>
      </c>
      <c r="B866" t="s">
        <v>364</v>
      </c>
      <c r="C866" s="9">
        <v>43046</v>
      </c>
      <c r="D866" s="13">
        <f t="shared" si="53"/>
        <v>2017</v>
      </c>
      <c r="E866" s="13">
        <f t="shared" si="54"/>
        <v>11</v>
      </c>
      <c r="F866" s="13">
        <f t="shared" si="55"/>
        <v>7</v>
      </c>
      <c r="G866" s="4" t="s">
        <v>20</v>
      </c>
      <c r="H866">
        <v>47</v>
      </c>
      <c r="I866">
        <v>6.0667</v>
      </c>
      <c r="J866" s="4" t="s">
        <v>21</v>
      </c>
      <c r="K866" s="4" t="s">
        <v>22</v>
      </c>
      <c r="L866" s="4" t="s">
        <v>1</v>
      </c>
      <c r="N866" s="4" t="s">
        <v>17</v>
      </c>
    </row>
    <row r="867" spans="1:15" x14ac:dyDescent="0.25">
      <c r="A867">
        <f t="shared" si="56"/>
        <v>122005</v>
      </c>
      <c r="B867" t="s">
        <v>365</v>
      </c>
      <c r="C867" s="9">
        <v>43042</v>
      </c>
      <c r="D867" s="13">
        <f t="shared" si="53"/>
        <v>2017</v>
      </c>
      <c r="E867" s="13">
        <f t="shared" si="54"/>
        <v>11</v>
      </c>
      <c r="F867" s="13">
        <f t="shared" si="55"/>
        <v>3</v>
      </c>
      <c r="G867" s="4" t="s">
        <v>14</v>
      </c>
      <c r="H867">
        <v>46.864100000000001</v>
      </c>
      <c r="I867">
        <v>6.5716999999999999</v>
      </c>
      <c r="J867" s="4" t="s">
        <v>15</v>
      </c>
      <c r="L867" s="4" t="s">
        <v>1</v>
      </c>
      <c r="N867" s="4" t="s">
        <v>17</v>
      </c>
      <c r="O867" s="4" t="s">
        <v>184</v>
      </c>
    </row>
    <row r="868" spans="1:15" x14ac:dyDescent="0.25">
      <c r="A868">
        <f t="shared" si="56"/>
        <v>122006</v>
      </c>
      <c r="B868" t="s">
        <v>366</v>
      </c>
      <c r="C868" s="9">
        <v>43042</v>
      </c>
      <c r="D868" s="13">
        <f t="shared" si="53"/>
        <v>2017</v>
      </c>
      <c r="E868" s="13">
        <f t="shared" si="54"/>
        <v>11</v>
      </c>
      <c r="F868" s="13">
        <f t="shared" si="55"/>
        <v>3</v>
      </c>
      <c r="G868" s="4" t="s">
        <v>14</v>
      </c>
      <c r="H868">
        <v>46.864100000000001</v>
      </c>
      <c r="I868">
        <v>6.5716999999999999</v>
      </c>
      <c r="J868" s="4" t="s">
        <v>15</v>
      </c>
      <c r="L868" s="4" t="s">
        <v>1</v>
      </c>
      <c r="N868" s="4" t="s">
        <v>17</v>
      </c>
      <c r="O868" s="4" t="s">
        <v>29</v>
      </c>
    </row>
    <row r="869" spans="1:15" x14ac:dyDescent="0.25">
      <c r="A869">
        <f t="shared" si="56"/>
        <v>122007</v>
      </c>
      <c r="B869" t="s">
        <v>367</v>
      </c>
      <c r="C869" s="9">
        <v>43042</v>
      </c>
      <c r="D869" s="13">
        <f t="shared" si="53"/>
        <v>2017</v>
      </c>
      <c r="E869" s="13">
        <f t="shared" si="54"/>
        <v>11</v>
      </c>
      <c r="F869" s="13">
        <f t="shared" si="55"/>
        <v>3</v>
      </c>
      <c r="G869" s="4" t="s">
        <v>14</v>
      </c>
      <c r="H869">
        <v>46.864100000000001</v>
      </c>
      <c r="I869">
        <v>6.5716999999999999</v>
      </c>
      <c r="J869" s="4" t="s">
        <v>15</v>
      </c>
      <c r="L869" s="4" t="s">
        <v>1</v>
      </c>
      <c r="N869" s="4" t="s">
        <v>17</v>
      </c>
      <c r="O869" s="4" t="s">
        <v>29</v>
      </c>
    </row>
    <row r="870" spans="1:15" x14ac:dyDescent="0.25">
      <c r="A870">
        <f t="shared" si="56"/>
        <v>122008</v>
      </c>
      <c r="B870" t="s">
        <v>368</v>
      </c>
      <c r="C870" s="9">
        <v>43042</v>
      </c>
      <c r="D870" s="13">
        <f t="shared" si="53"/>
        <v>2017</v>
      </c>
      <c r="E870" s="13">
        <f t="shared" si="54"/>
        <v>11</v>
      </c>
      <c r="F870" s="13">
        <f t="shared" si="55"/>
        <v>3</v>
      </c>
      <c r="G870" s="4" t="s">
        <v>14</v>
      </c>
      <c r="H870">
        <v>46.860500000000002</v>
      </c>
      <c r="I870">
        <v>6.5678000000000001</v>
      </c>
      <c r="J870" s="4" t="s">
        <v>15</v>
      </c>
      <c r="L870" s="4" t="s">
        <v>1</v>
      </c>
      <c r="N870" s="4" t="s">
        <v>16</v>
      </c>
      <c r="O870" s="4" t="s">
        <v>29</v>
      </c>
    </row>
    <row r="871" spans="1:15" x14ac:dyDescent="0.25">
      <c r="A871">
        <f t="shared" si="56"/>
        <v>122008</v>
      </c>
      <c r="B871" t="s">
        <v>368</v>
      </c>
      <c r="C871" s="9">
        <v>43082</v>
      </c>
      <c r="D871" s="13">
        <f t="shared" si="53"/>
        <v>2017</v>
      </c>
      <c r="E871" s="13">
        <f t="shared" si="54"/>
        <v>12</v>
      </c>
      <c r="F871" s="13">
        <f t="shared" si="55"/>
        <v>13</v>
      </c>
      <c r="G871" s="4" t="s">
        <v>31</v>
      </c>
      <c r="H871">
        <v>48.433300000000003</v>
      </c>
      <c r="I871">
        <v>-3.6833</v>
      </c>
      <c r="J871" s="4" t="s">
        <v>21</v>
      </c>
      <c r="K871" s="4" t="s">
        <v>22</v>
      </c>
      <c r="L871" s="4" t="s">
        <v>1</v>
      </c>
      <c r="N871" s="4" t="s">
        <v>17</v>
      </c>
    </row>
    <row r="872" spans="1:15" x14ac:dyDescent="0.25">
      <c r="A872">
        <f t="shared" si="56"/>
        <v>122009</v>
      </c>
      <c r="B872" t="s">
        <v>369</v>
      </c>
      <c r="C872" s="9">
        <v>43049</v>
      </c>
      <c r="D872" s="13">
        <f t="shared" si="53"/>
        <v>2017</v>
      </c>
      <c r="E872" s="13">
        <f t="shared" si="54"/>
        <v>11</v>
      </c>
      <c r="F872" s="13">
        <f t="shared" si="55"/>
        <v>10</v>
      </c>
      <c r="G872" s="4" t="s">
        <v>14</v>
      </c>
      <c r="H872">
        <v>46.992800000000003</v>
      </c>
      <c r="I872">
        <v>6.6971999999999996</v>
      </c>
      <c r="J872" s="4" t="s">
        <v>15</v>
      </c>
      <c r="L872" s="4" t="s">
        <v>1</v>
      </c>
      <c r="N872" s="4" t="s">
        <v>16</v>
      </c>
      <c r="O872" s="4" t="s">
        <v>184</v>
      </c>
    </row>
    <row r="873" spans="1:15" x14ac:dyDescent="0.25">
      <c r="A873">
        <f t="shared" si="56"/>
        <v>122009</v>
      </c>
      <c r="B873" t="s">
        <v>369</v>
      </c>
      <c r="C873" s="9">
        <v>43460</v>
      </c>
      <c r="D873" s="13">
        <f t="shared" si="53"/>
        <v>2018</v>
      </c>
      <c r="E873" s="13">
        <f t="shared" si="54"/>
        <v>12</v>
      </c>
      <c r="F873" s="13">
        <f t="shared" si="55"/>
        <v>26</v>
      </c>
      <c r="G873" s="4" t="s">
        <v>31</v>
      </c>
      <c r="H873">
        <v>43.710299999999997</v>
      </c>
      <c r="I873">
        <v>6.51</v>
      </c>
      <c r="J873" s="4" t="s">
        <v>21</v>
      </c>
      <c r="K873" s="4" t="s">
        <v>22</v>
      </c>
      <c r="L873" s="4" t="s">
        <v>1</v>
      </c>
      <c r="N873" s="4" t="s">
        <v>17</v>
      </c>
    </row>
    <row r="874" spans="1:15" x14ac:dyDescent="0.25">
      <c r="A874">
        <f t="shared" si="56"/>
        <v>122010</v>
      </c>
      <c r="B874" t="s">
        <v>370</v>
      </c>
      <c r="C874" s="9">
        <v>43049</v>
      </c>
      <c r="D874" s="13">
        <f t="shared" si="53"/>
        <v>2017</v>
      </c>
      <c r="E874" s="13">
        <f t="shared" si="54"/>
        <v>11</v>
      </c>
      <c r="F874" s="13">
        <f t="shared" si="55"/>
        <v>10</v>
      </c>
      <c r="G874" s="4" t="s">
        <v>14</v>
      </c>
      <c r="H874">
        <v>46.992800000000003</v>
      </c>
      <c r="I874">
        <v>6.6971999999999996</v>
      </c>
      <c r="J874" s="4" t="s">
        <v>15</v>
      </c>
      <c r="L874" s="4" t="s">
        <v>1</v>
      </c>
      <c r="N874" s="4" t="s">
        <v>17</v>
      </c>
      <c r="O874" s="4" t="s">
        <v>29</v>
      </c>
    </row>
    <row r="875" spans="1:15" x14ac:dyDescent="0.25">
      <c r="A875">
        <f t="shared" si="56"/>
        <v>122011</v>
      </c>
      <c r="B875" t="s">
        <v>371</v>
      </c>
      <c r="C875" s="9">
        <v>43049</v>
      </c>
      <c r="D875" s="13">
        <f t="shared" si="53"/>
        <v>2017</v>
      </c>
      <c r="E875" s="13">
        <f t="shared" si="54"/>
        <v>11</v>
      </c>
      <c r="F875" s="13">
        <f t="shared" si="55"/>
        <v>10</v>
      </c>
      <c r="G875" s="4" t="s">
        <v>14</v>
      </c>
      <c r="H875">
        <v>46.992800000000003</v>
      </c>
      <c r="I875">
        <v>6.6971999999999996</v>
      </c>
      <c r="J875" s="4" t="s">
        <v>15</v>
      </c>
      <c r="L875" s="4" t="s">
        <v>1</v>
      </c>
      <c r="N875" s="4" t="s">
        <v>17</v>
      </c>
      <c r="O875" s="4" t="s">
        <v>184</v>
      </c>
    </row>
    <row r="876" spans="1:15" x14ac:dyDescent="0.25">
      <c r="A876">
        <f t="shared" si="56"/>
        <v>122012</v>
      </c>
      <c r="B876" t="s">
        <v>372</v>
      </c>
      <c r="C876" s="9">
        <v>43049</v>
      </c>
      <c r="D876" s="13">
        <f t="shared" si="53"/>
        <v>2017</v>
      </c>
      <c r="E876" s="13">
        <f t="shared" si="54"/>
        <v>11</v>
      </c>
      <c r="F876" s="13">
        <f t="shared" si="55"/>
        <v>10</v>
      </c>
      <c r="G876" s="4" t="s">
        <v>14</v>
      </c>
      <c r="H876">
        <v>46.992800000000003</v>
      </c>
      <c r="I876">
        <v>6.6971999999999996</v>
      </c>
      <c r="J876" s="4" t="s">
        <v>15</v>
      </c>
      <c r="L876" s="4" t="s">
        <v>1</v>
      </c>
      <c r="N876" s="4" t="s">
        <v>16</v>
      </c>
      <c r="O876" s="4" t="s">
        <v>29</v>
      </c>
    </row>
    <row r="877" spans="1:15" x14ac:dyDescent="0.25">
      <c r="A877">
        <f t="shared" si="56"/>
        <v>122012</v>
      </c>
      <c r="B877" t="s">
        <v>372</v>
      </c>
      <c r="C877" s="11">
        <v>43123</v>
      </c>
      <c r="D877" s="13">
        <f t="shared" si="53"/>
        <v>2018</v>
      </c>
      <c r="E877" s="13">
        <f t="shared" si="54"/>
        <v>1</v>
      </c>
      <c r="F877" s="13">
        <f t="shared" si="55"/>
        <v>23</v>
      </c>
      <c r="G877" s="4" t="s">
        <v>48</v>
      </c>
      <c r="H877">
        <v>39.7216667</v>
      </c>
      <c r="I877">
        <v>2.7530555555555498</v>
      </c>
      <c r="J877" s="4" t="s">
        <v>21</v>
      </c>
      <c r="K877" s="4" t="s">
        <v>22</v>
      </c>
      <c r="L877" s="4" t="s">
        <v>1</v>
      </c>
      <c r="N877" s="4" t="s">
        <v>17</v>
      </c>
    </row>
    <row r="878" spans="1:15" x14ac:dyDescent="0.25">
      <c r="A878">
        <f t="shared" si="56"/>
        <v>122013</v>
      </c>
      <c r="B878" t="s">
        <v>373</v>
      </c>
      <c r="C878" s="9">
        <v>43049</v>
      </c>
      <c r="D878" s="13">
        <f t="shared" si="53"/>
        <v>2017</v>
      </c>
      <c r="E878" s="13">
        <f t="shared" si="54"/>
        <v>11</v>
      </c>
      <c r="F878" s="13">
        <f t="shared" si="55"/>
        <v>10</v>
      </c>
      <c r="G878" s="4" t="s">
        <v>14</v>
      </c>
      <c r="H878">
        <v>46.972799999999999</v>
      </c>
      <c r="I878">
        <v>6.6696999999999997</v>
      </c>
      <c r="J878" s="4" t="s">
        <v>15</v>
      </c>
      <c r="L878" s="4" t="s">
        <v>1</v>
      </c>
      <c r="N878" s="4" t="s">
        <v>17</v>
      </c>
      <c r="O878" s="4" t="s">
        <v>29</v>
      </c>
    </row>
    <row r="879" spans="1:15" x14ac:dyDescent="0.25">
      <c r="A879">
        <f t="shared" si="56"/>
        <v>122014</v>
      </c>
      <c r="B879" t="s">
        <v>374</v>
      </c>
      <c r="C879" s="9">
        <v>43049</v>
      </c>
      <c r="D879" s="13">
        <f t="shared" si="53"/>
        <v>2017</v>
      </c>
      <c r="E879" s="13">
        <f t="shared" si="54"/>
        <v>11</v>
      </c>
      <c r="F879" s="13">
        <f t="shared" si="55"/>
        <v>10</v>
      </c>
      <c r="G879" s="4" t="s">
        <v>14</v>
      </c>
      <c r="H879">
        <v>46.972799999999999</v>
      </c>
      <c r="I879">
        <v>6.6696999999999997</v>
      </c>
      <c r="J879" s="4" t="s">
        <v>15</v>
      </c>
      <c r="L879" s="4" t="s">
        <v>1</v>
      </c>
      <c r="N879" s="4" t="s">
        <v>17</v>
      </c>
      <c r="O879" s="4" t="s">
        <v>29</v>
      </c>
    </row>
    <row r="880" spans="1:15" x14ac:dyDescent="0.25">
      <c r="A880">
        <f t="shared" si="56"/>
        <v>122015</v>
      </c>
      <c r="B880" t="s">
        <v>375</v>
      </c>
      <c r="C880" s="9">
        <v>43063</v>
      </c>
      <c r="D880" s="13">
        <f t="shared" si="53"/>
        <v>2017</v>
      </c>
      <c r="E880" s="13">
        <f t="shared" si="54"/>
        <v>11</v>
      </c>
      <c r="F880" s="13">
        <f t="shared" si="55"/>
        <v>24</v>
      </c>
      <c r="G880" s="4" t="s">
        <v>14</v>
      </c>
      <c r="H880">
        <v>46.992800000000003</v>
      </c>
      <c r="I880">
        <v>6.6971999999999996</v>
      </c>
      <c r="J880" s="4" t="s">
        <v>15</v>
      </c>
      <c r="L880" s="4" t="s">
        <v>1</v>
      </c>
      <c r="N880" s="4" t="s">
        <v>17</v>
      </c>
      <c r="O880" s="4" t="s">
        <v>184</v>
      </c>
    </row>
    <row r="881" spans="1:15" x14ac:dyDescent="0.25">
      <c r="A881">
        <f t="shared" si="56"/>
        <v>122016</v>
      </c>
      <c r="B881" t="s">
        <v>376</v>
      </c>
      <c r="C881" s="9">
        <v>43063</v>
      </c>
      <c r="D881" s="13">
        <f t="shared" si="53"/>
        <v>2017</v>
      </c>
      <c r="E881" s="13">
        <f t="shared" si="54"/>
        <v>11</v>
      </c>
      <c r="F881" s="13">
        <f t="shared" si="55"/>
        <v>24</v>
      </c>
      <c r="G881" s="4" t="s">
        <v>14</v>
      </c>
      <c r="H881">
        <v>46.992800000000003</v>
      </c>
      <c r="I881">
        <v>6.6971999999999996</v>
      </c>
      <c r="J881" s="4" t="s">
        <v>15</v>
      </c>
      <c r="L881" s="4" t="s">
        <v>1</v>
      </c>
      <c r="N881" s="4" t="s">
        <v>17</v>
      </c>
      <c r="O881" s="4" t="s">
        <v>184</v>
      </c>
    </row>
    <row r="882" spans="1:15" x14ac:dyDescent="0.25">
      <c r="A882">
        <f t="shared" si="56"/>
        <v>122017</v>
      </c>
      <c r="B882" t="s">
        <v>377</v>
      </c>
      <c r="C882" s="9">
        <v>43063</v>
      </c>
      <c r="D882" s="13">
        <f t="shared" si="53"/>
        <v>2017</v>
      </c>
      <c r="E882" s="13">
        <f t="shared" si="54"/>
        <v>11</v>
      </c>
      <c r="F882" s="13">
        <f t="shared" si="55"/>
        <v>24</v>
      </c>
      <c r="G882" s="4" t="s">
        <v>14</v>
      </c>
      <c r="H882">
        <v>46.979100000000003</v>
      </c>
      <c r="I882">
        <v>6.6723999999999997</v>
      </c>
      <c r="J882" s="4" t="s">
        <v>15</v>
      </c>
      <c r="L882" s="4" t="s">
        <v>1</v>
      </c>
      <c r="N882" s="4" t="s">
        <v>17</v>
      </c>
      <c r="O882" s="4" t="s">
        <v>29</v>
      </c>
    </row>
    <row r="883" spans="1:15" x14ac:dyDescent="0.25">
      <c r="A883">
        <f t="shared" si="56"/>
        <v>122018</v>
      </c>
      <c r="B883" t="s">
        <v>378</v>
      </c>
      <c r="C883" s="9">
        <v>43063</v>
      </c>
      <c r="D883" s="13">
        <f t="shared" si="53"/>
        <v>2017</v>
      </c>
      <c r="E883" s="13">
        <f t="shared" si="54"/>
        <v>11</v>
      </c>
      <c r="F883" s="13">
        <f t="shared" si="55"/>
        <v>24</v>
      </c>
      <c r="G883" s="4" t="s">
        <v>14</v>
      </c>
      <c r="H883">
        <v>46.979100000000003</v>
      </c>
      <c r="I883">
        <v>6.6723999999999997</v>
      </c>
      <c r="J883" s="4" t="s">
        <v>15</v>
      </c>
      <c r="L883" s="4" t="s">
        <v>1</v>
      </c>
      <c r="N883" s="4" t="s">
        <v>17</v>
      </c>
      <c r="O883" s="4" t="s">
        <v>19</v>
      </c>
    </row>
    <row r="884" spans="1:15" x14ac:dyDescent="0.25">
      <c r="A884">
        <f t="shared" si="56"/>
        <v>122019</v>
      </c>
      <c r="B884" t="s">
        <v>379</v>
      </c>
      <c r="C884" s="9">
        <v>43181</v>
      </c>
      <c r="D884" s="13">
        <f t="shared" si="53"/>
        <v>2018</v>
      </c>
      <c r="E884" s="13">
        <f t="shared" si="54"/>
        <v>3</v>
      </c>
      <c r="F884" s="13">
        <f t="shared" si="55"/>
        <v>22</v>
      </c>
      <c r="G884" s="4" t="s">
        <v>14</v>
      </c>
      <c r="H884">
        <v>46.915700000000001</v>
      </c>
      <c r="I884">
        <v>6.6063000000000001</v>
      </c>
      <c r="J884" s="4" t="s">
        <v>15</v>
      </c>
      <c r="L884" s="4" t="s">
        <v>1</v>
      </c>
      <c r="N884" s="4" t="s">
        <v>17</v>
      </c>
      <c r="O884" s="4" t="s">
        <v>27</v>
      </c>
    </row>
    <row r="885" spans="1:15" x14ac:dyDescent="0.25">
      <c r="A885">
        <f t="shared" si="56"/>
        <v>122020</v>
      </c>
      <c r="B885" t="s">
        <v>380</v>
      </c>
      <c r="C885" s="9">
        <v>43181</v>
      </c>
      <c r="D885" s="13">
        <f t="shared" si="53"/>
        <v>2018</v>
      </c>
      <c r="E885" s="13">
        <f t="shared" si="54"/>
        <v>3</v>
      </c>
      <c r="F885" s="13">
        <f t="shared" si="55"/>
        <v>22</v>
      </c>
      <c r="G885" s="4" t="s">
        <v>14</v>
      </c>
      <c r="H885">
        <v>46.915700000000001</v>
      </c>
      <c r="I885">
        <v>6.6063000000000001</v>
      </c>
      <c r="J885" s="4" t="s">
        <v>15</v>
      </c>
      <c r="L885" s="4" t="s">
        <v>42</v>
      </c>
      <c r="M885" s="4" t="s">
        <v>43</v>
      </c>
      <c r="N885" s="4" t="s">
        <v>16</v>
      </c>
      <c r="O885" s="4" t="s">
        <v>19</v>
      </c>
    </row>
    <row r="886" spans="1:15" x14ac:dyDescent="0.25">
      <c r="A886">
        <f t="shared" si="56"/>
        <v>122020</v>
      </c>
      <c r="B886" t="s">
        <v>380</v>
      </c>
      <c r="C886" s="9">
        <v>43426</v>
      </c>
      <c r="D886" s="13">
        <f t="shared" si="53"/>
        <v>2018</v>
      </c>
      <c r="E886" s="13">
        <f t="shared" si="54"/>
        <v>11</v>
      </c>
      <c r="F886" s="13">
        <f t="shared" si="55"/>
        <v>22</v>
      </c>
      <c r="G886" s="4" t="s">
        <v>48</v>
      </c>
      <c r="H886">
        <v>42.971699999999998</v>
      </c>
      <c r="I886">
        <v>-2.4586000000000001</v>
      </c>
      <c r="J886" s="4" t="s">
        <v>21</v>
      </c>
      <c r="K886" s="12" t="s">
        <v>22</v>
      </c>
      <c r="L886" s="12" t="s">
        <v>42</v>
      </c>
      <c r="M886" s="12" t="s">
        <v>43</v>
      </c>
      <c r="N886" s="4" t="s">
        <v>17</v>
      </c>
    </row>
    <row r="887" spans="1:15" x14ac:dyDescent="0.25">
      <c r="A887">
        <f t="shared" si="56"/>
        <v>122021</v>
      </c>
      <c r="B887" t="s">
        <v>381</v>
      </c>
      <c r="C887" s="9">
        <v>43195</v>
      </c>
      <c r="D887" s="13">
        <f t="shared" si="53"/>
        <v>2018</v>
      </c>
      <c r="E887" s="13">
        <f t="shared" si="54"/>
        <v>4</v>
      </c>
      <c r="F887" s="13">
        <f t="shared" si="55"/>
        <v>5</v>
      </c>
      <c r="G887" s="4" t="s">
        <v>14</v>
      </c>
      <c r="H887">
        <v>46.988100000000003</v>
      </c>
      <c r="I887">
        <v>6.6749999999999998</v>
      </c>
      <c r="J887" s="4" t="s">
        <v>15</v>
      </c>
      <c r="L887" s="4" t="s">
        <v>42</v>
      </c>
      <c r="M887" s="4" t="s">
        <v>43</v>
      </c>
      <c r="N887" s="4" t="s">
        <v>16</v>
      </c>
      <c r="O887" s="4" t="s">
        <v>19</v>
      </c>
    </row>
    <row r="888" spans="1:15" x14ac:dyDescent="0.25">
      <c r="A888">
        <f t="shared" si="56"/>
        <v>122021</v>
      </c>
      <c r="B888" t="s">
        <v>381</v>
      </c>
      <c r="C888" s="9">
        <v>43196</v>
      </c>
      <c r="D888" s="13">
        <f t="shared" si="53"/>
        <v>2018</v>
      </c>
      <c r="E888" s="13">
        <f t="shared" si="54"/>
        <v>4</v>
      </c>
      <c r="F888" s="13">
        <f t="shared" si="55"/>
        <v>6</v>
      </c>
      <c r="G888" s="4" t="s">
        <v>14</v>
      </c>
      <c r="H888">
        <v>46.98972801049613</v>
      </c>
      <c r="I888">
        <v>6.6745310065438543</v>
      </c>
      <c r="J888" s="4" t="s">
        <v>44</v>
      </c>
      <c r="L888" s="4" t="s">
        <v>42</v>
      </c>
      <c r="M888" s="4" t="s">
        <v>43</v>
      </c>
      <c r="N888" s="4" t="s">
        <v>16</v>
      </c>
    </row>
    <row r="889" spans="1:15" x14ac:dyDescent="0.25">
      <c r="A889">
        <f t="shared" si="56"/>
        <v>122021</v>
      </c>
      <c r="B889" t="s">
        <v>381</v>
      </c>
      <c r="C889" s="9">
        <v>43235</v>
      </c>
      <c r="D889" s="13">
        <f t="shared" si="53"/>
        <v>2018</v>
      </c>
      <c r="E889" s="13">
        <f t="shared" si="54"/>
        <v>5</v>
      </c>
      <c r="F889" s="13">
        <f t="shared" si="55"/>
        <v>15</v>
      </c>
      <c r="G889" s="4" t="s">
        <v>14</v>
      </c>
      <c r="H889">
        <v>46.871716010478437</v>
      </c>
      <c r="I889">
        <v>6.5311910064086414</v>
      </c>
      <c r="J889" s="4" t="s">
        <v>44</v>
      </c>
      <c r="L889" s="4" t="s">
        <v>42</v>
      </c>
      <c r="M889" s="4" t="s">
        <v>43</v>
      </c>
      <c r="N889" s="4" t="s">
        <v>16</v>
      </c>
    </row>
    <row r="890" spans="1:15" x14ac:dyDescent="0.25">
      <c r="A890">
        <f t="shared" si="56"/>
        <v>122021</v>
      </c>
      <c r="B890" t="s">
        <v>381</v>
      </c>
      <c r="C890" s="9">
        <v>43266</v>
      </c>
      <c r="D890" s="13">
        <f t="shared" si="53"/>
        <v>2018</v>
      </c>
      <c r="E890" s="13">
        <f t="shared" si="54"/>
        <v>6</v>
      </c>
      <c r="F890" s="13">
        <f t="shared" si="55"/>
        <v>15</v>
      </c>
      <c r="G890" s="4" t="s">
        <v>14</v>
      </c>
      <c r="H890">
        <v>46.871252010461653</v>
      </c>
      <c r="I890">
        <v>6.6098470064969241</v>
      </c>
      <c r="J890" s="4" t="s">
        <v>44</v>
      </c>
      <c r="L890" s="4" t="s">
        <v>42</v>
      </c>
      <c r="M890" s="4" t="s">
        <v>43</v>
      </c>
      <c r="N890" s="4" t="s">
        <v>16</v>
      </c>
    </row>
    <row r="891" spans="1:15" x14ac:dyDescent="0.25">
      <c r="A891">
        <f t="shared" si="56"/>
        <v>122021</v>
      </c>
      <c r="B891" t="s">
        <v>381</v>
      </c>
      <c r="C891" s="9">
        <v>43297</v>
      </c>
      <c r="D891" s="13">
        <f t="shared" si="53"/>
        <v>2018</v>
      </c>
      <c r="E891" s="13">
        <f t="shared" si="54"/>
        <v>7</v>
      </c>
      <c r="F891" s="13">
        <f t="shared" si="55"/>
        <v>16</v>
      </c>
      <c r="G891" s="4" t="s">
        <v>14</v>
      </c>
      <c r="H891">
        <v>46.990400010494589</v>
      </c>
      <c r="I891">
        <v>6.6827510065528388</v>
      </c>
      <c r="J891" s="4" t="s">
        <v>44</v>
      </c>
      <c r="L891" s="4" t="s">
        <v>42</v>
      </c>
      <c r="M891" s="4" t="s">
        <v>43</v>
      </c>
      <c r="N891" s="4" t="s">
        <v>16</v>
      </c>
    </row>
    <row r="892" spans="1:15" x14ac:dyDescent="0.25">
      <c r="A892">
        <f t="shared" si="56"/>
        <v>122021</v>
      </c>
      <c r="B892" t="s">
        <v>381</v>
      </c>
      <c r="C892" s="9">
        <v>43327</v>
      </c>
      <c r="D892" s="13">
        <f t="shared" si="53"/>
        <v>2018</v>
      </c>
      <c r="E892" s="13">
        <f t="shared" si="54"/>
        <v>8</v>
      </c>
      <c r="F892" s="13">
        <f t="shared" si="55"/>
        <v>15</v>
      </c>
      <c r="G892" s="4" t="s">
        <v>14</v>
      </c>
      <c r="H892">
        <v>46.866672010475462</v>
      </c>
      <c r="I892">
        <v>6.53536500641437</v>
      </c>
      <c r="J892" s="4" t="s">
        <v>44</v>
      </c>
      <c r="L892" s="4" t="s">
        <v>42</v>
      </c>
      <c r="M892" s="4" t="s">
        <v>43</v>
      </c>
      <c r="N892" s="4" t="s">
        <v>16</v>
      </c>
    </row>
    <row r="893" spans="1:15" x14ac:dyDescent="0.25">
      <c r="A893">
        <f t="shared" si="56"/>
        <v>122021</v>
      </c>
      <c r="B893" t="s">
        <v>381</v>
      </c>
      <c r="C893" s="9">
        <v>43357</v>
      </c>
      <c r="D893" s="13">
        <f t="shared" si="53"/>
        <v>2018</v>
      </c>
      <c r="E893" s="13">
        <f t="shared" si="54"/>
        <v>9</v>
      </c>
      <c r="F893" s="13">
        <f t="shared" si="55"/>
        <v>14</v>
      </c>
      <c r="G893" s="4" t="s">
        <v>14</v>
      </c>
      <c r="H893">
        <v>46.858704010475122</v>
      </c>
      <c r="I893">
        <v>6.5211130063999896</v>
      </c>
      <c r="J893" s="4" t="s">
        <v>44</v>
      </c>
      <c r="L893" s="4" t="s">
        <v>42</v>
      </c>
      <c r="M893" s="4" t="s">
        <v>43</v>
      </c>
      <c r="N893" s="4" t="s">
        <v>16</v>
      </c>
    </row>
    <row r="894" spans="1:15" x14ac:dyDescent="0.25">
      <c r="A894">
        <f t="shared" si="56"/>
        <v>122021</v>
      </c>
      <c r="B894" t="s">
        <v>381</v>
      </c>
      <c r="C894" s="9">
        <v>43401</v>
      </c>
      <c r="D894" s="13">
        <f t="shared" si="53"/>
        <v>2018</v>
      </c>
      <c r="E894" s="13">
        <f t="shared" si="54"/>
        <v>10</v>
      </c>
      <c r="F894" s="13">
        <f t="shared" si="55"/>
        <v>28</v>
      </c>
      <c r="G894" s="4" t="s">
        <v>14</v>
      </c>
      <c r="H894">
        <v>46.872868010478797</v>
      </c>
      <c r="I894">
        <v>6.5315780064088411</v>
      </c>
      <c r="J894" s="4" t="s">
        <v>44</v>
      </c>
      <c r="L894" s="4" t="s">
        <v>42</v>
      </c>
      <c r="M894" s="4" t="s">
        <v>43</v>
      </c>
      <c r="N894" s="4" t="s">
        <v>17</v>
      </c>
    </row>
    <row r="895" spans="1:15" x14ac:dyDescent="0.25">
      <c r="A895">
        <f t="shared" si="56"/>
        <v>122022</v>
      </c>
      <c r="B895" t="s">
        <v>382</v>
      </c>
      <c r="C895" s="9">
        <v>43200</v>
      </c>
      <c r="D895" s="13">
        <f t="shared" si="53"/>
        <v>2018</v>
      </c>
      <c r="E895" s="13">
        <f t="shared" si="54"/>
        <v>4</v>
      </c>
      <c r="F895" s="13">
        <f t="shared" si="55"/>
        <v>10</v>
      </c>
      <c r="G895" s="4" t="s">
        <v>14</v>
      </c>
      <c r="H895">
        <v>46.988100000000003</v>
      </c>
      <c r="I895">
        <v>6.6749999999999998</v>
      </c>
      <c r="J895" s="4" t="s">
        <v>15</v>
      </c>
      <c r="L895" s="4" t="s">
        <v>42</v>
      </c>
      <c r="M895" s="4" t="s">
        <v>43</v>
      </c>
      <c r="N895" s="4" t="s">
        <v>16</v>
      </c>
      <c r="O895" s="4" t="s">
        <v>27</v>
      </c>
    </row>
    <row r="896" spans="1:15" x14ac:dyDescent="0.25">
      <c r="A896">
        <f t="shared" si="56"/>
        <v>122022</v>
      </c>
      <c r="B896" t="s">
        <v>382</v>
      </c>
      <c r="C896" s="9">
        <v>43234</v>
      </c>
      <c r="D896" s="13">
        <f t="shared" si="53"/>
        <v>2018</v>
      </c>
      <c r="E896" s="13">
        <f t="shared" si="54"/>
        <v>5</v>
      </c>
      <c r="F896" s="13">
        <f t="shared" si="55"/>
        <v>14</v>
      </c>
      <c r="G896" s="4" t="s">
        <v>14</v>
      </c>
      <c r="H896">
        <v>46.989320010493053</v>
      </c>
      <c r="I896">
        <v>6.6878610065587463</v>
      </c>
      <c r="J896" s="4" t="s">
        <v>44</v>
      </c>
      <c r="L896" s="4" t="s">
        <v>42</v>
      </c>
      <c r="M896" s="4" t="s">
        <v>43</v>
      </c>
      <c r="N896" s="4" t="s">
        <v>16</v>
      </c>
    </row>
    <row r="897" spans="1:15" x14ac:dyDescent="0.25">
      <c r="A897">
        <f t="shared" si="56"/>
        <v>122022</v>
      </c>
      <c r="B897" t="s">
        <v>382</v>
      </c>
      <c r="C897" s="9">
        <v>43265</v>
      </c>
      <c r="D897" s="13">
        <f t="shared" si="53"/>
        <v>2018</v>
      </c>
      <c r="E897" s="13">
        <f t="shared" si="54"/>
        <v>6</v>
      </c>
      <c r="F897" s="13">
        <f t="shared" si="55"/>
        <v>14</v>
      </c>
      <c r="G897" s="4" t="s">
        <v>14</v>
      </c>
      <c r="H897">
        <v>46.987292010492872</v>
      </c>
      <c r="I897">
        <v>6.6848360065558223</v>
      </c>
      <c r="J897" s="4" t="s">
        <v>44</v>
      </c>
      <c r="L897" s="4" t="s">
        <v>42</v>
      </c>
      <c r="M897" s="4" t="s">
        <v>43</v>
      </c>
      <c r="N897" s="4" t="s">
        <v>16</v>
      </c>
    </row>
    <row r="898" spans="1:15" x14ac:dyDescent="0.25">
      <c r="A898">
        <f t="shared" si="56"/>
        <v>122022</v>
      </c>
      <c r="B898" t="s">
        <v>382</v>
      </c>
      <c r="C898" s="9">
        <v>43298</v>
      </c>
      <c r="D898" s="13">
        <f t="shared" si="53"/>
        <v>2018</v>
      </c>
      <c r="E898" s="13">
        <f t="shared" si="54"/>
        <v>7</v>
      </c>
      <c r="F898" s="13">
        <f t="shared" si="55"/>
        <v>17</v>
      </c>
      <c r="G898" s="4" t="s">
        <v>14</v>
      </c>
      <c r="H898">
        <v>47.009712010496372</v>
      </c>
      <c r="I898">
        <v>6.7098310065786748</v>
      </c>
      <c r="J898" s="4" t="s">
        <v>44</v>
      </c>
      <c r="L898" s="4" t="s">
        <v>42</v>
      </c>
      <c r="M898" s="4" t="s">
        <v>43</v>
      </c>
      <c r="N898" s="4" t="s">
        <v>16</v>
      </c>
    </row>
    <row r="899" spans="1:15" x14ac:dyDescent="0.25">
      <c r="A899">
        <f t="shared" si="56"/>
        <v>122022</v>
      </c>
      <c r="B899" t="s">
        <v>382</v>
      </c>
      <c r="C899" s="9">
        <v>43327</v>
      </c>
      <c r="D899" s="13">
        <f t="shared" ref="D899:D962" si="57">YEAR(C899)</f>
        <v>2018</v>
      </c>
      <c r="E899" s="13">
        <f t="shared" ref="E899:E962" si="58">MONTH(C899)</f>
        <v>8</v>
      </c>
      <c r="F899" s="13">
        <f t="shared" ref="F899:F962" si="59">DAY(C899)</f>
        <v>15</v>
      </c>
      <c r="G899" s="4" t="s">
        <v>14</v>
      </c>
      <c r="H899">
        <v>47.009880010496452</v>
      </c>
      <c r="I899">
        <v>6.7097020065784942</v>
      </c>
      <c r="J899" s="4" t="s">
        <v>44</v>
      </c>
      <c r="L899" s="4" t="s">
        <v>42</v>
      </c>
      <c r="M899" s="4" t="s">
        <v>43</v>
      </c>
      <c r="N899" s="4" t="s">
        <v>16</v>
      </c>
    </row>
    <row r="900" spans="1:15" x14ac:dyDescent="0.25">
      <c r="A900">
        <f t="shared" si="56"/>
        <v>122022</v>
      </c>
      <c r="B900" t="s">
        <v>382</v>
      </c>
      <c r="C900" s="9">
        <v>43357</v>
      </c>
      <c r="D900" s="13">
        <f t="shared" si="57"/>
        <v>2018</v>
      </c>
      <c r="E900" s="13">
        <f t="shared" si="58"/>
        <v>9</v>
      </c>
      <c r="F900" s="13">
        <f t="shared" si="59"/>
        <v>14</v>
      </c>
      <c r="G900" s="4" t="s">
        <v>14</v>
      </c>
      <c r="H900">
        <v>46.989736010494873</v>
      </c>
      <c r="I900">
        <v>6.6802200065501696</v>
      </c>
      <c r="J900" s="4" t="s">
        <v>44</v>
      </c>
      <c r="L900" s="4" t="s">
        <v>42</v>
      </c>
      <c r="M900" s="4" t="s">
        <v>43</v>
      </c>
      <c r="N900" s="4" t="s">
        <v>16</v>
      </c>
    </row>
    <row r="901" spans="1:15" x14ac:dyDescent="0.25">
      <c r="A901">
        <f t="shared" si="56"/>
        <v>122022</v>
      </c>
      <c r="B901" t="s">
        <v>382</v>
      </c>
      <c r="C901" s="9">
        <v>43388</v>
      </c>
      <c r="D901" s="13">
        <f t="shared" si="57"/>
        <v>2018</v>
      </c>
      <c r="E901" s="13">
        <f t="shared" si="58"/>
        <v>10</v>
      </c>
      <c r="F901" s="13">
        <f t="shared" si="59"/>
        <v>15</v>
      </c>
      <c r="G901" s="4" t="s">
        <v>14</v>
      </c>
      <c r="H901">
        <v>47.048188010482207</v>
      </c>
      <c r="I901">
        <v>6.8430310067171103</v>
      </c>
      <c r="J901" s="4" t="s">
        <v>44</v>
      </c>
      <c r="L901" s="4" t="s">
        <v>42</v>
      </c>
      <c r="M901" s="4" t="s">
        <v>43</v>
      </c>
      <c r="N901" s="4" t="s">
        <v>16</v>
      </c>
    </row>
    <row r="902" spans="1:15" x14ac:dyDescent="0.25">
      <c r="A902">
        <f t="shared" si="56"/>
        <v>122022</v>
      </c>
      <c r="B902" t="s">
        <v>382</v>
      </c>
      <c r="C902" s="9">
        <v>43412</v>
      </c>
      <c r="D902" s="13">
        <f t="shared" si="57"/>
        <v>2018</v>
      </c>
      <c r="E902" s="13">
        <f t="shared" si="58"/>
        <v>11</v>
      </c>
      <c r="F902" s="13">
        <f t="shared" si="59"/>
        <v>8</v>
      </c>
      <c r="G902" s="4" t="s">
        <v>14</v>
      </c>
      <c r="H902">
        <v>47.0487280104836</v>
      </c>
      <c r="I902">
        <v>6.8376330067110533</v>
      </c>
      <c r="J902" s="4" t="s">
        <v>44</v>
      </c>
      <c r="L902" s="4" t="s">
        <v>42</v>
      </c>
      <c r="M902" s="4" t="s">
        <v>43</v>
      </c>
      <c r="N902" s="4" t="s">
        <v>17</v>
      </c>
    </row>
    <row r="903" spans="1:15" x14ac:dyDescent="0.25">
      <c r="A903">
        <f t="shared" si="56"/>
        <v>122023</v>
      </c>
      <c r="B903" t="s">
        <v>383</v>
      </c>
      <c r="C903" s="9">
        <v>43201</v>
      </c>
      <c r="D903" s="13">
        <f t="shared" si="57"/>
        <v>2018</v>
      </c>
      <c r="E903" s="13">
        <f t="shared" si="58"/>
        <v>4</v>
      </c>
      <c r="F903" s="13">
        <f t="shared" si="59"/>
        <v>11</v>
      </c>
      <c r="G903" s="4" t="s">
        <v>14</v>
      </c>
      <c r="H903">
        <v>46.884999999999998</v>
      </c>
      <c r="I903">
        <v>6.5911</v>
      </c>
      <c r="J903" s="4" t="s">
        <v>15</v>
      </c>
      <c r="L903" s="4" t="s">
        <v>42</v>
      </c>
      <c r="M903" s="4" t="s">
        <v>43</v>
      </c>
      <c r="N903" s="4" t="s">
        <v>16</v>
      </c>
      <c r="O903" s="4" t="s">
        <v>27</v>
      </c>
    </row>
    <row r="904" spans="1:15" x14ac:dyDescent="0.25">
      <c r="A904">
        <f t="shared" si="56"/>
        <v>122023</v>
      </c>
      <c r="B904" t="s">
        <v>383</v>
      </c>
      <c r="C904" s="9">
        <v>43234</v>
      </c>
      <c r="D904" s="13">
        <f t="shared" si="57"/>
        <v>2018</v>
      </c>
      <c r="E904" s="13">
        <f t="shared" si="58"/>
        <v>5</v>
      </c>
      <c r="F904" s="13">
        <f t="shared" si="59"/>
        <v>14</v>
      </c>
      <c r="G904" s="4" t="s">
        <v>14</v>
      </c>
      <c r="H904">
        <v>46.891760010465163</v>
      </c>
      <c r="I904">
        <v>6.6335550065191224</v>
      </c>
      <c r="J904" s="4" t="s">
        <v>44</v>
      </c>
      <c r="L904" s="4" t="s">
        <v>42</v>
      </c>
      <c r="M904" s="4" t="s">
        <v>43</v>
      </c>
      <c r="N904" s="4" t="s">
        <v>16</v>
      </c>
    </row>
    <row r="905" spans="1:15" x14ac:dyDescent="0.25">
      <c r="A905">
        <f t="shared" si="56"/>
        <v>122023</v>
      </c>
      <c r="B905" t="s">
        <v>383</v>
      </c>
      <c r="C905" s="9">
        <v>43266</v>
      </c>
      <c r="D905" s="13">
        <f t="shared" si="57"/>
        <v>2018</v>
      </c>
      <c r="E905" s="13">
        <f t="shared" si="58"/>
        <v>6</v>
      </c>
      <c r="F905" s="13">
        <f t="shared" si="59"/>
        <v>15</v>
      </c>
      <c r="G905" s="4" t="s">
        <v>14</v>
      </c>
      <c r="H905">
        <v>46.878984010465217</v>
      </c>
      <c r="I905">
        <v>6.6082060064934698</v>
      </c>
      <c r="J905" s="4" t="s">
        <v>44</v>
      </c>
      <c r="L905" s="4" t="s">
        <v>42</v>
      </c>
      <c r="M905" s="4" t="s">
        <v>43</v>
      </c>
      <c r="N905" s="4" t="s">
        <v>16</v>
      </c>
    </row>
    <row r="906" spans="1:15" x14ac:dyDescent="0.25">
      <c r="A906">
        <f t="shared" si="56"/>
        <v>122023</v>
      </c>
      <c r="B906" t="s">
        <v>383</v>
      </c>
      <c r="C906" s="9">
        <v>43297</v>
      </c>
      <c r="D906" s="13">
        <f t="shared" si="57"/>
        <v>2018</v>
      </c>
      <c r="E906" s="13">
        <f t="shared" si="58"/>
        <v>7</v>
      </c>
      <c r="F906" s="13">
        <f t="shared" si="59"/>
        <v>16</v>
      </c>
      <c r="G906" s="4" t="s">
        <v>14</v>
      </c>
      <c r="H906">
        <v>46.877632010464943</v>
      </c>
      <c r="I906">
        <v>6.6069610064923614</v>
      </c>
      <c r="J906" s="4" t="s">
        <v>44</v>
      </c>
      <c r="L906" s="4" t="s">
        <v>42</v>
      </c>
      <c r="M906" s="4" t="s">
        <v>43</v>
      </c>
      <c r="N906" s="4" t="s">
        <v>16</v>
      </c>
    </row>
    <row r="907" spans="1:15" x14ac:dyDescent="0.25">
      <c r="A907">
        <f t="shared" si="56"/>
        <v>122023</v>
      </c>
      <c r="B907" t="s">
        <v>383</v>
      </c>
      <c r="C907" s="9">
        <v>43327</v>
      </c>
      <c r="D907" s="13">
        <f t="shared" si="57"/>
        <v>2018</v>
      </c>
      <c r="E907" s="13">
        <f t="shared" si="58"/>
        <v>8</v>
      </c>
      <c r="F907" s="13">
        <f t="shared" si="59"/>
        <v>15</v>
      </c>
      <c r="G907" s="4" t="s">
        <v>14</v>
      </c>
      <c r="H907">
        <v>46.875648010463578</v>
      </c>
      <c r="I907">
        <v>6.6096470064957842</v>
      </c>
      <c r="J907" s="4" t="s">
        <v>44</v>
      </c>
      <c r="L907" s="4" t="s">
        <v>42</v>
      </c>
      <c r="M907" s="4" t="s">
        <v>43</v>
      </c>
      <c r="N907" s="4" t="s">
        <v>16</v>
      </c>
    </row>
    <row r="908" spans="1:15" x14ac:dyDescent="0.25">
      <c r="A908">
        <f t="shared" si="56"/>
        <v>122023</v>
      </c>
      <c r="B908" t="s">
        <v>383</v>
      </c>
      <c r="C908" s="9">
        <v>43349</v>
      </c>
      <c r="D908" s="13">
        <f t="shared" si="57"/>
        <v>2018</v>
      </c>
      <c r="E908" s="13">
        <f t="shared" si="58"/>
        <v>9</v>
      </c>
      <c r="F908" s="13">
        <f t="shared" si="59"/>
        <v>6</v>
      </c>
      <c r="G908" s="4" t="s">
        <v>14</v>
      </c>
      <c r="H908">
        <v>46.878096010466123</v>
      </c>
      <c r="I908">
        <v>6.602407006487172</v>
      </c>
      <c r="J908" s="4" t="s">
        <v>21</v>
      </c>
      <c r="K908" s="4" t="s">
        <v>53</v>
      </c>
      <c r="L908" s="4" t="s">
        <v>42</v>
      </c>
      <c r="M908" s="4" t="s">
        <v>43</v>
      </c>
      <c r="N908" s="4" t="s">
        <v>17</v>
      </c>
    </row>
    <row r="909" spans="1:15" x14ac:dyDescent="0.25">
      <c r="A909">
        <f t="shared" si="56"/>
        <v>122024</v>
      </c>
      <c r="B909" t="s">
        <v>384</v>
      </c>
      <c r="C909" s="9">
        <v>43206</v>
      </c>
      <c r="D909" s="13">
        <f t="shared" si="57"/>
        <v>2018</v>
      </c>
      <c r="E909" s="13">
        <f t="shared" si="58"/>
        <v>4</v>
      </c>
      <c r="F909" s="13">
        <f t="shared" si="59"/>
        <v>16</v>
      </c>
      <c r="G909" s="4" t="s">
        <v>14</v>
      </c>
      <c r="H909">
        <v>46.988100000000003</v>
      </c>
      <c r="I909">
        <v>6.6749999999999998</v>
      </c>
      <c r="J909" s="4" t="s">
        <v>15</v>
      </c>
      <c r="L909" s="4" t="s">
        <v>42</v>
      </c>
      <c r="M909" s="4" t="s">
        <v>43</v>
      </c>
      <c r="N909" s="4" t="s">
        <v>16</v>
      </c>
      <c r="O909" s="4" t="s">
        <v>27</v>
      </c>
    </row>
    <row r="910" spans="1:15" x14ac:dyDescent="0.25">
      <c r="A910">
        <f t="shared" si="56"/>
        <v>122024</v>
      </c>
      <c r="B910" t="s">
        <v>384</v>
      </c>
      <c r="C910" s="9">
        <v>43236</v>
      </c>
      <c r="D910" s="13">
        <f t="shared" si="57"/>
        <v>2018</v>
      </c>
      <c r="E910" s="13">
        <f t="shared" si="58"/>
        <v>5</v>
      </c>
      <c r="F910" s="13">
        <f t="shared" si="59"/>
        <v>16</v>
      </c>
      <c r="G910" s="4" t="s">
        <v>14</v>
      </c>
      <c r="H910">
        <v>46.973704010493513</v>
      </c>
      <c r="I910">
        <v>6.6567100065275024</v>
      </c>
      <c r="J910" s="4" t="s">
        <v>44</v>
      </c>
      <c r="L910" s="4" t="s">
        <v>42</v>
      </c>
      <c r="M910" s="4" t="s">
        <v>43</v>
      </c>
      <c r="N910" s="4" t="s">
        <v>16</v>
      </c>
    </row>
    <row r="911" spans="1:15" x14ac:dyDescent="0.25">
      <c r="A911">
        <f t="shared" si="56"/>
        <v>122024</v>
      </c>
      <c r="B911" t="s">
        <v>384</v>
      </c>
      <c r="C911" s="9">
        <v>43267</v>
      </c>
      <c r="D911" s="13">
        <f t="shared" si="57"/>
        <v>2018</v>
      </c>
      <c r="E911" s="13">
        <f t="shared" si="58"/>
        <v>6</v>
      </c>
      <c r="F911" s="13">
        <f t="shared" si="59"/>
        <v>16</v>
      </c>
      <c r="G911" s="4" t="s">
        <v>14</v>
      </c>
      <c r="H911">
        <v>46.972700010493348</v>
      </c>
      <c r="I911">
        <v>6.6555790065264526</v>
      </c>
      <c r="J911" s="4" t="s">
        <v>44</v>
      </c>
      <c r="L911" s="4" t="s">
        <v>42</v>
      </c>
      <c r="M911" s="4" t="s">
        <v>43</v>
      </c>
      <c r="N911" s="4" t="s">
        <v>16</v>
      </c>
    </row>
    <row r="912" spans="1:15" x14ac:dyDescent="0.25">
      <c r="A912">
        <f t="shared" ref="A912:A975" si="60">RIGHT(B912,6)*1</f>
        <v>122024</v>
      </c>
      <c r="B912" t="s">
        <v>384</v>
      </c>
      <c r="C912" s="9">
        <v>43298</v>
      </c>
      <c r="D912" s="13">
        <f t="shared" si="57"/>
        <v>2018</v>
      </c>
      <c r="E912" s="13">
        <f t="shared" si="58"/>
        <v>7</v>
      </c>
      <c r="F912" s="13">
        <f t="shared" si="59"/>
        <v>17</v>
      </c>
      <c r="G912" s="4" t="s">
        <v>14</v>
      </c>
      <c r="H912">
        <v>46.94403201046768</v>
      </c>
      <c r="I912">
        <v>6.7211970066055446</v>
      </c>
      <c r="J912" s="4" t="s">
        <v>44</v>
      </c>
      <c r="L912" s="4" t="s">
        <v>42</v>
      </c>
      <c r="M912" s="4" t="s">
        <v>43</v>
      </c>
      <c r="N912" s="4" t="s">
        <v>16</v>
      </c>
    </row>
    <row r="913" spans="1:15" x14ac:dyDescent="0.25">
      <c r="A913">
        <f t="shared" si="60"/>
        <v>122024</v>
      </c>
      <c r="B913" t="s">
        <v>384</v>
      </c>
      <c r="C913" s="9">
        <v>43327</v>
      </c>
      <c r="D913" s="13">
        <f t="shared" si="57"/>
        <v>2018</v>
      </c>
      <c r="E913" s="13">
        <f t="shared" si="58"/>
        <v>8</v>
      </c>
      <c r="F913" s="13">
        <f t="shared" si="59"/>
        <v>15</v>
      </c>
      <c r="G913" s="4" t="s">
        <v>14</v>
      </c>
      <c r="H913">
        <v>46.943208010467373</v>
      </c>
      <c r="I913">
        <v>6.7209890066054907</v>
      </c>
      <c r="J913" s="4" t="s">
        <v>44</v>
      </c>
      <c r="L913" s="4" t="s">
        <v>42</v>
      </c>
      <c r="M913" s="4" t="s">
        <v>43</v>
      </c>
      <c r="N913" s="4" t="s">
        <v>16</v>
      </c>
    </row>
    <row r="914" spans="1:15" x14ac:dyDescent="0.25">
      <c r="A914">
        <f t="shared" si="60"/>
        <v>122024</v>
      </c>
      <c r="B914" t="s">
        <v>384</v>
      </c>
      <c r="C914" s="9">
        <v>43357</v>
      </c>
      <c r="D914" s="13">
        <f t="shared" si="57"/>
        <v>2018</v>
      </c>
      <c r="E914" s="13">
        <f t="shared" si="58"/>
        <v>9</v>
      </c>
      <c r="F914" s="13">
        <f t="shared" si="59"/>
        <v>14</v>
      </c>
      <c r="G914" s="4" t="s">
        <v>14</v>
      </c>
      <c r="H914">
        <v>46.942532010467239</v>
      </c>
      <c r="I914">
        <v>6.7202630066048261</v>
      </c>
      <c r="J914" s="4" t="s">
        <v>44</v>
      </c>
      <c r="L914" s="4" t="s">
        <v>42</v>
      </c>
      <c r="M914" s="4" t="s">
        <v>43</v>
      </c>
      <c r="N914" s="4" t="s">
        <v>16</v>
      </c>
    </row>
    <row r="915" spans="1:15" x14ac:dyDescent="0.25">
      <c r="A915">
        <f t="shared" si="60"/>
        <v>122024</v>
      </c>
      <c r="B915" t="s">
        <v>384</v>
      </c>
      <c r="C915" s="9">
        <v>43389</v>
      </c>
      <c r="D915" s="13">
        <f t="shared" si="57"/>
        <v>2018</v>
      </c>
      <c r="E915" s="13">
        <f t="shared" si="58"/>
        <v>10</v>
      </c>
      <c r="F915" s="13">
        <f t="shared" si="59"/>
        <v>16</v>
      </c>
      <c r="G915" s="4" t="s">
        <v>14</v>
      </c>
      <c r="H915">
        <v>46.974920010494998</v>
      </c>
      <c r="I915">
        <v>6.651987006521983</v>
      </c>
      <c r="J915" s="4" t="s">
        <v>44</v>
      </c>
      <c r="L915" s="4" t="s">
        <v>42</v>
      </c>
      <c r="M915" s="4" t="s">
        <v>43</v>
      </c>
      <c r="N915" s="4" t="s">
        <v>16</v>
      </c>
    </row>
    <row r="916" spans="1:15" x14ac:dyDescent="0.25">
      <c r="A916">
        <f t="shared" si="60"/>
        <v>122024</v>
      </c>
      <c r="B916" t="s">
        <v>384</v>
      </c>
      <c r="C916" s="9">
        <v>43427</v>
      </c>
      <c r="D916" s="13">
        <f t="shared" si="57"/>
        <v>2018</v>
      </c>
      <c r="E916" s="13">
        <f t="shared" si="58"/>
        <v>11</v>
      </c>
      <c r="F916" s="13">
        <f t="shared" si="59"/>
        <v>23</v>
      </c>
      <c r="G916" s="4" t="s">
        <v>14</v>
      </c>
      <c r="H916">
        <v>46.967880010490582</v>
      </c>
      <c r="I916">
        <v>6.65939000653173</v>
      </c>
      <c r="J916" s="4" t="s">
        <v>44</v>
      </c>
      <c r="K916" s="4" t="s">
        <v>53</v>
      </c>
      <c r="L916" s="4" t="s">
        <v>42</v>
      </c>
      <c r="M916" s="4" t="s">
        <v>43</v>
      </c>
      <c r="N916" s="4" t="s">
        <v>17</v>
      </c>
    </row>
    <row r="917" spans="1:15" x14ac:dyDescent="0.25">
      <c r="A917">
        <f t="shared" si="60"/>
        <v>122025</v>
      </c>
      <c r="B917" t="s">
        <v>385</v>
      </c>
      <c r="C917" s="9">
        <v>43207</v>
      </c>
      <c r="D917" s="13">
        <f t="shared" si="57"/>
        <v>2018</v>
      </c>
      <c r="E917" s="13">
        <f t="shared" si="58"/>
        <v>4</v>
      </c>
      <c r="F917" s="13">
        <f t="shared" si="59"/>
        <v>17</v>
      </c>
      <c r="G917" s="4" t="s">
        <v>14</v>
      </c>
      <c r="H917">
        <v>46.988100000000003</v>
      </c>
      <c r="I917">
        <v>6.6749999999999998</v>
      </c>
      <c r="J917" s="4" t="s">
        <v>15</v>
      </c>
      <c r="L917" s="4" t="s">
        <v>42</v>
      </c>
      <c r="M917" s="4" t="s">
        <v>43</v>
      </c>
      <c r="N917" s="4" t="s">
        <v>16</v>
      </c>
      <c r="O917" s="4" t="s">
        <v>27</v>
      </c>
    </row>
    <row r="918" spans="1:15" x14ac:dyDescent="0.25">
      <c r="A918">
        <f t="shared" si="60"/>
        <v>122025</v>
      </c>
      <c r="B918" t="s">
        <v>385</v>
      </c>
      <c r="C918" s="9">
        <v>43236</v>
      </c>
      <c r="D918" s="13">
        <f t="shared" si="57"/>
        <v>2018</v>
      </c>
      <c r="E918" s="13">
        <f t="shared" si="58"/>
        <v>5</v>
      </c>
      <c r="F918" s="13">
        <f t="shared" si="59"/>
        <v>16</v>
      </c>
      <c r="G918" s="4" t="s">
        <v>14</v>
      </c>
      <c r="H918">
        <v>46.985552010493507</v>
      </c>
      <c r="I918">
        <v>6.6787170065494088</v>
      </c>
      <c r="J918" s="4" t="s">
        <v>44</v>
      </c>
      <c r="L918" s="4" t="s">
        <v>42</v>
      </c>
      <c r="M918" s="4" t="s">
        <v>43</v>
      </c>
      <c r="N918" s="4" t="s">
        <v>16</v>
      </c>
    </row>
    <row r="919" spans="1:15" x14ac:dyDescent="0.25">
      <c r="A919">
        <f t="shared" si="60"/>
        <v>122025</v>
      </c>
      <c r="B919" t="s">
        <v>385</v>
      </c>
      <c r="C919" s="9">
        <v>43280</v>
      </c>
      <c r="D919" s="13">
        <f t="shared" si="57"/>
        <v>2018</v>
      </c>
      <c r="E919" s="13">
        <f t="shared" si="58"/>
        <v>6</v>
      </c>
      <c r="F919" s="13">
        <f t="shared" si="59"/>
        <v>29</v>
      </c>
      <c r="G919" s="4" t="s">
        <v>14</v>
      </c>
      <c r="H919">
        <v>47.010056010492988</v>
      </c>
      <c r="I919">
        <v>6.7260140065965226</v>
      </c>
      <c r="J919" s="4" t="s">
        <v>44</v>
      </c>
      <c r="L919" s="4" t="s">
        <v>42</v>
      </c>
      <c r="M919" s="4" t="s">
        <v>43</v>
      </c>
      <c r="N919" s="4" t="s">
        <v>17</v>
      </c>
    </row>
    <row r="920" spans="1:15" x14ac:dyDescent="0.25">
      <c r="A920">
        <f t="shared" si="60"/>
        <v>122026</v>
      </c>
      <c r="B920" t="s">
        <v>386</v>
      </c>
      <c r="C920" s="9">
        <v>43207</v>
      </c>
      <c r="D920" s="13">
        <f t="shared" si="57"/>
        <v>2018</v>
      </c>
      <c r="E920" s="13">
        <f t="shared" si="58"/>
        <v>4</v>
      </c>
      <c r="F920" s="13">
        <f t="shared" si="59"/>
        <v>17</v>
      </c>
      <c r="G920" s="4" t="s">
        <v>14</v>
      </c>
      <c r="H920">
        <v>46.889699999999998</v>
      </c>
      <c r="I920">
        <v>6.6199000000000003</v>
      </c>
      <c r="J920" s="4" t="s">
        <v>15</v>
      </c>
      <c r="L920" s="4" t="s">
        <v>42</v>
      </c>
      <c r="M920" s="4" t="s">
        <v>43</v>
      </c>
      <c r="N920" s="4" t="s">
        <v>16</v>
      </c>
      <c r="O920" s="4" t="s">
        <v>19</v>
      </c>
    </row>
    <row r="921" spans="1:15" x14ac:dyDescent="0.25">
      <c r="A921">
        <f t="shared" si="60"/>
        <v>122026</v>
      </c>
      <c r="B921" t="s">
        <v>386</v>
      </c>
      <c r="C921" s="9">
        <v>43234</v>
      </c>
      <c r="D921" s="13">
        <f t="shared" si="57"/>
        <v>2018</v>
      </c>
      <c r="E921" s="13">
        <f t="shared" si="58"/>
        <v>5</v>
      </c>
      <c r="F921" s="13">
        <f t="shared" si="59"/>
        <v>14</v>
      </c>
      <c r="G921" s="4" t="s">
        <v>14</v>
      </c>
      <c r="H921">
        <v>46.871644010479521</v>
      </c>
      <c r="I921">
        <v>6.5258240064026296</v>
      </c>
      <c r="J921" s="4" t="s">
        <v>44</v>
      </c>
      <c r="L921" s="4" t="s">
        <v>42</v>
      </c>
      <c r="M921" s="4" t="s">
        <v>43</v>
      </c>
      <c r="N921" s="4" t="s">
        <v>16</v>
      </c>
    </row>
    <row r="922" spans="1:15" x14ac:dyDescent="0.25">
      <c r="A922">
        <f t="shared" si="60"/>
        <v>122026</v>
      </c>
      <c r="B922" t="s">
        <v>386</v>
      </c>
      <c r="C922" s="9">
        <v>43266</v>
      </c>
      <c r="D922" s="13">
        <f t="shared" si="57"/>
        <v>2018</v>
      </c>
      <c r="E922" s="13">
        <f t="shared" si="58"/>
        <v>6</v>
      </c>
      <c r="F922" s="13">
        <f t="shared" si="59"/>
        <v>15</v>
      </c>
      <c r="G922" s="4" t="s">
        <v>14</v>
      </c>
      <c r="H922">
        <v>46.89014801046936</v>
      </c>
      <c r="I922">
        <v>6.6106590064938766</v>
      </c>
      <c r="J922" s="4" t="s">
        <v>44</v>
      </c>
      <c r="L922" s="4" t="s">
        <v>42</v>
      </c>
      <c r="M922" s="4" t="s">
        <v>43</v>
      </c>
      <c r="N922" s="4" t="s">
        <v>16</v>
      </c>
    </row>
    <row r="923" spans="1:15" x14ac:dyDescent="0.25">
      <c r="A923">
        <f t="shared" si="60"/>
        <v>122026</v>
      </c>
      <c r="B923" t="s">
        <v>386</v>
      </c>
      <c r="C923" s="9">
        <v>43297</v>
      </c>
      <c r="D923" s="13">
        <f t="shared" si="57"/>
        <v>2018</v>
      </c>
      <c r="E923" s="13">
        <f t="shared" si="58"/>
        <v>7</v>
      </c>
      <c r="F923" s="13">
        <f t="shared" si="59"/>
        <v>16</v>
      </c>
      <c r="G923" s="4" t="s">
        <v>14</v>
      </c>
      <c r="H923">
        <v>46.877632010464943</v>
      </c>
      <c r="I923">
        <v>6.6069610064923614</v>
      </c>
      <c r="J923" s="4" t="s">
        <v>44</v>
      </c>
      <c r="L923" s="4" t="s">
        <v>42</v>
      </c>
      <c r="M923" s="4" t="s">
        <v>43</v>
      </c>
      <c r="N923" s="4" t="s">
        <v>16</v>
      </c>
    </row>
    <row r="924" spans="1:15" x14ac:dyDescent="0.25">
      <c r="A924">
        <f t="shared" si="60"/>
        <v>122026</v>
      </c>
      <c r="B924" t="s">
        <v>386</v>
      </c>
      <c r="C924" s="9">
        <v>43336</v>
      </c>
      <c r="D924" s="13">
        <f t="shared" si="57"/>
        <v>2018</v>
      </c>
      <c r="E924" s="13">
        <f t="shared" si="58"/>
        <v>8</v>
      </c>
      <c r="F924" s="13">
        <f t="shared" si="59"/>
        <v>24</v>
      </c>
      <c r="G924" s="4" t="s">
        <v>14</v>
      </c>
      <c r="H924">
        <v>46.880260010465697</v>
      </c>
      <c r="I924">
        <v>6.6084220064934476</v>
      </c>
      <c r="J924" s="4" t="s">
        <v>21</v>
      </c>
      <c r="K924" s="4" t="s">
        <v>53</v>
      </c>
      <c r="L924" s="4" t="s">
        <v>42</v>
      </c>
      <c r="M924" s="4" t="s">
        <v>43</v>
      </c>
      <c r="N924" s="4" t="s">
        <v>17</v>
      </c>
    </row>
    <row r="925" spans="1:15" x14ac:dyDescent="0.25">
      <c r="A925">
        <f t="shared" si="60"/>
        <v>122027</v>
      </c>
      <c r="B925" t="s">
        <v>387</v>
      </c>
      <c r="C925" s="9">
        <v>43208</v>
      </c>
      <c r="D925" s="13">
        <f t="shared" si="57"/>
        <v>2018</v>
      </c>
      <c r="E925" s="13">
        <f t="shared" si="58"/>
        <v>4</v>
      </c>
      <c r="F925" s="13">
        <f t="shared" si="59"/>
        <v>18</v>
      </c>
      <c r="G925" s="4" t="s">
        <v>14</v>
      </c>
      <c r="H925">
        <v>46.889699999999998</v>
      </c>
      <c r="I925">
        <v>6.6199000000000003</v>
      </c>
      <c r="J925" s="4" t="s">
        <v>15</v>
      </c>
      <c r="L925" s="4" t="s">
        <v>42</v>
      </c>
      <c r="M925" s="4" t="s">
        <v>43</v>
      </c>
      <c r="N925" s="4" t="s">
        <v>16</v>
      </c>
      <c r="O925" s="4" t="s">
        <v>35</v>
      </c>
    </row>
    <row r="926" spans="1:15" x14ac:dyDescent="0.25">
      <c r="A926">
        <f t="shared" si="60"/>
        <v>122027</v>
      </c>
      <c r="B926" t="s">
        <v>387</v>
      </c>
      <c r="C926" s="9">
        <v>43235</v>
      </c>
      <c r="D926" s="13">
        <f t="shared" si="57"/>
        <v>2018</v>
      </c>
      <c r="E926" s="13">
        <f t="shared" si="58"/>
        <v>5</v>
      </c>
      <c r="F926" s="13">
        <f t="shared" si="59"/>
        <v>15</v>
      </c>
      <c r="G926" s="4" t="s">
        <v>14</v>
      </c>
      <c r="H926">
        <v>46.890184010465738</v>
      </c>
      <c r="I926">
        <v>6.6275430065127399</v>
      </c>
      <c r="J926" s="4" t="s">
        <v>44</v>
      </c>
      <c r="L926" s="4" t="s">
        <v>42</v>
      </c>
      <c r="M926" s="4" t="s">
        <v>43</v>
      </c>
      <c r="N926" s="4" t="s">
        <v>16</v>
      </c>
    </row>
    <row r="927" spans="1:15" x14ac:dyDescent="0.25">
      <c r="A927">
        <f t="shared" si="60"/>
        <v>122027</v>
      </c>
      <c r="B927" t="s">
        <v>387</v>
      </c>
      <c r="C927" s="9">
        <v>43264</v>
      </c>
      <c r="D927" s="13">
        <f t="shared" si="57"/>
        <v>2018</v>
      </c>
      <c r="E927" s="13">
        <f t="shared" si="58"/>
        <v>6</v>
      </c>
      <c r="F927" s="13">
        <f t="shared" si="59"/>
        <v>13</v>
      </c>
      <c r="G927" s="4" t="s">
        <v>14</v>
      </c>
      <c r="H927">
        <v>46.897768010468958</v>
      </c>
      <c r="I927">
        <v>6.6272680065108354</v>
      </c>
      <c r="J927" s="4" t="s">
        <v>21</v>
      </c>
      <c r="K927" s="4" t="s">
        <v>53</v>
      </c>
      <c r="L927" s="4" t="s">
        <v>42</v>
      </c>
      <c r="M927" s="4" t="s">
        <v>43</v>
      </c>
      <c r="N927" s="4" t="s">
        <v>17</v>
      </c>
    </row>
    <row r="928" spans="1:15" x14ac:dyDescent="0.25">
      <c r="A928">
        <f t="shared" si="60"/>
        <v>122028</v>
      </c>
      <c r="B928" t="s">
        <v>388</v>
      </c>
      <c r="C928" s="9">
        <v>43208</v>
      </c>
      <c r="D928" s="13">
        <f t="shared" si="57"/>
        <v>2018</v>
      </c>
      <c r="E928" s="13">
        <f t="shared" si="58"/>
        <v>4</v>
      </c>
      <c r="F928" s="13">
        <f t="shared" si="59"/>
        <v>18</v>
      </c>
      <c r="G928" s="4" t="s">
        <v>14</v>
      </c>
      <c r="H928">
        <v>46.942500000000003</v>
      </c>
      <c r="I928">
        <v>6.4771999999999998</v>
      </c>
      <c r="J928" s="4" t="s">
        <v>15</v>
      </c>
      <c r="L928" s="4" t="s">
        <v>42</v>
      </c>
      <c r="M928" s="4" t="s">
        <v>43</v>
      </c>
      <c r="N928" s="4" t="s">
        <v>17</v>
      </c>
      <c r="O928" s="4" t="s">
        <v>19</v>
      </c>
    </row>
    <row r="929" spans="1:15" x14ac:dyDescent="0.25">
      <c r="A929">
        <f t="shared" si="60"/>
        <v>122029</v>
      </c>
      <c r="B929" t="s">
        <v>389</v>
      </c>
      <c r="C929" s="9">
        <v>43209</v>
      </c>
      <c r="D929" s="13">
        <f t="shared" si="57"/>
        <v>2018</v>
      </c>
      <c r="E929" s="13">
        <f t="shared" si="58"/>
        <v>4</v>
      </c>
      <c r="F929" s="13">
        <f t="shared" si="59"/>
        <v>19</v>
      </c>
      <c r="G929" s="4" t="s">
        <v>14</v>
      </c>
      <c r="H929">
        <v>46.942500000000003</v>
      </c>
      <c r="I929">
        <v>6.4771999999999998</v>
      </c>
      <c r="J929" s="4" t="s">
        <v>15</v>
      </c>
      <c r="L929" s="4" t="s">
        <v>42</v>
      </c>
      <c r="M929" s="4" t="s">
        <v>43</v>
      </c>
      <c r="N929" s="4" t="s">
        <v>16</v>
      </c>
      <c r="O929" s="4" t="s">
        <v>19</v>
      </c>
    </row>
    <row r="930" spans="1:15" x14ac:dyDescent="0.25">
      <c r="A930">
        <f t="shared" si="60"/>
        <v>122029</v>
      </c>
      <c r="B930" t="s">
        <v>389</v>
      </c>
      <c r="C930" s="9">
        <v>43236</v>
      </c>
      <c r="D930" s="13">
        <f t="shared" si="57"/>
        <v>2018</v>
      </c>
      <c r="E930" s="13">
        <f t="shared" si="58"/>
        <v>5</v>
      </c>
      <c r="F930" s="13">
        <f t="shared" si="59"/>
        <v>16</v>
      </c>
      <c r="G930" s="4" t="s">
        <v>14</v>
      </c>
      <c r="H930">
        <v>46.883788010480551</v>
      </c>
      <c r="I930">
        <v>6.5450220064216786</v>
      </c>
      <c r="J930" s="4" t="s">
        <v>44</v>
      </c>
      <c r="L930" s="4" t="s">
        <v>42</v>
      </c>
      <c r="M930" s="4" t="s">
        <v>43</v>
      </c>
      <c r="N930" s="4" t="s">
        <v>16</v>
      </c>
    </row>
    <row r="931" spans="1:15" x14ac:dyDescent="0.25">
      <c r="A931">
        <f t="shared" si="60"/>
        <v>122029</v>
      </c>
      <c r="B931" t="s">
        <v>389</v>
      </c>
      <c r="C931" s="9">
        <v>43265</v>
      </c>
      <c r="D931" s="13">
        <f t="shared" si="57"/>
        <v>2018</v>
      </c>
      <c r="E931" s="13">
        <f t="shared" si="58"/>
        <v>6</v>
      </c>
      <c r="F931" s="13">
        <f t="shared" si="59"/>
        <v>14</v>
      </c>
      <c r="G931" s="4" t="s">
        <v>14</v>
      </c>
      <c r="H931">
        <v>46.955368010521248</v>
      </c>
      <c r="I931">
        <v>6.4907130063459002</v>
      </c>
      <c r="J931" s="4" t="s">
        <v>44</v>
      </c>
      <c r="L931" s="4" t="s">
        <v>42</v>
      </c>
      <c r="M931" s="4" t="s">
        <v>43</v>
      </c>
      <c r="N931" s="4" t="s">
        <v>16</v>
      </c>
    </row>
    <row r="932" spans="1:15" x14ac:dyDescent="0.25">
      <c r="A932">
        <f t="shared" si="60"/>
        <v>122029</v>
      </c>
      <c r="B932" t="s">
        <v>389</v>
      </c>
      <c r="C932" s="9">
        <v>43297</v>
      </c>
      <c r="D932" s="13">
        <f t="shared" si="57"/>
        <v>2018</v>
      </c>
      <c r="E932" s="13">
        <f t="shared" si="58"/>
        <v>7</v>
      </c>
      <c r="F932" s="13">
        <f t="shared" si="59"/>
        <v>16</v>
      </c>
      <c r="G932" s="4" t="s">
        <v>14</v>
      </c>
      <c r="H932">
        <v>46.955496010518033</v>
      </c>
      <c r="I932">
        <v>6.5062840063633374</v>
      </c>
      <c r="J932" s="4" t="s">
        <v>44</v>
      </c>
      <c r="L932" s="4" t="s">
        <v>42</v>
      </c>
      <c r="M932" s="4" t="s">
        <v>43</v>
      </c>
      <c r="N932" s="4" t="s">
        <v>16</v>
      </c>
    </row>
    <row r="933" spans="1:15" x14ac:dyDescent="0.25">
      <c r="A933">
        <f t="shared" si="60"/>
        <v>122029</v>
      </c>
      <c r="B933" t="s">
        <v>389</v>
      </c>
      <c r="C933" s="9">
        <v>43327</v>
      </c>
      <c r="D933" s="13">
        <f t="shared" si="57"/>
        <v>2018</v>
      </c>
      <c r="E933" s="13">
        <f t="shared" si="58"/>
        <v>8</v>
      </c>
      <c r="F933" s="13">
        <f t="shared" si="59"/>
        <v>15</v>
      </c>
      <c r="G933" s="4" t="s">
        <v>14</v>
      </c>
      <c r="H933">
        <v>46.866672010475462</v>
      </c>
      <c r="I933">
        <v>6.53536500641437</v>
      </c>
      <c r="J933" s="4" t="s">
        <v>44</v>
      </c>
      <c r="L933" s="4" t="s">
        <v>42</v>
      </c>
      <c r="M933" s="4" t="s">
        <v>43</v>
      </c>
      <c r="N933" s="4" t="s">
        <v>16</v>
      </c>
    </row>
    <row r="934" spans="1:15" x14ac:dyDescent="0.25">
      <c r="A934">
        <f t="shared" si="60"/>
        <v>122029</v>
      </c>
      <c r="B934" t="s">
        <v>389</v>
      </c>
      <c r="C934" s="9">
        <v>43357</v>
      </c>
      <c r="D934" s="13">
        <f t="shared" si="57"/>
        <v>2018</v>
      </c>
      <c r="E934" s="13">
        <f t="shared" si="58"/>
        <v>9</v>
      </c>
      <c r="F934" s="13">
        <f t="shared" si="59"/>
        <v>14</v>
      </c>
      <c r="G934" s="4" t="s">
        <v>14</v>
      </c>
      <c r="H934">
        <v>46.867840010476037</v>
      </c>
      <c r="I934">
        <v>6.5349120064136192</v>
      </c>
      <c r="J934" s="4" t="s">
        <v>44</v>
      </c>
      <c r="L934" s="4" t="s">
        <v>42</v>
      </c>
      <c r="M934" s="4" t="s">
        <v>43</v>
      </c>
      <c r="N934" s="4" t="s">
        <v>16</v>
      </c>
    </row>
    <row r="935" spans="1:15" x14ac:dyDescent="0.25">
      <c r="A935">
        <f t="shared" si="60"/>
        <v>122029</v>
      </c>
      <c r="B935" t="s">
        <v>389</v>
      </c>
      <c r="C935" s="9">
        <v>43388</v>
      </c>
      <c r="D935" s="13">
        <f t="shared" si="57"/>
        <v>2018</v>
      </c>
      <c r="E935" s="13">
        <f t="shared" si="58"/>
        <v>10</v>
      </c>
      <c r="F935" s="13">
        <f t="shared" si="59"/>
        <v>15</v>
      </c>
      <c r="G935" s="4" t="s">
        <v>14</v>
      </c>
      <c r="H935">
        <v>47.085836010594797</v>
      </c>
      <c r="I935">
        <v>6.3844030061994754</v>
      </c>
      <c r="J935" s="4" t="s">
        <v>44</v>
      </c>
      <c r="L935" s="4" t="s">
        <v>42</v>
      </c>
      <c r="M935" s="4" t="s">
        <v>43</v>
      </c>
      <c r="N935" s="4" t="s">
        <v>16</v>
      </c>
    </row>
    <row r="936" spans="1:15" x14ac:dyDescent="0.25">
      <c r="A936">
        <f t="shared" si="60"/>
        <v>122029</v>
      </c>
      <c r="B936" t="s">
        <v>389</v>
      </c>
      <c r="C936" s="9">
        <v>43406</v>
      </c>
      <c r="D936" s="13">
        <f t="shared" si="57"/>
        <v>2018</v>
      </c>
      <c r="E936" s="13">
        <f t="shared" si="58"/>
        <v>11</v>
      </c>
      <c r="F936" s="13">
        <f t="shared" si="59"/>
        <v>2</v>
      </c>
      <c r="G936" s="4" t="s">
        <v>14</v>
      </c>
      <c r="H936">
        <v>47.085932010595307</v>
      </c>
      <c r="I936">
        <v>6.3821790061969574</v>
      </c>
      <c r="J936" s="4" t="s">
        <v>44</v>
      </c>
      <c r="L936" s="4" t="s">
        <v>42</v>
      </c>
      <c r="M936" s="4" t="s">
        <v>43</v>
      </c>
      <c r="N936" s="4" t="s">
        <v>17</v>
      </c>
    </row>
    <row r="937" spans="1:15" x14ac:dyDescent="0.25">
      <c r="A937">
        <f t="shared" si="60"/>
        <v>122030</v>
      </c>
      <c r="B937" t="s">
        <v>390</v>
      </c>
      <c r="C937" s="9">
        <v>43214</v>
      </c>
      <c r="D937" s="13">
        <f t="shared" si="57"/>
        <v>2018</v>
      </c>
      <c r="E937" s="13">
        <f t="shared" si="58"/>
        <v>4</v>
      </c>
      <c r="F937" s="13">
        <f t="shared" si="59"/>
        <v>24</v>
      </c>
      <c r="G937" s="4" t="s">
        <v>14</v>
      </c>
      <c r="H937">
        <v>46.856499999999997</v>
      </c>
      <c r="I937">
        <v>6.5194000000000001</v>
      </c>
      <c r="J937" s="4" t="s">
        <v>15</v>
      </c>
      <c r="L937" s="4" t="s">
        <v>42</v>
      </c>
      <c r="M937" s="4" t="s">
        <v>43</v>
      </c>
      <c r="N937" s="4" t="s">
        <v>16</v>
      </c>
      <c r="O937" s="4" t="s">
        <v>27</v>
      </c>
    </row>
    <row r="938" spans="1:15" x14ac:dyDescent="0.25">
      <c r="A938">
        <f t="shared" si="60"/>
        <v>122030</v>
      </c>
      <c r="B938" t="s">
        <v>390</v>
      </c>
      <c r="C938" s="9">
        <v>43236</v>
      </c>
      <c r="D938" s="13">
        <f t="shared" si="57"/>
        <v>2018</v>
      </c>
      <c r="E938" s="13">
        <f t="shared" si="58"/>
        <v>5</v>
      </c>
      <c r="F938" s="13">
        <f t="shared" si="59"/>
        <v>16</v>
      </c>
      <c r="G938" s="4" t="s">
        <v>14</v>
      </c>
      <c r="H938">
        <v>46.846084010463841</v>
      </c>
      <c r="I938">
        <v>6.5496050064346054</v>
      </c>
      <c r="J938" s="4" t="s">
        <v>44</v>
      </c>
      <c r="L938" s="4" t="s">
        <v>42</v>
      </c>
      <c r="M938" s="4" t="s">
        <v>43</v>
      </c>
      <c r="N938" s="4" t="s">
        <v>16</v>
      </c>
    </row>
    <row r="939" spans="1:15" x14ac:dyDescent="0.25">
      <c r="A939">
        <f t="shared" si="60"/>
        <v>122030</v>
      </c>
      <c r="B939" t="s">
        <v>390</v>
      </c>
      <c r="C939" s="9">
        <v>43256</v>
      </c>
      <c r="D939" s="13">
        <f t="shared" si="57"/>
        <v>2018</v>
      </c>
      <c r="E939" s="13">
        <f t="shared" si="58"/>
        <v>6</v>
      </c>
      <c r="F939" s="13">
        <f t="shared" si="59"/>
        <v>5</v>
      </c>
      <c r="G939" s="4" t="s">
        <v>14</v>
      </c>
      <c r="H939">
        <v>46.875876010494167</v>
      </c>
      <c r="I939">
        <v>6.4638040063319711</v>
      </c>
      <c r="J939" s="4" t="s">
        <v>44</v>
      </c>
      <c r="L939" s="4" t="s">
        <v>42</v>
      </c>
      <c r="M939" s="4" t="s">
        <v>43</v>
      </c>
      <c r="N939" s="4" t="s">
        <v>16</v>
      </c>
    </row>
    <row r="940" spans="1:15" x14ac:dyDescent="0.25">
      <c r="A940">
        <f t="shared" si="60"/>
        <v>122030</v>
      </c>
      <c r="B940" t="s">
        <v>390</v>
      </c>
      <c r="C940" s="9">
        <v>43297</v>
      </c>
      <c r="D940" s="13">
        <f t="shared" si="57"/>
        <v>2018</v>
      </c>
      <c r="E940" s="13">
        <f t="shared" si="58"/>
        <v>7</v>
      </c>
      <c r="F940" s="13">
        <f t="shared" si="59"/>
        <v>16</v>
      </c>
      <c r="G940" s="4" t="s">
        <v>14</v>
      </c>
      <c r="H940">
        <v>46.680976010434691</v>
      </c>
      <c r="I940">
        <v>6.3428650062334091</v>
      </c>
      <c r="J940" s="4" t="s">
        <v>44</v>
      </c>
      <c r="L940" s="4" t="s">
        <v>42</v>
      </c>
      <c r="M940" s="4" t="s">
        <v>43</v>
      </c>
      <c r="N940" s="4" t="s">
        <v>16</v>
      </c>
    </row>
    <row r="941" spans="1:15" x14ac:dyDescent="0.25">
      <c r="A941">
        <f t="shared" si="60"/>
        <v>122030</v>
      </c>
      <c r="B941" t="s">
        <v>390</v>
      </c>
      <c r="C941" s="9">
        <v>43328</v>
      </c>
      <c r="D941" s="13">
        <f t="shared" si="57"/>
        <v>2018</v>
      </c>
      <c r="E941" s="13">
        <f t="shared" si="58"/>
        <v>8</v>
      </c>
      <c r="F941" s="13">
        <f t="shared" si="59"/>
        <v>16</v>
      </c>
      <c r="G941" s="4" t="s">
        <v>14</v>
      </c>
      <c r="H941">
        <v>46.681272010434789</v>
      </c>
      <c r="I941">
        <v>6.3429810062334857</v>
      </c>
      <c r="J941" s="4" t="s">
        <v>44</v>
      </c>
      <c r="L941" s="4" t="s">
        <v>42</v>
      </c>
      <c r="M941" s="4" t="s">
        <v>43</v>
      </c>
      <c r="N941" s="4" t="s">
        <v>16</v>
      </c>
    </row>
    <row r="942" spans="1:15" x14ac:dyDescent="0.25">
      <c r="A942">
        <f t="shared" si="60"/>
        <v>122030</v>
      </c>
      <c r="B942" t="s">
        <v>390</v>
      </c>
      <c r="C942" s="9">
        <v>43361</v>
      </c>
      <c r="D942" s="13">
        <f t="shared" si="57"/>
        <v>2018</v>
      </c>
      <c r="E942" s="13">
        <f t="shared" si="58"/>
        <v>9</v>
      </c>
      <c r="F942" s="13">
        <f t="shared" si="59"/>
        <v>18</v>
      </c>
      <c r="G942" s="4" t="s">
        <v>14</v>
      </c>
      <c r="H942">
        <v>46.680944010434679</v>
      </c>
      <c r="I942">
        <v>6.3430160062335927</v>
      </c>
      <c r="J942" s="4" t="s">
        <v>44</v>
      </c>
      <c r="L942" s="4" t="s">
        <v>42</v>
      </c>
      <c r="M942" s="4" t="s">
        <v>43</v>
      </c>
      <c r="N942" s="4" t="s">
        <v>16</v>
      </c>
    </row>
    <row r="943" spans="1:15" x14ac:dyDescent="0.25">
      <c r="A943">
        <f t="shared" si="60"/>
        <v>122030</v>
      </c>
      <c r="B943" t="s">
        <v>390</v>
      </c>
      <c r="C943" s="9">
        <v>43398</v>
      </c>
      <c r="D943" s="13">
        <f t="shared" si="57"/>
        <v>2018</v>
      </c>
      <c r="E943" s="13">
        <f t="shared" si="58"/>
        <v>10</v>
      </c>
      <c r="F943" s="13">
        <f t="shared" si="59"/>
        <v>25</v>
      </c>
      <c r="G943" s="4" t="s">
        <v>14</v>
      </c>
      <c r="H943">
        <v>46.679072010433622</v>
      </c>
      <c r="I943">
        <v>6.3441180062352114</v>
      </c>
      <c r="J943" s="4" t="s">
        <v>44</v>
      </c>
      <c r="L943" s="4" t="s">
        <v>42</v>
      </c>
      <c r="M943" s="4" t="s">
        <v>43</v>
      </c>
      <c r="N943" s="4" t="s">
        <v>17</v>
      </c>
    </row>
    <row r="944" spans="1:15" x14ac:dyDescent="0.25">
      <c r="A944">
        <f t="shared" si="60"/>
        <v>122031</v>
      </c>
      <c r="B944" t="s">
        <v>391</v>
      </c>
      <c r="C944" s="9">
        <v>43216</v>
      </c>
      <c r="D944" s="13">
        <f t="shared" si="57"/>
        <v>2018</v>
      </c>
      <c r="E944" s="13">
        <f t="shared" si="58"/>
        <v>4</v>
      </c>
      <c r="F944" s="13">
        <f t="shared" si="59"/>
        <v>26</v>
      </c>
      <c r="G944" s="4" t="s">
        <v>14</v>
      </c>
      <c r="H944">
        <v>46.9392</v>
      </c>
      <c r="I944">
        <v>6.7453000000000003</v>
      </c>
      <c r="J944" s="4" t="s">
        <v>15</v>
      </c>
      <c r="L944" s="4" t="s">
        <v>42</v>
      </c>
      <c r="M944" s="4" t="s">
        <v>43</v>
      </c>
      <c r="N944" s="4" t="s">
        <v>16</v>
      </c>
      <c r="O944" s="4" t="s">
        <v>27</v>
      </c>
    </row>
    <row r="945" spans="1:15" x14ac:dyDescent="0.25">
      <c r="A945">
        <f t="shared" si="60"/>
        <v>122031</v>
      </c>
      <c r="B945" t="s">
        <v>391</v>
      </c>
      <c r="C945" s="9">
        <v>43236</v>
      </c>
      <c r="D945" s="13">
        <f t="shared" si="57"/>
        <v>2018</v>
      </c>
      <c r="E945" s="13">
        <f t="shared" si="58"/>
        <v>5</v>
      </c>
      <c r="F945" s="13">
        <f t="shared" si="59"/>
        <v>16</v>
      </c>
      <c r="G945" s="4" t="s">
        <v>14</v>
      </c>
      <c r="H945">
        <v>46.934384010462722</v>
      </c>
      <c r="I945">
        <v>6.7260880066130557</v>
      </c>
      <c r="J945" s="4" t="s">
        <v>44</v>
      </c>
      <c r="L945" s="4" t="s">
        <v>42</v>
      </c>
      <c r="M945" s="4" t="s">
        <v>43</v>
      </c>
      <c r="N945" s="4" t="s">
        <v>16</v>
      </c>
    </row>
    <row r="946" spans="1:15" x14ac:dyDescent="0.25">
      <c r="A946">
        <f t="shared" si="60"/>
        <v>122031</v>
      </c>
      <c r="B946" t="s">
        <v>391</v>
      </c>
      <c r="C946" s="9">
        <v>43265</v>
      </c>
      <c r="D946" s="13">
        <f t="shared" si="57"/>
        <v>2018</v>
      </c>
      <c r="E946" s="13">
        <f t="shared" si="58"/>
        <v>6</v>
      </c>
      <c r="F946" s="13">
        <f t="shared" si="59"/>
        <v>14</v>
      </c>
      <c r="G946" s="4" t="s">
        <v>14</v>
      </c>
      <c r="H946">
        <v>46.934752010462418</v>
      </c>
      <c r="I946">
        <v>6.7280650066151653</v>
      </c>
      <c r="J946" s="4" t="s">
        <v>44</v>
      </c>
      <c r="L946" s="4" t="s">
        <v>42</v>
      </c>
      <c r="M946" s="4" t="s">
        <v>43</v>
      </c>
      <c r="N946" s="4" t="s">
        <v>16</v>
      </c>
    </row>
    <row r="947" spans="1:15" x14ac:dyDescent="0.25">
      <c r="A947">
        <f t="shared" si="60"/>
        <v>122031</v>
      </c>
      <c r="B947" t="s">
        <v>391</v>
      </c>
      <c r="C947" s="9">
        <v>43268</v>
      </c>
      <c r="D947" s="13">
        <f t="shared" si="57"/>
        <v>2018</v>
      </c>
      <c r="E947" s="13">
        <f t="shared" si="58"/>
        <v>6</v>
      </c>
      <c r="F947" s="13">
        <f t="shared" si="59"/>
        <v>17</v>
      </c>
      <c r="G947" s="4" t="s">
        <v>14</v>
      </c>
      <c r="H947">
        <v>46.936976010463468</v>
      </c>
      <c r="I947">
        <v>6.7273820066139294</v>
      </c>
      <c r="J947" s="4" t="s">
        <v>44</v>
      </c>
      <c r="L947" s="4" t="s">
        <v>42</v>
      </c>
      <c r="M947" s="4" t="s">
        <v>43</v>
      </c>
      <c r="N947" s="4" t="s">
        <v>16</v>
      </c>
    </row>
    <row r="948" spans="1:15" x14ac:dyDescent="0.25">
      <c r="A948">
        <f t="shared" si="60"/>
        <v>122031</v>
      </c>
      <c r="B948" t="s">
        <v>391</v>
      </c>
      <c r="C948" s="9">
        <v>43327</v>
      </c>
      <c r="D948" s="13">
        <f t="shared" si="57"/>
        <v>2018</v>
      </c>
      <c r="E948" s="13">
        <f t="shared" si="58"/>
        <v>8</v>
      </c>
      <c r="F948" s="13">
        <f t="shared" si="59"/>
        <v>15</v>
      </c>
      <c r="G948" s="4" t="s">
        <v>14</v>
      </c>
      <c r="H948">
        <v>46.934888010463268</v>
      </c>
      <c r="I948">
        <v>6.7245520066112396</v>
      </c>
      <c r="J948" s="4" t="s">
        <v>44</v>
      </c>
      <c r="L948" s="4" t="s">
        <v>42</v>
      </c>
      <c r="M948" s="4" t="s">
        <v>43</v>
      </c>
      <c r="N948" s="4" t="s">
        <v>16</v>
      </c>
    </row>
    <row r="949" spans="1:15" x14ac:dyDescent="0.25">
      <c r="A949">
        <f t="shared" si="60"/>
        <v>122031</v>
      </c>
      <c r="B949" t="s">
        <v>391</v>
      </c>
      <c r="C949" s="9">
        <v>43357</v>
      </c>
      <c r="D949" s="13">
        <f t="shared" si="57"/>
        <v>2018</v>
      </c>
      <c r="E949" s="13">
        <f t="shared" si="58"/>
        <v>9</v>
      </c>
      <c r="F949" s="13">
        <f t="shared" si="59"/>
        <v>14</v>
      </c>
      <c r="G949" s="4" t="s">
        <v>14</v>
      </c>
      <c r="H949">
        <v>46.933860010462674</v>
      </c>
      <c r="I949">
        <v>6.7252850066122782</v>
      </c>
      <c r="J949" s="4" t="s">
        <v>44</v>
      </c>
      <c r="L949" s="4" t="s">
        <v>42</v>
      </c>
      <c r="M949" s="4" t="s">
        <v>43</v>
      </c>
      <c r="N949" s="4" t="s">
        <v>16</v>
      </c>
    </row>
    <row r="950" spans="1:15" x14ac:dyDescent="0.25">
      <c r="A950">
        <f t="shared" si="60"/>
        <v>122031</v>
      </c>
      <c r="B950" t="s">
        <v>391</v>
      </c>
      <c r="C950" s="9">
        <v>43388</v>
      </c>
      <c r="D950" s="13">
        <f t="shared" si="57"/>
        <v>2018</v>
      </c>
      <c r="E950" s="13">
        <f t="shared" si="58"/>
        <v>10</v>
      </c>
      <c r="F950" s="13">
        <f t="shared" si="59"/>
        <v>15</v>
      </c>
      <c r="G950" s="4" t="s">
        <v>14</v>
      </c>
      <c r="H950">
        <v>46.933828010463138</v>
      </c>
      <c r="I950">
        <v>6.7230100066097593</v>
      </c>
      <c r="J950" s="4" t="s">
        <v>44</v>
      </c>
      <c r="L950" s="4" t="s">
        <v>42</v>
      </c>
      <c r="M950" s="4" t="s">
        <v>43</v>
      </c>
      <c r="N950" s="4" t="s">
        <v>16</v>
      </c>
    </row>
    <row r="951" spans="1:15" x14ac:dyDescent="0.25">
      <c r="A951">
        <f t="shared" si="60"/>
        <v>122031</v>
      </c>
      <c r="B951" t="s">
        <v>391</v>
      </c>
      <c r="C951" s="9">
        <v>43418</v>
      </c>
      <c r="D951" s="13">
        <f t="shared" si="57"/>
        <v>2018</v>
      </c>
      <c r="E951" s="13">
        <f t="shared" si="58"/>
        <v>11</v>
      </c>
      <c r="F951" s="13">
        <f t="shared" si="59"/>
        <v>14</v>
      </c>
      <c r="G951" s="4" t="s">
        <v>14</v>
      </c>
      <c r="H951">
        <v>46.933396010462808</v>
      </c>
      <c r="I951">
        <v>6.7235070066104052</v>
      </c>
      <c r="J951" s="4" t="s">
        <v>44</v>
      </c>
      <c r="L951" s="4" t="s">
        <v>42</v>
      </c>
      <c r="M951" s="4" t="s">
        <v>43</v>
      </c>
      <c r="N951" s="4" t="s">
        <v>17</v>
      </c>
    </row>
    <row r="952" spans="1:15" x14ac:dyDescent="0.25">
      <c r="A952">
        <f t="shared" si="60"/>
        <v>122032</v>
      </c>
      <c r="B952" t="s">
        <v>392</v>
      </c>
      <c r="C952" s="9">
        <v>43238</v>
      </c>
      <c r="D952" s="13">
        <f t="shared" si="57"/>
        <v>2018</v>
      </c>
      <c r="E952" s="13">
        <f t="shared" si="58"/>
        <v>5</v>
      </c>
      <c r="F952" s="13">
        <f t="shared" si="59"/>
        <v>18</v>
      </c>
      <c r="G952" s="4" t="s">
        <v>14</v>
      </c>
      <c r="H952">
        <v>46.849699999999999</v>
      </c>
      <c r="I952">
        <v>6.5510999999999999</v>
      </c>
      <c r="J952" s="4" t="s">
        <v>15</v>
      </c>
      <c r="L952" s="4" t="s">
        <v>42</v>
      </c>
      <c r="M952" s="4" t="s">
        <v>43</v>
      </c>
      <c r="N952" s="4" t="s">
        <v>16</v>
      </c>
      <c r="O952" s="4" t="s">
        <v>19</v>
      </c>
    </row>
    <row r="953" spans="1:15" x14ac:dyDescent="0.25">
      <c r="A953">
        <f t="shared" si="60"/>
        <v>122032</v>
      </c>
      <c r="B953" t="s">
        <v>392</v>
      </c>
      <c r="C953" s="9">
        <v>43266</v>
      </c>
      <c r="D953" s="13">
        <f t="shared" si="57"/>
        <v>2018</v>
      </c>
      <c r="E953" s="13">
        <f t="shared" si="58"/>
        <v>6</v>
      </c>
      <c r="F953" s="13">
        <f t="shared" si="59"/>
        <v>15</v>
      </c>
      <c r="G953" s="4" t="s">
        <v>14</v>
      </c>
      <c r="H953">
        <v>46.852392010466041</v>
      </c>
      <c r="I953">
        <v>6.551733006435696</v>
      </c>
      <c r="J953" s="4" t="s">
        <v>44</v>
      </c>
      <c r="L953" s="4" t="s">
        <v>42</v>
      </c>
      <c r="M953" s="4" t="s">
        <v>43</v>
      </c>
      <c r="N953" s="4" t="s">
        <v>16</v>
      </c>
    </row>
    <row r="954" spans="1:15" x14ac:dyDescent="0.25">
      <c r="A954">
        <f t="shared" si="60"/>
        <v>122032</v>
      </c>
      <c r="B954" t="s">
        <v>392</v>
      </c>
      <c r="C954" s="9">
        <v>43297</v>
      </c>
      <c r="D954" s="13">
        <f t="shared" si="57"/>
        <v>2018</v>
      </c>
      <c r="E954" s="13">
        <f t="shared" si="58"/>
        <v>7</v>
      </c>
      <c r="F954" s="13">
        <f t="shared" si="59"/>
        <v>16</v>
      </c>
      <c r="G954" s="4" t="s">
        <v>14</v>
      </c>
      <c r="H954">
        <v>46.677088010440087</v>
      </c>
      <c r="I954">
        <v>6.3071590061933884</v>
      </c>
      <c r="J954" s="4" t="s">
        <v>44</v>
      </c>
      <c r="L954" s="4" t="s">
        <v>42</v>
      </c>
      <c r="M954" s="4" t="s">
        <v>43</v>
      </c>
      <c r="N954" s="4" t="s">
        <v>16</v>
      </c>
    </row>
    <row r="955" spans="1:15" x14ac:dyDescent="0.25">
      <c r="A955">
        <f t="shared" si="60"/>
        <v>122032</v>
      </c>
      <c r="B955" t="s">
        <v>392</v>
      </c>
      <c r="C955" s="9">
        <v>43328</v>
      </c>
      <c r="D955" s="13">
        <f t="shared" si="57"/>
        <v>2018</v>
      </c>
      <c r="E955" s="13">
        <f t="shared" si="58"/>
        <v>8</v>
      </c>
      <c r="F955" s="13">
        <f t="shared" si="59"/>
        <v>16</v>
      </c>
      <c r="G955" s="4" t="s">
        <v>14</v>
      </c>
      <c r="H955">
        <v>46.678804010438682</v>
      </c>
      <c r="I955">
        <v>6.3181900062056586</v>
      </c>
      <c r="J955" s="4" t="s">
        <v>44</v>
      </c>
      <c r="L955" s="4" t="s">
        <v>42</v>
      </c>
      <c r="M955" s="4" t="s">
        <v>43</v>
      </c>
      <c r="N955" s="4" t="s">
        <v>16</v>
      </c>
    </row>
    <row r="956" spans="1:15" x14ac:dyDescent="0.25">
      <c r="A956">
        <f t="shared" si="60"/>
        <v>122032</v>
      </c>
      <c r="B956" t="s">
        <v>392</v>
      </c>
      <c r="C956" s="9">
        <v>43357</v>
      </c>
      <c r="D956" s="13">
        <f t="shared" si="57"/>
        <v>2018</v>
      </c>
      <c r="E956" s="13">
        <f t="shared" si="58"/>
        <v>9</v>
      </c>
      <c r="F956" s="13">
        <f t="shared" si="59"/>
        <v>14</v>
      </c>
      <c r="G956" s="4" t="s">
        <v>14</v>
      </c>
      <c r="H956">
        <v>46.682740010440263</v>
      </c>
      <c r="I956">
        <v>6.3190110062058444</v>
      </c>
      <c r="J956" s="4" t="s">
        <v>44</v>
      </c>
      <c r="L956" s="4" t="s">
        <v>42</v>
      </c>
      <c r="M956" s="4" t="s">
        <v>43</v>
      </c>
      <c r="N956" s="4" t="s">
        <v>16</v>
      </c>
    </row>
    <row r="957" spans="1:15" x14ac:dyDescent="0.25">
      <c r="A957">
        <f t="shared" si="60"/>
        <v>122032</v>
      </c>
      <c r="B957" t="s">
        <v>392</v>
      </c>
      <c r="C957" s="9">
        <v>43399</v>
      </c>
      <c r="D957" s="13">
        <f t="shared" si="57"/>
        <v>2018</v>
      </c>
      <c r="E957" s="13">
        <f t="shared" si="58"/>
        <v>10</v>
      </c>
      <c r="F957" s="13">
        <f t="shared" si="59"/>
        <v>26</v>
      </c>
      <c r="G957" s="4" t="s">
        <v>14</v>
      </c>
      <c r="H957">
        <v>46.68709201044198</v>
      </c>
      <c r="I957">
        <v>6.3203160062064976</v>
      </c>
      <c r="J957" s="4" t="s">
        <v>21</v>
      </c>
      <c r="K957" s="4" t="s">
        <v>53</v>
      </c>
      <c r="L957" s="4" t="s">
        <v>42</v>
      </c>
      <c r="M957" s="4" t="s">
        <v>43</v>
      </c>
      <c r="N957" s="4" t="s">
        <v>17</v>
      </c>
    </row>
    <row r="958" spans="1:15" x14ac:dyDescent="0.25">
      <c r="A958">
        <f t="shared" si="60"/>
        <v>122033</v>
      </c>
      <c r="B958" t="s">
        <v>393</v>
      </c>
      <c r="C958" s="9">
        <v>43242</v>
      </c>
      <c r="D958" s="13">
        <f t="shared" si="57"/>
        <v>2018</v>
      </c>
      <c r="E958" s="13">
        <f t="shared" si="58"/>
        <v>5</v>
      </c>
      <c r="F958" s="13">
        <f t="shared" si="59"/>
        <v>22</v>
      </c>
      <c r="G958" s="4" t="s">
        <v>14</v>
      </c>
      <c r="H958">
        <v>46.8474</v>
      </c>
      <c r="I958">
        <v>6.5038</v>
      </c>
      <c r="J958" s="4" t="s">
        <v>15</v>
      </c>
      <c r="L958" s="4" t="s">
        <v>42</v>
      </c>
      <c r="M958" s="4" t="s">
        <v>118</v>
      </c>
      <c r="N958" s="4" t="s">
        <v>16</v>
      </c>
      <c r="O958" s="4" t="s">
        <v>19</v>
      </c>
    </row>
    <row r="959" spans="1:15" x14ac:dyDescent="0.25">
      <c r="A959">
        <f t="shared" si="60"/>
        <v>122033</v>
      </c>
      <c r="B959" t="s">
        <v>393</v>
      </c>
      <c r="C959" s="9">
        <v>43283</v>
      </c>
      <c r="D959" s="13">
        <f t="shared" si="57"/>
        <v>2018</v>
      </c>
      <c r="E959" s="13">
        <f t="shared" si="58"/>
        <v>7</v>
      </c>
      <c r="F959" s="13">
        <f t="shared" si="59"/>
        <v>2</v>
      </c>
      <c r="G959" s="4" t="s">
        <v>14</v>
      </c>
      <c r="H959">
        <v>46.816070000000003</v>
      </c>
      <c r="I959">
        <v>6.7167899999999996</v>
      </c>
      <c r="J959" s="4" t="s">
        <v>44</v>
      </c>
      <c r="L959" s="4" t="s">
        <v>42</v>
      </c>
      <c r="M959" s="4" t="s">
        <v>118</v>
      </c>
      <c r="N959" s="4" t="s">
        <v>16</v>
      </c>
    </row>
    <row r="960" spans="1:15" x14ac:dyDescent="0.25">
      <c r="A960">
        <f t="shared" si="60"/>
        <v>122033</v>
      </c>
      <c r="B960" t="s">
        <v>393</v>
      </c>
      <c r="C960" s="9">
        <v>43326</v>
      </c>
      <c r="D960" s="13">
        <f t="shared" si="57"/>
        <v>2018</v>
      </c>
      <c r="E960" s="13">
        <f t="shared" si="58"/>
        <v>8</v>
      </c>
      <c r="F960" s="13">
        <f t="shared" si="59"/>
        <v>14</v>
      </c>
      <c r="G960" s="4" t="s">
        <v>14</v>
      </c>
      <c r="H960">
        <v>46.799619999999997</v>
      </c>
      <c r="I960">
        <v>6.4516999999999998</v>
      </c>
      <c r="J960" s="4" t="s">
        <v>44</v>
      </c>
      <c r="L960" s="4" t="s">
        <v>42</v>
      </c>
      <c r="M960" s="4" t="s">
        <v>118</v>
      </c>
      <c r="N960" s="4" t="s">
        <v>16</v>
      </c>
    </row>
    <row r="961" spans="1:15" x14ac:dyDescent="0.25">
      <c r="A961">
        <f t="shared" si="60"/>
        <v>122033</v>
      </c>
      <c r="B961" t="s">
        <v>393</v>
      </c>
      <c r="C961" s="9">
        <v>43360</v>
      </c>
      <c r="D961" s="13">
        <f t="shared" si="57"/>
        <v>2018</v>
      </c>
      <c r="E961" s="13">
        <f t="shared" si="58"/>
        <v>9</v>
      </c>
      <c r="F961" s="13">
        <f t="shared" si="59"/>
        <v>17</v>
      </c>
      <c r="G961" s="4" t="s">
        <v>14</v>
      </c>
      <c r="H961">
        <v>46.639670000000002</v>
      </c>
      <c r="I961">
        <v>6.7105899999999998</v>
      </c>
      <c r="J961" s="4" t="s">
        <v>44</v>
      </c>
      <c r="L961" s="4" t="s">
        <v>42</v>
      </c>
      <c r="M961" s="4" t="s">
        <v>118</v>
      </c>
      <c r="N961" s="4" t="s">
        <v>16</v>
      </c>
    </row>
    <row r="962" spans="1:15" x14ac:dyDescent="0.25">
      <c r="A962">
        <f t="shared" si="60"/>
        <v>122033</v>
      </c>
      <c r="B962" t="s">
        <v>393</v>
      </c>
      <c r="C962" s="9">
        <v>43391</v>
      </c>
      <c r="D962" s="13">
        <f t="shared" si="57"/>
        <v>2018</v>
      </c>
      <c r="E962" s="13">
        <f t="shared" si="58"/>
        <v>10</v>
      </c>
      <c r="F962" s="13">
        <f t="shared" si="59"/>
        <v>18</v>
      </c>
      <c r="G962" s="4" t="s">
        <v>14</v>
      </c>
      <c r="H962">
        <v>46.817239999999998</v>
      </c>
      <c r="I962">
        <v>6.5333199999999998</v>
      </c>
      <c r="J962" s="4" t="s">
        <v>44</v>
      </c>
      <c r="L962" s="4" t="s">
        <v>42</v>
      </c>
      <c r="M962" s="4" t="s">
        <v>118</v>
      </c>
      <c r="N962" s="4" t="s">
        <v>16</v>
      </c>
    </row>
    <row r="963" spans="1:15" x14ac:dyDescent="0.25">
      <c r="A963">
        <f t="shared" si="60"/>
        <v>122033</v>
      </c>
      <c r="B963" t="s">
        <v>393</v>
      </c>
      <c r="C963" s="9">
        <v>43427</v>
      </c>
      <c r="D963" s="13">
        <f t="shared" ref="D963:D1026" si="61">YEAR(C963)</f>
        <v>2018</v>
      </c>
      <c r="E963" s="13">
        <f t="shared" ref="E963:E1026" si="62">MONTH(C963)</f>
        <v>11</v>
      </c>
      <c r="F963" s="13">
        <f t="shared" ref="F963:F1026" si="63">DAY(C963)</f>
        <v>23</v>
      </c>
      <c r="G963" s="4" t="s">
        <v>31</v>
      </c>
      <c r="H963">
        <v>43.689830000000001</v>
      </c>
      <c r="I963">
        <v>3.7403300000000002</v>
      </c>
      <c r="J963" s="4" t="s">
        <v>44</v>
      </c>
      <c r="L963" s="4" t="s">
        <v>42</v>
      </c>
      <c r="M963" s="4" t="s">
        <v>118</v>
      </c>
      <c r="N963" s="4" t="s">
        <v>16</v>
      </c>
    </row>
    <row r="964" spans="1:15" x14ac:dyDescent="0.25">
      <c r="A964">
        <f t="shared" si="60"/>
        <v>122033</v>
      </c>
      <c r="B964" t="s">
        <v>393</v>
      </c>
      <c r="C964" s="11">
        <v>43461</v>
      </c>
      <c r="D964" s="13">
        <f t="shared" si="61"/>
        <v>2018</v>
      </c>
      <c r="E964" s="13">
        <f t="shared" si="62"/>
        <v>12</v>
      </c>
      <c r="F964" s="13">
        <f t="shared" si="63"/>
        <v>27</v>
      </c>
      <c r="G964" s="4" t="s">
        <v>31</v>
      </c>
      <c r="H964">
        <v>43.688780000000001</v>
      </c>
      <c r="I964">
        <v>3.73604</v>
      </c>
      <c r="J964" s="4" t="s">
        <v>44</v>
      </c>
      <c r="L964" s="4" t="s">
        <v>42</v>
      </c>
      <c r="M964" s="4" t="s">
        <v>118</v>
      </c>
      <c r="N964" s="4" t="s">
        <v>16</v>
      </c>
    </row>
    <row r="965" spans="1:15" x14ac:dyDescent="0.25">
      <c r="A965">
        <f t="shared" si="60"/>
        <v>122033</v>
      </c>
      <c r="B965" t="s">
        <v>393</v>
      </c>
      <c r="C965" s="9">
        <v>43481</v>
      </c>
      <c r="D965" s="13">
        <f t="shared" si="61"/>
        <v>2019</v>
      </c>
      <c r="E965" s="13">
        <f t="shared" si="62"/>
        <v>1</v>
      </c>
      <c r="F965" s="13">
        <f t="shared" si="63"/>
        <v>16</v>
      </c>
      <c r="G965" s="4" t="s">
        <v>31</v>
      </c>
      <c r="H965">
        <v>43.683300000000003</v>
      </c>
      <c r="I965">
        <v>3.7571599999999998</v>
      </c>
      <c r="J965" s="4" t="s">
        <v>44</v>
      </c>
      <c r="L965" s="4" t="s">
        <v>42</v>
      </c>
      <c r="M965" s="4" t="s">
        <v>118</v>
      </c>
      <c r="N965" s="4" t="s">
        <v>16</v>
      </c>
    </row>
    <row r="966" spans="1:15" x14ac:dyDescent="0.25">
      <c r="A966">
        <f t="shared" si="60"/>
        <v>122033</v>
      </c>
      <c r="B966" t="s">
        <v>393</v>
      </c>
      <c r="C966" s="9">
        <v>43512</v>
      </c>
      <c r="D966" s="13">
        <f t="shared" si="61"/>
        <v>2019</v>
      </c>
      <c r="E966" s="13">
        <f t="shared" si="62"/>
        <v>2</v>
      </c>
      <c r="F966" s="13">
        <f t="shared" si="63"/>
        <v>16</v>
      </c>
      <c r="G966" s="4" t="s">
        <v>31</v>
      </c>
      <c r="H966">
        <v>43.681519999999999</v>
      </c>
      <c r="I966">
        <v>3.74702</v>
      </c>
      <c r="J966" s="4" t="s">
        <v>44</v>
      </c>
      <c r="L966" s="4" t="s">
        <v>42</v>
      </c>
      <c r="M966" s="4" t="s">
        <v>118</v>
      </c>
      <c r="N966" s="4" t="s">
        <v>16</v>
      </c>
    </row>
    <row r="967" spans="1:15" x14ac:dyDescent="0.25">
      <c r="A967">
        <f t="shared" si="60"/>
        <v>122033</v>
      </c>
      <c r="B967" t="s">
        <v>393</v>
      </c>
      <c r="C967" s="9">
        <v>43661</v>
      </c>
      <c r="D967" s="13">
        <f t="shared" si="61"/>
        <v>2019</v>
      </c>
      <c r="E967" s="13">
        <f t="shared" si="62"/>
        <v>7</v>
      </c>
      <c r="F967" s="13">
        <f t="shared" si="63"/>
        <v>15</v>
      </c>
      <c r="G967" s="4" t="s">
        <v>14</v>
      </c>
      <c r="H967">
        <v>46.843969999999999</v>
      </c>
      <c r="I967">
        <v>6.5445099999999998</v>
      </c>
      <c r="J967" s="4" t="s">
        <v>44</v>
      </c>
      <c r="L967" s="4" t="s">
        <v>42</v>
      </c>
      <c r="M967" s="4" t="s">
        <v>118</v>
      </c>
      <c r="N967" s="4" t="s">
        <v>16</v>
      </c>
    </row>
    <row r="968" spans="1:15" x14ac:dyDescent="0.25">
      <c r="A968">
        <f t="shared" si="60"/>
        <v>122033</v>
      </c>
      <c r="B968" t="s">
        <v>393</v>
      </c>
      <c r="C968" s="9">
        <v>43692</v>
      </c>
      <c r="D968" s="13">
        <f t="shared" si="61"/>
        <v>2019</v>
      </c>
      <c r="E968" s="13">
        <f t="shared" si="62"/>
        <v>8</v>
      </c>
      <c r="F968" s="13">
        <f t="shared" si="63"/>
        <v>15</v>
      </c>
      <c r="G968" s="4" t="s">
        <v>14</v>
      </c>
      <c r="H968">
        <v>46.794829999999997</v>
      </c>
      <c r="I968">
        <v>6.4776300000000004</v>
      </c>
      <c r="J968" s="4" t="s">
        <v>44</v>
      </c>
      <c r="L968" s="4" t="s">
        <v>42</v>
      </c>
      <c r="M968" s="4" t="s">
        <v>118</v>
      </c>
      <c r="N968" s="4" t="s">
        <v>16</v>
      </c>
    </row>
    <row r="969" spans="1:15" x14ac:dyDescent="0.25">
      <c r="A969">
        <f t="shared" si="60"/>
        <v>122033</v>
      </c>
      <c r="B969" t="s">
        <v>393</v>
      </c>
      <c r="C969" s="9">
        <v>43724</v>
      </c>
      <c r="D969" s="13">
        <f t="shared" si="61"/>
        <v>2019</v>
      </c>
      <c r="E969" s="13">
        <f t="shared" si="62"/>
        <v>9</v>
      </c>
      <c r="F969" s="13">
        <f t="shared" si="63"/>
        <v>16</v>
      </c>
      <c r="G969" s="4" t="s">
        <v>14</v>
      </c>
      <c r="H969">
        <v>46.81183</v>
      </c>
      <c r="I969">
        <v>6.4886299999999997</v>
      </c>
      <c r="J969" s="4" t="s">
        <v>44</v>
      </c>
      <c r="L969" s="4" t="s">
        <v>42</v>
      </c>
      <c r="M969" s="4" t="s">
        <v>118</v>
      </c>
      <c r="N969" s="4" t="s">
        <v>16</v>
      </c>
    </row>
    <row r="970" spans="1:15" x14ac:dyDescent="0.25">
      <c r="A970">
        <f t="shared" si="60"/>
        <v>122033</v>
      </c>
      <c r="B970" t="s">
        <v>393</v>
      </c>
      <c r="C970" s="9">
        <v>43753</v>
      </c>
      <c r="D970" s="13">
        <f t="shared" si="61"/>
        <v>2019</v>
      </c>
      <c r="E970" s="13">
        <f t="shared" si="62"/>
        <v>10</v>
      </c>
      <c r="F970" s="13">
        <f t="shared" si="63"/>
        <v>15</v>
      </c>
      <c r="G970" s="4" t="s">
        <v>14</v>
      </c>
      <c r="H970">
        <v>46.808810000000001</v>
      </c>
      <c r="I970">
        <v>6.4403600000000001</v>
      </c>
      <c r="J970" s="4" t="s">
        <v>44</v>
      </c>
      <c r="L970" s="4" t="s">
        <v>42</v>
      </c>
      <c r="M970" s="4" t="s">
        <v>118</v>
      </c>
      <c r="N970" s="4" t="s">
        <v>16</v>
      </c>
    </row>
    <row r="971" spans="1:15" x14ac:dyDescent="0.25">
      <c r="A971">
        <f t="shared" si="60"/>
        <v>122033</v>
      </c>
      <c r="B971" t="s">
        <v>393</v>
      </c>
      <c r="C971" s="9">
        <v>43779</v>
      </c>
      <c r="D971" s="13">
        <f t="shared" si="61"/>
        <v>2019</v>
      </c>
      <c r="E971" s="13">
        <f t="shared" si="62"/>
        <v>11</v>
      </c>
      <c r="F971" s="13">
        <f t="shared" si="63"/>
        <v>10</v>
      </c>
      <c r="G971" s="4" t="s">
        <v>14</v>
      </c>
      <c r="H971">
        <v>46.80771</v>
      </c>
      <c r="I971">
        <v>6.4624600000000001</v>
      </c>
      <c r="J971" s="4" t="s">
        <v>44</v>
      </c>
      <c r="L971" s="4" t="s">
        <v>42</v>
      </c>
      <c r="M971" s="4" t="s">
        <v>118</v>
      </c>
      <c r="N971" s="4" t="s">
        <v>16</v>
      </c>
    </row>
    <row r="972" spans="1:15" x14ac:dyDescent="0.25">
      <c r="A972">
        <f t="shared" si="60"/>
        <v>122033</v>
      </c>
      <c r="B972" t="s">
        <v>393</v>
      </c>
      <c r="C972" s="9">
        <v>43842</v>
      </c>
      <c r="D972" s="13">
        <f t="shared" si="61"/>
        <v>2020</v>
      </c>
      <c r="E972" s="13">
        <f t="shared" si="62"/>
        <v>1</v>
      </c>
      <c r="F972" s="13">
        <f t="shared" si="63"/>
        <v>12</v>
      </c>
      <c r="G972" s="4" t="s">
        <v>31</v>
      </c>
      <c r="H972">
        <v>43.68844</v>
      </c>
      <c r="I972">
        <v>3.7384200000000001</v>
      </c>
      <c r="J972" s="4" t="s">
        <v>44</v>
      </c>
      <c r="L972" s="4" t="s">
        <v>42</v>
      </c>
      <c r="M972" s="4" t="s">
        <v>118</v>
      </c>
      <c r="N972" s="4" t="s">
        <v>16</v>
      </c>
    </row>
    <row r="973" spans="1:15" x14ac:dyDescent="0.25">
      <c r="A973">
        <f t="shared" si="60"/>
        <v>122033</v>
      </c>
      <c r="B973" t="s">
        <v>393</v>
      </c>
      <c r="C973" s="9">
        <v>43887</v>
      </c>
      <c r="D973" s="13">
        <f t="shared" si="61"/>
        <v>2020</v>
      </c>
      <c r="E973" s="13">
        <f t="shared" si="62"/>
        <v>2</v>
      </c>
      <c r="F973" s="13">
        <f t="shared" si="63"/>
        <v>26</v>
      </c>
      <c r="G973" s="4" t="s">
        <v>31</v>
      </c>
      <c r="H973">
        <v>43.688600000000001</v>
      </c>
      <c r="I973">
        <v>3.7398699999999998</v>
      </c>
      <c r="J973" s="4" t="s">
        <v>44</v>
      </c>
      <c r="L973" s="4" t="s">
        <v>42</v>
      </c>
      <c r="M973" s="4" t="s">
        <v>118</v>
      </c>
      <c r="N973" s="4" t="s">
        <v>17</v>
      </c>
    </row>
    <row r="974" spans="1:15" x14ac:dyDescent="0.25">
      <c r="A974">
        <f t="shared" si="60"/>
        <v>122034</v>
      </c>
      <c r="B974" t="s">
        <v>394</v>
      </c>
      <c r="C974" s="9">
        <v>43245</v>
      </c>
      <c r="D974" s="13">
        <f t="shared" si="61"/>
        <v>2018</v>
      </c>
      <c r="E974" s="13">
        <f t="shared" si="62"/>
        <v>5</v>
      </c>
      <c r="F974" s="13">
        <f t="shared" si="63"/>
        <v>25</v>
      </c>
      <c r="G974" s="4" t="s">
        <v>14</v>
      </c>
      <c r="H974">
        <v>46.877000000000002</v>
      </c>
      <c r="I974">
        <v>6.6096000000000004</v>
      </c>
      <c r="J974" s="4" t="s">
        <v>15</v>
      </c>
      <c r="L974" s="4" t="s">
        <v>42</v>
      </c>
      <c r="M974" s="4" t="s">
        <v>118</v>
      </c>
      <c r="N974" s="4" t="s">
        <v>16</v>
      </c>
      <c r="O974" s="4" t="s">
        <v>19</v>
      </c>
    </row>
    <row r="975" spans="1:15" x14ac:dyDescent="0.25">
      <c r="A975">
        <f t="shared" si="60"/>
        <v>122034</v>
      </c>
      <c r="B975" t="s">
        <v>394</v>
      </c>
      <c r="C975" s="9">
        <v>43295</v>
      </c>
      <c r="D975" s="13">
        <f t="shared" si="61"/>
        <v>2018</v>
      </c>
      <c r="E975" s="13">
        <f t="shared" si="62"/>
        <v>7</v>
      </c>
      <c r="F975" s="13">
        <f t="shared" si="63"/>
        <v>14</v>
      </c>
      <c r="G975" s="4" t="s">
        <v>14</v>
      </c>
      <c r="H975">
        <v>46.873249999999999</v>
      </c>
      <c r="I975">
        <v>6.6620799999999996</v>
      </c>
      <c r="J975" s="4" t="s">
        <v>44</v>
      </c>
      <c r="L975" s="4" t="s">
        <v>42</v>
      </c>
      <c r="M975" s="4" t="s">
        <v>118</v>
      </c>
      <c r="N975" s="4" t="s">
        <v>16</v>
      </c>
    </row>
    <row r="976" spans="1:15" x14ac:dyDescent="0.25">
      <c r="A976">
        <f t="shared" ref="A976:A1039" si="64">RIGHT(B976,6)*1</f>
        <v>122034</v>
      </c>
      <c r="B976" t="s">
        <v>394</v>
      </c>
      <c r="C976" s="9">
        <v>43334</v>
      </c>
      <c r="D976" s="13">
        <f t="shared" si="61"/>
        <v>2018</v>
      </c>
      <c r="E976" s="13">
        <f t="shared" si="62"/>
        <v>8</v>
      </c>
      <c r="F976" s="13">
        <f t="shared" si="63"/>
        <v>22</v>
      </c>
      <c r="G976" s="4" t="s">
        <v>14</v>
      </c>
      <c r="H976">
        <v>46.866259999999997</v>
      </c>
      <c r="I976">
        <v>6.6715900000000001</v>
      </c>
      <c r="J976" s="4" t="s">
        <v>44</v>
      </c>
      <c r="L976" s="4" t="s">
        <v>42</v>
      </c>
      <c r="M976" s="4" t="s">
        <v>118</v>
      </c>
      <c r="N976" s="4" t="s">
        <v>17</v>
      </c>
    </row>
    <row r="977" spans="1:15" x14ac:dyDescent="0.25">
      <c r="A977">
        <f t="shared" si="64"/>
        <v>122035</v>
      </c>
      <c r="B977" t="s">
        <v>395</v>
      </c>
      <c r="C977" s="9">
        <v>43245</v>
      </c>
      <c r="D977" s="13">
        <f t="shared" si="61"/>
        <v>2018</v>
      </c>
      <c r="E977" s="13">
        <f t="shared" si="62"/>
        <v>5</v>
      </c>
      <c r="F977" s="13">
        <f t="shared" si="63"/>
        <v>25</v>
      </c>
      <c r="G977" s="4" t="s">
        <v>14</v>
      </c>
      <c r="H977">
        <v>46.877000000000002</v>
      </c>
      <c r="I977">
        <v>6.6096000000000004</v>
      </c>
      <c r="J977" s="4" t="s">
        <v>15</v>
      </c>
      <c r="L977" s="4" t="s">
        <v>42</v>
      </c>
      <c r="M977" s="4" t="s">
        <v>118</v>
      </c>
      <c r="N977" s="4" t="s">
        <v>16</v>
      </c>
      <c r="O977" s="4" t="s">
        <v>27</v>
      </c>
    </row>
    <row r="978" spans="1:15" x14ac:dyDescent="0.25">
      <c r="A978">
        <f t="shared" si="64"/>
        <v>122035</v>
      </c>
      <c r="B978" t="s">
        <v>395</v>
      </c>
      <c r="C978" s="9">
        <v>43295</v>
      </c>
      <c r="D978" s="13">
        <f t="shared" si="61"/>
        <v>2018</v>
      </c>
      <c r="E978" s="13">
        <f t="shared" si="62"/>
        <v>7</v>
      </c>
      <c r="F978" s="13">
        <f t="shared" si="63"/>
        <v>14</v>
      </c>
      <c r="G978" s="4" t="s">
        <v>14</v>
      </c>
      <c r="H978">
        <v>46.878500000000003</v>
      </c>
      <c r="I978">
        <v>6.6083999999999996</v>
      </c>
      <c r="J978" s="4" t="s">
        <v>44</v>
      </c>
      <c r="L978" s="4" t="s">
        <v>42</v>
      </c>
      <c r="M978" s="4" t="s">
        <v>118</v>
      </c>
      <c r="N978" s="4" t="s">
        <v>16</v>
      </c>
    </row>
    <row r="979" spans="1:15" x14ac:dyDescent="0.25">
      <c r="A979">
        <f t="shared" si="64"/>
        <v>122035</v>
      </c>
      <c r="B979" t="s">
        <v>395</v>
      </c>
      <c r="C979" s="9">
        <v>43325</v>
      </c>
      <c r="D979" s="13">
        <f t="shared" si="61"/>
        <v>2018</v>
      </c>
      <c r="E979" s="13">
        <f t="shared" si="62"/>
        <v>8</v>
      </c>
      <c r="F979" s="13">
        <f t="shared" si="63"/>
        <v>13</v>
      </c>
      <c r="G979" s="4" t="s">
        <v>14</v>
      </c>
      <c r="H979">
        <v>46.87914</v>
      </c>
      <c r="I979">
        <v>6.6123200000000004</v>
      </c>
      <c r="J979" s="4" t="s">
        <v>44</v>
      </c>
      <c r="L979" s="4" t="s">
        <v>42</v>
      </c>
      <c r="M979" s="4" t="s">
        <v>118</v>
      </c>
      <c r="N979" s="4" t="s">
        <v>16</v>
      </c>
    </row>
    <row r="980" spans="1:15" x14ac:dyDescent="0.25">
      <c r="A980">
        <f t="shared" si="64"/>
        <v>122035</v>
      </c>
      <c r="B980" t="s">
        <v>395</v>
      </c>
      <c r="C980" s="9">
        <v>43356</v>
      </c>
      <c r="D980" s="13">
        <f t="shared" si="61"/>
        <v>2018</v>
      </c>
      <c r="E980" s="13">
        <f t="shared" si="62"/>
        <v>9</v>
      </c>
      <c r="F980" s="13">
        <f t="shared" si="63"/>
        <v>13</v>
      </c>
      <c r="G980" s="4" t="s">
        <v>14</v>
      </c>
      <c r="H980">
        <v>46.878909999999998</v>
      </c>
      <c r="I980">
        <v>6.6040599999999996</v>
      </c>
      <c r="J980" s="4" t="s">
        <v>44</v>
      </c>
      <c r="L980" s="4" t="s">
        <v>42</v>
      </c>
      <c r="M980" s="4" t="s">
        <v>118</v>
      </c>
      <c r="N980" s="4" t="s">
        <v>16</v>
      </c>
    </row>
    <row r="981" spans="1:15" x14ac:dyDescent="0.25">
      <c r="A981">
        <f t="shared" si="64"/>
        <v>122035</v>
      </c>
      <c r="B981" t="s">
        <v>395</v>
      </c>
      <c r="C981" s="9">
        <v>43396</v>
      </c>
      <c r="D981" s="13">
        <f t="shared" si="61"/>
        <v>2018</v>
      </c>
      <c r="E981" s="13">
        <f t="shared" si="62"/>
        <v>10</v>
      </c>
      <c r="F981" s="13">
        <f t="shared" si="63"/>
        <v>23</v>
      </c>
      <c r="G981" s="4" t="s">
        <v>14</v>
      </c>
      <c r="H981">
        <v>46.942309999999999</v>
      </c>
      <c r="I981">
        <v>6.7145400000000004</v>
      </c>
      <c r="J981" s="4" t="s">
        <v>44</v>
      </c>
      <c r="L981" s="4" t="s">
        <v>42</v>
      </c>
      <c r="M981" s="4" t="s">
        <v>118</v>
      </c>
      <c r="N981" s="4" t="s">
        <v>16</v>
      </c>
    </row>
    <row r="982" spans="1:15" x14ac:dyDescent="0.25">
      <c r="A982">
        <f t="shared" si="64"/>
        <v>122035</v>
      </c>
      <c r="B982" t="s">
        <v>395</v>
      </c>
      <c r="C982" s="9">
        <v>43418</v>
      </c>
      <c r="D982" s="13">
        <f t="shared" si="61"/>
        <v>2018</v>
      </c>
      <c r="E982" s="13">
        <f t="shared" si="62"/>
        <v>11</v>
      </c>
      <c r="F982" s="13">
        <f t="shared" si="63"/>
        <v>14</v>
      </c>
      <c r="G982" s="4" t="s">
        <v>14</v>
      </c>
      <c r="H982">
        <v>46.946829999999999</v>
      </c>
      <c r="I982">
        <v>6.73461</v>
      </c>
      <c r="J982" s="4" t="s">
        <v>44</v>
      </c>
      <c r="L982" s="4" t="s">
        <v>42</v>
      </c>
      <c r="M982" s="4" t="s">
        <v>118</v>
      </c>
      <c r="N982" s="4" t="s">
        <v>16</v>
      </c>
    </row>
    <row r="983" spans="1:15" x14ac:dyDescent="0.25">
      <c r="A983">
        <f t="shared" si="64"/>
        <v>122035</v>
      </c>
      <c r="B983" t="s">
        <v>395</v>
      </c>
      <c r="C983" s="9">
        <v>43449</v>
      </c>
      <c r="D983" s="13">
        <f t="shared" si="61"/>
        <v>2018</v>
      </c>
      <c r="E983" s="13">
        <f t="shared" si="62"/>
        <v>12</v>
      </c>
      <c r="F983" s="13">
        <f t="shared" si="63"/>
        <v>15</v>
      </c>
      <c r="G983" s="4" t="s">
        <v>31</v>
      </c>
      <c r="H983">
        <v>46.255070000000003</v>
      </c>
      <c r="I983">
        <v>4.6550599999999998</v>
      </c>
      <c r="J983" s="4" t="s">
        <v>44</v>
      </c>
      <c r="L983" s="4" t="s">
        <v>42</v>
      </c>
      <c r="M983" s="4" t="s">
        <v>118</v>
      </c>
      <c r="N983" s="4" t="s">
        <v>16</v>
      </c>
    </row>
    <row r="984" spans="1:15" x14ac:dyDescent="0.25">
      <c r="A984">
        <f t="shared" si="64"/>
        <v>122035</v>
      </c>
      <c r="B984" t="s">
        <v>395</v>
      </c>
      <c r="C984" s="9">
        <v>43484</v>
      </c>
      <c r="D984" s="13">
        <f t="shared" si="61"/>
        <v>2019</v>
      </c>
      <c r="E984" s="13">
        <f t="shared" si="62"/>
        <v>1</v>
      </c>
      <c r="F984" s="13">
        <f t="shared" si="63"/>
        <v>19</v>
      </c>
      <c r="G984" s="4" t="s">
        <v>31</v>
      </c>
      <c r="H984">
        <v>44.461539999999999</v>
      </c>
      <c r="I984">
        <v>-0.26462000000000002</v>
      </c>
      <c r="J984" s="4" t="s">
        <v>21</v>
      </c>
      <c r="K984" s="12" t="s">
        <v>22</v>
      </c>
      <c r="L984" s="12" t="s">
        <v>42</v>
      </c>
      <c r="M984" s="12" t="s">
        <v>118</v>
      </c>
      <c r="N984" s="4" t="s">
        <v>17</v>
      </c>
    </row>
    <row r="985" spans="1:15" x14ac:dyDescent="0.25">
      <c r="A985">
        <f t="shared" si="64"/>
        <v>122036</v>
      </c>
      <c r="B985" t="s">
        <v>396</v>
      </c>
      <c r="C985" s="9">
        <v>43245</v>
      </c>
      <c r="D985" s="13">
        <f t="shared" si="61"/>
        <v>2018</v>
      </c>
      <c r="E985" s="13">
        <f t="shared" si="62"/>
        <v>5</v>
      </c>
      <c r="F985" s="13">
        <f t="shared" si="63"/>
        <v>25</v>
      </c>
      <c r="G985" s="4" t="s">
        <v>14</v>
      </c>
      <c r="H985">
        <v>46.877000000000002</v>
      </c>
      <c r="I985">
        <v>6.6096000000000004</v>
      </c>
      <c r="J985" s="4" t="s">
        <v>15</v>
      </c>
      <c r="L985" s="4" t="s">
        <v>1</v>
      </c>
      <c r="N985" s="4" t="s">
        <v>17</v>
      </c>
      <c r="O985" s="4" t="s">
        <v>27</v>
      </c>
    </row>
    <row r="986" spans="1:15" x14ac:dyDescent="0.25">
      <c r="A986">
        <f t="shared" si="64"/>
        <v>122037</v>
      </c>
      <c r="B986" t="s">
        <v>397</v>
      </c>
      <c r="C986" s="9">
        <v>43246</v>
      </c>
      <c r="D986" s="13">
        <f t="shared" si="61"/>
        <v>2018</v>
      </c>
      <c r="E986" s="13">
        <f t="shared" si="62"/>
        <v>5</v>
      </c>
      <c r="F986" s="13">
        <f t="shared" si="63"/>
        <v>26</v>
      </c>
      <c r="G986" s="4" t="s">
        <v>14</v>
      </c>
      <c r="H986">
        <v>46.9392</v>
      </c>
      <c r="I986">
        <v>6.7453000000000003</v>
      </c>
      <c r="J986" s="4" t="s">
        <v>15</v>
      </c>
      <c r="L986" s="4" t="s">
        <v>42</v>
      </c>
      <c r="M986" s="4" t="s">
        <v>118</v>
      </c>
      <c r="N986" s="4" t="s">
        <v>16</v>
      </c>
      <c r="O986" s="4" t="s">
        <v>27</v>
      </c>
    </row>
    <row r="987" spans="1:15" x14ac:dyDescent="0.25">
      <c r="A987">
        <f t="shared" si="64"/>
        <v>122037</v>
      </c>
      <c r="B987" t="s">
        <v>397</v>
      </c>
      <c r="C987" s="9">
        <v>43283</v>
      </c>
      <c r="D987" s="13">
        <f t="shared" si="61"/>
        <v>2018</v>
      </c>
      <c r="E987" s="13">
        <f t="shared" si="62"/>
        <v>7</v>
      </c>
      <c r="F987" s="13">
        <f t="shared" si="63"/>
        <v>2</v>
      </c>
      <c r="G987" s="4" t="s">
        <v>14</v>
      </c>
      <c r="H987">
        <v>47.001379999999997</v>
      </c>
      <c r="I987">
        <v>6.59612</v>
      </c>
      <c r="J987" s="4" t="s">
        <v>44</v>
      </c>
      <c r="L987" s="4" t="s">
        <v>42</v>
      </c>
      <c r="M987" s="4" t="s">
        <v>118</v>
      </c>
      <c r="N987" s="4" t="s">
        <v>16</v>
      </c>
    </row>
    <row r="988" spans="1:15" x14ac:dyDescent="0.25">
      <c r="A988">
        <f t="shared" si="64"/>
        <v>122037</v>
      </c>
      <c r="B988" t="s">
        <v>397</v>
      </c>
      <c r="C988" s="9">
        <v>43327</v>
      </c>
      <c r="D988" s="13">
        <f t="shared" si="61"/>
        <v>2018</v>
      </c>
      <c r="E988" s="13">
        <f t="shared" si="62"/>
        <v>8</v>
      </c>
      <c r="F988" s="13">
        <f t="shared" si="63"/>
        <v>15</v>
      </c>
      <c r="G988" s="4" t="s">
        <v>14</v>
      </c>
      <c r="H988">
        <v>46.938859999999998</v>
      </c>
      <c r="I988">
        <v>6.7517699999999996</v>
      </c>
      <c r="J988" s="4" t="s">
        <v>44</v>
      </c>
      <c r="L988" s="4" t="s">
        <v>42</v>
      </c>
      <c r="M988" s="4" t="s">
        <v>118</v>
      </c>
      <c r="N988" s="4" t="s">
        <v>16</v>
      </c>
    </row>
    <row r="989" spans="1:15" x14ac:dyDescent="0.25">
      <c r="A989">
        <f t="shared" si="64"/>
        <v>122037</v>
      </c>
      <c r="B989" t="s">
        <v>397</v>
      </c>
      <c r="C989" s="9">
        <v>43360</v>
      </c>
      <c r="D989" s="13">
        <f t="shared" si="61"/>
        <v>2018</v>
      </c>
      <c r="E989" s="13">
        <f t="shared" si="62"/>
        <v>9</v>
      </c>
      <c r="F989" s="13">
        <f t="shared" si="63"/>
        <v>17</v>
      </c>
      <c r="G989" s="4" t="s">
        <v>14</v>
      </c>
      <c r="H989">
        <v>46.939149999999998</v>
      </c>
      <c r="I989">
        <v>6.7524600000000001</v>
      </c>
      <c r="J989" s="4" t="s">
        <v>44</v>
      </c>
      <c r="L989" s="4" t="s">
        <v>42</v>
      </c>
      <c r="M989" s="4" t="s">
        <v>118</v>
      </c>
      <c r="N989" s="4" t="s">
        <v>16</v>
      </c>
    </row>
    <row r="990" spans="1:15" x14ac:dyDescent="0.25">
      <c r="A990">
        <f t="shared" si="64"/>
        <v>122037</v>
      </c>
      <c r="B990" t="s">
        <v>397</v>
      </c>
      <c r="C990" s="9">
        <v>43388</v>
      </c>
      <c r="D990" s="13">
        <f t="shared" si="61"/>
        <v>2018</v>
      </c>
      <c r="E990" s="13">
        <f t="shared" si="62"/>
        <v>10</v>
      </c>
      <c r="F990" s="13">
        <f t="shared" si="63"/>
        <v>15</v>
      </c>
      <c r="G990" s="4" t="s">
        <v>14</v>
      </c>
      <c r="H990">
        <v>46.930880000000002</v>
      </c>
      <c r="I990">
        <v>6.7478899999999999</v>
      </c>
      <c r="J990" s="4" t="s">
        <v>44</v>
      </c>
      <c r="L990" s="4" t="s">
        <v>42</v>
      </c>
      <c r="M990" s="4" t="s">
        <v>118</v>
      </c>
      <c r="N990" s="4" t="s">
        <v>16</v>
      </c>
    </row>
    <row r="991" spans="1:15" x14ac:dyDescent="0.25">
      <c r="A991">
        <f t="shared" si="64"/>
        <v>122037</v>
      </c>
      <c r="B991" t="s">
        <v>397</v>
      </c>
      <c r="C991" s="9">
        <v>43419</v>
      </c>
      <c r="D991" s="13">
        <f t="shared" si="61"/>
        <v>2018</v>
      </c>
      <c r="E991" s="13">
        <f t="shared" si="62"/>
        <v>11</v>
      </c>
      <c r="F991" s="13">
        <f t="shared" si="63"/>
        <v>15</v>
      </c>
      <c r="G991" s="4" t="s">
        <v>14</v>
      </c>
      <c r="H991">
        <v>46.924129999999998</v>
      </c>
      <c r="I991">
        <v>6.6512399999999996</v>
      </c>
      <c r="J991" s="4" t="s">
        <v>44</v>
      </c>
      <c r="L991" s="4" t="s">
        <v>42</v>
      </c>
      <c r="M991" s="4" t="s">
        <v>118</v>
      </c>
      <c r="N991" s="4" t="s">
        <v>16</v>
      </c>
    </row>
    <row r="992" spans="1:15" x14ac:dyDescent="0.25">
      <c r="A992">
        <f t="shared" si="64"/>
        <v>122037</v>
      </c>
      <c r="B992" t="s">
        <v>397</v>
      </c>
      <c r="C992" s="9">
        <v>43449</v>
      </c>
      <c r="D992" s="13">
        <f t="shared" si="61"/>
        <v>2018</v>
      </c>
      <c r="E992" s="13">
        <f t="shared" si="62"/>
        <v>12</v>
      </c>
      <c r="F992" s="13">
        <f t="shared" si="63"/>
        <v>15</v>
      </c>
      <c r="G992" s="4" t="s">
        <v>48</v>
      </c>
      <c r="H992">
        <v>36.425440000000002</v>
      </c>
      <c r="I992">
        <v>-5.4164099999999999</v>
      </c>
      <c r="J992" s="4" t="s">
        <v>44</v>
      </c>
      <c r="L992" s="4" t="s">
        <v>42</v>
      </c>
      <c r="M992" s="4" t="s">
        <v>118</v>
      </c>
      <c r="N992" s="4" t="s">
        <v>16</v>
      </c>
    </row>
    <row r="993" spans="1:15" x14ac:dyDescent="0.25">
      <c r="A993">
        <f t="shared" si="64"/>
        <v>122037</v>
      </c>
      <c r="B993" t="s">
        <v>397</v>
      </c>
      <c r="C993" s="9">
        <v>43479</v>
      </c>
      <c r="D993" s="13">
        <f t="shared" si="61"/>
        <v>2019</v>
      </c>
      <c r="E993" s="13">
        <f t="shared" si="62"/>
        <v>1</v>
      </c>
      <c r="F993" s="13">
        <f t="shared" si="63"/>
        <v>14</v>
      </c>
      <c r="G993" s="4" t="s">
        <v>48</v>
      </c>
      <c r="H993">
        <v>36.434730000000002</v>
      </c>
      <c r="I993">
        <v>-5.4310499999999999</v>
      </c>
      <c r="J993" s="4" t="s">
        <v>44</v>
      </c>
      <c r="L993" s="4" t="s">
        <v>42</v>
      </c>
      <c r="M993" s="4" t="s">
        <v>118</v>
      </c>
      <c r="N993" s="4" t="s">
        <v>16</v>
      </c>
    </row>
    <row r="994" spans="1:15" x14ac:dyDescent="0.25">
      <c r="A994">
        <f t="shared" si="64"/>
        <v>122037</v>
      </c>
      <c r="B994" t="s">
        <v>397</v>
      </c>
      <c r="C994" s="9">
        <v>43500</v>
      </c>
      <c r="D994" s="13">
        <f t="shared" si="61"/>
        <v>2019</v>
      </c>
      <c r="E994" s="13">
        <f t="shared" si="62"/>
        <v>2</v>
      </c>
      <c r="F994" s="13">
        <f t="shared" si="63"/>
        <v>4</v>
      </c>
      <c r="G994" s="4" t="s">
        <v>48</v>
      </c>
      <c r="H994">
        <v>36.434759999999997</v>
      </c>
      <c r="I994">
        <v>-5.4235600000000002</v>
      </c>
      <c r="J994" s="4" t="s">
        <v>44</v>
      </c>
      <c r="L994" s="4" t="s">
        <v>42</v>
      </c>
      <c r="M994" s="4" t="s">
        <v>118</v>
      </c>
      <c r="N994" s="4" t="s">
        <v>17</v>
      </c>
    </row>
    <row r="995" spans="1:15" x14ac:dyDescent="0.25">
      <c r="A995">
        <f t="shared" si="64"/>
        <v>122038</v>
      </c>
      <c r="B995" t="s">
        <v>398</v>
      </c>
      <c r="C995" s="9">
        <v>43252</v>
      </c>
      <c r="D995" s="13">
        <f t="shared" si="61"/>
        <v>2018</v>
      </c>
      <c r="E995" s="13">
        <f t="shared" si="62"/>
        <v>6</v>
      </c>
      <c r="F995" s="13">
        <f t="shared" si="63"/>
        <v>1</v>
      </c>
      <c r="G995" s="4" t="s">
        <v>14</v>
      </c>
      <c r="H995">
        <v>46.849699999999999</v>
      </c>
      <c r="I995">
        <v>6.5510999999999999</v>
      </c>
      <c r="J995" s="4" t="s">
        <v>15</v>
      </c>
      <c r="L995" s="4" t="s">
        <v>42</v>
      </c>
      <c r="M995" s="4" t="s">
        <v>118</v>
      </c>
      <c r="N995" s="4" t="s">
        <v>16</v>
      </c>
      <c r="O995" s="4" t="s">
        <v>19</v>
      </c>
    </row>
    <row r="996" spans="1:15" x14ac:dyDescent="0.25">
      <c r="A996">
        <f t="shared" si="64"/>
        <v>122038</v>
      </c>
      <c r="B996" t="s">
        <v>398</v>
      </c>
      <c r="C996" s="9">
        <v>43282</v>
      </c>
      <c r="D996" s="13">
        <f t="shared" si="61"/>
        <v>2018</v>
      </c>
      <c r="E996" s="13">
        <f t="shared" si="62"/>
        <v>7</v>
      </c>
      <c r="F996" s="13">
        <f t="shared" si="63"/>
        <v>1</v>
      </c>
      <c r="G996" s="4" t="s">
        <v>14</v>
      </c>
      <c r="H996">
        <v>46.844639999999998</v>
      </c>
      <c r="I996">
        <v>6.5445399999999996</v>
      </c>
      <c r="J996" s="4" t="s">
        <v>44</v>
      </c>
      <c r="L996" s="4" t="s">
        <v>42</v>
      </c>
      <c r="M996" s="4" t="s">
        <v>118</v>
      </c>
      <c r="N996" s="4" t="s">
        <v>16</v>
      </c>
    </row>
    <row r="997" spans="1:15" x14ac:dyDescent="0.25">
      <c r="A997">
        <f t="shared" si="64"/>
        <v>122038</v>
      </c>
      <c r="B997" t="s">
        <v>398</v>
      </c>
      <c r="C997" s="9">
        <v>43327</v>
      </c>
      <c r="D997" s="13">
        <f t="shared" si="61"/>
        <v>2018</v>
      </c>
      <c r="E997" s="13">
        <f t="shared" si="62"/>
        <v>8</v>
      </c>
      <c r="F997" s="13">
        <f t="shared" si="63"/>
        <v>15</v>
      </c>
      <c r="G997" s="4" t="s">
        <v>14</v>
      </c>
      <c r="H997">
        <v>46.793289999999999</v>
      </c>
      <c r="I997">
        <v>6.4735100000000001</v>
      </c>
      <c r="J997" s="4" t="s">
        <v>44</v>
      </c>
      <c r="L997" s="4" t="s">
        <v>42</v>
      </c>
      <c r="M997" s="4" t="s">
        <v>118</v>
      </c>
      <c r="N997" s="4" t="s">
        <v>16</v>
      </c>
    </row>
    <row r="998" spans="1:15" x14ac:dyDescent="0.25">
      <c r="A998">
        <f t="shared" si="64"/>
        <v>122038</v>
      </c>
      <c r="B998" t="s">
        <v>398</v>
      </c>
      <c r="C998" s="9">
        <v>43357</v>
      </c>
      <c r="D998" s="13">
        <f t="shared" si="61"/>
        <v>2018</v>
      </c>
      <c r="E998" s="13">
        <f t="shared" si="62"/>
        <v>9</v>
      </c>
      <c r="F998" s="13">
        <f t="shared" si="63"/>
        <v>14</v>
      </c>
      <c r="G998" s="4" t="s">
        <v>14</v>
      </c>
      <c r="H998">
        <v>46.841529999999999</v>
      </c>
      <c r="I998">
        <v>6.5410700000000004</v>
      </c>
      <c r="J998" s="4" t="s">
        <v>44</v>
      </c>
      <c r="L998" s="4" t="s">
        <v>42</v>
      </c>
      <c r="M998" s="4" t="s">
        <v>118</v>
      </c>
      <c r="N998" s="4" t="s">
        <v>16</v>
      </c>
    </row>
    <row r="999" spans="1:15" x14ac:dyDescent="0.25">
      <c r="A999">
        <f t="shared" si="64"/>
        <v>122038</v>
      </c>
      <c r="B999" t="s">
        <v>398</v>
      </c>
      <c r="C999" s="9">
        <v>43382</v>
      </c>
      <c r="D999" s="13">
        <f t="shared" si="61"/>
        <v>2018</v>
      </c>
      <c r="E999" s="13">
        <f t="shared" si="62"/>
        <v>10</v>
      </c>
      <c r="F999" s="13">
        <f t="shared" si="63"/>
        <v>9</v>
      </c>
      <c r="G999" s="4" t="s">
        <v>14</v>
      </c>
      <c r="H999">
        <v>46.838200000000001</v>
      </c>
      <c r="I999">
        <v>6.5338700000000003</v>
      </c>
      <c r="J999" s="4" t="s">
        <v>44</v>
      </c>
      <c r="L999" s="4" t="s">
        <v>42</v>
      </c>
      <c r="M999" s="4" t="s">
        <v>118</v>
      </c>
      <c r="N999" s="4" t="s">
        <v>17</v>
      </c>
    </row>
    <row r="1000" spans="1:15" x14ac:dyDescent="0.25">
      <c r="A1000">
        <f t="shared" si="64"/>
        <v>122039</v>
      </c>
      <c r="B1000" t="s">
        <v>399</v>
      </c>
      <c r="C1000" s="9">
        <v>43252</v>
      </c>
      <c r="D1000" s="13">
        <f t="shared" si="61"/>
        <v>2018</v>
      </c>
      <c r="E1000" s="13">
        <f t="shared" si="62"/>
        <v>6</v>
      </c>
      <c r="F1000" s="13">
        <f t="shared" si="63"/>
        <v>1</v>
      </c>
      <c r="G1000" s="4" t="s">
        <v>14</v>
      </c>
      <c r="H1000">
        <v>46.849699999999999</v>
      </c>
      <c r="I1000">
        <v>6.5510999999999999</v>
      </c>
      <c r="J1000" s="4" t="s">
        <v>15</v>
      </c>
      <c r="L1000" s="4" t="s">
        <v>42</v>
      </c>
      <c r="M1000" s="4" t="s">
        <v>118</v>
      </c>
      <c r="N1000" s="4" t="s">
        <v>16</v>
      </c>
      <c r="O1000" s="4" t="s">
        <v>27</v>
      </c>
    </row>
    <row r="1001" spans="1:15" x14ac:dyDescent="0.25">
      <c r="A1001">
        <f t="shared" si="64"/>
        <v>122039</v>
      </c>
      <c r="B1001" t="s">
        <v>399</v>
      </c>
      <c r="C1001" s="9">
        <v>43283</v>
      </c>
      <c r="D1001" s="13">
        <f t="shared" si="61"/>
        <v>2018</v>
      </c>
      <c r="E1001" s="13">
        <f t="shared" si="62"/>
        <v>7</v>
      </c>
      <c r="F1001" s="13">
        <f t="shared" si="63"/>
        <v>2</v>
      </c>
      <c r="G1001" s="4" t="s">
        <v>14</v>
      </c>
      <c r="H1001">
        <v>46.802439999999997</v>
      </c>
      <c r="I1001">
        <v>6.4367200000000002</v>
      </c>
      <c r="J1001" s="4" t="s">
        <v>44</v>
      </c>
      <c r="L1001" s="4" t="s">
        <v>42</v>
      </c>
      <c r="M1001" s="4" t="s">
        <v>118</v>
      </c>
      <c r="N1001" s="4" t="s">
        <v>16</v>
      </c>
    </row>
    <row r="1002" spans="1:15" x14ac:dyDescent="0.25">
      <c r="A1002">
        <f t="shared" si="64"/>
        <v>122039</v>
      </c>
      <c r="B1002" t="s">
        <v>399</v>
      </c>
      <c r="C1002" s="9">
        <v>43326</v>
      </c>
      <c r="D1002" s="13">
        <f t="shared" si="61"/>
        <v>2018</v>
      </c>
      <c r="E1002" s="13">
        <f t="shared" si="62"/>
        <v>8</v>
      </c>
      <c r="F1002" s="13">
        <f t="shared" si="63"/>
        <v>14</v>
      </c>
      <c r="G1002" s="4" t="s">
        <v>14</v>
      </c>
      <c r="H1002">
        <v>46.79439</v>
      </c>
      <c r="I1002">
        <v>6.45906</v>
      </c>
      <c r="J1002" s="4" t="s">
        <v>44</v>
      </c>
      <c r="L1002" s="4" t="s">
        <v>42</v>
      </c>
      <c r="M1002" s="4" t="s">
        <v>118</v>
      </c>
      <c r="N1002" s="4" t="s">
        <v>16</v>
      </c>
    </row>
    <row r="1003" spans="1:15" x14ac:dyDescent="0.25">
      <c r="A1003">
        <f t="shared" si="64"/>
        <v>122039</v>
      </c>
      <c r="B1003" t="s">
        <v>399</v>
      </c>
      <c r="C1003" s="9">
        <v>43360</v>
      </c>
      <c r="D1003" s="13">
        <f t="shared" si="61"/>
        <v>2018</v>
      </c>
      <c r="E1003" s="13">
        <f t="shared" si="62"/>
        <v>9</v>
      </c>
      <c r="F1003" s="13">
        <f t="shared" si="63"/>
        <v>17</v>
      </c>
      <c r="G1003" s="4" t="s">
        <v>14</v>
      </c>
      <c r="H1003">
        <v>46.821210000000001</v>
      </c>
      <c r="I1003">
        <v>6.4838500000000003</v>
      </c>
      <c r="J1003" s="4" t="s">
        <v>44</v>
      </c>
      <c r="L1003" s="4" t="s">
        <v>42</v>
      </c>
      <c r="M1003" s="4" t="s">
        <v>118</v>
      </c>
      <c r="N1003" s="4" t="s">
        <v>17</v>
      </c>
    </row>
    <row r="1004" spans="1:15" x14ac:dyDescent="0.25">
      <c r="A1004">
        <f t="shared" si="64"/>
        <v>122040</v>
      </c>
      <c r="B1004" t="s">
        <v>400</v>
      </c>
      <c r="C1004" s="9">
        <v>43258</v>
      </c>
      <c r="D1004" s="13">
        <f t="shared" si="61"/>
        <v>2018</v>
      </c>
      <c r="E1004" s="13">
        <f t="shared" si="62"/>
        <v>6</v>
      </c>
      <c r="F1004" s="13">
        <f t="shared" si="63"/>
        <v>7</v>
      </c>
      <c r="G1004" s="4" t="s">
        <v>14</v>
      </c>
      <c r="H1004">
        <v>46.955300000000001</v>
      </c>
      <c r="I1004">
        <v>6.5072000000000001</v>
      </c>
      <c r="J1004" s="4" t="s">
        <v>15</v>
      </c>
      <c r="L1004" s="4" t="s">
        <v>42</v>
      </c>
      <c r="M1004" s="4" t="s">
        <v>118</v>
      </c>
      <c r="N1004" s="4" t="s">
        <v>17</v>
      </c>
      <c r="O1004" s="4" t="s">
        <v>27</v>
      </c>
    </row>
    <row r="1005" spans="1:15" x14ac:dyDescent="0.25">
      <c r="A1005">
        <f t="shared" si="64"/>
        <v>122041</v>
      </c>
      <c r="B1005" t="s">
        <v>401</v>
      </c>
      <c r="C1005" s="9">
        <v>43265</v>
      </c>
      <c r="D1005" s="13">
        <f t="shared" si="61"/>
        <v>2018</v>
      </c>
      <c r="E1005" s="13">
        <f t="shared" si="62"/>
        <v>6</v>
      </c>
      <c r="F1005" s="13">
        <f t="shared" si="63"/>
        <v>14</v>
      </c>
      <c r="G1005" s="4" t="s">
        <v>14</v>
      </c>
      <c r="H1005">
        <v>47.0214</v>
      </c>
      <c r="I1005">
        <v>6.8308</v>
      </c>
      <c r="J1005" s="4" t="s">
        <v>15</v>
      </c>
      <c r="L1005" s="4" t="s">
        <v>42</v>
      </c>
      <c r="M1005" s="4" t="s">
        <v>118</v>
      </c>
      <c r="N1005" s="4" t="s">
        <v>16</v>
      </c>
      <c r="O1005" s="4" t="s">
        <v>27</v>
      </c>
    </row>
    <row r="1006" spans="1:15" x14ac:dyDescent="0.25">
      <c r="A1006">
        <f t="shared" si="64"/>
        <v>122041</v>
      </c>
      <c r="B1006" t="s">
        <v>401</v>
      </c>
      <c r="C1006" s="9">
        <v>43285</v>
      </c>
      <c r="D1006" s="13">
        <f t="shared" si="61"/>
        <v>2018</v>
      </c>
      <c r="E1006" s="13">
        <f t="shared" si="62"/>
        <v>7</v>
      </c>
      <c r="F1006" s="13">
        <f t="shared" si="63"/>
        <v>4</v>
      </c>
      <c r="G1006" s="4" t="s">
        <v>14</v>
      </c>
      <c r="H1006">
        <v>47.021459999999998</v>
      </c>
      <c r="I1006">
        <v>6.8248600000000001</v>
      </c>
      <c r="J1006" s="4" t="s">
        <v>44</v>
      </c>
      <c r="L1006" s="4" t="s">
        <v>42</v>
      </c>
      <c r="M1006" s="4" t="s">
        <v>118</v>
      </c>
      <c r="N1006" s="4" t="s">
        <v>16</v>
      </c>
    </row>
    <row r="1007" spans="1:15" x14ac:dyDescent="0.25">
      <c r="A1007">
        <f t="shared" si="64"/>
        <v>122041</v>
      </c>
      <c r="B1007" t="s">
        <v>401</v>
      </c>
      <c r="C1007" s="9">
        <v>43327</v>
      </c>
      <c r="D1007" s="13">
        <f t="shared" si="61"/>
        <v>2018</v>
      </c>
      <c r="E1007" s="13">
        <f t="shared" si="62"/>
        <v>8</v>
      </c>
      <c r="F1007" s="13">
        <f t="shared" si="63"/>
        <v>15</v>
      </c>
      <c r="G1007" s="4" t="s">
        <v>14</v>
      </c>
      <c r="H1007">
        <v>47.032539999999997</v>
      </c>
      <c r="I1007">
        <v>6.8244899999999999</v>
      </c>
      <c r="J1007" s="4" t="s">
        <v>44</v>
      </c>
      <c r="L1007" s="4" t="s">
        <v>42</v>
      </c>
      <c r="M1007" s="4" t="s">
        <v>118</v>
      </c>
      <c r="N1007" s="4" t="s">
        <v>16</v>
      </c>
    </row>
    <row r="1008" spans="1:15" x14ac:dyDescent="0.25">
      <c r="A1008">
        <f t="shared" si="64"/>
        <v>122041</v>
      </c>
      <c r="B1008" t="s">
        <v>401</v>
      </c>
      <c r="C1008" s="9">
        <v>43358</v>
      </c>
      <c r="D1008" s="13">
        <f t="shared" si="61"/>
        <v>2018</v>
      </c>
      <c r="E1008" s="13">
        <f t="shared" si="62"/>
        <v>9</v>
      </c>
      <c r="F1008" s="13">
        <f t="shared" si="63"/>
        <v>15</v>
      </c>
      <c r="G1008" s="4" t="s">
        <v>14</v>
      </c>
      <c r="H1008">
        <v>47.025390000000002</v>
      </c>
      <c r="I1008">
        <v>6.8224799999999997</v>
      </c>
      <c r="J1008" s="4" t="s">
        <v>44</v>
      </c>
      <c r="L1008" s="4" t="s">
        <v>42</v>
      </c>
      <c r="M1008" s="4" t="s">
        <v>118</v>
      </c>
      <c r="N1008" s="4" t="s">
        <v>16</v>
      </c>
    </row>
    <row r="1009" spans="1:15" x14ac:dyDescent="0.25">
      <c r="A1009">
        <f t="shared" si="64"/>
        <v>122041</v>
      </c>
      <c r="B1009" t="s">
        <v>401</v>
      </c>
      <c r="C1009" s="9">
        <v>43389</v>
      </c>
      <c r="D1009" s="13">
        <f t="shared" si="61"/>
        <v>2018</v>
      </c>
      <c r="E1009" s="13">
        <f t="shared" si="62"/>
        <v>10</v>
      </c>
      <c r="F1009" s="13">
        <f t="shared" si="63"/>
        <v>16</v>
      </c>
      <c r="G1009" s="4" t="s">
        <v>14</v>
      </c>
      <c r="H1009">
        <v>47.030149999999999</v>
      </c>
      <c r="I1009">
        <v>6.8166099999999998</v>
      </c>
      <c r="J1009" s="4" t="s">
        <v>44</v>
      </c>
      <c r="L1009" s="4" t="s">
        <v>42</v>
      </c>
      <c r="M1009" s="4" t="s">
        <v>118</v>
      </c>
      <c r="N1009" s="4" t="s">
        <v>16</v>
      </c>
    </row>
    <row r="1010" spans="1:15" x14ac:dyDescent="0.25">
      <c r="A1010">
        <f t="shared" si="64"/>
        <v>122041</v>
      </c>
      <c r="B1010" t="s">
        <v>401</v>
      </c>
      <c r="C1010" s="9">
        <v>43418</v>
      </c>
      <c r="D1010" s="13">
        <f t="shared" si="61"/>
        <v>2018</v>
      </c>
      <c r="E1010" s="13">
        <f t="shared" si="62"/>
        <v>11</v>
      </c>
      <c r="F1010" s="13">
        <f t="shared" si="63"/>
        <v>14</v>
      </c>
      <c r="G1010" s="4" t="s">
        <v>14</v>
      </c>
      <c r="H1010">
        <v>47.02861</v>
      </c>
      <c r="I1010">
        <v>6.8205600000000004</v>
      </c>
      <c r="J1010" s="4" t="s">
        <v>44</v>
      </c>
      <c r="L1010" s="4" t="s">
        <v>42</v>
      </c>
      <c r="M1010" s="4" t="s">
        <v>118</v>
      </c>
      <c r="N1010" s="4" t="s">
        <v>16</v>
      </c>
    </row>
    <row r="1011" spans="1:15" x14ac:dyDescent="0.25">
      <c r="A1011">
        <f t="shared" si="64"/>
        <v>122041</v>
      </c>
      <c r="B1011" t="s">
        <v>401</v>
      </c>
      <c r="C1011" s="9">
        <v>43435</v>
      </c>
      <c r="D1011" s="13">
        <f t="shared" si="61"/>
        <v>2018</v>
      </c>
      <c r="E1011" s="13">
        <f t="shared" si="62"/>
        <v>12</v>
      </c>
      <c r="F1011" s="13">
        <f t="shared" si="63"/>
        <v>1</v>
      </c>
      <c r="G1011" s="4" t="s">
        <v>14</v>
      </c>
      <c r="H1011">
        <v>47.032080000000001</v>
      </c>
      <c r="I1011">
        <v>6.8162399999999996</v>
      </c>
      <c r="J1011" s="4" t="s">
        <v>44</v>
      </c>
      <c r="L1011" s="4" t="s">
        <v>42</v>
      </c>
      <c r="M1011" s="4" t="s">
        <v>118</v>
      </c>
      <c r="N1011" s="4" t="s">
        <v>17</v>
      </c>
    </row>
    <row r="1012" spans="1:15" x14ac:dyDescent="0.25">
      <c r="A1012">
        <f t="shared" si="64"/>
        <v>122042</v>
      </c>
      <c r="B1012" t="s">
        <v>402</v>
      </c>
      <c r="C1012" s="9">
        <v>43280</v>
      </c>
      <c r="D1012" s="13">
        <f t="shared" si="61"/>
        <v>2018</v>
      </c>
      <c r="E1012" s="13">
        <f t="shared" si="62"/>
        <v>6</v>
      </c>
      <c r="F1012" s="13">
        <f t="shared" si="63"/>
        <v>29</v>
      </c>
      <c r="G1012" s="4" t="s">
        <v>14</v>
      </c>
      <c r="H1012">
        <v>46.957099999999997</v>
      </c>
      <c r="I1012">
        <v>6.4939999999999998</v>
      </c>
      <c r="J1012" s="4" t="s">
        <v>15</v>
      </c>
      <c r="L1012" s="4" t="s">
        <v>42</v>
      </c>
      <c r="M1012" s="4" t="s">
        <v>118</v>
      </c>
      <c r="N1012" s="4" t="s">
        <v>16</v>
      </c>
      <c r="O1012" s="4" t="s">
        <v>27</v>
      </c>
    </row>
    <row r="1013" spans="1:15" x14ac:dyDescent="0.25">
      <c r="A1013">
        <f t="shared" si="64"/>
        <v>122042</v>
      </c>
      <c r="B1013" t="s">
        <v>402</v>
      </c>
      <c r="C1013" s="9">
        <v>43297</v>
      </c>
      <c r="D1013" s="13">
        <f t="shared" si="61"/>
        <v>2018</v>
      </c>
      <c r="E1013" s="13">
        <f t="shared" si="62"/>
        <v>7</v>
      </c>
      <c r="F1013" s="13">
        <f t="shared" si="63"/>
        <v>16</v>
      </c>
      <c r="G1013" s="4" t="s">
        <v>14</v>
      </c>
      <c r="H1013">
        <v>46.956569999999999</v>
      </c>
      <c r="I1013">
        <v>6.5004999999999997</v>
      </c>
      <c r="J1013" s="4" t="s">
        <v>44</v>
      </c>
      <c r="L1013" s="4" t="s">
        <v>42</v>
      </c>
      <c r="M1013" s="4" t="s">
        <v>118</v>
      </c>
      <c r="N1013" s="4" t="s">
        <v>16</v>
      </c>
    </row>
    <row r="1014" spans="1:15" x14ac:dyDescent="0.25">
      <c r="A1014">
        <f t="shared" si="64"/>
        <v>122042</v>
      </c>
      <c r="B1014" t="s">
        <v>402</v>
      </c>
      <c r="C1014" s="9">
        <v>43328</v>
      </c>
      <c r="D1014" s="13">
        <f t="shared" si="61"/>
        <v>2018</v>
      </c>
      <c r="E1014" s="13">
        <f t="shared" si="62"/>
        <v>8</v>
      </c>
      <c r="F1014" s="13">
        <f t="shared" si="63"/>
        <v>16</v>
      </c>
      <c r="G1014" s="4" t="s">
        <v>14</v>
      </c>
      <c r="H1014">
        <v>46.949010000000001</v>
      </c>
      <c r="I1014">
        <v>6.5305499999999999</v>
      </c>
      <c r="J1014" s="4" t="s">
        <v>44</v>
      </c>
      <c r="L1014" s="4" t="s">
        <v>42</v>
      </c>
      <c r="M1014" s="4" t="s">
        <v>118</v>
      </c>
      <c r="N1014" s="4" t="s">
        <v>16</v>
      </c>
    </row>
    <row r="1015" spans="1:15" x14ac:dyDescent="0.25">
      <c r="A1015">
        <f t="shared" si="64"/>
        <v>122042</v>
      </c>
      <c r="B1015" t="s">
        <v>402</v>
      </c>
      <c r="C1015" s="9">
        <v>43358</v>
      </c>
      <c r="D1015" s="13">
        <f t="shared" si="61"/>
        <v>2018</v>
      </c>
      <c r="E1015" s="13">
        <f t="shared" si="62"/>
        <v>9</v>
      </c>
      <c r="F1015" s="13">
        <f t="shared" si="63"/>
        <v>15</v>
      </c>
      <c r="G1015" s="4" t="s">
        <v>14</v>
      </c>
      <c r="H1015">
        <v>46.955240000000003</v>
      </c>
      <c r="I1015">
        <v>6.5049200000000003</v>
      </c>
      <c r="J1015" s="4" t="s">
        <v>44</v>
      </c>
      <c r="L1015" s="4" t="s">
        <v>42</v>
      </c>
      <c r="M1015" s="4" t="s">
        <v>118</v>
      </c>
      <c r="N1015" s="4" t="s">
        <v>16</v>
      </c>
    </row>
    <row r="1016" spans="1:15" x14ac:dyDescent="0.25">
      <c r="A1016">
        <f t="shared" si="64"/>
        <v>122042</v>
      </c>
      <c r="B1016" t="s">
        <v>402</v>
      </c>
      <c r="C1016" s="9">
        <v>43389</v>
      </c>
      <c r="D1016" s="13">
        <f t="shared" si="61"/>
        <v>2018</v>
      </c>
      <c r="E1016" s="13">
        <f t="shared" si="62"/>
        <v>10</v>
      </c>
      <c r="F1016" s="13">
        <f t="shared" si="63"/>
        <v>16</v>
      </c>
      <c r="G1016" s="4" t="s">
        <v>14</v>
      </c>
      <c r="H1016">
        <v>46.952129999999997</v>
      </c>
      <c r="I1016">
        <v>6.50854</v>
      </c>
      <c r="J1016" s="4" t="s">
        <v>44</v>
      </c>
      <c r="L1016" s="4" t="s">
        <v>42</v>
      </c>
      <c r="M1016" s="4" t="s">
        <v>118</v>
      </c>
      <c r="N1016" s="4" t="s">
        <v>16</v>
      </c>
    </row>
    <row r="1017" spans="1:15" x14ac:dyDescent="0.25">
      <c r="A1017">
        <f t="shared" si="64"/>
        <v>122042</v>
      </c>
      <c r="B1017" t="s">
        <v>402</v>
      </c>
      <c r="C1017" s="9">
        <v>43422</v>
      </c>
      <c r="D1017" s="13">
        <f t="shared" si="61"/>
        <v>2018</v>
      </c>
      <c r="E1017" s="13">
        <f t="shared" si="62"/>
        <v>11</v>
      </c>
      <c r="F1017" s="13">
        <f t="shared" si="63"/>
        <v>18</v>
      </c>
      <c r="G1017" s="4" t="s">
        <v>14</v>
      </c>
      <c r="H1017">
        <v>46.973219999999998</v>
      </c>
      <c r="I1017">
        <v>6.4748900000000003</v>
      </c>
      <c r="J1017" s="4" t="s">
        <v>44</v>
      </c>
      <c r="L1017" s="4" t="s">
        <v>42</v>
      </c>
      <c r="M1017" s="4" t="s">
        <v>118</v>
      </c>
      <c r="N1017" s="4" t="s">
        <v>16</v>
      </c>
    </row>
    <row r="1018" spans="1:15" x14ac:dyDescent="0.25">
      <c r="A1018">
        <f t="shared" si="64"/>
        <v>122042</v>
      </c>
      <c r="B1018" t="s">
        <v>402</v>
      </c>
      <c r="C1018" s="9">
        <v>43452</v>
      </c>
      <c r="D1018" s="13">
        <f t="shared" si="61"/>
        <v>2018</v>
      </c>
      <c r="E1018" s="13">
        <f t="shared" si="62"/>
        <v>12</v>
      </c>
      <c r="F1018" s="13">
        <f t="shared" si="63"/>
        <v>18</v>
      </c>
      <c r="G1018" s="4" t="s">
        <v>31</v>
      </c>
      <c r="H1018">
        <v>46.751910000000002</v>
      </c>
      <c r="I1018">
        <v>4.6649200000000004</v>
      </c>
      <c r="J1018" s="4" t="s">
        <v>44</v>
      </c>
      <c r="L1018" s="4" t="s">
        <v>42</v>
      </c>
      <c r="M1018" s="4" t="s">
        <v>118</v>
      </c>
      <c r="N1018" s="4" t="s">
        <v>16</v>
      </c>
    </row>
    <row r="1019" spans="1:15" x14ac:dyDescent="0.25">
      <c r="A1019">
        <f t="shared" si="64"/>
        <v>122042</v>
      </c>
      <c r="B1019" t="s">
        <v>402</v>
      </c>
      <c r="C1019" s="9">
        <v>43481</v>
      </c>
      <c r="D1019" s="13">
        <f t="shared" si="61"/>
        <v>2019</v>
      </c>
      <c r="E1019" s="13">
        <f t="shared" si="62"/>
        <v>1</v>
      </c>
      <c r="F1019" s="13">
        <f t="shared" si="63"/>
        <v>16</v>
      </c>
      <c r="G1019" s="4" t="s">
        <v>31</v>
      </c>
      <c r="H1019">
        <v>46.727539999999998</v>
      </c>
      <c r="I1019">
        <v>4.7264900000000001</v>
      </c>
      <c r="J1019" s="4" t="s">
        <v>44</v>
      </c>
      <c r="L1019" s="4" t="s">
        <v>42</v>
      </c>
      <c r="M1019" s="4" t="s">
        <v>118</v>
      </c>
      <c r="N1019" s="4" t="s">
        <v>16</v>
      </c>
    </row>
    <row r="1020" spans="1:15" x14ac:dyDescent="0.25">
      <c r="A1020">
        <f t="shared" si="64"/>
        <v>122042</v>
      </c>
      <c r="B1020" t="s">
        <v>402</v>
      </c>
      <c r="C1020" s="9">
        <v>43498</v>
      </c>
      <c r="D1020" s="13">
        <f t="shared" si="61"/>
        <v>2019</v>
      </c>
      <c r="E1020" s="13">
        <f t="shared" si="62"/>
        <v>2</v>
      </c>
      <c r="F1020" s="13">
        <f t="shared" si="63"/>
        <v>2</v>
      </c>
      <c r="G1020" s="4" t="s">
        <v>31</v>
      </c>
      <c r="H1020">
        <v>46.732289999999999</v>
      </c>
      <c r="I1020">
        <v>4.7293599999999998</v>
      </c>
      <c r="J1020" s="4" t="s">
        <v>44</v>
      </c>
      <c r="L1020" s="4" t="s">
        <v>42</v>
      </c>
      <c r="M1020" s="4" t="s">
        <v>118</v>
      </c>
      <c r="N1020" s="4" t="s">
        <v>17</v>
      </c>
    </row>
    <row r="1021" spans="1:15" x14ac:dyDescent="0.25">
      <c r="A1021">
        <f t="shared" si="64"/>
        <v>122043</v>
      </c>
      <c r="B1021" t="s">
        <v>403</v>
      </c>
      <c r="C1021" s="9">
        <v>43285</v>
      </c>
      <c r="D1021" s="13">
        <f t="shared" si="61"/>
        <v>2018</v>
      </c>
      <c r="E1021" s="13">
        <f t="shared" si="62"/>
        <v>7</v>
      </c>
      <c r="F1021" s="13">
        <f t="shared" si="63"/>
        <v>4</v>
      </c>
      <c r="G1021" s="4" t="s">
        <v>14</v>
      </c>
      <c r="H1021">
        <v>46.9392</v>
      </c>
      <c r="I1021">
        <v>6.7453000000000003</v>
      </c>
      <c r="J1021" s="4" t="s">
        <v>15</v>
      </c>
      <c r="L1021" s="4" t="s">
        <v>1</v>
      </c>
      <c r="N1021" s="4" t="s">
        <v>16</v>
      </c>
      <c r="O1021" s="4" t="s">
        <v>404</v>
      </c>
    </row>
    <row r="1022" spans="1:15" x14ac:dyDescent="0.25">
      <c r="A1022">
        <f t="shared" si="64"/>
        <v>122043</v>
      </c>
      <c r="B1022" t="s">
        <v>403</v>
      </c>
      <c r="C1022" s="9">
        <v>43451</v>
      </c>
      <c r="D1022" s="13">
        <f t="shared" si="61"/>
        <v>2018</v>
      </c>
      <c r="E1022" s="13">
        <f t="shared" si="62"/>
        <v>12</v>
      </c>
      <c r="F1022" s="13">
        <f t="shared" si="63"/>
        <v>17</v>
      </c>
      <c r="G1022" s="4" t="s">
        <v>31</v>
      </c>
      <c r="H1022">
        <v>45.35</v>
      </c>
      <c r="I1022">
        <v>-1.0667</v>
      </c>
      <c r="J1022" s="4" t="s">
        <v>21</v>
      </c>
      <c r="K1022" s="4" t="s">
        <v>22</v>
      </c>
      <c r="L1022" s="4" t="s">
        <v>1</v>
      </c>
      <c r="N1022" s="4" t="s">
        <v>17</v>
      </c>
    </row>
    <row r="1023" spans="1:15" x14ac:dyDescent="0.25">
      <c r="A1023">
        <f t="shared" si="64"/>
        <v>122044</v>
      </c>
      <c r="B1023" t="s">
        <v>405</v>
      </c>
      <c r="C1023" s="9">
        <v>43287</v>
      </c>
      <c r="D1023" s="13">
        <f t="shared" si="61"/>
        <v>2018</v>
      </c>
      <c r="E1023" s="13">
        <f t="shared" si="62"/>
        <v>7</v>
      </c>
      <c r="F1023" s="13">
        <f t="shared" si="63"/>
        <v>6</v>
      </c>
      <c r="G1023" s="4" t="s">
        <v>14</v>
      </c>
      <c r="H1023">
        <v>46.988100000000003</v>
      </c>
      <c r="I1023">
        <v>6.6749999999999998</v>
      </c>
      <c r="J1023" s="4" t="s">
        <v>15</v>
      </c>
      <c r="L1023" s="4" t="s">
        <v>42</v>
      </c>
      <c r="M1023" s="4" t="s">
        <v>43</v>
      </c>
      <c r="N1023" s="4" t="s">
        <v>16</v>
      </c>
      <c r="O1023" s="4" t="s">
        <v>29</v>
      </c>
    </row>
    <row r="1024" spans="1:15" x14ac:dyDescent="0.25">
      <c r="A1024">
        <f t="shared" si="64"/>
        <v>122044</v>
      </c>
      <c r="B1024" t="s">
        <v>405</v>
      </c>
      <c r="C1024" s="9">
        <v>43328</v>
      </c>
      <c r="D1024" s="13">
        <f t="shared" si="61"/>
        <v>2018</v>
      </c>
      <c r="E1024" s="13">
        <f t="shared" si="62"/>
        <v>8</v>
      </c>
      <c r="F1024" s="13">
        <f t="shared" si="63"/>
        <v>16</v>
      </c>
      <c r="G1024" s="4" t="s">
        <v>14</v>
      </c>
      <c r="H1024">
        <v>46.98496401049475</v>
      </c>
      <c r="I1024">
        <v>6.6719530065420214</v>
      </c>
      <c r="J1024" s="4" t="s">
        <v>44</v>
      </c>
      <c r="L1024" s="4" t="s">
        <v>42</v>
      </c>
      <c r="M1024" s="4" t="s">
        <v>43</v>
      </c>
      <c r="N1024" s="4" t="s">
        <v>16</v>
      </c>
    </row>
    <row r="1025" spans="1:15" x14ac:dyDescent="0.25">
      <c r="A1025">
        <f t="shared" si="64"/>
        <v>122044</v>
      </c>
      <c r="B1025" t="s">
        <v>405</v>
      </c>
      <c r="C1025" s="9">
        <v>43357</v>
      </c>
      <c r="D1025" s="13">
        <f t="shared" si="61"/>
        <v>2018</v>
      </c>
      <c r="E1025" s="13">
        <f t="shared" si="62"/>
        <v>9</v>
      </c>
      <c r="F1025" s="13">
        <f t="shared" si="63"/>
        <v>14</v>
      </c>
      <c r="G1025" s="4" t="s">
        <v>14</v>
      </c>
      <c r="H1025">
        <v>46.982916010493398</v>
      </c>
      <c r="I1025">
        <v>6.6743840065451634</v>
      </c>
      <c r="J1025" s="4" t="s">
        <v>44</v>
      </c>
      <c r="L1025" s="4" t="s">
        <v>42</v>
      </c>
      <c r="M1025" s="4" t="s">
        <v>43</v>
      </c>
      <c r="N1025" s="4" t="s">
        <v>16</v>
      </c>
    </row>
    <row r="1026" spans="1:15" x14ac:dyDescent="0.25">
      <c r="A1026">
        <f t="shared" si="64"/>
        <v>122044</v>
      </c>
      <c r="B1026" t="s">
        <v>405</v>
      </c>
      <c r="C1026" s="9">
        <v>43395</v>
      </c>
      <c r="D1026" s="13">
        <f t="shared" si="61"/>
        <v>2018</v>
      </c>
      <c r="E1026" s="13">
        <f t="shared" si="62"/>
        <v>10</v>
      </c>
      <c r="F1026" s="13">
        <f t="shared" si="63"/>
        <v>22</v>
      </c>
      <c r="G1026" s="4" t="s">
        <v>14</v>
      </c>
      <c r="H1026">
        <v>46.987328010494693</v>
      </c>
      <c r="I1026">
        <v>6.6765850065466577</v>
      </c>
      <c r="J1026" s="4" t="s">
        <v>44</v>
      </c>
      <c r="L1026" s="4" t="s">
        <v>42</v>
      </c>
      <c r="M1026" s="4" t="s">
        <v>43</v>
      </c>
      <c r="N1026" s="4" t="s">
        <v>16</v>
      </c>
    </row>
    <row r="1027" spans="1:15" x14ac:dyDescent="0.25">
      <c r="A1027">
        <f t="shared" si="64"/>
        <v>122044</v>
      </c>
      <c r="B1027" t="s">
        <v>405</v>
      </c>
      <c r="C1027" s="9">
        <v>43428</v>
      </c>
      <c r="D1027" s="13">
        <f t="shared" ref="D1027:D1090" si="65">YEAR(C1027)</f>
        <v>2018</v>
      </c>
      <c r="E1027" s="13">
        <f t="shared" ref="E1027:E1090" si="66">MONTH(C1027)</f>
        <v>11</v>
      </c>
      <c r="F1027" s="13">
        <f t="shared" ref="F1027:F1090" si="67">DAY(C1027)</f>
        <v>24</v>
      </c>
      <c r="G1027" s="4" t="s">
        <v>48</v>
      </c>
      <c r="H1027">
        <v>43.15</v>
      </c>
      <c r="I1027">
        <v>-2.8833000000000002</v>
      </c>
      <c r="J1027" s="4" t="s">
        <v>21</v>
      </c>
      <c r="K1027" s="12" t="s">
        <v>22</v>
      </c>
      <c r="L1027" s="12" t="s">
        <v>42</v>
      </c>
      <c r="M1027" s="12" t="s">
        <v>43</v>
      </c>
      <c r="N1027" s="4" t="s">
        <v>17</v>
      </c>
    </row>
    <row r="1028" spans="1:15" x14ac:dyDescent="0.25">
      <c r="A1028">
        <f t="shared" si="64"/>
        <v>122045</v>
      </c>
      <c r="B1028" t="s">
        <v>406</v>
      </c>
      <c r="C1028" s="9">
        <v>43288</v>
      </c>
      <c r="D1028" s="13">
        <f t="shared" si="65"/>
        <v>2018</v>
      </c>
      <c r="E1028" s="13">
        <f t="shared" si="66"/>
        <v>7</v>
      </c>
      <c r="F1028" s="13">
        <f t="shared" si="67"/>
        <v>7</v>
      </c>
      <c r="G1028" s="4" t="s">
        <v>14</v>
      </c>
      <c r="H1028">
        <v>46.988100000000003</v>
      </c>
      <c r="I1028">
        <v>6.6749999999999998</v>
      </c>
      <c r="J1028" s="4" t="s">
        <v>15</v>
      </c>
      <c r="L1028" s="4" t="s">
        <v>42</v>
      </c>
      <c r="M1028" s="4" t="s">
        <v>43</v>
      </c>
      <c r="N1028" s="4" t="s">
        <v>16</v>
      </c>
      <c r="O1028" s="4" t="s">
        <v>29</v>
      </c>
    </row>
    <row r="1029" spans="1:15" x14ac:dyDescent="0.25">
      <c r="A1029">
        <f t="shared" si="64"/>
        <v>122045</v>
      </c>
      <c r="B1029" t="s">
        <v>406</v>
      </c>
      <c r="C1029" s="9">
        <v>43327</v>
      </c>
      <c r="D1029" s="13">
        <f t="shared" si="65"/>
        <v>2018</v>
      </c>
      <c r="E1029" s="13">
        <f t="shared" si="66"/>
        <v>8</v>
      </c>
      <c r="F1029" s="13">
        <f t="shared" si="67"/>
        <v>15</v>
      </c>
      <c r="G1029" s="4" t="s">
        <v>14</v>
      </c>
      <c r="H1029">
        <v>47.002328010494807</v>
      </c>
      <c r="I1029">
        <v>6.7036500065734357</v>
      </c>
      <c r="J1029" s="4" t="s">
        <v>44</v>
      </c>
      <c r="L1029" s="4" t="s">
        <v>42</v>
      </c>
      <c r="M1029" s="4" t="s">
        <v>43</v>
      </c>
      <c r="N1029" s="4" t="s">
        <v>16</v>
      </c>
    </row>
    <row r="1030" spans="1:15" x14ac:dyDescent="0.25">
      <c r="A1030">
        <f t="shared" si="64"/>
        <v>122045</v>
      </c>
      <c r="B1030" t="s">
        <v>406</v>
      </c>
      <c r="C1030" s="9">
        <v>43357</v>
      </c>
      <c r="D1030" s="13">
        <f t="shared" si="65"/>
        <v>2018</v>
      </c>
      <c r="E1030" s="13">
        <f t="shared" si="66"/>
        <v>9</v>
      </c>
      <c r="F1030" s="13">
        <f t="shared" si="67"/>
        <v>14</v>
      </c>
      <c r="G1030" s="4" t="s">
        <v>14</v>
      </c>
      <c r="H1030">
        <v>47.007716010512212</v>
      </c>
      <c r="I1030">
        <v>6.6326410064934187</v>
      </c>
      <c r="J1030" s="4" t="s">
        <v>44</v>
      </c>
      <c r="L1030" s="4" t="s">
        <v>42</v>
      </c>
      <c r="M1030" s="4" t="s">
        <v>43</v>
      </c>
      <c r="N1030" s="4" t="s">
        <v>16</v>
      </c>
    </row>
    <row r="1031" spans="1:15" x14ac:dyDescent="0.25">
      <c r="A1031">
        <f t="shared" si="64"/>
        <v>122045</v>
      </c>
      <c r="B1031" t="s">
        <v>406</v>
      </c>
      <c r="C1031" s="9">
        <v>43383</v>
      </c>
      <c r="D1031" s="13">
        <f t="shared" si="65"/>
        <v>2018</v>
      </c>
      <c r="E1031" s="13">
        <f t="shared" si="66"/>
        <v>10</v>
      </c>
      <c r="F1031" s="13">
        <f t="shared" si="67"/>
        <v>10</v>
      </c>
      <c r="G1031" s="4" t="s">
        <v>20</v>
      </c>
      <c r="H1031">
        <v>47.033299999999997</v>
      </c>
      <c r="I1031">
        <v>6.6166999999999998</v>
      </c>
      <c r="J1031" s="4" t="s">
        <v>21</v>
      </c>
      <c r="K1031" s="12" t="s">
        <v>22</v>
      </c>
      <c r="L1031" s="12" t="s">
        <v>42</v>
      </c>
      <c r="M1031" s="12" t="s">
        <v>43</v>
      </c>
      <c r="N1031" s="4" t="s">
        <v>17</v>
      </c>
    </row>
    <row r="1032" spans="1:15" x14ac:dyDescent="0.25">
      <c r="A1032">
        <f t="shared" si="64"/>
        <v>122046</v>
      </c>
      <c r="B1032" t="s">
        <v>407</v>
      </c>
      <c r="C1032" s="9">
        <v>43289</v>
      </c>
      <c r="D1032" s="13">
        <f t="shared" si="65"/>
        <v>2018</v>
      </c>
      <c r="E1032" s="13">
        <f t="shared" si="66"/>
        <v>7</v>
      </c>
      <c r="F1032" s="13">
        <f t="shared" si="67"/>
        <v>8</v>
      </c>
      <c r="G1032" s="4" t="s">
        <v>14</v>
      </c>
      <c r="H1032">
        <v>46.988100000000003</v>
      </c>
      <c r="I1032">
        <v>6.6749999999999998</v>
      </c>
      <c r="J1032" s="4" t="s">
        <v>15</v>
      </c>
      <c r="L1032" s="4" t="s">
        <v>42</v>
      </c>
      <c r="M1032" s="4" t="s">
        <v>43</v>
      </c>
      <c r="N1032" s="4" t="s">
        <v>16</v>
      </c>
      <c r="O1032" s="4" t="s">
        <v>19</v>
      </c>
    </row>
    <row r="1033" spans="1:15" x14ac:dyDescent="0.25">
      <c r="A1033">
        <f t="shared" si="64"/>
        <v>122046</v>
      </c>
      <c r="B1033" t="s">
        <v>407</v>
      </c>
      <c r="C1033" s="9">
        <v>43327</v>
      </c>
      <c r="D1033" s="13">
        <f t="shared" si="65"/>
        <v>2018</v>
      </c>
      <c r="E1033" s="13">
        <f t="shared" si="66"/>
        <v>8</v>
      </c>
      <c r="F1033" s="13">
        <f t="shared" si="67"/>
        <v>15</v>
      </c>
      <c r="G1033" s="4" t="s">
        <v>14</v>
      </c>
      <c r="H1033">
        <v>47.004728010495413</v>
      </c>
      <c r="I1033">
        <v>6.7051950065746198</v>
      </c>
      <c r="J1033" s="4" t="s">
        <v>44</v>
      </c>
      <c r="L1033" s="4" t="s">
        <v>42</v>
      </c>
      <c r="M1033" s="4" t="s">
        <v>43</v>
      </c>
      <c r="N1033" s="4" t="s">
        <v>16</v>
      </c>
    </row>
    <row r="1034" spans="1:15" x14ac:dyDescent="0.25">
      <c r="A1034">
        <f t="shared" si="64"/>
        <v>122046</v>
      </c>
      <c r="B1034" t="s">
        <v>407</v>
      </c>
      <c r="C1034" s="9">
        <v>43357</v>
      </c>
      <c r="D1034" s="13">
        <f t="shared" si="65"/>
        <v>2018</v>
      </c>
      <c r="E1034" s="13">
        <f t="shared" si="66"/>
        <v>9</v>
      </c>
      <c r="F1034" s="13">
        <f t="shared" si="67"/>
        <v>14</v>
      </c>
      <c r="G1034" s="4" t="s">
        <v>14</v>
      </c>
      <c r="H1034">
        <v>47.005768010495821</v>
      </c>
      <c r="I1034">
        <v>6.7051940065743976</v>
      </c>
      <c r="J1034" s="4" t="s">
        <v>44</v>
      </c>
      <c r="L1034" s="4" t="s">
        <v>42</v>
      </c>
      <c r="M1034" s="4" t="s">
        <v>43</v>
      </c>
      <c r="N1034" s="4" t="s">
        <v>16</v>
      </c>
    </row>
    <row r="1035" spans="1:15" x14ac:dyDescent="0.25">
      <c r="A1035">
        <f t="shared" si="64"/>
        <v>122046</v>
      </c>
      <c r="B1035" t="s">
        <v>407</v>
      </c>
      <c r="C1035" s="9">
        <v>43395</v>
      </c>
      <c r="D1035" s="13">
        <f t="shared" si="65"/>
        <v>2018</v>
      </c>
      <c r="E1035" s="13">
        <f t="shared" si="66"/>
        <v>10</v>
      </c>
      <c r="F1035" s="13">
        <f t="shared" si="67"/>
        <v>22</v>
      </c>
      <c r="G1035" s="4" t="s">
        <v>14</v>
      </c>
      <c r="H1035">
        <v>47.004556010494028</v>
      </c>
      <c r="I1035">
        <v>6.7114920065816426</v>
      </c>
      <c r="J1035" s="4" t="s">
        <v>44</v>
      </c>
      <c r="L1035" s="4" t="s">
        <v>42</v>
      </c>
      <c r="M1035" s="4" t="s">
        <v>43</v>
      </c>
      <c r="N1035" s="4" t="s">
        <v>16</v>
      </c>
    </row>
    <row r="1036" spans="1:15" x14ac:dyDescent="0.25">
      <c r="A1036">
        <f t="shared" si="64"/>
        <v>122046</v>
      </c>
      <c r="B1036" t="s">
        <v>407</v>
      </c>
      <c r="C1036" s="9">
        <v>43769</v>
      </c>
      <c r="D1036" s="13">
        <f t="shared" si="65"/>
        <v>2019</v>
      </c>
      <c r="E1036" s="13">
        <f t="shared" si="66"/>
        <v>10</v>
      </c>
      <c r="F1036" s="13">
        <f t="shared" si="67"/>
        <v>31</v>
      </c>
      <c r="G1036" s="4" t="s">
        <v>20</v>
      </c>
      <c r="H1036">
        <v>47.245600000000003</v>
      </c>
      <c r="I1036">
        <v>6.0258000000000003</v>
      </c>
      <c r="J1036" s="4" t="s">
        <v>21</v>
      </c>
      <c r="K1036" s="12" t="s">
        <v>22</v>
      </c>
      <c r="L1036" s="12" t="s">
        <v>42</v>
      </c>
      <c r="M1036" s="12" t="s">
        <v>43</v>
      </c>
      <c r="N1036" s="4" t="s">
        <v>17</v>
      </c>
    </row>
    <row r="1037" spans="1:15" x14ac:dyDescent="0.25">
      <c r="A1037">
        <f t="shared" si="64"/>
        <v>122047</v>
      </c>
      <c r="B1037" t="s">
        <v>408</v>
      </c>
      <c r="C1037" s="9">
        <v>43379</v>
      </c>
      <c r="D1037" s="13">
        <f t="shared" si="65"/>
        <v>2018</v>
      </c>
      <c r="E1037" s="13">
        <f t="shared" si="66"/>
        <v>10</v>
      </c>
      <c r="F1037" s="13">
        <f t="shared" si="67"/>
        <v>6</v>
      </c>
      <c r="G1037" s="4" t="s">
        <v>14</v>
      </c>
      <c r="H1037">
        <v>46.854900000000001</v>
      </c>
      <c r="I1037">
        <v>6.5456000000000003</v>
      </c>
      <c r="J1037" s="4" t="s">
        <v>15</v>
      </c>
      <c r="L1037" s="4" t="s">
        <v>1</v>
      </c>
      <c r="N1037" s="4" t="s">
        <v>17</v>
      </c>
      <c r="O1037" s="4" t="s">
        <v>29</v>
      </c>
    </row>
    <row r="1038" spans="1:15" x14ac:dyDescent="0.25">
      <c r="A1038">
        <f t="shared" si="64"/>
        <v>122048</v>
      </c>
      <c r="B1038" t="s">
        <v>409</v>
      </c>
      <c r="C1038" s="9">
        <v>43383</v>
      </c>
      <c r="D1038" s="13">
        <f t="shared" si="65"/>
        <v>2018</v>
      </c>
      <c r="E1038" s="13">
        <f t="shared" si="66"/>
        <v>10</v>
      </c>
      <c r="F1038" s="13">
        <f t="shared" si="67"/>
        <v>10</v>
      </c>
      <c r="G1038" s="4" t="s">
        <v>14</v>
      </c>
      <c r="H1038">
        <v>46.91</v>
      </c>
      <c r="I1038">
        <v>6.6863999999999999</v>
      </c>
      <c r="J1038" s="4" t="s">
        <v>15</v>
      </c>
      <c r="L1038" s="4" t="s">
        <v>1</v>
      </c>
      <c r="N1038" s="4" t="s">
        <v>17</v>
      </c>
      <c r="O1038" s="4" t="s">
        <v>29</v>
      </c>
    </row>
    <row r="1039" spans="1:15" x14ac:dyDescent="0.25">
      <c r="A1039">
        <f t="shared" si="64"/>
        <v>122049</v>
      </c>
      <c r="B1039" t="s">
        <v>410</v>
      </c>
      <c r="C1039" s="9">
        <v>43383</v>
      </c>
      <c r="D1039" s="13">
        <f t="shared" si="65"/>
        <v>2018</v>
      </c>
      <c r="E1039" s="13">
        <f t="shared" si="66"/>
        <v>10</v>
      </c>
      <c r="F1039" s="13">
        <f t="shared" si="67"/>
        <v>10</v>
      </c>
      <c r="G1039" s="4" t="s">
        <v>14</v>
      </c>
      <c r="H1039">
        <v>46.899000000000001</v>
      </c>
      <c r="I1039">
        <v>6.6708999999999996</v>
      </c>
      <c r="J1039" s="4" t="s">
        <v>15</v>
      </c>
      <c r="L1039" s="4" t="s">
        <v>1</v>
      </c>
      <c r="N1039" s="4" t="s">
        <v>16</v>
      </c>
      <c r="O1039" s="4" t="s">
        <v>29</v>
      </c>
    </row>
    <row r="1040" spans="1:15" x14ac:dyDescent="0.25">
      <c r="A1040">
        <f t="shared" ref="A1040:A1103" si="68">RIGHT(B1040,6)*1</f>
        <v>122049</v>
      </c>
      <c r="B1040" t="s">
        <v>410</v>
      </c>
      <c r="C1040" s="9">
        <v>43397</v>
      </c>
      <c r="D1040" s="13">
        <f t="shared" si="65"/>
        <v>2018</v>
      </c>
      <c r="E1040" s="13">
        <f t="shared" si="66"/>
        <v>10</v>
      </c>
      <c r="F1040" s="13">
        <f t="shared" si="67"/>
        <v>24</v>
      </c>
      <c r="G1040" s="4" t="s">
        <v>20</v>
      </c>
      <c r="H1040">
        <v>46.7333</v>
      </c>
      <c r="I1040">
        <v>6.1</v>
      </c>
      <c r="J1040" s="4" t="s">
        <v>21</v>
      </c>
      <c r="K1040" s="4" t="s">
        <v>22</v>
      </c>
      <c r="L1040" s="4" t="s">
        <v>1</v>
      </c>
      <c r="N1040" s="4" t="s">
        <v>17</v>
      </c>
    </row>
    <row r="1041" spans="1:15" x14ac:dyDescent="0.25">
      <c r="A1041">
        <f t="shared" si="68"/>
        <v>122050</v>
      </c>
      <c r="B1041" t="s">
        <v>411</v>
      </c>
      <c r="C1041" s="9">
        <v>43383</v>
      </c>
      <c r="D1041" s="13">
        <f t="shared" si="65"/>
        <v>2018</v>
      </c>
      <c r="E1041" s="13">
        <f t="shared" si="66"/>
        <v>10</v>
      </c>
      <c r="F1041" s="13">
        <f t="shared" si="67"/>
        <v>10</v>
      </c>
      <c r="G1041" s="4" t="s">
        <v>14</v>
      </c>
      <c r="H1041">
        <v>46.8992</v>
      </c>
      <c r="I1041">
        <v>6.6707999999999998</v>
      </c>
      <c r="J1041" s="4" t="s">
        <v>15</v>
      </c>
      <c r="L1041" s="4" t="s">
        <v>1</v>
      </c>
      <c r="N1041" s="4" t="s">
        <v>17</v>
      </c>
      <c r="O1041" s="4" t="s">
        <v>29</v>
      </c>
    </row>
    <row r="1042" spans="1:15" x14ac:dyDescent="0.25">
      <c r="A1042">
        <f t="shared" si="68"/>
        <v>124201</v>
      </c>
      <c r="B1042" t="s">
        <v>412</v>
      </c>
      <c r="C1042" s="9">
        <v>43384</v>
      </c>
      <c r="D1042" s="13">
        <f t="shared" si="65"/>
        <v>2018</v>
      </c>
      <c r="E1042" s="13">
        <f t="shared" si="66"/>
        <v>10</v>
      </c>
      <c r="F1042" s="13">
        <f t="shared" si="67"/>
        <v>11</v>
      </c>
      <c r="G1042" s="4" t="s">
        <v>14</v>
      </c>
      <c r="H1042">
        <v>46.992800000000003</v>
      </c>
      <c r="I1042">
        <v>6.6971999999999996</v>
      </c>
      <c r="J1042" s="4" t="s">
        <v>15</v>
      </c>
      <c r="L1042" s="4" t="s">
        <v>1</v>
      </c>
      <c r="N1042" s="4" t="s">
        <v>17</v>
      </c>
      <c r="O1042" s="4" t="s">
        <v>29</v>
      </c>
    </row>
    <row r="1043" spans="1:15" x14ac:dyDescent="0.25">
      <c r="A1043">
        <f t="shared" si="68"/>
        <v>124202</v>
      </c>
      <c r="B1043" t="s">
        <v>413</v>
      </c>
      <c r="C1043" s="9">
        <v>43384</v>
      </c>
      <c r="D1043" s="13">
        <f t="shared" si="65"/>
        <v>2018</v>
      </c>
      <c r="E1043" s="13">
        <f t="shared" si="66"/>
        <v>10</v>
      </c>
      <c r="F1043" s="13">
        <f t="shared" si="67"/>
        <v>11</v>
      </c>
      <c r="G1043" s="4" t="s">
        <v>14</v>
      </c>
      <c r="H1043">
        <v>46.992800000000003</v>
      </c>
      <c r="I1043">
        <v>6.6971999999999996</v>
      </c>
      <c r="J1043" s="4" t="s">
        <v>15</v>
      </c>
      <c r="L1043" s="4" t="s">
        <v>1</v>
      </c>
      <c r="N1043" s="4" t="s">
        <v>16</v>
      </c>
      <c r="O1043" s="4" t="s">
        <v>29</v>
      </c>
    </row>
    <row r="1044" spans="1:15" x14ac:dyDescent="0.25">
      <c r="A1044">
        <f t="shared" si="68"/>
        <v>124202</v>
      </c>
      <c r="B1044" t="s">
        <v>413</v>
      </c>
      <c r="C1044" s="9">
        <v>43768</v>
      </c>
      <c r="D1044" s="13">
        <f t="shared" si="65"/>
        <v>2019</v>
      </c>
      <c r="E1044" s="13">
        <f t="shared" si="66"/>
        <v>10</v>
      </c>
      <c r="F1044" s="13">
        <f t="shared" si="67"/>
        <v>30</v>
      </c>
      <c r="G1044" s="4" t="s">
        <v>20</v>
      </c>
      <c r="H1044">
        <v>46.316699999999997</v>
      </c>
      <c r="I1044">
        <v>5.8833000000000002</v>
      </c>
      <c r="J1044" s="4" t="s">
        <v>21</v>
      </c>
      <c r="K1044" s="4" t="s">
        <v>22</v>
      </c>
      <c r="L1044" s="4" t="s">
        <v>1</v>
      </c>
      <c r="N1044" s="4" t="s">
        <v>17</v>
      </c>
    </row>
    <row r="1045" spans="1:15" x14ac:dyDescent="0.25">
      <c r="A1045">
        <f t="shared" si="68"/>
        <v>124203</v>
      </c>
      <c r="B1045" t="s">
        <v>414</v>
      </c>
      <c r="C1045" s="9">
        <v>43384</v>
      </c>
      <c r="D1045" s="13">
        <f t="shared" si="65"/>
        <v>2018</v>
      </c>
      <c r="E1045" s="13">
        <f t="shared" si="66"/>
        <v>10</v>
      </c>
      <c r="F1045" s="13">
        <f t="shared" si="67"/>
        <v>11</v>
      </c>
      <c r="G1045" s="4" t="s">
        <v>14</v>
      </c>
      <c r="H1045">
        <v>46.972799999999999</v>
      </c>
      <c r="I1045">
        <v>6.6696999999999997</v>
      </c>
      <c r="J1045" s="4" t="s">
        <v>15</v>
      </c>
      <c r="L1045" s="4" t="s">
        <v>1</v>
      </c>
      <c r="N1045" s="4" t="s">
        <v>17</v>
      </c>
      <c r="O1045" s="4" t="s">
        <v>29</v>
      </c>
    </row>
    <row r="1046" spans="1:15" x14ac:dyDescent="0.25">
      <c r="A1046">
        <f t="shared" si="68"/>
        <v>124204</v>
      </c>
      <c r="B1046" t="s">
        <v>415</v>
      </c>
      <c r="C1046" s="9">
        <v>43385</v>
      </c>
      <c r="D1046" s="13">
        <f t="shared" si="65"/>
        <v>2018</v>
      </c>
      <c r="E1046" s="13">
        <f t="shared" si="66"/>
        <v>10</v>
      </c>
      <c r="F1046" s="13">
        <f t="shared" si="67"/>
        <v>12</v>
      </c>
      <c r="G1046" s="4" t="s">
        <v>14</v>
      </c>
      <c r="H1046">
        <v>46.979100000000003</v>
      </c>
      <c r="I1046">
        <v>6.6723999999999997</v>
      </c>
      <c r="J1046" s="4" t="s">
        <v>15</v>
      </c>
      <c r="L1046" s="4" t="s">
        <v>1</v>
      </c>
      <c r="N1046" s="4" t="s">
        <v>17</v>
      </c>
      <c r="O1046" s="4" t="s">
        <v>29</v>
      </c>
    </row>
    <row r="1047" spans="1:15" x14ac:dyDescent="0.25">
      <c r="A1047">
        <f t="shared" si="68"/>
        <v>124205</v>
      </c>
      <c r="B1047" t="s">
        <v>416</v>
      </c>
      <c r="C1047" s="9">
        <v>43388</v>
      </c>
      <c r="D1047" s="13">
        <f t="shared" si="65"/>
        <v>2018</v>
      </c>
      <c r="E1047" s="13">
        <f t="shared" si="66"/>
        <v>10</v>
      </c>
      <c r="F1047" s="13">
        <f t="shared" si="67"/>
        <v>15</v>
      </c>
      <c r="G1047" s="4" t="s">
        <v>14</v>
      </c>
      <c r="H1047">
        <v>46.860500000000002</v>
      </c>
      <c r="I1047">
        <v>6.5678000000000001</v>
      </c>
      <c r="J1047" s="4" t="s">
        <v>15</v>
      </c>
      <c r="L1047" s="4" t="s">
        <v>1</v>
      </c>
      <c r="N1047" s="4" t="s">
        <v>17</v>
      </c>
      <c r="O1047" s="4" t="s">
        <v>29</v>
      </c>
    </row>
    <row r="1048" spans="1:15" x14ac:dyDescent="0.25">
      <c r="A1048">
        <f t="shared" si="68"/>
        <v>124206</v>
      </c>
      <c r="B1048" t="s">
        <v>417</v>
      </c>
      <c r="C1048" s="9">
        <v>43388</v>
      </c>
      <c r="D1048" s="13">
        <f t="shared" si="65"/>
        <v>2018</v>
      </c>
      <c r="E1048" s="13">
        <f t="shared" si="66"/>
        <v>10</v>
      </c>
      <c r="F1048" s="13">
        <f t="shared" si="67"/>
        <v>15</v>
      </c>
      <c r="G1048" s="4" t="s">
        <v>14</v>
      </c>
      <c r="H1048">
        <v>46.860500000000002</v>
      </c>
      <c r="I1048">
        <v>6.5678000000000001</v>
      </c>
      <c r="J1048" s="4" t="s">
        <v>15</v>
      </c>
      <c r="L1048" s="4" t="s">
        <v>1</v>
      </c>
      <c r="N1048" s="4" t="s">
        <v>17</v>
      </c>
      <c r="O1048" s="4" t="s">
        <v>29</v>
      </c>
    </row>
    <row r="1049" spans="1:15" x14ac:dyDescent="0.25">
      <c r="A1049">
        <f t="shared" si="68"/>
        <v>124207</v>
      </c>
      <c r="B1049" t="s">
        <v>418</v>
      </c>
      <c r="C1049" s="9">
        <v>43388</v>
      </c>
      <c r="D1049" s="13">
        <f t="shared" si="65"/>
        <v>2018</v>
      </c>
      <c r="E1049" s="13">
        <f t="shared" si="66"/>
        <v>10</v>
      </c>
      <c r="F1049" s="13">
        <f t="shared" si="67"/>
        <v>15</v>
      </c>
      <c r="G1049" s="4" t="s">
        <v>14</v>
      </c>
      <c r="H1049">
        <v>46.864100000000001</v>
      </c>
      <c r="I1049">
        <v>6.5716999999999999</v>
      </c>
      <c r="J1049" s="4" t="s">
        <v>15</v>
      </c>
      <c r="L1049" s="4" t="s">
        <v>1</v>
      </c>
      <c r="N1049" s="4" t="s">
        <v>17</v>
      </c>
      <c r="O1049" s="4" t="s">
        <v>29</v>
      </c>
    </row>
    <row r="1050" spans="1:15" x14ac:dyDescent="0.25">
      <c r="A1050">
        <f t="shared" si="68"/>
        <v>124208</v>
      </c>
      <c r="B1050" t="s">
        <v>419</v>
      </c>
      <c r="C1050" s="9">
        <v>43388</v>
      </c>
      <c r="D1050" s="13">
        <f t="shared" si="65"/>
        <v>2018</v>
      </c>
      <c r="E1050" s="13">
        <f t="shared" si="66"/>
        <v>10</v>
      </c>
      <c r="F1050" s="13">
        <f t="shared" si="67"/>
        <v>15</v>
      </c>
      <c r="G1050" s="4" t="s">
        <v>14</v>
      </c>
      <c r="H1050">
        <v>46.864100000000001</v>
      </c>
      <c r="I1050">
        <v>6.5716999999999999</v>
      </c>
      <c r="J1050" s="4" t="s">
        <v>15</v>
      </c>
      <c r="L1050" s="4" t="s">
        <v>1</v>
      </c>
      <c r="N1050" s="4" t="s">
        <v>17</v>
      </c>
      <c r="O1050" s="4" t="s">
        <v>29</v>
      </c>
    </row>
    <row r="1051" spans="1:15" x14ac:dyDescent="0.25">
      <c r="A1051">
        <f t="shared" si="68"/>
        <v>124209</v>
      </c>
      <c r="B1051" t="s">
        <v>420</v>
      </c>
      <c r="C1051" s="9">
        <v>43388</v>
      </c>
      <c r="D1051" s="13">
        <f t="shared" si="65"/>
        <v>2018</v>
      </c>
      <c r="E1051" s="13">
        <f t="shared" si="66"/>
        <v>10</v>
      </c>
      <c r="F1051" s="13">
        <f t="shared" si="67"/>
        <v>15</v>
      </c>
      <c r="G1051" s="4" t="s">
        <v>14</v>
      </c>
      <c r="H1051">
        <v>46.854900000000001</v>
      </c>
      <c r="I1051">
        <v>6.5456000000000003</v>
      </c>
      <c r="J1051" s="4" t="s">
        <v>15</v>
      </c>
      <c r="L1051" s="4" t="s">
        <v>1</v>
      </c>
      <c r="N1051" s="4" t="s">
        <v>17</v>
      </c>
      <c r="O1051" s="4" t="s">
        <v>29</v>
      </c>
    </row>
    <row r="1052" spans="1:15" x14ac:dyDescent="0.25">
      <c r="A1052">
        <f t="shared" si="68"/>
        <v>124210</v>
      </c>
      <c r="B1052" t="s">
        <v>421</v>
      </c>
      <c r="C1052" s="9">
        <v>43388</v>
      </c>
      <c r="D1052" s="13">
        <f t="shared" si="65"/>
        <v>2018</v>
      </c>
      <c r="E1052" s="13">
        <f t="shared" si="66"/>
        <v>10</v>
      </c>
      <c r="F1052" s="13">
        <f t="shared" si="67"/>
        <v>15</v>
      </c>
      <c r="G1052" s="4" t="s">
        <v>14</v>
      </c>
      <c r="H1052">
        <v>46.854900000000001</v>
      </c>
      <c r="I1052">
        <v>6.5456000000000003</v>
      </c>
      <c r="J1052" s="4" t="s">
        <v>15</v>
      </c>
      <c r="L1052" s="4" t="s">
        <v>1</v>
      </c>
      <c r="N1052" s="4" t="s">
        <v>17</v>
      </c>
      <c r="O1052" s="4" t="s">
        <v>27</v>
      </c>
    </row>
    <row r="1053" spans="1:15" x14ac:dyDescent="0.25">
      <c r="A1053">
        <f t="shared" si="68"/>
        <v>124211</v>
      </c>
      <c r="B1053" t="s">
        <v>422</v>
      </c>
      <c r="C1053" s="9">
        <v>43389</v>
      </c>
      <c r="D1053" s="13">
        <f t="shared" si="65"/>
        <v>2018</v>
      </c>
      <c r="E1053" s="13">
        <f t="shared" si="66"/>
        <v>10</v>
      </c>
      <c r="F1053" s="13">
        <f t="shared" si="67"/>
        <v>16</v>
      </c>
      <c r="G1053" s="4" t="s">
        <v>14</v>
      </c>
      <c r="H1053">
        <v>46.929699999999997</v>
      </c>
      <c r="I1053">
        <v>6.4603000000000002</v>
      </c>
      <c r="J1053" s="4" t="s">
        <v>15</v>
      </c>
      <c r="L1053" s="4" t="s">
        <v>1</v>
      </c>
      <c r="N1053" s="4" t="s">
        <v>17</v>
      </c>
      <c r="O1053" s="4" t="s">
        <v>29</v>
      </c>
    </row>
    <row r="1054" spans="1:15" x14ac:dyDescent="0.25">
      <c r="A1054">
        <f t="shared" si="68"/>
        <v>124212</v>
      </c>
      <c r="B1054" t="s">
        <v>423</v>
      </c>
      <c r="C1054" s="9">
        <v>43389</v>
      </c>
      <c r="D1054" s="13">
        <f t="shared" si="65"/>
        <v>2018</v>
      </c>
      <c r="E1054" s="13">
        <f t="shared" si="66"/>
        <v>10</v>
      </c>
      <c r="F1054" s="13">
        <f t="shared" si="67"/>
        <v>16</v>
      </c>
      <c r="G1054" s="4" t="s">
        <v>14</v>
      </c>
      <c r="H1054">
        <v>46.929699999999997</v>
      </c>
      <c r="I1054">
        <v>6.4603000000000002</v>
      </c>
      <c r="J1054" s="4" t="s">
        <v>15</v>
      </c>
      <c r="L1054" s="4" t="s">
        <v>1</v>
      </c>
      <c r="N1054" s="4" t="s">
        <v>16</v>
      </c>
      <c r="O1054" s="4" t="s">
        <v>29</v>
      </c>
    </row>
    <row r="1055" spans="1:15" x14ac:dyDescent="0.25">
      <c r="A1055">
        <f t="shared" si="68"/>
        <v>124212</v>
      </c>
      <c r="B1055" t="s">
        <v>423</v>
      </c>
      <c r="C1055" s="9">
        <v>43409</v>
      </c>
      <c r="D1055" s="13">
        <f t="shared" si="65"/>
        <v>2018</v>
      </c>
      <c r="E1055" s="13">
        <f t="shared" si="66"/>
        <v>11</v>
      </c>
      <c r="F1055" s="13">
        <f t="shared" si="67"/>
        <v>5</v>
      </c>
      <c r="G1055" s="4" t="s">
        <v>14</v>
      </c>
      <c r="H1055">
        <v>46.95</v>
      </c>
      <c r="I1055">
        <v>6.4832999999999998</v>
      </c>
      <c r="J1055" s="4" t="s">
        <v>21</v>
      </c>
      <c r="K1055" s="4" t="s">
        <v>22</v>
      </c>
      <c r="L1055" s="4" t="s">
        <v>1</v>
      </c>
      <c r="N1055" s="4" t="s">
        <v>17</v>
      </c>
    </row>
    <row r="1056" spans="1:15" x14ac:dyDescent="0.25">
      <c r="A1056">
        <f t="shared" si="68"/>
        <v>124213</v>
      </c>
      <c r="B1056" t="s">
        <v>424</v>
      </c>
      <c r="C1056" s="9">
        <v>43389</v>
      </c>
      <c r="D1056" s="13">
        <f t="shared" si="65"/>
        <v>2018</v>
      </c>
      <c r="E1056" s="13">
        <f t="shared" si="66"/>
        <v>10</v>
      </c>
      <c r="F1056" s="13">
        <f t="shared" si="67"/>
        <v>16</v>
      </c>
      <c r="G1056" s="4" t="s">
        <v>14</v>
      </c>
      <c r="H1056">
        <v>46.929699999999997</v>
      </c>
      <c r="I1056">
        <v>6.4603000000000002</v>
      </c>
      <c r="J1056" s="4" t="s">
        <v>15</v>
      </c>
      <c r="L1056" s="4" t="s">
        <v>1</v>
      </c>
      <c r="N1056" s="4" t="s">
        <v>17</v>
      </c>
      <c r="O1056" s="4" t="s">
        <v>29</v>
      </c>
    </row>
    <row r="1057" spans="1:15" x14ac:dyDescent="0.25">
      <c r="A1057">
        <f t="shared" si="68"/>
        <v>124214</v>
      </c>
      <c r="B1057" t="s">
        <v>425</v>
      </c>
      <c r="C1057" s="9">
        <v>43389</v>
      </c>
      <c r="D1057" s="13">
        <f t="shared" si="65"/>
        <v>2018</v>
      </c>
      <c r="E1057" s="13">
        <f t="shared" si="66"/>
        <v>10</v>
      </c>
      <c r="F1057" s="13">
        <f t="shared" si="67"/>
        <v>16</v>
      </c>
      <c r="G1057" s="4" t="s">
        <v>14</v>
      </c>
      <c r="H1057">
        <v>46.929699999999997</v>
      </c>
      <c r="I1057">
        <v>6.4603000000000002</v>
      </c>
      <c r="J1057" s="4" t="s">
        <v>15</v>
      </c>
      <c r="L1057" s="4" t="s">
        <v>1</v>
      </c>
      <c r="N1057" s="4" t="s">
        <v>17</v>
      </c>
      <c r="O1057" s="4" t="s">
        <v>29</v>
      </c>
    </row>
    <row r="1058" spans="1:15" x14ac:dyDescent="0.25">
      <c r="A1058">
        <f t="shared" si="68"/>
        <v>124215</v>
      </c>
      <c r="B1058" t="s">
        <v>426</v>
      </c>
      <c r="C1058" s="9">
        <v>43390</v>
      </c>
      <c r="D1058" s="13">
        <f t="shared" si="65"/>
        <v>2018</v>
      </c>
      <c r="E1058" s="13">
        <f t="shared" si="66"/>
        <v>10</v>
      </c>
      <c r="F1058" s="13">
        <f t="shared" si="67"/>
        <v>17</v>
      </c>
      <c r="G1058" s="4" t="s">
        <v>14</v>
      </c>
      <c r="H1058">
        <v>46.929699999999997</v>
      </c>
      <c r="I1058">
        <v>6.4603000000000002</v>
      </c>
      <c r="J1058" s="4" t="s">
        <v>15</v>
      </c>
      <c r="L1058" s="4" t="s">
        <v>1</v>
      </c>
      <c r="N1058" s="4" t="s">
        <v>17</v>
      </c>
      <c r="O1058" s="4" t="s">
        <v>29</v>
      </c>
    </row>
    <row r="1059" spans="1:15" x14ac:dyDescent="0.25">
      <c r="A1059">
        <f t="shared" si="68"/>
        <v>124216</v>
      </c>
      <c r="B1059" t="s">
        <v>427</v>
      </c>
      <c r="C1059" s="9">
        <v>43390</v>
      </c>
      <c r="D1059" s="13">
        <f t="shared" si="65"/>
        <v>2018</v>
      </c>
      <c r="E1059" s="13">
        <f t="shared" si="66"/>
        <v>10</v>
      </c>
      <c r="F1059" s="13">
        <f t="shared" si="67"/>
        <v>17</v>
      </c>
      <c r="G1059" s="4" t="s">
        <v>14</v>
      </c>
      <c r="H1059">
        <v>46.929699999999997</v>
      </c>
      <c r="I1059">
        <v>6.4603000000000002</v>
      </c>
      <c r="J1059" s="4" t="s">
        <v>15</v>
      </c>
      <c r="L1059" s="4" t="s">
        <v>1</v>
      </c>
      <c r="N1059" s="4" t="s">
        <v>16</v>
      </c>
      <c r="O1059" s="4" t="s">
        <v>29</v>
      </c>
    </row>
    <row r="1060" spans="1:15" x14ac:dyDescent="0.25">
      <c r="A1060">
        <f t="shared" si="68"/>
        <v>124216</v>
      </c>
      <c r="B1060" t="s">
        <v>427</v>
      </c>
      <c r="C1060" s="9">
        <v>43500</v>
      </c>
      <c r="D1060" s="13">
        <f t="shared" si="65"/>
        <v>2019</v>
      </c>
      <c r="E1060" s="13">
        <f t="shared" si="66"/>
        <v>2</v>
      </c>
      <c r="F1060" s="13">
        <f t="shared" si="67"/>
        <v>4</v>
      </c>
      <c r="G1060" s="4" t="s">
        <v>31</v>
      </c>
      <c r="H1060">
        <v>46.223100000000002</v>
      </c>
      <c r="I1060">
        <v>0.95860000000000001</v>
      </c>
      <c r="J1060" s="4" t="s">
        <v>21</v>
      </c>
      <c r="K1060" s="4" t="s">
        <v>22</v>
      </c>
      <c r="L1060" s="4" t="s">
        <v>1</v>
      </c>
      <c r="N1060" s="4" t="s">
        <v>17</v>
      </c>
    </row>
    <row r="1061" spans="1:15" x14ac:dyDescent="0.25">
      <c r="A1061">
        <f t="shared" si="68"/>
        <v>124217</v>
      </c>
      <c r="B1061" t="s">
        <v>428</v>
      </c>
      <c r="C1061" s="9">
        <v>43390</v>
      </c>
      <c r="D1061" s="13">
        <f t="shared" si="65"/>
        <v>2018</v>
      </c>
      <c r="E1061" s="13">
        <f t="shared" si="66"/>
        <v>10</v>
      </c>
      <c r="F1061" s="13">
        <f t="shared" si="67"/>
        <v>17</v>
      </c>
      <c r="G1061" s="4" t="s">
        <v>14</v>
      </c>
      <c r="H1061">
        <v>46.992800000000003</v>
      </c>
      <c r="I1061">
        <v>6.6971999999999996</v>
      </c>
      <c r="J1061" s="4" t="s">
        <v>15</v>
      </c>
      <c r="L1061" s="4" t="s">
        <v>1</v>
      </c>
      <c r="N1061" s="4" t="s">
        <v>16</v>
      </c>
      <c r="O1061" s="4" t="s">
        <v>29</v>
      </c>
    </row>
    <row r="1062" spans="1:15" x14ac:dyDescent="0.25">
      <c r="A1062">
        <f t="shared" si="68"/>
        <v>124217</v>
      </c>
      <c r="B1062" t="s">
        <v>428</v>
      </c>
      <c r="C1062" s="9">
        <v>43409</v>
      </c>
      <c r="D1062" s="13">
        <f t="shared" si="65"/>
        <v>2018</v>
      </c>
      <c r="E1062" s="13">
        <f t="shared" si="66"/>
        <v>11</v>
      </c>
      <c r="F1062" s="13">
        <f t="shared" si="67"/>
        <v>5</v>
      </c>
      <c r="G1062" s="4" t="s">
        <v>20</v>
      </c>
      <c r="H1062">
        <v>46.833300000000001</v>
      </c>
      <c r="I1062">
        <v>6.2832999999999997</v>
      </c>
      <c r="J1062" s="4" t="s">
        <v>21</v>
      </c>
      <c r="K1062" s="4" t="s">
        <v>22</v>
      </c>
      <c r="L1062" s="4" t="s">
        <v>1</v>
      </c>
      <c r="N1062" s="4" t="s">
        <v>17</v>
      </c>
    </row>
    <row r="1063" spans="1:15" x14ac:dyDescent="0.25">
      <c r="A1063">
        <f t="shared" si="68"/>
        <v>124218</v>
      </c>
      <c r="B1063" t="s">
        <v>429</v>
      </c>
      <c r="C1063" s="9">
        <v>43390</v>
      </c>
      <c r="D1063" s="13">
        <f t="shared" si="65"/>
        <v>2018</v>
      </c>
      <c r="E1063" s="13">
        <f t="shared" si="66"/>
        <v>10</v>
      </c>
      <c r="F1063" s="13">
        <f t="shared" si="67"/>
        <v>17</v>
      </c>
      <c r="G1063" s="4" t="s">
        <v>14</v>
      </c>
      <c r="H1063">
        <v>46.972799999999999</v>
      </c>
      <c r="I1063">
        <v>6.6696999999999997</v>
      </c>
      <c r="J1063" s="4" t="s">
        <v>15</v>
      </c>
      <c r="L1063" s="4" t="s">
        <v>1</v>
      </c>
      <c r="N1063" s="4" t="s">
        <v>16</v>
      </c>
      <c r="O1063" s="4" t="s">
        <v>29</v>
      </c>
    </row>
    <row r="1064" spans="1:15" x14ac:dyDescent="0.25">
      <c r="A1064">
        <f t="shared" si="68"/>
        <v>124218</v>
      </c>
      <c r="B1064" t="s">
        <v>429</v>
      </c>
      <c r="C1064" s="9">
        <v>43449</v>
      </c>
      <c r="D1064" s="13">
        <f t="shared" si="65"/>
        <v>2018</v>
      </c>
      <c r="E1064" s="13">
        <f t="shared" si="66"/>
        <v>12</v>
      </c>
      <c r="F1064" s="13">
        <f t="shared" si="67"/>
        <v>15</v>
      </c>
      <c r="G1064" s="4" t="s">
        <v>31</v>
      </c>
      <c r="H1064">
        <v>48.563899999999997</v>
      </c>
      <c r="I1064">
        <v>-3.0222000000000002</v>
      </c>
      <c r="J1064" s="4" t="s">
        <v>21</v>
      </c>
      <c r="K1064" s="4" t="s">
        <v>22</v>
      </c>
      <c r="L1064" s="4" t="s">
        <v>1</v>
      </c>
      <c r="N1064" s="4" t="s">
        <v>17</v>
      </c>
    </row>
    <row r="1065" spans="1:15" x14ac:dyDescent="0.25">
      <c r="A1065">
        <f t="shared" si="68"/>
        <v>124219</v>
      </c>
      <c r="B1065" t="s">
        <v>430</v>
      </c>
      <c r="C1065" s="9">
        <v>43392</v>
      </c>
      <c r="D1065" s="13">
        <f t="shared" si="65"/>
        <v>2018</v>
      </c>
      <c r="E1065" s="13">
        <f t="shared" si="66"/>
        <v>10</v>
      </c>
      <c r="F1065" s="13">
        <f t="shared" si="67"/>
        <v>19</v>
      </c>
      <c r="G1065" s="4" t="s">
        <v>14</v>
      </c>
      <c r="H1065">
        <v>46.91</v>
      </c>
      <c r="I1065">
        <v>6.6863999999999999</v>
      </c>
      <c r="J1065" s="4" t="s">
        <v>15</v>
      </c>
      <c r="L1065" s="4" t="s">
        <v>1</v>
      </c>
      <c r="N1065" s="4" t="s">
        <v>17</v>
      </c>
      <c r="O1065" s="4" t="s">
        <v>29</v>
      </c>
    </row>
    <row r="1066" spans="1:15" x14ac:dyDescent="0.25">
      <c r="A1066">
        <f t="shared" si="68"/>
        <v>124220</v>
      </c>
      <c r="B1066" t="s">
        <v>431</v>
      </c>
      <c r="C1066" s="9">
        <v>43392</v>
      </c>
      <c r="D1066" s="13">
        <f t="shared" si="65"/>
        <v>2018</v>
      </c>
      <c r="E1066" s="13">
        <f t="shared" si="66"/>
        <v>10</v>
      </c>
      <c r="F1066" s="13">
        <f t="shared" si="67"/>
        <v>19</v>
      </c>
      <c r="G1066" s="4" t="s">
        <v>14</v>
      </c>
      <c r="H1066">
        <v>46.91</v>
      </c>
      <c r="I1066">
        <v>6.6863999999999999</v>
      </c>
      <c r="J1066" s="4" t="s">
        <v>15</v>
      </c>
      <c r="L1066" s="4" t="s">
        <v>1</v>
      </c>
      <c r="N1066" s="4" t="s">
        <v>17</v>
      </c>
      <c r="O1066" s="4" t="s">
        <v>27</v>
      </c>
    </row>
    <row r="1067" spans="1:15" x14ac:dyDescent="0.25">
      <c r="A1067">
        <f t="shared" si="68"/>
        <v>124221</v>
      </c>
      <c r="B1067" t="s">
        <v>432</v>
      </c>
      <c r="C1067" s="9">
        <v>43392</v>
      </c>
      <c r="D1067" s="13">
        <f t="shared" si="65"/>
        <v>2018</v>
      </c>
      <c r="E1067" s="13">
        <f t="shared" si="66"/>
        <v>10</v>
      </c>
      <c r="F1067" s="13">
        <f t="shared" si="67"/>
        <v>19</v>
      </c>
      <c r="G1067" s="4" t="s">
        <v>14</v>
      </c>
      <c r="H1067">
        <v>46.903599999999997</v>
      </c>
      <c r="I1067">
        <v>6.6722000000000001</v>
      </c>
      <c r="J1067" s="4" t="s">
        <v>15</v>
      </c>
      <c r="L1067" s="4" t="s">
        <v>1</v>
      </c>
      <c r="N1067" s="4" t="s">
        <v>17</v>
      </c>
      <c r="O1067" s="4" t="s">
        <v>19</v>
      </c>
    </row>
    <row r="1068" spans="1:15" x14ac:dyDescent="0.25">
      <c r="A1068">
        <f t="shared" si="68"/>
        <v>124222</v>
      </c>
      <c r="B1068" t="s">
        <v>433</v>
      </c>
      <c r="C1068" s="9">
        <v>43392</v>
      </c>
      <c r="D1068" s="13">
        <f t="shared" si="65"/>
        <v>2018</v>
      </c>
      <c r="E1068" s="13">
        <f t="shared" si="66"/>
        <v>10</v>
      </c>
      <c r="F1068" s="13">
        <f t="shared" si="67"/>
        <v>19</v>
      </c>
      <c r="G1068" s="4" t="s">
        <v>14</v>
      </c>
      <c r="H1068">
        <v>46.903599999999997</v>
      </c>
      <c r="I1068">
        <v>6.6722000000000001</v>
      </c>
      <c r="J1068" s="4" t="s">
        <v>15</v>
      </c>
      <c r="L1068" s="4" t="s">
        <v>1</v>
      </c>
      <c r="N1068" s="4" t="s">
        <v>17</v>
      </c>
      <c r="O1068" s="4" t="s">
        <v>29</v>
      </c>
    </row>
    <row r="1069" spans="1:15" x14ac:dyDescent="0.25">
      <c r="A1069">
        <f t="shared" si="68"/>
        <v>124223</v>
      </c>
      <c r="B1069" t="s">
        <v>434</v>
      </c>
      <c r="C1069" s="9">
        <v>43392</v>
      </c>
      <c r="D1069" s="13">
        <f t="shared" si="65"/>
        <v>2018</v>
      </c>
      <c r="E1069" s="13">
        <f t="shared" si="66"/>
        <v>10</v>
      </c>
      <c r="F1069" s="13">
        <f t="shared" si="67"/>
        <v>19</v>
      </c>
      <c r="G1069" s="4" t="s">
        <v>14</v>
      </c>
      <c r="H1069">
        <v>46.903599999999997</v>
      </c>
      <c r="I1069">
        <v>6.6722000000000001</v>
      </c>
      <c r="J1069" s="4" t="s">
        <v>15</v>
      </c>
      <c r="L1069" s="4" t="s">
        <v>1</v>
      </c>
      <c r="N1069" s="4" t="s">
        <v>17</v>
      </c>
      <c r="O1069" s="4" t="s">
        <v>29</v>
      </c>
    </row>
    <row r="1070" spans="1:15" x14ac:dyDescent="0.25">
      <c r="A1070">
        <f t="shared" si="68"/>
        <v>124224</v>
      </c>
      <c r="B1070" t="s">
        <v>435</v>
      </c>
      <c r="C1070" s="9">
        <v>43392</v>
      </c>
      <c r="D1070" s="13">
        <f t="shared" si="65"/>
        <v>2018</v>
      </c>
      <c r="E1070" s="13">
        <f t="shared" si="66"/>
        <v>10</v>
      </c>
      <c r="F1070" s="13">
        <f t="shared" si="67"/>
        <v>19</v>
      </c>
      <c r="G1070" s="4" t="s">
        <v>14</v>
      </c>
      <c r="H1070">
        <v>46.923299999999998</v>
      </c>
      <c r="I1070">
        <v>6.4356</v>
      </c>
      <c r="J1070" s="4" t="s">
        <v>15</v>
      </c>
      <c r="L1070" s="4" t="s">
        <v>1</v>
      </c>
      <c r="N1070" s="4" t="s">
        <v>17</v>
      </c>
      <c r="O1070" s="4" t="s">
        <v>29</v>
      </c>
    </row>
    <row r="1071" spans="1:15" x14ac:dyDescent="0.25">
      <c r="A1071">
        <f t="shared" si="68"/>
        <v>124225</v>
      </c>
      <c r="B1071" t="s">
        <v>436</v>
      </c>
      <c r="C1071" s="9">
        <v>43393</v>
      </c>
      <c r="D1071" s="13">
        <f t="shared" si="65"/>
        <v>2018</v>
      </c>
      <c r="E1071" s="13">
        <f t="shared" si="66"/>
        <v>10</v>
      </c>
      <c r="F1071" s="13">
        <f t="shared" si="67"/>
        <v>20</v>
      </c>
      <c r="G1071" s="4" t="s">
        <v>14</v>
      </c>
      <c r="H1071">
        <v>46.899000000000001</v>
      </c>
      <c r="I1071">
        <v>6.6708999999999996</v>
      </c>
      <c r="J1071" s="4" t="s">
        <v>15</v>
      </c>
      <c r="L1071" s="4" t="s">
        <v>1</v>
      </c>
      <c r="N1071" s="4" t="s">
        <v>17</v>
      </c>
      <c r="O1071" s="4" t="s">
        <v>19</v>
      </c>
    </row>
    <row r="1072" spans="1:15" x14ac:dyDescent="0.25">
      <c r="A1072">
        <f t="shared" si="68"/>
        <v>124226</v>
      </c>
      <c r="B1072" t="s">
        <v>437</v>
      </c>
      <c r="C1072" s="9">
        <v>43393</v>
      </c>
      <c r="D1072" s="13">
        <f t="shared" si="65"/>
        <v>2018</v>
      </c>
      <c r="E1072" s="13">
        <f t="shared" si="66"/>
        <v>10</v>
      </c>
      <c r="F1072" s="13">
        <f t="shared" si="67"/>
        <v>20</v>
      </c>
      <c r="G1072" s="4" t="s">
        <v>14</v>
      </c>
      <c r="H1072">
        <v>46.903599999999997</v>
      </c>
      <c r="I1072">
        <v>6.6722000000000001</v>
      </c>
      <c r="J1072" s="4" t="s">
        <v>15</v>
      </c>
      <c r="L1072" s="4" t="s">
        <v>1</v>
      </c>
      <c r="N1072" s="4" t="s">
        <v>17</v>
      </c>
      <c r="O1072" s="4" t="s">
        <v>29</v>
      </c>
    </row>
    <row r="1073" spans="1:15" x14ac:dyDescent="0.25">
      <c r="A1073">
        <f t="shared" si="68"/>
        <v>124227</v>
      </c>
      <c r="B1073" t="s">
        <v>438</v>
      </c>
      <c r="C1073" s="9">
        <v>43393</v>
      </c>
      <c r="D1073" s="13">
        <f t="shared" si="65"/>
        <v>2018</v>
      </c>
      <c r="E1073" s="13">
        <f t="shared" si="66"/>
        <v>10</v>
      </c>
      <c r="F1073" s="13">
        <f t="shared" si="67"/>
        <v>20</v>
      </c>
      <c r="G1073" s="4" t="s">
        <v>14</v>
      </c>
      <c r="H1073">
        <v>46.91</v>
      </c>
      <c r="I1073">
        <v>6.6863999999999999</v>
      </c>
      <c r="J1073" s="4" t="s">
        <v>15</v>
      </c>
      <c r="L1073" s="4" t="s">
        <v>1</v>
      </c>
      <c r="N1073" s="4" t="s">
        <v>16</v>
      </c>
      <c r="O1073" s="4" t="s">
        <v>29</v>
      </c>
    </row>
    <row r="1074" spans="1:15" x14ac:dyDescent="0.25">
      <c r="A1074">
        <f t="shared" si="68"/>
        <v>124227</v>
      </c>
      <c r="B1074" t="s">
        <v>438</v>
      </c>
      <c r="C1074" s="9">
        <v>43448</v>
      </c>
      <c r="D1074" s="13">
        <f t="shared" si="65"/>
        <v>2018</v>
      </c>
      <c r="E1074" s="13">
        <f t="shared" si="66"/>
        <v>12</v>
      </c>
      <c r="F1074" s="13">
        <f t="shared" si="67"/>
        <v>14</v>
      </c>
      <c r="G1074" s="4" t="s">
        <v>31</v>
      </c>
      <c r="H1074">
        <v>47.4833</v>
      </c>
      <c r="I1074">
        <v>-2.4</v>
      </c>
      <c r="J1074" s="4" t="s">
        <v>21</v>
      </c>
      <c r="K1074" s="4" t="s">
        <v>22</v>
      </c>
      <c r="L1074" s="4" t="s">
        <v>1</v>
      </c>
      <c r="N1074" s="4" t="s">
        <v>17</v>
      </c>
    </row>
    <row r="1075" spans="1:15" x14ac:dyDescent="0.25">
      <c r="A1075">
        <f t="shared" si="68"/>
        <v>124228</v>
      </c>
      <c r="B1075" t="s">
        <v>439</v>
      </c>
      <c r="C1075" s="9">
        <v>43393</v>
      </c>
      <c r="D1075" s="13">
        <f t="shared" si="65"/>
        <v>2018</v>
      </c>
      <c r="E1075" s="13">
        <f t="shared" si="66"/>
        <v>10</v>
      </c>
      <c r="F1075" s="13">
        <f t="shared" si="67"/>
        <v>20</v>
      </c>
      <c r="G1075" s="4" t="s">
        <v>14</v>
      </c>
      <c r="H1075">
        <v>46.864100000000001</v>
      </c>
      <c r="I1075">
        <v>6.5716999999999999</v>
      </c>
      <c r="J1075" s="4" t="s">
        <v>15</v>
      </c>
      <c r="L1075" s="4" t="s">
        <v>1</v>
      </c>
      <c r="N1075" s="4" t="s">
        <v>16</v>
      </c>
      <c r="O1075" s="4" t="s">
        <v>29</v>
      </c>
    </row>
    <row r="1076" spans="1:15" x14ac:dyDescent="0.25">
      <c r="A1076">
        <f t="shared" si="68"/>
        <v>124228</v>
      </c>
      <c r="B1076" t="s">
        <v>439</v>
      </c>
      <c r="C1076" s="9">
        <v>43407</v>
      </c>
      <c r="D1076" s="13">
        <f t="shared" si="65"/>
        <v>2018</v>
      </c>
      <c r="E1076" s="13">
        <f t="shared" si="66"/>
        <v>11</v>
      </c>
      <c r="F1076" s="13">
        <f t="shared" si="67"/>
        <v>3</v>
      </c>
      <c r="G1076" s="4" t="s">
        <v>20</v>
      </c>
      <c r="H1076">
        <v>46.7</v>
      </c>
      <c r="I1076">
        <v>5.9667000000000003</v>
      </c>
      <c r="J1076" s="4" t="s">
        <v>21</v>
      </c>
      <c r="K1076" s="4" t="s">
        <v>22</v>
      </c>
      <c r="L1076" s="4" t="s">
        <v>1</v>
      </c>
      <c r="N1076" s="4" t="s">
        <v>17</v>
      </c>
    </row>
    <row r="1077" spans="1:15" x14ac:dyDescent="0.25">
      <c r="A1077">
        <f t="shared" si="68"/>
        <v>124229</v>
      </c>
      <c r="B1077" t="s">
        <v>440</v>
      </c>
      <c r="C1077" s="9">
        <v>43393</v>
      </c>
      <c r="D1077" s="13">
        <f t="shared" si="65"/>
        <v>2018</v>
      </c>
      <c r="E1077" s="13">
        <f t="shared" si="66"/>
        <v>10</v>
      </c>
      <c r="F1077" s="13">
        <f t="shared" si="67"/>
        <v>20</v>
      </c>
      <c r="G1077" s="4" t="s">
        <v>14</v>
      </c>
      <c r="H1077">
        <v>46.864100000000001</v>
      </c>
      <c r="I1077">
        <v>6.5716999999999999</v>
      </c>
      <c r="J1077" s="4" t="s">
        <v>15</v>
      </c>
      <c r="L1077" s="4" t="s">
        <v>1</v>
      </c>
      <c r="N1077" s="4" t="s">
        <v>17</v>
      </c>
      <c r="O1077" s="4" t="s">
        <v>29</v>
      </c>
    </row>
    <row r="1078" spans="1:15" x14ac:dyDescent="0.25">
      <c r="A1078">
        <f t="shared" si="68"/>
        <v>124230</v>
      </c>
      <c r="B1078" t="s">
        <v>441</v>
      </c>
      <c r="C1078" s="9">
        <v>43393</v>
      </c>
      <c r="D1078" s="13">
        <f t="shared" si="65"/>
        <v>2018</v>
      </c>
      <c r="E1078" s="13">
        <f t="shared" si="66"/>
        <v>10</v>
      </c>
      <c r="F1078" s="13">
        <f t="shared" si="67"/>
        <v>20</v>
      </c>
      <c r="G1078" s="4" t="s">
        <v>14</v>
      </c>
      <c r="H1078">
        <v>46.864100000000001</v>
      </c>
      <c r="I1078">
        <v>6.5716999999999999</v>
      </c>
      <c r="J1078" s="4" t="s">
        <v>15</v>
      </c>
      <c r="L1078" s="4" t="s">
        <v>1</v>
      </c>
      <c r="N1078" s="4" t="s">
        <v>16</v>
      </c>
      <c r="O1078" s="4" t="s">
        <v>184</v>
      </c>
    </row>
    <row r="1079" spans="1:15" x14ac:dyDescent="0.25">
      <c r="A1079">
        <f t="shared" si="68"/>
        <v>124230</v>
      </c>
      <c r="B1079" t="s">
        <v>441</v>
      </c>
      <c r="C1079" s="9">
        <v>43848</v>
      </c>
      <c r="D1079" s="13">
        <f t="shared" si="65"/>
        <v>2020</v>
      </c>
      <c r="E1079" s="13">
        <f t="shared" si="66"/>
        <v>1</v>
      </c>
      <c r="F1079" s="13">
        <f t="shared" si="67"/>
        <v>18</v>
      </c>
      <c r="G1079" s="4" t="s">
        <v>48</v>
      </c>
      <c r="H1079">
        <v>39.96</v>
      </c>
      <c r="I1079">
        <v>3.8593999999999999</v>
      </c>
      <c r="J1079" s="4" t="s">
        <v>21</v>
      </c>
      <c r="K1079" s="4" t="s">
        <v>22</v>
      </c>
      <c r="L1079" s="4" t="s">
        <v>1</v>
      </c>
      <c r="N1079" s="4" t="s">
        <v>17</v>
      </c>
    </row>
    <row r="1080" spans="1:15" x14ac:dyDescent="0.25">
      <c r="A1080">
        <f t="shared" si="68"/>
        <v>124231</v>
      </c>
      <c r="B1080" t="s">
        <v>442</v>
      </c>
      <c r="C1080" s="9">
        <v>43394</v>
      </c>
      <c r="D1080" s="13">
        <f t="shared" si="65"/>
        <v>2018</v>
      </c>
      <c r="E1080" s="13">
        <f t="shared" si="66"/>
        <v>10</v>
      </c>
      <c r="F1080" s="13">
        <f t="shared" si="67"/>
        <v>21</v>
      </c>
      <c r="G1080" s="4" t="s">
        <v>14</v>
      </c>
      <c r="H1080">
        <v>46.936900000000001</v>
      </c>
      <c r="I1080">
        <v>6.4641999999999999</v>
      </c>
      <c r="J1080" s="4" t="s">
        <v>15</v>
      </c>
      <c r="L1080" s="4" t="s">
        <v>1</v>
      </c>
      <c r="N1080" s="4" t="s">
        <v>17</v>
      </c>
      <c r="O1080" s="4" t="s">
        <v>29</v>
      </c>
    </row>
    <row r="1081" spans="1:15" x14ac:dyDescent="0.25">
      <c r="A1081">
        <f t="shared" si="68"/>
        <v>124232</v>
      </c>
      <c r="B1081" t="s">
        <v>443</v>
      </c>
      <c r="C1081" s="9">
        <v>43394</v>
      </c>
      <c r="D1081" s="13">
        <f t="shared" si="65"/>
        <v>2018</v>
      </c>
      <c r="E1081" s="13">
        <f t="shared" si="66"/>
        <v>10</v>
      </c>
      <c r="F1081" s="13">
        <f t="shared" si="67"/>
        <v>21</v>
      </c>
      <c r="G1081" s="4" t="s">
        <v>14</v>
      </c>
      <c r="H1081">
        <v>46.929699999999997</v>
      </c>
      <c r="I1081">
        <v>6.4603000000000002</v>
      </c>
      <c r="J1081" s="4" t="s">
        <v>15</v>
      </c>
      <c r="L1081" s="4" t="s">
        <v>1</v>
      </c>
      <c r="N1081" s="4" t="s">
        <v>17</v>
      </c>
      <c r="O1081" s="4" t="s">
        <v>29</v>
      </c>
    </row>
    <row r="1082" spans="1:15" x14ac:dyDescent="0.25">
      <c r="A1082">
        <f t="shared" si="68"/>
        <v>124233</v>
      </c>
      <c r="B1082" t="s">
        <v>444</v>
      </c>
      <c r="C1082" s="9">
        <v>43396</v>
      </c>
      <c r="D1082" s="13">
        <f t="shared" si="65"/>
        <v>2018</v>
      </c>
      <c r="E1082" s="13">
        <f t="shared" si="66"/>
        <v>10</v>
      </c>
      <c r="F1082" s="13">
        <f t="shared" si="67"/>
        <v>23</v>
      </c>
      <c r="G1082" s="4" t="s">
        <v>14</v>
      </c>
      <c r="H1082">
        <v>46.908099999999997</v>
      </c>
      <c r="I1082">
        <v>6.6852</v>
      </c>
      <c r="J1082" s="4" t="s">
        <v>15</v>
      </c>
      <c r="L1082" s="4" t="s">
        <v>1</v>
      </c>
      <c r="N1082" s="4" t="s">
        <v>16</v>
      </c>
      <c r="O1082" s="4" t="s">
        <v>29</v>
      </c>
    </row>
    <row r="1083" spans="1:15" x14ac:dyDescent="0.25">
      <c r="A1083">
        <f t="shared" si="68"/>
        <v>124233</v>
      </c>
      <c r="B1083" t="s">
        <v>444</v>
      </c>
      <c r="C1083" s="9">
        <v>43496</v>
      </c>
      <c r="D1083" s="13">
        <f t="shared" si="65"/>
        <v>2019</v>
      </c>
      <c r="E1083" s="13">
        <f t="shared" si="66"/>
        <v>1</v>
      </c>
      <c r="F1083" s="13">
        <f t="shared" si="67"/>
        <v>31</v>
      </c>
      <c r="G1083" s="4" t="s">
        <v>48</v>
      </c>
      <c r="H1083">
        <v>42</v>
      </c>
      <c r="I1083">
        <v>1.5166999999999999</v>
      </c>
      <c r="J1083" s="4" t="s">
        <v>21</v>
      </c>
      <c r="K1083" s="4" t="s">
        <v>22</v>
      </c>
      <c r="L1083" s="4" t="s">
        <v>1</v>
      </c>
      <c r="N1083" s="4" t="s">
        <v>17</v>
      </c>
    </row>
    <row r="1084" spans="1:15" x14ac:dyDescent="0.25">
      <c r="A1084">
        <f t="shared" si="68"/>
        <v>124234</v>
      </c>
      <c r="B1084" t="s">
        <v>445</v>
      </c>
      <c r="C1084" s="9">
        <v>43396</v>
      </c>
      <c r="D1084" s="13">
        <f t="shared" si="65"/>
        <v>2018</v>
      </c>
      <c r="E1084" s="13">
        <f t="shared" si="66"/>
        <v>10</v>
      </c>
      <c r="F1084" s="13">
        <f t="shared" si="67"/>
        <v>23</v>
      </c>
      <c r="G1084" s="4" t="s">
        <v>14</v>
      </c>
      <c r="H1084">
        <v>46.908099999999997</v>
      </c>
      <c r="I1084">
        <v>6.6852</v>
      </c>
      <c r="J1084" s="4" t="s">
        <v>15</v>
      </c>
      <c r="L1084" s="4" t="s">
        <v>1</v>
      </c>
      <c r="N1084" s="4" t="s">
        <v>17</v>
      </c>
      <c r="O1084" s="4" t="s">
        <v>29</v>
      </c>
    </row>
    <row r="1085" spans="1:15" x14ac:dyDescent="0.25">
      <c r="A1085">
        <f t="shared" si="68"/>
        <v>124235</v>
      </c>
      <c r="B1085" t="s">
        <v>446</v>
      </c>
      <c r="C1085" s="9">
        <v>43396</v>
      </c>
      <c r="D1085" s="13">
        <f t="shared" si="65"/>
        <v>2018</v>
      </c>
      <c r="E1085" s="13">
        <f t="shared" si="66"/>
        <v>10</v>
      </c>
      <c r="F1085" s="13">
        <f t="shared" si="67"/>
        <v>23</v>
      </c>
      <c r="G1085" s="4" t="s">
        <v>14</v>
      </c>
      <c r="H1085">
        <v>46.91</v>
      </c>
      <c r="I1085">
        <v>6.6863999999999999</v>
      </c>
      <c r="J1085" s="4" t="s">
        <v>15</v>
      </c>
      <c r="L1085" s="4" t="s">
        <v>1</v>
      </c>
      <c r="N1085" s="4" t="s">
        <v>17</v>
      </c>
      <c r="O1085" s="4" t="s">
        <v>184</v>
      </c>
    </row>
    <row r="1086" spans="1:15" x14ac:dyDescent="0.25">
      <c r="A1086">
        <f t="shared" si="68"/>
        <v>124236</v>
      </c>
      <c r="B1086" t="s">
        <v>447</v>
      </c>
      <c r="C1086" s="9">
        <v>43396</v>
      </c>
      <c r="D1086" s="13">
        <f t="shared" si="65"/>
        <v>2018</v>
      </c>
      <c r="E1086" s="13">
        <f t="shared" si="66"/>
        <v>10</v>
      </c>
      <c r="F1086" s="13">
        <f t="shared" si="67"/>
        <v>23</v>
      </c>
      <c r="G1086" s="4" t="s">
        <v>14</v>
      </c>
      <c r="H1086">
        <v>46.903599999999997</v>
      </c>
      <c r="I1086">
        <v>6.6722000000000001</v>
      </c>
      <c r="J1086" s="4" t="s">
        <v>15</v>
      </c>
      <c r="L1086" s="4" t="s">
        <v>1</v>
      </c>
      <c r="N1086" s="4" t="s">
        <v>17</v>
      </c>
      <c r="O1086" s="4" t="s">
        <v>29</v>
      </c>
    </row>
    <row r="1087" spans="1:15" x14ac:dyDescent="0.25">
      <c r="A1087">
        <f t="shared" si="68"/>
        <v>124237</v>
      </c>
      <c r="B1087" t="s">
        <v>448</v>
      </c>
      <c r="C1087" s="9">
        <v>43396</v>
      </c>
      <c r="D1087" s="13">
        <f t="shared" si="65"/>
        <v>2018</v>
      </c>
      <c r="E1087" s="13">
        <f t="shared" si="66"/>
        <v>10</v>
      </c>
      <c r="F1087" s="13">
        <f t="shared" si="67"/>
        <v>23</v>
      </c>
      <c r="G1087" s="4" t="s">
        <v>14</v>
      </c>
      <c r="H1087">
        <v>46.8992</v>
      </c>
      <c r="I1087">
        <v>6.6707999999999998</v>
      </c>
      <c r="J1087" s="4" t="s">
        <v>15</v>
      </c>
      <c r="L1087" s="4" t="s">
        <v>1</v>
      </c>
      <c r="N1087" s="4" t="s">
        <v>17</v>
      </c>
      <c r="O1087" s="4" t="s">
        <v>29</v>
      </c>
    </row>
    <row r="1088" spans="1:15" x14ac:dyDescent="0.25">
      <c r="A1088">
        <f t="shared" si="68"/>
        <v>124238</v>
      </c>
      <c r="B1088" t="s">
        <v>449</v>
      </c>
      <c r="C1088" s="9">
        <v>43396</v>
      </c>
      <c r="D1088" s="13">
        <f t="shared" si="65"/>
        <v>2018</v>
      </c>
      <c r="E1088" s="13">
        <f t="shared" si="66"/>
        <v>10</v>
      </c>
      <c r="F1088" s="13">
        <f t="shared" si="67"/>
        <v>23</v>
      </c>
      <c r="G1088" s="4" t="s">
        <v>14</v>
      </c>
      <c r="H1088">
        <v>46.923299999999998</v>
      </c>
      <c r="I1088">
        <v>6.4356</v>
      </c>
      <c r="J1088" s="4" t="s">
        <v>15</v>
      </c>
      <c r="L1088" s="4" t="s">
        <v>1</v>
      </c>
      <c r="N1088" s="4" t="s">
        <v>17</v>
      </c>
      <c r="O1088" s="4" t="s">
        <v>19</v>
      </c>
    </row>
    <row r="1089" spans="1:15" x14ac:dyDescent="0.25">
      <c r="A1089">
        <f t="shared" si="68"/>
        <v>124239</v>
      </c>
      <c r="B1089" t="s">
        <v>450</v>
      </c>
      <c r="C1089" s="9">
        <v>43396</v>
      </c>
      <c r="D1089" s="13">
        <f t="shared" si="65"/>
        <v>2018</v>
      </c>
      <c r="E1089" s="13">
        <f t="shared" si="66"/>
        <v>10</v>
      </c>
      <c r="F1089" s="13">
        <f t="shared" si="67"/>
        <v>23</v>
      </c>
      <c r="G1089" s="4" t="s">
        <v>14</v>
      </c>
      <c r="H1089">
        <v>46.899000000000001</v>
      </c>
      <c r="I1089">
        <v>6.6708999999999996</v>
      </c>
      <c r="J1089" s="4" t="s">
        <v>15</v>
      </c>
      <c r="L1089" s="4" t="s">
        <v>1</v>
      </c>
      <c r="N1089" s="4" t="s">
        <v>17</v>
      </c>
      <c r="O1089" s="4" t="s">
        <v>184</v>
      </c>
    </row>
    <row r="1090" spans="1:15" x14ac:dyDescent="0.25">
      <c r="A1090">
        <f t="shared" si="68"/>
        <v>124240</v>
      </c>
      <c r="B1090" t="s">
        <v>451</v>
      </c>
      <c r="C1090" s="9">
        <v>43397</v>
      </c>
      <c r="D1090" s="13">
        <f t="shared" si="65"/>
        <v>2018</v>
      </c>
      <c r="E1090" s="13">
        <f t="shared" si="66"/>
        <v>10</v>
      </c>
      <c r="F1090" s="13">
        <f t="shared" si="67"/>
        <v>24</v>
      </c>
      <c r="G1090" s="4" t="s">
        <v>14</v>
      </c>
      <c r="H1090">
        <v>46.950499999999998</v>
      </c>
      <c r="I1090">
        <v>6.5716000000000001</v>
      </c>
      <c r="J1090" s="4" t="s">
        <v>15</v>
      </c>
      <c r="L1090" s="4" t="s">
        <v>1</v>
      </c>
      <c r="N1090" s="4" t="s">
        <v>17</v>
      </c>
      <c r="O1090" s="4" t="s">
        <v>27</v>
      </c>
    </row>
    <row r="1091" spans="1:15" x14ac:dyDescent="0.25">
      <c r="A1091">
        <f t="shared" si="68"/>
        <v>124241</v>
      </c>
      <c r="B1091" t="s">
        <v>452</v>
      </c>
      <c r="C1091" s="9">
        <v>43397</v>
      </c>
      <c r="D1091" s="13">
        <f t="shared" ref="D1091:D1154" si="69">YEAR(C1091)</f>
        <v>2018</v>
      </c>
      <c r="E1091" s="13">
        <f t="shared" ref="E1091:E1154" si="70">MONTH(C1091)</f>
        <v>10</v>
      </c>
      <c r="F1091" s="13">
        <f t="shared" ref="F1091:F1154" si="71">DAY(C1091)</f>
        <v>24</v>
      </c>
      <c r="G1091" s="4" t="s">
        <v>14</v>
      </c>
      <c r="H1091">
        <v>46.854900000000001</v>
      </c>
      <c r="I1091">
        <v>6.5456000000000003</v>
      </c>
      <c r="J1091" s="4" t="s">
        <v>15</v>
      </c>
      <c r="L1091" s="4" t="s">
        <v>1</v>
      </c>
      <c r="N1091" s="4" t="s">
        <v>17</v>
      </c>
      <c r="O1091" s="4" t="s">
        <v>29</v>
      </c>
    </row>
    <row r="1092" spans="1:15" x14ac:dyDescent="0.25">
      <c r="A1092">
        <f t="shared" si="68"/>
        <v>124242</v>
      </c>
      <c r="B1092" t="s">
        <v>453</v>
      </c>
      <c r="C1092" s="9">
        <v>43398</v>
      </c>
      <c r="D1092" s="13">
        <f t="shared" si="69"/>
        <v>2018</v>
      </c>
      <c r="E1092" s="13">
        <f t="shared" si="70"/>
        <v>10</v>
      </c>
      <c r="F1092" s="13">
        <f t="shared" si="71"/>
        <v>25</v>
      </c>
      <c r="G1092" s="4" t="s">
        <v>14</v>
      </c>
      <c r="H1092">
        <v>46.864699999999999</v>
      </c>
      <c r="I1092">
        <v>6.5311000000000003</v>
      </c>
      <c r="J1092" s="4" t="s">
        <v>15</v>
      </c>
      <c r="L1092" s="4" t="s">
        <v>1</v>
      </c>
      <c r="N1092" s="4" t="s">
        <v>17</v>
      </c>
      <c r="O1092" s="4" t="s">
        <v>19</v>
      </c>
    </row>
    <row r="1093" spans="1:15" x14ac:dyDescent="0.25">
      <c r="A1093">
        <f t="shared" si="68"/>
        <v>124243</v>
      </c>
      <c r="B1093" t="s">
        <v>454</v>
      </c>
      <c r="C1093" s="9">
        <v>43404</v>
      </c>
      <c r="D1093" s="13">
        <f t="shared" si="69"/>
        <v>2018</v>
      </c>
      <c r="E1093" s="13">
        <f t="shared" si="70"/>
        <v>10</v>
      </c>
      <c r="F1093" s="13">
        <f t="shared" si="71"/>
        <v>31</v>
      </c>
      <c r="G1093" s="4" t="s">
        <v>14</v>
      </c>
      <c r="H1093">
        <v>46.992800000000003</v>
      </c>
      <c r="I1093">
        <v>6.6971999999999996</v>
      </c>
      <c r="J1093" s="4" t="s">
        <v>15</v>
      </c>
      <c r="L1093" s="4" t="s">
        <v>1</v>
      </c>
      <c r="N1093" s="4" t="s">
        <v>17</v>
      </c>
      <c r="O1093" s="4" t="s">
        <v>29</v>
      </c>
    </row>
    <row r="1094" spans="1:15" x14ac:dyDescent="0.25">
      <c r="A1094">
        <f t="shared" si="68"/>
        <v>124244</v>
      </c>
      <c r="B1094" t="s">
        <v>455</v>
      </c>
      <c r="C1094" s="9">
        <v>43405</v>
      </c>
      <c r="D1094" s="13">
        <f t="shared" si="69"/>
        <v>2018</v>
      </c>
      <c r="E1094" s="13">
        <f t="shared" si="70"/>
        <v>11</v>
      </c>
      <c r="F1094" s="13">
        <f t="shared" si="71"/>
        <v>1</v>
      </c>
      <c r="G1094" s="4" t="s">
        <v>14</v>
      </c>
      <c r="H1094">
        <v>46.929699999999997</v>
      </c>
      <c r="I1094">
        <v>6.4603000000000002</v>
      </c>
      <c r="J1094" s="4" t="s">
        <v>15</v>
      </c>
      <c r="L1094" s="4" t="s">
        <v>1</v>
      </c>
      <c r="N1094" s="4" t="s">
        <v>17</v>
      </c>
      <c r="O1094" s="4" t="s">
        <v>19</v>
      </c>
    </row>
    <row r="1095" spans="1:15" x14ac:dyDescent="0.25">
      <c r="A1095">
        <f t="shared" si="68"/>
        <v>124245</v>
      </c>
      <c r="B1095" t="s">
        <v>456</v>
      </c>
      <c r="C1095" s="9">
        <v>43405</v>
      </c>
      <c r="D1095" s="13">
        <f t="shared" si="69"/>
        <v>2018</v>
      </c>
      <c r="E1095" s="13">
        <f t="shared" si="70"/>
        <v>11</v>
      </c>
      <c r="F1095" s="13">
        <f t="shared" si="71"/>
        <v>1</v>
      </c>
      <c r="G1095" s="4" t="s">
        <v>14</v>
      </c>
      <c r="H1095">
        <v>46.929699999999997</v>
      </c>
      <c r="I1095">
        <v>6.4603000000000002</v>
      </c>
      <c r="J1095" s="4" t="s">
        <v>15</v>
      </c>
      <c r="L1095" s="4" t="s">
        <v>1</v>
      </c>
      <c r="N1095" s="4" t="s">
        <v>16</v>
      </c>
      <c r="O1095" s="4" t="s">
        <v>184</v>
      </c>
    </row>
    <row r="1096" spans="1:15" x14ac:dyDescent="0.25">
      <c r="A1096">
        <f t="shared" si="68"/>
        <v>124245</v>
      </c>
      <c r="B1096" t="s">
        <v>456</v>
      </c>
      <c r="C1096" s="9">
        <v>43446</v>
      </c>
      <c r="D1096" s="13">
        <f t="shared" si="69"/>
        <v>2018</v>
      </c>
      <c r="E1096" s="13">
        <f t="shared" si="70"/>
        <v>12</v>
      </c>
      <c r="F1096" s="13">
        <f t="shared" si="71"/>
        <v>12</v>
      </c>
      <c r="G1096" s="4" t="s">
        <v>48</v>
      </c>
      <c r="H1096">
        <v>41.633299999999998</v>
      </c>
      <c r="I1096">
        <v>-0.88329999999999997</v>
      </c>
      <c r="J1096" s="4" t="s">
        <v>21</v>
      </c>
      <c r="K1096" s="4" t="s">
        <v>22</v>
      </c>
      <c r="L1096" s="4" t="s">
        <v>1</v>
      </c>
      <c r="N1096" s="4" t="s">
        <v>17</v>
      </c>
    </row>
    <row r="1097" spans="1:15" x14ac:dyDescent="0.25">
      <c r="A1097">
        <f t="shared" si="68"/>
        <v>124246</v>
      </c>
      <c r="B1097" t="s">
        <v>457</v>
      </c>
      <c r="C1097" s="9">
        <v>43405</v>
      </c>
      <c r="D1097" s="13">
        <f t="shared" si="69"/>
        <v>2018</v>
      </c>
      <c r="E1097" s="13">
        <f t="shared" si="70"/>
        <v>11</v>
      </c>
      <c r="F1097" s="13">
        <f t="shared" si="71"/>
        <v>1</v>
      </c>
      <c r="G1097" s="4" t="s">
        <v>14</v>
      </c>
      <c r="H1097">
        <v>46.929699999999997</v>
      </c>
      <c r="I1097">
        <v>6.4603000000000002</v>
      </c>
      <c r="J1097" s="4" t="s">
        <v>15</v>
      </c>
      <c r="L1097" s="4" t="s">
        <v>1</v>
      </c>
      <c r="N1097" s="4" t="s">
        <v>17</v>
      </c>
      <c r="O1097" s="4" t="s">
        <v>29</v>
      </c>
    </row>
    <row r="1098" spans="1:15" x14ac:dyDescent="0.25">
      <c r="A1098">
        <f t="shared" si="68"/>
        <v>124247</v>
      </c>
      <c r="B1098" t="s">
        <v>458</v>
      </c>
      <c r="C1098" s="9">
        <v>43405</v>
      </c>
      <c r="D1098" s="13">
        <f t="shared" si="69"/>
        <v>2018</v>
      </c>
      <c r="E1098" s="13">
        <f t="shared" si="70"/>
        <v>11</v>
      </c>
      <c r="F1098" s="13">
        <f t="shared" si="71"/>
        <v>1</v>
      </c>
      <c r="G1098" s="4" t="s">
        <v>14</v>
      </c>
      <c r="H1098">
        <v>46.928899999999999</v>
      </c>
      <c r="I1098">
        <v>6.4592000000000001</v>
      </c>
      <c r="J1098" s="4" t="s">
        <v>15</v>
      </c>
      <c r="L1098" s="4" t="s">
        <v>1</v>
      </c>
      <c r="N1098" s="4" t="s">
        <v>17</v>
      </c>
      <c r="O1098" s="4" t="s">
        <v>29</v>
      </c>
    </row>
    <row r="1099" spans="1:15" x14ac:dyDescent="0.25">
      <c r="A1099">
        <f t="shared" si="68"/>
        <v>124248</v>
      </c>
      <c r="B1099" t="s">
        <v>459</v>
      </c>
      <c r="C1099" s="9">
        <v>43405</v>
      </c>
      <c r="D1099" s="13">
        <f t="shared" si="69"/>
        <v>2018</v>
      </c>
      <c r="E1099" s="13">
        <f t="shared" si="70"/>
        <v>11</v>
      </c>
      <c r="F1099" s="13">
        <f t="shared" si="71"/>
        <v>1</v>
      </c>
      <c r="G1099" s="4" t="s">
        <v>14</v>
      </c>
      <c r="H1099">
        <v>46.928899999999999</v>
      </c>
      <c r="I1099">
        <v>6.4592000000000001</v>
      </c>
      <c r="J1099" s="4" t="s">
        <v>15</v>
      </c>
      <c r="L1099" s="4" t="s">
        <v>1</v>
      </c>
      <c r="N1099" s="4" t="s">
        <v>17</v>
      </c>
      <c r="O1099" s="4" t="s">
        <v>29</v>
      </c>
    </row>
    <row r="1100" spans="1:15" x14ac:dyDescent="0.25">
      <c r="A1100">
        <f t="shared" si="68"/>
        <v>124249</v>
      </c>
      <c r="B1100" t="s">
        <v>460</v>
      </c>
      <c r="C1100" s="9">
        <v>43405</v>
      </c>
      <c r="D1100" s="13">
        <f t="shared" si="69"/>
        <v>2018</v>
      </c>
      <c r="E1100" s="13">
        <f t="shared" si="70"/>
        <v>11</v>
      </c>
      <c r="F1100" s="13">
        <f t="shared" si="71"/>
        <v>1</v>
      </c>
      <c r="G1100" s="4" t="s">
        <v>14</v>
      </c>
      <c r="H1100">
        <v>46.928899999999999</v>
      </c>
      <c r="I1100">
        <v>6.4592000000000001</v>
      </c>
      <c r="J1100" s="4" t="s">
        <v>15</v>
      </c>
      <c r="L1100" s="4" t="s">
        <v>1</v>
      </c>
      <c r="N1100" s="4" t="s">
        <v>17</v>
      </c>
      <c r="O1100" s="4" t="s">
        <v>27</v>
      </c>
    </row>
    <row r="1101" spans="1:15" x14ac:dyDescent="0.25">
      <c r="A1101">
        <f t="shared" si="68"/>
        <v>124250</v>
      </c>
      <c r="B1101" t="s">
        <v>461</v>
      </c>
      <c r="C1101" s="9">
        <v>43405</v>
      </c>
      <c r="D1101" s="13">
        <f t="shared" si="69"/>
        <v>2018</v>
      </c>
      <c r="E1101" s="13">
        <f t="shared" si="70"/>
        <v>11</v>
      </c>
      <c r="F1101" s="13">
        <f t="shared" si="71"/>
        <v>1</v>
      </c>
      <c r="G1101" s="4" t="s">
        <v>14</v>
      </c>
      <c r="H1101">
        <v>46.928899999999999</v>
      </c>
      <c r="I1101">
        <v>6.4592000000000001</v>
      </c>
      <c r="J1101" s="4" t="s">
        <v>15</v>
      </c>
      <c r="L1101" s="4" t="s">
        <v>1</v>
      </c>
      <c r="N1101" s="4" t="s">
        <v>17</v>
      </c>
      <c r="O1101" s="4" t="s">
        <v>29</v>
      </c>
    </row>
    <row r="1102" spans="1:15" x14ac:dyDescent="0.25">
      <c r="A1102">
        <f t="shared" si="68"/>
        <v>125951</v>
      </c>
      <c r="B1102" t="s">
        <v>462</v>
      </c>
      <c r="C1102" s="9">
        <v>43405</v>
      </c>
      <c r="D1102" s="13">
        <f t="shared" si="69"/>
        <v>2018</v>
      </c>
      <c r="E1102" s="13">
        <f t="shared" si="70"/>
        <v>11</v>
      </c>
      <c r="F1102" s="13">
        <f t="shared" si="71"/>
        <v>1</v>
      </c>
      <c r="G1102" s="4" t="s">
        <v>14</v>
      </c>
      <c r="H1102">
        <v>46.928899999999999</v>
      </c>
      <c r="I1102">
        <v>6.4592000000000001</v>
      </c>
      <c r="J1102" s="4" t="s">
        <v>15</v>
      </c>
      <c r="L1102" s="4" t="s">
        <v>1</v>
      </c>
      <c r="N1102" s="4" t="s">
        <v>16</v>
      </c>
      <c r="O1102" s="4" t="s">
        <v>29</v>
      </c>
    </row>
    <row r="1103" spans="1:15" x14ac:dyDescent="0.25">
      <c r="A1103">
        <f t="shared" si="68"/>
        <v>125951</v>
      </c>
      <c r="B1103" t="s">
        <v>462</v>
      </c>
      <c r="C1103" s="9">
        <v>44670</v>
      </c>
      <c r="D1103" s="13">
        <f t="shared" si="69"/>
        <v>2022</v>
      </c>
      <c r="E1103" s="13">
        <f t="shared" si="70"/>
        <v>4</v>
      </c>
      <c r="F1103" s="13">
        <f t="shared" si="71"/>
        <v>19</v>
      </c>
      <c r="G1103" s="4" t="s">
        <v>333</v>
      </c>
      <c r="H1103">
        <v>54.883299999999998</v>
      </c>
      <c r="I1103">
        <v>56.65</v>
      </c>
      <c r="J1103" s="4" t="s">
        <v>21</v>
      </c>
      <c r="K1103" s="4" t="s">
        <v>22</v>
      </c>
      <c r="L1103" s="4" t="s">
        <v>1</v>
      </c>
      <c r="N1103" s="4" t="s">
        <v>17</v>
      </c>
    </row>
    <row r="1104" spans="1:15" x14ac:dyDescent="0.25">
      <c r="A1104">
        <f t="shared" ref="A1104:A1161" si="72">RIGHT(B1104,6)*1</f>
        <v>125952</v>
      </c>
      <c r="B1104" t="s">
        <v>463</v>
      </c>
      <c r="C1104" s="9">
        <v>43405</v>
      </c>
      <c r="D1104" s="13">
        <f t="shared" si="69"/>
        <v>2018</v>
      </c>
      <c r="E1104" s="13">
        <f t="shared" si="70"/>
        <v>11</v>
      </c>
      <c r="F1104" s="13">
        <f t="shared" si="71"/>
        <v>1</v>
      </c>
      <c r="G1104" s="4" t="s">
        <v>14</v>
      </c>
      <c r="H1104">
        <v>46.928899999999999</v>
      </c>
      <c r="I1104">
        <v>6.4592000000000001</v>
      </c>
      <c r="J1104" s="4" t="s">
        <v>15</v>
      </c>
      <c r="L1104" s="4" t="s">
        <v>1</v>
      </c>
      <c r="N1104" s="4" t="s">
        <v>17</v>
      </c>
      <c r="O1104" s="4" t="s">
        <v>29</v>
      </c>
    </row>
    <row r="1105" spans="1:15" x14ac:dyDescent="0.25">
      <c r="A1105">
        <f t="shared" si="72"/>
        <v>125953</v>
      </c>
      <c r="B1105" t="s">
        <v>464</v>
      </c>
      <c r="C1105" s="9">
        <v>43405</v>
      </c>
      <c r="D1105" s="13">
        <f t="shared" si="69"/>
        <v>2018</v>
      </c>
      <c r="E1105" s="13">
        <f t="shared" si="70"/>
        <v>11</v>
      </c>
      <c r="F1105" s="13">
        <f t="shared" si="71"/>
        <v>1</v>
      </c>
      <c r="G1105" s="4" t="s">
        <v>14</v>
      </c>
      <c r="H1105">
        <v>46.929699999999997</v>
      </c>
      <c r="I1105">
        <v>6.4603000000000002</v>
      </c>
      <c r="J1105" s="4" t="s">
        <v>15</v>
      </c>
      <c r="L1105" s="4" t="s">
        <v>1</v>
      </c>
      <c r="N1105" s="4" t="s">
        <v>17</v>
      </c>
      <c r="O1105" s="4" t="s">
        <v>29</v>
      </c>
    </row>
    <row r="1106" spans="1:15" x14ac:dyDescent="0.25">
      <c r="A1106">
        <f t="shared" si="72"/>
        <v>125954</v>
      </c>
      <c r="B1106" t="s">
        <v>465</v>
      </c>
      <c r="C1106" s="9">
        <v>43405</v>
      </c>
      <c r="D1106" s="13">
        <f t="shared" si="69"/>
        <v>2018</v>
      </c>
      <c r="E1106" s="13">
        <f t="shared" si="70"/>
        <v>11</v>
      </c>
      <c r="F1106" s="13">
        <f t="shared" si="71"/>
        <v>1</v>
      </c>
      <c r="G1106" s="4" t="s">
        <v>14</v>
      </c>
      <c r="H1106">
        <v>46.929699999999997</v>
      </c>
      <c r="I1106">
        <v>6.4603000000000002</v>
      </c>
      <c r="J1106" s="4" t="s">
        <v>15</v>
      </c>
      <c r="L1106" s="4" t="s">
        <v>1</v>
      </c>
      <c r="N1106" s="4" t="s">
        <v>17</v>
      </c>
      <c r="O1106" s="4" t="s">
        <v>29</v>
      </c>
    </row>
    <row r="1107" spans="1:15" x14ac:dyDescent="0.25">
      <c r="A1107">
        <f t="shared" si="72"/>
        <v>125955</v>
      </c>
      <c r="B1107" t="s">
        <v>466</v>
      </c>
      <c r="C1107" s="9">
        <v>43405</v>
      </c>
      <c r="D1107" s="13">
        <f t="shared" si="69"/>
        <v>2018</v>
      </c>
      <c r="E1107" s="13">
        <f t="shared" si="70"/>
        <v>11</v>
      </c>
      <c r="F1107" s="13">
        <f t="shared" si="71"/>
        <v>1</v>
      </c>
      <c r="G1107" s="4" t="s">
        <v>14</v>
      </c>
      <c r="H1107">
        <v>46.929699999999997</v>
      </c>
      <c r="I1107">
        <v>6.4603000000000002</v>
      </c>
      <c r="J1107" s="4" t="s">
        <v>15</v>
      </c>
      <c r="L1107" s="4" t="s">
        <v>1</v>
      </c>
      <c r="N1107" s="4" t="s">
        <v>17</v>
      </c>
      <c r="O1107" s="4" t="s">
        <v>184</v>
      </c>
    </row>
    <row r="1108" spans="1:15" x14ac:dyDescent="0.25">
      <c r="A1108">
        <f t="shared" si="72"/>
        <v>125956</v>
      </c>
      <c r="B1108" t="s">
        <v>467</v>
      </c>
      <c r="C1108" s="9">
        <v>43405</v>
      </c>
      <c r="D1108" s="13">
        <f t="shared" si="69"/>
        <v>2018</v>
      </c>
      <c r="E1108" s="13">
        <f t="shared" si="70"/>
        <v>11</v>
      </c>
      <c r="F1108" s="13">
        <f t="shared" si="71"/>
        <v>1</v>
      </c>
      <c r="G1108" s="4" t="s">
        <v>14</v>
      </c>
      <c r="H1108">
        <v>46.929699999999997</v>
      </c>
      <c r="I1108">
        <v>6.4603000000000002</v>
      </c>
      <c r="J1108" s="4" t="s">
        <v>15</v>
      </c>
      <c r="L1108" s="4" t="s">
        <v>1</v>
      </c>
      <c r="N1108" s="4" t="s">
        <v>17</v>
      </c>
      <c r="O1108" s="4" t="s">
        <v>29</v>
      </c>
    </row>
    <row r="1109" spans="1:15" x14ac:dyDescent="0.25">
      <c r="A1109">
        <f t="shared" si="72"/>
        <v>125957</v>
      </c>
      <c r="B1109" t="s">
        <v>468</v>
      </c>
      <c r="C1109" s="9">
        <v>43405</v>
      </c>
      <c r="D1109" s="13">
        <f t="shared" si="69"/>
        <v>2018</v>
      </c>
      <c r="E1109" s="13">
        <f t="shared" si="70"/>
        <v>11</v>
      </c>
      <c r="F1109" s="13">
        <f t="shared" si="71"/>
        <v>1</v>
      </c>
      <c r="G1109" s="4" t="s">
        <v>14</v>
      </c>
      <c r="H1109">
        <v>46.929699999999997</v>
      </c>
      <c r="I1109">
        <v>6.4603000000000002</v>
      </c>
      <c r="J1109" s="4" t="s">
        <v>15</v>
      </c>
      <c r="L1109" s="4" t="s">
        <v>1</v>
      </c>
      <c r="N1109" s="4" t="s">
        <v>17</v>
      </c>
      <c r="O1109" s="4" t="s">
        <v>29</v>
      </c>
    </row>
    <row r="1110" spans="1:15" x14ac:dyDescent="0.25">
      <c r="A1110">
        <f t="shared" si="72"/>
        <v>125958</v>
      </c>
      <c r="B1110" t="s">
        <v>469</v>
      </c>
      <c r="C1110" s="9">
        <v>43405</v>
      </c>
      <c r="D1110" s="13">
        <f t="shared" si="69"/>
        <v>2018</v>
      </c>
      <c r="E1110" s="13">
        <f t="shared" si="70"/>
        <v>11</v>
      </c>
      <c r="F1110" s="13">
        <f t="shared" si="71"/>
        <v>1</v>
      </c>
      <c r="G1110" s="4" t="s">
        <v>14</v>
      </c>
      <c r="H1110">
        <v>46.929699999999997</v>
      </c>
      <c r="I1110">
        <v>6.4603000000000002</v>
      </c>
      <c r="J1110" s="4" t="s">
        <v>15</v>
      </c>
      <c r="L1110" s="4" t="s">
        <v>1</v>
      </c>
      <c r="N1110" s="4" t="s">
        <v>17</v>
      </c>
      <c r="O1110" s="4" t="s">
        <v>29</v>
      </c>
    </row>
    <row r="1111" spans="1:15" x14ac:dyDescent="0.25">
      <c r="A1111">
        <f t="shared" si="72"/>
        <v>125959</v>
      </c>
      <c r="B1111" t="s">
        <v>470</v>
      </c>
      <c r="C1111" s="9">
        <v>43405</v>
      </c>
      <c r="D1111" s="13">
        <f t="shared" si="69"/>
        <v>2018</v>
      </c>
      <c r="E1111" s="13">
        <f t="shared" si="70"/>
        <v>11</v>
      </c>
      <c r="F1111" s="13">
        <f t="shared" si="71"/>
        <v>1</v>
      </c>
      <c r="G1111" s="4" t="s">
        <v>14</v>
      </c>
      <c r="H1111">
        <v>46.929699999999997</v>
      </c>
      <c r="I1111">
        <v>6.4603000000000002</v>
      </c>
      <c r="J1111" s="4" t="s">
        <v>15</v>
      </c>
      <c r="L1111" s="4" t="s">
        <v>1</v>
      </c>
      <c r="N1111" s="4" t="s">
        <v>17</v>
      </c>
      <c r="O1111" s="4" t="s">
        <v>19</v>
      </c>
    </row>
    <row r="1112" spans="1:15" x14ac:dyDescent="0.25">
      <c r="A1112">
        <f t="shared" si="72"/>
        <v>125960</v>
      </c>
      <c r="B1112" t="s">
        <v>471</v>
      </c>
      <c r="C1112" s="9">
        <v>43405</v>
      </c>
      <c r="D1112" s="13">
        <f t="shared" si="69"/>
        <v>2018</v>
      </c>
      <c r="E1112" s="13">
        <f t="shared" si="70"/>
        <v>11</v>
      </c>
      <c r="F1112" s="13">
        <f t="shared" si="71"/>
        <v>1</v>
      </c>
      <c r="G1112" s="4" t="s">
        <v>14</v>
      </c>
      <c r="H1112">
        <v>46.936900000000001</v>
      </c>
      <c r="I1112">
        <v>6.4641999999999999</v>
      </c>
      <c r="J1112" s="4" t="s">
        <v>15</v>
      </c>
      <c r="L1112" s="4" t="s">
        <v>1</v>
      </c>
      <c r="N1112" s="4" t="s">
        <v>17</v>
      </c>
      <c r="O1112" s="4" t="s">
        <v>29</v>
      </c>
    </row>
    <row r="1113" spans="1:15" x14ac:dyDescent="0.25">
      <c r="A1113">
        <f t="shared" si="72"/>
        <v>125961</v>
      </c>
      <c r="B1113" t="s">
        <v>472</v>
      </c>
      <c r="C1113" s="9">
        <v>43406</v>
      </c>
      <c r="D1113" s="13">
        <f t="shared" si="69"/>
        <v>2018</v>
      </c>
      <c r="E1113" s="13">
        <f t="shared" si="70"/>
        <v>11</v>
      </c>
      <c r="F1113" s="13">
        <f t="shared" si="71"/>
        <v>2</v>
      </c>
      <c r="G1113" s="4" t="s">
        <v>14</v>
      </c>
      <c r="H1113">
        <v>46.936900000000001</v>
      </c>
      <c r="I1113">
        <v>6.4641999999999999</v>
      </c>
      <c r="J1113" s="4" t="s">
        <v>15</v>
      </c>
      <c r="L1113" s="4" t="s">
        <v>1</v>
      </c>
      <c r="N1113" s="4" t="s">
        <v>17</v>
      </c>
      <c r="O1113" s="4" t="s">
        <v>29</v>
      </c>
    </row>
    <row r="1114" spans="1:15" x14ac:dyDescent="0.25">
      <c r="A1114">
        <f t="shared" si="72"/>
        <v>125962</v>
      </c>
      <c r="B1114" t="s">
        <v>473</v>
      </c>
      <c r="C1114" s="9">
        <v>43406</v>
      </c>
      <c r="D1114" s="13">
        <f t="shared" si="69"/>
        <v>2018</v>
      </c>
      <c r="E1114" s="13">
        <f t="shared" si="70"/>
        <v>11</v>
      </c>
      <c r="F1114" s="13">
        <f t="shared" si="71"/>
        <v>2</v>
      </c>
      <c r="G1114" s="4" t="s">
        <v>14</v>
      </c>
      <c r="H1114">
        <v>46.929699999999997</v>
      </c>
      <c r="I1114">
        <v>6.4603000000000002</v>
      </c>
      <c r="J1114" s="4" t="s">
        <v>15</v>
      </c>
      <c r="L1114" s="4" t="s">
        <v>1</v>
      </c>
      <c r="N1114" s="4" t="s">
        <v>16</v>
      </c>
      <c r="O1114" s="4" t="s">
        <v>29</v>
      </c>
    </row>
    <row r="1115" spans="1:15" x14ac:dyDescent="0.25">
      <c r="A1115">
        <f t="shared" si="72"/>
        <v>125962</v>
      </c>
      <c r="B1115" t="s">
        <v>473</v>
      </c>
      <c r="C1115" s="9">
        <v>43464</v>
      </c>
      <c r="D1115" s="13">
        <f t="shared" si="69"/>
        <v>2018</v>
      </c>
      <c r="E1115" s="13">
        <f t="shared" si="70"/>
        <v>12</v>
      </c>
      <c r="F1115" s="13">
        <f t="shared" si="71"/>
        <v>30</v>
      </c>
      <c r="G1115" s="4" t="s">
        <v>48</v>
      </c>
      <c r="H1115">
        <v>42.974200000000003</v>
      </c>
      <c r="I1115">
        <v>-3.2153</v>
      </c>
      <c r="J1115" s="4" t="s">
        <v>21</v>
      </c>
      <c r="K1115" s="4" t="s">
        <v>22</v>
      </c>
      <c r="L1115" s="4" t="s">
        <v>1</v>
      </c>
      <c r="N1115" s="4" t="s">
        <v>17</v>
      </c>
    </row>
    <row r="1116" spans="1:15" x14ac:dyDescent="0.25">
      <c r="A1116">
        <f t="shared" si="72"/>
        <v>125963</v>
      </c>
      <c r="B1116" t="s">
        <v>474</v>
      </c>
      <c r="C1116" s="9">
        <v>43406</v>
      </c>
      <c r="D1116" s="13">
        <f t="shared" si="69"/>
        <v>2018</v>
      </c>
      <c r="E1116" s="13">
        <f t="shared" si="70"/>
        <v>11</v>
      </c>
      <c r="F1116" s="13">
        <f t="shared" si="71"/>
        <v>2</v>
      </c>
      <c r="G1116" s="4" t="s">
        <v>14</v>
      </c>
      <c r="H1116">
        <v>46.929699999999997</v>
      </c>
      <c r="I1116">
        <v>6.4603000000000002</v>
      </c>
      <c r="J1116" s="4" t="s">
        <v>15</v>
      </c>
      <c r="L1116" s="4" t="s">
        <v>1</v>
      </c>
      <c r="N1116" s="4" t="s">
        <v>17</v>
      </c>
      <c r="O1116" s="4" t="s">
        <v>29</v>
      </c>
    </row>
    <row r="1117" spans="1:15" x14ac:dyDescent="0.25">
      <c r="A1117">
        <f t="shared" si="72"/>
        <v>125964</v>
      </c>
      <c r="B1117" t="s">
        <v>475</v>
      </c>
      <c r="C1117" s="9">
        <v>43406</v>
      </c>
      <c r="D1117" s="13">
        <f t="shared" si="69"/>
        <v>2018</v>
      </c>
      <c r="E1117" s="13">
        <f t="shared" si="70"/>
        <v>11</v>
      </c>
      <c r="F1117" s="13">
        <f t="shared" si="71"/>
        <v>2</v>
      </c>
      <c r="G1117" s="4" t="s">
        <v>14</v>
      </c>
      <c r="H1117">
        <v>46.929699999999997</v>
      </c>
      <c r="I1117">
        <v>6.4603000000000002</v>
      </c>
      <c r="J1117" s="4" t="s">
        <v>15</v>
      </c>
      <c r="L1117" s="4" t="s">
        <v>1</v>
      </c>
      <c r="N1117" s="4" t="s">
        <v>17</v>
      </c>
      <c r="O1117" s="4" t="s">
        <v>27</v>
      </c>
    </row>
    <row r="1118" spans="1:15" x14ac:dyDescent="0.25">
      <c r="A1118">
        <f t="shared" si="72"/>
        <v>125965</v>
      </c>
      <c r="B1118" t="s">
        <v>476</v>
      </c>
      <c r="C1118" s="9">
        <v>43406</v>
      </c>
      <c r="D1118" s="13">
        <f t="shared" si="69"/>
        <v>2018</v>
      </c>
      <c r="E1118" s="13">
        <f t="shared" si="70"/>
        <v>11</v>
      </c>
      <c r="F1118" s="13">
        <f t="shared" si="71"/>
        <v>2</v>
      </c>
      <c r="G1118" s="4" t="s">
        <v>14</v>
      </c>
      <c r="H1118">
        <v>46.934399999999997</v>
      </c>
      <c r="I1118">
        <v>6.5835999999999997</v>
      </c>
      <c r="J1118" s="4" t="s">
        <v>15</v>
      </c>
      <c r="L1118" s="4" t="s">
        <v>1</v>
      </c>
      <c r="N1118" s="4" t="s">
        <v>16</v>
      </c>
      <c r="O1118" s="4" t="s">
        <v>19</v>
      </c>
    </row>
    <row r="1119" spans="1:15" x14ac:dyDescent="0.25">
      <c r="A1119">
        <f t="shared" si="72"/>
        <v>125965</v>
      </c>
      <c r="B1119" t="s">
        <v>476</v>
      </c>
      <c r="C1119" s="9">
        <v>44310</v>
      </c>
      <c r="D1119" s="13">
        <f t="shared" si="69"/>
        <v>2021</v>
      </c>
      <c r="E1119" s="13">
        <f t="shared" si="70"/>
        <v>4</v>
      </c>
      <c r="F1119" s="13">
        <f t="shared" si="71"/>
        <v>24</v>
      </c>
      <c r="G1119" s="4" t="s">
        <v>333</v>
      </c>
      <c r="H1119">
        <v>53.7333</v>
      </c>
      <c r="I1119">
        <v>56.25</v>
      </c>
      <c r="J1119" s="4" t="s">
        <v>21</v>
      </c>
      <c r="K1119" s="4" t="s">
        <v>22</v>
      </c>
      <c r="L1119" s="4" t="s">
        <v>1</v>
      </c>
      <c r="N1119" s="4" t="s">
        <v>17</v>
      </c>
    </row>
    <row r="1120" spans="1:15" x14ac:dyDescent="0.25">
      <c r="A1120">
        <f t="shared" si="72"/>
        <v>125966</v>
      </c>
      <c r="B1120" t="s">
        <v>477</v>
      </c>
      <c r="C1120" s="9">
        <v>43406</v>
      </c>
      <c r="D1120" s="13">
        <f t="shared" si="69"/>
        <v>2018</v>
      </c>
      <c r="E1120" s="13">
        <f t="shared" si="70"/>
        <v>11</v>
      </c>
      <c r="F1120" s="13">
        <f t="shared" si="71"/>
        <v>2</v>
      </c>
      <c r="G1120" s="4" t="s">
        <v>14</v>
      </c>
      <c r="H1120">
        <v>46.934399999999997</v>
      </c>
      <c r="I1120">
        <v>6.5835999999999997</v>
      </c>
      <c r="J1120" s="4" t="s">
        <v>15</v>
      </c>
      <c r="L1120" s="4" t="s">
        <v>1</v>
      </c>
      <c r="N1120" s="4" t="s">
        <v>16</v>
      </c>
      <c r="O1120" s="4" t="s">
        <v>29</v>
      </c>
    </row>
    <row r="1121" spans="1:15" x14ac:dyDescent="0.25">
      <c r="A1121">
        <f t="shared" si="72"/>
        <v>125966</v>
      </c>
      <c r="B1121" t="s">
        <v>477</v>
      </c>
      <c r="C1121" s="9">
        <v>43485</v>
      </c>
      <c r="D1121" s="13">
        <f t="shared" si="69"/>
        <v>2019</v>
      </c>
      <c r="E1121" s="13">
        <f t="shared" si="70"/>
        <v>1</v>
      </c>
      <c r="F1121" s="13">
        <f t="shared" si="71"/>
        <v>20</v>
      </c>
      <c r="G1121" s="4" t="s">
        <v>48</v>
      </c>
      <c r="H1121">
        <v>40.166699999999999</v>
      </c>
      <c r="I1121">
        <v>-6.7167000000000003</v>
      </c>
      <c r="J1121" s="4" t="s">
        <v>21</v>
      </c>
      <c r="K1121" s="4" t="s">
        <v>22</v>
      </c>
      <c r="L1121" s="4" t="s">
        <v>1</v>
      </c>
      <c r="N1121" s="4" t="s">
        <v>17</v>
      </c>
    </row>
    <row r="1122" spans="1:15" x14ac:dyDescent="0.25">
      <c r="A1122">
        <f t="shared" si="72"/>
        <v>125967</v>
      </c>
      <c r="B1122" t="s">
        <v>478</v>
      </c>
      <c r="C1122" s="9">
        <v>43406</v>
      </c>
      <c r="D1122" s="13">
        <f t="shared" si="69"/>
        <v>2018</v>
      </c>
      <c r="E1122" s="13">
        <f t="shared" si="70"/>
        <v>11</v>
      </c>
      <c r="F1122" s="13">
        <f t="shared" si="71"/>
        <v>2</v>
      </c>
      <c r="G1122" s="4" t="s">
        <v>14</v>
      </c>
      <c r="H1122">
        <v>46.934399999999997</v>
      </c>
      <c r="I1122">
        <v>6.5835999999999997</v>
      </c>
      <c r="J1122" s="4" t="s">
        <v>15</v>
      </c>
      <c r="L1122" s="4" t="s">
        <v>1</v>
      </c>
      <c r="N1122" s="4" t="s">
        <v>16</v>
      </c>
      <c r="O1122" s="4" t="s">
        <v>29</v>
      </c>
    </row>
    <row r="1123" spans="1:15" x14ac:dyDescent="0.25">
      <c r="A1123">
        <f t="shared" si="72"/>
        <v>125967</v>
      </c>
      <c r="B1123" t="s">
        <v>478</v>
      </c>
      <c r="C1123" s="9">
        <v>43499</v>
      </c>
      <c r="D1123" s="13">
        <f t="shared" si="69"/>
        <v>2019</v>
      </c>
      <c r="E1123" s="13">
        <f t="shared" si="70"/>
        <v>2</v>
      </c>
      <c r="F1123" s="13">
        <f t="shared" si="71"/>
        <v>3</v>
      </c>
      <c r="G1123" s="4" t="s">
        <v>31</v>
      </c>
      <c r="H1123">
        <v>43.866700000000002</v>
      </c>
      <c r="I1123">
        <v>5.5167000000000002</v>
      </c>
      <c r="J1123" s="4" t="s">
        <v>21</v>
      </c>
      <c r="K1123" s="4" t="s">
        <v>22</v>
      </c>
      <c r="L1123" s="4" t="s">
        <v>1</v>
      </c>
      <c r="N1123" s="4" t="s">
        <v>17</v>
      </c>
    </row>
    <row r="1124" spans="1:15" x14ac:dyDescent="0.25">
      <c r="A1124">
        <f t="shared" si="72"/>
        <v>125968</v>
      </c>
      <c r="B1124" t="s">
        <v>479</v>
      </c>
      <c r="C1124" s="9">
        <v>43406</v>
      </c>
      <c r="D1124" s="13">
        <f t="shared" si="69"/>
        <v>2018</v>
      </c>
      <c r="E1124" s="13">
        <f t="shared" si="70"/>
        <v>11</v>
      </c>
      <c r="F1124" s="13">
        <f t="shared" si="71"/>
        <v>2</v>
      </c>
      <c r="G1124" s="4" t="s">
        <v>14</v>
      </c>
      <c r="H1124">
        <v>46.903599999999997</v>
      </c>
      <c r="I1124">
        <v>6.6722000000000001</v>
      </c>
      <c r="J1124" s="4" t="s">
        <v>15</v>
      </c>
      <c r="L1124" s="4" t="s">
        <v>1</v>
      </c>
      <c r="N1124" s="4" t="s">
        <v>17</v>
      </c>
      <c r="O1124" s="4" t="s">
        <v>29</v>
      </c>
    </row>
    <row r="1125" spans="1:15" x14ac:dyDescent="0.25">
      <c r="A1125">
        <f t="shared" si="72"/>
        <v>125969</v>
      </c>
      <c r="B1125" t="s">
        <v>480</v>
      </c>
      <c r="C1125" s="9">
        <v>43406</v>
      </c>
      <c r="D1125" s="13">
        <f t="shared" si="69"/>
        <v>2018</v>
      </c>
      <c r="E1125" s="13">
        <f t="shared" si="70"/>
        <v>11</v>
      </c>
      <c r="F1125" s="13">
        <f t="shared" si="71"/>
        <v>2</v>
      </c>
      <c r="G1125" s="4" t="s">
        <v>14</v>
      </c>
      <c r="H1125">
        <v>46.91</v>
      </c>
      <c r="I1125">
        <v>6.6863999999999999</v>
      </c>
      <c r="J1125" s="4" t="s">
        <v>15</v>
      </c>
      <c r="L1125" s="4" t="s">
        <v>1</v>
      </c>
      <c r="N1125" s="4" t="s">
        <v>17</v>
      </c>
      <c r="O1125" s="4" t="s">
        <v>19</v>
      </c>
    </row>
    <row r="1126" spans="1:15" x14ac:dyDescent="0.25">
      <c r="A1126">
        <f t="shared" si="72"/>
        <v>125970</v>
      </c>
      <c r="B1126" t="s">
        <v>481</v>
      </c>
      <c r="C1126" s="9">
        <v>43406</v>
      </c>
      <c r="D1126" s="13">
        <f t="shared" si="69"/>
        <v>2018</v>
      </c>
      <c r="E1126" s="13">
        <f t="shared" si="70"/>
        <v>11</v>
      </c>
      <c r="F1126" s="13">
        <f t="shared" si="71"/>
        <v>2</v>
      </c>
      <c r="G1126" s="4" t="s">
        <v>14</v>
      </c>
      <c r="H1126">
        <v>46.903599999999997</v>
      </c>
      <c r="I1126">
        <v>6.6722000000000001</v>
      </c>
      <c r="J1126" s="4" t="s">
        <v>15</v>
      </c>
      <c r="L1126" s="4" t="s">
        <v>1</v>
      </c>
      <c r="N1126" s="4" t="s">
        <v>17</v>
      </c>
      <c r="O1126" s="4" t="s">
        <v>19</v>
      </c>
    </row>
    <row r="1127" spans="1:15" x14ac:dyDescent="0.25">
      <c r="A1127">
        <f t="shared" si="72"/>
        <v>125971</v>
      </c>
      <c r="B1127" t="s">
        <v>482</v>
      </c>
      <c r="C1127" s="9">
        <v>43406</v>
      </c>
      <c r="D1127" s="13">
        <f t="shared" si="69"/>
        <v>2018</v>
      </c>
      <c r="E1127" s="13">
        <f t="shared" si="70"/>
        <v>11</v>
      </c>
      <c r="F1127" s="13">
        <f t="shared" si="71"/>
        <v>2</v>
      </c>
      <c r="G1127" s="4" t="s">
        <v>14</v>
      </c>
      <c r="H1127">
        <v>46.923299999999998</v>
      </c>
      <c r="I1127">
        <v>6.4356</v>
      </c>
      <c r="J1127" s="4" t="s">
        <v>15</v>
      </c>
      <c r="L1127" s="4" t="s">
        <v>1</v>
      </c>
      <c r="N1127" s="4" t="s">
        <v>17</v>
      </c>
      <c r="O1127" s="4" t="s">
        <v>27</v>
      </c>
    </row>
    <row r="1128" spans="1:15" x14ac:dyDescent="0.25">
      <c r="A1128">
        <f t="shared" si="72"/>
        <v>125972</v>
      </c>
      <c r="B1128" t="s">
        <v>483</v>
      </c>
      <c r="C1128" s="9">
        <v>43406</v>
      </c>
      <c r="D1128" s="13">
        <f t="shared" si="69"/>
        <v>2018</v>
      </c>
      <c r="E1128" s="13">
        <f t="shared" si="70"/>
        <v>11</v>
      </c>
      <c r="F1128" s="13">
        <f t="shared" si="71"/>
        <v>2</v>
      </c>
      <c r="G1128" s="4" t="s">
        <v>14</v>
      </c>
      <c r="H1128">
        <v>46.903599999999997</v>
      </c>
      <c r="I1128">
        <v>6.6722000000000001</v>
      </c>
      <c r="J1128" s="4" t="s">
        <v>15</v>
      </c>
      <c r="L1128" s="4" t="s">
        <v>1</v>
      </c>
      <c r="N1128" s="4" t="s">
        <v>17</v>
      </c>
      <c r="O1128" s="4" t="s">
        <v>29</v>
      </c>
    </row>
    <row r="1129" spans="1:15" x14ac:dyDescent="0.25">
      <c r="A1129">
        <f t="shared" si="72"/>
        <v>125973</v>
      </c>
      <c r="B1129" t="s">
        <v>484</v>
      </c>
      <c r="C1129" s="9">
        <v>43406</v>
      </c>
      <c r="D1129" s="13">
        <f t="shared" si="69"/>
        <v>2018</v>
      </c>
      <c r="E1129" s="13">
        <f t="shared" si="70"/>
        <v>11</v>
      </c>
      <c r="F1129" s="13">
        <f t="shared" si="71"/>
        <v>2</v>
      </c>
      <c r="G1129" s="4" t="s">
        <v>14</v>
      </c>
      <c r="H1129">
        <v>46.91</v>
      </c>
      <c r="I1129">
        <v>6.6863999999999999</v>
      </c>
      <c r="J1129" s="4" t="s">
        <v>15</v>
      </c>
      <c r="L1129" s="4" t="s">
        <v>1</v>
      </c>
      <c r="N1129" s="4" t="s">
        <v>17</v>
      </c>
      <c r="O1129" s="4" t="s">
        <v>29</v>
      </c>
    </row>
    <row r="1130" spans="1:15" x14ac:dyDescent="0.25">
      <c r="A1130">
        <f t="shared" si="72"/>
        <v>125974</v>
      </c>
      <c r="B1130" t="s">
        <v>485</v>
      </c>
      <c r="C1130" s="9">
        <v>43406</v>
      </c>
      <c r="D1130" s="13">
        <f t="shared" si="69"/>
        <v>2018</v>
      </c>
      <c r="E1130" s="13">
        <f t="shared" si="70"/>
        <v>11</v>
      </c>
      <c r="F1130" s="13">
        <f t="shared" si="71"/>
        <v>2</v>
      </c>
      <c r="G1130" s="4" t="s">
        <v>14</v>
      </c>
      <c r="H1130">
        <v>46.979100000000003</v>
      </c>
      <c r="I1130">
        <v>6.6723999999999997</v>
      </c>
      <c r="J1130" s="4" t="s">
        <v>15</v>
      </c>
      <c r="L1130" s="4" t="s">
        <v>1</v>
      </c>
      <c r="N1130" s="4" t="s">
        <v>17</v>
      </c>
      <c r="O1130" s="4" t="s">
        <v>184</v>
      </c>
    </row>
    <row r="1131" spans="1:15" x14ac:dyDescent="0.25">
      <c r="A1131">
        <f t="shared" si="72"/>
        <v>125975</v>
      </c>
      <c r="B1131" t="s">
        <v>486</v>
      </c>
      <c r="C1131" s="9">
        <v>43407</v>
      </c>
      <c r="D1131" s="13">
        <f t="shared" si="69"/>
        <v>2018</v>
      </c>
      <c r="E1131" s="13">
        <f t="shared" si="70"/>
        <v>11</v>
      </c>
      <c r="F1131" s="13">
        <f t="shared" si="71"/>
        <v>3</v>
      </c>
      <c r="G1131" s="4" t="s">
        <v>14</v>
      </c>
      <c r="H1131">
        <v>46.979100000000003</v>
      </c>
      <c r="I1131">
        <v>6.6723999999999997</v>
      </c>
      <c r="J1131" s="4" t="s">
        <v>15</v>
      </c>
      <c r="L1131" s="4" t="s">
        <v>1</v>
      </c>
      <c r="N1131" s="4" t="s">
        <v>17</v>
      </c>
      <c r="O1131" s="4" t="s">
        <v>29</v>
      </c>
    </row>
    <row r="1132" spans="1:15" x14ac:dyDescent="0.25">
      <c r="A1132">
        <f t="shared" si="72"/>
        <v>125976</v>
      </c>
      <c r="B1132" t="s">
        <v>487</v>
      </c>
      <c r="C1132" s="9">
        <v>43408</v>
      </c>
      <c r="D1132" s="13">
        <f t="shared" si="69"/>
        <v>2018</v>
      </c>
      <c r="E1132" s="13">
        <f t="shared" si="70"/>
        <v>11</v>
      </c>
      <c r="F1132" s="13">
        <f t="shared" si="71"/>
        <v>4</v>
      </c>
      <c r="G1132" s="4" t="s">
        <v>14</v>
      </c>
      <c r="H1132">
        <v>46.860500000000002</v>
      </c>
      <c r="I1132">
        <v>6.5678000000000001</v>
      </c>
      <c r="J1132" s="4" t="s">
        <v>15</v>
      </c>
      <c r="L1132" s="4" t="s">
        <v>1</v>
      </c>
      <c r="N1132" s="4" t="s">
        <v>17</v>
      </c>
      <c r="O1132" s="4" t="s">
        <v>29</v>
      </c>
    </row>
    <row r="1133" spans="1:15" x14ac:dyDescent="0.25">
      <c r="A1133">
        <f t="shared" si="72"/>
        <v>125977</v>
      </c>
      <c r="B1133" t="s">
        <v>488</v>
      </c>
      <c r="C1133" s="9">
        <v>43408</v>
      </c>
      <c r="D1133" s="13">
        <f t="shared" si="69"/>
        <v>2018</v>
      </c>
      <c r="E1133" s="13">
        <f t="shared" si="70"/>
        <v>11</v>
      </c>
      <c r="F1133" s="13">
        <f t="shared" si="71"/>
        <v>4</v>
      </c>
      <c r="G1133" s="4" t="s">
        <v>14</v>
      </c>
      <c r="H1133">
        <v>46.864100000000001</v>
      </c>
      <c r="I1133">
        <v>6.5716999999999999</v>
      </c>
      <c r="J1133" s="4" t="s">
        <v>15</v>
      </c>
      <c r="L1133" s="4" t="s">
        <v>1</v>
      </c>
      <c r="N1133" s="4" t="s">
        <v>17</v>
      </c>
      <c r="O1133" s="4" t="s">
        <v>29</v>
      </c>
    </row>
    <row r="1134" spans="1:15" x14ac:dyDescent="0.25">
      <c r="A1134">
        <f t="shared" si="72"/>
        <v>125978</v>
      </c>
      <c r="B1134" t="s">
        <v>489</v>
      </c>
      <c r="C1134" s="9">
        <v>43408</v>
      </c>
      <c r="D1134" s="13">
        <f t="shared" si="69"/>
        <v>2018</v>
      </c>
      <c r="E1134" s="13">
        <f t="shared" si="70"/>
        <v>11</v>
      </c>
      <c r="F1134" s="13">
        <f t="shared" si="71"/>
        <v>4</v>
      </c>
      <c r="G1134" s="4" t="s">
        <v>14</v>
      </c>
      <c r="H1134">
        <v>46.864100000000001</v>
      </c>
      <c r="I1134">
        <v>6.5716999999999999</v>
      </c>
      <c r="J1134" s="4" t="s">
        <v>15</v>
      </c>
      <c r="L1134" s="4" t="s">
        <v>1</v>
      </c>
      <c r="N1134" s="4" t="s">
        <v>17</v>
      </c>
      <c r="O1134" s="4" t="s">
        <v>19</v>
      </c>
    </row>
    <row r="1135" spans="1:15" x14ac:dyDescent="0.25">
      <c r="A1135">
        <f t="shared" si="72"/>
        <v>125979</v>
      </c>
      <c r="B1135" t="s">
        <v>490</v>
      </c>
      <c r="C1135" s="9">
        <v>43408</v>
      </c>
      <c r="D1135" s="13">
        <f t="shared" si="69"/>
        <v>2018</v>
      </c>
      <c r="E1135" s="13">
        <f t="shared" si="70"/>
        <v>11</v>
      </c>
      <c r="F1135" s="13">
        <f t="shared" si="71"/>
        <v>4</v>
      </c>
      <c r="G1135" s="4" t="s">
        <v>14</v>
      </c>
      <c r="H1135">
        <v>46.864100000000001</v>
      </c>
      <c r="I1135">
        <v>6.5716999999999999</v>
      </c>
      <c r="J1135" s="4" t="s">
        <v>15</v>
      </c>
      <c r="L1135" s="4" t="s">
        <v>1</v>
      </c>
      <c r="N1135" s="4" t="s">
        <v>17</v>
      </c>
      <c r="O1135" s="4" t="s">
        <v>29</v>
      </c>
    </row>
    <row r="1136" spans="1:15" x14ac:dyDescent="0.25">
      <c r="A1136">
        <f t="shared" si="72"/>
        <v>125980</v>
      </c>
      <c r="B1136" t="s">
        <v>491</v>
      </c>
      <c r="C1136" s="9">
        <v>43408</v>
      </c>
      <c r="D1136" s="13">
        <f t="shared" si="69"/>
        <v>2018</v>
      </c>
      <c r="E1136" s="13">
        <f t="shared" si="70"/>
        <v>11</v>
      </c>
      <c r="F1136" s="13">
        <f t="shared" si="71"/>
        <v>4</v>
      </c>
      <c r="G1136" s="4" t="s">
        <v>14</v>
      </c>
      <c r="H1136">
        <v>46.864100000000001</v>
      </c>
      <c r="I1136">
        <v>6.5716999999999999</v>
      </c>
      <c r="J1136" s="4" t="s">
        <v>15</v>
      </c>
      <c r="L1136" s="4" t="s">
        <v>1</v>
      </c>
      <c r="N1136" s="4" t="s">
        <v>17</v>
      </c>
      <c r="O1136" s="4" t="s">
        <v>29</v>
      </c>
    </row>
    <row r="1137" spans="1:15" x14ac:dyDescent="0.25">
      <c r="A1137">
        <f t="shared" si="72"/>
        <v>125981</v>
      </c>
      <c r="B1137" t="s">
        <v>492</v>
      </c>
      <c r="C1137" s="9">
        <v>43408</v>
      </c>
      <c r="D1137" s="13">
        <f t="shared" si="69"/>
        <v>2018</v>
      </c>
      <c r="E1137" s="13">
        <f t="shared" si="70"/>
        <v>11</v>
      </c>
      <c r="F1137" s="13">
        <f t="shared" si="71"/>
        <v>4</v>
      </c>
      <c r="G1137" s="4" t="s">
        <v>14</v>
      </c>
      <c r="H1137">
        <v>46.860500000000002</v>
      </c>
      <c r="I1137">
        <v>6.5678000000000001</v>
      </c>
      <c r="J1137" s="4" t="s">
        <v>15</v>
      </c>
      <c r="L1137" s="4" t="s">
        <v>1</v>
      </c>
      <c r="N1137" s="4" t="s">
        <v>17</v>
      </c>
      <c r="O1137" s="4" t="s">
        <v>29</v>
      </c>
    </row>
    <row r="1138" spans="1:15" x14ac:dyDescent="0.25">
      <c r="A1138">
        <f t="shared" si="72"/>
        <v>125982</v>
      </c>
      <c r="B1138" t="s">
        <v>493</v>
      </c>
      <c r="C1138" s="9">
        <v>43408</v>
      </c>
      <c r="D1138" s="13">
        <f t="shared" si="69"/>
        <v>2018</v>
      </c>
      <c r="E1138" s="13">
        <f t="shared" si="70"/>
        <v>11</v>
      </c>
      <c r="F1138" s="13">
        <f t="shared" si="71"/>
        <v>4</v>
      </c>
      <c r="G1138" s="4" t="s">
        <v>14</v>
      </c>
      <c r="H1138">
        <v>46.854900000000001</v>
      </c>
      <c r="I1138">
        <v>6.5456000000000003</v>
      </c>
      <c r="J1138" s="4" t="s">
        <v>15</v>
      </c>
      <c r="L1138" s="4" t="s">
        <v>1</v>
      </c>
      <c r="N1138" s="4" t="s">
        <v>17</v>
      </c>
      <c r="O1138" s="4" t="s">
        <v>29</v>
      </c>
    </row>
    <row r="1139" spans="1:15" x14ac:dyDescent="0.25">
      <c r="A1139">
        <f t="shared" si="72"/>
        <v>125983</v>
      </c>
      <c r="B1139" t="s">
        <v>494</v>
      </c>
      <c r="C1139" s="9">
        <v>43409</v>
      </c>
      <c r="D1139" s="13">
        <f t="shared" si="69"/>
        <v>2018</v>
      </c>
      <c r="E1139" s="13">
        <f t="shared" si="70"/>
        <v>11</v>
      </c>
      <c r="F1139" s="13">
        <f t="shared" si="71"/>
        <v>5</v>
      </c>
      <c r="G1139" s="4" t="s">
        <v>14</v>
      </c>
      <c r="H1139">
        <v>46.854900000000001</v>
      </c>
      <c r="I1139">
        <v>6.5456000000000003</v>
      </c>
      <c r="J1139" s="4" t="s">
        <v>15</v>
      </c>
      <c r="L1139" s="4" t="s">
        <v>1</v>
      </c>
      <c r="N1139" s="4" t="s">
        <v>17</v>
      </c>
      <c r="O1139" s="4" t="s">
        <v>29</v>
      </c>
    </row>
    <row r="1140" spans="1:15" x14ac:dyDescent="0.25">
      <c r="A1140">
        <f t="shared" si="72"/>
        <v>125984</v>
      </c>
      <c r="B1140" t="s">
        <v>495</v>
      </c>
      <c r="C1140" s="9">
        <v>43409</v>
      </c>
      <c r="D1140" s="13">
        <f t="shared" si="69"/>
        <v>2018</v>
      </c>
      <c r="E1140" s="13">
        <f t="shared" si="70"/>
        <v>11</v>
      </c>
      <c r="F1140" s="13">
        <f t="shared" si="71"/>
        <v>5</v>
      </c>
      <c r="G1140" s="4" t="s">
        <v>14</v>
      </c>
      <c r="H1140">
        <v>46.854900000000001</v>
      </c>
      <c r="I1140">
        <v>6.5456000000000003</v>
      </c>
      <c r="J1140" s="4" t="s">
        <v>15</v>
      </c>
      <c r="L1140" s="4" t="s">
        <v>1</v>
      </c>
      <c r="N1140" s="4" t="s">
        <v>17</v>
      </c>
      <c r="O1140" s="4" t="s">
        <v>184</v>
      </c>
    </row>
    <row r="1141" spans="1:15" x14ac:dyDescent="0.25">
      <c r="A1141">
        <f t="shared" si="72"/>
        <v>125985</v>
      </c>
      <c r="B1141" t="s">
        <v>496</v>
      </c>
      <c r="C1141" s="9">
        <v>43409</v>
      </c>
      <c r="D1141" s="13">
        <f t="shared" si="69"/>
        <v>2018</v>
      </c>
      <c r="E1141" s="13">
        <f t="shared" si="70"/>
        <v>11</v>
      </c>
      <c r="F1141" s="13">
        <f t="shared" si="71"/>
        <v>5</v>
      </c>
      <c r="G1141" s="4" t="s">
        <v>14</v>
      </c>
      <c r="H1141">
        <v>46.854900000000001</v>
      </c>
      <c r="I1141">
        <v>6.5456000000000003</v>
      </c>
      <c r="J1141" s="4" t="s">
        <v>15</v>
      </c>
      <c r="L1141" s="4" t="s">
        <v>1</v>
      </c>
      <c r="N1141" s="4" t="s">
        <v>16</v>
      </c>
      <c r="O1141" s="4" t="s">
        <v>184</v>
      </c>
    </row>
    <row r="1142" spans="1:15" x14ac:dyDescent="0.25">
      <c r="A1142">
        <f t="shared" si="72"/>
        <v>125985</v>
      </c>
      <c r="B1142" t="s">
        <v>496</v>
      </c>
      <c r="C1142" s="9">
        <v>43418</v>
      </c>
      <c r="D1142" s="13">
        <f t="shared" si="69"/>
        <v>2018</v>
      </c>
      <c r="E1142" s="13">
        <f t="shared" si="70"/>
        <v>11</v>
      </c>
      <c r="F1142" s="13">
        <f t="shared" si="71"/>
        <v>14</v>
      </c>
      <c r="G1142" s="4" t="s">
        <v>31</v>
      </c>
      <c r="H1142">
        <v>44.866700000000002</v>
      </c>
      <c r="I1142">
        <v>3.3833000000000002</v>
      </c>
      <c r="J1142" s="4" t="s">
        <v>21</v>
      </c>
      <c r="K1142" s="4" t="s">
        <v>22</v>
      </c>
      <c r="L1142" s="4" t="s">
        <v>1</v>
      </c>
      <c r="N1142" s="4" t="s">
        <v>17</v>
      </c>
    </row>
    <row r="1143" spans="1:15" x14ac:dyDescent="0.25">
      <c r="A1143">
        <f t="shared" si="72"/>
        <v>125986</v>
      </c>
      <c r="B1143" t="s">
        <v>497</v>
      </c>
      <c r="C1143" s="9">
        <v>43409</v>
      </c>
      <c r="D1143" s="13">
        <f t="shared" si="69"/>
        <v>2018</v>
      </c>
      <c r="E1143" s="13">
        <f t="shared" si="70"/>
        <v>11</v>
      </c>
      <c r="F1143" s="13">
        <f t="shared" si="71"/>
        <v>5</v>
      </c>
      <c r="G1143" s="4" t="s">
        <v>14</v>
      </c>
      <c r="H1143">
        <v>46.928100000000001</v>
      </c>
      <c r="I1143">
        <v>6.7217000000000002</v>
      </c>
      <c r="J1143" s="4" t="s">
        <v>15</v>
      </c>
      <c r="L1143" s="4" t="s">
        <v>1</v>
      </c>
      <c r="N1143" s="4" t="s">
        <v>17</v>
      </c>
      <c r="O1143" s="4" t="s">
        <v>29</v>
      </c>
    </row>
    <row r="1144" spans="1:15" x14ac:dyDescent="0.25">
      <c r="A1144">
        <f t="shared" si="72"/>
        <v>125987</v>
      </c>
      <c r="B1144" t="s">
        <v>498</v>
      </c>
      <c r="C1144" s="9">
        <v>43410</v>
      </c>
      <c r="D1144" s="13">
        <f t="shared" si="69"/>
        <v>2018</v>
      </c>
      <c r="E1144" s="13">
        <f t="shared" si="70"/>
        <v>11</v>
      </c>
      <c r="F1144" s="13">
        <f t="shared" si="71"/>
        <v>6</v>
      </c>
      <c r="G1144" s="4" t="s">
        <v>14</v>
      </c>
      <c r="H1144">
        <v>46.928100000000001</v>
      </c>
      <c r="I1144">
        <v>6.7217000000000002</v>
      </c>
      <c r="J1144" s="4" t="s">
        <v>15</v>
      </c>
      <c r="L1144" s="4" t="s">
        <v>1</v>
      </c>
      <c r="N1144" s="4" t="s">
        <v>16</v>
      </c>
      <c r="O1144" s="4" t="s">
        <v>29</v>
      </c>
    </row>
    <row r="1145" spans="1:15" x14ac:dyDescent="0.25">
      <c r="A1145">
        <f t="shared" si="72"/>
        <v>125987</v>
      </c>
      <c r="B1145" t="s">
        <v>498</v>
      </c>
      <c r="C1145" s="9">
        <v>43496</v>
      </c>
      <c r="D1145" s="13">
        <f t="shared" si="69"/>
        <v>2019</v>
      </c>
      <c r="E1145" s="13">
        <f t="shared" si="70"/>
        <v>1</v>
      </c>
      <c r="F1145" s="13">
        <f t="shared" si="71"/>
        <v>31</v>
      </c>
      <c r="G1145" s="4" t="s">
        <v>31</v>
      </c>
      <c r="H1145">
        <v>47.479399999999998</v>
      </c>
      <c r="I1145">
        <v>5.5064000000000002</v>
      </c>
      <c r="J1145" s="4" t="s">
        <v>21</v>
      </c>
      <c r="K1145" s="4" t="s">
        <v>22</v>
      </c>
      <c r="L1145" s="4" t="s">
        <v>1</v>
      </c>
      <c r="N1145" s="4" t="s">
        <v>17</v>
      </c>
    </row>
    <row r="1146" spans="1:15" x14ac:dyDescent="0.25">
      <c r="A1146">
        <f t="shared" si="72"/>
        <v>125988</v>
      </c>
      <c r="B1146" t="s">
        <v>499</v>
      </c>
      <c r="C1146" s="9">
        <v>43410</v>
      </c>
      <c r="D1146" s="13">
        <f t="shared" si="69"/>
        <v>2018</v>
      </c>
      <c r="E1146" s="13">
        <f t="shared" si="70"/>
        <v>11</v>
      </c>
      <c r="F1146" s="13">
        <f t="shared" si="71"/>
        <v>6</v>
      </c>
      <c r="G1146" s="4" t="s">
        <v>14</v>
      </c>
      <c r="H1146">
        <v>46.911099999999998</v>
      </c>
      <c r="I1146">
        <v>6.5998000000000001</v>
      </c>
      <c r="J1146" s="4" t="s">
        <v>15</v>
      </c>
      <c r="L1146" s="4" t="s">
        <v>1</v>
      </c>
      <c r="N1146" s="4" t="s">
        <v>17</v>
      </c>
      <c r="O1146" s="4" t="s">
        <v>19</v>
      </c>
    </row>
    <row r="1147" spans="1:15" x14ac:dyDescent="0.25">
      <c r="A1147">
        <f t="shared" si="72"/>
        <v>125989</v>
      </c>
      <c r="B1147" t="s">
        <v>500</v>
      </c>
      <c r="C1147" s="9">
        <v>43410</v>
      </c>
      <c r="D1147" s="13">
        <f t="shared" si="69"/>
        <v>2018</v>
      </c>
      <c r="E1147" s="13">
        <f t="shared" si="70"/>
        <v>11</v>
      </c>
      <c r="F1147" s="13">
        <f t="shared" si="71"/>
        <v>6</v>
      </c>
      <c r="G1147" s="4" t="s">
        <v>14</v>
      </c>
      <c r="H1147">
        <v>46.928899999999999</v>
      </c>
      <c r="I1147">
        <v>6.4592000000000001</v>
      </c>
      <c r="J1147" s="4" t="s">
        <v>15</v>
      </c>
      <c r="L1147" s="4" t="s">
        <v>1</v>
      </c>
      <c r="N1147" s="4" t="s">
        <v>17</v>
      </c>
      <c r="O1147" s="4" t="s">
        <v>184</v>
      </c>
    </row>
    <row r="1148" spans="1:15" x14ac:dyDescent="0.25">
      <c r="A1148">
        <f t="shared" si="72"/>
        <v>125990</v>
      </c>
      <c r="B1148" t="s">
        <v>501</v>
      </c>
      <c r="C1148" s="9">
        <v>43410</v>
      </c>
      <c r="D1148" s="13">
        <f t="shared" si="69"/>
        <v>2018</v>
      </c>
      <c r="E1148" s="13">
        <f t="shared" si="70"/>
        <v>11</v>
      </c>
      <c r="F1148" s="13">
        <f t="shared" si="71"/>
        <v>6</v>
      </c>
      <c r="G1148" s="4" t="s">
        <v>14</v>
      </c>
      <c r="H1148">
        <v>46.928899999999999</v>
      </c>
      <c r="I1148">
        <v>6.4592000000000001</v>
      </c>
      <c r="J1148" s="4" t="s">
        <v>15</v>
      </c>
      <c r="L1148" s="4" t="s">
        <v>1</v>
      </c>
      <c r="N1148" s="4" t="s">
        <v>17</v>
      </c>
      <c r="O1148" s="4" t="s">
        <v>29</v>
      </c>
    </row>
    <row r="1149" spans="1:15" x14ac:dyDescent="0.25">
      <c r="A1149">
        <f t="shared" si="72"/>
        <v>125991</v>
      </c>
      <c r="B1149" t="s">
        <v>502</v>
      </c>
      <c r="C1149" s="9">
        <v>43410</v>
      </c>
      <c r="D1149" s="13">
        <f t="shared" si="69"/>
        <v>2018</v>
      </c>
      <c r="E1149" s="13">
        <f t="shared" si="70"/>
        <v>11</v>
      </c>
      <c r="F1149" s="13">
        <f t="shared" si="71"/>
        <v>6</v>
      </c>
      <c r="G1149" s="4" t="s">
        <v>14</v>
      </c>
      <c r="H1149">
        <v>46.929699999999997</v>
      </c>
      <c r="I1149">
        <v>6.4603000000000002</v>
      </c>
      <c r="J1149" s="4" t="s">
        <v>15</v>
      </c>
      <c r="L1149" s="4" t="s">
        <v>1</v>
      </c>
      <c r="N1149" s="4" t="s">
        <v>16</v>
      </c>
      <c r="O1149" s="4" t="s">
        <v>29</v>
      </c>
    </row>
    <row r="1150" spans="1:15" x14ac:dyDescent="0.25">
      <c r="A1150">
        <f t="shared" si="72"/>
        <v>125991</v>
      </c>
      <c r="B1150" t="s">
        <v>502</v>
      </c>
      <c r="C1150" s="9">
        <v>43429</v>
      </c>
      <c r="D1150" s="13">
        <f t="shared" si="69"/>
        <v>2018</v>
      </c>
      <c r="E1150" s="13">
        <f t="shared" si="70"/>
        <v>11</v>
      </c>
      <c r="F1150" s="13">
        <f t="shared" si="71"/>
        <v>25</v>
      </c>
      <c r="G1150" s="4" t="s">
        <v>31</v>
      </c>
      <c r="H1150">
        <v>46.716700000000003</v>
      </c>
      <c r="I1150">
        <v>0.15</v>
      </c>
      <c r="J1150" s="4" t="s">
        <v>21</v>
      </c>
      <c r="K1150" s="4" t="s">
        <v>22</v>
      </c>
      <c r="L1150" s="4" t="s">
        <v>1</v>
      </c>
      <c r="N1150" s="4" t="s">
        <v>17</v>
      </c>
    </row>
    <row r="1151" spans="1:15" x14ac:dyDescent="0.25">
      <c r="A1151">
        <f t="shared" si="72"/>
        <v>125992</v>
      </c>
      <c r="B1151" t="s">
        <v>503</v>
      </c>
      <c r="C1151" s="9">
        <v>43410</v>
      </c>
      <c r="D1151" s="13">
        <f t="shared" si="69"/>
        <v>2018</v>
      </c>
      <c r="E1151" s="13">
        <f t="shared" si="70"/>
        <v>11</v>
      </c>
      <c r="F1151" s="13">
        <f t="shared" si="71"/>
        <v>6</v>
      </c>
      <c r="G1151" s="4" t="s">
        <v>14</v>
      </c>
      <c r="H1151">
        <v>46.929699999999997</v>
      </c>
      <c r="I1151">
        <v>6.4603000000000002</v>
      </c>
      <c r="J1151" s="4" t="s">
        <v>15</v>
      </c>
      <c r="L1151" s="4" t="s">
        <v>1</v>
      </c>
      <c r="N1151" s="4" t="s">
        <v>16</v>
      </c>
      <c r="O1151" s="4" t="s">
        <v>29</v>
      </c>
    </row>
    <row r="1152" spans="1:15" x14ac:dyDescent="0.25">
      <c r="A1152">
        <f t="shared" si="72"/>
        <v>125992</v>
      </c>
      <c r="B1152" t="s">
        <v>503</v>
      </c>
      <c r="C1152" s="9">
        <v>43429</v>
      </c>
      <c r="D1152" s="13">
        <f t="shared" si="69"/>
        <v>2018</v>
      </c>
      <c r="E1152" s="13">
        <f t="shared" si="70"/>
        <v>11</v>
      </c>
      <c r="F1152" s="13">
        <f t="shared" si="71"/>
        <v>25</v>
      </c>
      <c r="G1152" s="4" t="s">
        <v>31</v>
      </c>
      <c r="H1152">
        <v>46.716700000000003</v>
      </c>
      <c r="I1152">
        <v>0.15</v>
      </c>
      <c r="J1152" s="4" t="s">
        <v>21</v>
      </c>
      <c r="K1152" s="4" t="s">
        <v>22</v>
      </c>
      <c r="L1152" s="4" t="s">
        <v>1</v>
      </c>
      <c r="N1152" s="4" t="s">
        <v>17</v>
      </c>
    </row>
    <row r="1153" spans="1:15" x14ac:dyDescent="0.25">
      <c r="A1153">
        <f t="shared" si="72"/>
        <v>125993</v>
      </c>
      <c r="B1153" t="s">
        <v>504</v>
      </c>
      <c r="C1153" s="9">
        <v>43410</v>
      </c>
      <c r="D1153" s="13">
        <f t="shared" si="69"/>
        <v>2018</v>
      </c>
      <c r="E1153" s="13">
        <f t="shared" si="70"/>
        <v>11</v>
      </c>
      <c r="F1153" s="13">
        <f t="shared" si="71"/>
        <v>6</v>
      </c>
      <c r="G1153" s="4" t="s">
        <v>14</v>
      </c>
      <c r="H1153">
        <v>46.929699999999997</v>
      </c>
      <c r="I1153">
        <v>6.4603000000000002</v>
      </c>
      <c r="J1153" s="4" t="s">
        <v>15</v>
      </c>
      <c r="L1153" s="4" t="s">
        <v>1</v>
      </c>
      <c r="N1153" s="4" t="s">
        <v>17</v>
      </c>
      <c r="O1153" s="4" t="s">
        <v>29</v>
      </c>
    </row>
    <row r="1154" spans="1:15" x14ac:dyDescent="0.25">
      <c r="A1154">
        <f t="shared" si="72"/>
        <v>125994</v>
      </c>
      <c r="B1154" t="s">
        <v>505</v>
      </c>
      <c r="C1154" s="9">
        <v>43410</v>
      </c>
      <c r="D1154" s="13">
        <f t="shared" si="69"/>
        <v>2018</v>
      </c>
      <c r="E1154" s="13">
        <f t="shared" si="70"/>
        <v>11</v>
      </c>
      <c r="F1154" s="13">
        <f t="shared" si="71"/>
        <v>6</v>
      </c>
      <c r="G1154" s="4" t="s">
        <v>14</v>
      </c>
      <c r="H1154">
        <v>46.936900000000001</v>
      </c>
      <c r="I1154">
        <v>6.4641999999999999</v>
      </c>
      <c r="J1154" s="4" t="s">
        <v>15</v>
      </c>
      <c r="L1154" s="4" t="s">
        <v>1</v>
      </c>
      <c r="N1154" s="4" t="s">
        <v>17</v>
      </c>
      <c r="O1154" s="4" t="s">
        <v>19</v>
      </c>
    </row>
    <row r="1155" spans="1:15" x14ac:dyDescent="0.25">
      <c r="A1155">
        <f t="shared" si="72"/>
        <v>125995</v>
      </c>
      <c r="B1155" t="s">
        <v>506</v>
      </c>
      <c r="C1155" s="9">
        <v>43410</v>
      </c>
      <c r="D1155" s="13">
        <f t="shared" ref="D1155:D1161" si="73">YEAR(C1155)</f>
        <v>2018</v>
      </c>
      <c r="E1155" s="13">
        <f t="shared" ref="E1155:E1161" si="74">MONTH(C1155)</f>
        <v>11</v>
      </c>
      <c r="F1155" s="13">
        <f t="shared" ref="F1155:F1161" si="75">DAY(C1155)</f>
        <v>6</v>
      </c>
      <c r="G1155" s="4" t="s">
        <v>14</v>
      </c>
      <c r="H1155">
        <v>46.936900000000001</v>
      </c>
      <c r="I1155">
        <v>6.4641999999999999</v>
      </c>
      <c r="J1155" s="4" t="s">
        <v>15</v>
      </c>
      <c r="L1155" s="4" t="s">
        <v>1</v>
      </c>
      <c r="N1155" s="4" t="s">
        <v>17</v>
      </c>
      <c r="O1155" s="4" t="s">
        <v>29</v>
      </c>
    </row>
    <row r="1156" spans="1:15" x14ac:dyDescent="0.25">
      <c r="A1156">
        <f t="shared" si="72"/>
        <v>125996</v>
      </c>
      <c r="B1156" t="s">
        <v>507</v>
      </c>
      <c r="C1156" s="9">
        <v>43410</v>
      </c>
      <c r="D1156" s="13">
        <f t="shared" si="73"/>
        <v>2018</v>
      </c>
      <c r="E1156" s="13">
        <f t="shared" si="74"/>
        <v>11</v>
      </c>
      <c r="F1156" s="13">
        <f t="shared" si="75"/>
        <v>6</v>
      </c>
      <c r="G1156" s="4" t="s">
        <v>14</v>
      </c>
      <c r="H1156">
        <v>46.936900000000001</v>
      </c>
      <c r="I1156">
        <v>6.4641999999999999</v>
      </c>
      <c r="J1156" s="4" t="s">
        <v>15</v>
      </c>
      <c r="L1156" s="4" t="s">
        <v>1</v>
      </c>
      <c r="N1156" s="4" t="s">
        <v>17</v>
      </c>
      <c r="O1156" s="4" t="s">
        <v>29</v>
      </c>
    </row>
    <row r="1157" spans="1:15" x14ac:dyDescent="0.25">
      <c r="A1157">
        <f t="shared" si="72"/>
        <v>125997</v>
      </c>
      <c r="B1157" t="s">
        <v>508</v>
      </c>
      <c r="C1157" s="9">
        <v>43410</v>
      </c>
      <c r="D1157" s="13">
        <f t="shared" si="73"/>
        <v>2018</v>
      </c>
      <c r="E1157" s="13">
        <f t="shared" si="74"/>
        <v>11</v>
      </c>
      <c r="F1157" s="13">
        <f t="shared" si="75"/>
        <v>6</v>
      </c>
      <c r="G1157" s="4" t="s">
        <v>14</v>
      </c>
      <c r="H1157">
        <v>46.936900000000001</v>
      </c>
      <c r="I1157">
        <v>6.4641999999999999</v>
      </c>
      <c r="J1157" s="4" t="s">
        <v>15</v>
      </c>
      <c r="L1157" s="4" t="s">
        <v>1</v>
      </c>
      <c r="N1157" s="4" t="s">
        <v>17</v>
      </c>
      <c r="O1157" s="4" t="s">
        <v>29</v>
      </c>
    </row>
    <row r="1158" spans="1:15" x14ac:dyDescent="0.25">
      <c r="A1158">
        <f t="shared" si="72"/>
        <v>125998</v>
      </c>
      <c r="B1158" t="s">
        <v>509</v>
      </c>
      <c r="C1158" s="9">
        <v>43410</v>
      </c>
      <c r="D1158" s="13">
        <f t="shared" si="73"/>
        <v>2018</v>
      </c>
      <c r="E1158" s="13">
        <f t="shared" si="74"/>
        <v>11</v>
      </c>
      <c r="F1158" s="13">
        <f t="shared" si="75"/>
        <v>6</v>
      </c>
      <c r="G1158" s="4" t="s">
        <v>14</v>
      </c>
      <c r="H1158">
        <v>46.936900000000001</v>
      </c>
      <c r="I1158">
        <v>6.4641999999999999</v>
      </c>
      <c r="J1158" s="4" t="s">
        <v>15</v>
      </c>
      <c r="L1158" s="4" t="s">
        <v>1</v>
      </c>
      <c r="N1158" s="4" t="s">
        <v>16</v>
      </c>
      <c r="O1158" s="4" t="s">
        <v>29</v>
      </c>
    </row>
    <row r="1159" spans="1:15" x14ac:dyDescent="0.25">
      <c r="A1159">
        <f t="shared" si="72"/>
        <v>125998</v>
      </c>
      <c r="B1159" t="s">
        <v>509</v>
      </c>
      <c r="C1159" s="9">
        <v>43439</v>
      </c>
      <c r="D1159" s="13">
        <f t="shared" si="73"/>
        <v>2018</v>
      </c>
      <c r="E1159" s="13">
        <f t="shared" si="74"/>
        <v>12</v>
      </c>
      <c r="F1159" s="13">
        <f t="shared" si="75"/>
        <v>5</v>
      </c>
      <c r="G1159" s="4" t="s">
        <v>31</v>
      </c>
      <c r="H1159">
        <v>44.116700000000002</v>
      </c>
      <c r="I1159">
        <v>3.3666999999999998</v>
      </c>
      <c r="J1159" s="4" t="s">
        <v>21</v>
      </c>
      <c r="K1159" s="4" t="s">
        <v>22</v>
      </c>
      <c r="L1159" s="4" t="s">
        <v>1</v>
      </c>
      <c r="N1159" s="4" t="s">
        <v>17</v>
      </c>
    </row>
    <row r="1160" spans="1:15" x14ac:dyDescent="0.25">
      <c r="A1160">
        <f t="shared" si="72"/>
        <v>125999</v>
      </c>
      <c r="B1160" t="s">
        <v>510</v>
      </c>
      <c r="C1160" s="9">
        <v>43410</v>
      </c>
      <c r="D1160" s="13">
        <f t="shared" si="73"/>
        <v>2018</v>
      </c>
      <c r="E1160" s="13">
        <f t="shared" si="74"/>
        <v>11</v>
      </c>
      <c r="F1160" s="13">
        <f t="shared" si="75"/>
        <v>6</v>
      </c>
      <c r="G1160" s="4" t="s">
        <v>14</v>
      </c>
      <c r="H1160">
        <v>46.936900000000001</v>
      </c>
      <c r="I1160">
        <v>6.4641999999999999</v>
      </c>
      <c r="J1160" s="4" t="s">
        <v>15</v>
      </c>
      <c r="L1160" s="4" t="s">
        <v>1</v>
      </c>
      <c r="N1160" s="4" t="s">
        <v>17</v>
      </c>
      <c r="O1160" s="4" t="s">
        <v>29</v>
      </c>
    </row>
    <row r="1161" spans="1:15" x14ac:dyDescent="0.25">
      <c r="A1161">
        <f t="shared" si="72"/>
        <v>126000</v>
      </c>
      <c r="B1161" t="s">
        <v>511</v>
      </c>
      <c r="C1161" s="9">
        <v>43410</v>
      </c>
      <c r="D1161" s="13">
        <f t="shared" si="73"/>
        <v>2018</v>
      </c>
      <c r="E1161" s="13">
        <f t="shared" si="74"/>
        <v>11</v>
      </c>
      <c r="F1161" s="13">
        <f t="shared" si="75"/>
        <v>6</v>
      </c>
      <c r="G1161" s="4" t="s">
        <v>14</v>
      </c>
      <c r="H1161">
        <v>46.929699999999997</v>
      </c>
      <c r="I1161">
        <v>6.4603000000000002</v>
      </c>
      <c r="J1161" s="4" t="s">
        <v>15</v>
      </c>
      <c r="L1161" s="4" t="s">
        <v>1</v>
      </c>
      <c r="N1161" s="4" t="s">
        <v>17</v>
      </c>
      <c r="O1161" s="4" t="s">
        <v>29</v>
      </c>
    </row>
  </sheetData>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23DD-8E47-43B7-9E8C-6C26CC752E1A}">
  <dimension ref="A1:Q473"/>
  <sheetViews>
    <sheetView workbookViewId="0">
      <pane ySplit="1" topLeftCell="A2" activePane="bottomLeft" state="frozen"/>
      <selection pane="bottomLeft" activeCell="C2" sqref="C2"/>
    </sheetView>
  </sheetViews>
  <sheetFormatPr baseColWidth="10" defaultColWidth="9.7109375" defaultRowHeight="15" x14ac:dyDescent="0.25"/>
  <cols>
    <col min="3" max="3" width="13.5703125" style="4" customWidth="1"/>
    <col min="4" max="7" width="13.5703125" style="14" customWidth="1"/>
    <col min="8" max="8" width="17" style="4" customWidth="1"/>
    <col min="9" max="10" width="9.7109375" style="4"/>
    <col min="11" max="11" width="21.85546875" style="4" customWidth="1"/>
    <col min="12" max="12" width="17.7109375" style="4" customWidth="1"/>
    <col min="13" max="14" width="17" style="4" customWidth="1"/>
    <col min="15" max="15" width="9.7109375" style="4"/>
    <col min="16" max="16" width="12.85546875" style="4" bestFit="1" customWidth="1"/>
    <col min="17" max="17" width="37.140625" style="8" customWidth="1"/>
  </cols>
  <sheetData>
    <row r="1" spans="1:17" x14ac:dyDescent="0.25">
      <c r="A1" s="1" t="s">
        <v>0</v>
      </c>
      <c r="B1" s="1" t="s">
        <v>1</v>
      </c>
      <c r="C1" s="2" t="s">
        <v>2</v>
      </c>
      <c r="D1" s="2" t="s">
        <v>512</v>
      </c>
      <c r="E1" s="2" t="s">
        <v>513</v>
      </c>
      <c r="F1" s="2" t="s">
        <v>514</v>
      </c>
      <c r="G1" s="2" t="s">
        <v>534</v>
      </c>
      <c r="H1" s="2" t="s">
        <v>3</v>
      </c>
      <c r="I1" s="2" t="s">
        <v>4</v>
      </c>
      <c r="J1" s="2" t="s">
        <v>5</v>
      </c>
      <c r="K1" s="2" t="s">
        <v>6</v>
      </c>
      <c r="L1" s="2" t="s">
        <v>7</v>
      </c>
      <c r="M1" s="2" t="s">
        <v>8</v>
      </c>
      <c r="N1" s="2" t="s">
        <v>9</v>
      </c>
      <c r="O1" s="2" t="s">
        <v>10</v>
      </c>
      <c r="P1" s="2" t="s">
        <v>11</v>
      </c>
      <c r="Q1" s="7" t="s">
        <v>12</v>
      </c>
    </row>
    <row r="2" spans="1:17" x14ac:dyDescent="0.25">
      <c r="A2">
        <f>RIGHT(B2,6)*1</f>
        <v>116301</v>
      </c>
      <c r="B2" t="s">
        <v>209</v>
      </c>
      <c r="C2" s="10">
        <v>42825</v>
      </c>
      <c r="D2" s="13">
        <f>YEAR(C2)</f>
        <v>2017</v>
      </c>
      <c r="E2" s="13">
        <f>MONTH(C2)</f>
        <v>3</v>
      </c>
      <c r="F2" s="13">
        <f>DAY(C2)</f>
        <v>31</v>
      </c>
      <c r="G2" s="13" t="s">
        <v>535</v>
      </c>
      <c r="H2" s="4" t="s">
        <v>14</v>
      </c>
      <c r="I2">
        <v>46.925600000000003</v>
      </c>
      <c r="J2">
        <v>6.4905999999999997</v>
      </c>
      <c r="K2" s="4" t="s">
        <v>15</v>
      </c>
      <c r="M2" s="4" t="s">
        <v>42</v>
      </c>
      <c r="N2" s="4" t="s">
        <v>43</v>
      </c>
      <c r="O2" s="4" t="s">
        <v>16</v>
      </c>
      <c r="P2" s="4" t="s">
        <v>27</v>
      </c>
    </row>
    <row r="3" spans="1:17" x14ac:dyDescent="0.25">
      <c r="A3">
        <f>RIGHT(B3,6)*1</f>
        <v>118499</v>
      </c>
      <c r="B3" t="s">
        <v>308</v>
      </c>
      <c r="C3" s="10">
        <v>42818</v>
      </c>
      <c r="D3" s="13">
        <f>YEAR(C3)</f>
        <v>2017</v>
      </c>
      <c r="E3" s="13">
        <f>MONTH(C3)</f>
        <v>3</v>
      </c>
      <c r="F3" s="13">
        <f>DAY(C3)</f>
        <v>24</v>
      </c>
      <c r="G3" s="13" t="s">
        <v>535</v>
      </c>
      <c r="H3" s="4" t="s">
        <v>14</v>
      </c>
      <c r="I3">
        <v>46.934399999999997</v>
      </c>
      <c r="J3">
        <v>6.5835999999999997</v>
      </c>
      <c r="K3" s="4" t="s">
        <v>15</v>
      </c>
      <c r="M3" s="4" t="s">
        <v>1</v>
      </c>
      <c r="O3" s="4" t="s">
        <v>17</v>
      </c>
      <c r="P3" s="4" t="s">
        <v>19</v>
      </c>
    </row>
    <row r="4" spans="1:17" x14ac:dyDescent="0.25">
      <c r="A4">
        <f>RIGHT(B4,6)*1</f>
        <v>118500</v>
      </c>
      <c r="B4" t="s">
        <v>309</v>
      </c>
      <c r="C4" s="10">
        <v>42824</v>
      </c>
      <c r="D4" s="13">
        <f>YEAR(C4)</f>
        <v>2017</v>
      </c>
      <c r="E4" s="13">
        <f>MONTH(C4)</f>
        <v>3</v>
      </c>
      <c r="F4" s="13">
        <f>DAY(C4)</f>
        <v>30</v>
      </c>
      <c r="G4" s="13" t="s">
        <v>535</v>
      </c>
      <c r="H4" s="4" t="s">
        <v>14</v>
      </c>
      <c r="I4">
        <v>47.007199999999997</v>
      </c>
      <c r="J4">
        <v>6.7247000000000003</v>
      </c>
      <c r="K4" s="4" t="s">
        <v>15</v>
      </c>
      <c r="M4" s="4" t="s">
        <v>42</v>
      </c>
      <c r="N4" s="4" t="s">
        <v>43</v>
      </c>
      <c r="O4" s="4" t="s">
        <v>16</v>
      </c>
      <c r="P4" s="4" t="s">
        <v>27</v>
      </c>
    </row>
    <row r="5" spans="1:17" s="8" customFormat="1" x14ac:dyDescent="0.25">
      <c r="A5">
        <f>RIGHT(B5,6)*1</f>
        <v>122019</v>
      </c>
      <c r="B5" t="s">
        <v>379</v>
      </c>
      <c r="C5" s="10">
        <v>43181</v>
      </c>
      <c r="D5" s="13">
        <f>YEAR(C5)</f>
        <v>2018</v>
      </c>
      <c r="E5" s="13">
        <f>MONTH(C5)</f>
        <v>3</v>
      </c>
      <c r="F5" s="13">
        <f>DAY(C5)</f>
        <v>22</v>
      </c>
      <c r="G5" s="13" t="s">
        <v>535</v>
      </c>
      <c r="H5" s="4" t="s">
        <v>14</v>
      </c>
      <c r="I5">
        <v>46.915700000000001</v>
      </c>
      <c r="J5">
        <v>6.6063000000000001</v>
      </c>
      <c r="K5" s="4" t="s">
        <v>15</v>
      </c>
      <c r="L5" s="4"/>
      <c r="M5" s="4" t="s">
        <v>1</v>
      </c>
      <c r="N5" s="4"/>
      <c r="O5" s="4" t="s">
        <v>17</v>
      </c>
      <c r="P5" s="4" t="s">
        <v>27</v>
      </c>
    </row>
    <row r="6" spans="1:17" s="8" customFormat="1" x14ac:dyDescent="0.25">
      <c r="A6">
        <f>RIGHT(B6,6)*1</f>
        <v>122020</v>
      </c>
      <c r="B6" t="s">
        <v>380</v>
      </c>
      <c r="C6" s="10">
        <v>43181</v>
      </c>
      <c r="D6" s="13">
        <f>YEAR(C6)</f>
        <v>2018</v>
      </c>
      <c r="E6" s="13">
        <f>MONTH(C6)</f>
        <v>3</v>
      </c>
      <c r="F6" s="13">
        <f>DAY(C6)</f>
        <v>22</v>
      </c>
      <c r="G6" s="13" t="s">
        <v>535</v>
      </c>
      <c r="H6" s="4" t="s">
        <v>14</v>
      </c>
      <c r="I6">
        <v>46.915700000000001</v>
      </c>
      <c r="J6">
        <v>6.6063000000000001</v>
      </c>
      <c r="K6" s="4" t="s">
        <v>15</v>
      </c>
      <c r="L6" s="4"/>
      <c r="M6" s="4" t="s">
        <v>42</v>
      </c>
      <c r="N6" s="4" t="s">
        <v>43</v>
      </c>
      <c r="O6" s="4" t="s">
        <v>16</v>
      </c>
      <c r="P6" s="4" t="s">
        <v>19</v>
      </c>
    </row>
    <row r="7" spans="1:17" s="8" customFormat="1" x14ac:dyDescent="0.25">
      <c r="A7">
        <f>RIGHT(B7,6)*1</f>
        <v>115151</v>
      </c>
      <c r="B7" t="s">
        <v>141</v>
      </c>
      <c r="C7" s="3">
        <v>42489</v>
      </c>
      <c r="D7" s="13">
        <f>YEAR(C7)</f>
        <v>2016</v>
      </c>
      <c r="E7" s="13">
        <f>MONTH(C7)</f>
        <v>4</v>
      </c>
      <c r="F7" s="13">
        <f>DAY(C7)</f>
        <v>29</v>
      </c>
      <c r="G7" s="13" t="s">
        <v>535</v>
      </c>
      <c r="H7" s="4" t="s">
        <v>14</v>
      </c>
      <c r="I7">
        <v>46.9392</v>
      </c>
      <c r="J7">
        <v>6.7453000000000003</v>
      </c>
      <c r="K7" s="4" t="s">
        <v>15</v>
      </c>
      <c r="L7" s="4"/>
      <c r="M7" s="4" t="s">
        <v>42</v>
      </c>
      <c r="N7" s="4" t="s">
        <v>43</v>
      </c>
      <c r="O7" s="4" t="s">
        <v>16</v>
      </c>
      <c r="P7" s="4">
        <v>5</v>
      </c>
    </row>
    <row r="8" spans="1:17" s="8" customFormat="1" x14ac:dyDescent="0.25">
      <c r="A8">
        <f>RIGHT(B8,6)*1</f>
        <v>116302</v>
      </c>
      <c r="B8" t="s">
        <v>210</v>
      </c>
      <c r="C8" s="10">
        <v>42837</v>
      </c>
      <c r="D8" s="13">
        <f>YEAR(C8)</f>
        <v>2017</v>
      </c>
      <c r="E8" s="13">
        <f>MONTH(C8)</f>
        <v>4</v>
      </c>
      <c r="F8" s="13">
        <f>DAY(C8)</f>
        <v>12</v>
      </c>
      <c r="G8" s="13" t="s">
        <v>535</v>
      </c>
      <c r="H8" s="4" t="s">
        <v>14</v>
      </c>
      <c r="I8">
        <v>46.9392</v>
      </c>
      <c r="J8">
        <v>6.7453000000000003</v>
      </c>
      <c r="K8" s="4" t="s">
        <v>15</v>
      </c>
      <c r="L8" s="4"/>
      <c r="M8" s="4" t="s">
        <v>42</v>
      </c>
      <c r="N8" s="4" t="s">
        <v>43</v>
      </c>
      <c r="O8" s="4" t="s">
        <v>16</v>
      </c>
      <c r="P8" s="4" t="s">
        <v>27</v>
      </c>
    </row>
    <row r="9" spans="1:17" s="8" customFormat="1" x14ac:dyDescent="0.25">
      <c r="A9">
        <f>RIGHT(B9,6)*1</f>
        <v>116303</v>
      </c>
      <c r="B9" t="s">
        <v>211</v>
      </c>
      <c r="C9" s="10">
        <v>42838</v>
      </c>
      <c r="D9" s="13">
        <f>YEAR(C9)</f>
        <v>2017</v>
      </c>
      <c r="E9" s="13">
        <f>MONTH(C9)</f>
        <v>4</v>
      </c>
      <c r="F9" s="13">
        <f>DAY(C9)</f>
        <v>13</v>
      </c>
      <c r="G9" s="13" t="s">
        <v>535</v>
      </c>
      <c r="H9" s="4" t="s">
        <v>14</v>
      </c>
      <c r="I9">
        <v>46.988100000000003</v>
      </c>
      <c r="J9">
        <v>6.6749999999999998</v>
      </c>
      <c r="K9" s="4" t="s">
        <v>15</v>
      </c>
      <c r="L9" s="4"/>
      <c r="M9" s="4" t="s">
        <v>42</v>
      </c>
      <c r="N9" s="4" t="s">
        <v>43</v>
      </c>
      <c r="O9" s="4" t="s">
        <v>16</v>
      </c>
      <c r="P9" s="4" t="s">
        <v>27</v>
      </c>
    </row>
    <row r="10" spans="1:17" s="8" customFormat="1" x14ac:dyDescent="0.25">
      <c r="A10">
        <f>RIGHT(B10,6)*1</f>
        <v>116304</v>
      </c>
      <c r="B10" t="s">
        <v>212</v>
      </c>
      <c r="C10" s="10">
        <v>42844</v>
      </c>
      <c r="D10" s="13">
        <f>YEAR(C10)</f>
        <v>2017</v>
      </c>
      <c r="E10" s="13">
        <f>MONTH(C10)</f>
        <v>4</v>
      </c>
      <c r="F10" s="13">
        <f>DAY(C10)</f>
        <v>19</v>
      </c>
      <c r="G10" s="13" t="s">
        <v>535</v>
      </c>
      <c r="H10" s="4" t="s">
        <v>14</v>
      </c>
      <c r="I10">
        <v>46.933599999999998</v>
      </c>
      <c r="J10">
        <v>6.4722</v>
      </c>
      <c r="K10" s="4" t="s">
        <v>15</v>
      </c>
      <c r="L10" s="4"/>
      <c r="M10" s="4" t="s">
        <v>42</v>
      </c>
      <c r="N10" s="4" t="s">
        <v>43</v>
      </c>
      <c r="O10" s="4" t="s">
        <v>16</v>
      </c>
      <c r="P10" s="4" t="s">
        <v>19</v>
      </c>
    </row>
    <row r="11" spans="1:17" s="8" customFormat="1" x14ac:dyDescent="0.25">
      <c r="A11">
        <f>RIGHT(B11,6)*1</f>
        <v>116305</v>
      </c>
      <c r="B11" t="s">
        <v>213</v>
      </c>
      <c r="C11" s="10">
        <v>42846</v>
      </c>
      <c r="D11" s="13">
        <f>YEAR(C11)</f>
        <v>2017</v>
      </c>
      <c r="E11" s="13">
        <f>MONTH(C11)</f>
        <v>4</v>
      </c>
      <c r="F11" s="13">
        <f>DAY(C11)</f>
        <v>21</v>
      </c>
      <c r="G11" s="13" t="s">
        <v>535</v>
      </c>
      <c r="H11" s="4" t="s">
        <v>14</v>
      </c>
      <c r="I11">
        <v>46.8842</v>
      </c>
      <c r="J11">
        <v>6.5989000000000004</v>
      </c>
      <c r="K11" s="4" t="s">
        <v>15</v>
      </c>
      <c r="L11" s="4"/>
      <c r="M11" s="4" t="s">
        <v>42</v>
      </c>
      <c r="N11" s="4" t="s">
        <v>43</v>
      </c>
      <c r="O11" s="4" t="s">
        <v>16</v>
      </c>
      <c r="P11" s="4" t="s">
        <v>27</v>
      </c>
    </row>
    <row r="12" spans="1:17" s="8" customFormat="1" x14ac:dyDescent="0.25">
      <c r="A12">
        <f>RIGHT(B12,6)*1</f>
        <v>116306</v>
      </c>
      <c r="B12" t="s">
        <v>214</v>
      </c>
      <c r="C12" s="10">
        <v>42848</v>
      </c>
      <c r="D12" s="13">
        <f>YEAR(C12)</f>
        <v>2017</v>
      </c>
      <c r="E12" s="13">
        <f>MONTH(C12)</f>
        <v>4</v>
      </c>
      <c r="F12" s="13">
        <f>DAY(C12)</f>
        <v>23</v>
      </c>
      <c r="G12" s="13" t="s">
        <v>535</v>
      </c>
      <c r="H12" s="4" t="s">
        <v>14</v>
      </c>
      <c r="I12">
        <v>46.942500000000003</v>
      </c>
      <c r="J12">
        <v>6.4771999999999998</v>
      </c>
      <c r="K12" s="4" t="s">
        <v>15</v>
      </c>
      <c r="L12" s="4"/>
      <c r="M12" s="4" t="s">
        <v>42</v>
      </c>
      <c r="N12" s="4" t="s">
        <v>43</v>
      </c>
      <c r="O12" s="4" t="s">
        <v>16</v>
      </c>
      <c r="P12" s="4" t="s">
        <v>27</v>
      </c>
    </row>
    <row r="13" spans="1:17" s="8" customFormat="1" x14ac:dyDescent="0.25">
      <c r="A13">
        <f>RIGHT(B13,6)*1</f>
        <v>116307</v>
      </c>
      <c r="B13" t="s">
        <v>215</v>
      </c>
      <c r="C13" s="10">
        <v>42854</v>
      </c>
      <c r="D13" s="13">
        <f>YEAR(C13)</f>
        <v>2017</v>
      </c>
      <c r="E13" s="13">
        <f>MONTH(C13)</f>
        <v>4</v>
      </c>
      <c r="F13" s="13">
        <f>DAY(C13)</f>
        <v>29</v>
      </c>
      <c r="G13" s="13" t="s">
        <v>535</v>
      </c>
      <c r="H13" s="4" t="s">
        <v>14</v>
      </c>
      <c r="I13">
        <v>46.884999999999998</v>
      </c>
      <c r="J13">
        <v>6.5911</v>
      </c>
      <c r="K13" s="4" t="s">
        <v>15</v>
      </c>
      <c r="L13" s="4"/>
      <c r="M13" s="4" t="s">
        <v>42</v>
      </c>
      <c r="N13" s="4" t="s">
        <v>43</v>
      </c>
      <c r="O13" s="4" t="s">
        <v>16</v>
      </c>
      <c r="P13" s="4" t="s">
        <v>19</v>
      </c>
    </row>
    <row r="14" spans="1:17" s="8" customFormat="1" x14ac:dyDescent="0.25">
      <c r="A14">
        <f>RIGHT(B14,6)*1</f>
        <v>116308</v>
      </c>
      <c r="B14" t="s">
        <v>216</v>
      </c>
      <c r="C14" s="10">
        <v>42855</v>
      </c>
      <c r="D14" s="13">
        <f>YEAR(C14)</f>
        <v>2017</v>
      </c>
      <c r="E14" s="13">
        <f>MONTH(C14)</f>
        <v>4</v>
      </c>
      <c r="F14" s="13">
        <f>DAY(C14)</f>
        <v>30</v>
      </c>
      <c r="G14" s="13" t="s">
        <v>535</v>
      </c>
      <c r="H14" s="4" t="s">
        <v>14</v>
      </c>
      <c r="I14">
        <v>46.864699999999999</v>
      </c>
      <c r="J14">
        <v>6.5311000000000003</v>
      </c>
      <c r="K14" s="4" t="s">
        <v>15</v>
      </c>
      <c r="L14" s="4"/>
      <c r="M14" s="4" t="s">
        <v>42</v>
      </c>
      <c r="N14" s="4" t="s">
        <v>43</v>
      </c>
      <c r="O14" s="4" t="s">
        <v>16</v>
      </c>
      <c r="P14" s="4" t="s">
        <v>19</v>
      </c>
    </row>
    <row r="15" spans="1:17" s="8" customFormat="1" x14ac:dyDescent="0.25">
      <c r="A15">
        <f>RIGHT(B15,6)*1</f>
        <v>116309</v>
      </c>
      <c r="B15" t="s">
        <v>217</v>
      </c>
      <c r="C15" s="10">
        <v>42855</v>
      </c>
      <c r="D15" s="13">
        <f>YEAR(C15)</f>
        <v>2017</v>
      </c>
      <c r="E15" s="13">
        <f>MONTH(C15)</f>
        <v>4</v>
      </c>
      <c r="F15" s="13">
        <f>DAY(C15)</f>
        <v>30</v>
      </c>
      <c r="G15" s="13" t="s">
        <v>535</v>
      </c>
      <c r="H15" s="4" t="s">
        <v>14</v>
      </c>
      <c r="I15">
        <v>46.864699999999999</v>
      </c>
      <c r="J15">
        <v>6.5311000000000003</v>
      </c>
      <c r="K15" s="4" t="s">
        <v>15</v>
      </c>
      <c r="L15" s="4"/>
      <c r="M15" s="4" t="s">
        <v>42</v>
      </c>
      <c r="N15" s="4" t="s">
        <v>43</v>
      </c>
      <c r="O15" s="4" t="s">
        <v>16</v>
      </c>
      <c r="P15" s="4" t="s">
        <v>27</v>
      </c>
    </row>
    <row r="16" spans="1:17" s="8" customFormat="1" x14ac:dyDescent="0.25">
      <c r="A16">
        <f>RIGHT(B16,6)*1</f>
        <v>122021</v>
      </c>
      <c r="B16" t="s">
        <v>381</v>
      </c>
      <c r="C16" s="10">
        <v>43195</v>
      </c>
      <c r="D16" s="13">
        <f>YEAR(C16)</f>
        <v>2018</v>
      </c>
      <c r="E16" s="13">
        <f>MONTH(C16)</f>
        <v>4</v>
      </c>
      <c r="F16" s="13">
        <f>DAY(C16)</f>
        <v>5</v>
      </c>
      <c r="G16" s="13" t="s">
        <v>535</v>
      </c>
      <c r="H16" s="4" t="s">
        <v>14</v>
      </c>
      <c r="I16">
        <v>46.988100000000003</v>
      </c>
      <c r="J16">
        <v>6.6749999999999998</v>
      </c>
      <c r="K16" s="4" t="s">
        <v>15</v>
      </c>
      <c r="L16" s="4"/>
      <c r="M16" s="4" t="s">
        <v>42</v>
      </c>
      <c r="N16" s="4" t="s">
        <v>43</v>
      </c>
      <c r="O16" s="4" t="s">
        <v>16</v>
      </c>
      <c r="P16" s="4" t="s">
        <v>19</v>
      </c>
    </row>
    <row r="17" spans="1:16" s="8" customFormat="1" x14ac:dyDescent="0.25">
      <c r="A17">
        <f>RIGHT(B17,6)*1</f>
        <v>122022</v>
      </c>
      <c r="B17" t="s">
        <v>382</v>
      </c>
      <c r="C17" s="10">
        <v>43200</v>
      </c>
      <c r="D17" s="13">
        <f>YEAR(C17)</f>
        <v>2018</v>
      </c>
      <c r="E17" s="13">
        <f>MONTH(C17)</f>
        <v>4</v>
      </c>
      <c r="F17" s="13">
        <f>DAY(C17)</f>
        <v>10</v>
      </c>
      <c r="G17" s="13" t="s">
        <v>535</v>
      </c>
      <c r="H17" s="4" t="s">
        <v>14</v>
      </c>
      <c r="I17">
        <v>46.988100000000003</v>
      </c>
      <c r="J17">
        <v>6.6749999999999998</v>
      </c>
      <c r="K17" s="4" t="s">
        <v>15</v>
      </c>
      <c r="L17" s="4"/>
      <c r="M17" s="4" t="s">
        <v>42</v>
      </c>
      <c r="N17" s="4" t="s">
        <v>43</v>
      </c>
      <c r="O17" s="4" t="s">
        <v>16</v>
      </c>
      <c r="P17" s="4" t="s">
        <v>27</v>
      </c>
    </row>
    <row r="18" spans="1:16" s="8" customFormat="1" x14ac:dyDescent="0.25">
      <c r="A18">
        <f>RIGHT(B18,6)*1</f>
        <v>122023</v>
      </c>
      <c r="B18" t="s">
        <v>383</v>
      </c>
      <c r="C18" s="10">
        <v>43201</v>
      </c>
      <c r="D18" s="13">
        <f>YEAR(C18)</f>
        <v>2018</v>
      </c>
      <c r="E18" s="13">
        <f>MONTH(C18)</f>
        <v>4</v>
      </c>
      <c r="F18" s="13">
        <f>DAY(C18)</f>
        <v>11</v>
      </c>
      <c r="G18" s="13" t="s">
        <v>535</v>
      </c>
      <c r="H18" s="4" t="s">
        <v>14</v>
      </c>
      <c r="I18">
        <v>46.884999999999998</v>
      </c>
      <c r="J18">
        <v>6.5911</v>
      </c>
      <c r="K18" s="4" t="s">
        <v>15</v>
      </c>
      <c r="L18" s="4"/>
      <c r="M18" s="4" t="s">
        <v>42</v>
      </c>
      <c r="N18" s="4" t="s">
        <v>43</v>
      </c>
      <c r="O18" s="4" t="s">
        <v>16</v>
      </c>
      <c r="P18" s="4" t="s">
        <v>27</v>
      </c>
    </row>
    <row r="19" spans="1:16" s="8" customFormat="1" x14ac:dyDescent="0.25">
      <c r="A19">
        <f>RIGHT(B19,6)*1</f>
        <v>122024</v>
      </c>
      <c r="B19" t="s">
        <v>384</v>
      </c>
      <c r="C19" s="10">
        <v>43206</v>
      </c>
      <c r="D19" s="13">
        <f>YEAR(C19)</f>
        <v>2018</v>
      </c>
      <c r="E19" s="13">
        <f>MONTH(C19)</f>
        <v>4</v>
      </c>
      <c r="F19" s="13">
        <f>DAY(C19)</f>
        <v>16</v>
      </c>
      <c r="G19" s="13" t="s">
        <v>535</v>
      </c>
      <c r="H19" s="4" t="s">
        <v>14</v>
      </c>
      <c r="I19">
        <v>46.988100000000003</v>
      </c>
      <c r="J19">
        <v>6.6749999999999998</v>
      </c>
      <c r="K19" s="4" t="s">
        <v>15</v>
      </c>
      <c r="L19" s="4"/>
      <c r="M19" s="4" t="s">
        <v>42</v>
      </c>
      <c r="N19" s="4" t="s">
        <v>43</v>
      </c>
      <c r="O19" s="4" t="s">
        <v>16</v>
      </c>
      <c r="P19" s="4" t="s">
        <v>27</v>
      </c>
    </row>
    <row r="20" spans="1:16" s="8" customFormat="1" x14ac:dyDescent="0.25">
      <c r="A20">
        <f>RIGHT(B20,6)*1</f>
        <v>122025</v>
      </c>
      <c r="B20" t="s">
        <v>385</v>
      </c>
      <c r="C20" s="10">
        <v>43207</v>
      </c>
      <c r="D20" s="13">
        <f>YEAR(C20)</f>
        <v>2018</v>
      </c>
      <c r="E20" s="13">
        <f>MONTH(C20)</f>
        <v>4</v>
      </c>
      <c r="F20" s="13">
        <f>DAY(C20)</f>
        <v>17</v>
      </c>
      <c r="G20" s="13" t="s">
        <v>535</v>
      </c>
      <c r="H20" s="4" t="s">
        <v>14</v>
      </c>
      <c r="I20">
        <v>46.988100000000003</v>
      </c>
      <c r="J20">
        <v>6.6749999999999998</v>
      </c>
      <c r="K20" s="4" t="s">
        <v>15</v>
      </c>
      <c r="L20" s="4"/>
      <c r="M20" s="4" t="s">
        <v>42</v>
      </c>
      <c r="N20" s="4" t="s">
        <v>43</v>
      </c>
      <c r="O20" s="4" t="s">
        <v>16</v>
      </c>
      <c r="P20" s="4" t="s">
        <v>27</v>
      </c>
    </row>
    <row r="21" spans="1:16" s="8" customFormat="1" x14ac:dyDescent="0.25">
      <c r="A21">
        <f>RIGHT(B21,6)*1</f>
        <v>122026</v>
      </c>
      <c r="B21" t="s">
        <v>386</v>
      </c>
      <c r="C21" s="10">
        <v>43207</v>
      </c>
      <c r="D21" s="13">
        <f>YEAR(C21)</f>
        <v>2018</v>
      </c>
      <c r="E21" s="13">
        <f>MONTH(C21)</f>
        <v>4</v>
      </c>
      <c r="F21" s="13">
        <f>DAY(C21)</f>
        <v>17</v>
      </c>
      <c r="G21" s="13" t="s">
        <v>535</v>
      </c>
      <c r="H21" s="4" t="s">
        <v>14</v>
      </c>
      <c r="I21">
        <v>46.889699999999998</v>
      </c>
      <c r="J21">
        <v>6.6199000000000003</v>
      </c>
      <c r="K21" s="4" t="s">
        <v>15</v>
      </c>
      <c r="L21" s="4"/>
      <c r="M21" s="4" t="s">
        <v>42</v>
      </c>
      <c r="N21" s="4" t="s">
        <v>43</v>
      </c>
      <c r="O21" s="4" t="s">
        <v>16</v>
      </c>
      <c r="P21" s="4" t="s">
        <v>19</v>
      </c>
    </row>
    <row r="22" spans="1:16" s="8" customFormat="1" x14ac:dyDescent="0.25">
      <c r="A22">
        <f>RIGHT(B22,6)*1</f>
        <v>122027</v>
      </c>
      <c r="B22" t="s">
        <v>387</v>
      </c>
      <c r="C22" s="10">
        <v>43208</v>
      </c>
      <c r="D22" s="13">
        <f>YEAR(C22)</f>
        <v>2018</v>
      </c>
      <c r="E22" s="13">
        <f>MONTH(C22)</f>
        <v>4</v>
      </c>
      <c r="F22" s="13">
        <f>DAY(C22)</f>
        <v>18</v>
      </c>
      <c r="G22" s="13" t="s">
        <v>535</v>
      </c>
      <c r="H22" s="4" t="s">
        <v>14</v>
      </c>
      <c r="I22">
        <v>46.889699999999998</v>
      </c>
      <c r="J22">
        <v>6.6199000000000003</v>
      </c>
      <c r="K22" s="4" t="s">
        <v>15</v>
      </c>
      <c r="L22" s="4"/>
      <c r="M22" s="4" t="s">
        <v>42</v>
      </c>
      <c r="N22" s="4" t="s">
        <v>43</v>
      </c>
      <c r="O22" s="4" t="s">
        <v>16</v>
      </c>
      <c r="P22" s="4" t="s">
        <v>35</v>
      </c>
    </row>
    <row r="23" spans="1:16" s="8" customFormat="1" x14ac:dyDescent="0.25">
      <c r="A23">
        <f>RIGHT(B23,6)*1</f>
        <v>122028</v>
      </c>
      <c r="B23" t="s">
        <v>388</v>
      </c>
      <c r="C23" s="10">
        <v>43208</v>
      </c>
      <c r="D23" s="13">
        <f>YEAR(C23)</f>
        <v>2018</v>
      </c>
      <c r="E23" s="13">
        <f>MONTH(C23)</f>
        <v>4</v>
      </c>
      <c r="F23" s="13">
        <f>DAY(C23)</f>
        <v>18</v>
      </c>
      <c r="G23" s="13" t="s">
        <v>535</v>
      </c>
      <c r="H23" s="4" t="s">
        <v>14</v>
      </c>
      <c r="I23">
        <v>46.942500000000003</v>
      </c>
      <c r="J23">
        <v>6.4771999999999998</v>
      </c>
      <c r="K23" s="4" t="s">
        <v>15</v>
      </c>
      <c r="L23" s="4"/>
      <c r="M23" s="4" t="s">
        <v>42</v>
      </c>
      <c r="N23" s="4" t="s">
        <v>43</v>
      </c>
      <c r="O23" s="4" t="s">
        <v>17</v>
      </c>
      <c r="P23" s="4" t="s">
        <v>19</v>
      </c>
    </row>
    <row r="24" spans="1:16" s="8" customFormat="1" x14ac:dyDescent="0.25">
      <c r="A24">
        <f>RIGHT(B24,6)*1</f>
        <v>122029</v>
      </c>
      <c r="B24" t="s">
        <v>389</v>
      </c>
      <c r="C24" s="10">
        <v>43209</v>
      </c>
      <c r="D24" s="13">
        <f>YEAR(C24)</f>
        <v>2018</v>
      </c>
      <c r="E24" s="13">
        <f>MONTH(C24)</f>
        <v>4</v>
      </c>
      <c r="F24" s="13">
        <f>DAY(C24)</f>
        <v>19</v>
      </c>
      <c r="G24" s="13" t="s">
        <v>535</v>
      </c>
      <c r="H24" s="4" t="s">
        <v>14</v>
      </c>
      <c r="I24">
        <v>46.942500000000003</v>
      </c>
      <c r="J24">
        <v>6.4771999999999998</v>
      </c>
      <c r="K24" s="4" t="s">
        <v>15</v>
      </c>
      <c r="L24" s="4"/>
      <c r="M24" s="4" t="s">
        <v>42</v>
      </c>
      <c r="N24" s="4" t="s">
        <v>43</v>
      </c>
      <c r="O24" s="4" t="s">
        <v>16</v>
      </c>
      <c r="P24" s="4" t="s">
        <v>19</v>
      </c>
    </row>
    <row r="25" spans="1:16" s="8" customFormat="1" x14ac:dyDescent="0.25">
      <c r="A25">
        <f>RIGHT(B25,6)*1</f>
        <v>122030</v>
      </c>
      <c r="B25" t="s">
        <v>390</v>
      </c>
      <c r="C25" s="10">
        <v>43214</v>
      </c>
      <c r="D25" s="13">
        <f>YEAR(C25)</f>
        <v>2018</v>
      </c>
      <c r="E25" s="13">
        <f>MONTH(C25)</f>
        <v>4</v>
      </c>
      <c r="F25" s="13">
        <f>DAY(C25)</f>
        <v>24</v>
      </c>
      <c r="G25" s="13" t="s">
        <v>535</v>
      </c>
      <c r="H25" s="4" t="s">
        <v>14</v>
      </c>
      <c r="I25">
        <v>46.856499999999997</v>
      </c>
      <c r="J25">
        <v>6.5194000000000001</v>
      </c>
      <c r="K25" s="4" t="s">
        <v>15</v>
      </c>
      <c r="L25" s="4"/>
      <c r="M25" s="4" t="s">
        <v>42</v>
      </c>
      <c r="N25" s="4" t="s">
        <v>43</v>
      </c>
      <c r="O25" s="4" t="s">
        <v>16</v>
      </c>
      <c r="P25" s="4" t="s">
        <v>27</v>
      </c>
    </row>
    <row r="26" spans="1:16" s="8" customFormat="1" x14ac:dyDescent="0.25">
      <c r="A26">
        <f>RIGHT(B26,6)*1</f>
        <v>122031</v>
      </c>
      <c r="B26" t="s">
        <v>391</v>
      </c>
      <c r="C26" s="10">
        <v>43216</v>
      </c>
      <c r="D26" s="13">
        <f>YEAR(C26)</f>
        <v>2018</v>
      </c>
      <c r="E26" s="13">
        <f>MONTH(C26)</f>
        <v>4</v>
      </c>
      <c r="F26" s="13">
        <f>DAY(C26)</f>
        <v>26</v>
      </c>
      <c r="G26" s="13" t="s">
        <v>535</v>
      </c>
      <c r="H26" s="4" t="s">
        <v>14</v>
      </c>
      <c r="I26">
        <v>46.9392</v>
      </c>
      <c r="J26">
        <v>6.7453000000000003</v>
      </c>
      <c r="K26" s="4" t="s">
        <v>15</v>
      </c>
      <c r="L26" s="4"/>
      <c r="M26" s="4" t="s">
        <v>42</v>
      </c>
      <c r="N26" s="4" t="s">
        <v>43</v>
      </c>
      <c r="O26" s="4" t="s">
        <v>16</v>
      </c>
      <c r="P26" s="4" t="s">
        <v>27</v>
      </c>
    </row>
    <row r="27" spans="1:16" s="8" customFormat="1" x14ac:dyDescent="0.25">
      <c r="A27">
        <f>RIGHT(B27,5)*1</f>
        <v>73976</v>
      </c>
      <c r="B27" t="s">
        <v>13</v>
      </c>
      <c r="C27" s="10">
        <v>38483</v>
      </c>
      <c r="D27" s="13">
        <f>YEAR(C27)</f>
        <v>2005</v>
      </c>
      <c r="E27" s="13">
        <f>MONTH(C27)</f>
        <v>5</v>
      </c>
      <c r="F27" s="13">
        <f>DAY(C27)</f>
        <v>11</v>
      </c>
      <c r="G27" s="13" t="s">
        <v>536</v>
      </c>
      <c r="H27" s="4" t="s">
        <v>14</v>
      </c>
      <c r="I27">
        <v>46.929200000000002</v>
      </c>
      <c r="J27">
        <v>6.48</v>
      </c>
      <c r="K27" s="4" t="s">
        <v>15</v>
      </c>
      <c r="L27" s="4"/>
      <c r="M27" s="4" t="s">
        <v>1</v>
      </c>
      <c r="N27" s="4"/>
      <c r="O27" s="4" t="s">
        <v>16</v>
      </c>
      <c r="P27" s="4">
        <v>6</v>
      </c>
    </row>
    <row r="28" spans="1:16" s="8" customFormat="1" x14ac:dyDescent="0.25">
      <c r="A28">
        <f>RIGHT(B28,5)*1</f>
        <v>73978</v>
      </c>
      <c r="B28" t="s">
        <v>18</v>
      </c>
      <c r="C28" s="10">
        <v>38500</v>
      </c>
      <c r="D28" s="13">
        <f>YEAR(C28)</f>
        <v>2005</v>
      </c>
      <c r="E28" s="13">
        <f>MONTH(C28)</f>
        <v>5</v>
      </c>
      <c r="F28" s="13">
        <f>DAY(C28)</f>
        <v>28</v>
      </c>
      <c r="G28" s="13" t="s">
        <v>536</v>
      </c>
      <c r="H28" s="4" t="s">
        <v>14</v>
      </c>
      <c r="I28">
        <v>46.929200000000002</v>
      </c>
      <c r="J28">
        <v>6.48</v>
      </c>
      <c r="K28" s="4" t="s">
        <v>15</v>
      </c>
      <c r="L28" s="4"/>
      <c r="M28" s="4" t="s">
        <v>1</v>
      </c>
      <c r="N28" s="4"/>
      <c r="O28" s="4" t="s">
        <v>16</v>
      </c>
      <c r="P28" s="4" t="s">
        <v>19</v>
      </c>
    </row>
    <row r="29" spans="1:16" s="8" customFormat="1" x14ac:dyDescent="0.25">
      <c r="A29">
        <f>RIGHT(B29,5)*1</f>
        <v>99320</v>
      </c>
      <c r="B29" t="s">
        <v>57</v>
      </c>
      <c r="C29" s="10">
        <v>44343</v>
      </c>
      <c r="D29" s="13">
        <f>YEAR(C29)</f>
        <v>2021</v>
      </c>
      <c r="E29" s="13">
        <f>MONTH(C29)</f>
        <v>5</v>
      </c>
      <c r="F29" s="13">
        <f>DAY(C29)</f>
        <v>27</v>
      </c>
      <c r="G29" s="13" t="s">
        <v>536</v>
      </c>
      <c r="H29" s="4" t="s">
        <v>14</v>
      </c>
      <c r="I29">
        <v>46.954300000000003</v>
      </c>
      <c r="J29">
        <v>6.4874999999999998</v>
      </c>
      <c r="K29" s="4" t="s">
        <v>15</v>
      </c>
      <c r="L29" s="4"/>
      <c r="M29" s="4" t="s">
        <v>1</v>
      </c>
      <c r="N29" s="4"/>
      <c r="O29" s="4" t="s">
        <v>16</v>
      </c>
      <c r="P29" s="4" t="s">
        <v>27</v>
      </c>
    </row>
    <row r="30" spans="1:16" s="8" customFormat="1" x14ac:dyDescent="0.25">
      <c r="A30">
        <f>RIGHT(B30,6)*1</f>
        <v>115152</v>
      </c>
      <c r="B30" t="s">
        <v>143</v>
      </c>
      <c r="C30" s="3">
        <v>42492</v>
      </c>
      <c r="D30" s="13">
        <f>YEAR(C30)</f>
        <v>2016</v>
      </c>
      <c r="E30" s="13">
        <f>MONTH(C30)</f>
        <v>5</v>
      </c>
      <c r="F30" s="13">
        <f>DAY(C30)</f>
        <v>2</v>
      </c>
      <c r="G30" s="13" t="s">
        <v>536</v>
      </c>
      <c r="H30" s="4" t="s">
        <v>14</v>
      </c>
      <c r="I30">
        <v>46.9392</v>
      </c>
      <c r="J30">
        <v>6.7453000000000003</v>
      </c>
      <c r="K30" s="4" t="s">
        <v>15</v>
      </c>
      <c r="L30" s="4"/>
      <c r="M30" s="4" t="s">
        <v>42</v>
      </c>
      <c r="N30" s="4" t="s">
        <v>43</v>
      </c>
      <c r="O30" s="4" t="s">
        <v>16</v>
      </c>
      <c r="P30" s="4">
        <v>6</v>
      </c>
    </row>
    <row r="31" spans="1:16" s="8" customFormat="1" x14ac:dyDescent="0.25">
      <c r="A31">
        <f>RIGHT(B31,6)*1</f>
        <v>115153</v>
      </c>
      <c r="B31" t="s">
        <v>144</v>
      </c>
      <c r="C31" s="3">
        <v>42492</v>
      </c>
      <c r="D31" s="13">
        <f>YEAR(C31)</f>
        <v>2016</v>
      </c>
      <c r="E31" s="13">
        <f>MONTH(C31)</f>
        <v>5</v>
      </c>
      <c r="F31" s="13">
        <f>DAY(C31)</f>
        <v>2</v>
      </c>
      <c r="G31" s="13" t="s">
        <v>536</v>
      </c>
      <c r="H31" s="4" t="s">
        <v>14</v>
      </c>
      <c r="I31">
        <v>46.9392</v>
      </c>
      <c r="J31">
        <v>6.7453000000000003</v>
      </c>
      <c r="K31" s="4" t="s">
        <v>15</v>
      </c>
      <c r="L31" s="4"/>
      <c r="M31" s="4" t="s">
        <v>42</v>
      </c>
      <c r="N31" s="4" t="s">
        <v>43</v>
      </c>
      <c r="O31" s="4" t="s">
        <v>16</v>
      </c>
      <c r="P31" s="4">
        <v>5</v>
      </c>
    </row>
    <row r="32" spans="1:16" s="8" customFormat="1" x14ac:dyDescent="0.25">
      <c r="A32">
        <f>RIGHT(B32,6)*1</f>
        <v>115154</v>
      </c>
      <c r="B32" t="s">
        <v>145</v>
      </c>
      <c r="C32" s="3">
        <v>42493</v>
      </c>
      <c r="D32" s="13">
        <f>YEAR(C32)</f>
        <v>2016</v>
      </c>
      <c r="E32" s="13">
        <f>MONTH(C32)</f>
        <v>5</v>
      </c>
      <c r="F32" s="13">
        <f>DAY(C32)</f>
        <v>3</v>
      </c>
      <c r="G32" s="13" t="s">
        <v>536</v>
      </c>
      <c r="H32" s="4" t="s">
        <v>14</v>
      </c>
      <c r="I32">
        <v>46.931899999999999</v>
      </c>
      <c r="J32">
        <v>6.5022000000000002</v>
      </c>
      <c r="K32" s="4" t="s">
        <v>15</v>
      </c>
      <c r="L32" s="4"/>
      <c r="M32" s="4" t="s">
        <v>42</v>
      </c>
      <c r="N32" s="4" t="s">
        <v>43</v>
      </c>
      <c r="O32" s="4" t="s">
        <v>16</v>
      </c>
      <c r="P32" s="4">
        <v>5</v>
      </c>
    </row>
    <row r="33" spans="1:16" s="8" customFormat="1" x14ac:dyDescent="0.25">
      <c r="A33">
        <f>RIGHT(B33,6)*1</f>
        <v>115155</v>
      </c>
      <c r="B33" t="s">
        <v>146</v>
      </c>
      <c r="C33" s="3">
        <v>42496</v>
      </c>
      <c r="D33" s="13">
        <f>YEAR(C33)</f>
        <v>2016</v>
      </c>
      <c r="E33" s="13">
        <f>MONTH(C33)</f>
        <v>5</v>
      </c>
      <c r="F33" s="13">
        <f>DAY(C33)</f>
        <v>6</v>
      </c>
      <c r="G33" s="13" t="s">
        <v>536</v>
      </c>
      <c r="H33" s="4" t="s">
        <v>14</v>
      </c>
      <c r="I33">
        <v>46.931100000000001</v>
      </c>
      <c r="J33">
        <v>6.4958</v>
      </c>
      <c r="K33" s="4" t="s">
        <v>15</v>
      </c>
      <c r="L33" s="4"/>
      <c r="M33" s="4" t="s">
        <v>1</v>
      </c>
      <c r="N33" s="4"/>
      <c r="O33" s="4" t="s">
        <v>16</v>
      </c>
      <c r="P33" s="4">
        <v>5</v>
      </c>
    </row>
    <row r="34" spans="1:16" s="8" customFormat="1" x14ac:dyDescent="0.25">
      <c r="A34">
        <f>RIGHT(B34,6)*1</f>
        <v>115156</v>
      </c>
      <c r="B34" t="s">
        <v>147</v>
      </c>
      <c r="C34" s="3">
        <v>42498</v>
      </c>
      <c r="D34" s="13">
        <f>YEAR(C34)</f>
        <v>2016</v>
      </c>
      <c r="E34" s="13">
        <f>MONTH(C34)</f>
        <v>5</v>
      </c>
      <c r="F34" s="13">
        <f>DAY(C34)</f>
        <v>8</v>
      </c>
      <c r="G34" s="13" t="s">
        <v>536</v>
      </c>
      <c r="H34" s="4" t="s">
        <v>14</v>
      </c>
      <c r="I34">
        <v>46.931899999999999</v>
      </c>
      <c r="J34">
        <v>6.5022000000000002</v>
      </c>
      <c r="K34" s="4" t="s">
        <v>15</v>
      </c>
      <c r="L34" s="4"/>
      <c r="M34" s="4" t="s">
        <v>42</v>
      </c>
      <c r="N34" s="4" t="s">
        <v>43</v>
      </c>
      <c r="O34" s="4" t="s">
        <v>16</v>
      </c>
      <c r="P34" s="4">
        <v>6</v>
      </c>
    </row>
    <row r="35" spans="1:16" s="8" customFormat="1" x14ac:dyDescent="0.25">
      <c r="A35">
        <f>RIGHT(B35,6)*1</f>
        <v>115157</v>
      </c>
      <c r="B35" t="s">
        <v>148</v>
      </c>
      <c r="C35" s="3">
        <v>42500</v>
      </c>
      <c r="D35" s="13">
        <f>YEAR(C35)</f>
        <v>2016</v>
      </c>
      <c r="E35" s="13">
        <f>MONTH(C35)</f>
        <v>5</v>
      </c>
      <c r="F35" s="13">
        <f>DAY(C35)</f>
        <v>10</v>
      </c>
      <c r="G35" s="13" t="s">
        <v>536</v>
      </c>
      <c r="H35" s="4" t="s">
        <v>14</v>
      </c>
      <c r="I35">
        <v>46.931100000000001</v>
      </c>
      <c r="J35">
        <v>6.4958</v>
      </c>
      <c r="K35" s="4" t="s">
        <v>15</v>
      </c>
      <c r="L35" s="4"/>
      <c r="M35" s="4" t="s">
        <v>42</v>
      </c>
      <c r="N35" s="4" t="s">
        <v>43</v>
      </c>
      <c r="O35" s="4" t="s">
        <v>16</v>
      </c>
      <c r="P35" s="4">
        <v>6</v>
      </c>
    </row>
    <row r="36" spans="1:16" s="8" customFormat="1" x14ac:dyDescent="0.25">
      <c r="A36">
        <f>RIGHT(B36,6)*1</f>
        <v>115158</v>
      </c>
      <c r="B36" t="s">
        <v>149</v>
      </c>
      <c r="C36" s="10">
        <v>42507</v>
      </c>
      <c r="D36" s="13">
        <f>YEAR(C36)</f>
        <v>2016</v>
      </c>
      <c r="E36" s="13">
        <f>MONTH(C36)</f>
        <v>5</v>
      </c>
      <c r="F36" s="13">
        <f>DAY(C36)</f>
        <v>17</v>
      </c>
      <c r="G36" s="13" t="s">
        <v>536</v>
      </c>
      <c r="H36" s="4" t="s">
        <v>14</v>
      </c>
      <c r="I36">
        <v>46.9392</v>
      </c>
      <c r="J36">
        <v>6.7453000000000003</v>
      </c>
      <c r="K36" s="4" t="s">
        <v>15</v>
      </c>
      <c r="L36" s="4"/>
      <c r="M36" s="4" t="s">
        <v>1</v>
      </c>
      <c r="N36" s="4"/>
      <c r="O36" s="4" t="s">
        <v>17</v>
      </c>
      <c r="P36" s="4" t="s">
        <v>19</v>
      </c>
    </row>
    <row r="37" spans="1:16" s="8" customFormat="1" x14ac:dyDescent="0.25">
      <c r="A37">
        <f>RIGHT(B37,6)*1</f>
        <v>115159</v>
      </c>
      <c r="B37" t="s">
        <v>150</v>
      </c>
      <c r="C37" s="3">
        <v>42507</v>
      </c>
      <c r="D37" s="13">
        <f>YEAR(C37)</f>
        <v>2016</v>
      </c>
      <c r="E37" s="13">
        <f>MONTH(C37)</f>
        <v>5</v>
      </c>
      <c r="F37" s="13">
        <f>DAY(C37)</f>
        <v>17</v>
      </c>
      <c r="G37" s="13" t="s">
        <v>536</v>
      </c>
      <c r="H37" s="4" t="s">
        <v>14</v>
      </c>
      <c r="I37">
        <v>46.9392</v>
      </c>
      <c r="J37">
        <v>6.7453000000000003</v>
      </c>
      <c r="K37" s="4" t="s">
        <v>15</v>
      </c>
      <c r="L37" s="4"/>
      <c r="M37" s="4" t="s">
        <v>42</v>
      </c>
      <c r="N37" s="4" t="s">
        <v>43</v>
      </c>
      <c r="O37" s="4" t="s">
        <v>16</v>
      </c>
      <c r="P37" s="4">
        <v>6</v>
      </c>
    </row>
    <row r="38" spans="1:16" s="8" customFormat="1" x14ac:dyDescent="0.25">
      <c r="A38">
        <f>RIGHT(B38,6)*1</f>
        <v>115160</v>
      </c>
      <c r="B38" t="s">
        <v>151</v>
      </c>
      <c r="C38" s="3">
        <v>42509</v>
      </c>
      <c r="D38" s="13">
        <f>YEAR(C38)</f>
        <v>2016</v>
      </c>
      <c r="E38" s="13">
        <f>MONTH(C38)</f>
        <v>5</v>
      </c>
      <c r="F38" s="13">
        <f>DAY(C38)</f>
        <v>19</v>
      </c>
      <c r="G38" s="13" t="s">
        <v>536</v>
      </c>
      <c r="H38" s="4" t="s">
        <v>14</v>
      </c>
      <c r="I38">
        <v>46.9392</v>
      </c>
      <c r="J38">
        <v>6.7453000000000003</v>
      </c>
      <c r="K38" s="4" t="s">
        <v>15</v>
      </c>
      <c r="L38" s="4"/>
      <c r="M38" s="4" t="s">
        <v>1</v>
      </c>
      <c r="N38" s="4"/>
      <c r="O38" s="4" t="s">
        <v>16</v>
      </c>
      <c r="P38" s="4">
        <v>6</v>
      </c>
    </row>
    <row r="39" spans="1:16" s="8" customFormat="1" x14ac:dyDescent="0.25">
      <c r="A39">
        <f>RIGHT(B39,6)*1</f>
        <v>115161</v>
      </c>
      <c r="B39" t="s">
        <v>153</v>
      </c>
      <c r="C39" s="3">
        <v>42510</v>
      </c>
      <c r="D39" s="13">
        <f>YEAR(C39)</f>
        <v>2016</v>
      </c>
      <c r="E39" s="13">
        <f>MONTH(C39)</f>
        <v>5</v>
      </c>
      <c r="F39" s="13">
        <f>DAY(C39)</f>
        <v>20</v>
      </c>
      <c r="G39" s="13" t="s">
        <v>536</v>
      </c>
      <c r="H39" s="4" t="s">
        <v>14</v>
      </c>
      <c r="I39">
        <v>46.9617</v>
      </c>
      <c r="J39">
        <v>6.5006000000000004</v>
      </c>
      <c r="K39" s="4" t="s">
        <v>15</v>
      </c>
      <c r="L39" s="4"/>
      <c r="M39" s="4" t="s">
        <v>1</v>
      </c>
      <c r="N39" s="4"/>
      <c r="O39" s="4" t="s">
        <v>16</v>
      </c>
      <c r="P39" s="4">
        <v>6</v>
      </c>
    </row>
    <row r="40" spans="1:16" s="8" customFormat="1" x14ac:dyDescent="0.25">
      <c r="A40">
        <f>RIGHT(B40,6)*1</f>
        <v>115162</v>
      </c>
      <c r="B40" t="s">
        <v>154</v>
      </c>
      <c r="C40" s="3">
        <v>42510</v>
      </c>
      <c r="D40" s="13">
        <f>YEAR(C40)</f>
        <v>2016</v>
      </c>
      <c r="E40" s="13">
        <f>MONTH(C40)</f>
        <v>5</v>
      </c>
      <c r="F40" s="13">
        <f>DAY(C40)</f>
        <v>20</v>
      </c>
      <c r="G40" s="13" t="s">
        <v>536</v>
      </c>
      <c r="H40" s="4" t="s">
        <v>14</v>
      </c>
      <c r="I40">
        <v>46.9617</v>
      </c>
      <c r="J40">
        <v>6.5006000000000004</v>
      </c>
      <c r="K40" s="4" t="s">
        <v>15</v>
      </c>
      <c r="L40" s="4"/>
      <c r="M40" s="4" t="s">
        <v>42</v>
      </c>
      <c r="N40" s="4" t="s">
        <v>43</v>
      </c>
      <c r="O40" s="4" t="s">
        <v>16</v>
      </c>
      <c r="P40" s="4">
        <v>5</v>
      </c>
    </row>
    <row r="41" spans="1:16" s="8" customFormat="1" x14ac:dyDescent="0.25">
      <c r="A41">
        <f>RIGHT(B41,6)*1</f>
        <v>115163</v>
      </c>
      <c r="B41" t="s">
        <v>155</v>
      </c>
      <c r="C41" s="3">
        <v>42511</v>
      </c>
      <c r="D41" s="13">
        <f>YEAR(C41)</f>
        <v>2016</v>
      </c>
      <c r="E41" s="13">
        <f>MONTH(C41)</f>
        <v>5</v>
      </c>
      <c r="F41" s="13">
        <f>DAY(C41)</f>
        <v>21</v>
      </c>
      <c r="G41" s="13" t="s">
        <v>536</v>
      </c>
      <c r="H41" s="4" t="s">
        <v>14</v>
      </c>
      <c r="I41">
        <v>46.956099999999999</v>
      </c>
      <c r="J41">
        <v>6.4981</v>
      </c>
      <c r="K41" s="4" t="s">
        <v>15</v>
      </c>
      <c r="L41" s="4"/>
      <c r="M41" s="4" t="s">
        <v>1</v>
      </c>
      <c r="N41" s="4"/>
      <c r="O41" s="4" t="s">
        <v>16</v>
      </c>
      <c r="P41" s="4">
        <v>5</v>
      </c>
    </row>
    <row r="42" spans="1:16" s="8" customFormat="1" x14ac:dyDescent="0.25">
      <c r="A42">
        <f>RIGHT(B42,6)*1</f>
        <v>115164</v>
      </c>
      <c r="B42" t="s">
        <v>156</v>
      </c>
      <c r="C42" s="3">
        <v>42511</v>
      </c>
      <c r="D42" s="13">
        <f>YEAR(C42)</f>
        <v>2016</v>
      </c>
      <c r="E42" s="13">
        <f>MONTH(C42)</f>
        <v>5</v>
      </c>
      <c r="F42" s="13">
        <f>DAY(C42)</f>
        <v>21</v>
      </c>
      <c r="G42" s="13" t="s">
        <v>536</v>
      </c>
      <c r="H42" s="4" t="s">
        <v>14</v>
      </c>
      <c r="I42">
        <v>46.956099999999999</v>
      </c>
      <c r="J42">
        <v>6.4981</v>
      </c>
      <c r="K42" s="4" t="s">
        <v>15</v>
      </c>
      <c r="L42" s="4"/>
      <c r="M42" s="4" t="s">
        <v>1</v>
      </c>
      <c r="N42" s="4"/>
      <c r="O42" s="4" t="s">
        <v>16</v>
      </c>
      <c r="P42" s="4">
        <v>5</v>
      </c>
    </row>
    <row r="43" spans="1:16" s="8" customFormat="1" x14ac:dyDescent="0.25">
      <c r="A43">
        <f>RIGHT(B43,6)*1</f>
        <v>115165</v>
      </c>
      <c r="B43" t="s">
        <v>157</v>
      </c>
      <c r="C43" s="10">
        <v>42514</v>
      </c>
      <c r="D43" s="13">
        <f>YEAR(C43)</f>
        <v>2016</v>
      </c>
      <c r="E43" s="13">
        <f>MONTH(C43)</f>
        <v>5</v>
      </c>
      <c r="F43" s="13">
        <f>DAY(C43)</f>
        <v>24</v>
      </c>
      <c r="G43" s="13" t="s">
        <v>536</v>
      </c>
      <c r="H43" s="4" t="s">
        <v>14</v>
      </c>
      <c r="I43">
        <v>46.933900000000001</v>
      </c>
      <c r="J43">
        <v>6.5049999999999999</v>
      </c>
      <c r="K43" s="4" t="s">
        <v>15</v>
      </c>
      <c r="L43" s="4"/>
      <c r="M43" s="4" t="s">
        <v>1</v>
      </c>
      <c r="N43" s="4"/>
      <c r="O43" s="4" t="s">
        <v>17</v>
      </c>
      <c r="P43" s="4">
        <v>6</v>
      </c>
    </row>
    <row r="44" spans="1:16" s="8" customFormat="1" x14ac:dyDescent="0.25">
      <c r="A44">
        <f>RIGHT(B44,6)*1</f>
        <v>116310</v>
      </c>
      <c r="B44" t="s">
        <v>218</v>
      </c>
      <c r="C44" s="10">
        <v>42859</v>
      </c>
      <c r="D44" s="13">
        <f>YEAR(C44)</f>
        <v>2017</v>
      </c>
      <c r="E44" s="13">
        <f>MONTH(C44)</f>
        <v>5</v>
      </c>
      <c r="F44" s="13">
        <f>DAY(C44)</f>
        <v>4</v>
      </c>
      <c r="G44" s="13" t="s">
        <v>536</v>
      </c>
      <c r="H44" s="4" t="s">
        <v>14</v>
      </c>
      <c r="I44">
        <v>46.9392</v>
      </c>
      <c r="J44">
        <v>6.7453000000000003</v>
      </c>
      <c r="K44" s="4" t="s">
        <v>15</v>
      </c>
      <c r="L44" s="4"/>
      <c r="M44" s="4" t="s">
        <v>42</v>
      </c>
      <c r="N44" s="4" t="s">
        <v>43</v>
      </c>
      <c r="O44" s="4" t="s">
        <v>16</v>
      </c>
      <c r="P44" s="4" t="s">
        <v>19</v>
      </c>
    </row>
    <row r="45" spans="1:16" s="8" customFormat="1" x14ac:dyDescent="0.25">
      <c r="A45">
        <f>RIGHT(B45,6)*1</f>
        <v>116311</v>
      </c>
      <c r="B45" t="s">
        <v>219</v>
      </c>
      <c r="C45" s="10">
        <v>42859</v>
      </c>
      <c r="D45" s="13">
        <f>YEAR(C45)</f>
        <v>2017</v>
      </c>
      <c r="E45" s="13">
        <f>MONTH(C45)</f>
        <v>5</v>
      </c>
      <c r="F45" s="13">
        <f>DAY(C45)</f>
        <v>4</v>
      </c>
      <c r="G45" s="13" t="s">
        <v>536</v>
      </c>
      <c r="H45" s="4" t="s">
        <v>14</v>
      </c>
      <c r="I45">
        <v>46.9392</v>
      </c>
      <c r="J45">
        <v>6.7453000000000003</v>
      </c>
      <c r="K45" s="4" t="s">
        <v>15</v>
      </c>
      <c r="L45" s="4"/>
      <c r="M45" s="4" t="s">
        <v>42</v>
      </c>
      <c r="N45" s="4" t="s">
        <v>43</v>
      </c>
      <c r="O45" s="4" t="s">
        <v>16</v>
      </c>
      <c r="P45" s="4" t="s">
        <v>19</v>
      </c>
    </row>
    <row r="46" spans="1:16" s="8" customFormat="1" x14ac:dyDescent="0.25">
      <c r="A46">
        <f>RIGHT(B46,6)*1</f>
        <v>116312</v>
      </c>
      <c r="B46" t="s">
        <v>220</v>
      </c>
      <c r="C46" s="10">
        <v>42864</v>
      </c>
      <c r="D46" s="13">
        <f>YEAR(C46)</f>
        <v>2017</v>
      </c>
      <c r="E46" s="13">
        <f>MONTH(C46)</f>
        <v>5</v>
      </c>
      <c r="F46" s="13">
        <f>DAY(C46)</f>
        <v>9</v>
      </c>
      <c r="G46" s="13" t="s">
        <v>536</v>
      </c>
      <c r="H46" s="4" t="s">
        <v>14</v>
      </c>
      <c r="I46">
        <v>46.931899999999999</v>
      </c>
      <c r="J46">
        <v>6.5022000000000002</v>
      </c>
      <c r="K46" s="4" t="s">
        <v>15</v>
      </c>
      <c r="L46" s="4"/>
      <c r="M46" s="4" t="s">
        <v>42</v>
      </c>
      <c r="N46" s="4" t="s">
        <v>43</v>
      </c>
      <c r="O46" s="4" t="s">
        <v>16</v>
      </c>
      <c r="P46" s="4" t="s">
        <v>27</v>
      </c>
    </row>
    <row r="47" spans="1:16" s="8" customFormat="1" x14ac:dyDescent="0.25">
      <c r="A47">
        <f>RIGHT(B47,6)*1</f>
        <v>116313</v>
      </c>
      <c r="B47" t="s">
        <v>221</v>
      </c>
      <c r="C47" s="10">
        <v>42878</v>
      </c>
      <c r="D47" s="13">
        <f>YEAR(C47)</f>
        <v>2017</v>
      </c>
      <c r="E47" s="13">
        <f>MONTH(C47)</f>
        <v>5</v>
      </c>
      <c r="F47" s="13">
        <f>DAY(C47)</f>
        <v>23</v>
      </c>
      <c r="G47" s="13" t="s">
        <v>536</v>
      </c>
      <c r="H47" s="4" t="s">
        <v>14</v>
      </c>
      <c r="I47">
        <v>46.931100000000001</v>
      </c>
      <c r="J47">
        <v>6.4958</v>
      </c>
      <c r="K47" s="4" t="s">
        <v>15</v>
      </c>
      <c r="L47" s="4"/>
      <c r="M47" s="4" t="s">
        <v>42</v>
      </c>
      <c r="N47" s="4" t="s">
        <v>43</v>
      </c>
      <c r="O47" s="4" t="s">
        <v>16</v>
      </c>
      <c r="P47" s="4" t="s">
        <v>27</v>
      </c>
    </row>
    <row r="48" spans="1:16" s="8" customFormat="1" x14ac:dyDescent="0.25">
      <c r="A48">
        <f>RIGHT(B48,6)*1</f>
        <v>116314</v>
      </c>
      <c r="B48" t="s">
        <v>222</v>
      </c>
      <c r="C48" s="10">
        <v>42881</v>
      </c>
      <c r="D48" s="13">
        <f>YEAR(C48)</f>
        <v>2017</v>
      </c>
      <c r="E48" s="13">
        <f>MONTH(C48)</f>
        <v>5</v>
      </c>
      <c r="F48" s="13">
        <f>DAY(C48)</f>
        <v>26</v>
      </c>
      <c r="G48" s="13" t="s">
        <v>536</v>
      </c>
      <c r="H48" s="4" t="s">
        <v>14</v>
      </c>
      <c r="I48">
        <v>46.933599999999998</v>
      </c>
      <c r="J48">
        <v>6.4722</v>
      </c>
      <c r="K48" s="4" t="s">
        <v>15</v>
      </c>
      <c r="L48" s="4"/>
      <c r="M48" s="4" t="s">
        <v>42</v>
      </c>
      <c r="N48" s="4" t="s">
        <v>118</v>
      </c>
      <c r="O48" s="4" t="s">
        <v>16</v>
      </c>
      <c r="P48" s="4" t="s">
        <v>19</v>
      </c>
    </row>
    <row r="49" spans="1:16" s="8" customFormat="1" x14ac:dyDescent="0.25">
      <c r="A49">
        <f>RIGHT(B49,6)*1</f>
        <v>116315</v>
      </c>
      <c r="B49" t="s">
        <v>223</v>
      </c>
      <c r="C49" s="10">
        <v>42885</v>
      </c>
      <c r="D49" s="13">
        <f>YEAR(C49)</f>
        <v>2017</v>
      </c>
      <c r="E49" s="13">
        <f>MONTH(C49)</f>
        <v>5</v>
      </c>
      <c r="F49" s="13">
        <f>DAY(C49)</f>
        <v>30</v>
      </c>
      <c r="G49" s="13" t="s">
        <v>536</v>
      </c>
      <c r="H49" s="4" t="s">
        <v>14</v>
      </c>
      <c r="I49">
        <v>46.955300000000001</v>
      </c>
      <c r="J49">
        <v>6.5072000000000001</v>
      </c>
      <c r="K49" s="4" t="s">
        <v>15</v>
      </c>
      <c r="L49" s="4"/>
      <c r="M49" s="4" t="s">
        <v>42</v>
      </c>
      <c r="N49" s="4" t="s">
        <v>118</v>
      </c>
      <c r="O49" s="4" t="s">
        <v>16</v>
      </c>
      <c r="P49" s="4" t="s">
        <v>19</v>
      </c>
    </row>
    <row r="50" spans="1:16" s="8" customFormat="1" x14ac:dyDescent="0.25">
      <c r="A50">
        <f>RIGHT(B50,6)*1</f>
        <v>122032</v>
      </c>
      <c r="B50" t="s">
        <v>392</v>
      </c>
      <c r="C50" s="10">
        <v>43238</v>
      </c>
      <c r="D50" s="13">
        <f>YEAR(C50)</f>
        <v>2018</v>
      </c>
      <c r="E50" s="13">
        <f>MONTH(C50)</f>
        <v>5</v>
      </c>
      <c r="F50" s="13">
        <f>DAY(C50)</f>
        <v>18</v>
      </c>
      <c r="G50" s="13" t="s">
        <v>536</v>
      </c>
      <c r="H50" s="4" t="s">
        <v>14</v>
      </c>
      <c r="I50">
        <v>46.849699999999999</v>
      </c>
      <c r="J50">
        <v>6.5510999999999999</v>
      </c>
      <c r="K50" s="4" t="s">
        <v>15</v>
      </c>
      <c r="L50" s="4"/>
      <c r="M50" s="4" t="s">
        <v>42</v>
      </c>
      <c r="N50" s="4" t="s">
        <v>43</v>
      </c>
      <c r="O50" s="4" t="s">
        <v>16</v>
      </c>
      <c r="P50" s="4" t="s">
        <v>19</v>
      </c>
    </row>
    <row r="51" spans="1:16" s="8" customFormat="1" x14ac:dyDescent="0.25">
      <c r="A51">
        <f>RIGHT(B51,6)*1</f>
        <v>122033</v>
      </c>
      <c r="B51" t="s">
        <v>393</v>
      </c>
      <c r="C51" s="10">
        <v>43242</v>
      </c>
      <c r="D51" s="13">
        <f>YEAR(C51)</f>
        <v>2018</v>
      </c>
      <c r="E51" s="13">
        <f>MONTH(C51)</f>
        <v>5</v>
      </c>
      <c r="F51" s="13">
        <f>DAY(C51)</f>
        <v>22</v>
      </c>
      <c r="G51" s="13" t="s">
        <v>536</v>
      </c>
      <c r="H51" s="4" t="s">
        <v>14</v>
      </c>
      <c r="I51">
        <v>46.8474</v>
      </c>
      <c r="J51">
        <v>6.5038</v>
      </c>
      <c r="K51" s="4" t="s">
        <v>15</v>
      </c>
      <c r="L51" s="4"/>
      <c r="M51" s="4" t="s">
        <v>42</v>
      </c>
      <c r="N51" s="4" t="s">
        <v>118</v>
      </c>
      <c r="O51" s="4" t="s">
        <v>16</v>
      </c>
      <c r="P51" s="4" t="s">
        <v>19</v>
      </c>
    </row>
    <row r="52" spans="1:16" s="8" customFormat="1" x14ac:dyDescent="0.25">
      <c r="A52">
        <f>RIGHT(B52,6)*1</f>
        <v>122034</v>
      </c>
      <c r="B52" t="s">
        <v>394</v>
      </c>
      <c r="C52" s="10">
        <v>43245</v>
      </c>
      <c r="D52" s="13">
        <f>YEAR(C52)</f>
        <v>2018</v>
      </c>
      <c r="E52" s="13">
        <f>MONTH(C52)</f>
        <v>5</v>
      </c>
      <c r="F52" s="13">
        <f>DAY(C52)</f>
        <v>25</v>
      </c>
      <c r="G52" s="13" t="s">
        <v>536</v>
      </c>
      <c r="H52" s="4" t="s">
        <v>14</v>
      </c>
      <c r="I52">
        <v>46.877000000000002</v>
      </c>
      <c r="J52">
        <v>6.6096000000000004</v>
      </c>
      <c r="K52" s="4" t="s">
        <v>15</v>
      </c>
      <c r="L52" s="4"/>
      <c r="M52" s="4" t="s">
        <v>42</v>
      </c>
      <c r="N52" s="4" t="s">
        <v>118</v>
      </c>
      <c r="O52" s="4" t="s">
        <v>16</v>
      </c>
      <c r="P52" s="4" t="s">
        <v>19</v>
      </c>
    </row>
    <row r="53" spans="1:16" s="8" customFormat="1" x14ac:dyDescent="0.25">
      <c r="A53">
        <f>RIGHT(B53,6)*1</f>
        <v>122035</v>
      </c>
      <c r="B53" t="s">
        <v>395</v>
      </c>
      <c r="C53" s="10">
        <v>43245</v>
      </c>
      <c r="D53" s="13">
        <f>YEAR(C53)</f>
        <v>2018</v>
      </c>
      <c r="E53" s="13">
        <f>MONTH(C53)</f>
        <v>5</v>
      </c>
      <c r="F53" s="13">
        <f>DAY(C53)</f>
        <v>25</v>
      </c>
      <c r="G53" s="13" t="s">
        <v>536</v>
      </c>
      <c r="H53" s="4" t="s">
        <v>14</v>
      </c>
      <c r="I53">
        <v>46.877000000000002</v>
      </c>
      <c r="J53">
        <v>6.6096000000000004</v>
      </c>
      <c r="K53" s="4" t="s">
        <v>15</v>
      </c>
      <c r="L53" s="4"/>
      <c r="M53" s="4" t="s">
        <v>42</v>
      </c>
      <c r="N53" s="4" t="s">
        <v>118</v>
      </c>
      <c r="O53" s="4" t="s">
        <v>16</v>
      </c>
      <c r="P53" s="4" t="s">
        <v>27</v>
      </c>
    </row>
    <row r="54" spans="1:16" s="8" customFormat="1" x14ac:dyDescent="0.25">
      <c r="A54">
        <f>RIGHT(B54,6)*1</f>
        <v>122036</v>
      </c>
      <c r="B54" t="s">
        <v>396</v>
      </c>
      <c r="C54" s="10">
        <v>43245</v>
      </c>
      <c r="D54" s="13">
        <f>YEAR(C54)</f>
        <v>2018</v>
      </c>
      <c r="E54" s="13">
        <f>MONTH(C54)</f>
        <v>5</v>
      </c>
      <c r="F54" s="13">
        <f>DAY(C54)</f>
        <v>25</v>
      </c>
      <c r="G54" s="13" t="s">
        <v>536</v>
      </c>
      <c r="H54" s="4" t="s">
        <v>14</v>
      </c>
      <c r="I54">
        <v>46.877000000000002</v>
      </c>
      <c r="J54">
        <v>6.6096000000000004</v>
      </c>
      <c r="K54" s="4" t="s">
        <v>15</v>
      </c>
      <c r="L54" s="4"/>
      <c r="M54" s="4" t="s">
        <v>1</v>
      </c>
      <c r="N54" s="4"/>
      <c r="O54" s="4" t="s">
        <v>17</v>
      </c>
      <c r="P54" s="4" t="s">
        <v>27</v>
      </c>
    </row>
    <row r="55" spans="1:16" s="8" customFormat="1" x14ac:dyDescent="0.25">
      <c r="A55">
        <f>RIGHT(B55,6)*1</f>
        <v>122037</v>
      </c>
      <c r="B55" t="s">
        <v>397</v>
      </c>
      <c r="C55" s="10">
        <v>43246</v>
      </c>
      <c r="D55" s="13">
        <f>YEAR(C55)</f>
        <v>2018</v>
      </c>
      <c r="E55" s="13">
        <f>MONTH(C55)</f>
        <v>5</v>
      </c>
      <c r="F55" s="13">
        <f>DAY(C55)</f>
        <v>26</v>
      </c>
      <c r="G55" s="13" t="s">
        <v>536</v>
      </c>
      <c r="H55" s="4" t="s">
        <v>14</v>
      </c>
      <c r="I55">
        <v>46.9392</v>
      </c>
      <c r="J55">
        <v>6.7453000000000003</v>
      </c>
      <c r="K55" s="4" t="s">
        <v>15</v>
      </c>
      <c r="L55" s="4"/>
      <c r="M55" s="4" t="s">
        <v>42</v>
      </c>
      <c r="N55" s="4" t="s">
        <v>118</v>
      </c>
      <c r="O55" s="4" t="s">
        <v>16</v>
      </c>
      <c r="P55" s="4" t="s">
        <v>27</v>
      </c>
    </row>
    <row r="56" spans="1:16" s="8" customFormat="1" x14ac:dyDescent="0.25">
      <c r="A56">
        <f>RIGHT(B56,5)*1</f>
        <v>73985</v>
      </c>
      <c r="B56" t="s">
        <v>33</v>
      </c>
      <c r="C56" s="10">
        <v>41811</v>
      </c>
      <c r="D56" s="13">
        <f>YEAR(C56)</f>
        <v>2014</v>
      </c>
      <c r="E56" s="13">
        <f>MONTH(C56)</f>
        <v>6</v>
      </c>
      <c r="F56" s="13">
        <f>DAY(C56)</f>
        <v>21</v>
      </c>
      <c r="G56" s="13" t="s">
        <v>536</v>
      </c>
      <c r="H56" s="4" t="s">
        <v>14</v>
      </c>
      <c r="I56">
        <v>46.955300000000001</v>
      </c>
      <c r="J56">
        <v>6.4981</v>
      </c>
      <c r="K56" s="4" t="s">
        <v>15</v>
      </c>
      <c r="L56" s="4"/>
      <c r="M56" s="4" t="s">
        <v>1</v>
      </c>
      <c r="N56" s="4"/>
      <c r="O56" s="4" t="s">
        <v>16</v>
      </c>
      <c r="P56" s="4" t="s">
        <v>29</v>
      </c>
    </row>
    <row r="57" spans="1:16" s="8" customFormat="1" x14ac:dyDescent="0.25">
      <c r="A57">
        <f>RIGHT(B57,5)*1</f>
        <v>73986</v>
      </c>
      <c r="B57" t="s">
        <v>34</v>
      </c>
      <c r="C57" s="10">
        <v>41820</v>
      </c>
      <c r="D57" s="13">
        <f>YEAR(C57)</f>
        <v>2014</v>
      </c>
      <c r="E57" s="13">
        <f>MONTH(C57)</f>
        <v>6</v>
      </c>
      <c r="F57" s="13">
        <f>DAY(C57)</f>
        <v>30</v>
      </c>
      <c r="G57" s="13" t="s">
        <v>536</v>
      </c>
      <c r="H57" s="4" t="s">
        <v>14</v>
      </c>
      <c r="I57">
        <v>46.955300000000001</v>
      </c>
      <c r="J57">
        <v>6.4981</v>
      </c>
      <c r="K57" s="4" t="s">
        <v>15</v>
      </c>
      <c r="L57" s="4"/>
      <c r="M57" s="4" t="s">
        <v>1</v>
      </c>
      <c r="N57" s="4"/>
      <c r="O57" s="4" t="s">
        <v>17</v>
      </c>
      <c r="P57" s="4" t="s">
        <v>35</v>
      </c>
    </row>
    <row r="58" spans="1:16" s="8" customFormat="1" x14ac:dyDescent="0.25">
      <c r="A58">
        <f>RIGHT(B58,5)*1</f>
        <v>73991</v>
      </c>
      <c r="B58" t="s">
        <v>40</v>
      </c>
      <c r="C58" s="10">
        <v>42157</v>
      </c>
      <c r="D58" s="13">
        <f>YEAR(C58)</f>
        <v>2015</v>
      </c>
      <c r="E58" s="13">
        <f>MONTH(C58)</f>
        <v>6</v>
      </c>
      <c r="F58" s="13">
        <f>DAY(C58)</f>
        <v>2</v>
      </c>
      <c r="G58" s="13" t="s">
        <v>536</v>
      </c>
      <c r="H58" s="4" t="s">
        <v>14</v>
      </c>
      <c r="I58">
        <v>46.955300000000001</v>
      </c>
      <c r="J58">
        <v>6.4981</v>
      </c>
      <c r="K58" s="4" t="s">
        <v>15</v>
      </c>
      <c r="L58" s="4"/>
      <c r="M58" s="4" t="s">
        <v>1</v>
      </c>
      <c r="N58" s="4"/>
      <c r="O58" s="4" t="s">
        <v>17</v>
      </c>
      <c r="P58" s="4" t="s">
        <v>27</v>
      </c>
    </row>
    <row r="59" spans="1:16" s="8" customFormat="1" x14ac:dyDescent="0.25">
      <c r="A59">
        <f>RIGHT(B59,5)*1</f>
        <v>73992</v>
      </c>
      <c r="B59" t="s">
        <v>41</v>
      </c>
      <c r="C59" s="3">
        <v>42158</v>
      </c>
      <c r="D59" s="13">
        <f>YEAR(C59)</f>
        <v>2015</v>
      </c>
      <c r="E59" s="13">
        <f>MONTH(C59)</f>
        <v>6</v>
      </c>
      <c r="F59" s="13">
        <f>DAY(C59)</f>
        <v>3</v>
      </c>
      <c r="G59" s="13" t="s">
        <v>536</v>
      </c>
      <c r="H59" s="4" t="s">
        <v>14</v>
      </c>
      <c r="I59">
        <v>46.955300000000001</v>
      </c>
      <c r="J59">
        <v>6.4981</v>
      </c>
      <c r="K59" s="4" t="s">
        <v>15</v>
      </c>
      <c r="L59" s="4"/>
      <c r="M59" s="4" t="s">
        <v>1</v>
      </c>
      <c r="N59" s="4"/>
      <c r="O59" s="4" t="s">
        <v>16</v>
      </c>
      <c r="P59" s="4">
        <v>8</v>
      </c>
    </row>
    <row r="60" spans="1:16" s="8" customFormat="1" x14ac:dyDescent="0.25">
      <c r="A60">
        <f>RIGHT(B60,5)*1</f>
        <v>99321</v>
      </c>
      <c r="B60" t="s">
        <v>58</v>
      </c>
      <c r="C60" s="10">
        <v>44363</v>
      </c>
      <c r="D60" s="13">
        <f>YEAR(C60)</f>
        <v>2021</v>
      </c>
      <c r="E60" s="13">
        <f>MONTH(C60)</f>
        <v>6</v>
      </c>
      <c r="F60" s="13">
        <f>DAY(C60)</f>
        <v>16</v>
      </c>
      <c r="G60" s="13" t="s">
        <v>536</v>
      </c>
      <c r="H60" s="4" t="s">
        <v>14</v>
      </c>
      <c r="I60">
        <v>46.954300000000003</v>
      </c>
      <c r="J60">
        <v>6.4874999999999998</v>
      </c>
      <c r="K60" s="4" t="s">
        <v>15</v>
      </c>
      <c r="L60" s="4"/>
      <c r="M60" s="4" t="s">
        <v>1</v>
      </c>
      <c r="N60" s="4"/>
      <c r="O60" s="4" t="s">
        <v>16</v>
      </c>
      <c r="P60" s="4" t="s">
        <v>19</v>
      </c>
    </row>
    <row r="61" spans="1:16" s="8" customFormat="1" x14ac:dyDescent="0.25">
      <c r="A61">
        <f>RIGHT(B61,6)*1</f>
        <v>112951</v>
      </c>
      <c r="B61" t="s">
        <v>88</v>
      </c>
      <c r="C61" s="10">
        <v>42168</v>
      </c>
      <c r="D61" s="13">
        <f>YEAR(C61)</f>
        <v>2015</v>
      </c>
      <c r="E61" s="13">
        <f>MONTH(C61)</f>
        <v>6</v>
      </c>
      <c r="F61" s="13">
        <f>DAY(C61)</f>
        <v>13</v>
      </c>
      <c r="G61" s="13" t="s">
        <v>536</v>
      </c>
      <c r="H61" s="4" t="s">
        <v>14</v>
      </c>
      <c r="I61">
        <v>46.935600000000001</v>
      </c>
      <c r="J61">
        <v>6.7492000000000001</v>
      </c>
      <c r="K61" s="4" t="s">
        <v>15</v>
      </c>
      <c r="L61" s="4"/>
      <c r="M61" s="4" t="s">
        <v>1</v>
      </c>
      <c r="N61" s="4"/>
      <c r="O61" s="4" t="s">
        <v>17</v>
      </c>
      <c r="P61" s="4" t="s">
        <v>29</v>
      </c>
    </row>
    <row r="62" spans="1:16" s="8" customFormat="1" x14ac:dyDescent="0.25">
      <c r="A62">
        <f>RIGHT(B62,6)*1</f>
        <v>112952</v>
      </c>
      <c r="B62" t="s">
        <v>89</v>
      </c>
      <c r="C62" s="10">
        <v>42171</v>
      </c>
      <c r="D62" s="13">
        <f>YEAR(C62)</f>
        <v>2015</v>
      </c>
      <c r="E62" s="13">
        <f>MONTH(C62)</f>
        <v>6</v>
      </c>
      <c r="F62" s="13">
        <f>DAY(C62)</f>
        <v>16</v>
      </c>
      <c r="G62" s="13" t="s">
        <v>536</v>
      </c>
      <c r="H62" s="4" t="s">
        <v>14</v>
      </c>
      <c r="I62">
        <v>46.955300000000001</v>
      </c>
      <c r="J62">
        <v>6.4981</v>
      </c>
      <c r="K62" s="4" t="s">
        <v>15</v>
      </c>
      <c r="L62" s="4"/>
      <c r="M62" s="4" t="s">
        <v>1</v>
      </c>
      <c r="N62" s="4"/>
      <c r="O62" s="4" t="s">
        <v>17</v>
      </c>
      <c r="P62" s="4" t="s">
        <v>19</v>
      </c>
    </row>
    <row r="63" spans="1:16" s="8" customFormat="1" x14ac:dyDescent="0.25">
      <c r="A63">
        <f>RIGHT(B63,6)*1</f>
        <v>112953</v>
      </c>
      <c r="B63" t="s">
        <v>90</v>
      </c>
      <c r="C63" s="10">
        <v>42174</v>
      </c>
      <c r="D63" s="13">
        <f>YEAR(C63)</f>
        <v>2015</v>
      </c>
      <c r="E63" s="13">
        <f>MONTH(C63)</f>
        <v>6</v>
      </c>
      <c r="F63" s="13">
        <f>DAY(C63)</f>
        <v>19</v>
      </c>
      <c r="G63" s="13" t="s">
        <v>536</v>
      </c>
      <c r="H63" s="4" t="s">
        <v>14</v>
      </c>
      <c r="I63">
        <v>46.935600000000001</v>
      </c>
      <c r="J63">
        <v>6.7492000000000001</v>
      </c>
      <c r="K63" s="4" t="s">
        <v>15</v>
      </c>
      <c r="L63" s="4"/>
      <c r="M63" s="4" t="s">
        <v>1</v>
      </c>
      <c r="N63" s="4"/>
      <c r="O63" s="4" t="s">
        <v>17</v>
      </c>
      <c r="P63" s="4" t="s">
        <v>29</v>
      </c>
    </row>
    <row r="64" spans="1:16" s="8" customFormat="1" x14ac:dyDescent="0.25">
      <c r="A64">
        <f>RIGHT(B64,6)*1</f>
        <v>112954</v>
      </c>
      <c r="B64" t="s">
        <v>91</v>
      </c>
      <c r="C64" s="10">
        <v>42175</v>
      </c>
      <c r="D64" s="13">
        <f>YEAR(C64)</f>
        <v>2015</v>
      </c>
      <c r="E64" s="13">
        <f>MONTH(C64)</f>
        <v>6</v>
      </c>
      <c r="F64" s="13">
        <f>DAY(C64)</f>
        <v>20</v>
      </c>
      <c r="G64" s="13" t="s">
        <v>536</v>
      </c>
      <c r="H64" s="4" t="s">
        <v>14</v>
      </c>
      <c r="I64">
        <v>46.935600000000001</v>
      </c>
      <c r="J64">
        <v>6.7492000000000001</v>
      </c>
      <c r="K64" s="4" t="s">
        <v>15</v>
      </c>
      <c r="L64" s="4"/>
      <c r="M64" s="4" t="s">
        <v>1</v>
      </c>
      <c r="N64" s="4"/>
      <c r="O64" s="4" t="s">
        <v>17</v>
      </c>
      <c r="P64" s="4" t="s">
        <v>29</v>
      </c>
    </row>
    <row r="65" spans="1:16" s="8" customFormat="1" x14ac:dyDescent="0.25">
      <c r="A65">
        <f>RIGHT(B65,6)*1</f>
        <v>112955</v>
      </c>
      <c r="B65" t="s">
        <v>92</v>
      </c>
      <c r="C65" s="10">
        <v>42175</v>
      </c>
      <c r="D65" s="13">
        <f>YEAR(C65)</f>
        <v>2015</v>
      </c>
      <c r="E65" s="13">
        <f>MONTH(C65)</f>
        <v>6</v>
      </c>
      <c r="F65" s="13">
        <f>DAY(C65)</f>
        <v>20</v>
      </c>
      <c r="G65" s="13" t="s">
        <v>536</v>
      </c>
      <c r="H65" s="4" t="s">
        <v>14</v>
      </c>
      <c r="I65">
        <v>46.935600000000001</v>
      </c>
      <c r="J65">
        <v>6.7492000000000001</v>
      </c>
      <c r="K65" s="4" t="s">
        <v>15</v>
      </c>
      <c r="L65" s="4"/>
      <c r="M65" s="4" t="s">
        <v>1</v>
      </c>
      <c r="N65" s="4"/>
      <c r="O65" s="4" t="s">
        <v>17</v>
      </c>
      <c r="P65" s="4" t="s">
        <v>29</v>
      </c>
    </row>
    <row r="66" spans="1:16" s="8" customFormat="1" x14ac:dyDescent="0.25">
      <c r="A66">
        <f>RIGHT(B66,6)*1</f>
        <v>112956</v>
      </c>
      <c r="B66" t="s">
        <v>93</v>
      </c>
      <c r="C66" s="10">
        <v>42175</v>
      </c>
      <c r="D66" s="13">
        <f>YEAR(C66)</f>
        <v>2015</v>
      </c>
      <c r="E66" s="13">
        <f>MONTH(C66)</f>
        <v>6</v>
      </c>
      <c r="F66" s="13">
        <f>DAY(C66)</f>
        <v>20</v>
      </c>
      <c r="G66" s="13" t="s">
        <v>536</v>
      </c>
      <c r="H66" s="4" t="s">
        <v>14</v>
      </c>
      <c r="I66">
        <v>46.935600000000001</v>
      </c>
      <c r="J66">
        <v>6.7492000000000001</v>
      </c>
      <c r="K66" s="4" t="s">
        <v>15</v>
      </c>
      <c r="L66" s="4"/>
      <c r="M66" s="4" t="s">
        <v>1</v>
      </c>
      <c r="N66" s="4"/>
      <c r="O66" s="4" t="s">
        <v>17</v>
      </c>
      <c r="P66" s="4" t="s">
        <v>29</v>
      </c>
    </row>
    <row r="67" spans="1:16" s="8" customFormat="1" x14ac:dyDescent="0.25">
      <c r="A67">
        <f>RIGHT(B67,6)*1</f>
        <v>112957</v>
      </c>
      <c r="B67" t="s">
        <v>94</v>
      </c>
      <c r="C67" s="10">
        <v>42175</v>
      </c>
      <c r="D67" s="13">
        <f>YEAR(C67)</f>
        <v>2015</v>
      </c>
      <c r="E67" s="13">
        <f>MONTH(C67)</f>
        <v>6</v>
      </c>
      <c r="F67" s="13">
        <f>DAY(C67)</f>
        <v>20</v>
      </c>
      <c r="G67" s="13" t="s">
        <v>536</v>
      </c>
      <c r="H67" s="4" t="s">
        <v>14</v>
      </c>
      <c r="I67">
        <v>46.935600000000001</v>
      </c>
      <c r="J67">
        <v>6.7492000000000001</v>
      </c>
      <c r="K67" s="4" t="s">
        <v>15</v>
      </c>
      <c r="L67" s="4"/>
      <c r="M67" s="4" t="s">
        <v>1</v>
      </c>
      <c r="N67" s="4"/>
      <c r="O67" s="4" t="s">
        <v>17</v>
      </c>
      <c r="P67" s="4" t="s">
        <v>29</v>
      </c>
    </row>
    <row r="68" spans="1:16" s="8" customFormat="1" x14ac:dyDescent="0.25">
      <c r="A68">
        <f>RIGHT(B68,6)*1</f>
        <v>112958</v>
      </c>
      <c r="B68" t="s">
        <v>95</v>
      </c>
      <c r="C68" s="10">
        <v>42179</v>
      </c>
      <c r="D68" s="13">
        <f>YEAR(C68)</f>
        <v>2015</v>
      </c>
      <c r="E68" s="13">
        <f>MONTH(C68)</f>
        <v>6</v>
      </c>
      <c r="F68" s="13">
        <f>DAY(C68)</f>
        <v>24</v>
      </c>
      <c r="G68" s="13" t="s">
        <v>536</v>
      </c>
      <c r="H68" s="4" t="s">
        <v>14</v>
      </c>
      <c r="I68">
        <v>46.935600000000001</v>
      </c>
      <c r="J68">
        <v>6.7492000000000001</v>
      </c>
      <c r="K68" s="4" t="s">
        <v>15</v>
      </c>
      <c r="L68" s="4"/>
      <c r="M68" s="4" t="s">
        <v>1</v>
      </c>
      <c r="N68" s="4"/>
      <c r="O68" s="4" t="s">
        <v>17</v>
      </c>
      <c r="P68" s="4" t="s">
        <v>29</v>
      </c>
    </row>
    <row r="69" spans="1:16" s="8" customFormat="1" x14ac:dyDescent="0.25">
      <c r="A69">
        <f>RIGHT(B69,6)*1</f>
        <v>112959</v>
      </c>
      <c r="B69" t="s">
        <v>96</v>
      </c>
      <c r="C69" s="5">
        <v>42179</v>
      </c>
      <c r="D69" s="13">
        <f>YEAR(C69)</f>
        <v>2015</v>
      </c>
      <c r="E69" s="13">
        <f>MONTH(C69)</f>
        <v>6</v>
      </c>
      <c r="F69" s="13">
        <f>DAY(C69)</f>
        <v>24</v>
      </c>
      <c r="G69" s="13" t="s">
        <v>536</v>
      </c>
      <c r="H69" s="4" t="s">
        <v>14</v>
      </c>
      <c r="I69" s="4">
        <v>46.955300000000001</v>
      </c>
      <c r="J69" s="4">
        <v>6.4981</v>
      </c>
      <c r="K69" s="4" t="s">
        <v>15</v>
      </c>
      <c r="L69" s="4"/>
      <c r="M69" s="4" t="s">
        <v>1</v>
      </c>
      <c r="N69" s="4"/>
      <c r="O69" s="4" t="s">
        <v>16</v>
      </c>
      <c r="P69" s="4">
        <v>6</v>
      </c>
    </row>
    <row r="70" spans="1:16" s="8" customFormat="1" x14ac:dyDescent="0.25">
      <c r="A70">
        <f>RIGHT(B70,6)*1</f>
        <v>112960</v>
      </c>
      <c r="B70" t="s">
        <v>97</v>
      </c>
      <c r="C70" s="10">
        <v>42181</v>
      </c>
      <c r="D70" s="13">
        <f>YEAR(C70)</f>
        <v>2015</v>
      </c>
      <c r="E70" s="13">
        <f>MONTH(C70)</f>
        <v>6</v>
      </c>
      <c r="F70" s="13">
        <f>DAY(C70)</f>
        <v>26</v>
      </c>
      <c r="G70" s="13" t="s">
        <v>536</v>
      </c>
      <c r="H70" s="4" t="s">
        <v>14</v>
      </c>
      <c r="I70">
        <v>46.935600000000001</v>
      </c>
      <c r="J70">
        <v>6.7492000000000001</v>
      </c>
      <c r="K70" s="4" t="s">
        <v>15</v>
      </c>
      <c r="L70" s="4"/>
      <c r="M70" s="4" t="s">
        <v>1</v>
      </c>
      <c r="N70" s="4"/>
      <c r="O70" s="4" t="s">
        <v>17</v>
      </c>
      <c r="P70" s="4" t="s">
        <v>27</v>
      </c>
    </row>
    <row r="71" spans="1:16" s="8" customFormat="1" x14ac:dyDescent="0.25">
      <c r="A71">
        <f>RIGHT(B71,6)*1</f>
        <v>112961</v>
      </c>
      <c r="B71" t="s">
        <v>98</v>
      </c>
      <c r="C71" s="10">
        <v>42182</v>
      </c>
      <c r="D71" s="13">
        <f>YEAR(C71)</f>
        <v>2015</v>
      </c>
      <c r="E71" s="13">
        <f>MONTH(C71)</f>
        <v>6</v>
      </c>
      <c r="F71" s="13">
        <f>DAY(C71)</f>
        <v>27</v>
      </c>
      <c r="G71" s="13" t="s">
        <v>536</v>
      </c>
      <c r="H71" s="4" t="s">
        <v>14</v>
      </c>
      <c r="I71">
        <v>46.935600000000001</v>
      </c>
      <c r="J71">
        <v>6.7492000000000001</v>
      </c>
      <c r="K71" s="4" t="s">
        <v>15</v>
      </c>
      <c r="L71" s="4"/>
      <c r="M71" s="4" t="s">
        <v>1</v>
      </c>
      <c r="N71" s="4"/>
      <c r="O71" s="4" t="s">
        <v>17</v>
      </c>
      <c r="P71" s="4" t="s">
        <v>29</v>
      </c>
    </row>
    <row r="72" spans="1:16" s="8" customFormat="1" x14ac:dyDescent="0.25">
      <c r="A72">
        <f>RIGHT(B72,6)*1</f>
        <v>115166</v>
      </c>
      <c r="B72" t="s">
        <v>158</v>
      </c>
      <c r="C72" s="3">
        <v>42528</v>
      </c>
      <c r="D72" s="13">
        <f>YEAR(C72)</f>
        <v>2016</v>
      </c>
      <c r="E72" s="13">
        <f>MONTH(C72)</f>
        <v>6</v>
      </c>
      <c r="F72" s="13">
        <f>DAY(C72)</f>
        <v>7</v>
      </c>
      <c r="G72" s="13" t="s">
        <v>536</v>
      </c>
      <c r="H72" s="4" t="s">
        <v>14</v>
      </c>
      <c r="I72">
        <v>46.933900000000001</v>
      </c>
      <c r="J72">
        <v>6.5049999999999999</v>
      </c>
      <c r="K72" s="4" t="s">
        <v>15</v>
      </c>
      <c r="L72" s="4"/>
      <c r="M72" s="4" t="s">
        <v>1</v>
      </c>
      <c r="N72" s="4"/>
      <c r="O72" s="4" t="s">
        <v>16</v>
      </c>
      <c r="P72" s="4">
        <v>6</v>
      </c>
    </row>
    <row r="73" spans="1:16" s="8" customFormat="1" x14ac:dyDescent="0.25">
      <c r="A73">
        <f>RIGHT(B73,6)*1</f>
        <v>115167</v>
      </c>
      <c r="B73" t="s">
        <v>159</v>
      </c>
      <c r="C73" s="10">
        <v>42530</v>
      </c>
      <c r="D73" s="13">
        <f>YEAR(C73)</f>
        <v>2016</v>
      </c>
      <c r="E73" s="13">
        <f>MONTH(C73)</f>
        <v>6</v>
      </c>
      <c r="F73" s="13">
        <f>DAY(C73)</f>
        <v>9</v>
      </c>
      <c r="G73" s="13" t="s">
        <v>536</v>
      </c>
      <c r="H73" s="4" t="s">
        <v>14</v>
      </c>
      <c r="I73">
        <v>46.9392</v>
      </c>
      <c r="J73">
        <v>6.7453000000000003</v>
      </c>
      <c r="K73" s="4" t="s">
        <v>15</v>
      </c>
      <c r="L73" s="4"/>
      <c r="M73" s="4" t="s">
        <v>1</v>
      </c>
      <c r="N73" s="4"/>
      <c r="O73" s="4" t="s">
        <v>17</v>
      </c>
      <c r="P73" s="4" t="s">
        <v>29</v>
      </c>
    </row>
    <row r="74" spans="1:16" s="8" customFormat="1" x14ac:dyDescent="0.25">
      <c r="A74">
        <f>RIGHT(B74,6)*1</f>
        <v>115168</v>
      </c>
      <c r="B74" t="s">
        <v>160</v>
      </c>
      <c r="C74" s="10">
        <v>42530</v>
      </c>
      <c r="D74" s="13">
        <f>YEAR(C74)</f>
        <v>2016</v>
      </c>
      <c r="E74" s="13">
        <f>MONTH(C74)</f>
        <v>6</v>
      </c>
      <c r="F74" s="13">
        <f>DAY(C74)</f>
        <v>9</v>
      </c>
      <c r="G74" s="13" t="s">
        <v>536</v>
      </c>
      <c r="H74" s="4" t="s">
        <v>14</v>
      </c>
      <c r="I74">
        <v>46.9392</v>
      </c>
      <c r="J74">
        <v>6.7453000000000003</v>
      </c>
      <c r="K74" s="4" t="s">
        <v>15</v>
      </c>
      <c r="L74" s="4"/>
      <c r="M74" s="4" t="s">
        <v>42</v>
      </c>
      <c r="N74" s="4" t="s">
        <v>118</v>
      </c>
      <c r="O74" s="4" t="s">
        <v>17</v>
      </c>
      <c r="P74" s="4" t="s">
        <v>27</v>
      </c>
    </row>
    <row r="75" spans="1:16" s="8" customFormat="1" x14ac:dyDescent="0.25">
      <c r="A75">
        <f>RIGHT(B75,6)*1</f>
        <v>115169</v>
      </c>
      <c r="B75" t="s">
        <v>161</v>
      </c>
      <c r="C75" s="3">
        <v>42533</v>
      </c>
      <c r="D75" s="13">
        <f>YEAR(C75)</f>
        <v>2016</v>
      </c>
      <c r="E75" s="13">
        <f>MONTH(C75)</f>
        <v>6</v>
      </c>
      <c r="F75" s="13">
        <f>DAY(C75)</f>
        <v>12</v>
      </c>
      <c r="G75" s="13" t="s">
        <v>536</v>
      </c>
      <c r="H75" s="4" t="s">
        <v>14</v>
      </c>
      <c r="I75">
        <v>46.955300000000001</v>
      </c>
      <c r="J75">
        <v>6.5072000000000001</v>
      </c>
      <c r="K75" s="4" t="s">
        <v>15</v>
      </c>
      <c r="L75" s="4"/>
      <c r="M75" s="4" t="s">
        <v>42</v>
      </c>
      <c r="N75" s="4" t="s">
        <v>118</v>
      </c>
      <c r="O75" s="4" t="s">
        <v>16</v>
      </c>
      <c r="P75" s="4">
        <v>5</v>
      </c>
    </row>
    <row r="76" spans="1:16" s="8" customFormat="1" x14ac:dyDescent="0.25">
      <c r="A76">
        <f>RIGHT(B76,6)*1</f>
        <v>115170</v>
      </c>
      <c r="B76" t="s">
        <v>162</v>
      </c>
      <c r="C76" s="10">
        <v>42531</v>
      </c>
      <c r="D76" s="13">
        <f>YEAR(C76)</f>
        <v>2016</v>
      </c>
      <c r="E76" s="13">
        <f>MONTH(C76)</f>
        <v>6</v>
      </c>
      <c r="F76" s="13">
        <f>DAY(C76)</f>
        <v>10</v>
      </c>
      <c r="G76" s="13" t="s">
        <v>536</v>
      </c>
      <c r="H76" s="4" t="s">
        <v>14</v>
      </c>
      <c r="I76">
        <v>46.955300000000001</v>
      </c>
      <c r="J76">
        <v>6.5072000000000001</v>
      </c>
      <c r="K76" s="4" t="s">
        <v>15</v>
      </c>
      <c r="L76" s="4"/>
      <c r="M76" s="4" t="s">
        <v>1</v>
      </c>
      <c r="N76" s="4"/>
      <c r="O76" s="4" t="s">
        <v>17</v>
      </c>
      <c r="P76" s="4">
        <v>6</v>
      </c>
    </row>
    <row r="77" spans="1:16" s="8" customFormat="1" x14ac:dyDescent="0.25">
      <c r="A77">
        <f>RIGHT(B77,6)*1</f>
        <v>115171</v>
      </c>
      <c r="B77" t="s">
        <v>163</v>
      </c>
      <c r="C77" s="3">
        <v>42533</v>
      </c>
      <c r="D77" s="13">
        <f>YEAR(C77)</f>
        <v>2016</v>
      </c>
      <c r="E77" s="13">
        <f>MONTH(C77)</f>
        <v>6</v>
      </c>
      <c r="F77" s="13">
        <f>DAY(C77)</f>
        <v>12</v>
      </c>
      <c r="G77" s="13" t="s">
        <v>536</v>
      </c>
      <c r="H77" s="4" t="s">
        <v>14</v>
      </c>
      <c r="I77">
        <v>46.931100000000001</v>
      </c>
      <c r="J77">
        <v>6.4958</v>
      </c>
      <c r="K77" s="4" t="s">
        <v>15</v>
      </c>
      <c r="L77" s="4"/>
      <c r="M77" s="4" t="s">
        <v>1</v>
      </c>
      <c r="N77" s="4"/>
      <c r="O77" s="4" t="s">
        <v>16</v>
      </c>
      <c r="P77" s="4">
        <v>5</v>
      </c>
    </row>
    <row r="78" spans="1:16" s="8" customFormat="1" x14ac:dyDescent="0.25">
      <c r="A78">
        <f>RIGHT(B78,6)*1</f>
        <v>115172</v>
      </c>
      <c r="B78" t="s">
        <v>164</v>
      </c>
      <c r="C78" s="3">
        <v>42535</v>
      </c>
      <c r="D78" s="13">
        <f>YEAR(C78)</f>
        <v>2016</v>
      </c>
      <c r="E78" s="13">
        <f>MONTH(C78)</f>
        <v>6</v>
      </c>
      <c r="F78" s="13">
        <f>DAY(C78)</f>
        <v>14</v>
      </c>
      <c r="G78" s="13" t="s">
        <v>536</v>
      </c>
      <c r="H78" s="4" t="s">
        <v>14</v>
      </c>
      <c r="I78">
        <v>46.9681</v>
      </c>
      <c r="J78">
        <v>6.5175000000000001</v>
      </c>
      <c r="K78" s="4" t="s">
        <v>15</v>
      </c>
      <c r="L78" s="4"/>
      <c r="M78" s="4" t="s">
        <v>1</v>
      </c>
      <c r="N78" s="4"/>
      <c r="O78" s="4" t="s">
        <v>16</v>
      </c>
      <c r="P78" s="4">
        <v>6</v>
      </c>
    </row>
    <row r="79" spans="1:16" s="8" customFormat="1" x14ac:dyDescent="0.25">
      <c r="A79">
        <f>RIGHT(B79,6)*1</f>
        <v>115173</v>
      </c>
      <c r="B79" t="s">
        <v>165</v>
      </c>
      <c r="C79" s="3">
        <v>42541</v>
      </c>
      <c r="D79" s="13">
        <f>YEAR(C79)</f>
        <v>2016</v>
      </c>
      <c r="E79" s="13">
        <f>MONTH(C79)</f>
        <v>6</v>
      </c>
      <c r="F79" s="13">
        <f>DAY(C79)</f>
        <v>20</v>
      </c>
      <c r="G79" s="13" t="s">
        <v>536</v>
      </c>
      <c r="H79" s="4" t="s">
        <v>14</v>
      </c>
      <c r="I79">
        <v>46.956099999999999</v>
      </c>
      <c r="J79">
        <v>6.4981</v>
      </c>
      <c r="K79" s="4" t="s">
        <v>15</v>
      </c>
      <c r="L79" s="4"/>
      <c r="M79" s="4" t="s">
        <v>42</v>
      </c>
      <c r="N79" s="4" t="s">
        <v>118</v>
      </c>
      <c r="O79" s="4" t="s">
        <v>16</v>
      </c>
      <c r="P79" s="4">
        <v>6</v>
      </c>
    </row>
    <row r="80" spans="1:16" s="8" customFormat="1" x14ac:dyDescent="0.25">
      <c r="A80">
        <f>RIGHT(B80,6)*1</f>
        <v>115174</v>
      </c>
      <c r="B80" t="s">
        <v>166</v>
      </c>
      <c r="C80" s="3">
        <v>42542</v>
      </c>
      <c r="D80" s="13">
        <f>YEAR(C80)</f>
        <v>2016</v>
      </c>
      <c r="E80" s="13">
        <f>MONTH(C80)</f>
        <v>6</v>
      </c>
      <c r="F80" s="13">
        <f>DAY(C80)</f>
        <v>21</v>
      </c>
      <c r="G80" s="13" t="s">
        <v>536</v>
      </c>
      <c r="H80" s="4" t="s">
        <v>14</v>
      </c>
      <c r="I80">
        <v>46.9392</v>
      </c>
      <c r="J80">
        <v>6.7453000000000003</v>
      </c>
      <c r="K80" s="4" t="s">
        <v>15</v>
      </c>
      <c r="L80" s="4"/>
      <c r="M80" s="4" t="s">
        <v>42</v>
      </c>
      <c r="N80" s="4" t="s">
        <v>43</v>
      </c>
      <c r="O80" s="4" t="s">
        <v>16</v>
      </c>
      <c r="P80" s="4">
        <v>3</v>
      </c>
    </row>
    <row r="81" spans="1:16" s="8" customFormat="1" x14ac:dyDescent="0.25">
      <c r="A81">
        <f>RIGHT(B81,6)*1</f>
        <v>115175</v>
      </c>
      <c r="B81" t="s">
        <v>167</v>
      </c>
      <c r="C81" s="3">
        <v>42544</v>
      </c>
      <c r="D81" s="13">
        <f>YEAR(C81)</f>
        <v>2016</v>
      </c>
      <c r="E81" s="13">
        <f>MONTH(C81)</f>
        <v>6</v>
      </c>
      <c r="F81" s="13">
        <f>DAY(C81)</f>
        <v>23</v>
      </c>
      <c r="G81" s="13" t="s">
        <v>536</v>
      </c>
      <c r="H81" s="4" t="s">
        <v>14</v>
      </c>
      <c r="I81">
        <v>46.925600000000003</v>
      </c>
      <c r="J81">
        <v>6.4905999999999997</v>
      </c>
      <c r="K81" s="4" t="s">
        <v>15</v>
      </c>
      <c r="L81" s="4"/>
      <c r="M81" s="4" t="s">
        <v>42</v>
      </c>
      <c r="N81" s="4" t="s">
        <v>118</v>
      </c>
      <c r="O81" s="4" t="s">
        <v>16</v>
      </c>
      <c r="P81" s="4">
        <v>5</v>
      </c>
    </row>
    <row r="82" spans="1:16" s="8" customFormat="1" x14ac:dyDescent="0.25">
      <c r="A82">
        <f>RIGHT(B82,6)*1</f>
        <v>115176</v>
      </c>
      <c r="B82" t="s">
        <v>168</v>
      </c>
      <c r="C82" s="3">
        <v>42548</v>
      </c>
      <c r="D82" s="13">
        <f>YEAR(C82)</f>
        <v>2016</v>
      </c>
      <c r="E82" s="13">
        <f>MONTH(C82)</f>
        <v>6</v>
      </c>
      <c r="F82" s="13">
        <f>DAY(C82)</f>
        <v>27</v>
      </c>
      <c r="G82" s="13" t="s">
        <v>536</v>
      </c>
      <c r="H82" s="4" t="s">
        <v>14</v>
      </c>
      <c r="I82">
        <v>46.946899999999999</v>
      </c>
      <c r="J82">
        <v>6.5769000000000002</v>
      </c>
      <c r="K82" s="4" t="s">
        <v>15</v>
      </c>
      <c r="L82" s="4"/>
      <c r="M82" s="4" t="s">
        <v>42</v>
      </c>
      <c r="N82" s="4" t="s">
        <v>118</v>
      </c>
      <c r="O82" s="4" t="s">
        <v>16</v>
      </c>
      <c r="P82" s="4">
        <v>5</v>
      </c>
    </row>
    <row r="83" spans="1:16" s="8" customFormat="1" x14ac:dyDescent="0.25">
      <c r="A83">
        <f>RIGHT(B83,6)*1</f>
        <v>115177</v>
      </c>
      <c r="B83" t="s">
        <v>169</v>
      </c>
      <c r="C83" s="3">
        <v>42548</v>
      </c>
      <c r="D83" s="13">
        <f>YEAR(C83)</f>
        <v>2016</v>
      </c>
      <c r="E83" s="13">
        <f>MONTH(C83)</f>
        <v>6</v>
      </c>
      <c r="F83" s="13">
        <f>DAY(C83)</f>
        <v>27</v>
      </c>
      <c r="G83" s="13" t="s">
        <v>536</v>
      </c>
      <c r="H83" s="4" t="s">
        <v>14</v>
      </c>
      <c r="I83">
        <v>46.946899999999999</v>
      </c>
      <c r="J83">
        <v>6.5769000000000002</v>
      </c>
      <c r="K83" s="4" t="s">
        <v>15</v>
      </c>
      <c r="L83" s="4"/>
      <c r="M83" s="4" t="s">
        <v>42</v>
      </c>
      <c r="N83" s="4" t="s">
        <v>43</v>
      </c>
      <c r="O83" s="4" t="s">
        <v>16</v>
      </c>
      <c r="P83" s="4">
        <v>5</v>
      </c>
    </row>
    <row r="84" spans="1:16" s="8" customFormat="1" x14ac:dyDescent="0.25">
      <c r="A84">
        <f>RIGHT(B84,6)*1</f>
        <v>115178</v>
      </c>
      <c r="B84" t="s">
        <v>170</v>
      </c>
      <c r="C84" s="10">
        <v>42551</v>
      </c>
      <c r="D84" s="13">
        <f>YEAR(C84)</f>
        <v>2016</v>
      </c>
      <c r="E84" s="13">
        <f>MONTH(C84)</f>
        <v>6</v>
      </c>
      <c r="F84" s="13">
        <f>DAY(C84)</f>
        <v>30</v>
      </c>
      <c r="G84" s="13" t="s">
        <v>536</v>
      </c>
      <c r="H84" s="4" t="s">
        <v>14</v>
      </c>
      <c r="I84">
        <v>46.945</v>
      </c>
      <c r="J84">
        <v>6.5442</v>
      </c>
      <c r="K84" s="4" t="s">
        <v>15</v>
      </c>
      <c r="L84" s="4"/>
      <c r="M84" s="4" t="s">
        <v>42</v>
      </c>
      <c r="N84" s="4" t="s">
        <v>43</v>
      </c>
      <c r="O84" s="4" t="s">
        <v>17</v>
      </c>
      <c r="P84" s="4"/>
    </row>
    <row r="85" spans="1:16" s="8" customFormat="1" x14ac:dyDescent="0.25">
      <c r="A85">
        <f>RIGHT(B85,6)*1</f>
        <v>116316</v>
      </c>
      <c r="B85" t="s">
        <v>225</v>
      </c>
      <c r="C85" s="10">
        <v>42888</v>
      </c>
      <c r="D85" s="13">
        <f>YEAR(C85)</f>
        <v>2017</v>
      </c>
      <c r="E85" s="13">
        <f>MONTH(C85)</f>
        <v>6</v>
      </c>
      <c r="F85" s="13">
        <f>DAY(C85)</f>
        <v>2</v>
      </c>
      <c r="G85" s="13" t="s">
        <v>536</v>
      </c>
      <c r="H85" s="4" t="s">
        <v>14</v>
      </c>
      <c r="I85">
        <v>46.849699999999999</v>
      </c>
      <c r="J85">
        <v>6.5510999999999999</v>
      </c>
      <c r="K85" s="4" t="s">
        <v>15</v>
      </c>
      <c r="L85" s="4"/>
      <c r="M85" s="4" t="s">
        <v>1</v>
      </c>
      <c r="N85" s="4"/>
      <c r="O85" s="4" t="s">
        <v>17</v>
      </c>
      <c r="P85" s="4" t="s">
        <v>19</v>
      </c>
    </row>
    <row r="86" spans="1:16" s="8" customFormat="1" x14ac:dyDescent="0.25">
      <c r="A86">
        <f>RIGHT(B86,6)*1</f>
        <v>116317</v>
      </c>
      <c r="B86" t="s">
        <v>226</v>
      </c>
      <c r="C86" s="10">
        <v>42898</v>
      </c>
      <c r="D86" s="13">
        <f>YEAR(C86)</f>
        <v>2017</v>
      </c>
      <c r="E86" s="13">
        <f>MONTH(C86)</f>
        <v>6</v>
      </c>
      <c r="F86" s="13">
        <f>DAY(C86)</f>
        <v>12</v>
      </c>
      <c r="G86" s="13" t="s">
        <v>536</v>
      </c>
      <c r="H86" s="4" t="s">
        <v>14</v>
      </c>
      <c r="I86">
        <v>46.923299999999998</v>
      </c>
      <c r="J86">
        <v>6.4356</v>
      </c>
      <c r="K86" s="4" t="s">
        <v>15</v>
      </c>
      <c r="L86" s="4"/>
      <c r="M86" s="4" t="s">
        <v>42</v>
      </c>
      <c r="N86" s="4" t="s">
        <v>118</v>
      </c>
      <c r="O86" s="4" t="s">
        <v>16</v>
      </c>
      <c r="P86" s="4" t="s">
        <v>19</v>
      </c>
    </row>
    <row r="87" spans="1:16" s="8" customFormat="1" x14ac:dyDescent="0.25">
      <c r="A87">
        <f>RIGHT(B87,6)*1</f>
        <v>116318</v>
      </c>
      <c r="B87" t="s">
        <v>227</v>
      </c>
      <c r="C87" s="10">
        <v>42901</v>
      </c>
      <c r="D87" s="13">
        <f>YEAR(C87)</f>
        <v>2017</v>
      </c>
      <c r="E87" s="13">
        <f>MONTH(C87)</f>
        <v>6</v>
      </c>
      <c r="F87" s="13">
        <f>DAY(C87)</f>
        <v>15</v>
      </c>
      <c r="G87" s="13" t="s">
        <v>536</v>
      </c>
      <c r="H87" s="4" t="s">
        <v>14</v>
      </c>
      <c r="I87">
        <v>47.0214</v>
      </c>
      <c r="J87">
        <v>6.8308</v>
      </c>
      <c r="K87" s="4" t="s">
        <v>15</v>
      </c>
      <c r="L87" s="4"/>
      <c r="M87" s="4" t="s">
        <v>1</v>
      </c>
      <c r="N87" s="4"/>
      <c r="O87" s="4" t="s">
        <v>17</v>
      </c>
      <c r="P87" s="4" t="s">
        <v>19</v>
      </c>
    </row>
    <row r="88" spans="1:16" s="8" customFormat="1" x14ac:dyDescent="0.25">
      <c r="A88">
        <f>RIGHT(B88,6)*1</f>
        <v>116319</v>
      </c>
      <c r="B88" t="s">
        <v>228</v>
      </c>
      <c r="C88" s="10">
        <v>42901</v>
      </c>
      <c r="D88" s="13">
        <f>YEAR(C88)</f>
        <v>2017</v>
      </c>
      <c r="E88" s="13">
        <f>MONTH(C88)</f>
        <v>6</v>
      </c>
      <c r="F88" s="13">
        <f>DAY(C88)</f>
        <v>15</v>
      </c>
      <c r="G88" s="13" t="s">
        <v>536</v>
      </c>
      <c r="H88" s="4" t="s">
        <v>14</v>
      </c>
      <c r="I88">
        <v>47.0214</v>
      </c>
      <c r="J88">
        <v>6.8308</v>
      </c>
      <c r="K88" s="4" t="s">
        <v>15</v>
      </c>
      <c r="L88" s="4"/>
      <c r="M88" s="4" t="s">
        <v>42</v>
      </c>
      <c r="N88" s="4" t="s">
        <v>118</v>
      </c>
      <c r="O88" s="4" t="s">
        <v>16</v>
      </c>
      <c r="P88" s="4" t="s">
        <v>27</v>
      </c>
    </row>
    <row r="89" spans="1:16" s="8" customFormat="1" x14ac:dyDescent="0.25">
      <c r="A89">
        <f>RIGHT(B89,6)*1</f>
        <v>116320</v>
      </c>
      <c r="B89" t="s">
        <v>229</v>
      </c>
      <c r="C89" s="10">
        <v>42904</v>
      </c>
      <c r="D89" s="13">
        <f>YEAR(C89)</f>
        <v>2017</v>
      </c>
      <c r="E89" s="13">
        <f>MONTH(C89)</f>
        <v>6</v>
      </c>
      <c r="F89" s="13">
        <f>DAY(C89)</f>
        <v>18</v>
      </c>
      <c r="G89" s="13" t="s">
        <v>536</v>
      </c>
      <c r="H89" s="4" t="s">
        <v>14</v>
      </c>
      <c r="I89">
        <v>46.868899999999996</v>
      </c>
      <c r="J89">
        <v>6.6058000000000003</v>
      </c>
      <c r="K89" s="4" t="s">
        <v>15</v>
      </c>
      <c r="L89" s="4"/>
      <c r="M89" s="4" t="s">
        <v>1</v>
      </c>
      <c r="N89" s="4"/>
      <c r="O89" s="4" t="s">
        <v>17</v>
      </c>
      <c r="P89" s="4" t="s">
        <v>27</v>
      </c>
    </row>
    <row r="90" spans="1:16" s="8" customFormat="1" x14ac:dyDescent="0.25">
      <c r="A90">
        <f>RIGHT(B90,6)*1</f>
        <v>122038</v>
      </c>
      <c r="B90" t="s">
        <v>398</v>
      </c>
      <c r="C90" s="10">
        <v>43252</v>
      </c>
      <c r="D90" s="13">
        <f>YEAR(C90)</f>
        <v>2018</v>
      </c>
      <c r="E90" s="13">
        <f>MONTH(C90)</f>
        <v>6</v>
      </c>
      <c r="F90" s="13">
        <f>DAY(C90)</f>
        <v>1</v>
      </c>
      <c r="G90" s="13" t="s">
        <v>536</v>
      </c>
      <c r="H90" s="4" t="s">
        <v>14</v>
      </c>
      <c r="I90">
        <v>46.849699999999999</v>
      </c>
      <c r="J90">
        <v>6.5510999999999999</v>
      </c>
      <c r="K90" s="4" t="s">
        <v>15</v>
      </c>
      <c r="L90" s="4"/>
      <c r="M90" s="4" t="s">
        <v>42</v>
      </c>
      <c r="N90" s="4" t="s">
        <v>118</v>
      </c>
      <c r="O90" s="4" t="s">
        <v>16</v>
      </c>
      <c r="P90" s="4" t="s">
        <v>19</v>
      </c>
    </row>
    <row r="91" spans="1:16" s="8" customFormat="1" x14ac:dyDescent="0.25">
      <c r="A91">
        <f>RIGHT(B91,6)*1</f>
        <v>122039</v>
      </c>
      <c r="B91" t="s">
        <v>399</v>
      </c>
      <c r="C91" s="10">
        <v>43252</v>
      </c>
      <c r="D91" s="13">
        <f>YEAR(C91)</f>
        <v>2018</v>
      </c>
      <c r="E91" s="13">
        <f>MONTH(C91)</f>
        <v>6</v>
      </c>
      <c r="F91" s="13">
        <f>DAY(C91)</f>
        <v>1</v>
      </c>
      <c r="G91" s="13" t="s">
        <v>536</v>
      </c>
      <c r="H91" s="4" t="s">
        <v>14</v>
      </c>
      <c r="I91">
        <v>46.849699999999999</v>
      </c>
      <c r="J91">
        <v>6.5510999999999999</v>
      </c>
      <c r="K91" s="4" t="s">
        <v>15</v>
      </c>
      <c r="L91" s="4"/>
      <c r="M91" s="4" t="s">
        <v>42</v>
      </c>
      <c r="N91" s="4" t="s">
        <v>118</v>
      </c>
      <c r="O91" s="4" t="s">
        <v>16</v>
      </c>
      <c r="P91" s="4" t="s">
        <v>27</v>
      </c>
    </row>
    <row r="92" spans="1:16" s="8" customFormat="1" x14ac:dyDescent="0.25">
      <c r="A92">
        <f>RIGHT(B92,6)*1</f>
        <v>122040</v>
      </c>
      <c r="B92" t="s">
        <v>400</v>
      </c>
      <c r="C92" s="10">
        <v>43258</v>
      </c>
      <c r="D92" s="13">
        <f>YEAR(C92)</f>
        <v>2018</v>
      </c>
      <c r="E92" s="13">
        <f>MONTH(C92)</f>
        <v>6</v>
      </c>
      <c r="F92" s="13">
        <f>DAY(C92)</f>
        <v>7</v>
      </c>
      <c r="G92" s="13" t="s">
        <v>536</v>
      </c>
      <c r="H92" s="4" t="s">
        <v>14</v>
      </c>
      <c r="I92">
        <v>46.955300000000001</v>
      </c>
      <c r="J92">
        <v>6.5072000000000001</v>
      </c>
      <c r="K92" s="4" t="s">
        <v>15</v>
      </c>
      <c r="L92" s="4"/>
      <c r="M92" s="4" t="s">
        <v>42</v>
      </c>
      <c r="N92" s="4" t="s">
        <v>118</v>
      </c>
      <c r="O92" s="4" t="s">
        <v>17</v>
      </c>
      <c r="P92" s="4" t="s">
        <v>27</v>
      </c>
    </row>
    <row r="93" spans="1:16" s="8" customFormat="1" x14ac:dyDescent="0.25">
      <c r="A93">
        <f>RIGHT(B93,6)*1</f>
        <v>122041</v>
      </c>
      <c r="B93" t="s">
        <v>401</v>
      </c>
      <c r="C93" s="10">
        <v>43265</v>
      </c>
      <c r="D93" s="13">
        <f>YEAR(C93)</f>
        <v>2018</v>
      </c>
      <c r="E93" s="13">
        <f>MONTH(C93)</f>
        <v>6</v>
      </c>
      <c r="F93" s="13">
        <f>DAY(C93)</f>
        <v>14</v>
      </c>
      <c r="G93" s="13" t="s">
        <v>536</v>
      </c>
      <c r="H93" s="4" t="s">
        <v>14</v>
      </c>
      <c r="I93">
        <v>47.0214</v>
      </c>
      <c r="J93">
        <v>6.8308</v>
      </c>
      <c r="K93" s="4" t="s">
        <v>15</v>
      </c>
      <c r="L93" s="4"/>
      <c r="M93" s="4" t="s">
        <v>42</v>
      </c>
      <c r="N93" s="4" t="s">
        <v>118</v>
      </c>
      <c r="O93" s="4" t="s">
        <v>16</v>
      </c>
      <c r="P93" s="4" t="s">
        <v>27</v>
      </c>
    </row>
    <row r="94" spans="1:16" s="8" customFormat="1" x14ac:dyDescent="0.25">
      <c r="A94">
        <f>RIGHT(B94,6)*1</f>
        <v>122042</v>
      </c>
      <c r="B94" t="s">
        <v>402</v>
      </c>
      <c r="C94" s="10">
        <v>43280</v>
      </c>
      <c r="D94" s="13">
        <f>YEAR(C94)</f>
        <v>2018</v>
      </c>
      <c r="E94" s="13">
        <f>MONTH(C94)</f>
        <v>6</v>
      </c>
      <c r="F94" s="13">
        <f>DAY(C94)</f>
        <v>29</v>
      </c>
      <c r="G94" s="13" t="s">
        <v>536</v>
      </c>
      <c r="H94" s="4" t="s">
        <v>14</v>
      </c>
      <c r="I94">
        <v>46.957099999999997</v>
      </c>
      <c r="J94">
        <v>6.4939999999999998</v>
      </c>
      <c r="K94" s="4" t="s">
        <v>15</v>
      </c>
      <c r="L94" s="4"/>
      <c r="M94" s="4" t="s">
        <v>42</v>
      </c>
      <c r="N94" s="4" t="s">
        <v>118</v>
      </c>
      <c r="O94" s="4" t="s">
        <v>16</v>
      </c>
      <c r="P94" s="4" t="s">
        <v>27</v>
      </c>
    </row>
    <row r="95" spans="1:16" s="8" customFormat="1" x14ac:dyDescent="0.25">
      <c r="A95">
        <f>RIGHT(B95,5)*1</f>
        <v>73994</v>
      </c>
      <c r="B95" t="s">
        <v>45</v>
      </c>
      <c r="C95" s="10">
        <v>42196</v>
      </c>
      <c r="D95" s="13">
        <f>YEAR(C95)</f>
        <v>2015</v>
      </c>
      <c r="E95" s="13">
        <f>MONTH(C95)</f>
        <v>7</v>
      </c>
      <c r="F95" s="13">
        <f>DAY(C95)</f>
        <v>11</v>
      </c>
      <c r="G95" s="13" t="s">
        <v>536</v>
      </c>
      <c r="H95" s="4" t="s">
        <v>14</v>
      </c>
      <c r="I95">
        <v>46.955300000000001</v>
      </c>
      <c r="J95">
        <v>6.4981</v>
      </c>
      <c r="K95" s="4" t="s">
        <v>15</v>
      </c>
      <c r="L95" s="4"/>
      <c r="M95" s="4" t="s">
        <v>1</v>
      </c>
      <c r="N95" s="4"/>
      <c r="O95" s="4" t="s">
        <v>16</v>
      </c>
      <c r="P95" s="4" t="s">
        <v>29</v>
      </c>
    </row>
    <row r="96" spans="1:16" s="8" customFormat="1" x14ac:dyDescent="0.25">
      <c r="A96">
        <f>RIGHT(B96,5)*1</f>
        <v>73995</v>
      </c>
      <c r="B96" t="s">
        <v>46</v>
      </c>
      <c r="C96" s="10">
        <v>42200</v>
      </c>
      <c r="D96" s="13">
        <f>YEAR(C96)</f>
        <v>2015</v>
      </c>
      <c r="E96" s="13">
        <f>MONTH(C96)</f>
        <v>7</v>
      </c>
      <c r="F96" s="13">
        <f>DAY(C96)</f>
        <v>15</v>
      </c>
      <c r="G96" s="13" t="s">
        <v>536</v>
      </c>
      <c r="H96" s="4" t="s">
        <v>14</v>
      </c>
      <c r="I96">
        <v>46.955300000000001</v>
      </c>
      <c r="J96">
        <v>6.4981</v>
      </c>
      <c r="K96" s="4" t="s">
        <v>15</v>
      </c>
      <c r="L96" s="4"/>
      <c r="M96" s="4" t="s">
        <v>1</v>
      </c>
      <c r="N96" s="4"/>
      <c r="O96" s="4" t="s">
        <v>17</v>
      </c>
      <c r="P96" s="4" t="s">
        <v>29</v>
      </c>
    </row>
    <row r="97" spans="1:16" s="8" customFormat="1" x14ac:dyDescent="0.25">
      <c r="A97">
        <f>RIGHT(B97,6)*1</f>
        <v>112967</v>
      </c>
      <c r="B97" t="s">
        <v>104</v>
      </c>
      <c r="C97" s="10">
        <v>43655</v>
      </c>
      <c r="D97" s="13">
        <f>YEAR(C97)</f>
        <v>2019</v>
      </c>
      <c r="E97" s="13">
        <f>MONTH(C97)</f>
        <v>7</v>
      </c>
      <c r="F97" s="13">
        <f>DAY(C97)</f>
        <v>9</v>
      </c>
      <c r="G97" s="13" t="s">
        <v>536</v>
      </c>
      <c r="H97" s="4" t="s">
        <v>14</v>
      </c>
      <c r="I97">
        <v>46.955300000000001</v>
      </c>
      <c r="J97">
        <v>6.4981</v>
      </c>
      <c r="K97" s="4" t="s">
        <v>15</v>
      </c>
      <c r="L97" s="4"/>
      <c r="M97" s="4" t="s">
        <v>1</v>
      </c>
      <c r="N97" s="4"/>
      <c r="O97" s="4" t="s">
        <v>16</v>
      </c>
      <c r="P97" s="4" t="s">
        <v>27</v>
      </c>
    </row>
    <row r="98" spans="1:16" s="8" customFormat="1" x14ac:dyDescent="0.25">
      <c r="A98">
        <f>RIGHT(B98,6)*1</f>
        <v>112968</v>
      </c>
      <c r="B98" t="s">
        <v>105</v>
      </c>
      <c r="C98" s="10">
        <v>43659</v>
      </c>
      <c r="D98" s="13">
        <f>YEAR(C98)</f>
        <v>2019</v>
      </c>
      <c r="E98" s="13">
        <f>MONTH(C98)</f>
        <v>7</v>
      </c>
      <c r="F98" s="13">
        <f>DAY(C98)</f>
        <v>13</v>
      </c>
      <c r="G98" s="13" t="s">
        <v>536</v>
      </c>
      <c r="H98" s="4" t="s">
        <v>14</v>
      </c>
      <c r="I98">
        <v>46.9255</v>
      </c>
      <c r="J98">
        <v>6.4813999999999998</v>
      </c>
      <c r="K98" s="4" t="s">
        <v>15</v>
      </c>
      <c r="L98" s="4"/>
      <c r="M98" s="4" t="s">
        <v>1</v>
      </c>
      <c r="N98" s="4"/>
      <c r="O98" s="4" t="s">
        <v>16</v>
      </c>
      <c r="P98" s="4" t="s">
        <v>29</v>
      </c>
    </row>
    <row r="99" spans="1:16" s="8" customFormat="1" x14ac:dyDescent="0.25">
      <c r="A99">
        <f>RIGHT(B99,6)*1</f>
        <v>112979</v>
      </c>
      <c r="B99" t="s">
        <v>117</v>
      </c>
      <c r="C99" s="10">
        <v>42572</v>
      </c>
      <c r="D99" s="13">
        <f>YEAR(C99)</f>
        <v>2016</v>
      </c>
      <c r="E99" s="13">
        <f>MONTH(C99)</f>
        <v>7</v>
      </c>
      <c r="F99" s="13">
        <f>DAY(C99)</f>
        <v>21</v>
      </c>
      <c r="G99" s="13" t="s">
        <v>536</v>
      </c>
      <c r="H99" s="4" t="s">
        <v>14</v>
      </c>
      <c r="I99">
        <v>46.955300000000001</v>
      </c>
      <c r="J99">
        <v>6.4981</v>
      </c>
      <c r="K99" s="4" t="s">
        <v>15</v>
      </c>
      <c r="L99" s="4"/>
      <c r="M99" s="4" t="s">
        <v>42</v>
      </c>
      <c r="N99" s="4" t="s">
        <v>118</v>
      </c>
      <c r="O99" s="4" t="s">
        <v>16</v>
      </c>
      <c r="P99" s="4" t="s">
        <v>29</v>
      </c>
    </row>
    <row r="100" spans="1:16" s="8" customFormat="1" x14ac:dyDescent="0.25">
      <c r="A100">
        <f>RIGHT(B100,6)*1</f>
        <v>112994</v>
      </c>
      <c r="B100" t="s">
        <v>134</v>
      </c>
      <c r="C100" s="10">
        <v>42930</v>
      </c>
      <c r="D100" s="13">
        <f>YEAR(C100)</f>
        <v>2017</v>
      </c>
      <c r="E100" s="13">
        <f>MONTH(C100)</f>
        <v>7</v>
      </c>
      <c r="F100" s="13">
        <f>DAY(C100)</f>
        <v>14</v>
      </c>
      <c r="G100" s="13" t="s">
        <v>536</v>
      </c>
      <c r="H100" s="4" t="s">
        <v>14</v>
      </c>
      <c r="I100">
        <v>46.955300000000001</v>
      </c>
      <c r="J100">
        <v>6.4981</v>
      </c>
      <c r="K100" s="4"/>
      <c r="L100" s="4"/>
      <c r="M100" s="4" t="s">
        <v>1</v>
      </c>
      <c r="N100" s="4"/>
      <c r="O100" s="4" t="s">
        <v>16</v>
      </c>
      <c r="P100" s="4" t="s">
        <v>29</v>
      </c>
    </row>
    <row r="101" spans="1:16" s="8" customFormat="1" x14ac:dyDescent="0.25">
      <c r="A101">
        <f>RIGHT(B101,6)*1</f>
        <v>112995</v>
      </c>
      <c r="B101" t="s">
        <v>135</v>
      </c>
      <c r="C101" s="10">
        <v>42933</v>
      </c>
      <c r="D101" s="13">
        <f>YEAR(C101)</f>
        <v>2017</v>
      </c>
      <c r="E101" s="13">
        <f>MONTH(C101)</f>
        <v>7</v>
      </c>
      <c r="F101" s="13">
        <f>DAY(C101)</f>
        <v>17</v>
      </c>
      <c r="G101" s="13" t="s">
        <v>536</v>
      </c>
      <c r="H101" s="4" t="s">
        <v>14</v>
      </c>
      <c r="I101">
        <v>46.955300000000001</v>
      </c>
      <c r="J101">
        <v>6.4981</v>
      </c>
      <c r="K101" s="4"/>
      <c r="L101" s="4"/>
      <c r="M101" s="4" t="s">
        <v>1</v>
      </c>
      <c r="N101" s="4"/>
      <c r="O101" s="4" t="s">
        <v>16</v>
      </c>
      <c r="P101" s="4" t="s">
        <v>29</v>
      </c>
    </row>
    <row r="102" spans="1:16" s="8" customFormat="1" x14ac:dyDescent="0.25">
      <c r="A102">
        <f>RIGHT(B102,6)*1</f>
        <v>113000</v>
      </c>
      <c r="B102" t="s">
        <v>140</v>
      </c>
      <c r="C102" s="10">
        <v>43295</v>
      </c>
      <c r="D102" s="13">
        <f>YEAR(C102)</f>
        <v>2018</v>
      </c>
      <c r="E102" s="13">
        <f>MONTH(C102)</f>
        <v>7</v>
      </c>
      <c r="F102" s="13">
        <f>DAY(C102)</f>
        <v>14</v>
      </c>
      <c r="G102" s="13" t="s">
        <v>536</v>
      </c>
      <c r="H102" s="4" t="s">
        <v>14</v>
      </c>
      <c r="I102">
        <v>46.955300000000001</v>
      </c>
      <c r="J102">
        <v>6.4981</v>
      </c>
      <c r="K102" s="4"/>
      <c r="L102" s="4"/>
      <c r="M102" s="4" t="s">
        <v>1</v>
      </c>
      <c r="N102" s="4"/>
      <c r="O102" s="4" t="s">
        <v>17</v>
      </c>
      <c r="P102" s="4" t="s">
        <v>24</v>
      </c>
    </row>
    <row r="103" spans="1:16" s="8" customFormat="1" x14ac:dyDescent="0.25">
      <c r="A103">
        <f>RIGHT(B103,6)*1</f>
        <v>115179</v>
      </c>
      <c r="B103" t="s">
        <v>171</v>
      </c>
      <c r="C103" s="3">
        <v>42558</v>
      </c>
      <c r="D103" s="13">
        <f>YEAR(C103)</f>
        <v>2016</v>
      </c>
      <c r="E103" s="13">
        <f>MONTH(C103)</f>
        <v>7</v>
      </c>
      <c r="F103" s="13">
        <f>DAY(C103)</f>
        <v>7</v>
      </c>
      <c r="G103" s="13" t="s">
        <v>536</v>
      </c>
      <c r="H103" s="4" t="s">
        <v>14</v>
      </c>
      <c r="I103">
        <v>46.946899999999999</v>
      </c>
      <c r="J103">
        <v>6.5769000000000002</v>
      </c>
      <c r="K103" s="4" t="s">
        <v>15</v>
      </c>
      <c r="L103" s="4"/>
      <c r="M103" s="4" t="s">
        <v>42</v>
      </c>
      <c r="N103" s="4" t="s">
        <v>43</v>
      </c>
      <c r="O103" s="4" t="s">
        <v>16</v>
      </c>
      <c r="P103" s="4">
        <v>6</v>
      </c>
    </row>
    <row r="104" spans="1:16" s="8" customFormat="1" x14ac:dyDescent="0.25">
      <c r="A104">
        <f>RIGHT(B104,6)*1</f>
        <v>115180</v>
      </c>
      <c r="B104" t="s">
        <v>172</v>
      </c>
      <c r="C104" s="3">
        <v>42559</v>
      </c>
      <c r="D104" s="13">
        <f>YEAR(C104)</f>
        <v>2016</v>
      </c>
      <c r="E104" s="13">
        <f>MONTH(C104)</f>
        <v>7</v>
      </c>
      <c r="F104" s="13">
        <f>DAY(C104)</f>
        <v>8</v>
      </c>
      <c r="G104" s="13" t="s">
        <v>536</v>
      </c>
      <c r="H104" s="4" t="s">
        <v>14</v>
      </c>
      <c r="I104">
        <v>46.9392</v>
      </c>
      <c r="J104">
        <v>6.7453000000000003</v>
      </c>
      <c r="K104" s="4" t="s">
        <v>15</v>
      </c>
      <c r="L104" s="4"/>
      <c r="M104" s="4" t="s">
        <v>42</v>
      </c>
      <c r="N104" s="4" t="s">
        <v>43</v>
      </c>
      <c r="O104" s="4" t="s">
        <v>16</v>
      </c>
      <c r="P104" s="4">
        <v>6</v>
      </c>
    </row>
    <row r="105" spans="1:16" s="8" customFormat="1" x14ac:dyDescent="0.25">
      <c r="A105">
        <f>RIGHT(B105,6)*1</f>
        <v>115181</v>
      </c>
      <c r="B105" t="s">
        <v>173</v>
      </c>
      <c r="C105" s="10">
        <v>42565</v>
      </c>
      <c r="D105" s="13">
        <f>YEAR(C105)</f>
        <v>2016</v>
      </c>
      <c r="E105" s="13">
        <f>MONTH(C105)</f>
        <v>7</v>
      </c>
      <c r="F105" s="13">
        <f>DAY(C105)</f>
        <v>14</v>
      </c>
      <c r="G105" s="13" t="s">
        <v>536</v>
      </c>
      <c r="H105" s="4" t="s">
        <v>14</v>
      </c>
      <c r="I105">
        <v>46.9392</v>
      </c>
      <c r="J105">
        <v>6.7453000000000003</v>
      </c>
      <c r="K105" s="4" t="s">
        <v>15</v>
      </c>
      <c r="L105" s="4"/>
      <c r="M105" s="4" t="s">
        <v>1</v>
      </c>
      <c r="N105" s="4"/>
      <c r="O105" s="4" t="s">
        <v>17</v>
      </c>
      <c r="P105" s="4">
        <v>3</v>
      </c>
    </row>
    <row r="106" spans="1:16" s="8" customFormat="1" x14ac:dyDescent="0.25">
      <c r="A106">
        <f>RIGHT(B106,6)*1</f>
        <v>115182</v>
      </c>
      <c r="B106" t="s">
        <v>174</v>
      </c>
      <c r="C106" s="3">
        <v>42570</v>
      </c>
      <c r="D106" s="13">
        <f>YEAR(C106)</f>
        <v>2016</v>
      </c>
      <c r="E106" s="13">
        <f>MONTH(C106)</f>
        <v>7</v>
      </c>
      <c r="F106" s="13">
        <f>DAY(C106)</f>
        <v>19</v>
      </c>
      <c r="G106" s="13" t="s">
        <v>536</v>
      </c>
      <c r="H106" s="4" t="s">
        <v>14</v>
      </c>
      <c r="I106">
        <v>46.933900000000001</v>
      </c>
      <c r="J106">
        <v>6.5049999999999999</v>
      </c>
      <c r="K106" s="4" t="s">
        <v>15</v>
      </c>
      <c r="L106" s="4"/>
      <c r="M106" s="4" t="s">
        <v>42</v>
      </c>
      <c r="N106" s="4" t="s">
        <v>118</v>
      </c>
      <c r="O106" s="4" t="s">
        <v>16</v>
      </c>
      <c r="P106" s="4">
        <v>2</v>
      </c>
    </row>
    <row r="107" spans="1:16" s="8" customFormat="1" x14ac:dyDescent="0.25">
      <c r="A107">
        <f>RIGHT(B107,6)*1</f>
        <v>122043</v>
      </c>
      <c r="B107" t="s">
        <v>403</v>
      </c>
      <c r="C107" s="10">
        <v>43285</v>
      </c>
      <c r="D107" s="13">
        <f>YEAR(C107)</f>
        <v>2018</v>
      </c>
      <c r="E107" s="13">
        <f>MONTH(C107)</f>
        <v>7</v>
      </c>
      <c r="F107" s="13">
        <f>DAY(C107)</f>
        <v>4</v>
      </c>
      <c r="G107" s="13" t="s">
        <v>536</v>
      </c>
      <c r="H107" s="4" t="s">
        <v>14</v>
      </c>
      <c r="I107">
        <v>46.9392</v>
      </c>
      <c r="J107">
        <v>6.7453000000000003</v>
      </c>
      <c r="K107" s="4" t="s">
        <v>15</v>
      </c>
      <c r="L107" s="4"/>
      <c r="M107" s="4" t="s">
        <v>1</v>
      </c>
      <c r="N107" s="4"/>
      <c r="O107" s="4" t="s">
        <v>16</v>
      </c>
      <c r="P107" s="4" t="s">
        <v>404</v>
      </c>
    </row>
    <row r="108" spans="1:16" s="8" customFormat="1" x14ac:dyDescent="0.25">
      <c r="A108">
        <f>RIGHT(B108,6)*1</f>
        <v>122044</v>
      </c>
      <c r="B108" t="s">
        <v>405</v>
      </c>
      <c r="C108" s="10">
        <v>43287</v>
      </c>
      <c r="D108" s="13">
        <f>YEAR(C108)</f>
        <v>2018</v>
      </c>
      <c r="E108" s="13">
        <f>MONTH(C108)</f>
        <v>7</v>
      </c>
      <c r="F108" s="13">
        <f>DAY(C108)</f>
        <v>6</v>
      </c>
      <c r="G108" s="13" t="s">
        <v>536</v>
      </c>
      <c r="H108" s="4" t="s">
        <v>14</v>
      </c>
      <c r="I108">
        <v>46.988100000000003</v>
      </c>
      <c r="J108">
        <v>6.6749999999999998</v>
      </c>
      <c r="K108" s="4" t="s">
        <v>15</v>
      </c>
      <c r="L108" s="4"/>
      <c r="M108" s="4" t="s">
        <v>42</v>
      </c>
      <c r="N108" s="4" t="s">
        <v>43</v>
      </c>
      <c r="O108" s="4" t="s">
        <v>16</v>
      </c>
      <c r="P108" s="4" t="s">
        <v>29</v>
      </c>
    </row>
    <row r="109" spans="1:16" s="8" customFormat="1" x14ac:dyDescent="0.25">
      <c r="A109">
        <f>RIGHT(B109,6)*1</f>
        <v>122045</v>
      </c>
      <c r="B109" t="s">
        <v>406</v>
      </c>
      <c r="C109" s="10">
        <v>43288</v>
      </c>
      <c r="D109" s="13">
        <f>YEAR(C109)</f>
        <v>2018</v>
      </c>
      <c r="E109" s="13">
        <f>MONTH(C109)</f>
        <v>7</v>
      </c>
      <c r="F109" s="13">
        <f>DAY(C109)</f>
        <v>7</v>
      </c>
      <c r="G109" s="13" t="s">
        <v>536</v>
      </c>
      <c r="H109" s="4" t="s">
        <v>14</v>
      </c>
      <c r="I109">
        <v>46.988100000000003</v>
      </c>
      <c r="J109">
        <v>6.6749999999999998</v>
      </c>
      <c r="K109" s="4" t="s">
        <v>15</v>
      </c>
      <c r="L109" s="4"/>
      <c r="M109" s="4" t="s">
        <v>42</v>
      </c>
      <c r="N109" s="4" t="s">
        <v>43</v>
      </c>
      <c r="O109" s="4" t="s">
        <v>16</v>
      </c>
      <c r="P109" s="4" t="s">
        <v>29</v>
      </c>
    </row>
    <row r="110" spans="1:16" x14ac:dyDescent="0.25">
      <c r="A110">
        <f>RIGHT(B110,6)*1</f>
        <v>122046</v>
      </c>
      <c r="B110" t="s">
        <v>407</v>
      </c>
      <c r="C110" s="10">
        <v>43289</v>
      </c>
      <c r="D110" s="13">
        <f>YEAR(C110)</f>
        <v>2018</v>
      </c>
      <c r="E110" s="13">
        <f>MONTH(C110)</f>
        <v>7</v>
      </c>
      <c r="F110" s="13">
        <f>DAY(C110)</f>
        <v>8</v>
      </c>
      <c r="G110" s="13" t="s">
        <v>536</v>
      </c>
      <c r="H110" s="4" t="s">
        <v>14</v>
      </c>
      <c r="I110">
        <v>46.988100000000003</v>
      </c>
      <c r="J110">
        <v>6.6749999999999998</v>
      </c>
      <c r="K110" s="4" t="s">
        <v>15</v>
      </c>
      <c r="M110" s="4" t="s">
        <v>42</v>
      </c>
      <c r="N110" s="4" t="s">
        <v>43</v>
      </c>
      <c r="O110" s="4" t="s">
        <v>16</v>
      </c>
      <c r="P110" s="4" t="s">
        <v>19</v>
      </c>
    </row>
    <row r="111" spans="1:16" s="8" customFormat="1" x14ac:dyDescent="0.25">
      <c r="A111">
        <f>RIGHT(B111,5)*1</f>
        <v>73979</v>
      </c>
      <c r="B111" t="s">
        <v>23</v>
      </c>
      <c r="C111" s="10">
        <v>41122</v>
      </c>
      <c r="D111" s="13">
        <f>YEAR(C111)</f>
        <v>2012</v>
      </c>
      <c r="E111" s="13">
        <f>MONTH(C111)</f>
        <v>8</v>
      </c>
      <c r="F111" s="13">
        <f>DAY(C111)</f>
        <v>1</v>
      </c>
      <c r="G111" s="13" t="s">
        <v>536</v>
      </c>
      <c r="H111" s="4" t="s">
        <v>14</v>
      </c>
      <c r="I111">
        <v>46.924700000000001</v>
      </c>
      <c r="J111">
        <v>6.4802999999999997</v>
      </c>
      <c r="K111" s="4" t="s">
        <v>15</v>
      </c>
      <c r="L111" s="4"/>
      <c r="M111" s="4" t="s">
        <v>1</v>
      </c>
      <c r="N111" s="4"/>
      <c r="O111" s="4" t="s">
        <v>17</v>
      </c>
      <c r="P111" s="4" t="s">
        <v>24</v>
      </c>
    </row>
    <row r="112" spans="1:16" s="8" customFormat="1" x14ac:dyDescent="0.25">
      <c r="A112">
        <f>RIGHT(B112,5)*1</f>
        <v>73980</v>
      </c>
      <c r="B112" t="s">
        <v>25</v>
      </c>
      <c r="C112" s="10">
        <v>41132</v>
      </c>
      <c r="D112" s="13">
        <f>YEAR(C112)</f>
        <v>2012</v>
      </c>
      <c r="E112" s="13">
        <f>MONTH(C112)</f>
        <v>8</v>
      </c>
      <c r="F112" s="13">
        <f>DAY(C112)</f>
        <v>11</v>
      </c>
      <c r="G112" s="13" t="s">
        <v>536</v>
      </c>
      <c r="H112" s="4" t="s">
        <v>14</v>
      </c>
      <c r="I112">
        <v>46.924700000000001</v>
      </c>
      <c r="J112">
        <v>6.4802999999999997</v>
      </c>
      <c r="K112" s="4" t="s">
        <v>15</v>
      </c>
      <c r="L112" s="4"/>
      <c r="M112" s="4" t="s">
        <v>1</v>
      </c>
      <c r="N112" s="4"/>
      <c r="O112" s="4" t="s">
        <v>17</v>
      </c>
      <c r="P112" s="4" t="s">
        <v>24</v>
      </c>
    </row>
    <row r="113" spans="1:16" s="8" customFormat="1" x14ac:dyDescent="0.25">
      <c r="A113">
        <f>RIGHT(B113,5)*1</f>
        <v>73981</v>
      </c>
      <c r="B113" t="s">
        <v>26</v>
      </c>
      <c r="C113" s="10">
        <v>41517</v>
      </c>
      <c r="D113" s="13">
        <f>YEAR(C113)</f>
        <v>2013</v>
      </c>
      <c r="E113" s="13">
        <f>MONTH(C113)</f>
        <v>8</v>
      </c>
      <c r="F113" s="13">
        <f>DAY(C113)</f>
        <v>31</v>
      </c>
      <c r="G113" s="13" t="s">
        <v>536</v>
      </c>
      <c r="H113" s="4" t="s">
        <v>14</v>
      </c>
      <c r="I113">
        <v>46.924700000000001</v>
      </c>
      <c r="J113">
        <v>6.4802999999999997</v>
      </c>
      <c r="K113" s="4" t="s">
        <v>15</v>
      </c>
      <c r="L113" s="4"/>
      <c r="M113" s="4" t="s">
        <v>1</v>
      </c>
      <c r="N113" s="4"/>
      <c r="O113" s="4" t="s">
        <v>17</v>
      </c>
      <c r="P113" s="4" t="s">
        <v>27</v>
      </c>
    </row>
    <row r="114" spans="1:16" s="8" customFormat="1" x14ac:dyDescent="0.25">
      <c r="A114">
        <f>RIGHT(B114,5)*1</f>
        <v>73987</v>
      </c>
      <c r="B114" t="s">
        <v>36</v>
      </c>
      <c r="C114" s="10">
        <v>41876</v>
      </c>
      <c r="D114" s="13">
        <f>YEAR(C114)</f>
        <v>2014</v>
      </c>
      <c r="E114" s="13">
        <f>MONTH(C114)</f>
        <v>8</v>
      </c>
      <c r="F114" s="13">
        <f>DAY(C114)</f>
        <v>25</v>
      </c>
      <c r="G114" s="13" t="s">
        <v>536</v>
      </c>
      <c r="H114" s="4" t="s">
        <v>14</v>
      </c>
      <c r="I114">
        <v>46.955300000000001</v>
      </c>
      <c r="J114">
        <v>6.4981</v>
      </c>
      <c r="K114" s="4" t="s">
        <v>15</v>
      </c>
      <c r="L114" s="4"/>
      <c r="M114" s="4" t="s">
        <v>1</v>
      </c>
      <c r="N114" s="4"/>
      <c r="O114" s="4" t="s">
        <v>16</v>
      </c>
      <c r="P114" s="4" t="s">
        <v>29</v>
      </c>
    </row>
    <row r="115" spans="1:16" x14ac:dyDescent="0.25">
      <c r="A115">
        <f>RIGHT(B115,5)*1</f>
        <v>73996</v>
      </c>
      <c r="B115" t="s">
        <v>47</v>
      </c>
      <c r="C115" s="10">
        <v>42221</v>
      </c>
      <c r="D115" s="13">
        <f>YEAR(C115)</f>
        <v>2015</v>
      </c>
      <c r="E115" s="13">
        <f>MONTH(C115)</f>
        <v>8</v>
      </c>
      <c r="F115" s="13">
        <f>DAY(C115)</f>
        <v>5</v>
      </c>
      <c r="G115" s="13" t="s">
        <v>536</v>
      </c>
      <c r="H115" s="4" t="s">
        <v>14</v>
      </c>
      <c r="I115">
        <v>46.955300000000001</v>
      </c>
      <c r="J115">
        <v>6.4981</v>
      </c>
      <c r="K115" s="4" t="s">
        <v>15</v>
      </c>
      <c r="M115" s="4" t="s">
        <v>1</v>
      </c>
      <c r="O115" s="4" t="s">
        <v>16</v>
      </c>
      <c r="P115" s="4" t="s">
        <v>27</v>
      </c>
    </row>
    <row r="116" spans="1:16" s="8" customFormat="1" x14ac:dyDescent="0.25">
      <c r="A116">
        <f>RIGHT(B116,5)*1</f>
        <v>73997</v>
      </c>
      <c r="B116" t="s">
        <v>49</v>
      </c>
      <c r="C116" s="10">
        <v>42223</v>
      </c>
      <c r="D116" s="13">
        <f>YEAR(C116)</f>
        <v>2015</v>
      </c>
      <c r="E116" s="13">
        <f>MONTH(C116)</f>
        <v>8</v>
      </c>
      <c r="F116" s="13">
        <f>DAY(C116)</f>
        <v>7</v>
      </c>
      <c r="G116" s="13" t="s">
        <v>536</v>
      </c>
      <c r="H116" s="4" t="s">
        <v>14</v>
      </c>
      <c r="I116">
        <v>46.955300000000001</v>
      </c>
      <c r="J116">
        <v>6.4981</v>
      </c>
      <c r="K116" s="4" t="s">
        <v>15</v>
      </c>
      <c r="L116" s="4"/>
      <c r="M116" s="4" t="s">
        <v>1</v>
      </c>
      <c r="N116" s="4"/>
      <c r="O116" s="4" t="s">
        <v>17</v>
      </c>
      <c r="P116" s="4" t="s">
        <v>29</v>
      </c>
    </row>
    <row r="117" spans="1:16" s="8" customFormat="1" x14ac:dyDescent="0.25">
      <c r="A117">
        <f>RIGHT(B117,5)*1</f>
        <v>73998</v>
      </c>
      <c r="B117" t="s">
        <v>50</v>
      </c>
      <c r="C117" s="10">
        <v>42246</v>
      </c>
      <c r="D117" s="13">
        <f>YEAR(C117)</f>
        <v>2015</v>
      </c>
      <c r="E117" s="13">
        <f>MONTH(C117)</f>
        <v>8</v>
      </c>
      <c r="F117" s="13">
        <f>DAY(C117)</f>
        <v>30</v>
      </c>
      <c r="G117" s="13" t="s">
        <v>536</v>
      </c>
      <c r="H117" s="4" t="s">
        <v>14</v>
      </c>
      <c r="I117">
        <v>46.955300000000001</v>
      </c>
      <c r="J117">
        <v>6.4981</v>
      </c>
      <c r="K117" s="4" t="s">
        <v>15</v>
      </c>
      <c r="L117" s="4"/>
      <c r="M117" s="4" t="s">
        <v>1</v>
      </c>
      <c r="N117" s="4"/>
      <c r="O117" s="4" t="s">
        <v>17</v>
      </c>
      <c r="P117" s="4" t="s">
        <v>29</v>
      </c>
    </row>
    <row r="118" spans="1:16" s="8" customFormat="1" x14ac:dyDescent="0.25">
      <c r="A118">
        <f>RIGHT(B118,5)*1</f>
        <v>99318</v>
      </c>
      <c r="B118" t="s">
        <v>55</v>
      </c>
      <c r="C118" s="10">
        <v>44070</v>
      </c>
      <c r="D118" s="13">
        <f>YEAR(C118)</f>
        <v>2020</v>
      </c>
      <c r="E118" s="13">
        <f>MONTH(C118)</f>
        <v>8</v>
      </c>
      <c r="F118" s="13">
        <f>DAY(C118)</f>
        <v>27</v>
      </c>
      <c r="G118" s="13" t="s">
        <v>536</v>
      </c>
      <c r="H118" s="4" t="s">
        <v>14</v>
      </c>
      <c r="I118">
        <v>46.966299999999997</v>
      </c>
      <c r="J118">
        <v>6.5214999999999996</v>
      </c>
      <c r="K118" s="4" t="s">
        <v>15</v>
      </c>
      <c r="L118" s="4"/>
      <c r="M118" s="4" t="s">
        <v>1</v>
      </c>
      <c r="N118" s="4"/>
      <c r="O118" s="4" t="s">
        <v>16</v>
      </c>
      <c r="P118" s="4" t="s">
        <v>29</v>
      </c>
    </row>
    <row r="119" spans="1:16" s="8" customFormat="1" x14ac:dyDescent="0.25">
      <c r="A119">
        <f>RIGHT(B119,6)*1</f>
        <v>112962</v>
      </c>
      <c r="B119" t="s">
        <v>99</v>
      </c>
      <c r="C119" s="10">
        <v>42229</v>
      </c>
      <c r="D119" s="13">
        <f>YEAR(C119)</f>
        <v>2015</v>
      </c>
      <c r="E119" s="13">
        <f>MONTH(C119)</f>
        <v>8</v>
      </c>
      <c r="F119" s="13">
        <f>DAY(C119)</f>
        <v>13</v>
      </c>
      <c r="G119" s="13" t="s">
        <v>536</v>
      </c>
      <c r="H119" s="4" t="s">
        <v>14</v>
      </c>
      <c r="I119">
        <v>46.935600000000001</v>
      </c>
      <c r="J119">
        <v>6.7492000000000001</v>
      </c>
      <c r="K119" s="4" t="s">
        <v>15</v>
      </c>
      <c r="L119" s="4"/>
      <c r="M119" s="4" t="s">
        <v>1</v>
      </c>
      <c r="N119" s="4"/>
      <c r="O119" s="4" t="s">
        <v>17</v>
      </c>
      <c r="P119" s="4" t="s">
        <v>24</v>
      </c>
    </row>
    <row r="120" spans="1:16" s="8" customFormat="1" x14ac:dyDescent="0.25">
      <c r="A120">
        <f>RIGHT(B120,6)*1</f>
        <v>112980</v>
      </c>
      <c r="B120" t="s">
        <v>119</v>
      </c>
      <c r="C120" s="10">
        <v>42590</v>
      </c>
      <c r="D120" s="13">
        <f>YEAR(C120)</f>
        <v>2016</v>
      </c>
      <c r="E120" s="13">
        <f>MONTH(C120)</f>
        <v>8</v>
      </c>
      <c r="F120" s="13">
        <f>DAY(C120)</f>
        <v>8</v>
      </c>
      <c r="G120" s="13" t="s">
        <v>536</v>
      </c>
      <c r="H120" s="4" t="s">
        <v>14</v>
      </c>
      <c r="I120">
        <v>46.955300000000001</v>
      </c>
      <c r="J120">
        <v>6.4981</v>
      </c>
      <c r="K120" s="4" t="s">
        <v>15</v>
      </c>
      <c r="L120" s="4"/>
      <c r="M120" s="4" t="s">
        <v>1</v>
      </c>
      <c r="N120" s="4"/>
      <c r="O120" s="4" t="s">
        <v>17</v>
      </c>
      <c r="P120" s="4" t="s">
        <v>29</v>
      </c>
    </row>
    <row r="121" spans="1:16" s="8" customFormat="1" x14ac:dyDescent="0.25">
      <c r="A121">
        <f>RIGHT(B121,6)*1</f>
        <v>112981</v>
      </c>
      <c r="B121" t="s">
        <v>120</v>
      </c>
      <c r="C121" s="10">
        <v>42596</v>
      </c>
      <c r="D121" s="13">
        <f>YEAR(C121)</f>
        <v>2016</v>
      </c>
      <c r="E121" s="13">
        <f>MONTH(C121)</f>
        <v>8</v>
      </c>
      <c r="F121" s="13">
        <f>DAY(C121)</f>
        <v>14</v>
      </c>
      <c r="G121" s="13" t="s">
        <v>536</v>
      </c>
      <c r="H121" s="4" t="s">
        <v>14</v>
      </c>
      <c r="I121">
        <v>46.955300000000001</v>
      </c>
      <c r="J121">
        <v>6.4981</v>
      </c>
      <c r="K121" s="4" t="s">
        <v>15</v>
      </c>
      <c r="L121" s="4"/>
      <c r="M121" s="4" t="s">
        <v>1</v>
      </c>
      <c r="N121" s="4"/>
      <c r="O121" s="4" t="s">
        <v>17</v>
      </c>
      <c r="P121" s="4" t="s">
        <v>29</v>
      </c>
    </row>
    <row r="122" spans="1:16" s="8" customFormat="1" x14ac:dyDescent="0.25">
      <c r="A122">
        <f>RIGHT(B122,6)*1</f>
        <v>112982</v>
      </c>
      <c r="B122" t="s">
        <v>121</v>
      </c>
      <c r="C122" s="10">
        <v>42598</v>
      </c>
      <c r="D122" s="13">
        <f>YEAR(C122)</f>
        <v>2016</v>
      </c>
      <c r="E122" s="13">
        <f>MONTH(C122)</f>
        <v>8</v>
      </c>
      <c r="F122" s="13">
        <f>DAY(C122)</f>
        <v>16</v>
      </c>
      <c r="G122" s="13" t="s">
        <v>536</v>
      </c>
      <c r="H122" s="4" t="s">
        <v>14</v>
      </c>
      <c r="I122">
        <v>46.955300000000001</v>
      </c>
      <c r="J122">
        <v>6.4981</v>
      </c>
      <c r="K122" s="4" t="s">
        <v>15</v>
      </c>
      <c r="L122" s="4"/>
      <c r="M122" s="4" t="s">
        <v>1</v>
      </c>
      <c r="N122" s="4"/>
      <c r="O122" s="4" t="s">
        <v>17</v>
      </c>
      <c r="P122" s="4" t="s">
        <v>29</v>
      </c>
    </row>
    <row r="123" spans="1:16" s="8" customFormat="1" x14ac:dyDescent="0.25">
      <c r="A123">
        <f>RIGHT(B123,6)*1</f>
        <v>112983</v>
      </c>
      <c r="B123" t="s">
        <v>122</v>
      </c>
      <c r="C123" s="10">
        <v>42598</v>
      </c>
      <c r="D123" s="13">
        <f>YEAR(C123)</f>
        <v>2016</v>
      </c>
      <c r="E123" s="13">
        <f>MONTH(C123)</f>
        <v>8</v>
      </c>
      <c r="F123" s="13">
        <f>DAY(C123)</f>
        <v>16</v>
      </c>
      <c r="G123" s="13" t="s">
        <v>536</v>
      </c>
      <c r="H123" s="4" t="s">
        <v>14</v>
      </c>
      <c r="I123">
        <v>46.955300000000001</v>
      </c>
      <c r="J123">
        <v>6.4981</v>
      </c>
      <c r="K123" s="4" t="s">
        <v>15</v>
      </c>
      <c r="L123" s="4"/>
      <c r="M123" s="4" t="s">
        <v>1</v>
      </c>
      <c r="N123" s="4"/>
      <c r="O123" s="4" t="s">
        <v>17</v>
      </c>
      <c r="P123" s="4" t="s">
        <v>29</v>
      </c>
    </row>
    <row r="124" spans="1:16" s="8" customFormat="1" x14ac:dyDescent="0.25">
      <c r="A124">
        <f>RIGHT(B124,6)*1</f>
        <v>112984</v>
      </c>
      <c r="B124" t="s">
        <v>123</v>
      </c>
      <c r="C124" s="10">
        <v>42612</v>
      </c>
      <c r="D124" s="13">
        <f>YEAR(C124)</f>
        <v>2016</v>
      </c>
      <c r="E124" s="13">
        <f>MONTH(C124)</f>
        <v>8</v>
      </c>
      <c r="F124" s="13">
        <f>DAY(C124)</f>
        <v>30</v>
      </c>
      <c r="G124" s="13" t="s">
        <v>536</v>
      </c>
      <c r="H124" s="4" t="s">
        <v>14</v>
      </c>
      <c r="I124">
        <v>46.955300000000001</v>
      </c>
      <c r="J124">
        <v>6.4981</v>
      </c>
      <c r="K124" s="4" t="s">
        <v>15</v>
      </c>
      <c r="L124" s="4"/>
      <c r="M124" s="4" t="s">
        <v>1</v>
      </c>
      <c r="N124" s="4"/>
      <c r="O124" s="4" t="s">
        <v>17</v>
      </c>
      <c r="P124" s="4" t="s">
        <v>29</v>
      </c>
    </row>
    <row r="125" spans="1:16" s="8" customFormat="1" x14ac:dyDescent="0.25">
      <c r="A125">
        <f>RIGHT(B125,6)*1</f>
        <v>112996</v>
      </c>
      <c r="B125" t="s">
        <v>136</v>
      </c>
      <c r="C125" s="10">
        <v>42952</v>
      </c>
      <c r="D125" s="13">
        <f>YEAR(C125)</f>
        <v>2017</v>
      </c>
      <c r="E125" s="13">
        <f>MONTH(C125)</f>
        <v>8</v>
      </c>
      <c r="F125" s="13">
        <f>DAY(C125)</f>
        <v>5</v>
      </c>
      <c r="G125" s="13" t="s">
        <v>536</v>
      </c>
      <c r="H125" s="4" t="s">
        <v>14</v>
      </c>
      <c r="I125">
        <v>46.955300000000001</v>
      </c>
      <c r="J125">
        <v>6.4981</v>
      </c>
      <c r="K125" s="4"/>
      <c r="L125" s="4"/>
      <c r="M125" s="4" t="s">
        <v>1</v>
      </c>
      <c r="N125" s="4"/>
      <c r="O125" s="4" t="s">
        <v>17</v>
      </c>
      <c r="P125" s="4" t="s">
        <v>29</v>
      </c>
    </row>
    <row r="126" spans="1:16" s="8" customFormat="1" x14ac:dyDescent="0.25">
      <c r="A126">
        <f>RIGHT(B126,5)*1</f>
        <v>73982</v>
      </c>
      <c r="B126" t="s">
        <v>28</v>
      </c>
      <c r="C126" s="10">
        <v>41522</v>
      </c>
      <c r="D126" s="13">
        <f>YEAR(C126)</f>
        <v>2013</v>
      </c>
      <c r="E126" s="13">
        <f>MONTH(C126)</f>
        <v>9</v>
      </c>
      <c r="F126" s="13">
        <f>DAY(C126)</f>
        <v>5</v>
      </c>
      <c r="G126" s="13" t="s">
        <v>535</v>
      </c>
      <c r="H126" s="4" t="s">
        <v>14</v>
      </c>
      <c r="I126">
        <v>46.955300000000001</v>
      </c>
      <c r="J126">
        <v>6.4981</v>
      </c>
      <c r="K126" s="4" t="s">
        <v>15</v>
      </c>
      <c r="L126" s="4"/>
      <c r="M126" s="4" t="s">
        <v>1</v>
      </c>
      <c r="N126" s="4"/>
      <c r="O126" s="4" t="s">
        <v>17</v>
      </c>
      <c r="P126" s="4" t="s">
        <v>29</v>
      </c>
    </row>
    <row r="127" spans="1:16" s="8" customFormat="1" x14ac:dyDescent="0.25">
      <c r="A127">
        <f>RIGHT(B127,5)*1</f>
        <v>73983</v>
      </c>
      <c r="B127" t="s">
        <v>30</v>
      </c>
      <c r="C127" s="10">
        <v>41545</v>
      </c>
      <c r="D127" s="13">
        <f>YEAR(C127)</f>
        <v>2013</v>
      </c>
      <c r="E127" s="13">
        <f>MONTH(C127)</f>
        <v>9</v>
      </c>
      <c r="F127" s="13">
        <f>DAY(C127)</f>
        <v>28</v>
      </c>
      <c r="G127" s="13" t="s">
        <v>535</v>
      </c>
      <c r="H127" s="4" t="s">
        <v>14</v>
      </c>
      <c r="I127">
        <v>46.955300000000001</v>
      </c>
      <c r="J127">
        <v>6.4981</v>
      </c>
      <c r="K127" s="4" t="s">
        <v>15</v>
      </c>
      <c r="L127" s="4"/>
      <c r="M127" s="4" t="s">
        <v>1</v>
      </c>
      <c r="N127" s="4"/>
      <c r="O127" s="4" t="s">
        <v>16</v>
      </c>
      <c r="P127" s="4" t="s">
        <v>27</v>
      </c>
    </row>
    <row r="128" spans="1:16" s="8" customFormat="1" x14ac:dyDescent="0.25">
      <c r="A128">
        <f>RIGHT(B128,5)*1</f>
        <v>73988</v>
      </c>
      <c r="B128" t="s">
        <v>37</v>
      </c>
      <c r="C128" s="10">
        <v>41892</v>
      </c>
      <c r="D128" s="13">
        <f>YEAR(C128)</f>
        <v>2014</v>
      </c>
      <c r="E128" s="13">
        <f>MONTH(C128)</f>
        <v>9</v>
      </c>
      <c r="F128" s="13">
        <f>DAY(C128)</f>
        <v>10</v>
      </c>
      <c r="G128" s="13" t="s">
        <v>535</v>
      </c>
      <c r="H128" s="4" t="s">
        <v>14</v>
      </c>
      <c r="I128">
        <v>46.955300000000001</v>
      </c>
      <c r="J128">
        <v>6.4981</v>
      </c>
      <c r="K128" s="4" t="s">
        <v>15</v>
      </c>
      <c r="L128" s="4"/>
      <c r="M128" s="4" t="s">
        <v>1</v>
      </c>
      <c r="N128" s="4"/>
      <c r="O128" s="4" t="s">
        <v>16</v>
      </c>
      <c r="P128" s="4" t="s">
        <v>29</v>
      </c>
    </row>
    <row r="129" spans="1:16" s="8" customFormat="1" x14ac:dyDescent="0.25">
      <c r="A129">
        <f>RIGHT(B129,5)*1</f>
        <v>73999</v>
      </c>
      <c r="B129" t="s">
        <v>51</v>
      </c>
      <c r="C129" s="10">
        <v>42250</v>
      </c>
      <c r="D129" s="13">
        <f>YEAR(C129)</f>
        <v>2015</v>
      </c>
      <c r="E129" s="13">
        <f>MONTH(C129)</f>
        <v>9</v>
      </c>
      <c r="F129" s="13">
        <f>DAY(C129)</f>
        <v>3</v>
      </c>
      <c r="G129" s="13" t="s">
        <v>535</v>
      </c>
      <c r="H129" s="4" t="s">
        <v>14</v>
      </c>
      <c r="I129">
        <v>46.955300000000001</v>
      </c>
      <c r="J129">
        <v>6.4981</v>
      </c>
      <c r="K129" s="4" t="s">
        <v>15</v>
      </c>
      <c r="L129" s="4"/>
      <c r="M129" s="4" t="s">
        <v>1</v>
      </c>
      <c r="N129" s="4"/>
      <c r="O129" s="4" t="s">
        <v>16</v>
      </c>
      <c r="P129" s="4" t="s">
        <v>27</v>
      </c>
    </row>
    <row r="130" spans="1:16" s="8" customFormat="1" x14ac:dyDescent="0.25">
      <c r="A130">
        <f>RIGHT(B130,5)*1</f>
        <v>74000</v>
      </c>
      <c r="B130" t="s">
        <v>52</v>
      </c>
      <c r="C130" s="10">
        <v>42255</v>
      </c>
      <c r="D130" s="13">
        <f>YEAR(C130)</f>
        <v>2015</v>
      </c>
      <c r="E130" s="13">
        <f>MONTH(C130)</f>
        <v>9</v>
      </c>
      <c r="F130" s="13">
        <f>DAY(C130)</f>
        <v>8</v>
      </c>
      <c r="G130" s="13" t="s">
        <v>535</v>
      </c>
      <c r="H130" s="4" t="s">
        <v>14</v>
      </c>
      <c r="I130">
        <v>46.955300000000001</v>
      </c>
      <c r="J130">
        <v>6.4981</v>
      </c>
      <c r="K130" s="4" t="s">
        <v>15</v>
      </c>
      <c r="L130" s="4"/>
      <c r="M130" s="4" t="s">
        <v>1</v>
      </c>
      <c r="N130" s="4"/>
      <c r="O130" s="4" t="s">
        <v>16</v>
      </c>
      <c r="P130" s="4" t="s">
        <v>29</v>
      </c>
    </row>
    <row r="131" spans="1:16" s="8" customFormat="1" x14ac:dyDescent="0.25">
      <c r="A131">
        <f>RIGHT(B131,5)*1</f>
        <v>99317</v>
      </c>
      <c r="B131" t="s">
        <v>54</v>
      </c>
      <c r="C131" s="10">
        <v>43729</v>
      </c>
      <c r="D131" s="13">
        <f>YEAR(C131)</f>
        <v>2019</v>
      </c>
      <c r="E131" s="13">
        <f>MONTH(C131)</f>
        <v>9</v>
      </c>
      <c r="F131" s="13">
        <f>DAY(C131)</f>
        <v>21</v>
      </c>
      <c r="G131" s="13" t="s">
        <v>535</v>
      </c>
      <c r="H131" s="4" t="s">
        <v>14</v>
      </c>
      <c r="I131">
        <v>46.9681</v>
      </c>
      <c r="J131">
        <v>6.5187999999999997</v>
      </c>
      <c r="K131" s="4" t="s">
        <v>15</v>
      </c>
      <c r="L131" s="4"/>
      <c r="M131" s="4" t="s">
        <v>1</v>
      </c>
      <c r="N131" s="4"/>
      <c r="O131" s="4" t="s">
        <v>16</v>
      </c>
      <c r="P131" s="4" t="s">
        <v>27</v>
      </c>
    </row>
    <row r="132" spans="1:16" s="8" customFormat="1" x14ac:dyDescent="0.25">
      <c r="A132">
        <f>RIGHT(B132,5)*1</f>
        <v>99319</v>
      </c>
      <c r="B132" t="s">
        <v>56</v>
      </c>
      <c r="C132" s="10">
        <v>44090</v>
      </c>
      <c r="D132" s="13">
        <f>YEAR(C132)</f>
        <v>2020</v>
      </c>
      <c r="E132" s="13">
        <f>MONTH(C132)</f>
        <v>9</v>
      </c>
      <c r="F132" s="13">
        <f>DAY(C132)</f>
        <v>16</v>
      </c>
      <c r="G132" s="13" t="s">
        <v>535</v>
      </c>
      <c r="H132" s="4" t="s">
        <v>14</v>
      </c>
      <c r="I132">
        <v>46.9255</v>
      </c>
      <c r="J132">
        <v>6.4813999999999998</v>
      </c>
      <c r="K132" s="4" t="s">
        <v>15</v>
      </c>
      <c r="L132" s="4"/>
      <c r="M132" s="4" t="s">
        <v>1</v>
      </c>
      <c r="N132" s="4"/>
      <c r="O132" s="4" t="s">
        <v>17</v>
      </c>
      <c r="P132" s="4" t="s">
        <v>29</v>
      </c>
    </row>
    <row r="133" spans="1:16" s="8" customFormat="1" x14ac:dyDescent="0.25">
      <c r="A133">
        <f>RIGHT(B133,5)*1</f>
        <v>99322</v>
      </c>
      <c r="B133" t="s">
        <v>59</v>
      </c>
      <c r="C133" s="10">
        <v>44444</v>
      </c>
      <c r="D133" s="13">
        <f>YEAR(C133)</f>
        <v>2021</v>
      </c>
      <c r="E133" s="13">
        <f>MONTH(C133)</f>
        <v>9</v>
      </c>
      <c r="F133" s="13">
        <f>DAY(C133)</f>
        <v>5</v>
      </c>
      <c r="G133" s="13" t="s">
        <v>535</v>
      </c>
      <c r="H133" s="4" t="s">
        <v>14</v>
      </c>
      <c r="I133">
        <v>46.966299999999997</v>
      </c>
      <c r="J133">
        <v>6.5228000000000002</v>
      </c>
      <c r="K133" s="4" t="s">
        <v>15</v>
      </c>
      <c r="L133" s="4"/>
      <c r="M133" s="4" t="s">
        <v>1</v>
      </c>
      <c r="N133" s="4"/>
      <c r="O133" s="4" t="s">
        <v>17</v>
      </c>
      <c r="P133" s="4" t="s">
        <v>29</v>
      </c>
    </row>
    <row r="134" spans="1:16" s="8" customFormat="1" x14ac:dyDescent="0.25">
      <c r="A134">
        <f>RIGHT(B134,6)*1</f>
        <v>112963</v>
      </c>
      <c r="B134" t="s">
        <v>100</v>
      </c>
      <c r="C134" s="10">
        <v>43357</v>
      </c>
      <c r="D134" s="13">
        <f>YEAR(C134)</f>
        <v>2018</v>
      </c>
      <c r="E134" s="13">
        <f>MONTH(C134)</f>
        <v>9</v>
      </c>
      <c r="F134" s="13">
        <f>DAY(C134)</f>
        <v>14</v>
      </c>
      <c r="G134" s="13" t="s">
        <v>535</v>
      </c>
      <c r="H134" s="4" t="s">
        <v>14</v>
      </c>
      <c r="I134">
        <v>46.955399999999997</v>
      </c>
      <c r="J134">
        <v>6.5072000000000001</v>
      </c>
      <c r="K134" s="4" t="s">
        <v>15</v>
      </c>
      <c r="L134" s="4"/>
      <c r="M134" s="4" t="s">
        <v>1</v>
      </c>
      <c r="N134" s="4"/>
      <c r="O134" s="4" t="s">
        <v>16</v>
      </c>
      <c r="P134" s="4" t="s">
        <v>24</v>
      </c>
    </row>
    <row r="135" spans="1:16" s="8" customFormat="1" x14ac:dyDescent="0.25">
      <c r="A135">
        <f>RIGHT(B135,6)*1</f>
        <v>112964</v>
      </c>
      <c r="B135" t="s">
        <v>101</v>
      </c>
      <c r="C135" s="10">
        <v>43363</v>
      </c>
      <c r="D135" s="13">
        <f>YEAR(C135)</f>
        <v>2018</v>
      </c>
      <c r="E135" s="13">
        <f>MONTH(C135)</f>
        <v>9</v>
      </c>
      <c r="F135" s="13">
        <f>DAY(C135)</f>
        <v>20</v>
      </c>
      <c r="G135" s="13" t="s">
        <v>535</v>
      </c>
      <c r="H135" s="4" t="s">
        <v>14</v>
      </c>
      <c r="I135">
        <v>46.955399999999997</v>
      </c>
      <c r="J135">
        <v>6.5072000000000001</v>
      </c>
      <c r="K135" s="4" t="s">
        <v>15</v>
      </c>
      <c r="L135" s="4"/>
      <c r="M135" s="4" t="s">
        <v>1</v>
      </c>
      <c r="N135" s="4"/>
      <c r="O135" s="4" t="s">
        <v>17</v>
      </c>
      <c r="P135" s="4" t="s">
        <v>27</v>
      </c>
    </row>
    <row r="136" spans="1:16" s="8" customFormat="1" x14ac:dyDescent="0.25">
      <c r="A136">
        <f>RIGHT(B136,6)*1</f>
        <v>112969</v>
      </c>
      <c r="B136" t="s">
        <v>106</v>
      </c>
      <c r="C136" s="10">
        <v>43724</v>
      </c>
      <c r="D136" s="13">
        <f>YEAR(C136)</f>
        <v>2019</v>
      </c>
      <c r="E136" s="13">
        <f>MONTH(C136)</f>
        <v>9</v>
      </c>
      <c r="F136" s="13">
        <f>DAY(C136)</f>
        <v>16</v>
      </c>
      <c r="G136" s="13" t="s">
        <v>535</v>
      </c>
      <c r="H136" s="4" t="s">
        <v>14</v>
      </c>
      <c r="I136">
        <v>46.957999999999998</v>
      </c>
      <c r="J136">
        <v>6.5019</v>
      </c>
      <c r="K136" s="4" t="s">
        <v>15</v>
      </c>
      <c r="L136" s="4"/>
      <c r="M136" s="4" t="s">
        <v>1</v>
      </c>
      <c r="N136" s="4"/>
      <c r="O136" s="4" t="s">
        <v>16</v>
      </c>
      <c r="P136" s="4" t="s">
        <v>19</v>
      </c>
    </row>
    <row r="137" spans="1:16" s="8" customFormat="1" x14ac:dyDescent="0.25">
      <c r="A137">
        <f>RIGHT(B137,6)*1</f>
        <v>112970</v>
      </c>
      <c r="B137" t="s">
        <v>107</v>
      </c>
      <c r="C137" s="10">
        <v>43725</v>
      </c>
      <c r="D137" s="13">
        <f>YEAR(C137)</f>
        <v>2019</v>
      </c>
      <c r="E137" s="13">
        <f>MONTH(C137)</f>
        <v>9</v>
      </c>
      <c r="F137" s="13">
        <f>DAY(C137)</f>
        <v>17</v>
      </c>
      <c r="G137" s="13" t="s">
        <v>535</v>
      </c>
      <c r="H137" s="4" t="s">
        <v>14</v>
      </c>
      <c r="I137">
        <v>46.9255</v>
      </c>
      <c r="J137">
        <v>6.4813999999999998</v>
      </c>
      <c r="K137" s="4" t="s">
        <v>15</v>
      </c>
      <c r="L137" s="4"/>
      <c r="M137" s="4" t="s">
        <v>1</v>
      </c>
      <c r="N137" s="4"/>
      <c r="O137" s="4" t="s">
        <v>16</v>
      </c>
      <c r="P137" s="4" t="s">
        <v>19</v>
      </c>
    </row>
    <row r="138" spans="1:16" s="8" customFormat="1" x14ac:dyDescent="0.25">
      <c r="A138">
        <f>RIGHT(B138,6)*1</f>
        <v>112971</v>
      </c>
      <c r="B138" t="s">
        <v>108</v>
      </c>
      <c r="C138" s="10">
        <v>42258</v>
      </c>
      <c r="D138" s="13">
        <f>YEAR(C138)</f>
        <v>2015</v>
      </c>
      <c r="E138" s="13">
        <f>MONTH(C138)</f>
        <v>9</v>
      </c>
      <c r="F138" s="13">
        <f>DAY(C138)</f>
        <v>11</v>
      </c>
      <c r="G138" s="13" t="s">
        <v>535</v>
      </c>
      <c r="H138" s="4" t="s">
        <v>14</v>
      </c>
      <c r="I138">
        <v>46.955300000000001</v>
      </c>
      <c r="J138">
        <v>6.4981</v>
      </c>
      <c r="K138" s="4" t="s">
        <v>15</v>
      </c>
      <c r="L138" s="4"/>
      <c r="M138" s="4" t="s">
        <v>1</v>
      </c>
      <c r="N138" s="4"/>
      <c r="O138" s="4" t="s">
        <v>17</v>
      </c>
      <c r="P138" s="4" t="s">
        <v>109</v>
      </c>
    </row>
    <row r="139" spans="1:16" s="8" customFormat="1" x14ac:dyDescent="0.25">
      <c r="A139">
        <f>RIGHT(B139,6)*1</f>
        <v>112972</v>
      </c>
      <c r="B139" t="s">
        <v>110</v>
      </c>
      <c r="C139" s="10">
        <v>42262</v>
      </c>
      <c r="D139" s="13">
        <f>YEAR(C139)</f>
        <v>2015</v>
      </c>
      <c r="E139" s="13">
        <f>MONTH(C139)</f>
        <v>9</v>
      </c>
      <c r="F139" s="13">
        <f>DAY(C139)</f>
        <v>15</v>
      </c>
      <c r="G139" s="13" t="s">
        <v>535</v>
      </c>
      <c r="H139" s="4" t="s">
        <v>14</v>
      </c>
      <c r="I139">
        <v>46.955300000000001</v>
      </c>
      <c r="J139">
        <v>6.4981</v>
      </c>
      <c r="K139" s="4" t="s">
        <v>15</v>
      </c>
      <c r="L139" s="4"/>
      <c r="M139" s="4" t="s">
        <v>1</v>
      </c>
      <c r="N139" s="4"/>
      <c r="O139" s="4" t="s">
        <v>17</v>
      </c>
      <c r="P139" s="4" t="s">
        <v>27</v>
      </c>
    </row>
    <row r="140" spans="1:16" s="8" customFormat="1" x14ac:dyDescent="0.25">
      <c r="A140">
        <f>RIGHT(B140,6)*1</f>
        <v>112973</v>
      </c>
      <c r="B140" t="s">
        <v>111</v>
      </c>
      <c r="C140" s="10">
        <v>42276</v>
      </c>
      <c r="D140" s="13">
        <f>YEAR(C140)</f>
        <v>2015</v>
      </c>
      <c r="E140" s="13">
        <f>MONTH(C140)</f>
        <v>9</v>
      </c>
      <c r="F140" s="13">
        <f>DAY(C140)</f>
        <v>29</v>
      </c>
      <c r="G140" s="13" t="s">
        <v>535</v>
      </c>
      <c r="H140" s="4" t="s">
        <v>14</v>
      </c>
      <c r="I140">
        <v>46.955300000000001</v>
      </c>
      <c r="J140">
        <v>6.4981</v>
      </c>
      <c r="K140" s="4" t="s">
        <v>15</v>
      </c>
      <c r="L140" s="4"/>
      <c r="M140" s="4" t="s">
        <v>1</v>
      </c>
      <c r="N140" s="4"/>
      <c r="O140" s="4" t="s">
        <v>17</v>
      </c>
      <c r="P140" s="4" t="s">
        <v>29</v>
      </c>
    </row>
    <row r="141" spans="1:16" s="8" customFormat="1" x14ac:dyDescent="0.25">
      <c r="A141">
        <f>RIGHT(B141,6)*1</f>
        <v>112985</v>
      </c>
      <c r="B141" t="s">
        <v>124</v>
      </c>
      <c r="C141" s="3">
        <v>42615</v>
      </c>
      <c r="D141" s="13">
        <f>YEAR(C141)</f>
        <v>2016</v>
      </c>
      <c r="E141" s="13">
        <f>MONTH(C141)</f>
        <v>9</v>
      </c>
      <c r="F141" s="13">
        <f>DAY(C141)</f>
        <v>2</v>
      </c>
      <c r="G141" s="13" t="s">
        <v>535</v>
      </c>
      <c r="H141" s="4" t="s">
        <v>14</v>
      </c>
      <c r="I141">
        <v>46.934399999999997</v>
      </c>
      <c r="J141">
        <v>6.476</v>
      </c>
      <c r="K141" s="4" t="s">
        <v>15</v>
      </c>
      <c r="L141" s="4"/>
      <c r="M141" s="4" t="s">
        <v>1</v>
      </c>
      <c r="N141" s="4"/>
      <c r="O141" s="4" t="s">
        <v>16</v>
      </c>
      <c r="P141" s="4">
        <v>3</v>
      </c>
    </row>
    <row r="142" spans="1:16" s="8" customFormat="1" x14ac:dyDescent="0.25">
      <c r="A142">
        <f>RIGHT(B142,6)*1</f>
        <v>112986</v>
      </c>
      <c r="B142" t="s">
        <v>126</v>
      </c>
      <c r="C142" s="10">
        <v>42617</v>
      </c>
      <c r="D142" s="13">
        <f>YEAR(C142)</f>
        <v>2016</v>
      </c>
      <c r="E142" s="13">
        <f>MONTH(C142)</f>
        <v>9</v>
      </c>
      <c r="F142" s="13">
        <f>DAY(C142)</f>
        <v>4</v>
      </c>
      <c r="G142" s="13" t="s">
        <v>535</v>
      </c>
      <c r="H142" s="4" t="s">
        <v>14</v>
      </c>
      <c r="I142">
        <v>46.955300000000001</v>
      </c>
      <c r="J142">
        <v>6.4981</v>
      </c>
      <c r="K142" s="4"/>
      <c r="L142" s="4"/>
      <c r="M142" s="4" t="s">
        <v>1</v>
      </c>
      <c r="N142" s="4"/>
      <c r="O142" s="4" t="s">
        <v>17</v>
      </c>
      <c r="P142" s="4" t="s">
        <v>29</v>
      </c>
    </row>
    <row r="143" spans="1:16" s="8" customFormat="1" x14ac:dyDescent="0.25">
      <c r="A143">
        <f>RIGHT(B143,6)*1</f>
        <v>112987</v>
      </c>
      <c r="B143" t="s">
        <v>127</v>
      </c>
      <c r="C143" s="10">
        <v>42621</v>
      </c>
      <c r="D143" s="13">
        <f>YEAR(C143)</f>
        <v>2016</v>
      </c>
      <c r="E143" s="13">
        <f>MONTH(C143)</f>
        <v>9</v>
      </c>
      <c r="F143" s="13">
        <f>DAY(C143)</f>
        <v>8</v>
      </c>
      <c r="G143" s="13" t="s">
        <v>535</v>
      </c>
      <c r="H143" s="4" t="s">
        <v>14</v>
      </c>
      <c r="I143">
        <v>46.955300000000001</v>
      </c>
      <c r="J143">
        <v>6.4981</v>
      </c>
      <c r="K143" s="4"/>
      <c r="L143" s="4"/>
      <c r="M143" s="4" t="s">
        <v>1</v>
      </c>
      <c r="N143" s="4"/>
      <c r="O143" s="4" t="s">
        <v>17</v>
      </c>
      <c r="P143" s="4" t="s">
        <v>29</v>
      </c>
    </row>
    <row r="144" spans="1:16" s="8" customFormat="1" x14ac:dyDescent="0.25">
      <c r="A144">
        <f>RIGHT(B144,6)*1</f>
        <v>112988</v>
      </c>
      <c r="B144" t="s">
        <v>128</v>
      </c>
      <c r="C144" s="10">
        <v>42622</v>
      </c>
      <c r="D144" s="13">
        <f>YEAR(C144)</f>
        <v>2016</v>
      </c>
      <c r="E144" s="13">
        <f>MONTH(C144)</f>
        <v>9</v>
      </c>
      <c r="F144" s="13">
        <f>DAY(C144)</f>
        <v>9</v>
      </c>
      <c r="G144" s="13" t="s">
        <v>535</v>
      </c>
      <c r="H144" s="4" t="s">
        <v>14</v>
      </c>
      <c r="I144">
        <v>46.955300000000001</v>
      </c>
      <c r="J144">
        <v>6.4981</v>
      </c>
      <c r="K144" s="4"/>
      <c r="L144" s="4"/>
      <c r="M144" s="4" t="s">
        <v>1</v>
      </c>
      <c r="N144" s="4"/>
      <c r="O144" s="4" t="s">
        <v>17</v>
      </c>
      <c r="P144" s="4" t="s">
        <v>19</v>
      </c>
    </row>
    <row r="145" spans="1:16" s="8" customFormat="1" x14ac:dyDescent="0.25">
      <c r="A145">
        <f>RIGHT(B145,6)*1</f>
        <v>112989</v>
      </c>
      <c r="B145" t="s">
        <v>129</v>
      </c>
      <c r="C145" s="10">
        <v>42635</v>
      </c>
      <c r="D145" s="13">
        <f>YEAR(C145)</f>
        <v>2016</v>
      </c>
      <c r="E145" s="13">
        <f>MONTH(C145)</f>
        <v>9</v>
      </c>
      <c r="F145" s="13">
        <f>DAY(C145)</f>
        <v>22</v>
      </c>
      <c r="G145" s="13" t="s">
        <v>535</v>
      </c>
      <c r="H145" s="4" t="s">
        <v>14</v>
      </c>
      <c r="I145">
        <v>46.955300000000001</v>
      </c>
      <c r="J145">
        <v>6.4981</v>
      </c>
      <c r="K145" s="4"/>
      <c r="L145" s="4"/>
      <c r="M145" s="4" t="s">
        <v>1</v>
      </c>
      <c r="N145" s="4"/>
      <c r="O145" s="4" t="s">
        <v>17</v>
      </c>
      <c r="P145" s="4" t="s">
        <v>29</v>
      </c>
    </row>
    <row r="146" spans="1:16" s="8" customFormat="1" x14ac:dyDescent="0.25">
      <c r="A146">
        <f>RIGHT(B146,6)*1</f>
        <v>112997</v>
      </c>
      <c r="B146" t="s">
        <v>137</v>
      </c>
      <c r="C146" s="10">
        <v>43004</v>
      </c>
      <c r="D146" s="13">
        <f>YEAR(C146)</f>
        <v>2017</v>
      </c>
      <c r="E146" s="13">
        <f>MONTH(C146)</f>
        <v>9</v>
      </c>
      <c r="F146" s="13">
        <f>DAY(C146)</f>
        <v>26</v>
      </c>
      <c r="G146" s="13" t="s">
        <v>535</v>
      </c>
      <c r="H146" s="4" t="s">
        <v>14</v>
      </c>
      <c r="I146">
        <v>46.9255</v>
      </c>
      <c r="J146">
        <v>6.4813999999999998</v>
      </c>
      <c r="K146" s="4"/>
      <c r="L146" s="4"/>
      <c r="M146" s="4" t="s">
        <v>1</v>
      </c>
      <c r="N146" s="4"/>
      <c r="O146" s="4" t="s">
        <v>16</v>
      </c>
      <c r="P146" s="4" t="s">
        <v>29</v>
      </c>
    </row>
    <row r="147" spans="1:16" s="8" customFormat="1" x14ac:dyDescent="0.25">
      <c r="A147">
        <f>RIGHT(B147,6)*1</f>
        <v>116321</v>
      </c>
      <c r="B147" t="s">
        <v>230</v>
      </c>
      <c r="C147" s="10">
        <v>42998</v>
      </c>
      <c r="D147" s="13">
        <f>YEAR(C147)</f>
        <v>2017</v>
      </c>
      <c r="E147" s="13">
        <f>MONTH(C147)</f>
        <v>9</v>
      </c>
      <c r="F147" s="13">
        <f>DAY(C147)</f>
        <v>20</v>
      </c>
      <c r="G147" s="13" t="s">
        <v>535</v>
      </c>
      <c r="H147" s="4" t="s">
        <v>14</v>
      </c>
      <c r="I147">
        <v>46.903599999999997</v>
      </c>
      <c r="J147">
        <v>6.6722000000000001</v>
      </c>
      <c r="K147" s="4" t="s">
        <v>15</v>
      </c>
      <c r="L147" s="4"/>
      <c r="M147" s="4" t="s">
        <v>42</v>
      </c>
      <c r="N147" s="4" t="s">
        <v>118</v>
      </c>
      <c r="O147" s="4" t="s">
        <v>16</v>
      </c>
      <c r="P147" s="4" t="s">
        <v>29</v>
      </c>
    </row>
    <row r="148" spans="1:16" s="8" customFormat="1" x14ac:dyDescent="0.25">
      <c r="A148">
        <f>RIGHT(B148,6)*1</f>
        <v>116322</v>
      </c>
      <c r="B148" t="s">
        <v>231</v>
      </c>
      <c r="C148" s="10">
        <v>43000</v>
      </c>
      <c r="D148" s="13">
        <f>YEAR(C148)</f>
        <v>2017</v>
      </c>
      <c r="E148" s="13">
        <f>MONTH(C148)</f>
        <v>9</v>
      </c>
      <c r="F148" s="13">
        <f>DAY(C148)</f>
        <v>22</v>
      </c>
      <c r="G148" s="13" t="s">
        <v>535</v>
      </c>
      <c r="H148" s="4" t="s">
        <v>14</v>
      </c>
      <c r="I148">
        <v>46.992800000000003</v>
      </c>
      <c r="J148">
        <v>6.6971999999999996</v>
      </c>
      <c r="K148" s="4" t="s">
        <v>15</v>
      </c>
      <c r="L148" s="4"/>
      <c r="M148" s="4" t="s">
        <v>42</v>
      </c>
      <c r="N148" s="4" t="s">
        <v>118</v>
      </c>
      <c r="O148" s="4" t="s">
        <v>16</v>
      </c>
      <c r="P148" s="4" t="s">
        <v>184</v>
      </c>
    </row>
    <row r="149" spans="1:16" s="8" customFormat="1" x14ac:dyDescent="0.25">
      <c r="A149">
        <f>RIGHT(B149,6)*1</f>
        <v>116323</v>
      </c>
      <c r="B149" t="s">
        <v>232</v>
      </c>
      <c r="C149" s="10">
        <v>43003</v>
      </c>
      <c r="D149" s="13">
        <f>YEAR(C149)</f>
        <v>2017</v>
      </c>
      <c r="E149" s="13">
        <f>MONTH(C149)</f>
        <v>9</v>
      </c>
      <c r="F149" s="13">
        <f>DAY(C149)</f>
        <v>25</v>
      </c>
      <c r="G149" s="13" t="s">
        <v>535</v>
      </c>
      <c r="H149" s="4" t="s">
        <v>14</v>
      </c>
      <c r="I149">
        <v>46.992800000000003</v>
      </c>
      <c r="J149">
        <v>6.6971999999999996</v>
      </c>
      <c r="K149" s="4" t="s">
        <v>15</v>
      </c>
      <c r="L149" s="4"/>
      <c r="M149" s="4" t="s">
        <v>42</v>
      </c>
      <c r="N149" s="4" t="s">
        <v>118</v>
      </c>
      <c r="O149" s="4" t="s">
        <v>16</v>
      </c>
      <c r="P149" s="4" t="s">
        <v>29</v>
      </c>
    </row>
    <row r="150" spans="1:16" s="8" customFormat="1" x14ac:dyDescent="0.25">
      <c r="A150">
        <f>RIGHT(B150,6)*1</f>
        <v>116324</v>
      </c>
      <c r="B150" t="s">
        <v>233</v>
      </c>
      <c r="C150" s="10">
        <v>43003</v>
      </c>
      <c r="D150" s="13">
        <f>YEAR(C150)</f>
        <v>2017</v>
      </c>
      <c r="E150" s="13">
        <f>MONTH(C150)</f>
        <v>9</v>
      </c>
      <c r="F150" s="13">
        <f>DAY(C150)</f>
        <v>25</v>
      </c>
      <c r="G150" s="13" t="s">
        <v>535</v>
      </c>
      <c r="H150" s="4" t="s">
        <v>14</v>
      </c>
      <c r="I150">
        <v>46.992800000000003</v>
      </c>
      <c r="J150">
        <v>6.6971999999999996</v>
      </c>
      <c r="K150" s="4" t="s">
        <v>15</v>
      </c>
      <c r="L150" s="4"/>
      <c r="M150" s="4" t="s">
        <v>1</v>
      </c>
      <c r="N150" s="4"/>
      <c r="O150" s="4" t="s">
        <v>17</v>
      </c>
      <c r="P150" s="4" t="s">
        <v>29</v>
      </c>
    </row>
    <row r="151" spans="1:16" s="8" customFormat="1" x14ac:dyDescent="0.25">
      <c r="A151">
        <f>RIGHT(B151,6)*1</f>
        <v>116325</v>
      </c>
      <c r="B151" t="s">
        <v>234</v>
      </c>
      <c r="C151" s="10">
        <v>43006</v>
      </c>
      <c r="D151" s="13">
        <f>YEAR(C151)</f>
        <v>2017</v>
      </c>
      <c r="E151" s="13">
        <f>MONTH(C151)</f>
        <v>9</v>
      </c>
      <c r="F151" s="13">
        <f>DAY(C151)</f>
        <v>28</v>
      </c>
      <c r="G151" s="13" t="s">
        <v>535</v>
      </c>
      <c r="H151" s="4" t="s">
        <v>14</v>
      </c>
      <c r="I151">
        <v>46.868699999999997</v>
      </c>
      <c r="J151">
        <v>6.5781999999999998</v>
      </c>
      <c r="K151" s="4" t="s">
        <v>15</v>
      </c>
      <c r="L151" s="4"/>
      <c r="M151" s="4" t="s">
        <v>42</v>
      </c>
      <c r="N151" s="4" t="s">
        <v>118</v>
      </c>
      <c r="O151" s="4" t="s">
        <v>16</v>
      </c>
      <c r="P151" s="4" t="s">
        <v>184</v>
      </c>
    </row>
    <row r="152" spans="1:16" s="8" customFormat="1" x14ac:dyDescent="0.25">
      <c r="A152">
        <f>RIGHT(B152,5)*1</f>
        <v>73984</v>
      </c>
      <c r="B152" t="s">
        <v>32</v>
      </c>
      <c r="C152" s="10">
        <v>41563</v>
      </c>
      <c r="D152" s="13">
        <f>YEAR(C152)</f>
        <v>2013</v>
      </c>
      <c r="E152" s="13">
        <f>MONTH(C152)</f>
        <v>10</v>
      </c>
      <c r="F152" s="13">
        <f>DAY(C152)</f>
        <v>16</v>
      </c>
      <c r="G152" s="13" t="s">
        <v>535</v>
      </c>
      <c r="H152" s="4" t="s">
        <v>14</v>
      </c>
      <c r="I152">
        <v>46.955300000000001</v>
      </c>
      <c r="J152">
        <v>6.4981</v>
      </c>
      <c r="K152" s="4" t="s">
        <v>15</v>
      </c>
      <c r="L152" s="4"/>
      <c r="M152" s="4" t="s">
        <v>1</v>
      </c>
      <c r="N152" s="4"/>
      <c r="O152" s="4" t="s">
        <v>17</v>
      </c>
      <c r="P152" s="4" t="s">
        <v>27</v>
      </c>
    </row>
    <row r="153" spans="1:16" s="8" customFormat="1" x14ac:dyDescent="0.25">
      <c r="A153">
        <f>RIGHT(B153,5)*1</f>
        <v>73989</v>
      </c>
      <c r="B153" t="s">
        <v>38</v>
      </c>
      <c r="C153" s="10">
        <v>41914</v>
      </c>
      <c r="D153" s="13">
        <f>YEAR(C153)</f>
        <v>2014</v>
      </c>
      <c r="E153" s="13">
        <f>MONTH(C153)</f>
        <v>10</v>
      </c>
      <c r="F153" s="13">
        <f>DAY(C153)</f>
        <v>2</v>
      </c>
      <c r="G153" s="13" t="s">
        <v>535</v>
      </c>
      <c r="H153" s="4" t="s">
        <v>14</v>
      </c>
      <c r="I153">
        <v>46.955300000000001</v>
      </c>
      <c r="J153">
        <v>6.4981</v>
      </c>
      <c r="K153" s="4" t="s">
        <v>15</v>
      </c>
      <c r="L153" s="4"/>
      <c r="M153" s="4" t="s">
        <v>1</v>
      </c>
      <c r="N153" s="4"/>
      <c r="O153" s="4" t="s">
        <v>16</v>
      </c>
      <c r="P153" s="4" t="s">
        <v>29</v>
      </c>
    </row>
    <row r="154" spans="1:16" s="8" customFormat="1" x14ac:dyDescent="0.25">
      <c r="A154">
        <f>RIGHT(B154,5)*1</f>
        <v>73990</v>
      </c>
      <c r="B154" t="s">
        <v>39</v>
      </c>
      <c r="C154" s="10">
        <v>41940</v>
      </c>
      <c r="D154" s="13">
        <f>YEAR(C154)</f>
        <v>2014</v>
      </c>
      <c r="E154" s="13">
        <f>MONTH(C154)</f>
        <v>10</v>
      </c>
      <c r="F154" s="13">
        <f>DAY(C154)</f>
        <v>28</v>
      </c>
      <c r="G154" s="13" t="s">
        <v>535</v>
      </c>
      <c r="H154" s="4" t="s">
        <v>14</v>
      </c>
      <c r="I154">
        <v>46.955300000000001</v>
      </c>
      <c r="J154">
        <v>6.4981</v>
      </c>
      <c r="K154" s="4" t="s">
        <v>15</v>
      </c>
      <c r="L154" s="4"/>
      <c r="M154" s="4" t="s">
        <v>1</v>
      </c>
      <c r="N154" s="4"/>
      <c r="O154" s="4" t="s">
        <v>17</v>
      </c>
      <c r="P154" s="4" t="s">
        <v>24</v>
      </c>
    </row>
    <row r="155" spans="1:16" s="8" customFormat="1" x14ac:dyDescent="0.25">
      <c r="A155">
        <f>RIGHT(B155,5)*1</f>
        <v>99323</v>
      </c>
      <c r="B155" t="s">
        <v>60</v>
      </c>
      <c r="C155" s="10">
        <v>44494</v>
      </c>
      <c r="D155" s="13">
        <f>YEAR(C155)</f>
        <v>2021</v>
      </c>
      <c r="E155" s="13">
        <f>MONTH(C155)</f>
        <v>10</v>
      </c>
      <c r="F155" s="13">
        <f>DAY(C155)</f>
        <v>25</v>
      </c>
      <c r="G155" s="13" t="s">
        <v>535</v>
      </c>
      <c r="H155" s="4" t="s">
        <v>14</v>
      </c>
      <c r="I155">
        <v>46.966299999999997</v>
      </c>
      <c r="J155">
        <v>6.5228000000000002</v>
      </c>
      <c r="K155" s="4" t="s">
        <v>15</v>
      </c>
      <c r="L155" s="4"/>
      <c r="M155" s="4" t="s">
        <v>1</v>
      </c>
      <c r="N155" s="4"/>
      <c r="O155" s="4" t="s">
        <v>17</v>
      </c>
      <c r="P155" s="4" t="s">
        <v>29</v>
      </c>
    </row>
    <row r="156" spans="1:16" s="8" customFormat="1" x14ac:dyDescent="0.25">
      <c r="A156">
        <f>RIGHT(B156,6)*1</f>
        <v>112965</v>
      </c>
      <c r="B156" t="s">
        <v>102</v>
      </c>
      <c r="C156" s="10">
        <v>43393</v>
      </c>
      <c r="D156" s="13">
        <f>YEAR(C156)</f>
        <v>2018</v>
      </c>
      <c r="E156" s="13">
        <f>MONTH(C156)</f>
        <v>10</v>
      </c>
      <c r="F156" s="13">
        <f>DAY(C156)</f>
        <v>20</v>
      </c>
      <c r="G156" s="13" t="s">
        <v>535</v>
      </c>
      <c r="H156" s="4" t="s">
        <v>14</v>
      </c>
      <c r="I156">
        <v>46.955300000000001</v>
      </c>
      <c r="J156">
        <v>6.4981</v>
      </c>
      <c r="K156" s="4" t="s">
        <v>15</v>
      </c>
      <c r="L156" s="4"/>
      <c r="M156" s="4" t="s">
        <v>1</v>
      </c>
      <c r="N156" s="4"/>
      <c r="O156" s="4" t="s">
        <v>16</v>
      </c>
      <c r="P156" s="4" t="s">
        <v>24</v>
      </c>
    </row>
    <row r="157" spans="1:16" s="8" customFormat="1" x14ac:dyDescent="0.25">
      <c r="A157">
        <f>RIGHT(B157,6)*1</f>
        <v>112966</v>
      </c>
      <c r="B157" t="s">
        <v>103</v>
      </c>
      <c r="C157" s="10">
        <v>43396</v>
      </c>
      <c r="D157" s="13">
        <f>YEAR(C157)</f>
        <v>2018</v>
      </c>
      <c r="E157" s="13">
        <f>MONTH(C157)</f>
        <v>10</v>
      </c>
      <c r="F157" s="13">
        <f>DAY(C157)</f>
        <v>23</v>
      </c>
      <c r="G157" s="13" t="s">
        <v>535</v>
      </c>
      <c r="H157" s="4" t="s">
        <v>14</v>
      </c>
      <c r="I157">
        <v>46.957999999999998</v>
      </c>
      <c r="J157">
        <v>6.5019</v>
      </c>
      <c r="K157" s="4" t="s">
        <v>15</v>
      </c>
      <c r="L157" s="4"/>
      <c r="M157" s="4" t="s">
        <v>1</v>
      </c>
      <c r="N157" s="4"/>
      <c r="O157" s="4" t="s">
        <v>17</v>
      </c>
      <c r="P157" s="4" t="s">
        <v>24</v>
      </c>
    </row>
    <row r="158" spans="1:16" s="8" customFormat="1" x14ac:dyDescent="0.25">
      <c r="A158">
        <f>RIGHT(B158,6)*1</f>
        <v>112974</v>
      </c>
      <c r="B158" t="s">
        <v>112</v>
      </c>
      <c r="C158" s="10">
        <v>42279</v>
      </c>
      <c r="D158" s="13">
        <f>YEAR(C158)</f>
        <v>2015</v>
      </c>
      <c r="E158" s="13">
        <f>MONTH(C158)</f>
        <v>10</v>
      </c>
      <c r="F158" s="13">
        <f>DAY(C158)</f>
        <v>2</v>
      </c>
      <c r="G158" s="13" t="s">
        <v>535</v>
      </c>
      <c r="H158" s="4" t="s">
        <v>14</v>
      </c>
      <c r="I158">
        <v>46.955300000000001</v>
      </c>
      <c r="J158">
        <v>6.4981</v>
      </c>
      <c r="K158" s="4" t="s">
        <v>15</v>
      </c>
      <c r="L158" s="4"/>
      <c r="M158" s="4" t="s">
        <v>1</v>
      </c>
      <c r="N158" s="4"/>
      <c r="O158" s="4" t="s">
        <v>17</v>
      </c>
      <c r="P158" s="4" t="s">
        <v>27</v>
      </c>
    </row>
    <row r="159" spans="1:16" s="8" customFormat="1" x14ac:dyDescent="0.25">
      <c r="A159">
        <f>RIGHT(B159,6)*1</f>
        <v>112975</v>
      </c>
      <c r="B159" t="s">
        <v>113</v>
      </c>
      <c r="C159" s="10">
        <v>42289</v>
      </c>
      <c r="D159" s="13">
        <f>YEAR(C159)</f>
        <v>2015</v>
      </c>
      <c r="E159" s="13">
        <f>MONTH(C159)</f>
        <v>10</v>
      </c>
      <c r="F159" s="13">
        <f>DAY(C159)</f>
        <v>12</v>
      </c>
      <c r="G159" s="13" t="s">
        <v>535</v>
      </c>
      <c r="H159" s="4" t="s">
        <v>14</v>
      </c>
      <c r="I159">
        <v>46.955300000000001</v>
      </c>
      <c r="J159">
        <v>6.4981</v>
      </c>
      <c r="K159" s="4" t="s">
        <v>15</v>
      </c>
      <c r="L159" s="4"/>
      <c r="M159" s="4" t="s">
        <v>1</v>
      </c>
      <c r="N159" s="4"/>
      <c r="O159" s="4" t="s">
        <v>17</v>
      </c>
      <c r="P159" s="4" t="s">
        <v>27</v>
      </c>
    </row>
    <row r="160" spans="1:16" s="8" customFormat="1" x14ac:dyDescent="0.25">
      <c r="A160">
        <f>RIGHT(B160,6)*1</f>
        <v>112976</v>
      </c>
      <c r="B160" t="s">
        <v>114</v>
      </c>
      <c r="C160" s="10">
        <v>42299</v>
      </c>
      <c r="D160" s="13">
        <f>YEAR(C160)</f>
        <v>2015</v>
      </c>
      <c r="E160" s="13">
        <f>MONTH(C160)</f>
        <v>10</v>
      </c>
      <c r="F160" s="13">
        <f>DAY(C160)</f>
        <v>22</v>
      </c>
      <c r="G160" s="13" t="s">
        <v>535</v>
      </c>
      <c r="H160" s="4" t="s">
        <v>14</v>
      </c>
      <c r="I160">
        <v>46.955300000000001</v>
      </c>
      <c r="J160">
        <v>6.4981</v>
      </c>
      <c r="K160" s="4" t="s">
        <v>15</v>
      </c>
      <c r="L160" s="4"/>
      <c r="M160" s="4" t="s">
        <v>1</v>
      </c>
      <c r="N160" s="4"/>
      <c r="O160" s="4" t="s">
        <v>17</v>
      </c>
      <c r="P160" s="4" t="s">
        <v>27</v>
      </c>
    </row>
    <row r="161" spans="1:16" s="8" customFormat="1" x14ac:dyDescent="0.25">
      <c r="A161">
        <f>RIGHT(B161,6)*1</f>
        <v>112977</v>
      </c>
      <c r="B161" t="s">
        <v>115</v>
      </c>
      <c r="C161" s="10">
        <v>42301</v>
      </c>
      <c r="D161" s="13">
        <f>YEAR(C161)</f>
        <v>2015</v>
      </c>
      <c r="E161" s="13">
        <f>MONTH(C161)</f>
        <v>10</v>
      </c>
      <c r="F161" s="13">
        <f>DAY(C161)</f>
        <v>24</v>
      </c>
      <c r="G161" s="13" t="s">
        <v>535</v>
      </c>
      <c r="H161" s="4" t="s">
        <v>14</v>
      </c>
      <c r="I161">
        <v>46.955300000000001</v>
      </c>
      <c r="J161">
        <v>6.4981</v>
      </c>
      <c r="K161" s="4" t="s">
        <v>15</v>
      </c>
      <c r="L161" s="4"/>
      <c r="M161" s="4" t="s">
        <v>1</v>
      </c>
      <c r="N161" s="4"/>
      <c r="O161" s="4" t="s">
        <v>17</v>
      </c>
      <c r="P161" s="4" t="s">
        <v>19</v>
      </c>
    </row>
    <row r="162" spans="1:16" s="8" customFormat="1" x14ac:dyDescent="0.25">
      <c r="A162">
        <f>RIGHT(B162,6)*1</f>
        <v>112978</v>
      </c>
      <c r="B162" t="s">
        <v>116</v>
      </c>
      <c r="C162" s="10">
        <v>42308</v>
      </c>
      <c r="D162" s="13">
        <f>YEAR(C162)</f>
        <v>2015</v>
      </c>
      <c r="E162" s="13">
        <f>MONTH(C162)</f>
        <v>10</v>
      </c>
      <c r="F162" s="13">
        <f>DAY(C162)</f>
        <v>31</v>
      </c>
      <c r="G162" s="13" t="s">
        <v>535</v>
      </c>
      <c r="H162" s="4" t="s">
        <v>14</v>
      </c>
      <c r="I162">
        <v>46.955300000000001</v>
      </c>
      <c r="J162">
        <v>6.4981</v>
      </c>
      <c r="K162" s="4" t="s">
        <v>15</v>
      </c>
      <c r="L162" s="4"/>
      <c r="M162" s="4" t="s">
        <v>1</v>
      </c>
      <c r="N162" s="4"/>
      <c r="O162" s="4" t="s">
        <v>17</v>
      </c>
      <c r="P162" s="4" t="s">
        <v>24</v>
      </c>
    </row>
    <row r="163" spans="1:16" s="8" customFormat="1" x14ac:dyDescent="0.25">
      <c r="A163">
        <f>RIGHT(B163,6)*1</f>
        <v>112990</v>
      </c>
      <c r="B163" t="s">
        <v>130</v>
      </c>
      <c r="C163" s="10">
        <v>42658</v>
      </c>
      <c r="D163" s="13">
        <f>YEAR(C163)</f>
        <v>2016</v>
      </c>
      <c r="E163" s="13">
        <f>MONTH(C163)</f>
        <v>10</v>
      </c>
      <c r="F163" s="13">
        <f>DAY(C163)</f>
        <v>15</v>
      </c>
      <c r="G163" s="13" t="s">
        <v>535</v>
      </c>
      <c r="H163" s="4" t="s">
        <v>14</v>
      </c>
      <c r="I163">
        <v>46.955300000000001</v>
      </c>
      <c r="J163">
        <v>6.4981</v>
      </c>
      <c r="K163" s="4"/>
      <c r="L163" s="4"/>
      <c r="M163" s="4" t="s">
        <v>1</v>
      </c>
      <c r="N163" s="4"/>
      <c r="O163" s="4" t="s">
        <v>17</v>
      </c>
      <c r="P163" s="4" t="s">
        <v>29</v>
      </c>
    </row>
    <row r="164" spans="1:16" s="8" customFormat="1" x14ac:dyDescent="0.25">
      <c r="A164">
        <f>RIGHT(B164,6)*1</f>
        <v>112991</v>
      </c>
      <c r="B164" t="s">
        <v>131</v>
      </c>
      <c r="C164" s="10">
        <v>42665</v>
      </c>
      <c r="D164" s="13">
        <f>YEAR(C164)</f>
        <v>2016</v>
      </c>
      <c r="E164" s="13">
        <f>MONTH(C164)</f>
        <v>10</v>
      </c>
      <c r="F164" s="13">
        <f>DAY(C164)</f>
        <v>22</v>
      </c>
      <c r="G164" s="13" t="s">
        <v>535</v>
      </c>
      <c r="H164" s="4" t="s">
        <v>14</v>
      </c>
      <c r="I164">
        <v>46.955300000000001</v>
      </c>
      <c r="J164">
        <v>6.4981</v>
      </c>
      <c r="K164" s="4"/>
      <c r="L164" s="4"/>
      <c r="M164" s="4" t="s">
        <v>1</v>
      </c>
      <c r="N164" s="4"/>
      <c r="O164" s="4" t="s">
        <v>17</v>
      </c>
      <c r="P164" s="4" t="s">
        <v>29</v>
      </c>
    </row>
    <row r="165" spans="1:16" s="8" customFormat="1" x14ac:dyDescent="0.25">
      <c r="A165">
        <f>RIGHT(B165,6)*1</f>
        <v>112992</v>
      </c>
      <c r="B165" t="s">
        <v>132</v>
      </c>
      <c r="C165" s="10">
        <v>42666</v>
      </c>
      <c r="D165" s="13">
        <f>YEAR(C165)</f>
        <v>2016</v>
      </c>
      <c r="E165" s="13">
        <f>MONTH(C165)</f>
        <v>10</v>
      </c>
      <c r="F165" s="13">
        <f>DAY(C165)</f>
        <v>23</v>
      </c>
      <c r="G165" s="13" t="s">
        <v>535</v>
      </c>
      <c r="H165" s="4" t="s">
        <v>14</v>
      </c>
      <c r="I165">
        <v>46.955300000000001</v>
      </c>
      <c r="J165">
        <v>6.4981</v>
      </c>
      <c r="K165" s="4"/>
      <c r="L165" s="4"/>
      <c r="M165" s="4" t="s">
        <v>1</v>
      </c>
      <c r="N165" s="4"/>
      <c r="O165" s="4" t="s">
        <v>17</v>
      </c>
      <c r="P165" s="4" t="s">
        <v>27</v>
      </c>
    </row>
    <row r="166" spans="1:16" s="8" customFormat="1" x14ac:dyDescent="0.25">
      <c r="A166">
        <f>RIGHT(B166,6)*1</f>
        <v>112998</v>
      </c>
      <c r="B166" t="s">
        <v>138</v>
      </c>
      <c r="C166" s="10">
        <v>43018</v>
      </c>
      <c r="D166" s="13">
        <f>YEAR(C166)</f>
        <v>2017</v>
      </c>
      <c r="E166" s="13">
        <f>MONTH(C166)</f>
        <v>10</v>
      </c>
      <c r="F166" s="13">
        <f>DAY(C166)</f>
        <v>10</v>
      </c>
      <c r="G166" s="13" t="s">
        <v>535</v>
      </c>
      <c r="H166" s="4" t="s">
        <v>14</v>
      </c>
      <c r="I166">
        <v>46.9255</v>
      </c>
      <c r="J166">
        <v>6.4813999999999998</v>
      </c>
      <c r="K166" s="4"/>
      <c r="L166" s="4"/>
      <c r="M166" s="4" t="s">
        <v>1</v>
      </c>
      <c r="N166" s="4"/>
      <c r="O166" s="4" t="s">
        <v>17</v>
      </c>
      <c r="P166" s="4" t="s">
        <v>19</v>
      </c>
    </row>
    <row r="167" spans="1:16" s="8" customFormat="1" x14ac:dyDescent="0.25">
      <c r="A167">
        <f>RIGHT(B167,6)*1</f>
        <v>112999</v>
      </c>
      <c r="B167" t="s">
        <v>139</v>
      </c>
      <c r="C167" s="10">
        <v>43019</v>
      </c>
      <c r="D167" s="13">
        <f>YEAR(C167)</f>
        <v>2017</v>
      </c>
      <c r="E167" s="13">
        <f>MONTH(C167)</f>
        <v>10</v>
      </c>
      <c r="F167" s="13">
        <f>DAY(C167)</f>
        <v>11</v>
      </c>
      <c r="G167" s="13" t="s">
        <v>535</v>
      </c>
      <c r="H167" s="4" t="s">
        <v>14</v>
      </c>
      <c r="I167">
        <v>46.9255</v>
      </c>
      <c r="J167">
        <v>6.4813999999999998</v>
      </c>
      <c r="K167" s="4"/>
      <c r="L167" s="4"/>
      <c r="M167" s="4" t="s">
        <v>1</v>
      </c>
      <c r="N167" s="4"/>
      <c r="O167" s="4" t="s">
        <v>17</v>
      </c>
      <c r="P167" s="4" t="s">
        <v>29</v>
      </c>
    </row>
    <row r="168" spans="1:16" s="8" customFormat="1" x14ac:dyDescent="0.25">
      <c r="A168">
        <f>RIGHT(B168,6)*1</f>
        <v>115183</v>
      </c>
      <c r="B168" t="s">
        <v>175</v>
      </c>
      <c r="C168" s="3">
        <v>42647</v>
      </c>
      <c r="D168" s="13">
        <f>YEAR(C168)</f>
        <v>2016</v>
      </c>
      <c r="E168" s="13">
        <f>MONTH(C168)</f>
        <v>10</v>
      </c>
      <c r="F168" s="13">
        <f>DAY(C168)</f>
        <v>4</v>
      </c>
      <c r="G168" s="13" t="s">
        <v>535</v>
      </c>
      <c r="H168" s="4" t="s">
        <v>14</v>
      </c>
      <c r="I168">
        <v>46.992800000000003</v>
      </c>
      <c r="J168">
        <v>6.6971999999999996</v>
      </c>
      <c r="K168" s="4" t="s">
        <v>15</v>
      </c>
      <c r="L168" s="4"/>
      <c r="M168" s="4" t="s">
        <v>1</v>
      </c>
      <c r="N168" s="4"/>
      <c r="O168" s="4" t="s">
        <v>16</v>
      </c>
      <c r="P168" s="4">
        <v>2</v>
      </c>
    </row>
    <row r="169" spans="1:16" s="8" customFormat="1" x14ac:dyDescent="0.25">
      <c r="A169">
        <f>RIGHT(B169,6)*1</f>
        <v>115184</v>
      </c>
      <c r="B169" t="s">
        <v>176</v>
      </c>
      <c r="C169" s="10">
        <v>42647</v>
      </c>
      <c r="D169" s="13">
        <f>YEAR(C169)</f>
        <v>2016</v>
      </c>
      <c r="E169" s="13">
        <f>MONTH(C169)</f>
        <v>10</v>
      </c>
      <c r="F169" s="13">
        <f>DAY(C169)</f>
        <v>4</v>
      </c>
      <c r="G169" s="13" t="s">
        <v>535</v>
      </c>
      <c r="H169" s="4" t="s">
        <v>14</v>
      </c>
      <c r="I169">
        <v>46.992800000000003</v>
      </c>
      <c r="J169">
        <v>6.6971999999999996</v>
      </c>
      <c r="K169" s="4" t="s">
        <v>15</v>
      </c>
      <c r="L169" s="4"/>
      <c r="M169" s="4" t="s">
        <v>1</v>
      </c>
      <c r="N169" s="4"/>
      <c r="O169" s="4" t="s">
        <v>17</v>
      </c>
      <c r="P169" s="4">
        <v>2</v>
      </c>
    </row>
    <row r="170" spans="1:16" s="8" customFormat="1" x14ac:dyDescent="0.25">
      <c r="A170">
        <f>RIGHT(B170,6)*1</f>
        <v>115185</v>
      </c>
      <c r="B170" t="s">
        <v>177</v>
      </c>
      <c r="C170" s="3">
        <v>42647</v>
      </c>
      <c r="D170" s="13">
        <f>YEAR(C170)</f>
        <v>2016</v>
      </c>
      <c r="E170" s="13">
        <f>MONTH(C170)</f>
        <v>10</v>
      </c>
      <c r="F170" s="13">
        <f>DAY(C170)</f>
        <v>4</v>
      </c>
      <c r="G170" s="13" t="s">
        <v>535</v>
      </c>
      <c r="H170" s="4" t="s">
        <v>14</v>
      </c>
      <c r="I170">
        <v>46.992800000000003</v>
      </c>
      <c r="J170">
        <v>6.6971999999999996</v>
      </c>
      <c r="K170" s="4" t="s">
        <v>15</v>
      </c>
      <c r="L170" s="4"/>
      <c r="M170" s="4" t="s">
        <v>42</v>
      </c>
      <c r="N170" s="4" t="s">
        <v>43</v>
      </c>
      <c r="O170" s="4" t="s">
        <v>16</v>
      </c>
      <c r="P170" s="4">
        <v>4</v>
      </c>
    </row>
    <row r="171" spans="1:16" s="8" customFormat="1" x14ac:dyDescent="0.25">
      <c r="A171">
        <f>RIGHT(B171,6)*1</f>
        <v>115186</v>
      </c>
      <c r="B171" t="s">
        <v>178</v>
      </c>
      <c r="C171" s="3">
        <v>42650</v>
      </c>
      <c r="D171" s="13">
        <f>YEAR(C171)</f>
        <v>2016</v>
      </c>
      <c r="E171" s="13">
        <f>MONTH(C171)</f>
        <v>10</v>
      </c>
      <c r="F171" s="13">
        <f>DAY(C171)</f>
        <v>7</v>
      </c>
      <c r="G171" s="13" t="s">
        <v>535</v>
      </c>
      <c r="H171" s="4" t="s">
        <v>14</v>
      </c>
      <c r="I171">
        <v>46.903599999999997</v>
      </c>
      <c r="J171">
        <v>6.6722000000000001</v>
      </c>
      <c r="K171" s="4" t="s">
        <v>15</v>
      </c>
      <c r="L171" s="4"/>
      <c r="M171" s="4" t="s">
        <v>42</v>
      </c>
      <c r="N171" s="4" t="s">
        <v>43</v>
      </c>
      <c r="O171" s="4" t="s">
        <v>16</v>
      </c>
      <c r="P171" s="4">
        <v>4</v>
      </c>
    </row>
    <row r="172" spans="1:16" s="8" customFormat="1" x14ac:dyDescent="0.25">
      <c r="A172">
        <f>RIGHT(B172,6)*1</f>
        <v>115187</v>
      </c>
      <c r="B172" t="s">
        <v>179</v>
      </c>
      <c r="C172" s="10">
        <v>42661</v>
      </c>
      <c r="D172" s="13">
        <f>YEAR(C172)</f>
        <v>2016</v>
      </c>
      <c r="E172" s="13">
        <f>MONTH(C172)</f>
        <v>10</v>
      </c>
      <c r="F172" s="13">
        <f>DAY(C172)</f>
        <v>18</v>
      </c>
      <c r="G172" s="13" t="s">
        <v>535</v>
      </c>
      <c r="H172" s="4" t="s">
        <v>14</v>
      </c>
      <c r="I172">
        <v>46.934399999999997</v>
      </c>
      <c r="J172">
        <v>6.5835999999999997</v>
      </c>
      <c r="K172" s="4" t="s">
        <v>15</v>
      </c>
      <c r="L172" s="4"/>
      <c r="M172" s="4" t="s">
        <v>1</v>
      </c>
      <c r="N172" s="4"/>
      <c r="O172" s="4" t="s">
        <v>17</v>
      </c>
      <c r="P172" s="4" t="s">
        <v>24</v>
      </c>
    </row>
    <row r="173" spans="1:16" s="8" customFormat="1" x14ac:dyDescent="0.25">
      <c r="A173">
        <f>RIGHT(B173,6)*1</f>
        <v>115188</v>
      </c>
      <c r="B173" t="s">
        <v>180</v>
      </c>
      <c r="C173" s="10">
        <v>42661</v>
      </c>
      <c r="D173" s="13">
        <f>YEAR(C173)</f>
        <v>2016</v>
      </c>
      <c r="E173" s="13">
        <f>MONTH(C173)</f>
        <v>10</v>
      </c>
      <c r="F173" s="13">
        <f>DAY(C173)</f>
        <v>18</v>
      </c>
      <c r="G173" s="13" t="s">
        <v>535</v>
      </c>
      <c r="H173" s="4" t="s">
        <v>14</v>
      </c>
      <c r="I173">
        <v>46.934399999999997</v>
      </c>
      <c r="J173">
        <v>6.5835999999999997</v>
      </c>
      <c r="K173" s="4" t="s">
        <v>15</v>
      </c>
      <c r="L173" s="4"/>
      <c r="M173" s="4" t="s">
        <v>1</v>
      </c>
      <c r="N173" s="4"/>
      <c r="O173" s="4" t="s">
        <v>17</v>
      </c>
      <c r="P173" s="4" t="s">
        <v>24</v>
      </c>
    </row>
    <row r="174" spans="1:16" s="8" customFormat="1" x14ac:dyDescent="0.25">
      <c r="A174">
        <f>RIGHT(B174,6)*1</f>
        <v>115189</v>
      </c>
      <c r="B174" t="s">
        <v>181</v>
      </c>
      <c r="C174" s="10">
        <v>42661</v>
      </c>
      <c r="D174" s="13">
        <f>YEAR(C174)</f>
        <v>2016</v>
      </c>
      <c r="E174" s="13">
        <f>MONTH(C174)</f>
        <v>10</v>
      </c>
      <c r="F174" s="13">
        <f>DAY(C174)</f>
        <v>18</v>
      </c>
      <c r="G174" s="13" t="s">
        <v>535</v>
      </c>
      <c r="H174" s="4" t="s">
        <v>14</v>
      </c>
      <c r="I174">
        <v>46.992800000000003</v>
      </c>
      <c r="J174">
        <v>6.6971999999999996</v>
      </c>
      <c r="K174" s="4" t="s">
        <v>15</v>
      </c>
      <c r="L174" s="4"/>
      <c r="M174" s="4" t="s">
        <v>1</v>
      </c>
      <c r="N174" s="4"/>
      <c r="O174" s="4" t="s">
        <v>17</v>
      </c>
      <c r="P174" s="4" t="s">
        <v>24</v>
      </c>
    </row>
    <row r="175" spans="1:16" s="8" customFormat="1" x14ac:dyDescent="0.25">
      <c r="A175">
        <f>RIGHT(B175,6)*1</f>
        <v>115190</v>
      </c>
      <c r="B175" t="s">
        <v>182</v>
      </c>
      <c r="C175" s="10">
        <v>42661</v>
      </c>
      <c r="D175" s="13">
        <f>YEAR(C175)</f>
        <v>2016</v>
      </c>
      <c r="E175" s="13">
        <f>MONTH(C175)</f>
        <v>10</v>
      </c>
      <c r="F175" s="13">
        <f>DAY(C175)</f>
        <v>18</v>
      </c>
      <c r="G175" s="13" t="s">
        <v>535</v>
      </c>
      <c r="H175" s="4" t="s">
        <v>14</v>
      </c>
      <c r="I175">
        <v>46.992800000000003</v>
      </c>
      <c r="J175">
        <v>6.6971999999999996</v>
      </c>
      <c r="K175" s="4" t="s">
        <v>15</v>
      </c>
      <c r="L175" s="4"/>
      <c r="M175" s="4" t="s">
        <v>1</v>
      </c>
      <c r="N175" s="4"/>
      <c r="O175" s="4" t="s">
        <v>17</v>
      </c>
      <c r="P175" s="4" t="s">
        <v>24</v>
      </c>
    </row>
    <row r="176" spans="1:16" s="8" customFormat="1" x14ac:dyDescent="0.25">
      <c r="A176">
        <f>RIGHT(B176,6)*1</f>
        <v>115191</v>
      </c>
      <c r="B176" t="s">
        <v>183</v>
      </c>
      <c r="C176" s="10">
        <v>42661</v>
      </c>
      <c r="D176" s="13">
        <f>YEAR(C176)</f>
        <v>2016</v>
      </c>
      <c r="E176" s="13">
        <f>MONTH(C176)</f>
        <v>10</v>
      </c>
      <c r="F176" s="13">
        <f>DAY(C176)</f>
        <v>18</v>
      </c>
      <c r="G176" s="13" t="s">
        <v>535</v>
      </c>
      <c r="H176" s="4" t="s">
        <v>14</v>
      </c>
      <c r="I176">
        <v>46.992800000000003</v>
      </c>
      <c r="J176">
        <v>6.6971999999999996</v>
      </c>
      <c r="K176" s="4" t="s">
        <v>15</v>
      </c>
      <c r="L176" s="4"/>
      <c r="M176" s="4" t="s">
        <v>1</v>
      </c>
      <c r="N176" s="4"/>
      <c r="O176" s="4" t="s">
        <v>17</v>
      </c>
      <c r="P176" s="4" t="s">
        <v>184</v>
      </c>
    </row>
    <row r="177" spans="1:16" s="8" customFormat="1" x14ac:dyDescent="0.25">
      <c r="A177">
        <f>RIGHT(B177,6)*1</f>
        <v>115192</v>
      </c>
      <c r="B177" t="s">
        <v>185</v>
      </c>
      <c r="C177" s="10">
        <v>42662</v>
      </c>
      <c r="D177" s="13">
        <f>YEAR(C177)</f>
        <v>2016</v>
      </c>
      <c r="E177" s="13">
        <f>MONTH(C177)</f>
        <v>10</v>
      </c>
      <c r="F177" s="13">
        <f>DAY(C177)</f>
        <v>19</v>
      </c>
      <c r="G177" s="13" t="s">
        <v>535</v>
      </c>
      <c r="H177" s="4" t="s">
        <v>14</v>
      </c>
      <c r="I177">
        <v>46.992800000000003</v>
      </c>
      <c r="J177">
        <v>6.6971999999999996</v>
      </c>
      <c r="K177" s="4" t="s">
        <v>15</v>
      </c>
      <c r="L177" s="4"/>
      <c r="M177" s="4" t="s">
        <v>1</v>
      </c>
      <c r="N177" s="4"/>
      <c r="O177" s="4" t="s">
        <v>17</v>
      </c>
      <c r="P177" s="4" t="s">
        <v>24</v>
      </c>
    </row>
    <row r="178" spans="1:16" s="8" customFormat="1" x14ac:dyDescent="0.25">
      <c r="A178">
        <f>RIGHT(B178,6)*1</f>
        <v>115193</v>
      </c>
      <c r="B178" t="s">
        <v>186</v>
      </c>
      <c r="C178" s="10">
        <v>42662</v>
      </c>
      <c r="D178" s="13">
        <f>YEAR(C178)</f>
        <v>2016</v>
      </c>
      <c r="E178" s="13">
        <f>MONTH(C178)</f>
        <v>10</v>
      </c>
      <c r="F178" s="13">
        <f>DAY(C178)</f>
        <v>19</v>
      </c>
      <c r="G178" s="13" t="s">
        <v>535</v>
      </c>
      <c r="H178" s="4" t="s">
        <v>14</v>
      </c>
      <c r="I178">
        <v>46.9283</v>
      </c>
      <c r="J178">
        <v>6.7336</v>
      </c>
      <c r="K178" s="4" t="s">
        <v>15</v>
      </c>
      <c r="L178" s="4"/>
      <c r="M178" s="4" t="s">
        <v>1</v>
      </c>
      <c r="N178" s="4"/>
      <c r="O178" s="4" t="s">
        <v>17</v>
      </c>
      <c r="P178" s="4" t="s">
        <v>184</v>
      </c>
    </row>
    <row r="179" spans="1:16" s="8" customFormat="1" x14ac:dyDescent="0.25">
      <c r="A179">
        <f>RIGHT(B179,6)*1</f>
        <v>115194</v>
      </c>
      <c r="B179" t="s">
        <v>187</v>
      </c>
      <c r="C179" s="10">
        <v>42663</v>
      </c>
      <c r="D179" s="13">
        <f>YEAR(C179)</f>
        <v>2016</v>
      </c>
      <c r="E179" s="13">
        <f>MONTH(C179)</f>
        <v>10</v>
      </c>
      <c r="F179" s="13">
        <f>DAY(C179)</f>
        <v>20</v>
      </c>
      <c r="G179" s="13" t="s">
        <v>535</v>
      </c>
      <c r="H179" s="4" t="s">
        <v>14</v>
      </c>
      <c r="I179">
        <v>46.884399999999999</v>
      </c>
      <c r="J179">
        <v>6.6238999999999999</v>
      </c>
      <c r="K179" s="4" t="s">
        <v>15</v>
      </c>
      <c r="L179" s="4"/>
      <c r="M179" s="4" t="s">
        <v>1</v>
      </c>
      <c r="N179" s="4"/>
      <c r="O179" s="4" t="s">
        <v>17</v>
      </c>
      <c r="P179" s="4" t="s">
        <v>24</v>
      </c>
    </row>
    <row r="180" spans="1:16" s="8" customFormat="1" x14ac:dyDescent="0.25">
      <c r="A180">
        <f>RIGHT(B180,6)*1</f>
        <v>115195</v>
      </c>
      <c r="B180" t="s">
        <v>188</v>
      </c>
      <c r="C180" s="10">
        <v>42663</v>
      </c>
      <c r="D180" s="13">
        <f>YEAR(C180)</f>
        <v>2016</v>
      </c>
      <c r="E180" s="13">
        <f>MONTH(C180)</f>
        <v>10</v>
      </c>
      <c r="F180" s="13">
        <f>DAY(C180)</f>
        <v>20</v>
      </c>
      <c r="G180" s="13" t="s">
        <v>535</v>
      </c>
      <c r="H180" s="4" t="s">
        <v>14</v>
      </c>
      <c r="I180">
        <v>46.884399999999999</v>
      </c>
      <c r="J180">
        <v>6.6238999999999999</v>
      </c>
      <c r="K180" s="4" t="s">
        <v>15</v>
      </c>
      <c r="L180" s="4"/>
      <c r="M180" s="4" t="s">
        <v>1</v>
      </c>
      <c r="N180" s="4"/>
      <c r="O180" s="4" t="s">
        <v>17</v>
      </c>
      <c r="P180" s="4" t="s">
        <v>24</v>
      </c>
    </row>
    <row r="181" spans="1:16" s="8" customFormat="1" x14ac:dyDescent="0.25">
      <c r="A181">
        <f>RIGHT(B181,6)*1</f>
        <v>115196</v>
      </c>
      <c r="B181" t="s">
        <v>189</v>
      </c>
      <c r="C181" s="10">
        <v>42663</v>
      </c>
      <c r="D181" s="13">
        <f>YEAR(C181)</f>
        <v>2016</v>
      </c>
      <c r="E181" s="13">
        <f>MONTH(C181)</f>
        <v>10</v>
      </c>
      <c r="F181" s="13">
        <f>DAY(C181)</f>
        <v>20</v>
      </c>
      <c r="G181" s="13" t="s">
        <v>535</v>
      </c>
      <c r="H181" s="4" t="s">
        <v>14</v>
      </c>
      <c r="I181">
        <v>46.884399999999999</v>
      </c>
      <c r="J181">
        <v>6.6238999999999999</v>
      </c>
      <c r="K181" s="4" t="s">
        <v>15</v>
      </c>
      <c r="L181" s="4"/>
      <c r="M181" s="4" t="s">
        <v>1</v>
      </c>
      <c r="N181" s="4"/>
      <c r="O181" s="4" t="s">
        <v>17</v>
      </c>
      <c r="P181" s="4" t="s">
        <v>184</v>
      </c>
    </row>
    <row r="182" spans="1:16" s="8" customFormat="1" x14ac:dyDescent="0.25">
      <c r="A182">
        <f>RIGHT(B182,6)*1</f>
        <v>115197</v>
      </c>
      <c r="B182" t="s">
        <v>190</v>
      </c>
      <c r="C182" s="10">
        <v>42663</v>
      </c>
      <c r="D182" s="13">
        <f>YEAR(C182)</f>
        <v>2016</v>
      </c>
      <c r="E182" s="13">
        <f>MONTH(C182)</f>
        <v>10</v>
      </c>
      <c r="F182" s="13">
        <f>DAY(C182)</f>
        <v>20</v>
      </c>
      <c r="G182" s="13" t="s">
        <v>535</v>
      </c>
      <c r="H182" s="4" t="s">
        <v>14</v>
      </c>
      <c r="I182">
        <v>46.884399999999999</v>
      </c>
      <c r="J182">
        <v>6.6238999999999999</v>
      </c>
      <c r="K182" s="4" t="s">
        <v>15</v>
      </c>
      <c r="L182" s="4"/>
      <c r="M182" s="4" t="s">
        <v>1</v>
      </c>
      <c r="N182" s="4"/>
      <c r="O182" s="4" t="s">
        <v>17</v>
      </c>
      <c r="P182" s="4" t="s">
        <v>24</v>
      </c>
    </row>
    <row r="183" spans="1:16" s="8" customFormat="1" x14ac:dyDescent="0.25">
      <c r="A183">
        <f>RIGHT(B183,6)*1</f>
        <v>115198</v>
      </c>
      <c r="B183" t="s">
        <v>191</v>
      </c>
      <c r="C183" s="10">
        <v>42666</v>
      </c>
      <c r="D183" s="13">
        <f>YEAR(C183)</f>
        <v>2016</v>
      </c>
      <c r="E183" s="13">
        <f>MONTH(C183)</f>
        <v>10</v>
      </c>
      <c r="F183" s="13">
        <f>DAY(C183)</f>
        <v>23</v>
      </c>
      <c r="G183" s="13" t="s">
        <v>535</v>
      </c>
      <c r="H183" s="4" t="s">
        <v>14</v>
      </c>
      <c r="I183">
        <v>46.928899999999999</v>
      </c>
      <c r="J183">
        <v>6.4592000000000001</v>
      </c>
      <c r="K183" s="4" t="s">
        <v>15</v>
      </c>
      <c r="L183" s="4"/>
      <c r="M183" s="4" t="s">
        <v>1</v>
      </c>
      <c r="N183" s="4"/>
      <c r="O183" s="4" t="s">
        <v>17</v>
      </c>
      <c r="P183" s="4" t="s">
        <v>24</v>
      </c>
    </row>
    <row r="184" spans="1:16" s="8" customFormat="1" x14ac:dyDescent="0.25">
      <c r="A184">
        <f>RIGHT(B184,6)*1</f>
        <v>115199</v>
      </c>
      <c r="B184" t="s">
        <v>192</v>
      </c>
      <c r="C184" s="10">
        <v>42666</v>
      </c>
      <c r="D184" s="13">
        <f>YEAR(C184)</f>
        <v>2016</v>
      </c>
      <c r="E184" s="13">
        <f>MONTH(C184)</f>
        <v>10</v>
      </c>
      <c r="F184" s="13">
        <f>DAY(C184)</f>
        <v>23</v>
      </c>
      <c r="G184" s="13" t="s">
        <v>535</v>
      </c>
      <c r="H184" s="4" t="s">
        <v>14</v>
      </c>
      <c r="I184">
        <v>46.929699999999997</v>
      </c>
      <c r="J184">
        <v>6.4603000000000002</v>
      </c>
      <c r="K184" s="4" t="s">
        <v>15</v>
      </c>
      <c r="L184" s="4"/>
      <c r="M184" s="4" t="s">
        <v>1</v>
      </c>
      <c r="N184" s="4"/>
      <c r="O184" s="4" t="s">
        <v>17</v>
      </c>
      <c r="P184" s="4" t="s">
        <v>24</v>
      </c>
    </row>
    <row r="185" spans="1:16" s="8" customFormat="1" x14ac:dyDescent="0.25">
      <c r="A185">
        <f>RIGHT(B185,6)*1</f>
        <v>115200</v>
      </c>
      <c r="B185" t="s">
        <v>193</v>
      </c>
      <c r="C185" s="10">
        <v>42666</v>
      </c>
      <c r="D185" s="13">
        <f>YEAR(C185)</f>
        <v>2016</v>
      </c>
      <c r="E185" s="13">
        <f>MONTH(C185)</f>
        <v>10</v>
      </c>
      <c r="F185" s="13">
        <f>DAY(C185)</f>
        <v>23</v>
      </c>
      <c r="G185" s="13" t="s">
        <v>535</v>
      </c>
      <c r="H185" s="4" t="s">
        <v>14</v>
      </c>
      <c r="I185">
        <v>46.929699999999997</v>
      </c>
      <c r="J185">
        <v>6.4603000000000002</v>
      </c>
      <c r="K185" s="4" t="s">
        <v>15</v>
      </c>
      <c r="L185" s="4"/>
      <c r="M185" s="4" t="s">
        <v>1</v>
      </c>
      <c r="N185" s="4"/>
      <c r="O185" s="4" t="s">
        <v>17</v>
      </c>
      <c r="P185" s="4" t="s">
        <v>184</v>
      </c>
    </row>
    <row r="186" spans="1:16" s="8" customFormat="1" x14ac:dyDescent="0.25">
      <c r="A186">
        <f>RIGHT(B186,6)*1</f>
        <v>116326</v>
      </c>
      <c r="B186" t="s">
        <v>235</v>
      </c>
      <c r="C186" s="10">
        <v>43011</v>
      </c>
      <c r="D186" s="13">
        <f>YEAR(C186)</f>
        <v>2017</v>
      </c>
      <c r="E186" s="13">
        <f>MONTH(C186)</f>
        <v>10</v>
      </c>
      <c r="F186" s="13">
        <f>DAY(C186)</f>
        <v>3</v>
      </c>
      <c r="G186" s="13" t="s">
        <v>535</v>
      </c>
      <c r="H186" s="4" t="s">
        <v>14</v>
      </c>
      <c r="I186">
        <v>46.854900000000001</v>
      </c>
      <c r="J186">
        <v>6.5456000000000003</v>
      </c>
      <c r="K186" s="4" t="s">
        <v>15</v>
      </c>
      <c r="L186" s="4"/>
      <c r="M186" s="4" t="s">
        <v>42</v>
      </c>
      <c r="N186" s="4" t="s">
        <v>118</v>
      </c>
      <c r="O186" s="4" t="s">
        <v>17</v>
      </c>
      <c r="P186" s="4" t="s">
        <v>29</v>
      </c>
    </row>
    <row r="187" spans="1:16" s="8" customFormat="1" x14ac:dyDescent="0.25">
      <c r="A187">
        <f>RIGHT(B187,6)*1</f>
        <v>116327</v>
      </c>
      <c r="B187" t="s">
        <v>236</v>
      </c>
      <c r="C187" s="10">
        <v>43013</v>
      </c>
      <c r="D187" s="13">
        <f>YEAR(C187)</f>
        <v>2017</v>
      </c>
      <c r="E187" s="13">
        <f>MONTH(C187)</f>
        <v>10</v>
      </c>
      <c r="F187" s="13">
        <f>DAY(C187)</f>
        <v>5</v>
      </c>
      <c r="G187" s="13" t="s">
        <v>535</v>
      </c>
      <c r="H187" s="4" t="s">
        <v>14</v>
      </c>
      <c r="I187">
        <v>46.992800000000003</v>
      </c>
      <c r="J187">
        <v>6.6971999999999996</v>
      </c>
      <c r="K187" s="4" t="s">
        <v>15</v>
      </c>
      <c r="L187" s="4"/>
      <c r="M187" s="4" t="s">
        <v>42</v>
      </c>
      <c r="N187" s="4" t="s">
        <v>118</v>
      </c>
      <c r="O187" s="4" t="s">
        <v>17</v>
      </c>
      <c r="P187" s="4" t="s">
        <v>29</v>
      </c>
    </row>
    <row r="188" spans="1:16" s="8" customFormat="1" x14ac:dyDescent="0.25">
      <c r="A188">
        <f>RIGHT(B188,6)*1</f>
        <v>116328</v>
      </c>
      <c r="B188" t="s">
        <v>237</v>
      </c>
      <c r="C188" s="10">
        <v>43014</v>
      </c>
      <c r="D188" s="13">
        <f>YEAR(C188)</f>
        <v>2017</v>
      </c>
      <c r="E188" s="13">
        <f>MONTH(C188)</f>
        <v>10</v>
      </c>
      <c r="F188" s="13">
        <f>DAY(C188)</f>
        <v>6</v>
      </c>
      <c r="G188" s="13" t="s">
        <v>535</v>
      </c>
      <c r="H188" s="4" t="s">
        <v>14</v>
      </c>
      <c r="I188">
        <v>46.929699999999997</v>
      </c>
      <c r="J188">
        <v>6.4603000000000002</v>
      </c>
      <c r="K188" s="4" t="s">
        <v>15</v>
      </c>
      <c r="L188" s="4"/>
      <c r="M188" s="4" t="s">
        <v>42</v>
      </c>
      <c r="N188" s="4" t="s">
        <v>43</v>
      </c>
      <c r="O188" s="4" t="s">
        <v>16</v>
      </c>
      <c r="P188" s="4" t="s">
        <v>29</v>
      </c>
    </row>
    <row r="189" spans="1:16" s="8" customFormat="1" x14ac:dyDescent="0.25">
      <c r="A189">
        <f>RIGHT(B189,6)*1</f>
        <v>116329</v>
      </c>
      <c r="B189" t="s">
        <v>238</v>
      </c>
      <c r="C189" s="10">
        <v>43014</v>
      </c>
      <c r="D189" s="13">
        <f>YEAR(C189)</f>
        <v>2017</v>
      </c>
      <c r="E189" s="13">
        <f>MONTH(C189)</f>
        <v>10</v>
      </c>
      <c r="F189" s="13">
        <f>DAY(C189)</f>
        <v>6</v>
      </c>
      <c r="G189" s="13" t="s">
        <v>535</v>
      </c>
      <c r="H189" s="4" t="s">
        <v>14</v>
      </c>
      <c r="I189">
        <v>46.929699999999997</v>
      </c>
      <c r="J189">
        <v>6.4603000000000002</v>
      </c>
      <c r="K189" s="4" t="s">
        <v>15</v>
      </c>
      <c r="L189" s="4"/>
      <c r="M189" s="4" t="s">
        <v>42</v>
      </c>
      <c r="N189" s="4" t="s">
        <v>43</v>
      </c>
      <c r="O189" s="4" t="s">
        <v>16</v>
      </c>
      <c r="P189" s="4" t="s">
        <v>29</v>
      </c>
    </row>
    <row r="190" spans="1:16" s="8" customFormat="1" x14ac:dyDescent="0.25">
      <c r="A190">
        <f>RIGHT(B190,6)*1</f>
        <v>116330</v>
      </c>
      <c r="B190" t="s">
        <v>239</v>
      </c>
      <c r="C190" s="10">
        <v>43024</v>
      </c>
      <c r="D190" s="13">
        <f>YEAR(C190)</f>
        <v>2017</v>
      </c>
      <c r="E190" s="13">
        <f>MONTH(C190)</f>
        <v>10</v>
      </c>
      <c r="F190" s="13">
        <f>DAY(C190)</f>
        <v>16</v>
      </c>
      <c r="G190" s="13" t="s">
        <v>535</v>
      </c>
      <c r="H190" s="4" t="s">
        <v>14</v>
      </c>
      <c r="I190">
        <v>46.929699999999997</v>
      </c>
      <c r="J190">
        <v>6.4603000000000002</v>
      </c>
      <c r="K190" s="4" t="s">
        <v>15</v>
      </c>
      <c r="L190" s="4"/>
      <c r="M190" s="4" t="s">
        <v>42</v>
      </c>
      <c r="N190" s="4" t="s">
        <v>43</v>
      </c>
      <c r="O190" s="4" t="s">
        <v>16</v>
      </c>
      <c r="P190" s="4" t="s">
        <v>29</v>
      </c>
    </row>
    <row r="191" spans="1:16" s="8" customFormat="1" x14ac:dyDescent="0.25">
      <c r="A191">
        <f>RIGHT(B191,6)*1</f>
        <v>116331</v>
      </c>
      <c r="B191" t="s">
        <v>240</v>
      </c>
      <c r="C191" s="10">
        <v>43025</v>
      </c>
      <c r="D191" s="13">
        <f>YEAR(C191)</f>
        <v>2017</v>
      </c>
      <c r="E191" s="13">
        <f>MONTH(C191)</f>
        <v>10</v>
      </c>
      <c r="F191" s="13">
        <f>DAY(C191)</f>
        <v>17</v>
      </c>
      <c r="G191" s="13" t="s">
        <v>535</v>
      </c>
      <c r="H191" s="4" t="s">
        <v>14</v>
      </c>
      <c r="I191">
        <v>46.854900000000001</v>
      </c>
      <c r="J191">
        <v>6.5456000000000003</v>
      </c>
      <c r="K191" s="4" t="s">
        <v>15</v>
      </c>
      <c r="L191" s="4"/>
      <c r="M191" s="4" t="s">
        <v>42</v>
      </c>
      <c r="N191" s="4" t="s">
        <v>43</v>
      </c>
      <c r="O191" s="4" t="s">
        <v>16</v>
      </c>
      <c r="P191" s="4" t="s">
        <v>29</v>
      </c>
    </row>
    <row r="192" spans="1:16" s="8" customFormat="1" x14ac:dyDescent="0.25">
      <c r="A192">
        <f>RIGHT(B192,6)*1</f>
        <v>116332</v>
      </c>
      <c r="B192" t="s">
        <v>241</v>
      </c>
      <c r="C192" s="10">
        <v>43026</v>
      </c>
      <c r="D192" s="13">
        <f>YEAR(C192)</f>
        <v>2017</v>
      </c>
      <c r="E192" s="13">
        <f>MONTH(C192)</f>
        <v>10</v>
      </c>
      <c r="F192" s="13">
        <f>DAY(C192)</f>
        <v>18</v>
      </c>
      <c r="G192" s="13" t="s">
        <v>535</v>
      </c>
      <c r="H192" s="4" t="s">
        <v>14</v>
      </c>
      <c r="I192">
        <v>46.854900000000001</v>
      </c>
      <c r="J192">
        <v>6.5456000000000003</v>
      </c>
      <c r="K192" s="4" t="s">
        <v>15</v>
      </c>
      <c r="L192" s="4"/>
      <c r="M192" s="4" t="s">
        <v>1</v>
      </c>
      <c r="N192" s="4"/>
      <c r="O192" s="4" t="s">
        <v>16</v>
      </c>
      <c r="P192" s="4" t="s">
        <v>29</v>
      </c>
    </row>
    <row r="193" spans="1:16" s="8" customFormat="1" x14ac:dyDescent="0.25">
      <c r="A193">
        <f>RIGHT(B193,6)*1</f>
        <v>116333</v>
      </c>
      <c r="B193" t="s">
        <v>242</v>
      </c>
      <c r="C193" s="10">
        <v>43026</v>
      </c>
      <c r="D193" s="13">
        <f>YEAR(C193)</f>
        <v>2017</v>
      </c>
      <c r="E193" s="13">
        <f>MONTH(C193)</f>
        <v>10</v>
      </c>
      <c r="F193" s="13">
        <f>DAY(C193)</f>
        <v>18</v>
      </c>
      <c r="G193" s="13" t="s">
        <v>535</v>
      </c>
      <c r="H193" s="4" t="s">
        <v>14</v>
      </c>
      <c r="I193">
        <v>46.868699999999997</v>
      </c>
      <c r="J193">
        <v>6.5781999999999998</v>
      </c>
      <c r="K193" s="4" t="s">
        <v>15</v>
      </c>
      <c r="L193" s="4"/>
      <c r="M193" s="4" t="s">
        <v>1</v>
      </c>
      <c r="N193" s="4"/>
      <c r="O193" s="4" t="s">
        <v>17</v>
      </c>
      <c r="P193" s="4" t="s">
        <v>184</v>
      </c>
    </row>
    <row r="194" spans="1:16" s="8" customFormat="1" x14ac:dyDescent="0.25">
      <c r="A194">
        <f>RIGHT(B194,6)*1</f>
        <v>116334</v>
      </c>
      <c r="B194" t="s">
        <v>243</v>
      </c>
      <c r="C194" s="10">
        <v>43027</v>
      </c>
      <c r="D194" s="13">
        <f>YEAR(C194)</f>
        <v>2017</v>
      </c>
      <c r="E194" s="13">
        <f>MONTH(C194)</f>
        <v>10</v>
      </c>
      <c r="F194" s="13">
        <f>DAY(C194)</f>
        <v>19</v>
      </c>
      <c r="G194" s="13" t="s">
        <v>535</v>
      </c>
      <c r="H194" s="4" t="s">
        <v>14</v>
      </c>
      <c r="I194">
        <v>46.868699999999997</v>
      </c>
      <c r="J194">
        <v>6.5781999999999998</v>
      </c>
      <c r="K194" s="4" t="s">
        <v>15</v>
      </c>
      <c r="L194" s="4"/>
      <c r="M194" s="4" t="s">
        <v>1</v>
      </c>
      <c r="N194" s="4"/>
      <c r="O194" s="4" t="s">
        <v>17</v>
      </c>
      <c r="P194" s="4" t="s">
        <v>184</v>
      </c>
    </row>
    <row r="195" spans="1:16" s="8" customFormat="1" x14ac:dyDescent="0.25">
      <c r="A195">
        <f>RIGHT(B195,6)*1</f>
        <v>116335</v>
      </c>
      <c r="B195" t="s">
        <v>244</v>
      </c>
      <c r="C195" s="10">
        <v>43027</v>
      </c>
      <c r="D195" s="13">
        <f>YEAR(C195)</f>
        <v>2017</v>
      </c>
      <c r="E195" s="13">
        <f>MONTH(C195)</f>
        <v>10</v>
      </c>
      <c r="F195" s="13">
        <f>DAY(C195)</f>
        <v>19</v>
      </c>
      <c r="G195" s="13" t="s">
        <v>535</v>
      </c>
      <c r="H195" s="4" t="s">
        <v>14</v>
      </c>
      <c r="I195">
        <v>46.868699999999997</v>
      </c>
      <c r="J195">
        <v>6.5781999999999998</v>
      </c>
      <c r="K195" s="4" t="s">
        <v>15</v>
      </c>
      <c r="L195" s="4"/>
      <c r="M195" s="4" t="s">
        <v>1</v>
      </c>
      <c r="N195" s="4"/>
      <c r="O195" s="4" t="s">
        <v>16</v>
      </c>
      <c r="P195" s="4" t="s">
        <v>29</v>
      </c>
    </row>
    <row r="196" spans="1:16" s="8" customFormat="1" x14ac:dyDescent="0.25">
      <c r="A196">
        <f>RIGHT(B196,6)*1</f>
        <v>116336</v>
      </c>
      <c r="B196" t="s">
        <v>245</v>
      </c>
      <c r="C196" s="10">
        <v>43028</v>
      </c>
      <c r="D196" s="13">
        <f>YEAR(C196)</f>
        <v>2017</v>
      </c>
      <c r="E196" s="13">
        <f>MONTH(C196)</f>
        <v>10</v>
      </c>
      <c r="F196" s="13">
        <f>DAY(C196)</f>
        <v>20</v>
      </c>
      <c r="G196" s="13" t="s">
        <v>535</v>
      </c>
      <c r="H196" s="4" t="s">
        <v>14</v>
      </c>
      <c r="I196">
        <v>46.934399999999997</v>
      </c>
      <c r="J196">
        <v>6.5835999999999997</v>
      </c>
      <c r="K196" s="4" t="s">
        <v>15</v>
      </c>
      <c r="L196" s="4"/>
      <c r="M196" s="4" t="s">
        <v>1</v>
      </c>
      <c r="N196" s="4"/>
      <c r="O196" s="4" t="s">
        <v>17</v>
      </c>
      <c r="P196" s="4" t="s">
        <v>29</v>
      </c>
    </row>
    <row r="197" spans="1:16" s="8" customFormat="1" x14ac:dyDescent="0.25">
      <c r="A197">
        <f>RIGHT(B197,6)*1</f>
        <v>116337</v>
      </c>
      <c r="B197" t="s">
        <v>246</v>
      </c>
      <c r="C197" s="10">
        <v>43028</v>
      </c>
      <c r="D197" s="13">
        <f>YEAR(C197)</f>
        <v>2017</v>
      </c>
      <c r="E197" s="13">
        <f>MONTH(C197)</f>
        <v>10</v>
      </c>
      <c r="F197" s="13">
        <f>DAY(C197)</f>
        <v>20</v>
      </c>
      <c r="G197" s="13" t="s">
        <v>535</v>
      </c>
      <c r="H197" s="4" t="s">
        <v>14</v>
      </c>
      <c r="I197">
        <v>46.934399999999997</v>
      </c>
      <c r="J197">
        <v>6.5835999999999997</v>
      </c>
      <c r="K197" s="4" t="s">
        <v>15</v>
      </c>
      <c r="L197" s="4"/>
      <c r="M197" s="4" t="s">
        <v>1</v>
      </c>
      <c r="N197" s="4"/>
      <c r="O197" s="4" t="s">
        <v>17</v>
      </c>
      <c r="P197" s="4" t="s">
        <v>27</v>
      </c>
    </row>
    <row r="198" spans="1:16" s="8" customFormat="1" x14ac:dyDescent="0.25">
      <c r="A198">
        <f>RIGHT(B198,6)*1</f>
        <v>116338</v>
      </c>
      <c r="B198" t="s">
        <v>247</v>
      </c>
      <c r="C198" s="10">
        <v>43028</v>
      </c>
      <c r="D198" s="13">
        <f>YEAR(C198)</f>
        <v>2017</v>
      </c>
      <c r="E198" s="13">
        <f>MONTH(C198)</f>
        <v>10</v>
      </c>
      <c r="F198" s="13">
        <f>DAY(C198)</f>
        <v>20</v>
      </c>
      <c r="G198" s="13" t="s">
        <v>535</v>
      </c>
      <c r="H198" s="4" t="s">
        <v>14</v>
      </c>
      <c r="I198">
        <v>46.979100000000003</v>
      </c>
      <c r="J198">
        <v>6.6723999999999997</v>
      </c>
      <c r="K198" s="4" t="s">
        <v>15</v>
      </c>
      <c r="L198" s="4"/>
      <c r="M198" s="4" t="s">
        <v>1</v>
      </c>
      <c r="N198" s="4"/>
      <c r="O198" s="4" t="s">
        <v>16</v>
      </c>
      <c r="P198" s="4" t="s">
        <v>184</v>
      </c>
    </row>
    <row r="199" spans="1:16" s="8" customFormat="1" x14ac:dyDescent="0.25">
      <c r="A199">
        <f>RIGHT(B199,6)*1</f>
        <v>116339</v>
      </c>
      <c r="B199" t="s">
        <v>248</v>
      </c>
      <c r="C199" s="10">
        <v>43028</v>
      </c>
      <c r="D199" s="13">
        <f>YEAR(C199)</f>
        <v>2017</v>
      </c>
      <c r="E199" s="13">
        <f>MONTH(C199)</f>
        <v>10</v>
      </c>
      <c r="F199" s="13">
        <f>DAY(C199)</f>
        <v>20</v>
      </c>
      <c r="G199" s="13" t="s">
        <v>535</v>
      </c>
      <c r="H199" s="4" t="s">
        <v>14</v>
      </c>
      <c r="I199">
        <v>46.903599999999997</v>
      </c>
      <c r="J199">
        <v>6.6722000000000001</v>
      </c>
      <c r="K199" s="4" t="s">
        <v>15</v>
      </c>
      <c r="L199" s="4"/>
      <c r="M199" s="4" t="s">
        <v>1</v>
      </c>
      <c r="N199" s="4"/>
      <c r="O199" s="4" t="s">
        <v>17</v>
      </c>
      <c r="P199" s="4" t="s">
        <v>184</v>
      </c>
    </row>
    <row r="200" spans="1:16" s="8" customFormat="1" x14ac:dyDescent="0.25">
      <c r="A200">
        <f>RIGHT(B200,6)*1</f>
        <v>116340</v>
      </c>
      <c r="B200" t="s">
        <v>249</v>
      </c>
      <c r="C200" s="10">
        <v>43028</v>
      </c>
      <c r="D200" s="13">
        <f>YEAR(C200)</f>
        <v>2017</v>
      </c>
      <c r="E200" s="13">
        <f>MONTH(C200)</f>
        <v>10</v>
      </c>
      <c r="F200" s="13">
        <f>DAY(C200)</f>
        <v>20</v>
      </c>
      <c r="G200" s="13" t="s">
        <v>535</v>
      </c>
      <c r="H200" s="4" t="s">
        <v>14</v>
      </c>
      <c r="I200">
        <v>46.903599999999997</v>
      </c>
      <c r="J200">
        <v>6.6722000000000001</v>
      </c>
      <c r="K200" s="4" t="s">
        <v>15</v>
      </c>
      <c r="L200" s="4"/>
      <c r="M200" s="4" t="s">
        <v>1</v>
      </c>
      <c r="N200" s="4"/>
      <c r="O200" s="4" t="s">
        <v>17</v>
      </c>
      <c r="P200" s="4" t="s">
        <v>19</v>
      </c>
    </row>
    <row r="201" spans="1:16" s="8" customFormat="1" x14ac:dyDescent="0.25">
      <c r="A201">
        <f>RIGHT(B201,6)*1</f>
        <v>116341</v>
      </c>
      <c r="B201" t="s">
        <v>250</v>
      </c>
      <c r="C201" s="10">
        <v>43028</v>
      </c>
      <c r="D201" s="13">
        <f>YEAR(C201)</f>
        <v>2017</v>
      </c>
      <c r="E201" s="13">
        <f>MONTH(C201)</f>
        <v>10</v>
      </c>
      <c r="F201" s="13">
        <f>DAY(C201)</f>
        <v>20</v>
      </c>
      <c r="G201" s="13" t="s">
        <v>535</v>
      </c>
      <c r="H201" s="4" t="s">
        <v>14</v>
      </c>
      <c r="I201">
        <v>46.903599999999997</v>
      </c>
      <c r="J201">
        <v>6.6722000000000001</v>
      </c>
      <c r="K201" s="4" t="s">
        <v>15</v>
      </c>
      <c r="L201" s="4"/>
      <c r="M201" s="4" t="s">
        <v>42</v>
      </c>
      <c r="N201" s="4" t="s">
        <v>43</v>
      </c>
      <c r="O201" s="4" t="s">
        <v>16</v>
      </c>
      <c r="P201" s="4" t="s">
        <v>19</v>
      </c>
    </row>
    <row r="202" spans="1:16" s="8" customFormat="1" x14ac:dyDescent="0.25">
      <c r="A202">
        <f>RIGHT(B202,6)*1</f>
        <v>116342</v>
      </c>
      <c r="B202" t="s">
        <v>251</v>
      </c>
      <c r="C202" s="10">
        <v>43028</v>
      </c>
      <c r="D202" s="13">
        <f>YEAR(C202)</f>
        <v>2017</v>
      </c>
      <c r="E202" s="13">
        <f>MONTH(C202)</f>
        <v>10</v>
      </c>
      <c r="F202" s="13">
        <f>DAY(C202)</f>
        <v>20</v>
      </c>
      <c r="G202" s="13" t="s">
        <v>535</v>
      </c>
      <c r="H202" s="4" t="s">
        <v>14</v>
      </c>
      <c r="I202">
        <v>46.903599999999997</v>
      </c>
      <c r="J202">
        <v>6.6722000000000001</v>
      </c>
      <c r="K202" s="4" t="s">
        <v>15</v>
      </c>
      <c r="L202" s="4"/>
      <c r="M202" s="4" t="s">
        <v>1</v>
      </c>
      <c r="N202" s="4"/>
      <c r="O202" s="4" t="s">
        <v>16</v>
      </c>
      <c r="P202" s="4" t="s">
        <v>29</v>
      </c>
    </row>
    <row r="203" spans="1:16" s="8" customFormat="1" x14ac:dyDescent="0.25">
      <c r="A203">
        <f>RIGHT(B203,6)*1</f>
        <v>116343</v>
      </c>
      <c r="B203" t="s">
        <v>252</v>
      </c>
      <c r="C203" s="10">
        <v>43029</v>
      </c>
      <c r="D203" s="13">
        <f>YEAR(C203)</f>
        <v>2017</v>
      </c>
      <c r="E203" s="13">
        <f>MONTH(C203)</f>
        <v>10</v>
      </c>
      <c r="F203" s="13">
        <f>DAY(C203)</f>
        <v>21</v>
      </c>
      <c r="G203" s="13" t="s">
        <v>535</v>
      </c>
      <c r="H203" s="4" t="s">
        <v>14</v>
      </c>
      <c r="I203">
        <v>46.903599999999997</v>
      </c>
      <c r="J203">
        <v>6.6722000000000001</v>
      </c>
      <c r="K203" s="4" t="s">
        <v>15</v>
      </c>
      <c r="L203" s="4"/>
      <c r="M203" s="4" t="s">
        <v>1</v>
      </c>
      <c r="N203" s="4"/>
      <c r="O203" s="4" t="s">
        <v>17</v>
      </c>
      <c r="P203" s="4" t="s">
        <v>27</v>
      </c>
    </row>
    <row r="204" spans="1:16" s="8" customFormat="1" x14ac:dyDescent="0.25">
      <c r="A204">
        <f>RIGHT(B204,6)*1</f>
        <v>116344</v>
      </c>
      <c r="B204" t="s">
        <v>253</v>
      </c>
      <c r="C204" s="10">
        <v>43029</v>
      </c>
      <c r="D204" s="13">
        <f>YEAR(C204)</f>
        <v>2017</v>
      </c>
      <c r="E204" s="13">
        <f>MONTH(C204)</f>
        <v>10</v>
      </c>
      <c r="F204" s="13">
        <f>DAY(C204)</f>
        <v>21</v>
      </c>
      <c r="G204" s="13" t="s">
        <v>535</v>
      </c>
      <c r="H204" s="4" t="s">
        <v>14</v>
      </c>
      <c r="I204">
        <v>46.903599999999997</v>
      </c>
      <c r="J204">
        <v>6.6722000000000001</v>
      </c>
      <c r="K204" s="4" t="s">
        <v>15</v>
      </c>
      <c r="L204" s="4"/>
      <c r="M204" s="4" t="s">
        <v>1</v>
      </c>
      <c r="N204" s="4"/>
      <c r="O204" s="4" t="s">
        <v>16</v>
      </c>
      <c r="P204" s="4" t="s">
        <v>29</v>
      </c>
    </row>
    <row r="205" spans="1:16" s="8" customFormat="1" x14ac:dyDescent="0.25">
      <c r="A205">
        <f>RIGHT(B205,6)*1</f>
        <v>116345</v>
      </c>
      <c r="B205" t="s">
        <v>254</v>
      </c>
      <c r="C205" s="10">
        <v>43029</v>
      </c>
      <c r="D205" s="13">
        <f>YEAR(C205)</f>
        <v>2017</v>
      </c>
      <c r="E205" s="13">
        <f>MONTH(C205)</f>
        <v>10</v>
      </c>
      <c r="F205" s="13">
        <f>DAY(C205)</f>
        <v>21</v>
      </c>
      <c r="G205" s="13" t="s">
        <v>535</v>
      </c>
      <c r="H205" s="4" t="s">
        <v>14</v>
      </c>
      <c r="I205">
        <v>46.903599999999997</v>
      </c>
      <c r="J205">
        <v>6.6722000000000001</v>
      </c>
      <c r="K205" s="4" t="s">
        <v>15</v>
      </c>
      <c r="L205" s="4"/>
      <c r="M205" s="4" t="s">
        <v>1</v>
      </c>
      <c r="N205" s="4"/>
      <c r="O205" s="4" t="s">
        <v>17</v>
      </c>
      <c r="P205" s="4" t="s">
        <v>184</v>
      </c>
    </row>
    <row r="206" spans="1:16" s="8" customFormat="1" x14ac:dyDescent="0.25">
      <c r="A206">
        <f>RIGHT(B206,6)*1</f>
        <v>116346</v>
      </c>
      <c r="B206" t="s">
        <v>255</v>
      </c>
      <c r="C206" s="10">
        <v>43029</v>
      </c>
      <c r="D206" s="13">
        <f>YEAR(C206)</f>
        <v>2017</v>
      </c>
      <c r="E206" s="13">
        <f>MONTH(C206)</f>
        <v>10</v>
      </c>
      <c r="F206" s="13">
        <f>DAY(C206)</f>
        <v>21</v>
      </c>
      <c r="G206" s="13" t="s">
        <v>535</v>
      </c>
      <c r="H206" s="4" t="s">
        <v>14</v>
      </c>
      <c r="I206">
        <v>46.992800000000003</v>
      </c>
      <c r="J206">
        <v>6.6971999999999996</v>
      </c>
      <c r="K206" s="4" t="s">
        <v>15</v>
      </c>
      <c r="L206" s="4"/>
      <c r="M206" s="4" t="s">
        <v>1</v>
      </c>
      <c r="N206" s="4"/>
      <c r="O206" s="4" t="s">
        <v>17</v>
      </c>
      <c r="P206" s="4" t="s">
        <v>29</v>
      </c>
    </row>
    <row r="207" spans="1:16" s="8" customFormat="1" x14ac:dyDescent="0.25">
      <c r="A207">
        <f>RIGHT(B207,6)*1</f>
        <v>116347</v>
      </c>
      <c r="B207" t="s">
        <v>256</v>
      </c>
      <c r="C207" s="10">
        <v>43029</v>
      </c>
      <c r="D207" s="13">
        <f>YEAR(C207)</f>
        <v>2017</v>
      </c>
      <c r="E207" s="13">
        <f>MONTH(C207)</f>
        <v>10</v>
      </c>
      <c r="F207" s="13">
        <f>DAY(C207)</f>
        <v>21</v>
      </c>
      <c r="G207" s="13" t="s">
        <v>535</v>
      </c>
      <c r="H207" s="4" t="s">
        <v>14</v>
      </c>
      <c r="I207">
        <v>46.992800000000003</v>
      </c>
      <c r="J207">
        <v>6.6971999999999996</v>
      </c>
      <c r="K207" s="4" t="s">
        <v>15</v>
      </c>
      <c r="L207" s="4"/>
      <c r="M207" s="4" t="s">
        <v>1</v>
      </c>
      <c r="N207" s="4"/>
      <c r="O207" s="4" t="s">
        <v>17</v>
      </c>
      <c r="P207" s="4" t="s">
        <v>29</v>
      </c>
    </row>
    <row r="208" spans="1:16" s="8" customFormat="1" x14ac:dyDescent="0.25">
      <c r="A208">
        <f>RIGHT(B208,6)*1</f>
        <v>116348</v>
      </c>
      <c r="B208" t="s">
        <v>257</v>
      </c>
      <c r="C208" s="10">
        <v>43029</v>
      </c>
      <c r="D208" s="13">
        <f>YEAR(C208)</f>
        <v>2017</v>
      </c>
      <c r="E208" s="13">
        <f>MONTH(C208)</f>
        <v>10</v>
      </c>
      <c r="F208" s="13">
        <f>DAY(C208)</f>
        <v>21</v>
      </c>
      <c r="G208" s="13" t="s">
        <v>535</v>
      </c>
      <c r="H208" s="4" t="s">
        <v>14</v>
      </c>
      <c r="I208">
        <v>46.992800000000003</v>
      </c>
      <c r="J208">
        <v>6.6971999999999996</v>
      </c>
      <c r="K208" s="4" t="s">
        <v>15</v>
      </c>
      <c r="L208" s="4"/>
      <c r="M208" s="4" t="s">
        <v>1</v>
      </c>
      <c r="N208" s="4"/>
      <c r="O208" s="4" t="s">
        <v>17</v>
      </c>
      <c r="P208" s="4" t="s">
        <v>29</v>
      </c>
    </row>
    <row r="209" spans="1:16" s="8" customFormat="1" x14ac:dyDescent="0.25">
      <c r="A209">
        <f>RIGHT(B209,6)*1</f>
        <v>116349</v>
      </c>
      <c r="B209" t="s">
        <v>258</v>
      </c>
      <c r="C209" s="10">
        <v>43029</v>
      </c>
      <c r="D209" s="13">
        <f>YEAR(C209)</f>
        <v>2017</v>
      </c>
      <c r="E209" s="13">
        <f>MONTH(C209)</f>
        <v>10</v>
      </c>
      <c r="F209" s="13">
        <f>DAY(C209)</f>
        <v>21</v>
      </c>
      <c r="G209" s="13" t="s">
        <v>535</v>
      </c>
      <c r="H209" s="4" t="s">
        <v>14</v>
      </c>
      <c r="I209">
        <v>46.992800000000003</v>
      </c>
      <c r="J209">
        <v>6.6971999999999996</v>
      </c>
      <c r="K209" s="4" t="s">
        <v>15</v>
      </c>
      <c r="L209" s="4"/>
      <c r="M209" s="4" t="s">
        <v>1</v>
      </c>
      <c r="N209" s="4"/>
      <c r="O209" s="4" t="s">
        <v>17</v>
      </c>
      <c r="P209" s="4" t="s">
        <v>29</v>
      </c>
    </row>
    <row r="210" spans="1:16" s="8" customFormat="1" x14ac:dyDescent="0.25">
      <c r="A210">
        <f>RIGHT(B210,6)*1</f>
        <v>116350</v>
      </c>
      <c r="B210" t="s">
        <v>259</v>
      </c>
      <c r="C210" s="10">
        <v>43030</v>
      </c>
      <c r="D210" s="13">
        <f>YEAR(C210)</f>
        <v>2017</v>
      </c>
      <c r="E210" s="13">
        <f>MONTH(C210)</f>
        <v>10</v>
      </c>
      <c r="F210" s="13">
        <f>DAY(C210)</f>
        <v>22</v>
      </c>
      <c r="G210" s="13" t="s">
        <v>535</v>
      </c>
      <c r="H210" s="4" t="s">
        <v>14</v>
      </c>
      <c r="I210">
        <v>46.992800000000003</v>
      </c>
      <c r="J210">
        <v>6.6971999999999996</v>
      </c>
      <c r="K210" s="4" t="s">
        <v>15</v>
      </c>
      <c r="L210" s="4"/>
      <c r="M210" s="4" t="s">
        <v>1</v>
      </c>
      <c r="N210" s="4"/>
      <c r="O210" s="4" t="s">
        <v>17</v>
      </c>
      <c r="P210" s="4" t="s">
        <v>184</v>
      </c>
    </row>
    <row r="211" spans="1:16" s="8" customFormat="1" x14ac:dyDescent="0.25">
      <c r="A211">
        <f>RIGHT(B211,6)*1</f>
        <v>118451</v>
      </c>
      <c r="B211" t="s">
        <v>260</v>
      </c>
      <c r="C211" s="10">
        <v>42666</v>
      </c>
      <c r="D211" s="13">
        <f>YEAR(C211)</f>
        <v>2016</v>
      </c>
      <c r="E211" s="13">
        <f>MONTH(C211)</f>
        <v>10</v>
      </c>
      <c r="F211" s="13">
        <f>DAY(C211)</f>
        <v>23</v>
      </c>
      <c r="G211" s="13" t="s">
        <v>535</v>
      </c>
      <c r="H211" s="4" t="s">
        <v>14</v>
      </c>
      <c r="I211">
        <v>46.929699999999997</v>
      </c>
      <c r="J211">
        <v>6.4603000000000002</v>
      </c>
      <c r="K211" s="4" t="s">
        <v>15</v>
      </c>
      <c r="L211" s="4"/>
      <c r="M211" s="4" t="s">
        <v>1</v>
      </c>
      <c r="N211" s="4"/>
      <c r="O211" s="4" t="s">
        <v>17</v>
      </c>
      <c r="P211" s="4" t="s">
        <v>184</v>
      </c>
    </row>
    <row r="212" spans="1:16" s="8" customFormat="1" x14ac:dyDescent="0.25">
      <c r="A212">
        <f>RIGHT(B212,6)*1</f>
        <v>118452</v>
      </c>
      <c r="B212" t="s">
        <v>261</v>
      </c>
      <c r="C212" s="10">
        <v>42667</v>
      </c>
      <c r="D212" s="13">
        <f>YEAR(C212)</f>
        <v>2016</v>
      </c>
      <c r="E212" s="13">
        <f>MONTH(C212)</f>
        <v>10</v>
      </c>
      <c r="F212" s="13">
        <f>DAY(C212)</f>
        <v>24</v>
      </c>
      <c r="G212" s="13" t="s">
        <v>535</v>
      </c>
      <c r="H212" s="4" t="s">
        <v>14</v>
      </c>
      <c r="I212">
        <v>46.936900000000001</v>
      </c>
      <c r="J212">
        <v>6.4641999999999999</v>
      </c>
      <c r="K212" s="4" t="s">
        <v>15</v>
      </c>
      <c r="L212" s="4"/>
      <c r="M212" s="4" t="s">
        <v>1</v>
      </c>
      <c r="N212" s="4"/>
      <c r="O212" s="4" t="s">
        <v>16</v>
      </c>
      <c r="P212" s="4" t="s">
        <v>24</v>
      </c>
    </row>
    <row r="213" spans="1:16" s="8" customFormat="1" x14ac:dyDescent="0.25">
      <c r="A213">
        <f>RIGHT(B213,6)*1</f>
        <v>118453</v>
      </c>
      <c r="B213" t="s">
        <v>262</v>
      </c>
      <c r="C213" s="10">
        <v>42668</v>
      </c>
      <c r="D213" s="13">
        <f>YEAR(C213)</f>
        <v>2016</v>
      </c>
      <c r="E213" s="13">
        <f>MONTH(C213)</f>
        <v>10</v>
      </c>
      <c r="F213" s="13">
        <f>DAY(C213)</f>
        <v>25</v>
      </c>
      <c r="G213" s="13" t="s">
        <v>535</v>
      </c>
      <c r="H213" s="4" t="s">
        <v>14</v>
      </c>
      <c r="I213">
        <v>46.903599999999997</v>
      </c>
      <c r="J213">
        <v>6.6722000000000001</v>
      </c>
      <c r="K213" s="4" t="s">
        <v>15</v>
      </c>
      <c r="L213" s="4"/>
      <c r="M213" s="4" t="s">
        <v>1</v>
      </c>
      <c r="N213" s="4"/>
      <c r="O213" s="4" t="s">
        <v>17</v>
      </c>
      <c r="P213" s="4" t="s">
        <v>24</v>
      </c>
    </row>
    <row r="214" spans="1:16" s="8" customFormat="1" x14ac:dyDescent="0.25">
      <c r="A214">
        <f>RIGHT(B214,6)*1</f>
        <v>118454</v>
      </c>
      <c r="B214" t="s">
        <v>263</v>
      </c>
      <c r="C214" s="10">
        <v>42669</v>
      </c>
      <c r="D214" s="13">
        <f>YEAR(C214)</f>
        <v>2016</v>
      </c>
      <c r="E214" s="13">
        <f>MONTH(C214)</f>
        <v>10</v>
      </c>
      <c r="F214" s="13">
        <f>DAY(C214)</f>
        <v>26</v>
      </c>
      <c r="G214" s="13" t="s">
        <v>535</v>
      </c>
      <c r="H214" s="4" t="s">
        <v>14</v>
      </c>
      <c r="I214">
        <v>46.992800000000003</v>
      </c>
      <c r="J214">
        <v>6.6971999999999996</v>
      </c>
      <c r="K214" s="4" t="s">
        <v>15</v>
      </c>
      <c r="L214" s="4"/>
      <c r="M214" s="4" t="s">
        <v>1</v>
      </c>
      <c r="N214" s="4"/>
      <c r="O214" s="4" t="s">
        <v>17</v>
      </c>
      <c r="P214" s="4" t="s">
        <v>184</v>
      </c>
    </row>
    <row r="215" spans="1:16" s="8" customFormat="1" x14ac:dyDescent="0.25">
      <c r="A215">
        <f>RIGHT(B215,6)*1</f>
        <v>118455</v>
      </c>
      <c r="B215" t="s">
        <v>264</v>
      </c>
      <c r="C215" s="10">
        <v>42669</v>
      </c>
      <c r="D215" s="13">
        <f>YEAR(C215)</f>
        <v>2016</v>
      </c>
      <c r="E215" s="13">
        <f>MONTH(C215)</f>
        <v>10</v>
      </c>
      <c r="F215" s="13">
        <f>DAY(C215)</f>
        <v>26</v>
      </c>
      <c r="G215" s="13" t="s">
        <v>535</v>
      </c>
      <c r="H215" s="4" t="s">
        <v>14</v>
      </c>
      <c r="I215">
        <v>46.992800000000003</v>
      </c>
      <c r="J215">
        <v>6.6971999999999996</v>
      </c>
      <c r="K215" s="4" t="s">
        <v>15</v>
      </c>
      <c r="L215" s="4"/>
      <c r="M215" s="4" t="s">
        <v>42</v>
      </c>
      <c r="N215" s="4" t="s">
        <v>43</v>
      </c>
      <c r="O215" s="4" t="s">
        <v>16</v>
      </c>
      <c r="P215" s="4" t="s">
        <v>184</v>
      </c>
    </row>
    <row r="216" spans="1:16" s="8" customFormat="1" x14ac:dyDescent="0.25">
      <c r="A216">
        <f>RIGHT(B216,6)*1</f>
        <v>118456</v>
      </c>
      <c r="B216" t="s">
        <v>265</v>
      </c>
      <c r="C216" s="10">
        <v>42669</v>
      </c>
      <c r="D216" s="13">
        <f>YEAR(C216)</f>
        <v>2016</v>
      </c>
      <c r="E216" s="13">
        <f>MONTH(C216)</f>
        <v>10</v>
      </c>
      <c r="F216" s="13">
        <f>DAY(C216)</f>
        <v>26</v>
      </c>
      <c r="G216" s="13" t="s">
        <v>535</v>
      </c>
      <c r="H216" s="4" t="s">
        <v>14</v>
      </c>
      <c r="I216">
        <v>46.992800000000003</v>
      </c>
      <c r="J216">
        <v>6.6971999999999996</v>
      </c>
      <c r="K216" s="4" t="s">
        <v>15</v>
      </c>
      <c r="L216" s="4"/>
      <c r="M216" s="4" t="s">
        <v>1</v>
      </c>
      <c r="N216" s="4"/>
      <c r="O216" s="4" t="s">
        <v>17</v>
      </c>
      <c r="P216" s="4" t="s">
        <v>184</v>
      </c>
    </row>
    <row r="217" spans="1:16" s="8" customFormat="1" x14ac:dyDescent="0.25">
      <c r="A217">
        <f>RIGHT(B217,6)*1</f>
        <v>118457</v>
      </c>
      <c r="B217" t="s">
        <v>266</v>
      </c>
      <c r="C217" s="10">
        <v>42669</v>
      </c>
      <c r="D217" s="13">
        <f>YEAR(C217)</f>
        <v>2016</v>
      </c>
      <c r="E217" s="13">
        <f>MONTH(C217)</f>
        <v>10</v>
      </c>
      <c r="F217" s="13">
        <f>DAY(C217)</f>
        <v>26</v>
      </c>
      <c r="G217" s="13" t="s">
        <v>535</v>
      </c>
      <c r="H217" s="4" t="s">
        <v>14</v>
      </c>
      <c r="I217">
        <v>46.898899999999998</v>
      </c>
      <c r="J217">
        <v>6.5213999999999999</v>
      </c>
      <c r="K217" s="4" t="s">
        <v>15</v>
      </c>
      <c r="L217" s="4"/>
      <c r="M217" s="4" t="s">
        <v>1</v>
      </c>
      <c r="N217" s="4"/>
      <c r="O217" s="4" t="s">
        <v>17</v>
      </c>
      <c r="P217" s="4" t="s">
        <v>29</v>
      </c>
    </row>
    <row r="218" spans="1:16" s="8" customFormat="1" x14ac:dyDescent="0.25">
      <c r="A218">
        <f>RIGHT(B218,6)*1</f>
        <v>118458</v>
      </c>
      <c r="B218" t="s">
        <v>267</v>
      </c>
      <c r="C218" s="10">
        <v>42670</v>
      </c>
      <c r="D218" s="13">
        <f>YEAR(C218)</f>
        <v>2016</v>
      </c>
      <c r="E218" s="13">
        <f>MONTH(C218)</f>
        <v>10</v>
      </c>
      <c r="F218" s="13">
        <f>DAY(C218)</f>
        <v>27</v>
      </c>
      <c r="G218" s="13" t="s">
        <v>535</v>
      </c>
      <c r="H218" s="4" t="s">
        <v>14</v>
      </c>
      <c r="I218">
        <v>46.898899999999998</v>
      </c>
      <c r="J218">
        <v>6.5213999999999999</v>
      </c>
      <c r="K218" s="4" t="s">
        <v>15</v>
      </c>
      <c r="L218" s="4"/>
      <c r="M218" s="4" t="s">
        <v>1</v>
      </c>
      <c r="N218" s="4"/>
      <c r="O218" s="4" t="s">
        <v>17</v>
      </c>
      <c r="P218" s="4" t="s">
        <v>27</v>
      </c>
    </row>
    <row r="219" spans="1:16" s="8" customFormat="1" x14ac:dyDescent="0.25">
      <c r="A219">
        <f>RIGHT(B219,6)*1</f>
        <v>118459</v>
      </c>
      <c r="B219" t="s">
        <v>268</v>
      </c>
      <c r="C219" s="10">
        <v>42670</v>
      </c>
      <c r="D219" s="13">
        <f>YEAR(C219)</f>
        <v>2016</v>
      </c>
      <c r="E219" s="13">
        <f>MONTH(C219)</f>
        <v>10</v>
      </c>
      <c r="F219" s="13">
        <f>DAY(C219)</f>
        <v>27</v>
      </c>
      <c r="G219" s="13" t="s">
        <v>535</v>
      </c>
      <c r="H219" s="4" t="s">
        <v>14</v>
      </c>
      <c r="I219">
        <v>46.9283</v>
      </c>
      <c r="J219">
        <v>6.7336</v>
      </c>
      <c r="K219" s="4" t="s">
        <v>15</v>
      </c>
      <c r="L219" s="4"/>
      <c r="M219" s="4" t="s">
        <v>1</v>
      </c>
      <c r="N219" s="4"/>
      <c r="O219" s="4" t="s">
        <v>17</v>
      </c>
      <c r="P219" s="4" t="s">
        <v>29</v>
      </c>
    </row>
    <row r="220" spans="1:16" s="8" customFormat="1" x14ac:dyDescent="0.25">
      <c r="A220">
        <f>RIGHT(B220,6)*1</f>
        <v>118460</v>
      </c>
      <c r="B220" t="s">
        <v>269</v>
      </c>
      <c r="C220" s="10">
        <v>42670</v>
      </c>
      <c r="D220" s="13">
        <f>YEAR(C220)</f>
        <v>2016</v>
      </c>
      <c r="E220" s="13">
        <f>MONTH(C220)</f>
        <v>10</v>
      </c>
      <c r="F220" s="13">
        <f>DAY(C220)</f>
        <v>27</v>
      </c>
      <c r="G220" s="13" t="s">
        <v>535</v>
      </c>
      <c r="H220" s="4" t="s">
        <v>14</v>
      </c>
      <c r="I220">
        <v>46.928100000000001</v>
      </c>
      <c r="J220">
        <v>6.7217000000000002</v>
      </c>
      <c r="K220" s="4" t="s">
        <v>15</v>
      </c>
      <c r="L220" s="4"/>
      <c r="M220" s="4" t="s">
        <v>1</v>
      </c>
      <c r="N220" s="4"/>
      <c r="O220" s="4" t="s">
        <v>17</v>
      </c>
      <c r="P220" s="4" t="s">
        <v>29</v>
      </c>
    </row>
    <row r="221" spans="1:16" s="8" customFormat="1" x14ac:dyDescent="0.25">
      <c r="A221">
        <f>RIGHT(B221,6)*1</f>
        <v>118461</v>
      </c>
      <c r="B221" t="s">
        <v>270</v>
      </c>
      <c r="C221" s="10">
        <v>42670</v>
      </c>
      <c r="D221" s="13">
        <f>YEAR(C221)</f>
        <v>2016</v>
      </c>
      <c r="E221" s="13">
        <f>MONTH(C221)</f>
        <v>10</v>
      </c>
      <c r="F221" s="13">
        <f>DAY(C221)</f>
        <v>27</v>
      </c>
      <c r="G221" s="13" t="s">
        <v>535</v>
      </c>
      <c r="H221" s="4" t="s">
        <v>14</v>
      </c>
      <c r="I221">
        <v>46.928100000000001</v>
      </c>
      <c r="J221">
        <v>6.7217000000000002</v>
      </c>
      <c r="K221" s="4" t="s">
        <v>15</v>
      </c>
      <c r="L221" s="4"/>
      <c r="M221" s="4" t="s">
        <v>1</v>
      </c>
      <c r="N221" s="4"/>
      <c r="O221" s="4" t="s">
        <v>17</v>
      </c>
      <c r="P221" s="4" t="s">
        <v>27</v>
      </c>
    </row>
    <row r="222" spans="1:16" s="8" customFormat="1" x14ac:dyDescent="0.25">
      <c r="A222">
        <f>RIGHT(B222,6)*1</f>
        <v>118462</v>
      </c>
      <c r="B222" t="s">
        <v>271</v>
      </c>
      <c r="C222" s="10">
        <v>42673</v>
      </c>
      <c r="D222" s="13">
        <f>YEAR(C222)</f>
        <v>2016</v>
      </c>
      <c r="E222" s="13">
        <f>MONTH(C222)</f>
        <v>10</v>
      </c>
      <c r="F222" s="13">
        <f>DAY(C222)</f>
        <v>30</v>
      </c>
      <c r="G222" s="13" t="s">
        <v>535</v>
      </c>
      <c r="H222" s="4" t="s">
        <v>14</v>
      </c>
      <c r="I222">
        <v>46.934399999999997</v>
      </c>
      <c r="J222">
        <v>6.5835999999999997</v>
      </c>
      <c r="K222" s="4" t="s">
        <v>15</v>
      </c>
      <c r="L222" s="4"/>
      <c r="M222" s="4" t="s">
        <v>1</v>
      </c>
      <c r="N222" s="4"/>
      <c r="O222" s="4" t="s">
        <v>17</v>
      </c>
      <c r="P222" s="4" t="s">
        <v>29</v>
      </c>
    </row>
    <row r="223" spans="1:16" s="8" customFormat="1" x14ac:dyDescent="0.25">
      <c r="A223">
        <f>RIGHT(B223,6)*1</f>
        <v>118463</v>
      </c>
      <c r="B223" t="s">
        <v>272</v>
      </c>
      <c r="C223" s="10">
        <v>42674</v>
      </c>
      <c r="D223" s="13">
        <f>YEAR(C223)</f>
        <v>2016</v>
      </c>
      <c r="E223" s="13">
        <f>MONTH(C223)</f>
        <v>10</v>
      </c>
      <c r="F223" s="13">
        <f>DAY(C223)</f>
        <v>31</v>
      </c>
      <c r="G223" s="13" t="s">
        <v>535</v>
      </c>
      <c r="H223" s="4" t="s">
        <v>14</v>
      </c>
      <c r="I223">
        <v>46.934399999999997</v>
      </c>
      <c r="J223">
        <v>6.5835999999999997</v>
      </c>
      <c r="K223" s="4" t="s">
        <v>15</v>
      </c>
      <c r="L223" s="4"/>
      <c r="M223" s="4" t="s">
        <v>1</v>
      </c>
      <c r="N223" s="4"/>
      <c r="O223" s="4" t="s">
        <v>17</v>
      </c>
      <c r="P223" s="4" t="s">
        <v>24</v>
      </c>
    </row>
    <row r="224" spans="1:16" s="8" customFormat="1" x14ac:dyDescent="0.25">
      <c r="A224">
        <f>RIGHT(B224,6)*1</f>
        <v>118464</v>
      </c>
      <c r="B224" t="s">
        <v>273</v>
      </c>
      <c r="C224" s="10">
        <v>42674</v>
      </c>
      <c r="D224" s="13">
        <f>YEAR(C224)</f>
        <v>2016</v>
      </c>
      <c r="E224" s="13">
        <f>MONTH(C224)</f>
        <v>10</v>
      </c>
      <c r="F224" s="13">
        <f>DAY(C224)</f>
        <v>31</v>
      </c>
      <c r="G224" s="13" t="s">
        <v>535</v>
      </c>
      <c r="H224" s="4" t="s">
        <v>14</v>
      </c>
      <c r="I224">
        <v>46.934399999999997</v>
      </c>
      <c r="J224">
        <v>6.5835999999999997</v>
      </c>
      <c r="K224" s="4" t="s">
        <v>15</v>
      </c>
      <c r="L224" s="4"/>
      <c r="M224" s="4" t="s">
        <v>1</v>
      </c>
      <c r="N224" s="4"/>
      <c r="O224" s="4" t="s">
        <v>17</v>
      </c>
      <c r="P224" s="4" t="s">
        <v>29</v>
      </c>
    </row>
    <row r="225" spans="1:16" s="8" customFormat="1" x14ac:dyDescent="0.25">
      <c r="A225">
        <f>RIGHT(B225,6)*1</f>
        <v>118465</v>
      </c>
      <c r="B225" t="s">
        <v>274</v>
      </c>
      <c r="C225" s="10">
        <v>42674</v>
      </c>
      <c r="D225" s="13">
        <f>YEAR(C225)</f>
        <v>2016</v>
      </c>
      <c r="E225" s="13">
        <f>MONTH(C225)</f>
        <v>10</v>
      </c>
      <c r="F225" s="13">
        <f>DAY(C225)</f>
        <v>31</v>
      </c>
      <c r="G225" s="13" t="s">
        <v>535</v>
      </c>
      <c r="H225" s="4" t="s">
        <v>14</v>
      </c>
      <c r="I225">
        <v>46.929699999999997</v>
      </c>
      <c r="J225">
        <v>6.4603000000000002</v>
      </c>
      <c r="K225" s="4" t="s">
        <v>15</v>
      </c>
      <c r="L225" s="4"/>
      <c r="M225" s="4" t="s">
        <v>1</v>
      </c>
      <c r="N225" s="4"/>
      <c r="O225" s="4" t="s">
        <v>17</v>
      </c>
      <c r="P225" s="4" t="s">
        <v>29</v>
      </c>
    </row>
    <row r="226" spans="1:16" s="8" customFormat="1" x14ac:dyDescent="0.25">
      <c r="A226">
        <f>RIGHT(B226,6)*1</f>
        <v>118466</v>
      </c>
      <c r="B226" t="s">
        <v>275</v>
      </c>
      <c r="C226" s="10">
        <v>42674</v>
      </c>
      <c r="D226" s="13">
        <f>YEAR(C226)</f>
        <v>2016</v>
      </c>
      <c r="E226" s="13">
        <f>MONTH(C226)</f>
        <v>10</v>
      </c>
      <c r="F226" s="13">
        <f>DAY(C226)</f>
        <v>31</v>
      </c>
      <c r="G226" s="13" t="s">
        <v>535</v>
      </c>
      <c r="H226" s="4" t="s">
        <v>14</v>
      </c>
      <c r="I226">
        <v>46.929699999999997</v>
      </c>
      <c r="J226">
        <v>6.4603000000000002</v>
      </c>
      <c r="K226" s="4" t="s">
        <v>15</v>
      </c>
      <c r="L226" s="4"/>
      <c r="M226" s="4" t="s">
        <v>1</v>
      </c>
      <c r="N226" s="4"/>
      <c r="O226" s="4" t="s">
        <v>17</v>
      </c>
      <c r="P226" s="4" t="s">
        <v>29</v>
      </c>
    </row>
    <row r="227" spans="1:16" s="8" customFormat="1" x14ac:dyDescent="0.25">
      <c r="A227">
        <f>RIGHT(B227,6)*1</f>
        <v>121951</v>
      </c>
      <c r="B227" t="s">
        <v>310</v>
      </c>
      <c r="C227" s="10">
        <v>43030</v>
      </c>
      <c r="D227" s="13">
        <f>YEAR(C227)</f>
        <v>2017</v>
      </c>
      <c r="E227" s="13">
        <f>MONTH(C227)</f>
        <v>10</v>
      </c>
      <c r="F227" s="13">
        <f>DAY(C227)</f>
        <v>22</v>
      </c>
      <c r="G227" s="13" t="s">
        <v>535</v>
      </c>
      <c r="H227" s="4" t="s">
        <v>14</v>
      </c>
      <c r="I227">
        <v>46.992800000000003</v>
      </c>
      <c r="J227">
        <v>6.6971999999999996</v>
      </c>
      <c r="K227" s="4" t="s">
        <v>15</v>
      </c>
      <c r="L227" s="4"/>
      <c r="M227" s="4" t="s">
        <v>1</v>
      </c>
      <c r="N227" s="4"/>
      <c r="O227" s="4" t="s">
        <v>17</v>
      </c>
      <c r="P227" s="4" t="s">
        <v>29</v>
      </c>
    </row>
    <row r="228" spans="1:16" s="8" customFormat="1" x14ac:dyDescent="0.25">
      <c r="A228">
        <f>RIGHT(B228,6)*1</f>
        <v>121952</v>
      </c>
      <c r="B228" t="s">
        <v>311</v>
      </c>
      <c r="C228" s="10">
        <v>43030</v>
      </c>
      <c r="D228" s="13">
        <f>YEAR(C228)</f>
        <v>2017</v>
      </c>
      <c r="E228" s="13">
        <f>MONTH(C228)</f>
        <v>10</v>
      </c>
      <c r="F228" s="13">
        <f>DAY(C228)</f>
        <v>22</v>
      </c>
      <c r="G228" s="13" t="s">
        <v>535</v>
      </c>
      <c r="H228" s="4" t="s">
        <v>14</v>
      </c>
      <c r="I228">
        <v>46.929699999999997</v>
      </c>
      <c r="J228">
        <v>6.4603000000000002</v>
      </c>
      <c r="K228" s="4" t="s">
        <v>15</v>
      </c>
      <c r="L228" s="4"/>
      <c r="M228" s="4" t="s">
        <v>1</v>
      </c>
      <c r="N228" s="4"/>
      <c r="O228" s="4" t="s">
        <v>17</v>
      </c>
      <c r="P228" s="4" t="s">
        <v>184</v>
      </c>
    </row>
    <row r="229" spans="1:16" s="8" customFormat="1" x14ac:dyDescent="0.25">
      <c r="A229">
        <f>RIGHT(B229,6)*1</f>
        <v>121953</v>
      </c>
      <c r="B229" t="s">
        <v>312</v>
      </c>
      <c r="C229" s="10">
        <v>43030</v>
      </c>
      <c r="D229" s="13">
        <f>YEAR(C229)</f>
        <v>2017</v>
      </c>
      <c r="E229" s="13">
        <f>MONTH(C229)</f>
        <v>10</v>
      </c>
      <c r="F229" s="13">
        <f>DAY(C229)</f>
        <v>22</v>
      </c>
      <c r="G229" s="13" t="s">
        <v>535</v>
      </c>
      <c r="H229" s="4" t="s">
        <v>14</v>
      </c>
      <c r="I229">
        <v>46.929699999999997</v>
      </c>
      <c r="J229">
        <v>6.4603000000000002</v>
      </c>
      <c r="K229" s="4" t="s">
        <v>15</v>
      </c>
      <c r="L229" s="4"/>
      <c r="M229" s="4" t="s">
        <v>1</v>
      </c>
      <c r="N229" s="4"/>
      <c r="O229" s="4" t="s">
        <v>17</v>
      </c>
      <c r="P229" s="4" t="s">
        <v>29</v>
      </c>
    </row>
    <row r="230" spans="1:16" s="8" customFormat="1" x14ac:dyDescent="0.25">
      <c r="A230">
        <f>RIGHT(B230,6)*1</f>
        <v>121954</v>
      </c>
      <c r="B230" t="s">
        <v>313</v>
      </c>
      <c r="C230" s="10">
        <v>43030</v>
      </c>
      <c r="D230" s="13">
        <f>YEAR(C230)</f>
        <v>2017</v>
      </c>
      <c r="E230" s="13">
        <f>MONTH(C230)</f>
        <v>10</v>
      </c>
      <c r="F230" s="13">
        <f>DAY(C230)</f>
        <v>22</v>
      </c>
      <c r="G230" s="13" t="s">
        <v>535</v>
      </c>
      <c r="H230" s="4" t="s">
        <v>14</v>
      </c>
      <c r="I230">
        <v>46.929699999999997</v>
      </c>
      <c r="J230">
        <v>6.4603000000000002</v>
      </c>
      <c r="K230" s="4" t="s">
        <v>15</v>
      </c>
      <c r="L230" s="4"/>
      <c r="M230" s="4" t="s">
        <v>1</v>
      </c>
      <c r="N230" s="4"/>
      <c r="O230" s="4" t="s">
        <v>16</v>
      </c>
      <c r="P230" s="4" t="s">
        <v>184</v>
      </c>
    </row>
    <row r="231" spans="1:16" s="8" customFormat="1" x14ac:dyDescent="0.25">
      <c r="A231">
        <f>RIGHT(B231,6)*1</f>
        <v>121955</v>
      </c>
      <c r="B231" t="s">
        <v>314</v>
      </c>
      <c r="C231" s="10">
        <v>43030</v>
      </c>
      <c r="D231" s="13">
        <f>YEAR(C231)</f>
        <v>2017</v>
      </c>
      <c r="E231" s="13">
        <f>MONTH(C231)</f>
        <v>10</v>
      </c>
      <c r="F231" s="13">
        <f>DAY(C231)</f>
        <v>22</v>
      </c>
      <c r="G231" s="13" t="s">
        <v>535</v>
      </c>
      <c r="H231" s="4" t="s">
        <v>14</v>
      </c>
      <c r="I231">
        <v>46.929699999999997</v>
      </c>
      <c r="J231">
        <v>6.4603000000000002</v>
      </c>
      <c r="K231" s="4" t="s">
        <v>15</v>
      </c>
      <c r="L231" s="4"/>
      <c r="M231" s="4" t="s">
        <v>1</v>
      </c>
      <c r="N231" s="4"/>
      <c r="O231" s="4" t="s">
        <v>17</v>
      </c>
      <c r="P231" s="4" t="s">
        <v>27</v>
      </c>
    </row>
    <row r="232" spans="1:16" s="8" customFormat="1" x14ac:dyDescent="0.25">
      <c r="A232">
        <f>RIGHT(B232,6)*1</f>
        <v>121956</v>
      </c>
      <c r="B232" t="s">
        <v>315</v>
      </c>
      <c r="C232" s="10">
        <v>43030</v>
      </c>
      <c r="D232" s="13">
        <f>YEAR(C232)</f>
        <v>2017</v>
      </c>
      <c r="E232" s="13">
        <f>MONTH(C232)</f>
        <v>10</v>
      </c>
      <c r="F232" s="13">
        <f>DAY(C232)</f>
        <v>22</v>
      </c>
      <c r="G232" s="13" t="s">
        <v>535</v>
      </c>
      <c r="H232" s="4" t="s">
        <v>14</v>
      </c>
      <c r="I232">
        <v>46.929699999999997</v>
      </c>
      <c r="J232">
        <v>6.4603000000000002</v>
      </c>
      <c r="K232" s="4" t="s">
        <v>15</v>
      </c>
      <c r="L232" s="4"/>
      <c r="M232" s="4" t="s">
        <v>1</v>
      </c>
      <c r="N232" s="4"/>
      <c r="O232" s="4" t="s">
        <v>17</v>
      </c>
      <c r="P232" s="4" t="s">
        <v>184</v>
      </c>
    </row>
    <row r="233" spans="1:16" s="8" customFormat="1" x14ac:dyDescent="0.25">
      <c r="A233">
        <f>RIGHT(B233,6)*1</f>
        <v>121957</v>
      </c>
      <c r="B233" t="s">
        <v>316</v>
      </c>
      <c r="C233" s="10">
        <v>43030</v>
      </c>
      <c r="D233" s="13">
        <f>YEAR(C233)</f>
        <v>2017</v>
      </c>
      <c r="E233" s="13">
        <f>MONTH(C233)</f>
        <v>10</v>
      </c>
      <c r="F233" s="13">
        <f>DAY(C233)</f>
        <v>22</v>
      </c>
      <c r="G233" s="13" t="s">
        <v>535</v>
      </c>
      <c r="H233" s="4" t="s">
        <v>14</v>
      </c>
      <c r="I233">
        <v>46.929699999999997</v>
      </c>
      <c r="J233">
        <v>6.4603000000000002</v>
      </c>
      <c r="K233" s="4" t="s">
        <v>15</v>
      </c>
      <c r="L233" s="4"/>
      <c r="M233" s="4" t="s">
        <v>1</v>
      </c>
      <c r="N233" s="4"/>
      <c r="O233" s="4" t="s">
        <v>17</v>
      </c>
      <c r="P233" s="4" t="s">
        <v>29</v>
      </c>
    </row>
    <row r="234" spans="1:16" s="8" customFormat="1" x14ac:dyDescent="0.25">
      <c r="A234">
        <f>RIGHT(B234,6)*1</f>
        <v>121958</v>
      </c>
      <c r="B234" t="s">
        <v>317</v>
      </c>
      <c r="C234" s="10">
        <v>43030</v>
      </c>
      <c r="D234" s="13">
        <f>YEAR(C234)</f>
        <v>2017</v>
      </c>
      <c r="E234" s="13">
        <f>MONTH(C234)</f>
        <v>10</v>
      </c>
      <c r="F234" s="13">
        <f>DAY(C234)</f>
        <v>22</v>
      </c>
      <c r="G234" s="13" t="s">
        <v>535</v>
      </c>
      <c r="H234" s="4" t="s">
        <v>14</v>
      </c>
      <c r="I234">
        <v>46.934399999999997</v>
      </c>
      <c r="J234">
        <v>6.5835999999999997</v>
      </c>
      <c r="K234" s="4" t="s">
        <v>15</v>
      </c>
      <c r="L234" s="4"/>
      <c r="M234" s="4" t="s">
        <v>1</v>
      </c>
      <c r="N234" s="4"/>
      <c r="O234" s="4" t="s">
        <v>16</v>
      </c>
      <c r="P234" s="4" t="s">
        <v>29</v>
      </c>
    </row>
    <row r="235" spans="1:16" s="8" customFormat="1" x14ac:dyDescent="0.25">
      <c r="A235">
        <f>RIGHT(B235,6)*1</f>
        <v>121959</v>
      </c>
      <c r="B235" t="s">
        <v>318</v>
      </c>
      <c r="C235" s="10">
        <v>43031</v>
      </c>
      <c r="D235" s="13">
        <f>YEAR(C235)</f>
        <v>2017</v>
      </c>
      <c r="E235" s="13">
        <f>MONTH(C235)</f>
        <v>10</v>
      </c>
      <c r="F235" s="13">
        <f>DAY(C235)</f>
        <v>23</v>
      </c>
      <c r="G235" s="13" t="s">
        <v>535</v>
      </c>
      <c r="H235" s="4" t="s">
        <v>14</v>
      </c>
      <c r="I235">
        <v>46.992800000000003</v>
      </c>
      <c r="J235">
        <v>6.6971999999999996</v>
      </c>
      <c r="K235" s="4" t="s">
        <v>15</v>
      </c>
      <c r="L235" s="4"/>
      <c r="M235" s="4" t="s">
        <v>1</v>
      </c>
      <c r="N235" s="4"/>
      <c r="O235" s="4" t="s">
        <v>17</v>
      </c>
      <c r="P235" s="4" t="s">
        <v>29</v>
      </c>
    </row>
    <row r="236" spans="1:16" s="8" customFormat="1" x14ac:dyDescent="0.25">
      <c r="A236">
        <f>RIGHT(B236,6)*1</f>
        <v>121960</v>
      </c>
      <c r="B236" t="s">
        <v>319</v>
      </c>
      <c r="C236" s="10">
        <v>43031</v>
      </c>
      <c r="D236" s="13">
        <f>YEAR(C236)</f>
        <v>2017</v>
      </c>
      <c r="E236" s="13">
        <f>MONTH(C236)</f>
        <v>10</v>
      </c>
      <c r="F236" s="13">
        <f>DAY(C236)</f>
        <v>23</v>
      </c>
      <c r="G236" s="13" t="s">
        <v>535</v>
      </c>
      <c r="H236" s="4" t="s">
        <v>14</v>
      </c>
      <c r="I236">
        <v>46.992800000000003</v>
      </c>
      <c r="J236">
        <v>6.6971999999999996</v>
      </c>
      <c r="K236" s="4" t="s">
        <v>15</v>
      </c>
      <c r="L236" s="4"/>
      <c r="M236" s="4" t="s">
        <v>1</v>
      </c>
      <c r="N236" s="4"/>
      <c r="O236" s="4" t="s">
        <v>17</v>
      </c>
      <c r="P236" s="4" t="s">
        <v>29</v>
      </c>
    </row>
    <row r="237" spans="1:16" s="8" customFormat="1" x14ac:dyDescent="0.25">
      <c r="A237">
        <f>RIGHT(B237,6)*1</f>
        <v>121961</v>
      </c>
      <c r="B237" t="s">
        <v>320</v>
      </c>
      <c r="C237" s="10">
        <v>43032</v>
      </c>
      <c r="D237" s="13">
        <f>YEAR(C237)</f>
        <v>2017</v>
      </c>
      <c r="E237" s="13">
        <f>MONTH(C237)</f>
        <v>10</v>
      </c>
      <c r="F237" s="13">
        <f>DAY(C237)</f>
        <v>24</v>
      </c>
      <c r="G237" s="13" t="s">
        <v>535</v>
      </c>
      <c r="H237" s="4" t="s">
        <v>14</v>
      </c>
      <c r="I237">
        <v>46.9283</v>
      </c>
      <c r="J237">
        <v>6.7336</v>
      </c>
      <c r="K237" s="4" t="s">
        <v>15</v>
      </c>
      <c r="L237" s="4"/>
      <c r="M237" s="4" t="s">
        <v>1</v>
      </c>
      <c r="N237" s="4"/>
      <c r="O237" s="4" t="s">
        <v>17</v>
      </c>
      <c r="P237" s="4" t="s">
        <v>29</v>
      </c>
    </row>
    <row r="238" spans="1:16" s="8" customFormat="1" x14ac:dyDescent="0.25">
      <c r="A238">
        <f>RIGHT(B238,6)*1</f>
        <v>121962</v>
      </c>
      <c r="B238" t="s">
        <v>321</v>
      </c>
      <c r="C238" s="10">
        <v>43032</v>
      </c>
      <c r="D238" s="13">
        <f>YEAR(C238)</f>
        <v>2017</v>
      </c>
      <c r="E238" s="13">
        <f>MONTH(C238)</f>
        <v>10</v>
      </c>
      <c r="F238" s="13">
        <f>DAY(C238)</f>
        <v>24</v>
      </c>
      <c r="G238" s="13" t="s">
        <v>535</v>
      </c>
      <c r="H238" s="4" t="s">
        <v>14</v>
      </c>
      <c r="I238">
        <v>46.928100000000001</v>
      </c>
      <c r="J238">
        <v>6.7217000000000002</v>
      </c>
      <c r="K238" s="4" t="s">
        <v>15</v>
      </c>
      <c r="L238" s="4"/>
      <c r="M238" s="4" t="s">
        <v>1</v>
      </c>
      <c r="N238" s="4"/>
      <c r="O238" s="4" t="s">
        <v>17</v>
      </c>
      <c r="P238" s="4" t="s">
        <v>184</v>
      </c>
    </row>
    <row r="239" spans="1:16" s="8" customFormat="1" x14ac:dyDescent="0.25">
      <c r="A239">
        <f>RIGHT(B239,6)*1</f>
        <v>121963</v>
      </c>
      <c r="B239" t="s">
        <v>322</v>
      </c>
      <c r="C239" s="10">
        <v>43033</v>
      </c>
      <c r="D239" s="13">
        <f>YEAR(C239)</f>
        <v>2017</v>
      </c>
      <c r="E239" s="13">
        <f>MONTH(C239)</f>
        <v>10</v>
      </c>
      <c r="F239" s="13">
        <f>DAY(C239)</f>
        <v>25</v>
      </c>
      <c r="G239" s="13" t="s">
        <v>535</v>
      </c>
      <c r="H239" s="4" t="s">
        <v>14</v>
      </c>
      <c r="I239">
        <v>46.903599999999997</v>
      </c>
      <c r="J239">
        <v>6.6722000000000001</v>
      </c>
      <c r="K239" s="4" t="s">
        <v>15</v>
      </c>
      <c r="L239" s="4"/>
      <c r="M239" s="4" t="s">
        <v>1</v>
      </c>
      <c r="N239" s="4"/>
      <c r="O239" s="4" t="s">
        <v>17</v>
      </c>
      <c r="P239" s="4" t="s">
        <v>184</v>
      </c>
    </row>
    <row r="240" spans="1:16" s="8" customFormat="1" x14ac:dyDescent="0.25">
      <c r="A240">
        <f>RIGHT(B240,6)*1</f>
        <v>121964</v>
      </c>
      <c r="B240" t="s">
        <v>323</v>
      </c>
      <c r="C240" s="10">
        <v>43033</v>
      </c>
      <c r="D240" s="13">
        <f>YEAR(C240)</f>
        <v>2017</v>
      </c>
      <c r="E240" s="13">
        <f>MONTH(C240)</f>
        <v>10</v>
      </c>
      <c r="F240" s="13">
        <f>DAY(C240)</f>
        <v>25</v>
      </c>
      <c r="G240" s="13" t="s">
        <v>535</v>
      </c>
      <c r="H240" s="4" t="s">
        <v>14</v>
      </c>
      <c r="I240">
        <v>46.903599999999997</v>
      </c>
      <c r="J240">
        <v>6.6722000000000001</v>
      </c>
      <c r="K240" s="4" t="s">
        <v>15</v>
      </c>
      <c r="L240" s="4"/>
      <c r="M240" s="4" t="s">
        <v>1</v>
      </c>
      <c r="N240" s="4"/>
      <c r="O240" s="4" t="s">
        <v>17</v>
      </c>
      <c r="P240" s="4" t="s">
        <v>29</v>
      </c>
    </row>
    <row r="241" spans="1:16" s="8" customFormat="1" x14ac:dyDescent="0.25">
      <c r="A241">
        <f>RIGHT(B241,6)*1</f>
        <v>121965</v>
      </c>
      <c r="B241" t="s">
        <v>324</v>
      </c>
      <c r="C241" s="10">
        <v>43033</v>
      </c>
      <c r="D241" s="13">
        <f>YEAR(C241)</f>
        <v>2017</v>
      </c>
      <c r="E241" s="13">
        <f>MONTH(C241)</f>
        <v>10</v>
      </c>
      <c r="F241" s="13">
        <f>DAY(C241)</f>
        <v>25</v>
      </c>
      <c r="G241" s="13" t="s">
        <v>535</v>
      </c>
      <c r="H241" s="4" t="s">
        <v>14</v>
      </c>
      <c r="I241">
        <v>46.8992</v>
      </c>
      <c r="J241">
        <v>6.6707999999999998</v>
      </c>
      <c r="K241" s="4" t="s">
        <v>15</v>
      </c>
      <c r="L241" s="4"/>
      <c r="M241" s="4" t="s">
        <v>1</v>
      </c>
      <c r="N241" s="4"/>
      <c r="O241" s="4" t="s">
        <v>17</v>
      </c>
      <c r="P241" s="4" t="s">
        <v>29</v>
      </c>
    </row>
    <row r="242" spans="1:16" s="8" customFormat="1" x14ac:dyDescent="0.25">
      <c r="A242">
        <f>RIGHT(B242,6)*1</f>
        <v>121966</v>
      </c>
      <c r="B242" t="s">
        <v>325</v>
      </c>
      <c r="C242" s="10">
        <v>43033</v>
      </c>
      <c r="D242" s="13">
        <f>YEAR(C242)</f>
        <v>2017</v>
      </c>
      <c r="E242" s="13">
        <f>MONTH(C242)</f>
        <v>10</v>
      </c>
      <c r="F242" s="13">
        <f>DAY(C242)</f>
        <v>25</v>
      </c>
      <c r="G242" s="13" t="s">
        <v>535</v>
      </c>
      <c r="H242" s="4" t="s">
        <v>14</v>
      </c>
      <c r="I242">
        <v>46.903599999999997</v>
      </c>
      <c r="J242">
        <v>6.6722000000000001</v>
      </c>
      <c r="K242" s="4" t="s">
        <v>15</v>
      </c>
      <c r="L242" s="4"/>
      <c r="M242" s="4" t="s">
        <v>1</v>
      </c>
      <c r="N242" s="4"/>
      <c r="O242" s="4" t="s">
        <v>17</v>
      </c>
      <c r="P242" s="4" t="s">
        <v>19</v>
      </c>
    </row>
    <row r="243" spans="1:16" s="8" customFormat="1" x14ac:dyDescent="0.25">
      <c r="A243">
        <f>RIGHT(B243,6)*1</f>
        <v>121967</v>
      </c>
      <c r="B243" t="s">
        <v>326</v>
      </c>
      <c r="C243" s="10">
        <v>43033</v>
      </c>
      <c r="D243" s="13">
        <f>YEAR(C243)</f>
        <v>2017</v>
      </c>
      <c r="E243" s="13">
        <f>MONTH(C243)</f>
        <v>10</v>
      </c>
      <c r="F243" s="13">
        <f>DAY(C243)</f>
        <v>25</v>
      </c>
      <c r="G243" s="13" t="s">
        <v>535</v>
      </c>
      <c r="H243" s="4" t="s">
        <v>14</v>
      </c>
      <c r="I243">
        <v>46.854900000000001</v>
      </c>
      <c r="J243">
        <v>6.5456000000000003</v>
      </c>
      <c r="K243" s="4" t="s">
        <v>15</v>
      </c>
      <c r="L243" s="4"/>
      <c r="M243" s="4" t="s">
        <v>1</v>
      </c>
      <c r="N243" s="4"/>
      <c r="O243" s="4" t="s">
        <v>16</v>
      </c>
      <c r="P243" s="4" t="s">
        <v>19</v>
      </c>
    </row>
    <row r="244" spans="1:16" s="8" customFormat="1" x14ac:dyDescent="0.25">
      <c r="A244">
        <f>RIGHT(B244,6)*1</f>
        <v>121968</v>
      </c>
      <c r="B244" t="s">
        <v>327</v>
      </c>
      <c r="C244" s="10">
        <v>43033</v>
      </c>
      <c r="D244" s="13">
        <f>YEAR(C244)</f>
        <v>2017</v>
      </c>
      <c r="E244" s="13">
        <f>MONTH(C244)</f>
        <v>10</v>
      </c>
      <c r="F244" s="13">
        <f>DAY(C244)</f>
        <v>25</v>
      </c>
      <c r="G244" s="13" t="s">
        <v>535</v>
      </c>
      <c r="H244" s="4" t="s">
        <v>14</v>
      </c>
      <c r="I244">
        <v>46.854900000000001</v>
      </c>
      <c r="J244">
        <v>6.5456000000000003</v>
      </c>
      <c r="K244" s="4" t="s">
        <v>15</v>
      </c>
      <c r="L244" s="4"/>
      <c r="M244" s="4" t="s">
        <v>1</v>
      </c>
      <c r="N244" s="4"/>
      <c r="O244" s="4" t="s">
        <v>17</v>
      </c>
      <c r="P244" s="4" t="s">
        <v>184</v>
      </c>
    </row>
    <row r="245" spans="1:16" s="8" customFormat="1" x14ac:dyDescent="0.25">
      <c r="A245">
        <f>RIGHT(B245,6)*1</f>
        <v>121969</v>
      </c>
      <c r="B245" t="s">
        <v>328</v>
      </c>
      <c r="C245" s="10">
        <v>43034</v>
      </c>
      <c r="D245" s="13">
        <f>YEAR(C245)</f>
        <v>2017</v>
      </c>
      <c r="E245" s="13">
        <f>MONTH(C245)</f>
        <v>10</v>
      </c>
      <c r="F245" s="13">
        <f>DAY(C245)</f>
        <v>26</v>
      </c>
      <c r="G245" s="13" t="s">
        <v>535</v>
      </c>
      <c r="H245" s="4" t="s">
        <v>14</v>
      </c>
      <c r="I245">
        <v>46.854900000000001</v>
      </c>
      <c r="J245">
        <v>6.5456000000000003</v>
      </c>
      <c r="K245" s="4" t="s">
        <v>15</v>
      </c>
      <c r="L245" s="4"/>
      <c r="M245" s="4" t="s">
        <v>1</v>
      </c>
      <c r="N245" s="4"/>
      <c r="O245" s="4" t="s">
        <v>16</v>
      </c>
      <c r="P245" s="4" t="s">
        <v>29</v>
      </c>
    </row>
    <row r="246" spans="1:16" s="8" customFormat="1" x14ac:dyDescent="0.25">
      <c r="A246">
        <f>RIGHT(B246,6)*1</f>
        <v>121970</v>
      </c>
      <c r="B246" t="s">
        <v>329</v>
      </c>
      <c r="C246" s="10">
        <v>43034</v>
      </c>
      <c r="D246" s="13">
        <f>YEAR(C246)</f>
        <v>2017</v>
      </c>
      <c r="E246" s="13">
        <f>MONTH(C246)</f>
        <v>10</v>
      </c>
      <c r="F246" s="13">
        <f>DAY(C246)</f>
        <v>26</v>
      </c>
      <c r="G246" s="13" t="s">
        <v>535</v>
      </c>
      <c r="H246" s="4" t="s">
        <v>14</v>
      </c>
      <c r="I246">
        <v>46.936900000000001</v>
      </c>
      <c r="J246">
        <v>6.4641999999999999</v>
      </c>
      <c r="K246" s="4" t="s">
        <v>15</v>
      </c>
      <c r="L246" s="4"/>
      <c r="M246" s="4" t="s">
        <v>1</v>
      </c>
      <c r="N246" s="4"/>
      <c r="O246" s="4" t="s">
        <v>16</v>
      </c>
      <c r="P246" s="4" t="s">
        <v>29</v>
      </c>
    </row>
    <row r="247" spans="1:16" s="8" customFormat="1" x14ac:dyDescent="0.25">
      <c r="A247">
        <f>RIGHT(B247,6)*1</f>
        <v>121971</v>
      </c>
      <c r="B247" t="s">
        <v>330</v>
      </c>
      <c r="C247" s="10">
        <v>43034</v>
      </c>
      <c r="D247" s="13">
        <f>YEAR(C247)</f>
        <v>2017</v>
      </c>
      <c r="E247" s="13">
        <f>MONTH(C247)</f>
        <v>10</v>
      </c>
      <c r="F247" s="13">
        <f>DAY(C247)</f>
        <v>26</v>
      </c>
      <c r="G247" s="13" t="s">
        <v>535</v>
      </c>
      <c r="H247" s="4" t="s">
        <v>14</v>
      </c>
      <c r="I247">
        <v>46.929699999999997</v>
      </c>
      <c r="J247">
        <v>6.4603000000000002</v>
      </c>
      <c r="K247" s="4" t="s">
        <v>15</v>
      </c>
      <c r="L247" s="4"/>
      <c r="M247" s="4" t="s">
        <v>1</v>
      </c>
      <c r="N247" s="4"/>
      <c r="O247" s="4" t="s">
        <v>16</v>
      </c>
      <c r="P247" s="4" t="s">
        <v>29</v>
      </c>
    </row>
    <row r="248" spans="1:16" s="8" customFormat="1" x14ac:dyDescent="0.25">
      <c r="A248">
        <f>RIGHT(B248,6)*1</f>
        <v>121972</v>
      </c>
      <c r="B248" t="s">
        <v>331</v>
      </c>
      <c r="C248" s="10">
        <v>43034</v>
      </c>
      <c r="D248" s="13">
        <f>YEAR(C248)</f>
        <v>2017</v>
      </c>
      <c r="E248" s="13">
        <f>MONTH(C248)</f>
        <v>10</v>
      </c>
      <c r="F248" s="13">
        <f>DAY(C248)</f>
        <v>26</v>
      </c>
      <c r="G248" s="13" t="s">
        <v>535</v>
      </c>
      <c r="H248" s="4" t="s">
        <v>14</v>
      </c>
      <c r="I248">
        <v>46.928899999999999</v>
      </c>
      <c r="J248">
        <v>6.4592000000000001</v>
      </c>
      <c r="K248" s="4" t="s">
        <v>15</v>
      </c>
      <c r="L248" s="4"/>
      <c r="M248" s="4" t="s">
        <v>1</v>
      </c>
      <c r="N248" s="4"/>
      <c r="O248" s="4" t="s">
        <v>17</v>
      </c>
      <c r="P248" s="4" t="s">
        <v>29</v>
      </c>
    </row>
    <row r="249" spans="1:16" s="8" customFormat="1" x14ac:dyDescent="0.25">
      <c r="A249">
        <f>RIGHT(B249,6)*1</f>
        <v>121973</v>
      </c>
      <c r="B249" t="s">
        <v>332</v>
      </c>
      <c r="C249" s="10">
        <v>43035</v>
      </c>
      <c r="D249" s="13">
        <f>YEAR(C249)</f>
        <v>2017</v>
      </c>
      <c r="E249" s="13">
        <f>MONTH(C249)</f>
        <v>10</v>
      </c>
      <c r="F249" s="13">
        <f>DAY(C249)</f>
        <v>27</v>
      </c>
      <c r="G249" s="13" t="s">
        <v>535</v>
      </c>
      <c r="H249" s="4" t="s">
        <v>14</v>
      </c>
      <c r="I249">
        <v>46.934399999999997</v>
      </c>
      <c r="J249">
        <v>6.5835999999999997</v>
      </c>
      <c r="K249" s="4" t="s">
        <v>15</v>
      </c>
      <c r="L249" s="4"/>
      <c r="M249" s="4" t="s">
        <v>1</v>
      </c>
      <c r="N249" s="4"/>
      <c r="O249" s="4" t="s">
        <v>16</v>
      </c>
      <c r="P249" s="4" t="s">
        <v>19</v>
      </c>
    </row>
    <row r="250" spans="1:16" s="8" customFormat="1" x14ac:dyDescent="0.25">
      <c r="A250">
        <f>RIGHT(B250,6)*1</f>
        <v>121974</v>
      </c>
      <c r="B250" t="s">
        <v>334</v>
      </c>
      <c r="C250" s="10">
        <v>43035</v>
      </c>
      <c r="D250" s="13">
        <f>YEAR(C250)</f>
        <v>2017</v>
      </c>
      <c r="E250" s="13">
        <f>MONTH(C250)</f>
        <v>10</v>
      </c>
      <c r="F250" s="13">
        <f>DAY(C250)</f>
        <v>27</v>
      </c>
      <c r="G250" s="13" t="s">
        <v>535</v>
      </c>
      <c r="H250" s="4" t="s">
        <v>14</v>
      </c>
      <c r="I250">
        <v>46.934399999999997</v>
      </c>
      <c r="J250">
        <v>6.5835999999999997</v>
      </c>
      <c r="K250" s="4" t="s">
        <v>15</v>
      </c>
      <c r="L250" s="4"/>
      <c r="M250" s="4" t="s">
        <v>1</v>
      </c>
      <c r="N250" s="4"/>
      <c r="O250" s="4" t="s">
        <v>17</v>
      </c>
      <c r="P250" s="4" t="s">
        <v>19</v>
      </c>
    </row>
    <row r="251" spans="1:16" s="8" customFormat="1" x14ac:dyDescent="0.25">
      <c r="A251">
        <f>RIGHT(B251,6)*1</f>
        <v>121975</v>
      </c>
      <c r="B251" t="s">
        <v>335</v>
      </c>
      <c r="C251" s="10">
        <v>43035</v>
      </c>
      <c r="D251" s="13">
        <f>YEAR(C251)</f>
        <v>2017</v>
      </c>
      <c r="E251" s="13">
        <f>MONTH(C251)</f>
        <v>10</v>
      </c>
      <c r="F251" s="13">
        <f>DAY(C251)</f>
        <v>27</v>
      </c>
      <c r="G251" s="13" t="s">
        <v>535</v>
      </c>
      <c r="H251" s="4" t="s">
        <v>14</v>
      </c>
      <c r="I251">
        <v>46.934399999999997</v>
      </c>
      <c r="J251">
        <v>6.585</v>
      </c>
      <c r="K251" s="4" t="s">
        <v>15</v>
      </c>
      <c r="L251" s="4"/>
      <c r="M251" s="4" t="s">
        <v>1</v>
      </c>
      <c r="N251" s="4"/>
      <c r="O251" s="4" t="s">
        <v>17</v>
      </c>
      <c r="P251" s="4" t="s">
        <v>29</v>
      </c>
    </row>
    <row r="252" spans="1:16" s="8" customFormat="1" x14ac:dyDescent="0.25">
      <c r="A252">
        <f>RIGHT(B252,6)*1</f>
        <v>121976</v>
      </c>
      <c r="B252" t="s">
        <v>336</v>
      </c>
      <c r="C252" s="10">
        <v>43035</v>
      </c>
      <c r="D252" s="13">
        <f>YEAR(C252)</f>
        <v>2017</v>
      </c>
      <c r="E252" s="13">
        <f>MONTH(C252)</f>
        <v>10</v>
      </c>
      <c r="F252" s="13">
        <f>DAY(C252)</f>
        <v>27</v>
      </c>
      <c r="G252" s="13" t="s">
        <v>535</v>
      </c>
      <c r="H252" s="4" t="s">
        <v>14</v>
      </c>
      <c r="I252">
        <v>46.934399999999997</v>
      </c>
      <c r="J252">
        <v>6.585</v>
      </c>
      <c r="K252" s="4" t="s">
        <v>15</v>
      </c>
      <c r="L252" s="4"/>
      <c r="M252" s="4" t="s">
        <v>1</v>
      </c>
      <c r="N252" s="4"/>
      <c r="O252" s="4" t="s">
        <v>17</v>
      </c>
      <c r="P252" s="4" t="s">
        <v>29</v>
      </c>
    </row>
    <row r="253" spans="1:16" s="8" customFormat="1" x14ac:dyDescent="0.25">
      <c r="A253">
        <f>RIGHT(B253,6)*1</f>
        <v>121977</v>
      </c>
      <c r="B253" t="s">
        <v>337</v>
      </c>
      <c r="C253" s="10">
        <v>43035</v>
      </c>
      <c r="D253" s="13">
        <f>YEAR(C253)</f>
        <v>2017</v>
      </c>
      <c r="E253" s="13">
        <f>MONTH(C253)</f>
        <v>10</v>
      </c>
      <c r="F253" s="13">
        <f>DAY(C253)</f>
        <v>27</v>
      </c>
      <c r="G253" s="13" t="s">
        <v>535</v>
      </c>
      <c r="H253" s="4" t="s">
        <v>14</v>
      </c>
      <c r="I253">
        <v>46.934399999999997</v>
      </c>
      <c r="J253">
        <v>6.585</v>
      </c>
      <c r="K253" s="4" t="s">
        <v>15</v>
      </c>
      <c r="L253" s="4"/>
      <c r="M253" s="4" t="s">
        <v>1</v>
      </c>
      <c r="N253" s="4"/>
      <c r="O253" s="4" t="s">
        <v>17</v>
      </c>
      <c r="P253" s="4" t="s">
        <v>27</v>
      </c>
    </row>
    <row r="254" spans="1:16" s="8" customFormat="1" x14ac:dyDescent="0.25">
      <c r="A254">
        <f>RIGHT(B254,6)*1</f>
        <v>121978</v>
      </c>
      <c r="B254" t="s">
        <v>338</v>
      </c>
      <c r="C254" s="10">
        <v>43035</v>
      </c>
      <c r="D254" s="13">
        <f>YEAR(C254)</f>
        <v>2017</v>
      </c>
      <c r="E254" s="13">
        <f>MONTH(C254)</f>
        <v>10</v>
      </c>
      <c r="F254" s="13">
        <f>DAY(C254)</f>
        <v>27</v>
      </c>
      <c r="G254" s="13" t="s">
        <v>535</v>
      </c>
      <c r="H254" s="4" t="s">
        <v>14</v>
      </c>
      <c r="I254">
        <v>46.992800000000003</v>
      </c>
      <c r="J254">
        <v>6.6971999999999996</v>
      </c>
      <c r="K254" s="4" t="s">
        <v>15</v>
      </c>
      <c r="L254" s="4"/>
      <c r="M254" s="4" t="s">
        <v>1</v>
      </c>
      <c r="N254" s="4"/>
      <c r="O254" s="4" t="s">
        <v>17</v>
      </c>
      <c r="P254" s="4" t="s">
        <v>184</v>
      </c>
    </row>
    <row r="255" spans="1:16" s="8" customFormat="1" x14ac:dyDescent="0.25">
      <c r="A255">
        <f>RIGHT(B255,6)*1</f>
        <v>121979</v>
      </c>
      <c r="B255" t="s">
        <v>339</v>
      </c>
      <c r="C255" s="10">
        <v>43035</v>
      </c>
      <c r="D255" s="13">
        <f>YEAR(C255)</f>
        <v>2017</v>
      </c>
      <c r="E255" s="13">
        <f>MONTH(C255)</f>
        <v>10</v>
      </c>
      <c r="F255" s="13">
        <f>DAY(C255)</f>
        <v>27</v>
      </c>
      <c r="G255" s="13" t="s">
        <v>535</v>
      </c>
      <c r="H255" s="4" t="s">
        <v>14</v>
      </c>
      <c r="I255">
        <v>46.992800000000003</v>
      </c>
      <c r="J255">
        <v>6.6971999999999996</v>
      </c>
      <c r="K255" s="4" t="s">
        <v>15</v>
      </c>
      <c r="L255" s="4"/>
      <c r="M255" s="4" t="s">
        <v>1</v>
      </c>
      <c r="N255" s="4"/>
      <c r="O255" s="4" t="s">
        <v>17</v>
      </c>
      <c r="P255" s="4" t="s">
        <v>184</v>
      </c>
    </row>
    <row r="256" spans="1:16" s="8" customFormat="1" x14ac:dyDescent="0.25">
      <c r="A256">
        <f>RIGHT(B256,6)*1</f>
        <v>121980</v>
      </c>
      <c r="B256" t="s">
        <v>340</v>
      </c>
      <c r="C256" s="10">
        <v>43035</v>
      </c>
      <c r="D256" s="13">
        <f>YEAR(C256)</f>
        <v>2017</v>
      </c>
      <c r="E256" s="13">
        <f>MONTH(C256)</f>
        <v>10</v>
      </c>
      <c r="F256" s="13">
        <f>DAY(C256)</f>
        <v>27</v>
      </c>
      <c r="G256" s="13" t="s">
        <v>535</v>
      </c>
      <c r="H256" s="4" t="s">
        <v>14</v>
      </c>
      <c r="I256">
        <v>46.992800000000003</v>
      </c>
      <c r="J256">
        <v>6.6971999999999996</v>
      </c>
      <c r="K256" s="4" t="s">
        <v>15</v>
      </c>
      <c r="L256" s="4"/>
      <c r="M256" s="4" t="s">
        <v>1</v>
      </c>
      <c r="N256" s="4"/>
      <c r="O256" s="4" t="s">
        <v>17</v>
      </c>
      <c r="P256" s="4" t="s">
        <v>29</v>
      </c>
    </row>
    <row r="257" spans="1:16" s="8" customFormat="1" x14ac:dyDescent="0.25">
      <c r="A257">
        <f>RIGHT(B257,6)*1</f>
        <v>121981</v>
      </c>
      <c r="B257" t="s">
        <v>341</v>
      </c>
      <c r="C257" s="10">
        <v>43035</v>
      </c>
      <c r="D257" s="13">
        <f>YEAR(C257)</f>
        <v>2017</v>
      </c>
      <c r="E257" s="13">
        <f>MONTH(C257)</f>
        <v>10</v>
      </c>
      <c r="F257" s="13">
        <f>DAY(C257)</f>
        <v>27</v>
      </c>
      <c r="G257" s="13" t="s">
        <v>535</v>
      </c>
      <c r="H257" s="4" t="s">
        <v>14</v>
      </c>
      <c r="I257">
        <v>46.992800000000003</v>
      </c>
      <c r="J257">
        <v>6.6971999999999996</v>
      </c>
      <c r="K257" s="4" t="s">
        <v>15</v>
      </c>
      <c r="L257" s="4"/>
      <c r="M257" s="4" t="s">
        <v>1</v>
      </c>
      <c r="N257" s="4"/>
      <c r="O257" s="4" t="s">
        <v>16</v>
      </c>
      <c r="P257" s="4" t="s">
        <v>184</v>
      </c>
    </row>
    <row r="258" spans="1:16" s="8" customFormat="1" x14ac:dyDescent="0.25">
      <c r="A258">
        <f>RIGHT(B258,6)*1</f>
        <v>121982</v>
      </c>
      <c r="B258" t="s">
        <v>342</v>
      </c>
      <c r="C258" s="10">
        <v>43035</v>
      </c>
      <c r="D258" s="13">
        <f>YEAR(C258)</f>
        <v>2017</v>
      </c>
      <c r="E258" s="13">
        <f>MONTH(C258)</f>
        <v>10</v>
      </c>
      <c r="F258" s="13">
        <f>DAY(C258)</f>
        <v>27</v>
      </c>
      <c r="G258" s="13" t="s">
        <v>535</v>
      </c>
      <c r="H258" s="4" t="s">
        <v>14</v>
      </c>
      <c r="I258">
        <v>46.992800000000003</v>
      </c>
      <c r="J258">
        <v>6.6971999999999996</v>
      </c>
      <c r="K258" s="4" t="s">
        <v>15</v>
      </c>
      <c r="L258" s="4"/>
      <c r="M258" s="4" t="s">
        <v>1</v>
      </c>
      <c r="N258" s="4"/>
      <c r="O258" s="4" t="s">
        <v>17</v>
      </c>
      <c r="P258" s="4" t="s">
        <v>29</v>
      </c>
    </row>
    <row r="259" spans="1:16" s="8" customFormat="1" x14ac:dyDescent="0.25">
      <c r="A259">
        <f>RIGHT(B259,6)*1</f>
        <v>121983</v>
      </c>
      <c r="B259" t="s">
        <v>343</v>
      </c>
      <c r="C259" s="10">
        <v>43035</v>
      </c>
      <c r="D259" s="13">
        <f>YEAR(C259)</f>
        <v>2017</v>
      </c>
      <c r="E259" s="13">
        <f>MONTH(C259)</f>
        <v>10</v>
      </c>
      <c r="F259" s="13">
        <f>DAY(C259)</f>
        <v>27</v>
      </c>
      <c r="G259" s="13" t="s">
        <v>535</v>
      </c>
      <c r="H259" s="4" t="s">
        <v>14</v>
      </c>
      <c r="I259">
        <v>46.992800000000003</v>
      </c>
      <c r="J259">
        <v>6.6971999999999996</v>
      </c>
      <c r="K259" s="4" t="s">
        <v>15</v>
      </c>
      <c r="L259" s="4"/>
      <c r="M259" s="4" t="s">
        <v>1</v>
      </c>
      <c r="N259" s="4"/>
      <c r="O259" s="4" t="s">
        <v>16</v>
      </c>
      <c r="P259" s="4" t="s">
        <v>29</v>
      </c>
    </row>
    <row r="260" spans="1:16" s="8" customFormat="1" x14ac:dyDescent="0.25">
      <c r="A260">
        <f>RIGHT(B260,6)*1</f>
        <v>121984</v>
      </c>
      <c r="B260" t="s">
        <v>344</v>
      </c>
      <c r="C260" s="10">
        <v>43035</v>
      </c>
      <c r="D260" s="13">
        <f>YEAR(C260)</f>
        <v>2017</v>
      </c>
      <c r="E260" s="13">
        <f>MONTH(C260)</f>
        <v>10</v>
      </c>
      <c r="F260" s="13">
        <f>DAY(C260)</f>
        <v>27</v>
      </c>
      <c r="G260" s="13" t="s">
        <v>535</v>
      </c>
      <c r="H260" s="4" t="s">
        <v>14</v>
      </c>
      <c r="I260">
        <v>46.992800000000003</v>
      </c>
      <c r="J260">
        <v>6.6971999999999996</v>
      </c>
      <c r="K260" s="4" t="s">
        <v>15</v>
      </c>
      <c r="L260" s="4"/>
      <c r="M260" s="4" t="s">
        <v>1</v>
      </c>
      <c r="N260" s="4"/>
      <c r="O260" s="4" t="s">
        <v>16</v>
      </c>
      <c r="P260" s="4" t="s">
        <v>184</v>
      </c>
    </row>
    <row r="261" spans="1:16" s="8" customFormat="1" x14ac:dyDescent="0.25">
      <c r="A261">
        <f>RIGHT(B261,6)*1</f>
        <v>121985</v>
      </c>
      <c r="B261" t="s">
        <v>345</v>
      </c>
      <c r="C261" s="10">
        <v>43036</v>
      </c>
      <c r="D261" s="13">
        <f>YEAR(C261)</f>
        <v>2017</v>
      </c>
      <c r="E261" s="13">
        <f>MONTH(C261)</f>
        <v>10</v>
      </c>
      <c r="F261" s="13">
        <f>DAY(C261)</f>
        <v>28</v>
      </c>
      <c r="G261" s="13" t="s">
        <v>535</v>
      </c>
      <c r="H261" s="4" t="s">
        <v>14</v>
      </c>
      <c r="I261">
        <v>46.979100000000003</v>
      </c>
      <c r="J261">
        <v>6.6723999999999997</v>
      </c>
      <c r="K261" s="4" t="s">
        <v>15</v>
      </c>
      <c r="L261" s="4"/>
      <c r="M261" s="4" t="s">
        <v>1</v>
      </c>
      <c r="N261" s="4"/>
      <c r="O261" s="4" t="s">
        <v>17</v>
      </c>
      <c r="P261" s="4" t="s">
        <v>29</v>
      </c>
    </row>
    <row r="262" spans="1:16" s="8" customFormat="1" x14ac:dyDescent="0.25">
      <c r="A262">
        <f>RIGHT(B262,6)*1</f>
        <v>121986</v>
      </c>
      <c r="B262" t="s">
        <v>346</v>
      </c>
      <c r="C262" s="10">
        <v>43036</v>
      </c>
      <c r="D262" s="13">
        <f>YEAR(C262)</f>
        <v>2017</v>
      </c>
      <c r="E262" s="13">
        <f>MONTH(C262)</f>
        <v>10</v>
      </c>
      <c r="F262" s="13">
        <f>DAY(C262)</f>
        <v>28</v>
      </c>
      <c r="G262" s="13" t="s">
        <v>535</v>
      </c>
      <c r="H262" s="4" t="s">
        <v>14</v>
      </c>
      <c r="I262">
        <v>46.979100000000003</v>
      </c>
      <c r="J262">
        <v>6.6723999999999997</v>
      </c>
      <c r="K262" s="4" t="s">
        <v>15</v>
      </c>
      <c r="L262" s="4"/>
      <c r="M262" s="4" t="s">
        <v>1</v>
      </c>
      <c r="N262" s="4"/>
      <c r="O262" s="4" t="s">
        <v>16</v>
      </c>
      <c r="P262" s="4" t="s">
        <v>184</v>
      </c>
    </row>
    <row r="263" spans="1:16" s="8" customFormat="1" x14ac:dyDescent="0.25">
      <c r="A263">
        <f>RIGHT(B263,6)*1</f>
        <v>121987</v>
      </c>
      <c r="B263" t="s">
        <v>347</v>
      </c>
      <c r="C263" s="10">
        <v>43036</v>
      </c>
      <c r="D263" s="13">
        <f>YEAR(C263)</f>
        <v>2017</v>
      </c>
      <c r="E263" s="13">
        <f>MONTH(C263)</f>
        <v>10</v>
      </c>
      <c r="F263" s="13">
        <f>DAY(C263)</f>
        <v>28</v>
      </c>
      <c r="G263" s="13" t="s">
        <v>535</v>
      </c>
      <c r="H263" s="4" t="s">
        <v>14</v>
      </c>
      <c r="I263">
        <v>46.979100000000003</v>
      </c>
      <c r="J263">
        <v>6.6723999999999997</v>
      </c>
      <c r="K263" s="4" t="s">
        <v>15</v>
      </c>
      <c r="L263" s="4"/>
      <c r="M263" s="4" t="s">
        <v>1</v>
      </c>
      <c r="N263" s="4"/>
      <c r="O263" s="4" t="s">
        <v>16</v>
      </c>
      <c r="P263" s="4" t="s">
        <v>29</v>
      </c>
    </row>
    <row r="264" spans="1:16" s="8" customFormat="1" x14ac:dyDescent="0.25">
      <c r="A264">
        <f>RIGHT(B264,6)*1</f>
        <v>121988</v>
      </c>
      <c r="B264" t="s">
        <v>348</v>
      </c>
      <c r="C264" s="10">
        <v>43036</v>
      </c>
      <c r="D264" s="13">
        <f>YEAR(C264)</f>
        <v>2017</v>
      </c>
      <c r="E264" s="13">
        <f>MONTH(C264)</f>
        <v>10</v>
      </c>
      <c r="F264" s="13">
        <f>DAY(C264)</f>
        <v>28</v>
      </c>
      <c r="G264" s="13" t="s">
        <v>535</v>
      </c>
      <c r="H264" s="4" t="s">
        <v>14</v>
      </c>
      <c r="I264">
        <v>46.979100000000003</v>
      </c>
      <c r="J264">
        <v>6.6723999999999997</v>
      </c>
      <c r="K264" s="4" t="s">
        <v>15</v>
      </c>
      <c r="L264" s="4"/>
      <c r="M264" s="4" t="s">
        <v>1</v>
      </c>
      <c r="N264" s="4"/>
      <c r="O264" s="4" t="s">
        <v>17</v>
      </c>
      <c r="P264" s="4" t="s">
        <v>29</v>
      </c>
    </row>
    <row r="265" spans="1:16" s="8" customFormat="1" x14ac:dyDescent="0.25">
      <c r="A265">
        <f>RIGHT(B265,6)*1</f>
        <v>121989</v>
      </c>
      <c r="B265" t="s">
        <v>349</v>
      </c>
      <c r="C265" s="10">
        <v>43036</v>
      </c>
      <c r="D265" s="13">
        <f>YEAR(C265)</f>
        <v>2017</v>
      </c>
      <c r="E265" s="13">
        <f>MONTH(C265)</f>
        <v>10</v>
      </c>
      <c r="F265" s="13">
        <f>DAY(C265)</f>
        <v>28</v>
      </c>
      <c r="G265" s="13" t="s">
        <v>535</v>
      </c>
      <c r="H265" s="4" t="s">
        <v>14</v>
      </c>
      <c r="I265">
        <v>46.979100000000003</v>
      </c>
      <c r="J265">
        <v>6.6723999999999997</v>
      </c>
      <c r="K265" s="4" t="s">
        <v>15</v>
      </c>
      <c r="L265" s="4"/>
      <c r="M265" s="4" t="s">
        <v>1</v>
      </c>
      <c r="N265" s="4"/>
      <c r="O265" s="4" t="s">
        <v>17</v>
      </c>
      <c r="P265" s="4" t="s">
        <v>29</v>
      </c>
    </row>
    <row r="266" spans="1:16" s="8" customFormat="1" x14ac:dyDescent="0.25">
      <c r="A266">
        <f>RIGHT(B266,6)*1</f>
        <v>121990</v>
      </c>
      <c r="B266" t="s">
        <v>350</v>
      </c>
      <c r="C266" s="10">
        <v>43036</v>
      </c>
      <c r="D266" s="13">
        <f>YEAR(C266)</f>
        <v>2017</v>
      </c>
      <c r="E266" s="13">
        <f>MONTH(C266)</f>
        <v>10</v>
      </c>
      <c r="F266" s="13">
        <f>DAY(C266)</f>
        <v>28</v>
      </c>
      <c r="G266" s="13" t="s">
        <v>535</v>
      </c>
      <c r="H266" s="4" t="s">
        <v>14</v>
      </c>
      <c r="I266">
        <v>46.979100000000003</v>
      </c>
      <c r="J266">
        <v>6.6723999999999997</v>
      </c>
      <c r="K266" s="4" t="s">
        <v>15</v>
      </c>
      <c r="L266" s="4"/>
      <c r="M266" s="4" t="s">
        <v>1</v>
      </c>
      <c r="N266" s="4"/>
      <c r="O266" s="4" t="s">
        <v>17</v>
      </c>
      <c r="P266" s="4" t="s">
        <v>29</v>
      </c>
    </row>
    <row r="267" spans="1:16" s="8" customFormat="1" x14ac:dyDescent="0.25">
      <c r="A267">
        <f>RIGHT(B267,6)*1</f>
        <v>121991</v>
      </c>
      <c r="B267" t="s">
        <v>351</v>
      </c>
      <c r="C267" s="10">
        <v>43036</v>
      </c>
      <c r="D267" s="13">
        <f>YEAR(C267)</f>
        <v>2017</v>
      </c>
      <c r="E267" s="13">
        <f>MONTH(C267)</f>
        <v>10</v>
      </c>
      <c r="F267" s="13">
        <f>DAY(C267)</f>
        <v>28</v>
      </c>
      <c r="G267" s="13" t="s">
        <v>535</v>
      </c>
      <c r="H267" s="4" t="s">
        <v>14</v>
      </c>
      <c r="I267">
        <v>46.979100000000003</v>
      </c>
      <c r="J267">
        <v>6.6723999999999997</v>
      </c>
      <c r="K267" s="4" t="s">
        <v>15</v>
      </c>
      <c r="L267" s="4"/>
      <c r="M267" s="4" t="s">
        <v>1</v>
      </c>
      <c r="N267" s="4"/>
      <c r="O267" s="4" t="s">
        <v>16</v>
      </c>
      <c r="P267" s="4" t="s">
        <v>184</v>
      </c>
    </row>
    <row r="268" spans="1:16" s="8" customFormat="1" x14ac:dyDescent="0.25">
      <c r="A268">
        <f>RIGHT(B268,6)*1</f>
        <v>121992</v>
      </c>
      <c r="B268" t="s">
        <v>352</v>
      </c>
      <c r="C268" s="10">
        <v>43036</v>
      </c>
      <c r="D268" s="13">
        <f>YEAR(C268)</f>
        <v>2017</v>
      </c>
      <c r="E268" s="13">
        <f>MONTH(C268)</f>
        <v>10</v>
      </c>
      <c r="F268" s="13">
        <f>DAY(C268)</f>
        <v>28</v>
      </c>
      <c r="G268" s="13" t="s">
        <v>535</v>
      </c>
      <c r="H268" s="4" t="s">
        <v>14</v>
      </c>
      <c r="I268">
        <v>46.903599999999997</v>
      </c>
      <c r="J268">
        <v>6.6722000000000001</v>
      </c>
      <c r="K268" s="4" t="s">
        <v>15</v>
      </c>
      <c r="L268" s="4"/>
      <c r="M268" s="4" t="s">
        <v>1</v>
      </c>
      <c r="N268" s="4"/>
      <c r="O268" s="4" t="s">
        <v>16</v>
      </c>
      <c r="P268" s="4" t="s">
        <v>29</v>
      </c>
    </row>
    <row r="269" spans="1:16" s="8" customFormat="1" x14ac:dyDescent="0.25">
      <c r="A269">
        <f>RIGHT(B269,6)*1</f>
        <v>121993</v>
      </c>
      <c r="B269" t="s">
        <v>353</v>
      </c>
      <c r="C269" s="10">
        <v>43036</v>
      </c>
      <c r="D269" s="13">
        <f>YEAR(C269)</f>
        <v>2017</v>
      </c>
      <c r="E269" s="13">
        <f>MONTH(C269)</f>
        <v>10</v>
      </c>
      <c r="F269" s="13">
        <f>DAY(C269)</f>
        <v>28</v>
      </c>
      <c r="G269" s="13" t="s">
        <v>535</v>
      </c>
      <c r="H269" s="4" t="s">
        <v>14</v>
      </c>
      <c r="I269">
        <v>46.923299999999998</v>
      </c>
      <c r="J269">
        <v>6.4356</v>
      </c>
      <c r="K269" s="4" t="s">
        <v>15</v>
      </c>
      <c r="L269" s="4"/>
      <c r="M269" s="4" t="s">
        <v>1</v>
      </c>
      <c r="N269" s="4"/>
      <c r="O269" s="4" t="s">
        <v>17</v>
      </c>
      <c r="P269" s="4" t="s">
        <v>29</v>
      </c>
    </row>
    <row r="270" spans="1:16" s="8" customFormat="1" x14ac:dyDescent="0.25">
      <c r="A270">
        <f>RIGHT(B270,6)*1</f>
        <v>121994</v>
      </c>
      <c r="B270" t="s">
        <v>354</v>
      </c>
      <c r="C270" s="10">
        <v>43036</v>
      </c>
      <c r="D270" s="13">
        <f>YEAR(C270)</f>
        <v>2017</v>
      </c>
      <c r="E270" s="13">
        <f>MONTH(C270)</f>
        <v>10</v>
      </c>
      <c r="F270" s="13">
        <f>DAY(C270)</f>
        <v>28</v>
      </c>
      <c r="G270" s="13" t="s">
        <v>535</v>
      </c>
      <c r="H270" s="4" t="s">
        <v>14</v>
      </c>
      <c r="I270">
        <v>46.8992</v>
      </c>
      <c r="J270">
        <v>6.6707999999999998</v>
      </c>
      <c r="K270" s="4" t="s">
        <v>15</v>
      </c>
      <c r="L270" s="4"/>
      <c r="M270" s="4" t="s">
        <v>1</v>
      </c>
      <c r="N270" s="4"/>
      <c r="O270" s="4" t="s">
        <v>17</v>
      </c>
      <c r="P270" s="4" t="s">
        <v>184</v>
      </c>
    </row>
    <row r="271" spans="1:16" s="8" customFormat="1" x14ac:dyDescent="0.25">
      <c r="A271">
        <f>RIGHT(B271,6)*1</f>
        <v>121995</v>
      </c>
      <c r="B271" t="s">
        <v>355</v>
      </c>
      <c r="C271" s="10">
        <v>43036</v>
      </c>
      <c r="D271" s="13">
        <f>YEAR(C271)</f>
        <v>2017</v>
      </c>
      <c r="E271" s="13">
        <f>MONTH(C271)</f>
        <v>10</v>
      </c>
      <c r="F271" s="13">
        <f>DAY(C271)</f>
        <v>28</v>
      </c>
      <c r="G271" s="13" t="s">
        <v>535</v>
      </c>
      <c r="H271" s="4" t="s">
        <v>14</v>
      </c>
      <c r="I271">
        <v>46.903599999999997</v>
      </c>
      <c r="J271">
        <v>6.6722000000000001</v>
      </c>
      <c r="K271" s="4" t="s">
        <v>15</v>
      </c>
      <c r="L271" s="4"/>
      <c r="M271" s="4" t="s">
        <v>1</v>
      </c>
      <c r="N271" s="4"/>
      <c r="O271" s="4" t="s">
        <v>17</v>
      </c>
      <c r="P271" s="4" t="s">
        <v>19</v>
      </c>
    </row>
    <row r="272" spans="1:16" s="8" customFormat="1" x14ac:dyDescent="0.25">
      <c r="A272">
        <f>RIGHT(B272,6)*1</f>
        <v>121996</v>
      </c>
      <c r="B272" t="s">
        <v>356</v>
      </c>
      <c r="C272" s="10">
        <v>43036</v>
      </c>
      <c r="D272" s="13">
        <f>YEAR(C272)</f>
        <v>2017</v>
      </c>
      <c r="E272" s="13">
        <f>MONTH(C272)</f>
        <v>10</v>
      </c>
      <c r="F272" s="13">
        <f>DAY(C272)</f>
        <v>28</v>
      </c>
      <c r="G272" s="13" t="s">
        <v>535</v>
      </c>
      <c r="H272" s="4" t="s">
        <v>14</v>
      </c>
      <c r="I272">
        <v>46.91</v>
      </c>
      <c r="J272">
        <v>6.6863999999999999</v>
      </c>
      <c r="K272" s="4" t="s">
        <v>15</v>
      </c>
      <c r="L272" s="4"/>
      <c r="M272" s="4" t="s">
        <v>1</v>
      </c>
      <c r="N272" s="4"/>
      <c r="O272" s="4" t="s">
        <v>17</v>
      </c>
      <c r="P272" s="4" t="s">
        <v>29</v>
      </c>
    </row>
    <row r="273" spans="1:16" s="8" customFormat="1" x14ac:dyDescent="0.25">
      <c r="A273">
        <f>RIGHT(B273,6)*1</f>
        <v>121997</v>
      </c>
      <c r="B273" t="s">
        <v>357</v>
      </c>
      <c r="C273" s="10">
        <v>43039</v>
      </c>
      <c r="D273" s="13">
        <f>YEAR(C273)</f>
        <v>2017</v>
      </c>
      <c r="E273" s="13">
        <f>MONTH(C273)</f>
        <v>10</v>
      </c>
      <c r="F273" s="13">
        <f>DAY(C273)</f>
        <v>31</v>
      </c>
      <c r="G273" s="13" t="s">
        <v>535</v>
      </c>
      <c r="H273" s="4" t="s">
        <v>14</v>
      </c>
      <c r="I273">
        <v>46.929699999999997</v>
      </c>
      <c r="J273">
        <v>6.4603000000000002</v>
      </c>
      <c r="K273" s="4" t="s">
        <v>15</v>
      </c>
      <c r="L273" s="4"/>
      <c r="M273" s="4" t="s">
        <v>1</v>
      </c>
      <c r="N273" s="4"/>
      <c r="O273" s="4" t="s">
        <v>17</v>
      </c>
      <c r="P273" s="4" t="s">
        <v>184</v>
      </c>
    </row>
    <row r="274" spans="1:16" s="8" customFormat="1" x14ac:dyDescent="0.25">
      <c r="A274">
        <f>RIGHT(B274,6)*1</f>
        <v>122047</v>
      </c>
      <c r="B274" t="s">
        <v>408</v>
      </c>
      <c r="C274" s="10">
        <v>43379</v>
      </c>
      <c r="D274" s="13">
        <f>YEAR(C274)</f>
        <v>2018</v>
      </c>
      <c r="E274" s="13">
        <f>MONTH(C274)</f>
        <v>10</v>
      </c>
      <c r="F274" s="13">
        <f>DAY(C274)</f>
        <v>6</v>
      </c>
      <c r="G274" s="13" t="s">
        <v>535</v>
      </c>
      <c r="H274" s="4" t="s">
        <v>14</v>
      </c>
      <c r="I274">
        <v>46.854900000000001</v>
      </c>
      <c r="J274">
        <v>6.5456000000000003</v>
      </c>
      <c r="K274" s="4" t="s">
        <v>15</v>
      </c>
      <c r="L274" s="4"/>
      <c r="M274" s="4" t="s">
        <v>1</v>
      </c>
      <c r="N274" s="4"/>
      <c r="O274" s="4" t="s">
        <v>17</v>
      </c>
      <c r="P274" s="4" t="s">
        <v>29</v>
      </c>
    </row>
    <row r="275" spans="1:16" s="8" customFormat="1" x14ac:dyDescent="0.25">
      <c r="A275">
        <f>RIGHT(B275,6)*1</f>
        <v>122048</v>
      </c>
      <c r="B275" t="s">
        <v>409</v>
      </c>
      <c r="C275" s="10">
        <v>43383</v>
      </c>
      <c r="D275" s="13">
        <f>YEAR(C275)</f>
        <v>2018</v>
      </c>
      <c r="E275" s="13">
        <f>MONTH(C275)</f>
        <v>10</v>
      </c>
      <c r="F275" s="13">
        <f>DAY(C275)</f>
        <v>10</v>
      </c>
      <c r="G275" s="13" t="s">
        <v>535</v>
      </c>
      <c r="H275" s="4" t="s">
        <v>14</v>
      </c>
      <c r="I275">
        <v>46.91</v>
      </c>
      <c r="J275">
        <v>6.6863999999999999</v>
      </c>
      <c r="K275" s="4" t="s">
        <v>15</v>
      </c>
      <c r="L275" s="4"/>
      <c r="M275" s="4" t="s">
        <v>1</v>
      </c>
      <c r="N275" s="4"/>
      <c r="O275" s="4" t="s">
        <v>17</v>
      </c>
      <c r="P275" s="4" t="s">
        <v>29</v>
      </c>
    </row>
    <row r="276" spans="1:16" s="8" customFormat="1" x14ac:dyDescent="0.25">
      <c r="A276">
        <f>RIGHT(B276,6)*1</f>
        <v>122049</v>
      </c>
      <c r="B276" t="s">
        <v>410</v>
      </c>
      <c r="C276" s="10">
        <v>43383</v>
      </c>
      <c r="D276" s="13">
        <f>YEAR(C276)</f>
        <v>2018</v>
      </c>
      <c r="E276" s="13">
        <f>MONTH(C276)</f>
        <v>10</v>
      </c>
      <c r="F276" s="13">
        <f>DAY(C276)</f>
        <v>10</v>
      </c>
      <c r="G276" s="13" t="s">
        <v>535</v>
      </c>
      <c r="H276" s="4" t="s">
        <v>14</v>
      </c>
      <c r="I276">
        <v>46.899000000000001</v>
      </c>
      <c r="J276">
        <v>6.6708999999999996</v>
      </c>
      <c r="K276" s="4" t="s">
        <v>15</v>
      </c>
      <c r="L276" s="4"/>
      <c r="M276" s="4" t="s">
        <v>1</v>
      </c>
      <c r="N276" s="4"/>
      <c r="O276" s="4" t="s">
        <v>16</v>
      </c>
      <c r="P276" s="4" t="s">
        <v>29</v>
      </c>
    </row>
    <row r="277" spans="1:16" s="8" customFormat="1" x14ac:dyDescent="0.25">
      <c r="A277">
        <f>RIGHT(B277,6)*1</f>
        <v>122050</v>
      </c>
      <c r="B277" t="s">
        <v>411</v>
      </c>
      <c r="C277" s="10">
        <v>43383</v>
      </c>
      <c r="D277" s="13">
        <f>YEAR(C277)</f>
        <v>2018</v>
      </c>
      <c r="E277" s="13">
        <f>MONTH(C277)</f>
        <v>10</v>
      </c>
      <c r="F277" s="13">
        <f>DAY(C277)</f>
        <v>10</v>
      </c>
      <c r="G277" s="13" t="s">
        <v>535</v>
      </c>
      <c r="H277" s="4" t="s">
        <v>14</v>
      </c>
      <c r="I277">
        <v>46.8992</v>
      </c>
      <c r="J277">
        <v>6.6707999999999998</v>
      </c>
      <c r="K277" s="4" t="s">
        <v>15</v>
      </c>
      <c r="L277" s="4"/>
      <c r="M277" s="4" t="s">
        <v>1</v>
      </c>
      <c r="N277" s="4"/>
      <c r="O277" s="4" t="s">
        <v>17</v>
      </c>
      <c r="P277" s="4" t="s">
        <v>29</v>
      </c>
    </row>
    <row r="278" spans="1:16" s="8" customFormat="1" x14ac:dyDescent="0.25">
      <c r="A278">
        <f>RIGHT(B278,6)*1</f>
        <v>124201</v>
      </c>
      <c r="B278" t="s">
        <v>412</v>
      </c>
      <c r="C278" s="10">
        <v>43384</v>
      </c>
      <c r="D278" s="13">
        <f>YEAR(C278)</f>
        <v>2018</v>
      </c>
      <c r="E278" s="13">
        <f>MONTH(C278)</f>
        <v>10</v>
      </c>
      <c r="F278" s="13">
        <f>DAY(C278)</f>
        <v>11</v>
      </c>
      <c r="G278" s="13" t="s">
        <v>535</v>
      </c>
      <c r="H278" s="4" t="s">
        <v>14</v>
      </c>
      <c r="I278">
        <v>46.992800000000003</v>
      </c>
      <c r="J278">
        <v>6.6971999999999996</v>
      </c>
      <c r="K278" s="4" t="s">
        <v>15</v>
      </c>
      <c r="L278" s="4"/>
      <c r="M278" s="4" t="s">
        <v>1</v>
      </c>
      <c r="N278" s="4"/>
      <c r="O278" s="4" t="s">
        <v>17</v>
      </c>
      <c r="P278" s="4" t="s">
        <v>29</v>
      </c>
    </row>
    <row r="279" spans="1:16" s="8" customFormat="1" x14ac:dyDescent="0.25">
      <c r="A279">
        <f>RIGHT(B279,6)*1</f>
        <v>124202</v>
      </c>
      <c r="B279" t="s">
        <v>413</v>
      </c>
      <c r="C279" s="10">
        <v>43384</v>
      </c>
      <c r="D279" s="13">
        <f>YEAR(C279)</f>
        <v>2018</v>
      </c>
      <c r="E279" s="13">
        <f>MONTH(C279)</f>
        <v>10</v>
      </c>
      <c r="F279" s="13">
        <f>DAY(C279)</f>
        <v>11</v>
      </c>
      <c r="G279" s="13" t="s">
        <v>535</v>
      </c>
      <c r="H279" s="4" t="s">
        <v>14</v>
      </c>
      <c r="I279">
        <v>46.992800000000003</v>
      </c>
      <c r="J279">
        <v>6.6971999999999996</v>
      </c>
      <c r="K279" s="4" t="s">
        <v>15</v>
      </c>
      <c r="L279" s="4"/>
      <c r="M279" s="4" t="s">
        <v>1</v>
      </c>
      <c r="N279" s="4"/>
      <c r="O279" s="4" t="s">
        <v>16</v>
      </c>
      <c r="P279" s="4" t="s">
        <v>29</v>
      </c>
    </row>
    <row r="280" spans="1:16" s="8" customFormat="1" x14ac:dyDescent="0.25">
      <c r="A280">
        <f>RIGHT(B280,6)*1</f>
        <v>124203</v>
      </c>
      <c r="B280" t="s">
        <v>414</v>
      </c>
      <c r="C280" s="10">
        <v>43384</v>
      </c>
      <c r="D280" s="13">
        <f>YEAR(C280)</f>
        <v>2018</v>
      </c>
      <c r="E280" s="13">
        <f>MONTH(C280)</f>
        <v>10</v>
      </c>
      <c r="F280" s="13">
        <f>DAY(C280)</f>
        <v>11</v>
      </c>
      <c r="G280" s="13" t="s">
        <v>535</v>
      </c>
      <c r="H280" s="4" t="s">
        <v>14</v>
      </c>
      <c r="I280">
        <v>46.972799999999999</v>
      </c>
      <c r="J280">
        <v>6.6696999999999997</v>
      </c>
      <c r="K280" s="4" t="s">
        <v>15</v>
      </c>
      <c r="L280" s="4"/>
      <c r="M280" s="4" t="s">
        <v>1</v>
      </c>
      <c r="N280" s="4"/>
      <c r="O280" s="4" t="s">
        <v>17</v>
      </c>
      <c r="P280" s="4" t="s">
        <v>29</v>
      </c>
    </row>
    <row r="281" spans="1:16" s="8" customFormat="1" x14ac:dyDescent="0.25">
      <c r="A281">
        <f>RIGHT(B281,6)*1</f>
        <v>124204</v>
      </c>
      <c r="B281" t="s">
        <v>415</v>
      </c>
      <c r="C281" s="10">
        <v>43385</v>
      </c>
      <c r="D281" s="13">
        <f>YEAR(C281)</f>
        <v>2018</v>
      </c>
      <c r="E281" s="13">
        <f>MONTH(C281)</f>
        <v>10</v>
      </c>
      <c r="F281" s="13">
        <f>DAY(C281)</f>
        <v>12</v>
      </c>
      <c r="G281" s="13" t="s">
        <v>535</v>
      </c>
      <c r="H281" s="4" t="s">
        <v>14</v>
      </c>
      <c r="I281">
        <v>46.979100000000003</v>
      </c>
      <c r="J281">
        <v>6.6723999999999997</v>
      </c>
      <c r="K281" s="4" t="s">
        <v>15</v>
      </c>
      <c r="L281" s="4"/>
      <c r="M281" s="4" t="s">
        <v>1</v>
      </c>
      <c r="N281" s="4"/>
      <c r="O281" s="4" t="s">
        <v>17</v>
      </c>
      <c r="P281" s="4" t="s">
        <v>29</v>
      </c>
    </row>
    <row r="282" spans="1:16" s="8" customFormat="1" x14ac:dyDescent="0.25">
      <c r="A282">
        <f>RIGHT(B282,6)*1</f>
        <v>124205</v>
      </c>
      <c r="B282" t="s">
        <v>416</v>
      </c>
      <c r="C282" s="10">
        <v>43388</v>
      </c>
      <c r="D282" s="13">
        <f>YEAR(C282)</f>
        <v>2018</v>
      </c>
      <c r="E282" s="13">
        <f>MONTH(C282)</f>
        <v>10</v>
      </c>
      <c r="F282" s="13">
        <f>DAY(C282)</f>
        <v>15</v>
      </c>
      <c r="G282" s="13" t="s">
        <v>535</v>
      </c>
      <c r="H282" s="4" t="s">
        <v>14</v>
      </c>
      <c r="I282">
        <v>46.860500000000002</v>
      </c>
      <c r="J282">
        <v>6.5678000000000001</v>
      </c>
      <c r="K282" s="4" t="s">
        <v>15</v>
      </c>
      <c r="L282" s="4"/>
      <c r="M282" s="4" t="s">
        <v>1</v>
      </c>
      <c r="N282" s="4"/>
      <c r="O282" s="4" t="s">
        <v>17</v>
      </c>
      <c r="P282" s="4" t="s">
        <v>29</v>
      </c>
    </row>
    <row r="283" spans="1:16" s="8" customFormat="1" x14ac:dyDescent="0.25">
      <c r="A283">
        <f>RIGHT(B283,6)*1</f>
        <v>124206</v>
      </c>
      <c r="B283" t="s">
        <v>417</v>
      </c>
      <c r="C283" s="10">
        <v>43388</v>
      </c>
      <c r="D283" s="13">
        <f>YEAR(C283)</f>
        <v>2018</v>
      </c>
      <c r="E283" s="13">
        <f>MONTH(C283)</f>
        <v>10</v>
      </c>
      <c r="F283" s="13">
        <f>DAY(C283)</f>
        <v>15</v>
      </c>
      <c r="G283" s="13" t="s">
        <v>535</v>
      </c>
      <c r="H283" s="4" t="s">
        <v>14</v>
      </c>
      <c r="I283">
        <v>46.860500000000002</v>
      </c>
      <c r="J283">
        <v>6.5678000000000001</v>
      </c>
      <c r="K283" s="4" t="s">
        <v>15</v>
      </c>
      <c r="L283" s="4"/>
      <c r="M283" s="4" t="s">
        <v>1</v>
      </c>
      <c r="N283" s="4"/>
      <c r="O283" s="4" t="s">
        <v>17</v>
      </c>
      <c r="P283" s="4" t="s">
        <v>29</v>
      </c>
    </row>
    <row r="284" spans="1:16" s="8" customFormat="1" x14ac:dyDescent="0.25">
      <c r="A284">
        <f>RIGHT(B284,6)*1</f>
        <v>124207</v>
      </c>
      <c r="B284" t="s">
        <v>418</v>
      </c>
      <c r="C284" s="10">
        <v>43388</v>
      </c>
      <c r="D284" s="13">
        <f>YEAR(C284)</f>
        <v>2018</v>
      </c>
      <c r="E284" s="13">
        <f>MONTH(C284)</f>
        <v>10</v>
      </c>
      <c r="F284" s="13">
        <f>DAY(C284)</f>
        <v>15</v>
      </c>
      <c r="G284" s="13" t="s">
        <v>535</v>
      </c>
      <c r="H284" s="4" t="s">
        <v>14</v>
      </c>
      <c r="I284">
        <v>46.864100000000001</v>
      </c>
      <c r="J284">
        <v>6.5716999999999999</v>
      </c>
      <c r="K284" s="4" t="s">
        <v>15</v>
      </c>
      <c r="L284" s="4"/>
      <c r="M284" s="4" t="s">
        <v>1</v>
      </c>
      <c r="N284" s="4"/>
      <c r="O284" s="4" t="s">
        <v>17</v>
      </c>
      <c r="P284" s="4" t="s">
        <v>29</v>
      </c>
    </row>
    <row r="285" spans="1:16" s="8" customFormat="1" x14ac:dyDescent="0.25">
      <c r="A285">
        <f>RIGHT(B285,6)*1</f>
        <v>124208</v>
      </c>
      <c r="B285" t="s">
        <v>419</v>
      </c>
      <c r="C285" s="10">
        <v>43388</v>
      </c>
      <c r="D285" s="13">
        <f>YEAR(C285)</f>
        <v>2018</v>
      </c>
      <c r="E285" s="13">
        <f>MONTH(C285)</f>
        <v>10</v>
      </c>
      <c r="F285" s="13">
        <f>DAY(C285)</f>
        <v>15</v>
      </c>
      <c r="G285" s="13" t="s">
        <v>535</v>
      </c>
      <c r="H285" s="4" t="s">
        <v>14</v>
      </c>
      <c r="I285">
        <v>46.864100000000001</v>
      </c>
      <c r="J285">
        <v>6.5716999999999999</v>
      </c>
      <c r="K285" s="4" t="s">
        <v>15</v>
      </c>
      <c r="L285" s="4"/>
      <c r="M285" s="4" t="s">
        <v>1</v>
      </c>
      <c r="N285" s="4"/>
      <c r="O285" s="4" t="s">
        <v>17</v>
      </c>
      <c r="P285" s="4" t="s">
        <v>29</v>
      </c>
    </row>
    <row r="286" spans="1:16" s="8" customFormat="1" x14ac:dyDescent="0.25">
      <c r="A286">
        <f>RIGHT(B286,6)*1</f>
        <v>124209</v>
      </c>
      <c r="B286" t="s">
        <v>420</v>
      </c>
      <c r="C286" s="10">
        <v>43388</v>
      </c>
      <c r="D286" s="13">
        <f>YEAR(C286)</f>
        <v>2018</v>
      </c>
      <c r="E286" s="13">
        <f>MONTH(C286)</f>
        <v>10</v>
      </c>
      <c r="F286" s="13">
        <f>DAY(C286)</f>
        <v>15</v>
      </c>
      <c r="G286" s="13" t="s">
        <v>535</v>
      </c>
      <c r="H286" s="4" t="s">
        <v>14</v>
      </c>
      <c r="I286">
        <v>46.854900000000001</v>
      </c>
      <c r="J286">
        <v>6.5456000000000003</v>
      </c>
      <c r="K286" s="4" t="s">
        <v>15</v>
      </c>
      <c r="L286" s="4"/>
      <c r="M286" s="4" t="s">
        <v>1</v>
      </c>
      <c r="N286" s="4"/>
      <c r="O286" s="4" t="s">
        <v>17</v>
      </c>
      <c r="P286" s="4" t="s">
        <v>29</v>
      </c>
    </row>
    <row r="287" spans="1:16" s="8" customFormat="1" x14ac:dyDescent="0.25">
      <c r="A287">
        <f>RIGHT(B287,6)*1</f>
        <v>124210</v>
      </c>
      <c r="B287" t="s">
        <v>421</v>
      </c>
      <c r="C287" s="10">
        <v>43388</v>
      </c>
      <c r="D287" s="13">
        <f>YEAR(C287)</f>
        <v>2018</v>
      </c>
      <c r="E287" s="13">
        <f>MONTH(C287)</f>
        <v>10</v>
      </c>
      <c r="F287" s="13">
        <f>DAY(C287)</f>
        <v>15</v>
      </c>
      <c r="G287" s="13" t="s">
        <v>535</v>
      </c>
      <c r="H287" s="4" t="s">
        <v>14</v>
      </c>
      <c r="I287">
        <v>46.854900000000001</v>
      </c>
      <c r="J287">
        <v>6.5456000000000003</v>
      </c>
      <c r="K287" s="4" t="s">
        <v>15</v>
      </c>
      <c r="L287" s="4"/>
      <c r="M287" s="4" t="s">
        <v>1</v>
      </c>
      <c r="N287" s="4"/>
      <c r="O287" s="4" t="s">
        <v>17</v>
      </c>
      <c r="P287" s="4" t="s">
        <v>27</v>
      </c>
    </row>
    <row r="288" spans="1:16" s="8" customFormat="1" x14ac:dyDescent="0.25">
      <c r="A288">
        <f>RIGHT(B288,6)*1</f>
        <v>124211</v>
      </c>
      <c r="B288" t="s">
        <v>422</v>
      </c>
      <c r="C288" s="10">
        <v>43389</v>
      </c>
      <c r="D288" s="13">
        <f>YEAR(C288)</f>
        <v>2018</v>
      </c>
      <c r="E288" s="13">
        <f>MONTH(C288)</f>
        <v>10</v>
      </c>
      <c r="F288" s="13">
        <f>DAY(C288)</f>
        <v>16</v>
      </c>
      <c r="G288" s="13" t="s">
        <v>535</v>
      </c>
      <c r="H288" s="4" t="s">
        <v>14</v>
      </c>
      <c r="I288">
        <v>46.929699999999997</v>
      </c>
      <c r="J288">
        <v>6.4603000000000002</v>
      </c>
      <c r="K288" s="4" t="s">
        <v>15</v>
      </c>
      <c r="L288" s="4"/>
      <c r="M288" s="4" t="s">
        <v>1</v>
      </c>
      <c r="N288" s="4"/>
      <c r="O288" s="4" t="s">
        <v>17</v>
      </c>
      <c r="P288" s="4" t="s">
        <v>29</v>
      </c>
    </row>
    <row r="289" spans="1:16" s="8" customFormat="1" x14ac:dyDescent="0.25">
      <c r="A289">
        <f>RIGHT(B289,6)*1</f>
        <v>124212</v>
      </c>
      <c r="B289" t="s">
        <v>423</v>
      </c>
      <c r="C289" s="10">
        <v>43389</v>
      </c>
      <c r="D289" s="13">
        <f>YEAR(C289)</f>
        <v>2018</v>
      </c>
      <c r="E289" s="13">
        <f>MONTH(C289)</f>
        <v>10</v>
      </c>
      <c r="F289" s="13">
        <f>DAY(C289)</f>
        <v>16</v>
      </c>
      <c r="G289" s="13" t="s">
        <v>535</v>
      </c>
      <c r="H289" s="4" t="s">
        <v>14</v>
      </c>
      <c r="I289">
        <v>46.929699999999997</v>
      </c>
      <c r="J289">
        <v>6.4603000000000002</v>
      </c>
      <c r="K289" s="4" t="s">
        <v>15</v>
      </c>
      <c r="L289" s="4"/>
      <c r="M289" s="4" t="s">
        <v>1</v>
      </c>
      <c r="N289" s="4"/>
      <c r="O289" s="4" t="s">
        <v>16</v>
      </c>
      <c r="P289" s="4" t="s">
        <v>29</v>
      </c>
    </row>
    <row r="290" spans="1:16" s="8" customFormat="1" x14ac:dyDescent="0.25">
      <c r="A290">
        <f>RIGHT(B290,6)*1</f>
        <v>124213</v>
      </c>
      <c r="B290" t="s">
        <v>424</v>
      </c>
      <c r="C290" s="10">
        <v>43389</v>
      </c>
      <c r="D290" s="13">
        <f>YEAR(C290)</f>
        <v>2018</v>
      </c>
      <c r="E290" s="13">
        <f>MONTH(C290)</f>
        <v>10</v>
      </c>
      <c r="F290" s="13">
        <f>DAY(C290)</f>
        <v>16</v>
      </c>
      <c r="G290" s="13" t="s">
        <v>535</v>
      </c>
      <c r="H290" s="4" t="s">
        <v>14</v>
      </c>
      <c r="I290">
        <v>46.929699999999997</v>
      </c>
      <c r="J290">
        <v>6.4603000000000002</v>
      </c>
      <c r="K290" s="4" t="s">
        <v>15</v>
      </c>
      <c r="L290" s="4"/>
      <c r="M290" s="4" t="s">
        <v>1</v>
      </c>
      <c r="N290" s="4"/>
      <c r="O290" s="4" t="s">
        <v>17</v>
      </c>
      <c r="P290" s="4" t="s">
        <v>29</v>
      </c>
    </row>
    <row r="291" spans="1:16" s="8" customFormat="1" x14ac:dyDescent="0.25">
      <c r="A291">
        <f>RIGHT(B291,6)*1</f>
        <v>124214</v>
      </c>
      <c r="B291" t="s">
        <v>425</v>
      </c>
      <c r="C291" s="10">
        <v>43389</v>
      </c>
      <c r="D291" s="13">
        <f>YEAR(C291)</f>
        <v>2018</v>
      </c>
      <c r="E291" s="13">
        <f>MONTH(C291)</f>
        <v>10</v>
      </c>
      <c r="F291" s="13">
        <f>DAY(C291)</f>
        <v>16</v>
      </c>
      <c r="G291" s="13" t="s">
        <v>535</v>
      </c>
      <c r="H291" s="4" t="s">
        <v>14</v>
      </c>
      <c r="I291">
        <v>46.929699999999997</v>
      </c>
      <c r="J291">
        <v>6.4603000000000002</v>
      </c>
      <c r="K291" s="4" t="s">
        <v>15</v>
      </c>
      <c r="L291" s="4"/>
      <c r="M291" s="4" t="s">
        <v>1</v>
      </c>
      <c r="N291" s="4"/>
      <c r="O291" s="4" t="s">
        <v>17</v>
      </c>
      <c r="P291" s="4" t="s">
        <v>29</v>
      </c>
    </row>
    <row r="292" spans="1:16" s="8" customFormat="1" x14ac:dyDescent="0.25">
      <c r="A292">
        <f>RIGHT(B292,6)*1</f>
        <v>124215</v>
      </c>
      <c r="B292" t="s">
        <v>426</v>
      </c>
      <c r="C292" s="10">
        <v>43390</v>
      </c>
      <c r="D292" s="13">
        <f>YEAR(C292)</f>
        <v>2018</v>
      </c>
      <c r="E292" s="13">
        <f>MONTH(C292)</f>
        <v>10</v>
      </c>
      <c r="F292" s="13">
        <f>DAY(C292)</f>
        <v>17</v>
      </c>
      <c r="G292" s="13" t="s">
        <v>535</v>
      </c>
      <c r="H292" s="4" t="s">
        <v>14</v>
      </c>
      <c r="I292">
        <v>46.929699999999997</v>
      </c>
      <c r="J292">
        <v>6.4603000000000002</v>
      </c>
      <c r="K292" s="4" t="s">
        <v>15</v>
      </c>
      <c r="L292" s="4"/>
      <c r="M292" s="4" t="s">
        <v>1</v>
      </c>
      <c r="N292" s="4"/>
      <c r="O292" s="4" t="s">
        <v>17</v>
      </c>
      <c r="P292" s="4" t="s">
        <v>29</v>
      </c>
    </row>
    <row r="293" spans="1:16" s="8" customFormat="1" x14ac:dyDescent="0.25">
      <c r="A293">
        <f>RIGHT(B293,6)*1</f>
        <v>124216</v>
      </c>
      <c r="B293" t="s">
        <v>427</v>
      </c>
      <c r="C293" s="10">
        <v>43390</v>
      </c>
      <c r="D293" s="13">
        <f>YEAR(C293)</f>
        <v>2018</v>
      </c>
      <c r="E293" s="13">
        <f>MONTH(C293)</f>
        <v>10</v>
      </c>
      <c r="F293" s="13">
        <f>DAY(C293)</f>
        <v>17</v>
      </c>
      <c r="G293" s="13" t="s">
        <v>535</v>
      </c>
      <c r="H293" s="4" t="s">
        <v>14</v>
      </c>
      <c r="I293">
        <v>46.929699999999997</v>
      </c>
      <c r="J293">
        <v>6.4603000000000002</v>
      </c>
      <c r="K293" s="4" t="s">
        <v>15</v>
      </c>
      <c r="L293" s="4"/>
      <c r="M293" s="4" t="s">
        <v>1</v>
      </c>
      <c r="N293" s="4"/>
      <c r="O293" s="4" t="s">
        <v>16</v>
      </c>
      <c r="P293" s="4" t="s">
        <v>29</v>
      </c>
    </row>
    <row r="294" spans="1:16" s="8" customFormat="1" x14ac:dyDescent="0.25">
      <c r="A294">
        <f>RIGHT(B294,6)*1</f>
        <v>124217</v>
      </c>
      <c r="B294" t="s">
        <v>428</v>
      </c>
      <c r="C294" s="10">
        <v>43390</v>
      </c>
      <c r="D294" s="13">
        <f>YEAR(C294)</f>
        <v>2018</v>
      </c>
      <c r="E294" s="13">
        <f>MONTH(C294)</f>
        <v>10</v>
      </c>
      <c r="F294" s="13">
        <f>DAY(C294)</f>
        <v>17</v>
      </c>
      <c r="G294" s="13" t="s">
        <v>535</v>
      </c>
      <c r="H294" s="4" t="s">
        <v>14</v>
      </c>
      <c r="I294">
        <v>46.992800000000003</v>
      </c>
      <c r="J294">
        <v>6.6971999999999996</v>
      </c>
      <c r="K294" s="4" t="s">
        <v>15</v>
      </c>
      <c r="L294" s="4"/>
      <c r="M294" s="4" t="s">
        <v>1</v>
      </c>
      <c r="N294" s="4"/>
      <c r="O294" s="4" t="s">
        <v>16</v>
      </c>
      <c r="P294" s="4" t="s">
        <v>29</v>
      </c>
    </row>
    <row r="295" spans="1:16" s="8" customFormat="1" x14ac:dyDescent="0.25">
      <c r="A295">
        <f>RIGHT(B295,6)*1</f>
        <v>124218</v>
      </c>
      <c r="B295" t="s">
        <v>429</v>
      </c>
      <c r="C295" s="10">
        <v>43390</v>
      </c>
      <c r="D295" s="13">
        <f>YEAR(C295)</f>
        <v>2018</v>
      </c>
      <c r="E295" s="13">
        <f>MONTH(C295)</f>
        <v>10</v>
      </c>
      <c r="F295" s="13">
        <f>DAY(C295)</f>
        <v>17</v>
      </c>
      <c r="G295" s="13" t="s">
        <v>535</v>
      </c>
      <c r="H295" s="4" t="s">
        <v>14</v>
      </c>
      <c r="I295">
        <v>46.972799999999999</v>
      </c>
      <c r="J295">
        <v>6.6696999999999997</v>
      </c>
      <c r="K295" s="4" t="s">
        <v>15</v>
      </c>
      <c r="L295" s="4"/>
      <c r="M295" s="4" t="s">
        <v>1</v>
      </c>
      <c r="N295" s="4"/>
      <c r="O295" s="4" t="s">
        <v>16</v>
      </c>
      <c r="P295" s="4" t="s">
        <v>29</v>
      </c>
    </row>
    <row r="296" spans="1:16" s="8" customFormat="1" x14ac:dyDescent="0.25">
      <c r="A296">
        <f>RIGHT(B296,6)*1</f>
        <v>124219</v>
      </c>
      <c r="B296" t="s">
        <v>430</v>
      </c>
      <c r="C296" s="10">
        <v>43392</v>
      </c>
      <c r="D296" s="13">
        <f>YEAR(C296)</f>
        <v>2018</v>
      </c>
      <c r="E296" s="13">
        <f>MONTH(C296)</f>
        <v>10</v>
      </c>
      <c r="F296" s="13">
        <f>DAY(C296)</f>
        <v>19</v>
      </c>
      <c r="G296" s="13" t="s">
        <v>535</v>
      </c>
      <c r="H296" s="4" t="s">
        <v>14</v>
      </c>
      <c r="I296">
        <v>46.91</v>
      </c>
      <c r="J296">
        <v>6.6863999999999999</v>
      </c>
      <c r="K296" s="4" t="s">
        <v>15</v>
      </c>
      <c r="L296" s="4"/>
      <c r="M296" s="4" t="s">
        <v>1</v>
      </c>
      <c r="N296" s="4"/>
      <c r="O296" s="4" t="s">
        <v>17</v>
      </c>
      <c r="P296" s="4" t="s">
        <v>29</v>
      </c>
    </row>
    <row r="297" spans="1:16" s="8" customFormat="1" x14ac:dyDescent="0.25">
      <c r="A297">
        <f>RIGHT(B297,6)*1</f>
        <v>124220</v>
      </c>
      <c r="B297" t="s">
        <v>431</v>
      </c>
      <c r="C297" s="10">
        <v>43392</v>
      </c>
      <c r="D297" s="13">
        <f>YEAR(C297)</f>
        <v>2018</v>
      </c>
      <c r="E297" s="13">
        <f>MONTH(C297)</f>
        <v>10</v>
      </c>
      <c r="F297" s="13">
        <f>DAY(C297)</f>
        <v>19</v>
      </c>
      <c r="G297" s="13" t="s">
        <v>535</v>
      </c>
      <c r="H297" s="4" t="s">
        <v>14</v>
      </c>
      <c r="I297">
        <v>46.91</v>
      </c>
      <c r="J297">
        <v>6.6863999999999999</v>
      </c>
      <c r="K297" s="4" t="s">
        <v>15</v>
      </c>
      <c r="L297" s="4"/>
      <c r="M297" s="4" t="s">
        <v>1</v>
      </c>
      <c r="N297" s="4"/>
      <c r="O297" s="4" t="s">
        <v>17</v>
      </c>
      <c r="P297" s="4" t="s">
        <v>27</v>
      </c>
    </row>
    <row r="298" spans="1:16" s="8" customFormat="1" x14ac:dyDescent="0.25">
      <c r="A298">
        <f>RIGHT(B298,6)*1</f>
        <v>124221</v>
      </c>
      <c r="B298" t="s">
        <v>432</v>
      </c>
      <c r="C298" s="10">
        <v>43392</v>
      </c>
      <c r="D298" s="13">
        <f>YEAR(C298)</f>
        <v>2018</v>
      </c>
      <c r="E298" s="13">
        <f>MONTH(C298)</f>
        <v>10</v>
      </c>
      <c r="F298" s="13">
        <f>DAY(C298)</f>
        <v>19</v>
      </c>
      <c r="G298" s="13" t="s">
        <v>535</v>
      </c>
      <c r="H298" s="4" t="s">
        <v>14</v>
      </c>
      <c r="I298">
        <v>46.903599999999997</v>
      </c>
      <c r="J298">
        <v>6.6722000000000001</v>
      </c>
      <c r="K298" s="4" t="s">
        <v>15</v>
      </c>
      <c r="L298" s="4"/>
      <c r="M298" s="4" t="s">
        <v>1</v>
      </c>
      <c r="N298" s="4"/>
      <c r="O298" s="4" t="s">
        <v>17</v>
      </c>
      <c r="P298" s="4" t="s">
        <v>19</v>
      </c>
    </row>
    <row r="299" spans="1:16" s="8" customFormat="1" x14ac:dyDescent="0.25">
      <c r="A299">
        <f>RIGHT(B299,6)*1</f>
        <v>124222</v>
      </c>
      <c r="B299" t="s">
        <v>433</v>
      </c>
      <c r="C299" s="10">
        <v>43392</v>
      </c>
      <c r="D299" s="13">
        <f>YEAR(C299)</f>
        <v>2018</v>
      </c>
      <c r="E299" s="13">
        <f>MONTH(C299)</f>
        <v>10</v>
      </c>
      <c r="F299" s="13">
        <f>DAY(C299)</f>
        <v>19</v>
      </c>
      <c r="G299" s="13" t="s">
        <v>535</v>
      </c>
      <c r="H299" s="4" t="s">
        <v>14</v>
      </c>
      <c r="I299">
        <v>46.903599999999997</v>
      </c>
      <c r="J299">
        <v>6.6722000000000001</v>
      </c>
      <c r="K299" s="4" t="s">
        <v>15</v>
      </c>
      <c r="L299" s="4"/>
      <c r="M299" s="4" t="s">
        <v>1</v>
      </c>
      <c r="N299" s="4"/>
      <c r="O299" s="4" t="s">
        <v>17</v>
      </c>
      <c r="P299" s="4" t="s">
        <v>29</v>
      </c>
    </row>
    <row r="300" spans="1:16" s="8" customFormat="1" x14ac:dyDescent="0.25">
      <c r="A300">
        <f>RIGHT(B300,6)*1</f>
        <v>124223</v>
      </c>
      <c r="B300" t="s">
        <v>434</v>
      </c>
      <c r="C300" s="10">
        <v>43392</v>
      </c>
      <c r="D300" s="13">
        <f>YEAR(C300)</f>
        <v>2018</v>
      </c>
      <c r="E300" s="13">
        <f>MONTH(C300)</f>
        <v>10</v>
      </c>
      <c r="F300" s="13">
        <f>DAY(C300)</f>
        <v>19</v>
      </c>
      <c r="G300" s="13" t="s">
        <v>535</v>
      </c>
      <c r="H300" s="4" t="s">
        <v>14</v>
      </c>
      <c r="I300">
        <v>46.903599999999997</v>
      </c>
      <c r="J300">
        <v>6.6722000000000001</v>
      </c>
      <c r="K300" s="4" t="s">
        <v>15</v>
      </c>
      <c r="L300" s="4"/>
      <c r="M300" s="4" t="s">
        <v>1</v>
      </c>
      <c r="N300" s="4"/>
      <c r="O300" s="4" t="s">
        <v>17</v>
      </c>
      <c r="P300" s="4" t="s">
        <v>29</v>
      </c>
    </row>
    <row r="301" spans="1:16" s="8" customFormat="1" x14ac:dyDescent="0.25">
      <c r="A301">
        <f>RIGHT(B301,6)*1</f>
        <v>124224</v>
      </c>
      <c r="B301" t="s">
        <v>435</v>
      </c>
      <c r="C301" s="10">
        <v>43392</v>
      </c>
      <c r="D301" s="13">
        <f>YEAR(C301)</f>
        <v>2018</v>
      </c>
      <c r="E301" s="13">
        <f>MONTH(C301)</f>
        <v>10</v>
      </c>
      <c r="F301" s="13">
        <f>DAY(C301)</f>
        <v>19</v>
      </c>
      <c r="G301" s="13" t="s">
        <v>535</v>
      </c>
      <c r="H301" s="4" t="s">
        <v>14</v>
      </c>
      <c r="I301">
        <v>46.923299999999998</v>
      </c>
      <c r="J301">
        <v>6.4356</v>
      </c>
      <c r="K301" s="4" t="s">
        <v>15</v>
      </c>
      <c r="L301" s="4"/>
      <c r="M301" s="4" t="s">
        <v>1</v>
      </c>
      <c r="N301" s="4"/>
      <c r="O301" s="4" t="s">
        <v>17</v>
      </c>
      <c r="P301" s="4" t="s">
        <v>29</v>
      </c>
    </row>
    <row r="302" spans="1:16" s="8" customFormat="1" x14ac:dyDescent="0.25">
      <c r="A302">
        <f>RIGHT(B302,6)*1</f>
        <v>124225</v>
      </c>
      <c r="B302" t="s">
        <v>436</v>
      </c>
      <c r="C302" s="10">
        <v>43393</v>
      </c>
      <c r="D302" s="13">
        <f>YEAR(C302)</f>
        <v>2018</v>
      </c>
      <c r="E302" s="13">
        <f>MONTH(C302)</f>
        <v>10</v>
      </c>
      <c r="F302" s="13">
        <f>DAY(C302)</f>
        <v>20</v>
      </c>
      <c r="G302" s="13" t="s">
        <v>535</v>
      </c>
      <c r="H302" s="4" t="s">
        <v>14</v>
      </c>
      <c r="I302">
        <v>46.899000000000001</v>
      </c>
      <c r="J302">
        <v>6.6708999999999996</v>
      </c>
      <c r="K302" s="4" t="s">
        <v>15</v>
      </c>
      <c r="L302" s="4"/>
      <c r="M302" s="4" t="s">
        <v>1</v>
      </c>
      <c r="N302" s="4"/>
      <c r="O302" s="4" t="s">
        <v>17</v>
      </c>
      <c r="P302" s="4" t="s">
        <v>19</v>
      </c>
    </row>
    <row r="303" spans="1:16" s="8" customFormat="1" x14ac:dyDescent="0.25">
      <c r="A303">
        <f>RIGHT(B303,6)*1</f>
        <v>124226</v>
      </c>
      <c r="B303" t="s">
        <v>437</v>
      </c>
      <c r="C303" s="10">
        <v>43393</v>
      </c>
      <c r="D303" s="13">
        <f>YEAR(C303)</f>
        <v>2018</v>
      </c>
      <c r="E303" s="13">
        <f>MONTH(C303)</f>
        <v>10</v>
      </c>
      <c r="F303" s="13">
        <f>DAY(C303)</f>
        <v>20</v>
      </c>
      <c r="G303" s="13" t="s">
        <v>535</v>
      </c>
      <c r="H303" s="4" t="s">
        <v>14</v>
      </c>
      <c r="I303">
        <v>46.903599999999997</v>
      </c>
      <c r="J303">
        <v>6.6722000000000001</v>
      </c>
      <c r="K303" s="4" t="s">
        <v>15</v>
      </c>
      <c r="L303" s="4"/>
      <c r="M303" s="4" t="s">
        <v>1</v>
      </c>
      <c r="N303" s="4"/>
      <c r="O303" s="4" t="s">
        <v>17</v>
      </c>
      <c r="P303" s="4" t="s">
        <v>29</v>
      </c>
    </row>
    <row r="304" spans="1:16" s="8" customFormat="1" x14ac:dyDescent="0.25">
      <c r="A304">
        <f>RIGHT(B304,6)*1</f>
        <v>124227</v>
      </c>
      <c r="B304" t="s">
        <v>438</v>
      </c>
      <c r="C304" s="10">
        <v>43393</v>
      </c>
      <c r="D304" s="13">
        <f>YEAR(C304)</f>
        <v>2018</v>
      </c>
      <c r="E304" s="13">
        <f>MONTH(C304)</f>
        <v>10</v>
      </c>
      <c r="F304" s="13">
        <f>DAY(C304)</f>
        <v>20</v>
      </c>
      <c r="G304" s="13" t="s">
        <v>535</v>
      </c>
      <c r="H304" s="4" t="s">
        <v>14</v>
      </c>
      <c r="I304">
        <v>46.91</v>
      </c>
      <c r="J304">
        <v>6.6863999999999999</v>
      </c>
      <c r="K304" s="4" t="s">
        <v>15</v>
      </c>
      <c r="L304" s="4"/>
      <c r="M304" s="4" t="s">
        <v>1</v>
      </c>
      <c r="N304" s="4"/>
      <c r="O304" s="4" t="s">
        <v>16</v>
      </c>
      <c r="P304" s="4" t="s">
        <v>29</v>
      </c>
    </row>
    <row r="305" spans="1:16" s="8" customFormat="1" x14ac:dyDescent="0.25">
      <c r="A305">
        <f>RIGHT(B305,6)*1</f>
        <v>124228</v>
      </c>
      <c r="B305" t="s">
        <v>439</v>
      </c>
      <c r="C305" s="10">
        <v>43393</v>
      </c>
      <c r="D305" s="13">
        <f>YEAR(C305)</f>
        <v>2018</v>
      </c>
      <c r="E305" s="13">
        <f>MONTH(C305)</f>
        <v>10</v>
      </c>
      <c r="F305" s="13">
        <f>DAY(C305)</f>
        <v>20</v>
      </c>
      <c r="G305" s="13" t="s">
        <v>535</v>
      </c>
      <c r="H305" s="4" t="s">
        <v>14</v>
      </c>
      <c r="I305">
        <v>46.864100000000001</v>
      </c>
      <c r="J305">
        <v>6.5716999999999999</v>
      </c>
      <c r="K305" s="4" t="s">
        <v>15</v>
      </c>
      <c r="L305" s="4"/>
      <c r="M305" s="4" t="s">
        <v>1</v>
      </c>
      <c r="N305" s="4"/>
      <c r="O305" s="4" t="s">
        <v>16</v>
      </c>
      <c r="P305" s="4" t="s">
        <v>29</v>
      </c>
    </row>
    <row r="306" spans="1:16" s="8" customFormat="1" x14ac:dyDescent="0.25">
      <c r="A306">
        <f>RIGHT(B306,6)*1</f>
        <v>124229</v>
      </c>
      <c r="B306" t="s">
        <v>440</v>
      </c>
      <c r="C306" s="10">
        <v>43393</v>
      </c>
      <c r="D306" s="13">
        <f>YEAR(C306)</f>
        <v>2018</v>
      </c>
      <c r="E306" s="13">
        <f>MONTH(C306)</f>
        <v>10</v>
      </c>
      <c r="F306" s="13">
        <f>DAY(C306)</f>
        <v>20</v>
      </c>
      <c r="G306" s="13" t="s">
        <v>535</v>
      </c>
      <c r="H306" s="4" t="s">
        <v>14</v>
      </c>
      <c r="I306">
        <v>46.864100000000001</v>
      </c>
      <c r="J306">
        <v>6.5716999999999999</v>
      </c>
      <c r="K306" s="4" t="s">
        <v>15</v>
      </c>
      <c r="L306" s="4"/>
      <c r="M306" s="4" t="s">
        <v>1</v>
      </c>
      <c r="N306" s="4"/>
      <c r="O306" s="4" t="s">
        <v>17</v>
      </c>
      <c r="P306" s="4" t="s">
        <v>29</v>
      </c>
    </row>
    <row r="307" spans="1:16" s="8" customFormat="1" x14ac:dyDescent="0.25">
      <c r="A307">
        <f>RIGHT(B307,6)*1</f>
        <v>124230</v>
      </c>
      <c r="B307" t="s">
        <v>441</v>
      </c>
      <c r="C307" s="10">
        <v>43393</v>
      </c>
      <c r="D307" s="13">
        <f>YEAR(C307)</f>
        <v>2018</v>
      </c>
      <c r="E307" s="13">
        <f>MONTH(C307)</f>
        <v>10</v>
      </c>
      <c r="F307" s="13">
        <f>DAY(C307)</f>
        <v>20</v>
      </c>
      <c r="G307" s="13" t="s">
        <v>535</v>
      </c>
      <c r="H307" s="4" t="s">
        <v>14</v>
      </c>
      <c r="I307">
        <v>46.864100000000001</v>
      </c>
      <c r="J307">
        <v>6.5716999999999999</v>
      </c>
      <c r="K307" s="4" t="s">
        <v>15</v>
      </c>
      <c r="L307" s="4"/>
      <c r="M307" s="4" t="s">
        <v>1</v>
      </c>
      <c r="N307" s="4"/>
      <c r="O307" s="4" t="s">
        <v>16</v>
      </c>
      <c r="P307" s="4" t="s">
        <v>184</v>
      </c>
    </row>
    <row r="308" spans="1:16" s="8" customFormat="1" x14ac:dyDescent="0.25">
      <c r="A308">
        <f>RIGHT(B308,6)*1</f>
        <v>124231</v>
      </c>
      <c r="B308" t="s">
        <v>442</v>
      </c>
      <c r="C308" s="10">
        <v>43394</v>
      </c>
      <c r="D308" s="13">
        <f>YEAR(C308)</f>
        <v>2018</v>
      </c>
      <c r="E308" s="13">
        <f>MONTH(C308)</f>
        <v>10</v>
      </c>
      <c r="F308" s="13">
        <f>DAY(C308)</f>
        <v>21</v>
      </c>
      <c r="G308" s="13" t="s">
        <v>535</v>
      </c>
      <c r="H308" s="4" t="s">
        <v>14</v>
      </c>
      <c r="I308">
        <v>46.936900000000001</v>
      </c>
      <c r="J308">
        <v>6.4641999999999999</v>
      </c>
      <c r="K308" s="4" t="s">
        <v>15</v>
      </c>
      <c r="L308" s="4"/>
      <c r="M308" s="4" t="s">
        <v>1</v>
      </c>
      <c r="N308" s="4"/>
      <c r="O308" s="4" t="s">
        <v>17</v>
      </c>
      <c r="P308" s="4" t="s">
        <v>29</v>
      </c>
    </row>
    <row r="309" spans="1:16" s="8" customFormat="1" x14ac:dyDescent="0.25">
      <c r="A309">
        <f>RIGHT(B309,6)*1</f>
        <v>124232</v>
      </c>
      <c r="B309" t="s">
        <v>443</v>
      </c>
      <c r="C309" s="10">
        <v>43394</v>
      </c>
      <c r="D309" s="13">
        <f>YEAR(C309)</f>
        <v>2018</v>
      </c>
      <c r="E309" s="13">
        <f>MONTH(C309)</f>
        <v>10</v>
      </c>
      <c r="F309" s="13">
        <f>DAY(C309)</f>
        <v>21</v>
      </c>
      <c r="G309" s="13" t="s">
        <v>535</v>
      </c>
      <c r="H309" s="4" t="s">
        <v>14</v>
      </c>
      <c r="I309">
        <v>46.929699999999997</v>
      </c>
      <c r="J309">
        <v>6.4603000000000002</v>
      </c>
      <c r="K309" s="4" t="s">
        <v>15</v>
      </c>
      <c r="L309" s="4"/>
      <c r="M309" s="4" t="s">
        <v>1</v>
      </c>
      <c r="N309" s="4"/>
      <c r="O309" s="4" t="s">
        <v>17</v>
      </c>
      <c r="P309" s="4" t="s">
        <v>29</v>
      </c>
    </row>
    <row r="310" spans="1:16" s="8" customFormat="1" x14ac:dyDescent="0.25">
      <c r="A310">
        <f>RIGHT(B310,6)*1</f>
        <v>124233</v>
      </c>
      <c r="B310" t="s">
        <v>444</v>
      </c>
      <c r="C310" s="10">
        <v>43396</v>
      </c>
      <c r="D310" s="13">
        <f>YEAR(C310)</f>
        <v>2018</v>
      </c>
      <c r="E310" s="13">
        <f>MONTH(C310)</f>
        <v>10</v>
      </c>
      <c r="F310" s="13">
        <f>DAY(C310)</f>
        <v>23</v>
      </c>
      <c r="G310" s="13" t="s">
        <v>535</v>
      </c>
      <c r="H310" s="4" t="s">
        <v>14</v>
      </c>
      <c r="I310">
        <v>46.908099999999997</v>
      </c>
      <c r="J310">
        <v>6.6852</v>
      </c>
      <c r="K310" s="4" t="s">
        <v>15</v>
      </c>
      <c r="L310" s="4"/>
      <c r="M310" s="4" t="s">
        <v>1</v>
      </c>
      <c r="N310" s="4"/>
      <c r="O310" s="4" t="s">
        <v>16</v>
      </c>
      <c r="P310" s="4" t="s">
        <v>29</v>
      </c>
    </row>
    <row r="311" spans="1:16" s="8" customFormat="1" x14ac:dyDescent="0.25">
      <c r="A311">
        <f>RIGHT(B311,6)*1</f>
        <v>124234</v>
      </c>
      <c r="B311" t="s">
        <v>445</v>
      </c>
      <c r="C311" s="10">
        <v>43396</v>
      </c>
      <c r="D311" s="13">
        <f>YEAR(C311)</f>
        <v>2018</v>
      </c>
      <c r="E311" s="13">
        <f>MONTH(C311)</f>
        <v>10</v>
      </c>
      <c r="F311" s="13">
        <f>DAY(C311)</f>
        <v>23</v>
      </c>
      <c r="G311" s="13" t="s">
        <v>535</v>
      </c>
      <c r="H311" s="4" t="s">
        <v>14</v>
      </c>
      <c r="I311">
        <v>46.908099999999997</v>
      </c>
      <c r="J311">
        <v>6.6852</v>
      </c>
      <c r="K311" s="4" t="s">
        <v>15</v>
      </c>
      <c r="L311" s="4"/>
      <c r="M311" s="4" t="s">
        <v>1</v>
      </c>
      <c r="N311" s="4"/>
      <c r="O311" s="4" t="s">
        <v>17</v>
      </c>
      <c r="P311" s="4" t="s">
        <v>29</v>
      </c>
    </row>
    <row r="312" spans="1:16" s="8" customFormat="1" x14ac:dyDescent="0.25">
      <c r="A312">
        <f>RIGHT(B312,6)*1</f>
        <v>124235</v>
      </c>
      <c r="B312" t="s">
        <v>446</v>
      </c>
      <c r="C312" s="10">
        <v>43396</v>
      </c>
      <c r="D312" s="13">
        <f>YEAR(C312)</f>
        <v>2018</v>
      </c>
      <c r="E312" s="13">
        <f>MONTH(C312)</f>
        <v>10</v>
      </c>
      <c r="F312" s="13">
        <f>DAY(C312)</f>
        <v>23</v>
      </c>
      <c r="G312" s="13" t="s">
        <v>535</v>
      </c>
      <c r="H312" s="4" t="s">
        <v>14</v>
      </c>
      <c r="I312">
        <v>46.91</v>
      </c>
      <c r="J312">
        <v>6.6863999999999999</v>
      </c>
      <c r="K312" s="4" t="s">
        <v>15</v>
      </c>
      <c r="L312" s="4"/>
      <c r="M312" s="4" t="s">
        <v>1</v>
      </c>
      <c r="N312" s="4"/>
      <c r="O312" s="4" t="s">
        <v>17</v>
      </c>
      <c r="P312" s="4" t="s">
        <v>184</v>
      </c>
    </row>
    <row r="313" spans="1:16" s="8" customFormat="1" x14ac:dyDescent="0.25">
      <c r="A313">
        <f>RIGHT(B313,6)*1</f>
        <v>124236</v>
      </c>
      <c r="B313" t="s">
        <v>447</v>
      </c>
      <c r="C313" s="10">
        <v>43396</v>
      </c>
      <c r="D313" s="13">
        <f>YEAR(C313)</f>
        <v>2018</v>
      </c>
      <c r="E313" s="13">
        <f>MONTH(C313)</f>
        <v>10</v>
      </c>
      <c r="F313" s="13">
        <f>DAY(C313)</f>
        <v>23</v>
      </c>
      <c r="G313" s="13" t="s">
        <v>535</v>
      </c>
      <c r="H313" s="4" t="s">
        <v>14</v>
      </c>
      <c r="I313">
        <v>46.903599999999997</v>
      </c>
      <c r="J313">
        <v>6.6722000000000001</v>
      </c>
      <c r="K313" s="4" t="s">
        <v>15</v>
      </c>
      <c r="L313" s="4"/>
      <c r="M313" s="4" t="s">
        <v>1</v>
      </c>
      <c r="N313" s="4"/>
      <c r="O313" s="4" t="s">
        <v>17</v>
      </c>
      <c r="P313" s="4" t="s">
        <v>29</v>
      </c>
    </row>
    <row r="314" spans="1:16" s="8" customFormat="1" x14ac:dyDescent="0.25">
      <c r="A314">
        <f>RIGHT(B314,6)*1</f>
        <v>124237</v>
      </c>
      <c r="B314" t="s">
        <v>448</v>
      </c>
      <c r="C314" s="10">
        <v>43396</v>
      </c>
      <c r="D314" s="13">
        <f>YEAR(C314)</f>
        <v>2018</v>
      </c>
      <c r="E314" s="13">
        <f>MONTH(C314)</f>
        <v>10</v>
      </c>
      <c r="F314" s="13">
        <f>DAY(C314)</f>
        <v>23</v>
      </c>
      <c r="G314" s="13" t="s">
        <v>535</v>
      </c>
      <c r="H314" s="4" t="s">
        <v>14</v>
      </c>
      <c r="I314">
        <v>46.8992</v>
      </c>
      <c r="J314">
        <v>6.6707999999999998</v>
      </c>
      <c r="K314" s="4" t="s">
        <v>15</v>
      </c>
      <c r="L314" s="4"/>
      <c r="M314" s="4" t="s">
        <v>1</v>
      </c>
      <c r="N314" s="4"/>
      <c r="O314" s="4" t="s">
        <v>17</v>
      </c>
      <c r="P314" s="4" t="s">
        <v>29</v>
      </c>
    </row>
    <row r="315" spans="1:16" s="8" customFormat="1" x14ac:dyDescent="0.25">
      <c r="A315">
        <f>RIGHT(B315,6)*1</f>
        <v>124238</v>
      </c>
      <c r="B315" t="s">
        <v>449</v>
      </c>
      <c r="C315" s="10">
        <v>43396</v>
      </c>
      <c r="D315" s="13">
        <f>YEAR(C315)</f>
        <v>2018</v>
      </c>
      <c r="E315" s="13">
        <f>MONTH(C315)</f>
        <v>10</v>
      </c>
      <c r="F315" s="13">
        <f>DAY(C315)</f>
        <v>23</v>
      </c>
      <c r="G315" s="13" t="s">
        <v>535</v>
      </c>
      <c r="H315" s="4" t="s">
        <v>14</v>
      </c>
      <c r="I315">
        <v>46.923299999999998</v>
      </c>
      <c r="J315">
        <v>6.4356</v>
      </c>
      <c r="K315" s="4" t="s">
        <v>15</v>
      </c>
      <c r="L315" s="4"/>
      <c r="M315" s="4" t="s">
        <v>1</v>
      </c>
      <c r="N315" s="4"/>
      <c r="O315" s="4" t="s">
        <v>17</v>
      </c>
      <c r="P315" s="4" t="s">
        <v>19</v>
      </c>
    </row>
    <row r="316" spans="1:16" s="8" customFormat="1" x14ac:dyDescent="0.25">
      <c r="A316">
        <f>RIGHT(B316,6)*1</f>
        <v>124239</v>
      </c>
      <c r="B316" t="s">
        <v>450</v>
      </c>
      <c r="C316" s="10">
        <v>43396</v>
      </c>
      <c r="D316" s="13">
        <f>YEAR(C316)</f>
        <v>2018</v>
      </c>
      <c r="E316" s="13">
        <f>MONTH(C316)</f>
        <v>10</v>
      </c>
      <c r="F316" s="13">
        <f>DAY(C316)</f>
        <v>23</v>
      </c>
      <c r="G316" s="13" t="s">
        <v>535</v>
      </c>
      <c r="H316" s="4" t="s">
        <v>14</v>
      </c>
      <c r="I316">
        <v>46.899000000000001</v>
      </c>
      <c r="J316">
        <v>6.6708999999999996</v>
      </c>
      <c r="K316" s="4" t="s">
        <v>15</v>
      </c>
      <c r="L316" s="4"/>
      <c r="M316" s="4" t="s">
        <v>1</v>
      </c>
      <c r="N316" s="4"/>
      <c r="O316" s="4" t="s">
        <v>17</v>
      </c>
      <c r="P316" s="4" t="s">
        <v>184</v>
      </c>
    </row>
    <row r="317" spans="1:16" s="8" customFormat="1" x14ac:dyDescent="0.25">
      <c r="A317">
        <f>RIGHT(B317,6)*1</f>
        <v>124240</v>
      </c>
      <c r="B317" t="s">
        <v>451</v>
      </c>
      <c r="C317" s="10">
        <v>43397</v>
      </c>
      <c r="D317" s="13">
        <f>YEAR(C317)</f>
        <v>2018</v>
      </c>
      <c r="E317" s="13">
        <f>MONTH(C317)</f>
        <v>10</v>
      </c>
      <c r="F317" s="13">
        <f>DAY(C317)</f>
        <v>24</v>
      </c>
      <c r="G317" s="13" t="s">
        <v>535</v>
      </c>
      <c r="H317" s="4" t="s">
        <v>14</v>
      </c>
      <c r="I317">
        <v>46.950499999999998</v>
      </c>
      <c r="J317">
        <v>6.5716000000000001</v>
      </c>
      <c r="K317" s="4" t="s">
        <v>15</v>
      </c>
      <c r="L317" s="4"/>
      <c r="M317" s="4" t="s">
        <v>1</v>
      </c>
      <c r="N317" s="4"/>
      <c r="O317" s="4" t="s">
        <v>17</v>
      </c>
      <c r="P317" s="4" t="s">
        <v>27</v>
      </c>
    </row>
    <row r="318" spans="1:16" s="8" customFormat="1" x14ac:dyDescent="0.25">
      <c r="A318">
        <f>RIGHT(B318,6)*1</f>
        <v>124241</v>
      </c>
      <c r="B318" t="s">
        <v>452</v>
      </c>
      <c r="C318" s="10">
        <v>43397</v>
      </c>
      <c r="D318" s="13">
        <f>YEAR(C318)</f>
        <v>2018</v>
      </c>
      <c r="E318" s="13">
        <f>MONTH(C318)</f>
        <v>10</v>
      </c>
      <c r="F318" s="13">
        <f>DAY(C318)</f>
        <v>24</v>
      </c>
      <c r="G318" s="13" t="s">
        <v>535</v>
      </c>
      <c r="H318" s="4" t="s">
        <v>14</v>
      </c>
      <c r="I318">
        <v>46.854900000000001</v>
      </c>
      <c r="J318">
        <v>6.5456000000000003</v>
      </c>
      <c r="K318" s="4" t="s">
        <v>15</v>
      </c>
      <c r="L318" s="4"/>
      <c r="M318" s="4" t="s">
        <v>1</v>
      </c>
      <c r="N318" s="4"/>
      <c r="O318" s="4" t="s">
        <v>17</v>
      </c>
      <c r="P318" s="4" t="s">
        <v>29</v>
      </c>
    </row>
    <row r="319" spans="1:16" s="8" customFormat="1" x14ac:dyDescent="0.25">
      <c r="A319">
        <f>RIGHT(B319,6)*1</f>
        <v>124242</v>
      </c>
      <c r="B319" t="s">
        <v>453</v>
      </c>
      <c r="C319" s="10">
        <v>43398</v>
      </c>
      <c r="D319" s="13">
        <f>YEAR(C319)</f>
        <v>2018</v>
      </c>
      <c r="E319" s="13">
        <f>MONTH(C319)</f>
        <v>10</v>
      </c>
      <c r="F319" s="13">
        <f>DAY(C319)</f>
        <v>25</v>
      </c>
      <c r="G319" s="13" t="s">
        <v>535</v>
      </c>
      <c r="H319" s="4" t="s">
        <v>14</v>
      </c>
      <c r="I319">
        <v>46.864699999999999</v>
      </c>
      <c r="J319">
        <v>6.5311000000000003</v>
      </c>
      <c r="K319" s="4" t="s">
        <v>15</v>
      </c>
      <c r="L319" s="4"/>
      <c r="M319" s="4" t="s">
        <v>1</v>
      </c>
      <c r="N319" s="4"/>
      <c r="O319" s="4" t="s">
        <v>17</v>
      </c>
      <c r="P319" s="4" t="s">
        <v>19</v>
      </c>
    </row>
    <row r="320" spans="1:16" s="8" customFormat="1" x14ac:dyDescent="0.25">
      <c r="A320">
        <f>RIGHT(B320,6)*1</f>
        <v>124243</v>
      </c>
      <c r="B320" t="s">
        <v>454</v>
      </c>
      <c r="C320" s="10">
        <v>43404</v>
      </c>
      <c r="D320" s="13">
        <f>YEAR(C320)</f>
        <v>2018</v>
      </c>
      <c r="E320" s="13">
        <f>MONTH(C320)</f>
        <v>10</v>
      </c>
      <c r="F320" s="13">
        <f>DAY(C320)</f>
        <v>31</v>
      </c>
      <c r="G320" s="13" t="s">
        <v>535</v>
      </c>
      <c r="H320" s="4" t="s">
        <v>14</v>
      </c>
      <c r="I320">
        <v>46.992800000000003</v>
      </c>
      <c r="J320">
        <v>6.6971999999999996</v>
      </c>
      <c r="K320" s="4" t="s">
        <v>15</v>
      </c>
      <c r="L320" s="4"/>
      <c r="M320" s="4" t="s">
        <v>1</v>
      </c>
      <c r="N320" s="4"/>
      <c r="O320" s="4" t="s">
        <v>17</v>
      </c>
      <c r="P320" s="4" t="s">
        <v>29</v>
      </c>
    </row>
    <row r="321" spans="1:16" s="8" customFormat="1" x14ac:dyDescent="0.25">
      <c r="A321">
        <f>RIGHT(B321,6)*1</f>
        <v>107611</v>
      </c>
      <c r="B321" t="s">
        <v>61</v>
      </c>
      <c r="C321" s="10">
        <v>43415</v>
      </c>
      <c r="D321" s="13">
        <f>YEAR(C321)</f>
        <v>2018</v>
      </c>
      <c r="E321" s="13">
        <f>MONTH(C321)</f>
        <v>11</v>
      </c>
      <c r="F321" s="13">
        <f>DAY(C321)</f>
        <v>11</v>
      </c>
      <c r="G321" s="13" t="s">
        <v>535</v>
      </c>
      <c r="H321" s="4" t="s">
        <v>14</v>
      </c>
      <c r="I321">
        <v>46.979100000000003</v>
      </c>
      <c r="J321">
        <v>6.6723999999999997</v>
      </c>
      <c r="K321" s="4" t="s">
        <v>15</v>
      </c>
      <c r="L321" s="4"/>
      <c r="M321" s="4" t="s">
        <v>1</v>
      </c>
      <c r="N321" s="4"/>
      <c r="O321" s="4" t="s">
        <v>17</v>
      </c>
      <c r="P321" s="4" t="s">
        <v>19</v>
      </c>
    </row>
    <row r="322" spans="1:16" s="8" customFormat="1" x14ac:dyDescent="0.25">
      <c r="A322">
        <f>RIGHT(B322,6)*1</f>
        <v>107612</v>
      </c>
      <c r="B322" t="s">
        <v>62</v>
      </c>
      <c r="C322" s="10">
        <v>43415</v>
      </c>
      <c r="D322" s="13">
        <f>YEAR(C322)</f>
        <v>2018</v>
      </c>
      <c r="E322" s="13">
        <f>MONTH(C322)</f>
        <v>11</v>
      </c>
      <c r="F322" s="13">
        <f>DAY(C322)</f>
        <v>11</v>
      </c>
      <c r="G322" s="13" t="s">
        <v>535</v>
      </c>
      <c r="H322" s="4" t="s">
        <v>14</v>
      </c>
      <c r="I322">
        <v>46.992800000000003</v>
      </c>
      <c r="J322">
        <v>6.6971999999999996</v>
      </c>
      <c r="K322" s="4" t="s">
        <v>15</v>
      </c>
      <c r="L322" s="4"/>
      <c r="M322" s="4" t="s">
        <v>1</v>
      </c>
      <c r="N322" s="4"/>
      <c r="O322" s="4" t="s">
        <v>16</v>
      </c>
      <c r="P322" s="4" t="s">
        <v>29</v>
      </c>
    </row>
    <row r="323" spans="1:16" s="8" customFormat="1" x14ac:dyDescent="0.25">
      <c r="A323">
        <f>RIGHT(B323,6)*1</f>
        <v>107613</v>
      </c>
      <c r="B323" t="s">
        <v>63</v>
      </c>
      <c r="C323" s="10">
        <v>43415</v>
      </c>
      <c r="D323" s="13">
        <f>YEAR(C323)</f>
        <v>2018</v>
      </c>
      <c r="E323" s="13">
        <f>MONTH(C323)</f>
        <v>11</v>
      </c>
      <c r="F323" s="13">
        <f>DAY(C323)</f>
        <v>11</v>
      </c>
      <c r="G323" s="13" t="s">
        <v>535</v>
      </c>
      <c r="H323" s="4" t="s">
        <v>14</v>
      </c>
      <c r="I323">
        <v>46.992800000000003</v>
      </c>
      <c r="J323">
        <v>6.6971999999999996</v>
      </c>
      <c r="K323" s="4" t="s">
        <v>15</v>
      </c>
      <c r="L323" s="4"/>
      <c r="M323" s="4" t="s">
        <v>1</v>
      </c>
      <c r="N323" s="4"/>
      <c r="O323" s="4" t="s">
        <v>17</v>
      </c>
      <c r="P323" s="4" t="s">
        <v>29</v>
      </c>
    </row>
    <row r="324" spans="1:16" s="8" customFormat="1" x14ac:dyDescent="0.25">
      <c r="A324">
        <f>RIGHT(B324,6)*1</f>
        <v>107614</v>
      </c>
      <c r="B324" t="s">
        <v>64</v>
      </c>
      <c r="C324" s="10">
        <v>43415</v>
      </c>
      <c r="D324" s="13">
        <f>YEAR(C324)</f>
        <v>2018</v>
      </c>
      <c r="E324" s="13">
        <f>MONTH(C324)</f>
        <v>11</v>
      </c>
      <c r="F324" s="13">
        <f>DAY(C324)</f>
        <v>11</v>
      </c>
      <c r="G324" s="13" t="s">
        <v>535</v>
      </c>
      <c r="H324" s="4" t="s">
        <v>14</v>
      </c>
      <c r="I324">
        <v>46.992800000000003</v>
      </c>
      <c r="J324">
        <v>6.6971999999999996</v>
      </c>
      <c r="K324" s="4" t="s">
        <v>15</v>
      </c>
      <c r="L324" s="4"/>
      <c r="M324" s="4" t="s">
        <v>1</v>
      </c>
      <c r="N324" s="4"/>
      <c r="O324" s="4" t="s">
        <v>17</v>
      </c>
      <c r="P324" s="4" t="s">
        <v>29</v>
      </c>
    </row>
    <row r="325" spans="1:16" s="8" customFormat="1" x14ac:dyDescent="0.25">
      <c r="A325">
        <f>RIGHT(B325,6)*1</f>
        <v>107615</v>
      </c>
      <c r="B325" t="s">
        <v>65</v>
      </c>
      <c r="C325" s="10">
        <v>43415</v>
      </c>
      <c r="D325" s="13">
        <f>YEAR(C325)</f>
        <v>2018</v>
      </c>
      <c r="E325" s="13">
        <f>MONTH(C325)</f>
        <v>11</v>
      </c>
      <c r="F325" s="13">
        <f>DAY(C325)</f>
        <v>11</v>
      </c>
      <c r="G325" s="13" t="s">
        <v>535</v>
      </c>
      <c r="H325" s="4" t="s">
        <v>14</v>
      </c>
      <c r="I325">
        <v>46.992800000000003</v>
      </c>
      <c r="J325">
        <v>6.6971999999999996</v>
      </c>
      <c r="K325" s="4" t="s">
        <v>15</v>
      </c>
      <c r="L325" s="4"/>
      <c r="M325" s="4" t="s">
        <v>1</v>
      </c>
      <c r="N325" s="4"/>
      <c r="O325" s="4" t="s">
        <v>17</v>
      </c>
      <c r="P325" s="4" t="s">
        <v>27</v>
      </c>
    </row>
    <row r="326" spans="1:16" s="8" customFormat="1" x14ac:dyDescent="0.25">
      <c r="A326">
        <f>RIGHT(B326,6)*1</f>
        <v>107616</v>
      </c>
      <c r="B326" t="s">
        <v>66</v>
      </c>
      <c r="C326" s="10">
        <v>43416</v>
      </c>
      <c r="D326" s="13">
        <f>YEAR(C326)</f>
        <v>2018</v>
      </c>
      <c r="E326" s="13">
        <f>MONTH(C326)</f>
        <v>11</v>
      </c>
      <c r="F326" s="13">
        <f>DAY(C326)</f>
        <v>12</v>
      </c>
      <c r="G326" s="13" t="s">
        <v>535</v>
      </c>
      <c r="H326" s="4" t="s">
        <v>14</v>
      </c>
      <c r="I326">
        <v>46.864100000000001</v>
      </c>
      <c r="J326">
        <v>6.5716999999999999</v>
      </c>
      <c r="K326" s="4" t="s">
        <v>15</v>
      </c>
      <c r="L326" s="4"/>
      <c r="M326" s="4" t="s">
        <v>1</v>
      </c>
      <c r="N326" s="4"/>
      <c r="O326" s="4" t="s">
        <v>17</v>
      </c>
      <c r="P326" s="4" t="s">
        <v>29</v>
      </c>
    </row>
    <row r="327" spans="1:16" s="8" customFormat="1" x14ac:dyDescent="0.25">
      <c r="A327">
        <f>RIGHT(B327,6)*1</f>
        <v>107617</v>
      </c>
      <c r="B327" t="s">
        <v>67</v>
      </c>
      <c r="C327" s="10">
        <v>43416</v>
      </c>
      <c r="D327" s="13">
        <f>YEAR(C327)</f>
        <v>2018</v>
      </c>
      <c r="E327" s="13">
        <f>MONTH(C327)</f>
        <v>11</v>
      </c>
      <c r="F327" s="13">
        <f>DAY(C327)</f>
        <v>12</v>
      </c>
      <c r="G327" s="13" t="s">
        <v>535</v>
      </c>
      <c r="H327" s="4" t="s">
        <v>14</v>
      </c>
      <c r="I327">
        <v>46.854900000000001</v>
      </c>
      <c r="J327">
        <v>6.5456000000000003</v>
      </c>
      <c r="K327" s="4" t="s">
        <v>15</v>
      </c>
      <c r="L327" s="4"/>
      <c r="M327" s="4" t="s">
        <v>1</v>
      </c>
      <c r="N327" s="4"/>
      <c r="O327" s="4" t="s">
        <v>16</v>
      </c>
      <c r="P327" s="4" t="s">
        <v>29</v>
      </c>
    </row>
    <row r="328" spans="1:16" s="8" customFormat="1" x14ac:dyDescent="0.25">
      <c r="A328">
        <f>RIGHT(B328,6)*1</f>
        <v>107618</v>
      </c>
      <c r="B328" t="s">
        <v>68</v>
      </c>
      <c r="C328" s="10">
        <v>43416</v>
      </c>
      <c r="D328" s="13">
        <f>YEAR(C328)</f>
        <v>2018</v>
      </c>
      <c r="E328" s="13">
        <f>MONTH(C328)</f>
        <v>11</v>
      </c>
      <c r="F328" s="13">
        <f>DAY(C328)</f>
        <v>12</v>
      </c>
      <c r="G328" s="13" t="s">
        <v>535</v>
      </c>
      <c r="H328" s="4" t="s">
        <v>14</v>
      </c>
      <c r="I328">
        <v>46.854900000000001</v>
      </c>
      <c r="J328">
        <v>6.5456000000000003</v>
      </c>
      <c r="K328" s="4" t="s">
        <v>15</v>
      </c>
      <c r="L328" s="4"/>
      <c r="M328" s="4" t="s">
        <v>1</v>
      </c>
      <c r="N328" s="4"/>
      <c r="O328" s="4" t="s">
        <v>17</v>
      </c>
      <c r="P328" s="4" t="s">
        <v>29</v>
      </c>
    </row>
    <row r="329" spans="1:16" s="8" customFormat="1" x14ac:dyDescent="0.25">
      <c r="A329">
        <f>RIGHT(B329,6)*1</f>
        <v>107619</v>
      </c>
      <c r="B329" t="s">
        <v>69</v>
      </c>
      <c r="C329" s="10">
        <v>43416</v>
      </c>
      <c r="D329" s="13">
        <f>YEAR(C329)</f>
        <v>2018</v>
      </c>
      <c r="E329" s="13">
        <f>MONTH(C329)</f>
        <v>11</v>
      </c>
      <c r="F329" s="13">
        <f>DAY(C329)</f>
        <v>12</v>
      </c>
      <c r="G329" s="13" t="s">
        <v>535</v>
      </c>
      <c r="H329" s="4" t="s">
        <v>14</v>
      </c>
      <c r="I329">
        <v>46.854900000000001</v>
      </c>
      <c r="J329">
        <v>6.5456000000000003</v>
      </c>
      <c r="K329" s="4" t="s">
        <v>15</v>
      </c>
      <c r="L329" s="4"/>
      <c r="M329" s="4" t="s">
        <v>1</v>
      </c>
      <c r="N329" s="4"/>
      <c r="O329" s="4" t="s">
        <v>17</v>
      </c>
      <c r="P329" s="4" t="s">
        <v>29</v>
      </c>
    </row>
    <row r="330" spans="1:16" s="8" customFormat="1" x14ac:dyDescent="0.25">
      <c r="A330">
        <f>RIGHT(B330,6)*1</f>
        <v>107620</v>
      </c>
      <c r="B330" t="s">
        <v>70</v>
      </c>
      <c r="C330" s="10">
        <v>43416</v>
      </c>
      <c r="D330" s="13">
        <f>YEAR(C330)</f>
        <v>2018</v>
      </c>
      <c r="E330" s="13">
        <f>MONTH(C330)</f>
        <v>11</v>
      </c>
      <c r="F330" s="13">
        <f>DAY(C330)</f>
        <v>12</v>
      </c>
      <c r="G330" s="13" t="s">
        <v>535</v>
      </c>
      <c r="H330" s="4" t="s">
        <v>14</v>
      </c>
      <c r="I330">
        <v>46.854900000000001</v>
      </c>
      <c r="J330">
        <v>6.5456000000000003</v>
      </c>
      <c r="K330" s="4" t="s">
        <v>15</v>
      </c>
      <c r="L330" s="4"/>
      <c r="M330" s="4" t="s">
        <v>1</v>
      </c>
      <c r="N330" s="4"/>
      <c r="O330" s="4" t="s">
        <v>16</v>
      </c>
      <c r="P330" s="4" t="s">
        <v>19</v>
      </c>
    </row>
    <row r="331" spans="1:16" s="8" customFormat="1" x14ac:dyDescent="0.25">
      <c r="A331">
        <f>RIGHT(B331,6)*1</f>
        <v>107621</v>
      </c>
      <c r="B331" t="s">
        <v>71</v>
      </c>
      <c r="C331" s="10">
        <v>43416</v>
      </c>
      <c r="D331" s="13">
        <f>YEAR(C331)</f>
        <v>2018</v>
      </c>
      <c r="E331" s="13">
        <f>MONTH(C331)</f>
        <v>11</v>
      </c>
      <c r="F331" s="13">
        <f>DAY(C331)</f>
        <v>12</v>
      </c>
      <c r="G331" s="13" t="s">
        <v>535</v>
      </c>
      <c r="H331" s="4" t="s">
        <v>14</v>
      </c>
      <c r="I331">
        <v>46.854900000000001</v>
      </c>
      <c r="J331">
        <v>6.5456000000000003</v>
      </c>
      <c r="K331" s="4" t="s">
        <v>15</v>
      </c>
      <c r="L331" s="4"/>
      <c r="M331" s="4" t="s">
        <v>1</v>
      </c>
      <c r="N331" s="4"/>
      <c r="O331" s="4" t="s">
        <v>16</v>
      </c>
      <c r="P331" s="4" t="s">
        <v>29</v>
      </c>
    </row>
    <row r="332" spans="1:16" s="8" customFormat="1" x14ac:dyDescent="0.25">
      <c r="A332">
        <f>RIGHT(B332,6)*1</f>
        <v>107622</v>
      </c>
      <c r="B332" t="s">
        <v>72</v>
      </c>
      <c r="C332" s="10">
        <v>43416</v>
      </c>
      <c r="D332" s="13">
        <f>YEAR(C332)</f>
        <v>2018</v>
      </c>
      <c r="E332" s="13">
        <f>MONTH(C332)</f>
        <v>11</v>
      </c>
      <c r="F332" s="13">
        <f>DAY(C332)</f>
        <v>12</v>
      </c>
      <c r="G332" s="13" t="s">
        <v>535</v>
      </c>
      <c r="H332" s="4" t="s">
        <v>14</v>
      </c>
      <c r="I332">
        <v>46.945</v>
      </c>
      <c r="J332">
        <v>6.5442</v>
      </c>
      <c r="K332" s="4" t="s">
        <v>15</v>
      </c>
      <c r="L332" s="4"/>
      <c r="M332" s="4" t="s">
        <v>1</v>
      </c>
      <c r="N332" s="4"/>
      <c r="O332" s="4" t="s">
        <v>16</v>
      </c>
      <c r="P332" s="4" t="s">
        <v>29</v>
      </c>
    </row>
    <row r="333" spans="1:16" s="8" customFormat="1" x14ac:dyDescent="0.25">
      <c r="A333">
        <f>RIGHT(B333,6)*1</f>
        <v>107623</v>
      </c>
      <c r="B333" t="s">
        <v>73</v>
      </c>
      <c r="C333" s="10">
        <v>43416</v>
      </c>
      <c r="D333" s="13">
        <f>YEAR(C333)</f>
        <v>2018</v>
      </c>
      <c r="E333" s="13">
        <f>MONTH(C333)</f>
        <v>11</v>
      </c>
      <c r="F333" s="13">
        <f>DAY(C333)</f>
        <v>12</v>
      </c>
      <c r="G333" s="13" t="s">
        <v>535</v>
      </c>
      <c r="H333" s="4" t="s">
        <v>14</v>
      </c>
      <c r="I333">
        <v>46.854900000000001</v>
      </c>
      <c r="J333">
        <v>6.5456000000000003</v>
      </c>
      <c r="K333" s="4" t="s">
        <v>15</v>
      </c>
      <c r="L333" s="4"/>
      <c r="M333" s="4" t="s">
        <v>1</v>
      </c>
      <c r="N333" s="4"/>
      <c r="O333" s="4" t="s">
        <v>17</v>
      </c>
      <c r="P333" s="4" t="s">
        <v>29</v>
      </c>
    </row>
    <row r="334" spans="1:16" s="8" customFormat="1" x14ac:dyDescent="0.25">
      <c r="A334">
        <f>RIGHT(B334,6)*1</f>
        <v>107624</v>
      </c>
      <c r="B334" t="s">
        <v>74</v>
      </c>
      <c r="C334" s="10">
        <v>43416</v>
      </c>
      <c r="D334" s="13">
        <f>YEAR(C334)</f>
        <v>2018</v>
      </c>
      <c r="E334" s="13">
        <f>MONTH(C334)</f>
        <v>11</v>
      </c>
      <c r="F334" s="13">
        <f>DAY(C334)</f>
        <v>12</v>
      </c>
      <c r="G334" s="13" t="s">
        <v>535</v>
      </c>
      <c r="H334" s="4" t="s">
        <v>14</v>
      </c>
      <c r="I334">
        <v>46.854900000000001</v>
      </c>
      <c r="J334">
        <v>6.5456000000000003</v>
      </c>
      <c r="K334" s="4" t="s">
        <v>15</v>
      </c>
      <c r="L334" s="4"/>
      <c r="M334" s="4" t="s">
        <v>1</v>
      </c>
      <c r="N334" s="4"/>
      <c r="O334" s="4" t="s">
        <v>16</v>
      </c>
      <c r="P334" s="4" t="s">
        <v>29</v>
      </c>
    </row>
    <row r="335" spans="1:16" s="8" customFormat="1" x14ac:dyDescent="0.25">
      <c r="A335">
        <f>RIGHT(B335,6)*1</f>
        <v>107625</v>
      </c>
      <c r="B335" t="s">
        <v>75</v>
      </c>
      <c r="C335" s="10">
        <v>43416</v>
      </c>
      <c r="D335" s="13">
        <f>YEAR(C335)</f>
        <v>2018</v>
      </c>
      <c r="E335" s="13">
        <f>MONTH(C335)</f>
        <v>11</v>
      </c>
      <c r="F335" s="13">
        <f>DAY(C335)</f>
        <v>12</v>
      </c>
      <c r="G335" s="13" t="s">
        <v>535</v>
      </c>
      <c r="H335" s="4" t="s">
        <v>14</v>
      </c>
      <c r="I335">
        <v>46.854900000000001</v>
      </c>
      <c r="J335">
        <v>6.5456000000000003</v>
      </c>
      <c r="K335" s="4" t="s">
        <v>15</v>
      </c>
      <c r="L335" s="4"/>
      <c r="M335" s="4" t="s">
        <v>1</v>
      </c>
      <c r="N335" s="4"/>
      <c r="O335" s="4" t="s">
        <v>16</v>
      </c>
      <c r="P335" s="4" t="s">
        <v>29</v>
      </c>
    </row>
    <row r="336" spans="1:16" s="8" customFormat="1" x14ac:dyDescent="0.25">
      <c r="A336">
        <f>RIGHT(B336,6)*1</f>
        <v>107626</v>
      </c>
      <c r="B336" t="s">
        <v>76</v>
      </c>
      <c r="C336" s="10">
        <v>43417</v>
      </c>
      <c r="D336" s="13">
        <f>YEAR(C336)</f>
        <v>2018</v>
      </c>
      <c r="E336" s="13">
        <f>MONTH(C336)</f>
        <v>11</v>
      </c>
      <c r="F336" s="13">
        <f>DAY(C336)</f>
        <v>13</v>
      </c>
      <c r="G336" s="13" t="s">
        <v>535</v>
      </c>
      <c r="H336" s="4" t="s">
        <v>14</v>
      </c>
      <c r="I336">
        <v>46.968400000000003</v>
      </c>
      <c r="J336">
        <v>6.5582000000000003</v>
      </c>
      <c r="K336" s="4" t="s">
        <v>15</v>
      </c>
      <c r="L336" s="4"/>
      <c r="M336" s="4" t="s">
        <v>1</v>
      </c>
      <c r="N336" s="4"/>
      <c r="O336" s="4" t="s">
        <v>17</v>
      </c>
      <c r="P336" s="4" t="s">
        <v>29</v>
      </c>
    </row>
    <row r="337" spans="1:16" s="8" customFormat="1" x14ac:dyDescent="0.25">
      <c r="A337">
        <f>RIGHT(B337,6)*1</f>
        <v>107627</v>
      </c>
      <c r="B337" t="s">
        <v>77</v>
      </c>
      <c r="C337" s="10">
        <v>43417</v>
      </c>
      <c r="D337" s="13">
        <f>YEAR(C337)</f>
        <v>2018</v>
      </c>
      <c r="E337" s="13">
        <f>MONTH(C337)</f>
        <v>11</v>
      </c>
      <c r="F337" s="13">
        <f>DAY(C337)</f>
        <v>13</v>
      </c>
      <c r="G337" s="13" t="s">
        <v>535</v>
      </c>
      <c r="H337" s="4" t="s">
        <v>14</v>
      </c>
      <c r="I337">
        <v>46.968400000000003</v>
      </c>
      <c r="J337">
        <v>6.5582000000000003</v>
      </c>
      <c r="K337" s="4" t="s">
        <v>15</v>
      </c>
      <c r="L337" s="4"/>
      <c r="M337" s="4" t="s">
        <v>1</v>
      </c>
      <c r="N337" s="4"/>
      <c r="O337" s="4" t="s">
        <v>17</v>
      </c>
      <c r="P337" s="4" t="s">
        <v>29</v>
      </c>
    </row>
    <row r="338" spans="1:16" s="8" customFormat="1" x14ac:dyDescent="0.25">
      <c r="A338">
        <f>RIGHT(B338,6)*1</f>
        <v>107628</v>
      </c>
      <c r="B338" t="s">
        <v>78</v>
      </c>
      <c r="C338" s="10">
        <v>43418</v>
      </c>
      <c r="D338" s="13">
        <f>YEAR(C338)</f>
        <v>2018</v>
      </c>
      <c r="E338" s="13">
        <f>MONTH(C338)</f>
        <v>11</v>
      </c>
      <c r="F338" s="13">
        <f>DAY(C338)</f>
        <v>14</v>
      </c>
      <c r="G338" s="13" t="s">
        <v>535</v>
      </c>
      <c r="H338" s="4" t="s">
        <v>14</v>
      </c>
      <c r="I338">
        <v>46.91</v>
      </c>
      <c r="J338">
        <v>6.6863999999999999</v>
      </c>
      <c r="K338" s="4" t="s">
        <v>15</v>
      </c>
      <c r="L338" s="4"/>
      <c r="M338" s="4" t="s">
        <v>1</v>
      </c>
      <c r="N338" s="4"/>
      <c r="O338" s="4" t="s">
        <v>16</v>
      </c>
      <c r="P338" s="4" t="s">
        <v>29</v>
      </c>
    </row>
    <row r="339" spans="1:16" s="8" customFormat="1" x14ac:dyDescent="0.25">
      <c r="A339">
        <f>RIGHT(B339,6)*1</f>
        <v>107629</v>
      </c>
      <c r="B339" t="s">
        <v>79</v>
      </c>
      <c r="C339" s="10">
        <v>43418</v>
      </c>
      <c r="D339" s="13">
        <f>YEAR(C339)</f>
        <v>2018</v>
      </c>
      <c r="E339" s="13">
        <f>MONTH(C339)</f>
        <v>11</v>
      </c>
      <c r="F339" s="13">
        <f>DAY(C339)</f>
        <v>14</v>
      </c>
      <c r="G339" s="13" t="s">
        <v>535</v>
      </c>
      <c r="H339" s="4" t="s">
        <v>14</v>
      </c>
      <c r="I339">
        <v>46.923299999999998</v>
      </c>
      <c r="J339">
        <v>6.4356</v>
      </c>
      <c r="K339" s="4" t="s">
        <v>15</v>
      </c>
      <c r="L339" s="4"/>
      <c r="M339" s="4" t="s">
        <v>1</v>
      </c>
      <c r="N339" s="4"/>
      <c r="O339" s="4" t="s">
        <v>17</v>
      </c>
      <c r="P339" s="4" t="s">
        <v>29</v>
      </c>
    </row>
    <row r="340" spans="1:16" s="8" customFormat="1" x14ac:dyDescent="0.25">
      <c r="A340">
        <f>RIGHT(B340,6)*1</f>
        <v>107630</v>
      </c>
      <c r="B340" t="s">
        <v>80</v>
      </c>
      <c r="C340" s="10">
        <v>43418</v>
      </c>
      <c r="D340" s="13">
        <f>YEAR(C340)</f>
        <v>2018</v>
      </c>
      <c r="E340" s="13">
        <f>MONTH(C340)</f>
        <v>11</v>
      </c>
      <c r="F340" s="13">
        <f>DAY(C340)</f>
        <v>14</v>
      </c>
      <c r="G340" s="13" t="s">
        <v>535</v>
      </c>
      <c r="H340" s="4" t="s">
        <v>14</v>
      </c>
      <c r="I340">
        <v>46.8992</v>
      </c>
      <c r="J340">
        <v>6.6707999999999998</v>
      </c>
      <c r="K340" s="4" t="s">
        <v>15</v>
      </c>
      <c r="L340" s="4"/>
      <c r="M340" s="4" t="s">
        <v>1</v>
      </c>
      <c r="N340" s="4"/>
      <c r="O340" s="4" t="s">
        <v>17</v>
      </c>
      <c r="P340" s="4" t="s">
        <v>29</v>
      </c>
    </row>
    <row r="341" spans="1:16" s="8" customFormat="1" x14ac:dyDescent="0.25">
      <c r="A341">
        <f>RIGHT(B341,6)*1</f>
        <v>107631</v>
      </c>
      <c r="B341" t="s">
        <v>81</v>
      </c>
      <c r="C341" s="10">
        <v>43418</v>
      </c>
      <c r="D341" s="13">
        <f>YEAR(C341)</f>
        <v>2018</v>
      </c>
      <c r="E341" s="13">
        <f>MONTH(C341)</f>
        <v>11</v>
      </c>
      <c r="F341" s="13">
        <f>DAY(C341)</f>
        <v>14</v>
      </c>
      <c r="G341" s="13" t="s">
        <v>535</v>
      </c>
      <c r="H341" s="4" t="s">
        <v>14</v>
      </c>
      <c r="I341">
        <v>46.899000000000001</v>
      </c>
      <c r="J341">
        <v>6.6708999999999996</v>
      </c>
      <c r="K341" s="4" t="s">
        <v>15</v>
      </c>
      <c r="L341" s="4"/>
      <c r="M341" s="4" t="s">
        <v>1</v>
      </c>
      <c r="N341" s="4"/>
      <c r="O341" s="4" t="s">
        <v>17</v>
      </c>
      <c r="P341" s="4" t="s">
        <v>29</v>
      </c>
    </row>
    <row r="342" spans="1:16" s="8" customFormat="1" x14ac:dyDescent="0.25">
      <c r="A342">
        <f>RIGHT(B342,6)*1</f>
        <v>107632</v>
      </c>
      <c r="B342" t="s">
        <v>82</v>
      </c>
      <c r="C342" s="10">
        <v>43419</v>
      </c>
      <c r="D342" s="13">
        <f>YEAR(C342)</f>
        <v>2018</v>
      </c>
      <c r="E342" s="13">
        <f>MONTH(C342)</f>
        <v>11</v>
      </c>
      <c r="F342" s="13">
        <f>DAY(C342)</f>
        <v>15</v>
      </c>
      <c r="G342" s="13" t="s">
        <v>535</v>
      </c>
      <c r="H342" s="4" t="s">
        <v>14</v>
      </c>
      <c r="I342">
        <v>46.908099999999997</v>
      </c>
      <c r="J342">
        <v>6.6852</v>
      </c>
      <c r="K342" s="4" t="s">
        <v>15</v>
      </c>
      <c r="L342" s="4"/>
      <c r="M342" s="4" t="s">
        <v>1</v>
      </c>
      <c r="N342" s="4"/>
      <c r="O342" s="4" t="s">
        <v>17</v>
      </c>
      <c r="P342" s="4" t="s">
        <v>29</v>
      </c>
    </row>
    <row r="343" spans="1:16" s="8" customFormat="1" x14ac:dyDescent="0.25">
      <c r="A343">
        <f>RIGHT(B343,6)*1</f>
        <v>107633</v>
      </c>
      <c r="B343" t="s">
        <v>83</v>
      </c>
      <c r="C343" s="10">
        <v>43419</v>
      </c>
      <c r="D343" s="13">
        <f>YEAR(C343)</f>
        <v>2018</v>
      </c>
      <c r="E343" s="13">
        <f>MONTH(C343)</f>
        <v>11</v>
      </c>
      <c r="F343" s="13">
        <f>DAY(C343)</f>
        <v>15</v>
      </c>
      <c r="G343" s="13" t="s">
        <v>535</v>
      </c>
      <c r="H343" s="4" t="s">
        <v>14</v>
      </c>
      <c r="I343">
        <v>46.91</v>
      </c>
      <c r="J343">
        <v>6.6863999999999999</v>
      </c>
      <c r="K343" s="4" t="s">
        <v>15</v>
      </c>
      <c r="L343" s="4"/>
      <c r="M343" s="4" t="s">
        <v>1</v>
      </c>
      <c r="N343" s="4"/>
      <c r="O343" s="4" t="s">
        <v>17</v>
      </c>
      <c r="P343" s="4" t="s">
        <v>29</v>
      </c>
    </row>
    <row r="344" spans="1:16" s="8" customFormat="1" x14ac:dyDescent="0.25">
      <c r="A344">
        <f>RIGHT(B344,6)*1</f>
        <v>107634</v>
      </c>
      <c r="B344" t="s">
        <v>84</v>
      </c>
      <c r="C344" s="10">
        <v>43419</v>
      </c>
      <c r="D344" s="13">
        <f>YEAR(C344)</f>
        <v>2018</v>
      </c>
      <c r="E344" s="13">
        <f>MONTH(C344)</f>
        <v>11</v>
      </c>
      <c r="F344" s="13">
        <f>DAY(C344)</f>
        <v>15</v>
      </c>
      <c r="G344" s="13" t="s">
        <v>535</v>
      </c>
      <c r="H344" s="4" t="s">
        <v>14</v>
      </c>
      <c r="I344">
        <v>46.929699999999997</v>
      </c>
      <c r="J344">
        <v>6.4603000000000002</v>
      </c>
      <c r="K344" s="4" t="s">
        <v>15</v>
      </c>
      <c r="L344" s="4"/>
      <c r="M344" s="4" t="s">
        <v>1</v>
      </c>
      <c r="N344" s="4"/>
      <c r="O344" s="4" t="s">
        <v>16</v>
      </c>
      <c r="P344" s="4" t="s">
        <v>19</v>
      </c>
    </row>
    <row r="345" spans="1:16" s="8" customFormat="1" x14ac:dyDescent="0.25">
      <c r="A345">
        <f>RIGHT(B345,6)*1</f>
        <v>107635</v>
      </c>
      <c r="B345" t="s">
        <v>85</v>
      </c>
      <c r="C345" s="10">
        <v>43419</v>
      </c>
      <c r="D345" s="13">
        <f>YEAR(C345)</f>
        <v>2018</v>
      </c>
      <c r="E345" s="13">
        <f>MONTH(C345)</f>
        <v>11</v>
      </c>
      <c r="F345" s="13">
        <f>DAY(C345)</f>
        <v>15</v>
      </c>
      <c r="G345" s="13" t="s">
        <v>535</v>
      </c>
      <c r="H345" s="4" t="s">
        <v>14</v>
      </c>
      <c r="I345">
        <v>46.929699999999997</v>
      </c>
      <c r="J345">
        <v>6.4603000000000002</v>
      </c>
      <c r="K345" s="4" t="s">
        <v>15</v>
      </c>
      <c r="L345" s="4"/>
      <c r="M345" s="4" t="s">
        <v>1</v>
      </c>
      <c r="N345" s="4"/>
      <c r="O345" s="4" t="s">
        <v>16</v>
      </c>
      <c r="P345" s="4" t="s">
        <v>29</v>
      </c>
    </row>
    <row r="346" spans="1:16" s="8" customFormat="1" x14ac:dyDescent="0.25">
      <c r="A346">
        <f>RIGHT(B346,6)*1</f>
        <v>107636</v>
      </c>
      <c r="B346" t="s">
        <v>86</v>
      </c>
      <c r="C346" s="10">
        <v>43419</v>
      </c>
      <c r="D346" s="13">
        <f>YEAR(C346)</f>
        <v>2018</v>
      </c>
      <c r="E346" s="13">
        <f>MONTH(C346)</f>
        <v>11</v>
      </c>
      <c r="F346" s="13">
        <f>DAY(C346)</f>
        <v>15</v>
      </c>
      <c r="G346" s="13" t="s">
        <v>535</v>
      </c>
      <c r="H346" s="4" t="s">
        <v>14</v>
      </c>
      <c r="I346">
        <v>46.928899999999999</v>
      </c>
      <c r="J346">
        <v>6.4592000000000001</v>
      </c>
      <c r="K346" s="4" t="s">
        <v>15</v>
      </c>
      <c r="L346" s="4"/>
      <c r="M346" s="4" t="s">
        <v>1</v>
      </c>
      <c r="N346" s="4"/>
      <c r="O346" s="4" t="s">
        <v>16</v>
      </c>
      <c r="P346" s="4" t="s">
        <v>29</v>
      </c>
    </row>
    <row r="347" spans="1:16" s="8" customFormat="1" x14ac:dyDescent="0.25">
      <c r="A347">
        <f>RIGHT(B347,6)*1</f>
        <v>107637</v>
      </c>
      <c r="B347" t="s">
        <v>87</v>
      </c>
      <c r="C347" s="10">
        <v>43419</v>
      </c>
      <c r="D347" s="13">
        <f>YEAR(C347)</f>
        <v>2018</v>
      </c>
      <c r="E347" s="13">
        <f>MONTH(C347)</f>
        <v>11</v>
      </c>
      <c r="F347" s="13">
        <f>DAY(C347)</f>
        <v>15</v>
      </c>
      <c r="G347" s="13" t="s">
        <v>535</v>
      </c>
      <c r="H347" s="4" t="s">
        <v>14</v>
      </c>
      <c r="I347">
        <v>46.932600000000001</v>
      </c>
      <c r="J347">
        <v>6.5811000000000002</v>
      </c>
      <c r="K347" s="4" t="s">
        <v>15</v>
      </c>
      <c r="L347" s="4"/>
      <c r="M347" s="4" t="s">
        <v>1</v>
      </c>
      <c r="N347" s="4"/>
      <c r="O347" s="4" t="s">
        <v>17</v>
      </c>
      <c r="P347" s="4" t="s">
        <v>29</v>
      </c>
    </row>
    <row r="348" spans="1:16" s="8" customFormat="1" x14ac:dyDescent="0.25">
      <c r="A348">
        <f>RIGHT(B348,6)*1</f>
        <v>112993</v>
      </c>
      <c r="B348" t="s">
        <v>133</v>
      </c>
      <c r="C348" s="10">
        <v>42675</v>
      </c>
      <c r="D348" s="13">
        <f>YEAR(C348)</f>
        <v>2016</v>
      </c>
      <c r="E348" s="13">
        <f>MONTH(C348)</f>
        <v>11</v>
      </c>
      <c r="F348" s="13">
        <f>DAY(C348)</f>
        <v>1</v>
      </c>
      <c r="G348" s="13" t="s">
        <v>535</v>
      </c>
      <c r="H348" s="4" t="s">
        <v>14</v>
      </c>
      <c r="I348">
        <v>46.955300000000001</v>
      </c>
      <c r="J348">
        <v>6.4981</v>
      </c>
      <c r="K348" s="4"/>
      <c r="L348" s="4"/>
      <c r="M348" s="4" t="s">
        <v>1</v>
      </c>
      <c r="N348" s="4"/>
      <c r="O348" s="4" t="s">
        <v>16</v>
      </c>
      <c r="P348" s="4" t="s">
        <v>29</v>
      </c>
    </row>
    <row r="349" spans="1:16" s="8" customFormat="1" x14ac:dyDescent="0.25">
      <c r="A349">
        <f>RIGHT(B349,6)*1</f>
        <v>115486</v>
      </c>
      <c r="B349" t="s">
        <v>194</v>
      </c>
      <c r="C349" s="10">
        <v>43411</v>
      </c>
      <c r="D349" s="13">
        <f>YEAR(C349)</f>
        <v>2018</v>
      </c>
      <c r="E349" s="13">
        <f>MONTH(C349)</f>
        <v>11</v>
      </c>
      <c r="F349" s="13">
        <f>DAY(C349)</f>
        <v>7</v>
      </c>
      <c r="G349" s="13" t="s">
        <v>535</v>
      </c>
      <c r="H349" s="4" t="s">
        <v>14</v>
      </c>
      <c r="I349">
        <v>46.91</v>
      </c>
      <c r="J349">
        <v>6.6863999999999999</v>
      </c>
      <c r="K349" s="4" t="s">
        <v>15</v>
      </c>
      <c r="L349" s="4"/>
      <c r="M349" s="4" t="s">
        <v>1</v>
      </c>
      <c r="N349" s="4"/>
      <c r="O349" s="4" t="s">
        <v>17</v>
      </c>
      <c r="P349" s="4" t="s">
        <v>29</v>
      </c>
    </row>
    <row r="350" spans="1:16" s="8" customFormat="1" x14ac:dyDescent="0.25">
      <c r="A350">
        <f>RIGHT(B350,6)*1</f>
        <v>115487</v>
      </c>
      <c r="B350" t="s">
        <v>195</v>
      </c>
      <c r="C350" s="10">
        <v>43411</v>
      </c>
      <c r="D350" s="13">
        <f>YEAR(C350)</f>
        <v>2018</v>
      </c>
      <c r="E350" s="13">
        <f>MONTH(C350)</f>
        <v>11</v>
      </c>
      <c r="F350" s="13">
        <f>DAY(C350)</f>
        <v>7</v>
      </c>
      <c r="G350" s="13" t="s">
        <v>535</v>
      </c>
      <c r="H350" s="4" t="s">
        <v>14</v>
      </c>
      <c r="I350">
        <v>46.91</v>
      </c>
      <c r="J350">
        <v>6.6863999999999999</v>
      </c>
      <c r="K350" s="4" t="s">
        <v>15</v>
      </c>
      <c r="L350" s="4"/>
      <c r="M350" s="4" t="s">
        <v>1</v>
      </c>
      <c r="N350" s="4"/>
      <c r="O350" s="4" t="s">
        <v>17</v>
      </c>
      <c r="P350" s="4" t="s">
        <v>29</v>
      </c>
    </row>
    <row r="351" spans="1:16" s="8" customFormat="1" x14ac:dyDescent="0.25">
      <c r="A351">
        <f>RIGHT(B351,6)*1</f>
        <v>115488</v>
      </c>
      <c r="B351" t="s">
        <v>196</v>
      </c>
      <c r="C351" s="10">
        <v>43411</v>
      </c>
      <c r="D351" s="13">
        <f>YEAR(C351)</f>
        <v>2018</v>
      </c>
      <c r="E351" s="13">
        <f>MONTH(C351)</f>
        <v>11</v>
      </c>
      <c r="F351" s="13">
        <f>DAY(C351)</f>
        <v>7</v>
      </c>
      <c r="G351" s="13" t="s">
        <v>535</v>
      </c>
      <c r="H351" s="4" t="s">
        <v>14</v>
      </c>
      <c r="I351">
        <v>46.91</v>
      </c>
      <c r="J351">
        <v>6.6863999999999999</v>
      </c>
      <c r="K351" s="4" t="s">
        <v>15</v>
      </c>
      <c r="L351" s="4"/>
      <c r="M351" s="4" t="s">
        <v>1</v>
      </c>
      <c r="N351" s="4"/>
      <c r="O351" s="4" t="s">
        <v>17</v>
      </c>
      <c r="P351" s="4" t="s">
        <v>29</v>
      </c>
    </row>
    <row r="352" spans="1:16" s="8" customFormat="1" x14ac:dyDescent="0.25">
      <c r="A352">
        <f>RIGHT(B352,6)*1</f>
        <v>115489</v>
      </c>
      <c r="B352" t="s">
        <v>197</v>
      </c>
      <c r="C352" s="10">
        <v>43411</v>
      </c>
      <c r="D352" s="13">
        <f>YEAR(C352)</f>
        <v>2018</v>
      </c>
      <c r="E352" s="13">
        <f>MONTH(C352)</f>
        <v>11</v>
      </c>
      <c r="F352" s="13">
        <f>DAY(C352)</f>
        <v>7</v>
      </c>
      <c r="G352" s="13" t="s">
        <v>535</v>
      </c>
      <c r="H352" s="4" t="s">
        <v>14</v>
      </c>
      <c r="I352">
        <v>46.91</v>
      </c>
      <c r="J352">
        <v>6.6863999999999999</v>
      </c>
      <c r="K352" s="4" t="s">
        <v>15</v>
      </c>
      <c r="L352" s="4"/>
      <c r="M352" s="4" t="s">
        <v>1</v>
      </c>
      <c r="N352" s="4"/>
      <c r="O352" s="4" t="s">
        <v>17</v>
      </c>
      <c r="P352" s="4" t="s">
        <v>184</v>
      </c>
    </row>
    <row r="353" spans="1:16" s="8" customFormat="1" x14ac:dyDescent="0.25">
      <c r="A353">
        <f>RIGHT(B353,6)*1</f>
        <v>115490</v>
      </c>
      <c r="B353" t="s">
        <v>198</v>
      </c>
      <c r="C353" s="10">
        <v>43411</v>
      </c>
      <c r="D353" s="13">
        <f>YEAR(C353)</f>
        <v>2018</v>
      </c>
      <c r="E353" s="13">
        <f>MONTH(C353)</f>
        <v>11</v>
      </c>
      <c r="F353" s="13">
        <f>DAY(C353)</f>
        <v>7</v>
      </c>
      <c r="G353" s="13" t="s">
        <v>535</v>
      </c>
      <c r="H353" s="4" t="s">
        <v>14</v>
      </c>
      <c r="I353">
        <v>46.91</v>
      </c>
      <c r="J353">
        <v>6.6863999999999999</v>
      </c>
      <c r="K353" s="4" t="s">
        <v>15</v>
      </c>
      <c r="L353" s="4"/>
      <c r="M353" s="4" t="s">
        <v>1</v>
      </c>
      <c r="N353" s="4"/>
      <c r="O353" s="4" t="s">
        <v>17</v>
      </c>
      <c r="P353" s="4" t="s">
        <v>19</v>
      </c>
    </row>
    <row r="354" spans="1:16" s="8" customFormat="1" x14ac:dyDescent="0.25">
      <c r="A354">
        <f>RIGHT(B354,6)*1</f>
        <v>115491</v>
      </c>
      <c r="B354" t="s">
        <v>199</v>
      </c>
      <c r="C354" s="10">
        <v>43411</v>
      </c>
      <c r="D354" s="13">
        <f>YEAR(C354)</f>
        <v>2018</v>
      </c>
      <c r="E354" s="13">
        <f>MONTH(C354)</f>
        <v>11</v>
      </c>
      <c r="F354" s="13">
        <f>DAY(C354)</f>
        <v>7</v>
      </c>
      <c r="G354" s="13" t="s">
        <v>535</v>
      </c>
      <c r="H354" s="4" t="s">
        <v>14</v>
      </c>
      <c r="I354">
        <v>46.91</v>
      </c>
      <c r="J354">
        <v>6.6863999999999999</v>
      </c>
      <c r="K354" s="4" t="s">
        <v>15</v>
      </c>
      <c r="L354" s="4"/>
      <c r="M354" s="4" t="s">
        <v>1</v>
      </c>
      <c r="N354" s="4"/>
      <c r="O354" s="4" t="s">
        <v>17</v>
      </c>
      <c r="P354" s="4" t="s">
        <v>19</v>
      </c>
    </row>
    <row r="355" spans="1:16" s="8" customFormat="1" x14ac:dyDescent="0.25">
      <c r="A355">
        <f>RIGHT(B355,6)*1</f>
        <v>115492</v>
      </c>
      <c r="B355" t="s">
        <v>200</v>
      </c>
      <c r="C355" s="10">
        <v>43411</v>
      </c>
      <c r="D355" s="13">
        <f>YEAR(C355)</f>
        <v>2018</v>
      </c>
      <c r="E355" s="13">
        <f>MONTH(C355)</f>
        <v>11</v>
      </c>
      <c r="F355" s="13">
        <f>DAY(C355)</f>
        <v>7</v>
      </c>
      <c r="G355" s="13" t="s">
        <v>535</v>
      </c>
      <c r="H355" s="4" t="s">
        <v>14</v>
      </c>
      <c r="I355">
        <v>46.903599999999997</v>
      </c>
      <c r="J355">
        <v>6.6722000000000001</v>
      </c>
      <c r="K355" s="4" t="s">
        <v>15</v>
      </c>
      <c r="L355" s="4"/>
      <c r="M355" s="4" t="s">
        <v>1</v>
      </c>
      <c r="N355" s="4"/>
      <c r="O355" s="4" t="s">
        <v>17</v>
      </c>
      <c r="P355" s="4" t="s">
        <v>19</v>
      </c>
    </row>
    <row r="356" spans="1:16" s="8" customFormat="1" x14ac:dyDescent="0.25">
      <c r="A356">
        <f>RIGHT(B356,6)*1</f>
        <v>115493</v>
      </c>
      <c r="B356" t="s">
        <v>201</v>
      </c>
      <c r="C356" s="10">
        <v>43411</v>
      </c>
      <c r="D356" s="13">
        <f>YEAR(C356)</f>
        <v>2018</v>
      </c>
      <c r="E356" s="13">
        <f>MONTH(C356)</f>
        <v>11</v>
      </c>
      <c r="F356" s="13">
        <f>DAY(C356)</f>
        <v>7</v>
      </c>
      <c r="G356" s="13" t="s">
        <v>535</v>
      </c>
      <c r="H356" s="4" t="s">
        <v>14</v>
      </c>
      <c r="I356">
        <v>46.903599999999997</v>
      </c>
      <c r="J356">
        <v>6.6722000000000001</v>
      </c>
      <c r="K356" s="4" t="s">
        <v>15</v>
      </c>
      <c r="L356" s="4"/>
      <c r="M356" s="4" t="s">
        <v>1</v>
      </c>
      <c r="N356" s="4"/>
      <c r="O356" s="4" t="s">
        <v>17</v>
      </c>
      <c r="P356" s="4" t="s">
        <v>29</v>
      </c>
    </row>
    <row r="357" spans="1:16" s="8" customFormat="1" x14ac:dyDescent="0.25">
      <c r="A357">
        <f>RIGHT(B357,6)*1</f>
        <v>115494</v>
      </c>
      <c r="B357" t="s">
        <v>202</v>
      </c>
      <c r="C357" s="10">
        <v>43411</v>
      </c>
      <c r="D357" s="13">
        <f>YEAR(C357)</f>
        <v>2018</v>
      </c>
      <c r="E357" s="13">
        <f>MONTH(C357)</f>
        <v>11</v>
      </c>
      <c r="F357" s="13">
        <f>DAY(C357)</f>
        <v>7</v>
      </c>
      <c r="G357" s="13" t="s">
        <v>535</v>
      </c>
      <c r="H357" s="4" t="s">
        <v>14</v>
      </c>
      <c r="I357">
        <v>46.923299999999998</v>
      </c>
      <c r="J357">
        <v>6.4356</v>
      </c>
      <c r="K357" s="4" t="s">
        <v>15</v>
      </c>
      <c r="L357" s="4"/>
      <c r="M357" s="4" t="s">
        <v>1</v>
      </c>
      <c r="N357" s="4"/>
      <c r="O357" s="4" t="s">
        <v>17</v>
      </c>
      <c r="P357" s="4" t="s">
        <v>19</v>
      </c>
    </row>
    <row r="358" spans="1:16" s="8" customFormat="1" x14ac:dyDescent="0.25">
      <c r="A358">
        <f>RIGHT(B358,6)*1</f>
        <v>115495</v>
      </c>
      <c r="B358" t="s">
        <v>203</v>
      </c>
      <c r="C358" s="10">
        <v>43411</v>
      </c>
      <c r="D358" s="13">
        <f>YEAR(C358)</f>
        <v>2018</v>
      </c>
      <c r="E358" s="13">
        <f>MONTH(C358)</f>
        <v>11</v>
      </c>
      <c r="F358" s="13">
        <f>DAY(C358)</f>
        <v>7</v>
      </c>
      <c r="G358" s="13" t="s">
        <v>535</v>
      </c>
      <c r="H358" s="4" t="s">
        <v>14</v>
      </c>
      <c r="I358">
        <v>46.923299999999998</v>
      </c>
      <c r="J358">
        <v>6.4356</v>
      </c>
      <c r="K358" s="4" t="s">
        <v>15</v>
      </c>
      <c r="L358" s="4"/>
      <c r="M358" s="4" t="s">
        <v>1</v>
      </c>
      <c r="N358" s="4"/>
      <c r="O358" s="4" t="s">
        <v>17</v>
      </c>
      <c r="P358" s="4" t="s">
        <v>29</v>
      </c>
    </row>
    <row r="359" spans="1:16" s="8" customFormat="1" x14ac:dyDescent="0.25">
      <c r="A359">
        <f>RIGHT(B359,6)*1</f>
        <v>115496</v>
      </c>
      <c r="B359" t="s">
        <v>204</v>
      </c>
      <c r="C359" s="10">
        <v>43411</v>
      </c>
      <c r="D359" s="13">
        <f>YEAR(C359)</f>
        <v>2018</v>
      </c>
      <c r="E359" s="13">
        <f>MONTH(C359)</f>
        <v>11</v>
      </c>
      <c r="F359" s="13">
        <f>DAY(C359)</f>
        <v>7</v>
      </c>
      <c r="G359" s="13" t="s">
        <v>535</v>
      </c>
      <c r="H359" s="4" t="s">
        <v>14</v>
      </c>
      <c r="I359">
        <v>46.8992</v>
      </c>
      <c r="J359">
        <v>6.6707999999999998</v>
      </c>
      <c r="K359" s="4" t="s">
        <v>15</v>
      </c>
      <c r="L359" s="4"/>
      <c r="M359" s="4" t="s">
        <v>1</v>
      </c>
      <c r="N359" s="4"/>
      <c r="O359" s="4" t="s">
        <v>17</v>
      </c>
      <c r="P359" s="4" t="s">
        <v>19</v>
      </c>
    </row>
    <row r="360" spans="1:16" s="8" customFormat="1" x14ac:dyDescent="0.25">
      <c r="A360">
        <f>RIGHT(B360,6)*1</f>
        <v>115497</v>
      </c>
      <c r="B360" t="s">
        <v>205</v>
      </c>
      <c r="C360" s="10">
        <v>43411</v>
      </c>
      <c r="D360" s="13">
        <f>YEAR(C360)</f>
        <v>2018</v>
      </c>
      <c r="E360" s="13">
        <f>MONTH(C360)</f>
        <v>11</v>
      </c>
      <c r="F360" s="13">
        <f>DAY(C360)</f>
        <v>7</v>
      </c>
      <c r="G360" s="13" t="s">
        <v>535</v>
      </c>
      <c r="H360" s="4" t="s">
        <v>14</v>
      </c>
      <c r="I360">
        <v>46.8992</v>
      </c>
      <c r="J360">
        <v>6.6707999999999998</v>
      </c>
      <c r="K360" s="4" t="s">
        <v>15</v>
      </c>
      <c r="L360" s="4"/>
      <c r="M360" s="4" t="s">
        <v>1</v>
      </c>
      <c r="N360" s="4"/>
      <c r="O360" s="4" t="s">
        <v>17</v>
      </c>
      <c r="P360" s="4" t="s">
        <v>29</v>
      </c>
    </row>
    <row r="361" spans="1:16" s="8" customFormat="1" x14ac:dyDescent="0.25">
      <c r="A361">
        <f>RIGHT(B361,6)*1</f>
        <v>115498</v>
      </c>
      <c r="B361" t="s">
        <v>206</v>
      </c>
      <c r="C361" s="10">
        <v>43412</v>
      </c>
      <c r="D361" s="13">
        <f>YEAR(C361)</f>
        <v>2018</v>
      </c>
      <c r="E361" s="13">
        <f>MONTH(C361)</f>
        <v>11</v>
      </c>
      <c r="F361" s="13">
        <f>DAY(C361)</f>
        <v>8</v>
      </c>
      <c r="G361" s="13" t="s">
        <v>535</v>
      </c>
      <c r="H361" s="4" t="s">
        <v>14</v>
      </c>
      <c r="I361">
        <v>46.908099999999997</v>
      </c>
      <c r="J361">
        <v>6.6852</v>
      </c>
      <c r="K361" s="4" t="s">
        <v>15</v>
      </c>
      <c r="L361" s="4"/>
      <c r="M361" s="4" t="s">
        <v>1</v>
      </c>
      <c r="N361" s="4"/>
      <c r="O361" s="4" t="s">
        <v>17</v>
      </c>
      <c r="P361" s="4" t="s">
        <v>29</v>
      </c>
    </row>
    <row r="362" spans="1:16" s="8" customFormat="1" x14ac:dyDescent="0.25">
      <c r="A362">
        <f>RIGHT(B362,6)*1</f>
        <v>115499</v>
      </c>
      <c r="B362" t="s">
        <v>207</v>
      </c>
      <c r="C362" s="10">
        <v>43412</v>
      </c>
      <c r="D362" s="13">
        <f>YEAR(C362)</f>
        <v>2018</v>
      </c>
      <c r="E362" s="13">
        <f>MONTH(C362)</f>
        <v>11</v>
      </c>
      <c r="F362" s="13">
        <f>DAY(C362)</f>
        <v>8</v>
      </c>
      <c r="G362" s="13" t="s">
        <v>535</v>
      </c>
      <c r="H362" s="4" t="s">
        <v>14</v>
      </c>
      <c r="I362">
        <v>46.908099999999997</v>
      </c>
      <c r="J362">
        <v>6.6852</v>
      </c>
      <c r="K362" s="4" t="s">
        <v>15</v>
      </c>
      <c r="L362" s="4"/>
      <c r="M362" s="4" t="s">
        <v>1</v>
      </c>
      <c r="N362" s="4"/>
      <c r="O362" s="4" t="s">
        <v>17</v>
      </c>
      <c r="P362" s="4" t="s">
        <v>29</v>
      </c>
    </row>
    <row r="363" spans="1:16" s="8" customFormat="1" x14ac:dyDescent="0.25">
      <c r="A363">
        <f>RIGHT(B363,6)*1</f>
        <v>115500</v>
      </c>
      <c r="B363" t="s">
        <v>208</v>
      </c>
      <c r="C363" s="10">
        <v>43415</v>
      </c>
      <c r="D363" s="13">
        <f>YEAR(C363)</f>
        <v>2018</v>
      </c>
      <c r="E363" s="13">
        <f>MONTH(C363)</f>
        <v>11</v>
      </c>
      <c r="F363" s="13">
        <f>DAY(C363)</f>
        <v>11</v>
      </c>
      <c r="G363" s="13" t="s">
        <v>535</v>
      </c>
      <c r="H363" s="4" t="s">
        <v>14</v>
      </c>
      <c r="I363">
        <v>46.979100000000003</v>
      </c>
      <c r="J363">
        <v>6.6723999999999997</v>
      </c>
      <c r="K363" s="4" t="s">
        <v>15</v>
      </c>
      <c r="L363" s="4"/>
      <c r="M363" s="4" t="s">
        <v>1</v>
      </c>
      <c r="N363" s="4"/>
      <c r="O363" s="4" t="s">
        <v>17</v>
      </c>
      <c r="P363" s="4" t="s">
        <v>29</v>
      </c>
    </row>
    <row r="364" spans="1:16" s="8" customFormat="1" x14ac:dyDescent="0.25">
      <c r="A364">
        <f>RIGHT(B364,6)*1</f>
        <v>118467</v>
      </c>
      <c r="B364" t="s">
        <v>276</v>
      </c>
      <c r="C364" s="10">
        <v>42675</v>
      </c>
      <c r="D364" s="13">
        <f>YEAR(C364)</f>
        <v>2016</v>
      </c>
      <c r="E364" s="13">
        <f>MONTH(C364)</f>
        <v>11</v>
      </c>
      <c r="F364" s="13">
        <f>DAY(C364)</f>
        <v>1</v>
      </c>
      <c r="G364" s="13" t="s">
        <v>535</v>
      </c>
      <c r="H364" s="4" t="s">
        <v>14</v>
      </c>
      <c r="I364">
        <v>46.8992</v>
      </c>
      <c r="J364">
        <v>6.6707999999999998</v>
      </c>
      <c r="K364" s="4" t="s">
        <v>15</v>
      </c>
      <c r="L364" s="4"/>
      <c r="M364" s="4" t="s">
        <v>1</v>
      </c>
      <c r="N364" s="4"/>
      <c r="O364" s="4" t="s">
        <v>16</v>
      </c>
      <c r="P364" s="4" t="s">
        <v>29</v>
      </c>
    </row>
    <row r="365" spans="1:16" s="8" customFormat="1" x14ac:dyDescent="0.25">
      <c r="A365">
        <f>RIGHT(B365,6)*1</f>
        <v>118468</v>
      </c>
      <c r="B365" t="s">
        <v>277</v>
      </c>
      <c r="C365" s="10">
        <v>42675</v>
      </c>
      <c r="D365" s="13">
        <f>YEAR(C365)</f>
        <v>2016</v>
      </c>
      <c r="E365" s="13">
        <f>MONTH(C365)</f>
        <v>11</v>
      </c>
      <c r="F365" s="13">
        <f>DAY(C365)</f>
        <v>1</v>
      </c>
      <c r="G365" s="13" t="s">
        <v>535</v>
      </c>
      <c r="H365" s="4" t="s">
        <v>14</v>
      </c>
      <c r="I365">
        <v>46.8992</v>
      </c>
      <c r="J365">
        <v>6.6707999999999998</v>
      </c>
      <c r="K365" s="4" t="s">
        <v>15</v>
      </c>
      <c r="L365" s="4"/>
      <c r="M365" s="4" t="s">
        <v>1</v>
      </c>
      <c r="N365" s="4"/>
      <c r="O365" s="4" t="s">
        <v>16</v>
      </c>
      <c r="P365" s="4" t="s">
        <v>29</v>
      </c>
    </row>
    <row r="366" spans="1:16" s="8" customFormat="1" x14ac:dyDescent="0.25">
      <c r="A366">
        <f>RIGHT(B366,6)*1</f>
        <v>118469</v>
      </c>
      <c r="B366" t="s">
        <v>278</v>
      </c>
      <c r="C366" s="10">
        <v>42675</v>
      </c>
      <c r="D366" s="13">
        <f>YEAR(C366)</f>
        <v>2016</v>
      </c>
      <c r="E366" s="13">
        <f>MONTH(C366)</f>
        <v>11</v>
      </c>
      <c r="F366" s="13">
        <f>DAY(C366)</f>
        <v>1</v>
      </c>
      <c r="G366" s="13" t="s">
        <v>535</v>
      </c>
      <c r="H366" s="4" t="s">
        <v>14</v>
      </c>
      <c r="I366">
        <v>46.8992</v>
      </c>
      <c r="J366">
        <v>6.6707999999999998</v>
      </c>
      <c r="K366" s="4" t="s">
        <v>15</v>
      </c>
      <c r="L366" s="4"/>
      <c r="M366" s="4" t="s">
        <v>1</v>
      </c>
      <c r="N366" s="4"/>
      <c r="O366" s="4" t="s">
        <v>17</v>
      </c>
      <c r="P366" s="4" t="s">
        <v>184</v>
      </c>
    </row>
    <row r="367" spans="1:16" s="8" customFormat="1" x14ac:dyDescent="0.25">
      <c r="A367">
        <f>RIGHT(B367,6)*1</f>
        <v>118470</v>
      </c>
      <c r="B367" t="s">
        <v>279</v>
      </c>
      <c r="C367" s="10">
        <v>42675</v>
      </c>
      <c r="D367" s="13">
        <f>YEAR(C367)</f>
        <v>2016</v>
      </c>
      <c r="E367" s="13">
        <f>MONTH(C367)</f>
        <v>11</v>
      </c>
      <c r="F367" s="13">
        <f>DAY(C367)</f>
        <v>1</v>
      </c>
      <c r="G367" s="13" t="s">
        <v>535</v>
      </c>
      <c r="H367" s="4" t="s">
        <v>14</v>
      </c>
      <c r="I367">
        <v>46.903599999999997</v>
      </c>
      <c r="J367">
        <v>6.6722000000000001</v>
      </c>
      <c r="K367" s="4" t="s">
        <v>15</v>
      </c>
      <c r="L367" s="4"/>
      <c r="M367" s="4" t="s">
        <v>1</v>
      </c>
      <c r="N367" s="4"/>
      <c r="O367" s="4" t="s">
        <v>17</v>
      </c>
      <c r="P367" s="4" t="s">
        <v>184</v>
      </c>
    </row>
    <row r="368" spans="1:16" s="8" customFormat="1" x14ac:dyDescent="0.25">
      <c r="A368">
        <f>RIGHT(B368,6)*1</f>
        <v>118471</v>
      </c>
      <c r="B368" t="s">
        <v>280</v>
      </c>
      <c r="C368" s="10">
        <v>42675</v>
      </c>
      <c r="D368" s="13">
        <f>YEAR(C368)</f>
        <v>2016</v>
      </c>
      <c r="E368" s="13">
        <f>MONTH(C368)</f>
        <v>11</v>
      </c>
      <c r="F368" s="13">
        <f>DAY(C368)</f>
        <v>1</v>
      </c>
      <c r="G368" s="13" t="s">
        <v>535</v>
      </c>
      <c r="H368" s="4" t="s">
        <v>14</v>
      </c>
      <c r="I368">
        <v>46.903599999999997</v>
      </c>
      <c r="J368">
        <v>6.6722000000000001</v>
      </c>
      <c r="K368" s="4" t="s">
        <v>15</v>
      </c>
      <c r="L368" s="4"/>
      <c r="M368" s="4" t="s">
        <v>1</v>
      </c>
      <c r="N368" s="4"/>
      <c r="O368" s="4" t="s">
        <v>17</v>
      </c>
      <c r="P368" s="4" t="s">
        <v>29</v>
      </c>
    </row>
    <row r="369" spans="1:16" s="8" customFormat="1" x14ac:dyDescent="0.25">
      <c r="A369">
        <f>RIGHT(B369,6)*1</f>
        <v>118472</v>
      </c>
      <c r="B369" t="s">
        <v>281</v>
      </c>
      <c r="C369" s="10">
        <v>42675</v>
      </c>
      <c r="D369" s="13">
        <f>YEAR(C369)</f>
        <v>2016</v>
      </c>
      <c r="E369" s="13">
        <f>MONTH(C369)</f>
        <v>11</v>
      </c>
      <c r="F369" s="13">
        <f>DAY(C369)</f>
        <v>1</v>
      </c>
      <c r="G369" s="13" t="s">
        <v>535</v>
      </c>
      <c r="H369" s="4" t="s">
        <v>14</v>
      </c>
      <c r="I369">
        <v>46.91</v>
      </c>
      <c r="J369">
        <v>6.6863999999999999</v>
      </c>
      <c r="K369" s="4" t="s">
        <v>15</v>
      </c>
      <c r="L369" s="4"/>
      <c r="M369" s="4" t="s">
        <v>1</v>
      </c>
      <c r="N369" s="4"/>
      <c r="O369" s="4" t="s">
        <v>17</v>
      </c>
      <c r="P369" s="4" t="s">
        <v>184</v>
      </c>
    </row>
    <row r="370" spans="1:16" s="8" customFormat="1" x14ac:dyDescent="0.25">
      <c r="A370">
        <f>RIGHT(B370,6)*1</f>
        <v>118473</v>
      </c>
      <c r="B370" t="s">
        <v>282</v>
      </c>
      <c r="C370" s="10">
        <v>42678</v>
      </c>
      <c r="D370" s="13">
        <f>YEAR(C370)</f>
        <v>2016</v>
      </c>
      <c r="E370" s="13">
        <f>MONTH(C370)</f>
        <v>11</v>
      </c>
      <c r="F370" s="13">
        <f>DAY(C370)</f>
        <v>4</v>
      </c>
      <c r="G370" s="13" t="s">
        <v>535</v>
      </c>
      <c r="H370" s="4" t="s">
        <v>14</v>
      </c>
      <c r="I370">
        <v>46.9283</v>
      </c>
      <c r="J370">
        <v>6.7336</v>
      </c>
      <c r="K370" s="4" t="s">
        <v>15</v>
      </c>
      <c r="L370" s="4"/>
      <c r="M370" s="4" t="s">
        <v>1</v>
      </c>
      <c r="N370" s="4"/>
      <c r="O370" s="4" t="s">
        <v>17</v>
      </c>
      <c r="P370" s="4" t="s">
        <v>29</v>
      </c>
    </row>
    <row r="371" spans="1:16" s="8" customFormat="1" x14ac:dyDescent="0.25">
      <c r="A371">
        <f>RIGHT(B371,6)*1</f>
        <v>118474</v>
      </c>
      <c r="B371" t="s">
        <v>283</v>
      </c>
      <c r="C371" s="10">
        <v>42678</v>
      </c>
      <c r="D371" s="13">
        <f>YEAR(C371)</f>
        <v>2016</v>
      </c>
      <c r="E371" s="13">
        <f>MONTH(C371)</f>
        <v>11</v>
      </c>
      <c r="F371" s="13">
        <f>DAY(C371)</f>
        <v>4</v>
      </c>
      <c r="G371" s="13" t="s">
        <v>535</v>
      </c>
      <c r="H371" s="4" t="s">
        <v>14</v>
      </c>
      <c r="I371">
        <v>46.9283</v>
      </c>
      <c r="J371">
        <v>6.7336</v>
      </c>
      <c r="K371" s="4" t="s">
        <v>15</v>
      </c>
      <c r="L371" s="4"/>
      <c r="M371" s="4" t="s">
        <v>1</v>
      </c>
      <c r="N371" s="4"/>
      <c r="O371" s="4" t="s">
        <v>17</v>
      </c>
      <c r="P371" s="4" t="s">
        <v>29</v>
      </c>
    </row>
    <row r="372" spans="1:16" s="8" customFormat="1" x14ac:dyDescent="0.25">
      <c r="A372">
        <f>RIGHT(B372,6)*1</f>
        <v>118475</v>
      </c>
      <c r="B372" t="s">
        <v>284</v>
      </c>
      <c r="C372" s="10">
        <v>42678</v>
      </c>
      <c r="D372" s="13">
        <f>YEAR(C372)</f>
        <v>2016</v>
      </c>
      <c r="E372" s="13">
        <f>MONTH(C372)</f>
        <v>11</v>
      </c>
      <c r="F372" s="13">
        <f>DAY(C372)</f>
        <v>4</v>
      </c>
      <c r="G372" s="13" t="s">
        <v>535</v>
      </c>
      <c r="H372" s="4" t="s">
        <v>14</v>
      </c>
      <c r="I372">
        <v>46.9283</v>
      </c>
      <c r="J372">
        <v>6.7336</v>
      </c>
      <c r="K372" s="4" t="s">
        <v>15</v>
      </c>
      <c r="L372" s="4"/>
      <c r="M372" s="4" t="s">
        <v>1</v>
      </c>
      <c r="N372" s="4"/>
      <c r="O372" s="4" t="s">
        <v>16</v>
      </c>
      <c r="P372" s="4" t="s">
        <v>29</v>
      </c>
    </row>
    <row r="373" spans="1:16" s="8" customFormat="1" x14ac:dyDescent="0.25">
      <c r="A373">
        <f>RIGHT(B373,6)*1</f>
        <v>118476</v>
      </c>
      <c r="B373" t="s">
        <v>285</v>
      </c>
      <c r="C373" s="10">
        <v>42678</v>
      </c>
      <c r="D373" s="13">
        <f>YEAR(C373)</f>
        <v>2016</v>
      </c>
      <c r="E373" s="13">
        <f>MONTH(C373)</f>
        <v>11</v>
      </c>
      <c r="F373" s="13">
        <f>DAY(C373)</f>
        <v>4</v>
      </c>
      <c r="G373" s="13" t="s">
        <v>535</v>
      </c>
      <c r="H373" s="4" t="s">
        <v>14</v>
      </c>
      <c r="I373">
        <v>46.928100000000001</v>
      </c>
      <c r="J373">
        <v>6.7217000000000002</v>
      </c>
      <c r="K373" s="4" t="s">
        <v>15</v>
      </c>
      <c r="L373" s="4"/>
      <c r="M373" s="4" t="s">
        <v>1</v>
      </c>
      <c r="N373" s="4"/>
      <c r="O373" s="4" t="s">
        <v>17</v>
      </c>
      <c r="P373" s="4" t="s">
        <v>29</v>
      </c>
    </row>
    <row r="374" spans="1:16" s="8" customFormat="1" x14ac:dyDescent="0.25">
      <c r="A374">
        <f>RIGHT(B374,6)*1</f>
        <v>118477</v>
      </c>
      <c r="B374" t="s">
        <v>286</v>
      </c>
      <c r="C374" s="10">
        <v>42678</v>
      </c>
      <c r="D374" s="13">
        <f>YEAR(C374)</f>
        <v>2016</v>
      </c>
      <c r="E374" s="13">
        <f>MONTH(C374)</f>
        <v>11</v>
      </c>
      <c r="F374" s="13">
        <f>DAY(C374)</f>
        <v>4</v>
      </c>
      <c r="G374" s="13" t="s">
        <v>535</v>
      </c>
      <c r="H374" s="4" t="s">
        <v>14</v>
      </c>
      <c r="I374">
        <v>46.928100000000001</v>
      </c>
      <c r="J374">
        <v>6.7217000000000002</v>
      </c>
      <c r="K374" s="4" t="s">
        <v>15</v>
      </c>
      <c r="L374" s="4"/>
      <c r="M374" s="4" t="s">
        <v>1</v>
      </c>
      <c r="N374" s="4"/>
      <c r="O374" s="4" t="s">
        <v>17</v>
      </c>
      <c r="P374" s="4" t="s">
        <v>29</v>
      </c>
    </row>
    <row r="375" spans="1:16" s="8" customFormat="1" x14ac:dyDescent="0.25">
      <c r="A375">
        <f>RIGHT(B375,6)*1</f>
        <v>118478</v>
      </c>
      <c r="B375" t="s">
        <v>287</v>
      </c>
      <c r="C375" s="10">
        <v>42678</v>
      </c>
      <c r="D375" s="13">
        <f>YEAR(C375)</f>
        <v>2016</v>
      </c>
      <c r="E375" s="13">
        <f>MONTH(C375)</f>
        <v>11</v>
      </c>
      <c r="F375" s="13">
        <f>DAY(C375)</f>
        <v>4</v>
      </c>
      <c r="G375" s="13" t="s">
        <v>535</v>
      </c>
      <c r="H375" s="4" t="s">
        <v>14</v>
      </c>
      <c r="I375">
        <v>46.928100000000001</v>
      </c>
      <c r="J375">
        <v>6.7217000000000002</v>
      </c>
      <c r="K375" s="4" t="s">
        <v>15</v>
      </c>
      <c r="L375" s="4"/>
      <c r="M375" s="4" t="s">
        <v>1</v>
      </c>
      <c r="N375" s="4"/>
      <c r="O375" s="4" t="s">
        <v>17</v>
      </c>
      <c r="P375" s="4" t="s">
        <v>29</v>
      </c>
    </row>
    <row r="376" spans="1:16" s="8" customFormat="1" x14ac:dyDescent="0.25">
      <c r="A376">
        <f>RIGHT(B376,6)*1</f>
        <v>118479</v>
      </c>
      <c r="B376" t="s">
        <v>288</v>
      </c>
      <c r="C376" s="10">
        <v>42678</v>
      </c>
      <c r="D376" s="13">
        <f>YEAR(C376)</f>
        <v>2016</v>
      </c>
      <c r="E376" s="13">
        <f>MONTH(C376)</f>
        <v>11</v>
      </c>
      <c r="F376" s="13">
        <f>DAY(C376)</f>
        <v>4</v>
      </c>
      <c r="G376" s="13" t="s">
        <v>535</v>
      </c>
      <c r="H376" s="4" t="s">
        <v>14</v>
      </c>
      <c r="I376">
        <v>46.928100000000001</v>
      </c>
      <c r="J376">
        <v>6.7217000000000002</v>
      </c>
      <c r="K376" s="4" t="s">
        <v>15</v>
      </c>
      <c r="L376" s="4"/>
      <c r="M376" s="4" t="s">
        <v>1</v>
      </c>
      <c r="N376" s="4"/>
      <c r="O376" s="4" t="s">
        <v>16</v>
      </c>
      <c r="P376" s="4" t="s">
        <v>29</v>
      </c>
    </row>
    <row r="377" spans="1:16" s="8" customFormat="1" x14ac:dyDescent="0.25">
      <c r="A377">
        <f>RIGHT(B377,6)*1</f>
        <v>118480</v>
      </c>
      <c r="B377" t="s">
        <v>289</v>
      </c>
      <c r="C377" s="10">
        <v>42678</v>
      </c>
      <c r="D377" s="13">
        <f>YEAR(C377)</f>
        <v>2016</v>
      </c>
      <c r="E377" s="13">
        <f>MONTH(C377)</f>
        <v>11</v>
      </c>
      <c r="F377" s="13">
        <f>DAY(C377)</f>
        <v>4</v>
      </c>
      <c r="G377" s="13" t="s">
        <v>535</v>
      </c>
      <c r="H377" s="4" t="s">
        <v>14</v>
      </c>
      <c r="I377">
        <v>46.928100000000001</v>
      </c>
      <c r="J377">
        <v>6.7217000000000002</v>
      </c>
      <c r="K377" s="4" t="s">
        <v>15</v>
      </c>
      <c r="L377" s="4"/>
      <c r="M377" s="4" t="s">
        <v>1</v>
      </c>
      <c r="N377" s="4"/>
      <c r="O377" s="4" t="s">
        <v>17</v>
      </c>
      <c r="P377" s="4" t="s">
        <v>29</v>
      </c>
    </row>
    <row r="378" spans="1:16" s="8" customFormat="1" x14ac:dyDescent="0.25">
      <c r="A378">
        <f>RIGHT(B378,6)*1</f>
        <v>118481</v>
      </c>
      <c r="B378" t="s">
        <v>290</v>
      </c>
      <c r="C378" s="10">
        <v>42679</v>
      </c>
      <c r="D378" s="13">
        <f>YEAR(C378)</f>
        <v>2016</v>
      </c>
      <c r="E378" s="13">
        <f>MONTH(C378)</f>
        <v>11</v>
      </c>
      <c r="F378" s="13">
        <f>DAY(C378)</f>
        <v>5</v>
      </c>
      <c r="G378" s="13" t="s">
        <v>535</v>
      </c>
      <c r="H378" s="4" t="s">
        <v>14</v>
      </c>
      <c r="I378">
        <v>46.929699999999997</v>
      </c>
      <c r="J378">
        <v>6.4603000000000002</v>
      </c>
      <c r="K378" s="4" t="s">
        <v>15</v>
      </c>
      <c r="L378" s="4"/>
      <c r="M378" s="4" t="s">
        <v>1</v>
      </c>
      <c r="N378" s="4"/>
      <c r="O378" s="4" t="s">
        <v>16</v>
      </c>
      <c r="P378" s="4" t="s">
        <v>29</v>
      </c>
    </row>
    <row r="379" spans="1:16" s="8" customFormat="1" x14ac:dyDescent="0.25">
      <c r="A379">
        <f>RIGHT(B379,6)*1</f>
        <v>118482</v>
      </c>
      <c r="B379" t="s">
        <v>291</v>
      </c>
      <c r="C379" s="10">
        <v>42679</v>
      </c>
      <c r="D379" s="13">
        <f>YEAR(C379)</f>
        <v>2016</v>
      </c>
      <c r="E379" s="13">
        <f>MONTH(C379)</f>
        <v>11</v>
      </c>
      <c r="F379" s="13">
        <f>DAY(C379)</f>
        <v>5</v>
      </c>
      <c r="G379" s="13" t="s">
        <v>535</v>
      </c>
      <c r="H379" s="4" t="s">
        <v>14</v>
      </c>
      <c r="I379">
        <v>46.929699999999997</v>
      </c>
      <c r="J379">
        <v>6.4603000000000002</v>
      </c>
      <c r="K379" s="4" t="s">
        <v>15</v>
      </c>
      <c r="L379" s="4"/>
      <c r="M379" s="4" t="s">
        <v>1</v>
      </c>
      <c r="N379" s="4"/>
      <c r="O379" s="4" t="s">
        <v>17</v>
      </c>
      <c r="P379" s="4" t="s">
        <v>29</v>
      </c>
    </row>
    <row r="380" spans="1:16" s="8" customFormat="1" x14ac:dyDescent="0.25">
      <c r="A380">
        <f>RIGHT(B380,6)*1</f>
        <v>118483</v>
      </c>
      <c r="B380" t="s">
        <v>292</v>
      </c>
      <c r="C380" s="10">
        <v>42679</v>
      </c>
      <c r="D380" s="13">
        <f>YEAR(C380)</f>
        <v>2016</v>
      </c>
      <c r="E380" s="13">
        <f>MONTH(C380)</f>
        <v>11</v>
      </c>
      <c r="F380" s="13">
        <f>DAY(C380)</f>
        <v>5</v>
      </c>
      <c r="G380" s="13" t="s">
        <v>535</v>
      </c>
      <c r="H380" s="4" t="s">
        <v>14</v>
      </c>
      <c r="I380">
        <v>46.929699999999997</v>
      </c>
      <c r="J380">
        <v>6.4603000000000002</v>
      </c>
      <c r="K380" s="4" t="s">
        <v>15</v>
      </c>
      <c r="L380" s="4"/>
      <c r="M380" s="4" t="s">
        <v>1</v>
      </c>
      <c r="N380" s="4"/>
      <c r="O380" s="4" t="s">
        <v>17</v>
      </c>
      <c r="P380" s="4" t="s">
        <v>29</v>
      </c>
    </row>
    <row r="381" spans="1:16" s="8" customFormat="1" x14ac:dyDescent="0.25">
      <c r="A381">
        <f>RIGHT(B381,6)*1</f>
        <v>118484</v>
      </c>
      <c r="B381" t="s">
        <v>293</v>
      </c>
      <c r="C381" s="10">
        <v>42679</v>
      </c>
      <c r="D381" s="13">
        <f>YEAR(C381)</f>
        <v>2016</v>
      </c>
      <c r="E381" s="13">
        <f>MONTH(C381)</f>
        <v>11</v>
      </c>
      <c r="F381" s="13">
        <f>DAY(C381)</f>
        <v>5</v>
      </c>
      <c r="G381" s="13" t="s">
        <v>535</v>
      </c>
      <c r="H381" s="4" t="s">
        <v>14</v>
      </c>
      <c r="I381">
        <v>46.929699999999997</v>
      </c>
      <c r="J381">
        <v>6.4603000000000002</v>
      </c>
      <c r="K381" s="4" t="s">
        <v>15</v>
      </c>
      <c r="L381" s="4"/>
      <c r="M381" s="4" t="s">
        <v>1</v>
      </c>
      <c r="N381" s="4"/>
      <c r="O381" s="4" t="s">
        <v>16</v>
      </c>
      <c r="P381" s="4" t="s">
        <v>29</v>
      </c>
    </row>
    <row r="382" spans="1:16" s="8" customFormat="1" x14ac:dyDescent="0.25">
      <c r="A382">
        <f>RIGHT(B382,6)*1</f>
        <v>118485</v>
      </c>
      <c r="B382" t="s">
        <v>294</v>
      </c>
      <c r="C382" s="10">
        <v>42679</v>
      </c>
      <c r="D382" s="13">
        <f>YEAR(C382)</f>
        <v>2016</v>
      </c>
      <c r="E382" s="13">
        <f>MONTH(C382)</f>
        <v>11</v>
      </c>
      <c r="F382" s="13">
        <f>DAY(C382)</f>
        <v>5</v>
      </c>
      <c r="G382" s="13" t="s">
        <v>535</v>
      </c>
      <c r="H382" s="4" t="s">
        <v>14</v>
      </c>
      <c r="I382">
        <v>46.929699999999997</v>
      </c>
      <c r="J382">
        <v>6.4603000000000002</v>
      </c>
      <c r="K382" s="4" t="s">
        <v>15</v>
      </c>
      <c r="L382" s="4"/>
      <c r="M382" s="4" t="s">
        <v>1</v>
      </c>
      <c r="N382" s="4"/>
      <c r="O382" s="4" t="s">
        <v>17</v>
      </c>
      <c r="P382" s="4" t="s">
        <v>29</v>
      </c>
    </row>
    <row r="383" spans="1:16" s="8" customFormat="1" x14ac:dyDescent="0.25">
      <c r="A383">
        <f>RIGHT(B383,6)*1</f>
        <v>118486</v>
      </c>
      <c r="B383" t="s">
        <v>295</v>
      </c>
      <c r="C383" s="10">
        <v>42679</v>
      </c>
      <c r="D383" s="13">
        <f>YEAR(C383)</f>
        <v>2016</v>
      </c>
      <c r="E383" s="13">
        <f>MONTH(C383)</f>
        <v>11</v>
      </c>
      <c r="F383" s="13">
        <f>DAY(C383)</f>
        <v>5</v>
      </c>
      <c r="G383" s="13" t="s">
        <v>535</v>
      </c>
      <c r="H383" s="4" t="s">
        <v>14</v>
      </c>
      <c r="I383">
        <v>46.929699999999997</v>
      </c>
      <c r="J383">
        <v>6.4603000000000002</v>
      </c>
      <c r="K383" s="4" t="s">
        <v>15</v>
      </c>
      <c r="L383" s="4"/>
      <c r="M383" s="4" t="s">
        <v>1</v>
      </c>
      <c r="N383" s="4"/>
      <c r="O383" s="4" t="s">
        <v>17</v>
      </c>
      <c r="P383" s="4" t="s">
        <v>184</v>
      </c>
    </row>
    <row r="384" spans="1:16" s="8" customFormat="1" x14ac:dyDescent="0.25">
      <c r="A384">
        <f>RIGHT(B384,6)*1</f>
        <v>118487</v>
      </c>
      <c r="B384" t="s">
        <v>296</v>
      </c>
      <c r="C384" s="10">
        <v>42679</v>
      </c>
      <c r="D384" s="13">
        <f>YEAR(C384)</f>
        <v>2016</v>
      </c>
      <c r="E384" s="13">
        <f>MONTH(C384)</f>
        <v>11</v>
      </c>
      <c r="F384" s="13">
        <f>DAY(C384)</f>
        <v>5</v>
      </c>
      <c r="G384" s="13" t="s">
        <v>535</v>
      </c>
      <c r="H384" s="4" t="s">
        <v>14</v>
      </c>
      <c r="I384">
        <v>46.929699999999997</v>
      </c>
      <c r="J384">
        <v>6.4603000000000002</v>
      </c>
      <c r="K384" s="4" t="s">
        <v>15</v>
      </c>
      <c r="L384" s="4"/>
      <c r="M384" s="4" t="s">
        <v>1</v>
      </c>
      <c r="N384" s="4"/>
      <c r="O384" s="4" t="s">
        <v>16</v>
      </c>
      <c r="P384" s="4" t="s">
        <v>184</v>
      </c>
    </row>
    <row r="385" spans="1:16" s="8" customFormat="1" x14ac:dyDescent="0.25">
      <c r="A385">
        <f>RIGHT(B385,6)*1</f>
        <v>118488</v>
      </c>
      <c r="B385" t="s">
        <v>297</v>
      </c>
      <c r="C385" s="10">
        <v>42679</v>
      </c>
      <c r="D385" s="13">
        <f>YEAR(C385)</f>
        <v>2016</v>
      </c>
      <c r="E385" s="13">
        <f>MONTH(C385)</f>
        <v>11</v>
      </c>
      <c r="F385" s="13">
        <f>DAY(C385)</f>
        <v>5</v>
      </c>
      <c r="G385" s="13" t="s">
        <v>535</v>
      </c>
      <c r="H385" s="4" t="s">
        <v>14</v>
      </c>
      <c r="I385">
        <v>46.929699999999997</v>
      </c>
      <c r="J385">
        <v>6.4603000000000002</v>
      </c>
      <c r="K385" s="4" t="s">
        <v>15</v>
      </c>
      <c r="L385" s="4"/>
      <c r="M385" s="4" t="s">
        <v>1</v>
      </c>
      <c r="N385" s="4"/>
      <c r="O385" s="4" t="s">
        <v>17</v>
      </c>
      <c r="P385" s="4" t="s">
        <v>29</v>
      </c>
    </row>
    <row r="386" spans="1:16" s="8" customFormat="1" x14ac:dyDescent="0.25">
      <c r="A386">
        <f>RIGHT(B386,6)*1</f>
        <v>118489</v>
      </c>
      <c r="B386" t="s">
        <v>298</v>
      </c>
      <c r="C386" s="10">
        <v>42679</v>
      </c>
      <c r="D386" s="13">
        <f>YEAR(C386)</f>
        <v>2016</v>
      </c>
      <c r="E386" s="13">
        <f>MONTH(C386)</f>
        <v>11</v>
      </c>
      <c r="F386" s="13">
        <f>DAY(C386)</f>
        <v>5</v>
      </c>
      <c r="G386" s="13" t="s">
        <v>535</v>
      </c>
      <c r="H386" s="4" t="s">
        <v>14</v>
      </c>
      <c r="I386">
        <v>46.934399999999997</v>
      </c>
      <c r="J386">
        <v>6.5835999999999997</v>
      </c>
      <c r="K386" s="4" t="s">
        <v>15</v>
      </c>
      <c r="L386" s="4"/>
      <c r="M386" s="4" t="s">
        <v>1</v>
      </c>
      <c r="N386" s="4"/>
      <c r="O386" s="4" t="s">
        <v>17</v>
      </c>
      <c r="P386" s="4" t="s">
        <v>29</v>
      </c>
    </row>
    <row r="387" spans="1:16" s="8" customFormat="1" x14ac:dyDescent="0.25">
      <c r="A387">
        <f>RIGHT(B387,6)*1</f>
        <v>118490</v>
      </c>
      <c r="B387" t="s">
        <v>299</v>
      </c>
      <c r="C387" s="10">
        <v>42679</v>
      </c>
      <c r="D387" s="13">
        <f>YEAR(C387)</f>
        <v>2016</v>
      </c>
      <c r="E387" s="13">
        <f>MONTH(C387)</f>
        <v>11</v>
      </c>
      <c r="F387" s="13">
        <f>DAY(C387)</f>
        <v>5</v>
      </c>
      <c r="G387" s="13" t="s">
        <v>535</v>
      </c>
      <c r="H387" s="4" t="s">
        <v>14</v>
      </c>
      <c r="I387">
        <v>46.934399999999997</v>
      </c>
      <c r="J387">
        <v>6.5835999999999997</v>
      </c>
      <c r="K387" s="4" t="s">
        <v>15</v>
      </c>
      <c r="L387" s="4"/>
      <c r="M387" s="4" t="s">
        <v>1</v>
      </c>
      <c r="N387" s="4"/>
      <c r="O387" s="4" t="s">
        <v>17</v>
      </c>
      <c r="P387" s="4" t="s">
        <v>29</v>
      </c>
    </row>
    <row r="388" spans="1:16" s="8" customFormat="1" x14ac:dyDescent="0.25">
      <c r="A388">
        <f>RIGHT(B388,6)*1</f>
        <v>118491</v>
      </c>
      <c r="B388" t="s">
        <v>300</v>
      </c>
      <c r="C388" s="10">
        <v>42679</v>
      </c>
      <c r="D388" s="13">
        <f>YEAR(C388)</f>
        <v>2016</v>
      </c>
      <c r="E388" s="13">
        <f>MONTH(C388)</f>
        <v>11</v>
      </c>
      <c r="F388" s="13">
        <f>DAY(C388)</f>
        <v>5</v>
      </c>
      <c r="G388" s="13" t="s">
        <v>535</v>
      </c>
      <c r="H388" s="4" t="s">
        <v>14</v>
      </c>
      <c r="I388">
        <v>46.934399999999997</v>
      </c>
      <c r="J388">
        <v>6.5835999999999997</v>
      </c>
      <c r="K388" s="4" t="s">
        <v>15</v>
      </c>
      <c r="L388" s="4"/>
      <c r="M388" s="4" t="s">
        <v>1</v>
      </c>
      <c r="N388" s="4"/>
      <c r="O388" s="4" t="s">
        <v>17</v>
      </c>
      <c r="P388" s="4" t="s">
        <v>29</v>
      </c>
    </row>
    <row r="389" spans="1:16" s="8" customFormat="1" x14ac:dyDescent="0.25">
      <c r="A389">
        <f>RIGHT(B389,6)*1</f>
        <v>118492</v>
      </c>
      <c r="B389" t="s">
        <v>301</v>
      </c>
      <c r="C389" s="10">
        <v>42679</v>
      </c>
      <c r="D389" s="13">
        <f>YEAR(C389)</f>
        <v>2016</v>
      </c>
      <c r="E389" s="13">
        <f>MONTH(C389)</f>
        <v>11</v>
      </c>
      <c r="F389" s="13">
        <f>DAY(C389)</f>
        <v>5</v>
      </c>
      <c r="G389" s="13" t="s">
        <v>535</v>
      </c>
      <c r="H389" s="4" t="s">
        <v>14</v>
      </c>
      <c r="I389">
        <v>46.934399999999997</v>
      </c>
      <c r="J389">
        <v>6.5835999999999997</v>
      </c>
      <c r="K389" s="4" t="s">
        <v>15</v>
      </c>
      <c r="L389" s="4"/>
      <c r="M389" s="4" t="s">
        <v>1</v>
      </c>
      <c r="N389" s="4"/>
      <c r="O389" s="4" t="s">
        <v>17</v>
      </c>
      <c r="P389" s="4" t="s">
        <v>29</v>
      </c>
    </row>
    <row r="390" spans="1:16" s="8" customFormat="1" x14ac:dyDescent="0.25">
      <c r="A390">
        <f>RIGHT(B390,6)*1</f>
        <v>118493</v>
      </c>
      <c r="B390" t="s">
        <v>302</v>
      </c>
      <c r="C390" s="10">
        <v>42679</v>
      </c>
      <c r="D390" s="13">
        <f>YEAR(C390)</f>
        <v>2016</v>
      </c>
      <c r="E390" s="13">
        <f>MONTH(C390)</f>
        <v>11</v>
      </c>
      <c r="F390" s="13">
        <f>DAY(C390)</f>
        <v>5</v>
      </c>
      <c r="G390" s="13" t="s">
        <v>535</v>
      </c>
      <c r="H390" s="4" t="s">
        <v>14</v>
      </c>
      <c r="I390">
        <v>46.934399999999997</v>
      </c>
      <c r="J390">
        <v>6.5835999999999997</v>
      </c>
      <c r="K390" s="4" t="s">
        <v>15</v>
      </c>
      <c r="L390" s="4"/>
      <c r="M390" s="4" t="s">
        <v>1</v>
      </c>
      <c r="N390" s="4"/>
      <c r="O390" s="4" t="s">
        <v>17</v>
      </c>
      <c r="P390" s="4" t="s">
        <v>29</v>
      </c>
    </row>
    <row r="391" spans="1:16" s="8" customFormat="1" x14ac:dyDescent="0.25">
      <c r="A391">
        <f>RIGHT(B391,6)*1</f>
        <v>118494</v>
      </c>
      <c r="B391" t="s">
        <v>303</v>
      </c>
      <c r="C391" s="10">
        <v>42679</v>
      </c>
      <c r="D391" s="13">
        <f>YEAR(C391)</f>
        <v>2016</v>
      </c>
      <c r="E391" s="13">
        <f>MONTH(C391)</f>
        <v>11</v>
      </c>
      <c r="F391" s="13">
        <f>DAY(C391)</f>
        <v>5</v>
      </c>
      <c r="G391" s="13" t="s">
        <v>535</v>
      </c>
      <c r="H391" s="4" t="s">
        <v>14</v>
      </c>
      <c r="I391">
        <v>46.992800000000003</v>
      </c>
      <c r="J391">
        <v>6.6971999999999996</v>
      </c>
      <c r="K391" s="4" t="s">
        <v>15</v>
      </c>
      <c r="L391" s="4"/>
      <c r="M391" s="4" t="s">
        <v>1</v>
      </c>
      <c r="N391" s="4"/>
      <c r="O391" s="4" t="s">
        <v>17</v>
      </c>
      <c r="P391" s="4" t="s">
        <v>184</v>
      </c>
    </row>
    <row r="392" spans="1:16" s="8" customFormat="1" x14ac:dyDescent="0.25">
      <c r="A392">
        <f>RIGHT(B392,6)*1</f>
        <v>118495</v>
      </c>
      <c r="B392" t="s">
        <v>304</v>
      </c>
      <c r="C392" s="10">
        <v>42679</v>
      </c>
      <c r="D392" s="13">
        <f>YEAR(C392)</f>
        <v>2016</v>
      </c>
      <c r="E392" s="13">
        <f>MONTH(C392)</f>
        <v>11</v>
      </c>
      <c r="F392" s="13">
        <f>DAY(C392)</f>
        <v>5</v>
      </c>
      <c r="G392" s="13" t="s">
        <v>535</v>
      </c>
      <c r="H392" s="4" t="s">
        <v>14</v>
      </c>
      <c r="I392">
        <v>46.992800000000003</v>
      </c>
      <c r="J392">
        <v>6.6971999999999996</v>
      </c>
      <c r="K392" s="4" t="s">
        <v>15</v>
      </c>
      <c r="L392" s="4"/>
      <c r="M392" s="4" t="s">
        <v>1</v>
      </c>
      <c r="N392" s="4"/>
      <c r="O392" s="4" t="s">
        <v>17</v>
      </c>
      <c r="P392" s="4" t="s">
        <v>29</v>
      </c>
    </row>
    <row r="393" spans="1:16" s="8" customFormat="1" x14ac:dyDescent="0.25">
      <c r="A393">
        <f>RIGHT(B393,6)*1</f>
        <v>118496</v>
      </c>
      <c r="B393" t="s">
        <v>305</v>
      </c>
      <c r="C393" s="10">
        <v>42679</v>
      </c>
      <c r="D393" s="13">
        <f>YEAR(C393)</f>
        <v>2016</v>
      </c>
      <c r="E393" s="13">
        <f>MONTH(C393)</f>
        <v>11</v>
      </c>
      <c r="F393" s="13">
        <f>DAY(C393)</f>
        <v>5</v>
      </c>
      <c r="G393" s="13" t="s">
        <v>535</v>
      </c>
      <c r="H393" s="4" t="s">
        <v>14</v>
      </c>
      <c r="I393">
        <v>46.992800000000003</v>
      </c>
      <c r="J393">
        <v>6.6971999999999996</v>
      </c>
      <c r="K393" s="4" t="s">
        <v>15</v>
      </c>
      <c r="L393" s="4"/>
      <c r="M393" s="4" t="s">
        <v>1</v>
      </c>
      <c r="N393" s="4"/>
      <c r="O393" s="4" t="s">
        <v>17</v>
      </c>
      <c r="P393" s="4" t="s">
        <v>29</v>
      </c>
    </row>
    <row r="394" spans="1:16" s="8" customFormat="1" x14ac:dyDescent="0.25">
      <c r="A394">
        <f>RIGHT(B394,6)*1</f>
        <v>118497</v>
      </c>
      <c r="B394" t="s">
        <v>306</v>
      </c>
      <c r="C394" s="10">
        <v>42679</v>
      </c>
      <c r="D394" s="13">
        <f>YEAR(C394)</f>
        <v>2016</v>
      </c>
      <c r="E394" s="13">
        <f>MONTH(C394)</f>
        <v>11</v>
      </c>
      <c r="F394" s="13">
        <f>DAY(C394)</f>
        <v>5</v>
      </c>
      <c r="G394" s="13" t="s">
        <v>535</v>
      </c>
      <c r="H394" s="4" t="s">
        <v>14</v>
      </c>
      <c r="I394">
        <v>46.972799999999999</v>
      </c>
      <c r="J394">
        <v>6.6696999999999997</v>
      </c>
      <c r="K394" s="4" t="s">
        <v>15</v>
      </c>
      <c r="L394" s="4"/>
      <c r="M394" s="4" t="s">
        <v>1</v>
      </c>
      <c r="N394" s="4"/>
      <c r="O394" s="4" t="s">
        <v>17</v>
      </c>
      <c r="P394" s="4" t="s">
        <v>29</v>
      </c>
    </row>
    <row r="395" spans="1:16" s="8" customFormat="1" x14ac:dyDescent="0.25">
      <c r="A395">
        <f>RIGHT(B395,6)*1</f>
        <v>118498</v>
      </c>
      <c r="B395" t="s">
        <v>307</v>
      </c>
      <c r="C395" s="10">
        <v>42679</v>
      </c>
      <c r="D395" s="13">
        <f>YEAR(C395)</f>
        <v>2016</v>
      </c>
      <c r="E395" s="13">
        <f>MONTH(C395)</f>
        <v>11</v>
      </c>
      <c r="F395" s="13">
        <f>DAY(C395)</f>
        <v>5</v>
      </c>
      <c r="G395" s="13" t="s">
        <v>535</v>
      </c>
      <c r="H395" s="4" t="s">
        <v>14</v>
      </c>
      <c r="I395">
        <v>46.972799999999999</v>
      </c>
      <c r="J395">
        <v>6.6696999999999997</v>
      </c>
      <c r="K395" s="4" t="s">
        <v>15</v>
      </c>
      <c r="L395" s="4"/>
      <c r="M395" s="4" t="s">
        <v>1</v>
      </c>
      <c r="N395" s="4"/>
      <c r="O395" s="4" t="s">
        <v>17</v>
      </c>
      <c r="P395" s="4" t="s">
        <v>29</v>
      </c>
    </row>
    <row r="396" spans="1:16" s="8" customFormat="1" x14ac:dyDescent="0.25">
      <c r="A396">
        <f>RIGHT(B396,6)*1</f>
        <v>121998</v>
      </c>
      <c r="B396" t="s">
        <v>358</v>
      </c>
      <c r="C396" s="10">
        <v>43040</v>
      </c>
      <c r="D396" s="13">
        <f>YEAR(C396)</f>
        <v>2017</v>
      </c>
      <c r="E396" s="13">
        <f>MONTH(C396)</f>
        <v>11</v>
      </c>
      <c r="F396" s="13">
        <f>DAY(C396)</f>
        <v>1</v>
      </c>
      <c r="G396" s="13" t="s">
        <v>535</v>
      </c>
      <c r="H396" s="4" t="s">
        <v>14</v>
      </c>
      <c r="I396">
        <v>46.992800000000003</v>
      </c>
      <c r="J396">
        <v>6.6971999999999996</v>
      </c>
      <c r="K396" s="4" t="s">
        <v>15</v>
      </c>
      <c r="L396" s="4"/>
      <c r="M396" s="4" t="s">
        <v>1</v>
      </c>
      <c r="N396" s="4"/>
      <c r="O396" s="4" t="s">
        <v>17</v>
      </c>
      <c r="P396" s="4" t="s">
        <v>29</v>
      </c>
    </row>
    <row r="397" spans="1:16" s="8" customFormat="1" x14ac:dyDescent="0.25">
      <c r="A397">
        <f>RIGHT(B397,6)*1</f>
        <v>121999</v>
      </c>
      <c r="B397" t="s">
        <v>359</v>
      </c>
      <c r="C397" s="10">
        <v>43041</v>
      </c>
      <c r="D397" s="13">
        <f>YEAR(C397)</f>
        <v>2017</v>
      </c>
      <c r="E397" s="13">
        <f>MONTH(C397)</f>
        <v>11</v>
      </c>
      <c r="F397" s="13">
        <f>DAY(C397)</f>
        <v>2</v>
      </c>
      <c r="G397" s="13" t="s">
        <v>535</v>
      </c>
      <c r="H397" s="4" t="s">
        <v>14</v>
      </c>
      <c r="I397">
        <v>46.992800000000003</v>
      </c>
      <c r="J397">
        <v>6.6971999999999996</v>
      </c>
      <c r="K397" s="4" t="s">
        <v>15</v>
      </c>
      <c r="L397" s="4"/>
      <c r="M397" s="4" t="s">
        <v>1</v>
      </c>
      <c r="N397" s="4"/>
      <c r="O397" s="4" t="s">
        <v>17</v>
      </c>
      <c r="P397" s="4" t="s">
        <v>184</v>
      </c>
    </row>
    <row r="398" spans="1:16" s="8" customFormat="1" x14ac:dyDescent="0.25">
      <c r="A398">
        <f>RIGHT(B398,6)*1</f>
        <v>122000</v>
      </c>
      <c r="B398" t="s">
        <v>360</v>
      </c>
      <c r="C398" s="10">
        <v>43041</v>
      </c>
      <c r="D398" s="13">
        <f>YEAR(C398)</f>
        <v>2017</v>
      </c>
      <c r="E398" s="13">
        <f>MONTH(C398)</f>
        <v>11</v>
      </c>
      <c r="F398" s="13">
        <f>DAY(C398)</f>
        <v>2</v>
      </c>
      <c r="G398" s="13" t="s">
        <v>535</v>
      </c>
      <c r="H398" s="4" t="s">
        <v>14</v>
      </c>
      <c r="I398">
        <v>46.903599999999997</v>
      </c>
      <c r="J398">
        <v>6.6722000000000001</v>
      </c>
      <c r="K398" s="4" t="s">
        <v>15</v>
      </c>
      <c r="L398" s="4"/>
      <c r="M398" s="4" t="s">
        <v>1</v>
      </c>
      <c r="N398" s="4"/>
      <c r="O398" s="4" t="s">
        <v>17</v>
      </c>
      <c r="P398" s="4" t="s">
        <v>29</v>
      </c>
    </row>
    <row r="399" spans="1:16" s="8" customFormat="1" x14ac:dyDescent="0.25">
      <c r="A399">
        <f>RIGHT(B399,6)*1</f>
        <v>122001</v>
      </c>
      <c r="B399" t="s">
        <v>361</v>
      </c>
      <c r="C399" s="10">
        <v>43041</v>
      </c>
      <c r="D399" s="13">
        <f>YEAR(C399)</f>
        <v>2017</v>
      </c>
      <c r="E399" s="13">
        <f>MONTH(C399)</f>
        <v>11</v>
      </c>
      <c r="F399" s="13">
        <f>DAY(C399)</f>
        <v>2</v>
      </c>
      <c r="G399" s="13" t="s">
        <v>535</v>
      </c>
      <c r="H399" s="4" t="s">
        <v>14</v>
      </c>
      <c r="I399">
        <v>46.903599999999997</v>
      </c>
      <c r="J399">
        <v>6.6722000000000001</v>
      </c>
      <c r="K399" s="4" t="s">
        <v>15</v>
      </c>
      <c r="L399" s="4"/>
      <c r="M399" s="4" t="s">
        <v>1</v>
      </c>
      <c r="N399" s="4"/>
      <c r="O399" s="4" t="s">
        <v>17</v>
      </c>
      <c r="P399" s="4" t="s">
        <v>184</v>
      </c>
    </row>
    <row r="400" spans="1:16" s="8" customFormat="1" x14ac:dyDescent="0.25">
      <c r="A400">
        <f>RIGHT(B400,6)*1</f>
        <v>122002</v>
      </c>
      <c r="B400" t="s">
        <v>362</v>
      </c>
      <c r="C400" s="10">
        <v>43041</v>
      </c>
      <c r="D400" s="13">
        <f>YEAR(C400)</f>
        <v>2017</v>
      </c>
      <c r="E400" s="13">
        <f>MONTH(C400)</f>
        <v>11</v>
      </c>
      <c r="F400" s="13">
        <f>DAY(C400)</f>
        <v>2</v>
      </c>
      <c r="G400" s="13" t="s">
        <v>535</v>
      </c>
      <c r="H400" s="4" t="s">
        <v>14</v>
      </c>
      <c r="I400">
        <v>46.8992</v>
      </c>
      <c r="J400">
        <v>6.6707999999999998</v>
      </c>
      <c r="K400" s="4" t="s">
        <v>15</v>
      </c>
      <c r="L400" s="4"/>
      <c r="M400" s="4" t="s">
        <v>1</v>
      </c>
      <c r="N400" s="4"/>
      <c r="O400" s="4" t="s">
        <v>17</v>
      </c>
      <c r="P400" s="4" t="s">
        <v>29</v>
      </c>
    </row>
    <row r="401" spans="1:16" s="8" customFormat="1" x14ac:dyDescent="0.25">
      <c r="A401">
        <f>RIGHT(B401,6)*1</f>
        <v>122003</v>
      </c>
      <c r="B401" t="s">
        <v>363</v>
      </c>
      <c r="C401" s="10">
        <v>43041</v>
      </c>
      <c r="D401" s="13">
        <f>YEAR(C401)</f>
        <v>2017</v>
      </c>
      <c r="E401" s="13">
        <f>MONTH(C401)</f>
        <v>11</v>
      </c>
      <c r="F401" s="13">
        <f>DAY(C401)</f>
        <v>2</v>
      </c>
      <c r="G401" s="13" t="s">
        <v>535</v>
      </c>
      <c r="H401" s="4" t="s">
        <v>14</v>
      </c>
      <c r="I401">
        <v>46.8992</v>
      </c>
      <c r="J401">
        <v>6.6707999999999998</v>
      </c>
      <c r="K401" s="4" t="s">
        <v>15</v>
      </c>
      <c r="L401" s="4"/>
      <c r="M401" s="4" t="s">
        <v>1</v>
      </c>
      <c r="N401" s="4"/>
      <c r="O401" s="4" t="s">
        <v>17</v>
      </c>
      <c r="P401" s="4" t="s">
        <v>184</v>
      </c>
    </row>
    <row r="402" spans="1:16" s="8" customFormat="1" x14ac:dyDescent="0.25">
      <c r="A402">
        <f>RIGHT(B402,6)*1</f>
        <v>122004</v>
      </c>
      <c r="B402" t="s">
        <v>364</v>
      </c>
      <c r="C402" s="10">
        <v>43041</v>
      </c>
      <c r="D402" s="13">
        <f>YEAR(C402)</f>
        <v>2017</v>
      </c>
      <c r="E402" s="13">
        <f>MONTH(C402)</f>
        <v>11</v>
      </c>
      <c r="F402" s="13">
        <f>DAY(C402)</f>
        <v>2</v>
      </c>
      <c r="G402" s="13" t="s">
        <v>535</v>
      </c>
      <c r="H402" s="4" t="s">
        <v>14</v>
      </c>
      <c r="I402">
        <v>46.8992</v>
      </c>
      <c r="J402">
        <v>6.6707999999999998</v>
      </c>
      <c r="K402" s="4" t="s">
        <v>15</v>
      </c>
      <c r="L402" s="4"/>
      <c r="M402" s="4" t="s">
        <v>1</v>
      </c>
      <c r="N402" s="4"/>
      <c r="O402" s="4" t="s">
        <v>16</v>
      </c>
      <c r="P402" s="4" t="s">
        <v>29</v>
      </c>
    </row>
    <row r="403" spans="1:16" s="8" customFormat="1" x14ac:dyDescent="0.25">
      <c r="A403">
        <f>RIGHT(B403,6)*1</f>
        <v>122005</v>
      </c>
      <c r="B403" t="s">
        <v>365</v>
      </c>
      <c r="C403" s="10">
        <v>43042</v>
      </c>
      <c r="D403" s="13">
        <f>YEAR(C403)</f>
        <v>2017</v>
      </c>
      <c r="E403" s="13">
        <f>MONTH(C403)</f>
        <v>11</v>
      </c>
      <c r="F403" s="13">
        <f>DAY(C403)</f>
        <v>3</v>
      </c>
      <c r="G403" s="13" t="s">
        <v>535</v>
      </c>
      <c r="H403" s="4" t="s">
        <v>14</v>
      </c>
      <c r="I403">
        <v>46.864100000000001</v>
      </c>
      <c r="J403">
        <v>6.5716999999999999</v>
      </c>
      <c r="K403" s="4" t="s">
        <v>15</v>
      </c>
      <c r="L403" s="4"/>
      <c r="M403" s="4" t="s">
        <v>1</v>
      </c>
      <c r="N403" s="4"/>
      <c r="O403" s="4" t="s">
        <v>17</v>
      </c>
      <c r="P403" s="4" t="s">
        <v>184</v>
      </c>
    </row>
    <row r="404" spans="1:16" s="8" customFormat="1" x14ac:dyDescent="0.25">
      <c r="A404">
        <f>RIGHT(B404,6)*1</f>
        <v>122006</v>
      </c>
      <c r="B404" t="s">
        <v>366</v>
      </c>
      <c r="C404" s="10">
        <v>43042</v>
      </c>
      <c r="D404" s="13">
        <f>YEAR(C404)</f>
        <v>2017</v>
      </c>
      <c r="E404" s="13">
        <f>MONTH(C404)</f>
        <v>11</v>
      </c>
      <c r="F404" s="13">
        <f>DAY(C404)</f>
        <v>3</v>
      </c>
      <c r="G404" s="13" t="s">
        <v>535</v>
      </c>
      <c r="H404" s="4" t="s">
        <v>14</v>
      </c>
      <c r="I404">
        <v>46.864100000000001</v>
      </c>
      <c r="J404">
        <v>6.5716999999999999</v>
      </c>
      <c r="K404" s="4" t="s">
        <v>15</v>
      </c>
      <c r="L404" s="4"/>
      <c r="M404" s="4" t="s">
        <v>1</v>
      </c>
      <c r="N404" s="4"/>
      <c r="O404" s="4" t="s">
        <v>17</v>
      </c>
      <c r="P404" s="4" t="s">
        <v>29</v>
      </c>
    </row>
    <row r="405" spans="1:16" s="8" customFormat="1" x14ac:dyDescent="0.25">
      <c r="A405">
        <f>RIGHT(B405,6)*1</f>
        <v>122007</v>
      </c>
      <c r="B405" t="s">
        <v>367</v>
      </c>
      <c r="C405" s="10">
        <v>43042</v>
      </c>
      <c r="D405" s="13">
        <f>YEAR(C405)</f>
        <v>2017</v>
      </c>
      <c r="E405" s="13">
        <f>MONTH(C405)</f>
        <v>11</v>
      </c>
      <c r="F405" s="13">
        <f>DAY(C405)</f>
        <v>3</v>
      </c>
      <c r="G405" s="13" t="s">
        <v>535</v>
      </c>
      <c r="H405" s="4" t="s">
        <v>14</v>
      </c>
      <c r="I405">
        <v>46.864100000000001</v>
      </c>
      <c r="J405">
        <v>6.5716999999999999</v>
      </c>
      <c r="K405" s="4" t="s">
        <v>15</v>
      </c>
      <c r="L405" s="4"/>
      <c r="M405" s="4" t="s">
        <v>1</v>
      </c>
      <c r="N405" s="4"/>
      <c r="O405" s="4" t="s">
        <v>17</v>
      </c>
      <c r="P405" s="4" t="s">
        <v>29</v>
      </c>
    </row>
    <row r="406" spans="1:16" s="8" customFormat="1" x14ac:dyDescent="0.25">
      <c r="A406">
        <f>RIGHT(B406,6)*1</f>
        <v>122008</v>
      </c>
      <c r="B406" t="s">
        <v>368</v>
      </c>
      <c r="C406" s="10">
        <v>43042</v>
      </c>
      <c r="D406" s="13">
        <f>YEAR(C406)</f>
        <v>2017</v>
      </c>
      <c r="E406" s="13">
        <f>MONTH(C406)</f>
        <v>11</v>
      </c>
      <c r="F406" s="13">
        <f>DAY(C406)</f>
        <v>3</v>
      </c>
      <c r="G406" s="13" t="s">
        <v>535</v>
      </c>
      <c r="H406" s="4" t="s">
        <v>14</v>
      </c>
      <c r="I406">
        <v>46.860500000000002</v>
      </c>
      <c r="J406">
        <v>6.5678000000000001</v>
      </c>
      <c r="K406" s="4" t="s">
        <v>15</v>
      </c>
      <c r="L406" s="4"/>
      <c r="M406" s="4" t="s">
        <v>1</v>
      </c>
      <c r="N406" s="4"/>
      <c r="O406" s="4" t="s">
        <v>16</v>
      </c>
      <c r="P406" s="4" t="s">
        <v>29</v>
      </c>
    </row>
    <row r="407" spans="1:16" s="8" customFormat="1" x14ac:dyDescent="0.25">
      <c r="A407">
        <f>RIGHT(B407,6)*1</f>
        <v>122009</v>
      </c>
      <c r="B407" t="s">
        <v>369</v>
      </c>
      <c r="C407" s="10">
        <v>43049</v>
      </c>
      <c r="D407" s="13">
        <f>YEAR(C407)</f>
        <v>2017</v>
      </c>
      <c r="E407" s="13">
        <f>MONTH(C407)</f>
        <v>11</v>
      </c>
      <c r="F407" s="13">
        <f>DAY(C407)</f>
        <v>10</v>
      </c>
      <c r="G407" s="13" t="s">
        <v>535</v>
      </c>
      <c r="H407" s="4" t="s">
        <v>14</v>
      </c>
      <c r="I407">
        <v>46.992800000000003</v>
      </c>
      <c r="J407">
        <v>6.6971999999999996</v>
      </c>
      <c r="K407" s="4" t="s">
        <v>15</v>
      </c>
      <c r="L407" s="4"/>
      <c r="M407" s="4" t="s">
        <v>1</v>
      </c>
      <c r="N407" s="4"/>
      <c r="O407" s="4" t="s">
        <v>16</v>
      </c>
      <c r="P407" s="4" t="s">
        <v>184</v>
      </c>
    </row>
    <row r="408" spans="1:16" s="8" customFormat="1" x14ac:dyDescent="0.25">
      <c r="A408">
        <f>RIGHT(B408,6)*1</f>
        <v>122010</v>
      </c>
      <c r="B408" t="s">
        <v>370</v>
      </c>
      <c r="C408" s="10">
        <v>43049</v>
      </c>
      <c r="D408" s="13">
        <f>YEAR(C408)</f>
        <v>2017</v>
      </c>
      <c r="E408" s="13">
        <f>MONTH(C408)</f>
        <v>11</v>
      </c>
      <c r="F408" s="13">
        <f>DAY(C408)</f>
        <v>10</v>
      </c>
      <c r="G408" s="13" t="s">
        <v>535</v>
      </c>
      <c r="H408" s="4" t="s">
        <v>14</v>
      </c>
      <c r="I408">
        <v>46.992800000000003</v>
      </c>
      <c r="J408">
        <v>6.6971999999999996</v>
      </c>
      <c r="K408" s="4" t="s">
        <v>15</v>
      </c>
      <c r="L408" s="4"/>
      <c r="M408" s="4" t="s">
        <v>1</v>
      </c>
      <c r="N408" s="4"/>
      <c r="O408" s="4" t="s">
        <v>17</v>
      </c>
      <c r="P408" s="4" t="s">
        <v>29</v>
      </c>
    </row>
    <row r="409" spans="1:16" s="8" customFormat="1" x14ac:dyDescent="0.25">
      <c r="A409">
        <f>RIGHT(B409,6)*1</f>
        <v>122011</v>
      </c>
      <c r="B409" t="s">
        <v>371</v>
      </c>
      <c r="C409" s="10">
        <v>43049</v>
      </c>
      <c r="D409" s="13">
        <f>YEAR(C409)</f>
        <v>2017</v>
      </c>
      <c r="E409" s="13">
        <f>MONTH(C409)</f>
        <v>11</v>
      </c>
      <c r="F409" s="13">
        <f>DAY(C409)</f>
        <v>10</v>
      </c>
      <c r="G409" s="13" t="s">
        <v>535</v>
      </c>
      <c r="H409" s="4" t="s">
        <v>14</v>
      </c>
      <c r="I409">
        <v>46.992800000000003</v>
      </c>
      <c r="J409">
        <v>6.6971999999999996</v>
      </c>
      <c r="K409" s="4" t="s">
        <v>15</v>
      </c>
      <c r="L409" s="4"/>
      <c r="M409" s="4" t="s">
        <v>1</v>
      </c>
      <c r="N409" s="4"/>
      <c r="O409" s="4" t="s">
        <v>17</v>
      </c>
      <c r="P409" s="4" t="s">
        <v>184</v>
      </c>
    </row>
    <row r="410" spans="1:16" s="8" customFormat="1" x14ac:dyDescent="0.25">
      <c r="A410">
        <f>RIGHT(B410,6)*1</f>
        <v>122012</v>
      </c>
      <c r="B410" t="s">
        <v>372</v>
      </c>
      <c r="C410" s="10">
        <v>43049</v>
      </c>
      <c r="D410" s="13">
        <f>YEAR(C410)</f>
        <v>2017</v>
      </c>
      <c r="E410" s="13">
        <f>MONTH(C410)</f>
        <v>11</v>
      </c>
      <c r="F410" s="13">
        <f>DAY(C410)</f>
        <v>10</v>
      </c>
      <c r="G410" s="13" t="s">
        <v>535</v>
      </c>
      <c r="H410" s="4" t="s">
        <v>14</v>
      </c>
      <c r="I410">
        <v>46.992800000000003</v>
      </c>
      <c r="J410">
        <v>6.6971999999999996</v>
      </c>
      <c r="K410" s="4" t="s">
        <v>15</v>
      </c>
      <c r="L410" s="4"/>
      <c r="M410" s="4" t="s">
        <v>1</v>
      </c>
      <c r="N410" s="4"/>
      <c r="O410" s="4" t="s">
        <v>16</v>
      </c>
      <c r="P410" s="4" t="s">
        <v>29</v>
      </c>
    </row>
    <row r="411" spans="1:16" s="8" customFormat="1" x14ac:dyDescent="0.25">
      <c r="A411">
        <f>RIGHT(B411,6)*1</f>
        <v>122013</v>
      </c>
      <c r="B411" t="s">
        <v>373</v>
      </c>
      <c r="C411" s="10">
        <v>43049</v>
      </c>
      <c r="D411" s="13">
        <f>YEAR(C411)</f>
        <v>2017</v>
      </c>
      <c r="E411" s="13">
        <f>MONTH(C411)</f>
        <v>11</v>
      </c>
      <c r="F411" s="13">
        <f>DAY(C411)</f>
        <v>10</v>
      </c>
      <c r="G411" s="13" t="s">
        <v>535</v>
      </c>
      <c r="H411" s="4" t="s">
        <v>14</v>
      </c>
      <c r="I411">
        <v>46.972799999999999</v>
      </c>
      <c r="J411">
        <v>6.6696999999999997</v>
      </c>
      <c r="K411" s="4" t="s">
        <v>15</v>
      </c>
      <c r="L411" s="4"/>
      <c r="M411" s="4" t="s">
        <v>1</v>
      </c>
      <c r="N411" s="4"/>
      <c r="O411" s="4" t="s">
        <v>17</v>
      </c>
      <c r="P411" s="4" t="s">
        <v>29</v>
      </c>
    </row>
    <row r="412" spans="1:16" s="8" customFormat="1" x14ac:dyDescent="0.25">
      <c r="A412">
        <f>RIGHT(B412,6)*1</f>
        <v>122014</v>
      </c>
      <c r="B412" t="s">
        <v>374</v>
      </c>
      <c r="C412" s="10">
        <v>43049</v>
      </c>
      <c r="D412" s="13">
        <f>YEAR(C412)</f>
        <v>2017</v>
      </c>
      <c r="E412" s="13">
        <f>MONTH(C412)</f>
        <v>11</v>
      </c>
      <c r="F412" s="13">
        <f>DAY(C412)</f>
        <v>10</v>
      </c>
      <c r="G412" s="13" t="s">
        <v>535</v>
      </c>
      <c r="H412" s="4" t="s">
        <v>14</v>
      </c>
      <c r="I412">
        <v>46.972799999999999</v>
      </c>
      <c r="J412">
        <v>6.6696999999999997</v>
      </c>
      <c r="K412" s="4" t="s">
        <v>15</v>
      </c>
      <c r="L412" s="4"/>
      <c r="M412" s="4" t="s">
        <v>1</v>
      </c>
      <c r="N412" s="4"/>
      <c r="O412" s="4" t="s">
        <v>17</v>
      </c>
      <c r="P412" s="4" t="s">
        <v>29</v>
      </c>
    </row>
    <row r="413" spans="1:16" s="8" customFormat="1" x14ac:dyDescent="0.25">
      <c r="A413">
        <f>RIGHT(B413,6)*1</f>
        <v>122015</v>
      </c>
      <c r="B413" t="s">
        <v>375</v>
      </c>
      <c r="C413" s="10">
        <v>43063</v>
      </c>
      <c r="D413" s="13">
        <f>YEAR(C413)</f>
        <v>2017</v>
      </c>
      <c r="E413" s="13">
        <f>MONTH(C413)</f>
        <v>11</v>
      </c>
      <c r="F413" s="13">
        <f>DAY(C413)</f>
        <v>24</v>
      </c>
      <c r="G413" s="13" t="s">
        <v>535</v>
      </c>
      <c r="H413" s="4" t="s">
        <v>14</v>
      </c>
      <c r="I413">
        <v>46.992800000000003</v>
      </c>
      <c r="J413">
        <v>6.6971999999999996</v>
      </c>
      <c r="K413" s="4" t="s">
        <v>15</v>
      </c>
      <c r="L413" s="4"/>
      <c r="M413" s="4" t="s">
        <v>1</v>
      </c>
      <c r="N413" s="4"/>
      <c r="O413" s="4" t="s">
        <v>17</v>
      </c>
      <c r="P413" s="4" t="s">
        <v>184</v>
      </c>
    </row>
    <row r="414" spans="1:16" s="8" customFormat="1" x14ac:dyDescent="0.25">
      <c r="A414">
        <f>RIGHT(B414,6)*1</f>
        <v>122016</v>
      </c>
      <c r="B414" t="s">
        <v>376</v>
      </c>
      <c r="C414" s="10">
        <v>43063</v>
      </c>
      <c r="D414" s="13">
        <f>YEAR(C414)</f>
        <v>2017</v>
      </c>
      <c r="E414" s="13">
        <f>MONTH(C414)</f>
        <v>11</v>
      </c>
      <c r="F414" s="13">
        <f>DAY(C414)</f>
        <v>24</v>
      </c>
      <c r="G414" s="13" t="s">
        <v>535</v>
      </c>
      <c r="H414" s="4" t="s">
        <v>14</v>
      </c>
      <c r="I414">
        <v>46.992800000000003</v>
      </c>
      <c r="J414">
        <v>6.6971999999999996</v>
      </c>
      <c r="K414" s="4" t="s">
        <v>15</v>
      </c>
      <c r="L414" s="4"/>
      <c r="M414" s="4" t="s">
        <v>1</v>
      </c>
      <c r="N414" s="4"/>
      <c r="O414" s="4" t="s">
        <v>17</v>
      </c>
      <c r="P414" s="4" t="s">
        <v>184</v>
      </c>
    </row>
    <row r="415" spans="1:16" s="8" customFormat="1" x14ac:dyDescent="0.25">
      <c r="A415">
        <f>RIGHT(B415,6)*1</f>
        <v>122017</v>
      </c>
      <c r="B415" t="s">
        <v>377</v>
      </c>
      <c r="C415" s="10">
        <v>43063</v>
      </c>
      <c r="D415" s="13">
        <f>YEAR(C415)</f>
        <v>2017</v>
      </c>
      <c r="E415" s="13">
        <f>MONTH(C415)</f>
        <v>11</v>
      </c>
      <c r="F415" s="13">
        <f>DAY(C415)</f>
        <v>24</v>
      </c>
      <c r="G415" s="13" t="s">
        <v>535</v>
      </c>
      <c r="H415" s="4" t="s">
        <v>14</v>
      </c>
      <c r="I415">
        <v>46.979100000000003</v>
      </c>
      <c r="J415">
        <v>6.6723999999999997</v>
      </c>
      <c r="K415" s="4" t="s">
        <v>15</v>
      </c>
      <c r="L415" s="4"/>
      <c r="M415" s="4" t="s">
        <v>1</v>
      </c>
      <c r="N415" s="4"/>
      <c r="O415" s="4" t="s">
        <v>17</v>
      </c>
      <c r="P415" s="4" t="s">
        <v>29</v>
      </c>
    </row>
    <row r="416" spans="1:16" s="8" customFormat="1" x14ac:dyDescent="0.25">
      <c r="A416">
        <f>RIGHT(B416,6)*1</f>
        <v>122018</v>
      </c>
      <c r="B416" t="s">
        <v>378</v>
      </c>
      <c r="C416" s="10">
        <v>43063</v>
      </c>
      <c r="D416" s="13">
        <f>YEAR(C416)</f>
        <v>2017</v>
      </c>
      <c r="E416" s="13">
        <f>MONTH(C416)</f>
        <v>11</v>
      </c>
      <c r="F416" s="13">
        <f>DAY(C416)</f>
        <v>24</v>
      </c>
      <c r="G416" s="13" t="s">
        <v>535</v>
      </c>
      <c r="H416" s="4" t="s">
        <v>14</v>
      </c>
      <c r="I416">
        <v>46.979100000000003</v>
      </c>
      <c r="J416">
        <v>6.6723999999999997</v>
      </c>
      <c r="K416" s="4" t="s">
        <v>15</v>
      </c>
      <c r="L416" s="4"/>
      <c r="M416" s="4" t="s">
        <v>1</v>
      </c>
      <c r="N416" s="4"/>
      <c r="O416" s="4" t="s">
        <v>17</v>
      </c>
      <c r="P416" s="4" t="s">
        <v>19</v>
      </c>
    </row>
    <row r="417" spans="1:16" s="8" customFormat="1" x14ac:dyDescent="0.25">
      <c r="A417">
        <f>RIGHT(B417,6)*1</f>
        <v>124244</v>
      </c>
      <c r="B417" t="s">
        <v>455</v>
      </c>
      <c r="C417" s="10">
        <v>43405</v>
      </c>
      <c r="D417" s="13">
        <f>YEAR(C417)</f>
        <v>2018</v>
      </c>
      <c r="E417" s="13">
        <f>MONTH(C417)</f>
        <v>11</v>
      </c>
      <c r="F417" s="13">
        <f>DAY(C417)</f>
        <v>1</v>
      </c>
      <c r="G417" s="13" t="s">
        <v>535</v>
      </c>
      <c r="H417" s="4" t="s">
        <v>14</v>
      </c>
      <c r="I417">
        <v>46.929699999999997</v>
      </c>
      <c r="J417">
        <v>6.4603000000000002</v>
      </c>
      <c r="K417" s="4" t="s">
        <v>15</v>
      </c>
      <c r="L417" s="4"/>
      <c r="M417" s="4" t="s">
        <v>1</v>
      </c>
      <c r="N417" s="4"/>
      <c r="O417" s="4" t="s">
        <v>17</v>
      </c>
      <c r="P417" s="4" t="s">
        <v>19</v>
      </c>
    </row>
    <row r="418" spans="1:16" s="8" customFormat="1" x14ac:dyDescent="0.25">
      <c r="A418">
        <f>RIGHT(B418,6)*1</f>
        <v>124245</v>
      </c>
      <c r="B418" t="s">
        <v>456</v>
      </c>
      <c r="C418" s="10">
        <v>43405</v>
      </c>
      <c r="D418" s="13">
        <f>YEAR(C418)</f>
        <v>2018</v>
      </c>
      <c r="E418" s="13">
        <f>MONTH(C418)</f>
        <v>11</v>
      </c>
      <c r="F418" s="13">
        <f>DAY(C418)</f>
        <v>1</v>
      </c>
      <c r="G418" s="13" t="s">
        <v>535</v>
      </c>
      <c r="H418" s="4" t="s">
        <v>14</v>
      </c>
      <c r="I418">
        <v>46.929699999999997</v>
      </c>
      <c r="J418">
        <v>6.4603000000000002</v>
      </c>
      <c r="K418" s="4" t="s">
        <v>15</v>
      </c>
      <c r="L418" s="4"/>
      <c r="M418" s="4" t="s">
        <v>1</v>
      </c>
      <c r="N418" s="4"/>
      <c r="O418" s="4" t="s">
        <v>16</v>
      </c>
      <c r="P418" s="4" t="s">
        <v>184</v>
      </c>
    </row>
    <row r="419" spans="1:16" s="8" customFormat="1" x14ac:dyDescent="0.25">
      <c r="A419">
        <f>RIGHT(B419,6)*1</f>
        <v>124246</v>
      </c>
      <c r="B419" t="s">
        <v>457</v>
      </c>
      <c r="C419" s="10">
        <v>43405</v>
      </c>
      <c r="D419" s="13">
        <f>YEAR(C419)</f>
        <v>2018</v>
      </c>
      <c r="E419" s="13">
        <f>MONTH(C419)</f>
        <v>11</v>
      </c>
      <c r="F419" s="13">
        <f>DAY(C419)</f>
        <v>1</v>
      </c>
      <c r="G419" s="13" t="s">
        <v>535</v>
      </c>
      <c r="H419" s="4" t="s">
        <v>14</v>
      </c>
      <c r="I419">
        <v>46.929699999999997</v>
      </c>
      <c r="J419">
        <v>6.4603000000000002</v>
      </c>
      <c r="K419" s="4" t="s">
        <v>15</v>
      </c>
      <c r="L419" s="4"/>
      <c r="M419" s="4" t="s">
        <v>1</v>
      </c>
      <c r="N419" s="4"/>
      <c r="O419" s="4" t="s">
        <v>17</v>
      </c>
      <c r="P419" s="4" t="s">
        <v>29</v>
      </c>
    </row>
    <row r="420" spans="1:16" s="8" customFormat="1" x14ac:dyDescent="0.25">
      <c r="A420">
        <f>RIGHT(B420,6)*1</f>
        <v>124247</v>
      </c>
      <c r="B420" t="s">
        <v>458</v>
      </c>
      <c r="C420" s="10">
        <v>43405</v>
      </c>
      <c r="D420" s="13">
        <f>YEAR(C420)</f>
        <v>2018</v>
      </c>
      <c r="E420" s="13">
        <f>MONTH(C420)</f>
        <v>11</v>
      </c>
      <c r="F420" s="13">
        <f>DAY(C420)</f>
        <v>1</v>
      </c>
      <c r="G420" s="13" t="s">
        <v>535</v>
      </c>
      <c r="H420" s="4" t="s">
        <v>14</v>
      </c>
      <c r="I420">
        <v>46.928899999999999</v>
      </c>
      <c r="J420">
        <v>6.4592000000000001</v>
      </c>
      <c r="K420" s="4" t="s">
        <v>15</v>
      </c>
      <c r="L420" s="4"/>
      <c r="M420" s="4" t="s">
        <v>1</v>
      </c>
      <c r="N420" s="4"/>
      <c r="O420" s="4" t="s">
        <v>17</v>
      </c>
      <c r="P420" s="4" t="s">
        <v>29</v>
      </c>
    </row>
    <row r="421" spans="1:16" s="8" customFormat="1" x14ac:dyDescent="0.25">
      <c r="A421">
        <f>RIGHT(B421,6)*1</f>
        <v>124248</v>
      </c>
      <c r="B421" t="s">
        <v>459</v>
      </c>
      <c r="C421" s="10">
        <v>43405</v>
      </c>
      <c r="D421" s="13">
        <f>YEAR(C421)</f>
        <v>2018</v>
      </c>
      <c r="E421" s="13">
        <f>MONTH(C421)</f>
        <v>11</v>
      </c>
      <c r="F421" s="13">
        <f>DAY(C421)</f>
        <v>1</v>
      </c>
      <c r="G421" s="13" t="s">
        <v>535</v>
      </c>
      <c r="H421" s="4" t="s">
        <v>14</v>
      </c>
      <c r="I421">
        <v>46.928899999999999</v>
      </c>
      <c r="J421">
        <v>6.4592000000000001</v>
      </c>
      <c r="K421" s="4" t="s">
        <v>15</v>
      </c>
      <c r="L421" s="4"/>
      <c r="M421" s="4" t="s">
        <v>1</v>
      </c>
      <c r="N421" s="4"/>
      <c r="O421" s="4" t="s">
        <v>17</v>
      </c>
      <c r="P421" s="4" t="s">
        <v>29</v>
      </c>
    </row>
    <row r="422" spans="1:16" s="8" customFormat="1" x14ac:dyDescent="0.25">
      <c r="A422">
        <f>RIGHT(B422,6)*1</f>
        <v>124249</v>
      </c>
      <c r="B422" t="s">
        <v>460</v>
      </c>
      <c r="C422" s="10">
        <v>43405</v>
      </c>
      <c r="D422" s="13">
        <f>YEAR(C422)</f>
        <v>2018</v>
      </c>
      <c r="E422" s="13">
        <f>MONTH(C422)</f>
        <v>11</v>
      </c>
      <c r="F422" s="13">
        <f>DAY(C422)</f>
        <v>1</v>
      </c>
      <c r="G422" s="13" t="s">
        <v>535</v>
      </c>
      <c r="H422" s="4" t="s">
        <v>14</v>
      </c>
      <c r="I422">
        <v>46.928899999999999</v>
      </c>
      <c r="J422">
        <v>6.4592000000000001</v>
      </c>
      <c r="K422" s="4" t="s">
        <v>15</v>
      </c>
      <c r="L422" s="4"/>
      <c r="M422" s="4" t="s">
        <v>1</v>
      </c>
      <c r="N422" s="4"/>
      <c r="O422" s="4" t="s">
        <v>17</v>
      </c>
      <c r="P422" s="4" t="s">
        <v>27</v>
      </c>
    </row>
    <row r="423" spans="1:16" s="8" customFormat="1" x14ac:dyDescent="0.25">
      <c r="A423">
        <f>RIGHT(B423,6)*1</f>
        <v>124250</v>
      </c>
      <c r="B423" t="s">
        <v>461</v>
      </c>
      <c r="C423" s="10">
        <v>43405</v>
      </c>
      <c r="D423" s="13">
        <f>YEAR(C423)</f>
        <v>2018</v>
      </c>
      <c r="E423" s="13">
        <f>MONTH(C423)</f>
        <v>11</v>
      </c>
      <c r="F423" s="13">
        <f>DAY(C423)</f>
        <v>1</v>
      </c>
      <c r="G423" s="13" t="s">
        <v>535</v>
      </c>
      <c r="H423" s="4" t="s">
        <v>14</v>
      </c>
      <c r="I423">
        <v>46.928899999999999</v>
      </c>
      <c r="J423">
        <v>6.4592000000000001</v>
      </c>
      <c r="K423" s="4" t="s">
        <v>15</v>
      </c>
      <c r="L423" s="4"/>
      <c r="M423" s="4" t="s">
        <v>1</v>
      </c>
      <c r="N423" s="4"/>
      <c r="O423" s="4" t="s">
        <v>17</v>
      </c>
      <c r="P423" s="4" t="s">
        <v>29</v>
      </c>
    </row>
    <row r="424" spans="1:16" s="8" customFormat="1" x14ac:dyDescent="0.25">
      <c r="A424">
        <f>RIGHT(B424,6)*1</f>
        <v>125951</v>
      </c>
      <c r="B424" t="s">
        <v>462</v>
      </c>
      <c r="C424" s="10">
        <v>43405</v>
      </c>
      <c r="D424" s="13">
        <f>YEAR(C424)</f>
        <v>2018</v>
      </c>
      <c r="E424" s="13">
        <f>MONTH(C424)</f>
        <v>11</v>
      </c>
      <c r="F424" s="13">
        <f>DAY(C424)</f>
        <v>1</v>
      </c>
      <c r="G424" s="13" t="s">
        <v>535</v>
      </c>
      <c r="H424" s="4" t="s">
        <v>14</v>
      </c>
      <c r="I424">
        <v>46.928899999999999</v>
      </c>
      <c r="J424">
        <v>6.4592000000000001</v>
      </c>
      <c r="K424" s="4" t="s">
        <v>15</v>
      </c>
      <c r="L424" s="4"/>
      <c r="M424" s="4" t="s">
        <v>1</v>
      </c>
      <c r="N424" s="4"/>
      <c r="O424" s="4" t="s">
        <v>16</v>
      </c>
      <c r="P424" s="4" t="s">
        <v>29</v>
      </c>
    </row>
    <row r="425" spans="1:16" s="8" customFormat="1" x14ac:dyDescent="0.25">
      <c r="A425">
        <f>RIGHT(B425,6)*1</f>
        <v>125952</v>
      </c>
      <c r="B425" t="s">
        <v>463</v>
      </c>
      <c r="C425" s="10">
        <v>43405</v>
      </c>
      <c r="D425" s="13">
        <f>YEAR(C425)</f>
        <v>2018</v>
      </c>
      <c r="E425" s="13">
        <f>MONTH(C425)</f>
        <v>11</v>
      </c>
      <c r="F425" s="13">
        <f>DAY(C425)</f>
        <v>1</v>
      </c>
      <c r="G425" s="13" t="s">
        <v>535</v>
      </c>
      <c r="H425" s="4" t="s">
        <v>14</v>
      </c>
      <c r="I425">
        <v>46.928899999999999</v>
      </c>
      <c r="J425">
        <v>6.4592000000000001</v>
      </c>
      <c r="K425" s="4" t="s">
        <v>15</v>
      </c>
      <c r="L425" s="4"/>
      <c r="M425" s="4" t="s">
        <v>1</v>
      </c>
      <c r="N425" s="4"/>
      <c r="O425" s="4" t="s">
        <v>17</v>
      </c>
      <c r="P425" s="4" t="s">
        <v>29</v>
      </c>
    </row>
    <row r="426" spans="1:16" s="8" customFormat="1" x14ac:dyDescent="0.25">
      <c r="A426">
        <f>RIGHT(B426,6)*1</f>
        <v>125953</v>
      </c>
      <c r="B426" t="s">
        <v>464</v>
      </c>
      <c r="C426" s="10">
        <v>43405</v>
      </c>
      <c r="D426" s="13">
        <f>YEAR(C426)</f>
        <v>2018</v>
      </c>
      <c r="E426" s="13">
        <f>MONTH(C426)</f>
        <v>11</v>
      </c>
      <c r="F426" s="13">
        <f>DAY(C426)</f>
        <v>1</v>
      </c>
      <c r="G426" s="13" t="s">
        <v>535</v>
      </c>
      <c r="H426" s="4" t="s">
        <v>14</v>
      </c>
      <c r="I426">
        <v>46.929699999999997</v>
      </c>
      <c r="J426">
        <v>6.4603000000000002</v>
      </c>
      <c r="K426" s="4" t="s">
        <v>15</v>
      </c>
      <c r="L426" s="4"/>
      <c r="M426" s="4" t="s">
        <v>1</v>
      </c>
      <c r="N426" s="4"/>
      <c r="O426" s="4" t="s">
        <v>17</v>
      </c>
      <c r="P426" s="4" t="s">
        <v>29</v>
      </c>
    </row>
    <row r="427" spans="1:16" s="8" customFormat="1" x14ac:dyDescent="0.25">
      <c r="A427">
        <f>RIGHT(B427,6)*1</f>
        <v>125954</v>
      </c>
      <c r="B427" t="s">
        <v>465</v>
      </c>
      <c r="C427" s="10">
        <v>43405</v>
      </c>
      <c r="D427" s="13">
        <f>YEAR(C427)</f>
        <v>2018</v>
      </c>
      <c r="E427" s="13">
        <f>MONTH(C427)</f>
        <v>11</v>
      </c>
      <c r="F427" s="13">
        <f>DAY(C427)</f>
        <v>1</v>
      </c>
      <c r="G427" s="13" t="s">
        <v>535</v>
      </c>
      <c r="H427" s="4" t="s">
        <v>14</v>
      </c>
      <c r="I427">
        <v>46.929699999999997</v>
      </c>
      <c r="J427">
        <v>6.4603000000000002</v>
      </c>
      <c r="K427" s="4" t="s">
        <v>15</v>
      </c>
      <c r="L427" s="4"/>
      <c r="M427" s="4" t="s">
        <v>1</v>
      </c>
      <c r="N427" s="4"/>
      <c r="O427" s="4" t="s">
        <v>17</v>
      </c>
      <c r="P427" s="4" t="s">
        <v>29</v>
      </c>
    </row>
    <row r="428" spans="1:16" s="8" customFormat="1" x14ac:dyDescent="0.25">
      <c r="A428">
        <f>RIGHT(B428,6)*1</f>
        <v>125955</v>
      </c>
      <c r="B428" t="s">
        <v>466</v>
      </c>
      <c r="C428" s="10">
        <v>43405</v>
      </c>
      <c r="D428" s="13">
        <f>YEAR(C428)</f>
        <v>2018</v>
      </c>
      <c r="E428" s="13">
        <f>MONTH(C428)</f>
        <v>11</v>
      </c>
      <c r="F428" s="13">
        <f>DAY(C428)</f>
        <v>1</v>
      </c>
      <c r="G428" s="13" t="s">
        <v>535</v>
      </c>
      <c r="H428" s="4" t="s">
        <v>14</v>
      </c>
      <c r="I428">
        <v>46.929699999999997</v>
      </c>
      <c r="J428">
        <v>6.4603000000000002</v>
      </c>
      <c r="K428" s="4" t="s">
        <v>15</v>
      </c>
      <c r="L428" s="4"/>
      <c r="M428" s="4" t="s">
        <v>1</v>
      </c>
      <c r="N428" s="4"/>
      <c r="O428" s="4" t="s">
        <v>17</v>
      </c>
      <c r="P428" s="4" t="s">
        <v>184</v>
      </c>
    </row>
    <row r="429" spans="1:16" s="8" customFormat="1" x14ac:dyDescent="0.25">
      <c r="A429">
        <f>RIGHT(B429,6)*1</f>
        <v>125956</v>
      </c>
      <c r="B429" t="s">
        <v>467</v>
      </c>
      <c r="C429" s="10">
        <v>43405</v>
      </c>
      <c r="D429" s="13">
        <f>YEAR(C429)</f>
        <v>2018</v>
      </c>
      <c r="E429" s="13">
        <f>MONTH(C429)</f>
        <v>11</v>
      </c>
      <c r="F429" s="13">
        <f>DAY(C429)</f>
        <v>1</v>
      </c>
      <c r="G429" s="13" t="s">
        <v>535</v>
      </c>
      <c r="H429" s="4" t="s">
        <v>14</v>
      </c>
      <c r="I429">
        <v>46.929699999999997</v>
      </c>
      <c r="J429">
        <v>6.4603000000000002</v>
      </c>
      <c r="K429" s="4" t="s">
        <v>15</v>
      </c>
      <c r="L429" s="4"/>
      <c r="M429" s="4" t="s">
        <v>1</v>
      </c>
      <c r="N429" s="4"/>
      <c r="O429" s="4" t="s">
        <v>17</v>
      </c>
      <c r="P429" s="4" t="s">
        <v>29</v>
      </c>
    </row>
    <row r="430" spans="1:16" s="8" customFormat="1" x14ac:dyDescent="0.25">
      <c r="A430">
        <f>RIGHT(B430,6)*1</f>
        <v>125957</v>
      </c>
      <c r="B430" t="s">
        <v>468</v>
      </c>
      <c r="C430" s="10">
        <v>43405</v>
      </c>
      <c r="D430" s="13">
        <f>YEAR(C430)</f>
        <v>2018</v>
      </c>
      <c r="E430" s="13">
        <f>MONTH(C430)</f>
        <v>11</v>
      </c>
      <c r="F430" s="13">
        <f>DAY(C430)</f>
        <v>1</v>
      </c>
      <c r="G430" s="13" t="s">
        <v>535</v>
      </c>
      <c r="H430" s="4" t="s">
        <v>14</v>
      </c>
      <c r="I430">
        <v>46.929699999999997</v>
      </c>
      <c r="J430">
        <v>6.4603000000000002</v>
      </c>
      <c r="K430" s="4" t="s">
        <v>15</v>
      </c>
      <c r="L430" s="4"/>
      <c r="M430" s="4" t="s">
        <v>1</v>
      </c>
      <c r="N430" s="4"/>
      <c r="O430" s="4" t="s">
        <v>17</v>
      </c>
      <c r="P430" s="4" t="s">
        <v>29</v>
      </c>
    </row>
    <row r="431" spans="1:16" s="8" customFormat="1" x14ac:dyDescent="0.25">
      <c r="A431">
        <f>RIGHT(B431,6)*1</f>
        <v>125958</v>
      </c>
      <c r="B431" t="s">
        <v>469</v>
      </c>
      <c r="C431" s="10">
        <v>43405</v>
      </c>
      <c r="D431" s="13">
        <f>YEAR(C431)</f>
        <v>2018</v>
      </c>
      <c r="E431" s="13">
        <f>MONTH(C431)</f>
        <v>11</v>
      </c>
      <c r="F431" s="13">
        <f>DAY(C431)</f>
        <v>1</v>
      </c>
      <c r="G431" s="13" t="s">
        <v>535</v>
      </c>
      <c r="H431" s="4" t="s">
        <v>14</v>
      </c>
      <c r="I431">
        <v>46.929699999999997</v>
      </c>
      <c r="J431">
        <v>6.4603000000000002</v>
      </c>
      <c r="K431" s="4" t="s">
        <v>15</v>
      </c>
      <c r="L431" s="4"/>
      <c r="M431" s="4" t="s">
        <v>1</v>
      </c>
      <c r="N431" s="4"/>
      <c r="O431" s="4" t="s">
        <v>17</v>
      </c>
      <c r="P431" s="4" t="s">
        <v>29</v>
      </c>
    </row>
    <row r="432" spans="1:16" s="8" customFormat="1" x14ac:dyDescent="0.25">
      <c r="A432">
        <f>RIGHT(B432,6)*1</f>
        <v>125959</v>
      </c>
      <c r="B432" t="s">
        <v>470</v>
      </c>
      <c r="C432" s="10">
        <v>43405</v>
      </c>
      <c r="D432" s="13">
        <f>YEAR(C432)</f>
        <v>2018</v>
      </c>
      <c r="E432" s="13">
        <f>MONTH(C432)</f>
        <v>11</v>
      </c>
      <c r="F432" s="13">
        <f>DAY(C432)</f>
        <v>1</v>
      </c>
      <c r="G432" s="13" t="s">
        <v>535</v>
      </c>
      <c r="H432" s="4" t="s">
        <v>14</v>
      </c>
      <c r="I432">
        <v>46.929699999999997</v>
      </c>
      <c r="J432">
        <v>6.4603000000000002</v>
      </c>
      <c r="K432" s="4" t="s">
        <v>15</v>
      </c>
      <c r="L432" s="4"/>
      <c r="M432" s="4" t="s">
        <v>1</v>
      </c>
      <c r="N432" s="4"/>
      <c r="O432" s="4" t="s">
        <v>17</v>
      </c>
      <c r="P432" s="4" t="s">
        <v>19</v>
      </c>
    </row>
    <row r="433" spans="1:16" s="8" customFormat="1" x14ac:dyDescent="0.25">
      <c r="A433">
        <f>RIGHT(B433,6)*1</f>
        <v>125960</v>
      </c>
      <c r="B433" t="s">
        <v>471</v>
      </c>
      <c r="C433" s="10">
        <v>43405</v>
      </c>
      <c r="D433" s="13">
        <f>YEAR(C433)</f>
        <v>2018</v>
      </c>
      <c r="E433" s="13">
        <f>MONTH(C433)</f>
        <v>11</v>
      </c>
      <c r="F433" s="13">
        <f>DAY(C433)</f>
        <v>1</v>
      </c>
      <c r="G433" s="13" t="s">
        <v>535</v>
      </c>
      <c r="H433" s="4" t="s">
        <v>14</v>
      </c>
      <c r="I433">
        <v>46.936900000000001</v>
      </c>
      <c r="J433">
        <v>6.4641999999999999</v>
      </c>
      <c r="K433" s="4" t="s">
        <v>15</v>
      </c>
      <c r="L433" s="4"/>
      <c r="M433" s="4" t="s">
        <v>1</v>
      </c>
      <c r="N433" s="4"/>
      <c r="O433" s="4" t="s">
        <v>17</v>
      </c>
      <c r="P433" s="4" t="s">
        <v>29</v>
      </c>
    </row>
    <row r="434" spans="1:16" s="8" customFormat="1" x14ac:dyDescent="0.25">
      <c r="A434">
        <f>RIGHT(B434,6)*1</f>
        <v>125961</v>
      </c>
      <c r="B434" t="s">
        <v>472</v>
      </c>
      <c r="C434" s="10">
        <v>43406</v>
      </c>
      <c r="D434" s="13">
        <f>YEAR(C434)</f>
        <v>2018</v>
      </c>
      <c r="E434" s="13">
        <f>MONTH(C434)</f>
        <v>11</v>
      </c>
      <c r="F434" s="13">
        <f>DAY(C434)</f>
        <v>2</v>
      </c>
      <c r="G434" s="13" t="s">
        <v>535</v>
      </c>
      <c r="H434" s="4" t="s">
        <v>14</v>
      </c>
      <c r="I434">
        <v>46.936900000000001</v>
      </c>
      <c r="J434">
        <v>6.4641999999999999</v>
      </c>
      <c r="K434" s="4" t="s">
        <v>15</v>
      </c>
      <c r="L434" s="4"/>
      <c r="M434" s="4" t="s">
        <v>1</v>
      </c>
      <c r="N434" s="4"/>
      <c r="O434" s="4" t="s">
        <v>17</v>
      </c>
      <c r="P434" s="4" t="s">
        <v>29</v>
      </c>
    </row>
    <row r="435" spans="1:16" s="8" customFormat="1" x14ac:dyDescent="0.25">
      <c r="A435">
        <f>RIGHT(B435,6)*1</f>
        <v>125962</v>
      </c>
      <c r="B435" t="s">
        <v>473</v>
      </c>
      <c r="C435" s="10">
        <v>43406</v>
      </c>
      <c r="D435" s="13">
        <f>YEAR(C435)</f>
        <v>2018</v>
      </c>
      <c r="E435" s="13">
        <f>MONTH(C435)</f>
        <v>11</v>
      </c>
      <c r="F435" s="13">
        <f>DAY(C435)</f>
        <v>2</v>
      </c>
      <c r="G435" s="13" t="s">
        <v>535</v>
      </c>
      <c r="H435" s="4" t="s">
        <v>14</v>
      </c>
      <c r="I435">
        <v>46.929699999999997</v>
      </c>
      <c r="J435">
        <v>6.4603000000000002</v>
      </c>
      <c r="K435" s="4" t="s">
        <v>15</v>
      </c>
      <c r="L435" s="4"/>
      <c r="M435" s="4" t="s">
        <v>1</v>
      </c>
      <c r="N435" s="4"/>
      <c r="O435" s="4" t="s">
        <v>16</v>
      </c>
      <c r="P435" s="4" t="s">
        <v>29</v>
      </c>
    </row>
    <row r="436" spans="1:16" s="8" customFormat="1" x14ac:dyDescent="0.25">
      <c r="A436">
        <f>RIGHT(B436,6)*1</f>
        <v>125963</v>
      </c>
      <c r="B436" t="s">
        <v>474</v>
      </c>
      <c r="C436" s="10">
        <v>43406</v>
      </c>
      <c r="D436" s="13">
        <f>YEAR(C436)</f>
        <v>2018</v>
      </c>
      <c r="E436" s="13">
        <f>MONTH(C436)</f>
        <v>11</v>
      </c>
      <c r="F436" s="13">
        <f>DAY(C436)</f>
        <v>2</v>
      </c>
      <c r="G436" s="13" t="s">
        <v>535</v>
      </c>
      <c r="H436" s="4" t="s">
        <v>14</v>
      </c>
      <c r="I436">
        <v>46.929699999999997</v>
      </c>
      <c r="J436">
        <v>6.4603000000000002</v>
      </c>
      <c r="K436" s="4" t="s">
        <v>15</v>
      </c>
      <c r="L436" s="4"/>
      <c r="M436" s="4" t="s">
        <v>1</v>
      </c>
      <c r="N436" s="4"/>
      <c r="O436" s="4" t="s">
        <v>17</v>
      </c>
      <c r="P436" s="4" t="s">
        <v>29</v>
      </c>
    </row>
    <row r="437" spans="1:16" s="8" customFormat="1" x14ac:dyDescent="0.25">
      <c r="A437">
        <f>RIGHT(B437,6)*1</f>
        <v>125964</v>
      </c>
      <c r="B437" t="s">
        <v>475</v>
      </c>
      <c r="C437" s="10">
        <v>43406</v>
      </c>
      <c r="D437" s="13">
        <f>YEAR(C437)</f>
        <v>2018</v>
      </c>
      <c r="E437" s="13">
        <f>MONTH(C437)</f>
        <v>11</v>
      </c>
      <c r="F437" s="13">
        <f>DAY(C437)</f>
        <v>2</v>
      </c>
      <c r="G437" s="13" t="s">
        <v>535</v>
      </c>
      <c r="H437" s="4" t="s">
        <v>14</v>
      </c>
      <c r="I437">
        <v>46.929699999999997</v>
      </c>
      <c r="J437">
        <v>6.4603000000000002</v>
      </c>
      <c r="K437" s="4" t="s">
        <v>15</v>
      </c>
      <c r="L437" s="4"/>
      <c r="M437" s="4" t="s">
        <v>1</v>
      </c>
      <c r="N437" s="4"/>
      <c r="O437" s="4" t="s">
        <v>17</v>
      </c>
      <c r="P437" s="4" t="s">
        <v>27</v>
      </c>
    </row>
    <row r="438" spans="1:16" s="8" customFormat="1" x14ac:dyDescent="0.25">
      <c r="A438">
        <f>RIGHT(B438,6)*1</f>
        <v>125965</v>
      </c>
      <c r="B438" t="s">
        <v>476</v>
      </c>
      <c r="C438" s="10">
        <v>43406</v>
      </c>
      <c r="D438" s="13">
        <f>YEAR(C438)</f>
        <v>2018</v>
      </c>
      <c r="E438" s="13">
        <f>MONTH(C438)</f>
        <v>11</v>
      </c>
      <c r="F438" s="13">
        <f>DAY(C438)</f>
        <v>2</v>
      </c>
      <c r="G438" s="13" t="s">
        <v>535</v>
      </c>
      <c r="H438" s="4" t="s">
        <v>14</v>
      </c>
      <c r="I438">
        <v>46.934399999999997</v>
      </c>
      <c r="J438">
        <v>6.5835999999999997</v>
      </c>
      <c r="K438" s="4" t="s">
        <v>15</v>
      </c>
      <c r="L438" s="4"/>
      <c r="M438" s="4" t="s">
        <v>1</v>
      </c>
      <c r="N438" s="4"/>
      <c r="O438" s="4" t="s">
        <v>16</v>
      </c>
      <c r="P438" s="4" t="s">
        <v>19</v>
      </c>
    </row>
    <row r="439" spans="1:16" s="8" customFormat="1" x14ac:dyDescent="0.25">
      <c r="A439">
        <f>RIGHT(B439,6)*1</f>
        <v>125966</v>
      </c>
      <c r="B439" t="s">
        <v>477</v>
      </c>
      <c r="C439" s="10">
        <v>43406</v>
      </c>
      <c r="D439" s="13">
        <f>YEAR(C439)</f>
        <v>2018</v>
      </c>
      <c r="E439" s="13">
        <f>MONTH(C439)</f>
        <v>11</v>
      </c>
      <c r="F439" s="13">
        <f>DAY(C439)</f>
        <v>2</v>
      </c>
      <c r="G439" s="13" t="s">
        <v>535</v>
      </c>
      <c r="H439" s="4" t="s">
        <v>14</v>
      </c>
      <c r="I439">
        <v>46.934399999999997</v>
      </c>
      <c r="J439">
        <v>6.5835999999999997</v>
      </c>
      <c r="K439" s="4" t="s">
        <v>15</v>
      </c>
      <c r="L439" s="4"/>
      <c r="M439" s="4" t="s">
        <v>1</v>
      </c>
      <c r="N439" s="4"/>
      <c r="O439" s="4" t="s">
        <v>16</v>
      </c>
      <c r="P439" s="4" t="s">
        <v>29</v>
      </c>
    </row>
    <row r="440" spans="1:16" s="8" customFormat="1" x14ac:dyDescent="0.25">
      <c r="A440">
        <f>RIGHT(B440,6)*1</f>
        <v>125967</v>
      </c>
      <c r="B440" t="s">
        <v>478</v>
      </c>
      <c r="C440" s="10">
        <v>43406</v>
      </c>
      <c r="D440" s="13">
        <f>YEAR(C440)</f>
        <v>2018</v>
      </c>
      <c r="E440" s="13">
        <f>MONTH(C440)</f>
        <v>11</v>
      </c>
      <c r="F440" s="13">
        <f>DAY(C440)</f>
        <v>2</v>
      </c>
      <c r="G440" s="13" t="s">
        <v>535</v>
      </c>
      <c r="H440" s="4" t="s">
        <v>14</v>
      </c>
      <c r="I440">
        <v>46.934399999999997</v>
      </c>
      <c r="J440">
        <v>6.5835999999999997</v>
      </c>
      <c r="K440" s="4" t="s">
        <v>15</v>
      </c>
      <c r="L440" s="4"/>
      <c r="M440" s="4" t="s">
        <v>1</v>
      </c>
      <c r="N440" s="4"/>
      <c r="O440" s="4" t="s">
        <v>16</v>
      </c>
      <c r="P440" s="4" t="s">
        <v>29</v>
      </c>
    </row>
    <row r="441" spans="1:16" s="8" customFormat="1" x14ac:dyDescent="0.25">
      <c r="A441">
        <f>RIGHT(B441,6)*1</f>
        <v>125968</v>
      </c>
      <c r="B441" t="s">
        <v>479</v>
      </c>
      <c r="C441" s="10">
        <v>43406</v>
      </c>
      <c r="D441" s="13">
        <f>YEAR(C441)</f>
        <v>2018</v>
      </c>
      <c r="E441" s="13">
        <f>MONTH(C441)</f>
        <v>11</v>
      </c>
      <c r="F441" s="13">
        <f>DAY(C441)</f>
        <v>2</v>
      </c>
      <c r="G441" s="13" t="s">
        <v>535</v>
      </c>
      <c r="H441" s="4" t="s">
        <v>14</v>
      </c>
      <c r="I441">
        <v>46.903599999999997</v>
      </c>
      <c r="J441">
        <v>6.6722000000000001</v>
      </c>
      <c r="K441" s="4" t="s">
        <v>15</v>
      </c>
      <c r="L441" s="4"/>
      <c r="M441" s="4" t="s">
        <v>1</v>
      </c>
      <c r="N441" s="4"/>
      <c r="O441" s="4" t="s">
        <v>17</v>
      </c>
      <c r="P441" s="4" t="s">
        <v>29</v>
      </c>
    </row>
    <row r="442" spans="1:16" s="8" customFormat="1" x14ac:dyDescent="0.25">
      <c r="A442">
        <f>RIGHT(B442,6)*1</f>
        <v>125969</v>
      </c>
      <c r="B442" t="s">
        <v>480</v>
      </c>
      <c r="C442" s="10">
        <v>43406</v>
      </c>
      <c r="D442" s="13">
        <f>YEAR(C442)</f>
        <v>2018</v>
      </c>
      <c r="E442" s="13">
        <f>MONTH(C442)</f>
        <v>11</v>
      </c>
      <c r="F442" s="13">
        <f>DAY(C442)</f>
        <v>2</v>
      </c>
      <c r="G442" s="13" t="s">
        <v>535</v>
      </c>
      <c r="H442" s="4" t="s">
        <v>14</v>
      </c>
      <c r="I442">
        <v>46.91</v>
      </c>
      <c r="J442">
        <v>6.6863999999999999</v>
      </c>
      <c r="K442" s="4" t="s">
        <v>15</v>
      </c>
      <c r="L442" s="4"/>
      <c r="M442" s="4" t="s">
        <v>1</v>
      </c>
      <c r="N442" s="4"/>
      <c r="O442" s="4" t="s">
        <v>17</v>
      </c>
      <c r="P442" s="4" t="s">
        <v>19</v>
      </c>
    </row>
    <row r="443" spans="1:16" s="8" customFormat="1" x14ac:dyDescent="0.25">
      <c r="A443">
        <f>RIGHT(B443,6)*1</f>
        <v>125970</v>
      </c>
      <c r="B443" t="s">
        <v>481</v>
      </c>
      <c r="C443" s="10">
        <v>43406</v>
      </c>
      <c r="D443" s="13">
        <f>YEAR(C443)</f>
        <v>2018</v>
      </c>
      <c r="E443" s="13">
        <f>MONTH(C443)</f>
        <v>11</v>
      </c>
      <c r="F443" s="13">
        <f>DAY(C443)</f>
        <v>2</v>
      </c>
      <c r="G443" s="13" t="s">
        <v>535</v>
      </c>
      <c r="H443" s="4" t="s">
        <v>14</v>
      </c>
      <c r="I443">
        <v>46.903599999999997</v>
      </c>
      <c r="J443">
        <v>6.6722000000000001</v>
      </c>
      <c r="K443" s="4" t="s">
        <v>15</v>
      </c>
      <c r="L443" s="4"/>
      <c r="M443" s="4" t="s">
        <v>1</v>
      </c>
      <c r="N443" s="4"/>
      <c r="O443" s="4" t="s">
        <v>17</v>
      </c>
      <c r="P443" s="4" t="s">
        <v>19</v>
      </c>
    </row>
    <row r="444" spans="1:16" s="8" customFormat="1" x14ac:dyDescent="0.25">
      <c r="A444">
        <f>RIGHT(B444,6)*1</f>
        <v>125971</v>
      </c>
      <c r="B444" t="s">
        <v>482</v>
      </c>
      <c r="C444" s="10">
        <v>43406</v>
      </c>
      <c r="D444" s="13">
        <f>YEAR(C444)</f>
        <v>2018</v>
      </c>
      <c r="E444" s="13">
        <f>MONTH(C444)</f>
        <v>11</v>
      </c>
      <c r="F444" s="13">
        <f>DAY(C444)</f>
        <v>2</v>
      </c>
      <c r="G444" s="13" t="s">
        <v>535</v>
      </c>
      <c r="H444" s="4" t="s">
        <v>14</v>
      </c>
      <c r="I444">
        <v>46.923299999999998</v>
      </c>
      <c r="J444">
        <v>6.4356</v>
      </c>
      <c r="K444" s="4" t="s">
        <v>15</v>
      </c>
      <c r="L444" s="4"/>
      <c r="M444" s="4" t="s">
        <v>1</v>
      </c>
      <c r="N444" s="4"/>
      <c r="O444" s="4" t="s">
        <v>17</v>
      </c>
      <c r="P444" s="4" t="s">
        <v>27</v>
      </c>
    </row>
    <row r="445" spans="1:16" s="8" customFormat="1" x14ac:dyDescent="0.25">
      <c r="A445">
        <f>RIGHT(B445,6)*1</f>
        <v>125972</v>
      </c>
      <c r="B445" t="s">
        <v>483</v>
      </c>
      <c r="C445" s="10">
        <v>43406</v>
      </c>
      <c r="D445" s="13">
        <f>YEAR(C445)</f>
        <v>2018</v>
      </c>
      <c r="E445" s="13">
        <f>MONTH(C445)</f>
        <v>11</v>
      </c>
      <c r="F445" s="13">
        <f>DAY(C445)</f>
        <v>2</v>
      </c>
      <c r="G445" s="13" t="s">
        <v>535</v>
      </c>
      <c r="H445" s="4" t="s">
        <v>14</v>
      </c>
      <c r="I445">
        <v>46.903599999999997</v>
      </c>
      <c r="J445">
        <v>6.6722000000000001</v>
      </c>
      <c r="K445" s="4" t="s">
        <v>15</v>
      </c>
      <c r="L445" s="4"/>
      <c r="M445" s="4" t="s">
        <v>1</v>
      </c>
      <c r="N445" s="4"/>
      <c r="O445" s="4" t="s">
        <v>17</v>
      </c>
      <c r="P445" s="4" t="s">
        <v>29</v>
      </c>
    </row>
    <row r="446" spans="1:16" s="8" customFormat="1" x14ac:dyDescent="0.25">
      <c r="A446">
        <f>RIGHT(B446,6)*1</f>
        <v>125973</v>
      </c>
      <c r="B446" t="s">
        <v>484</v>
      </c>
      <c r="C446" s="10">
        <v>43406</v>
      </c>
      <c r="D446" s="13">
        <f>YEAR(C446)</f>
        <v>2018</v>
      </c>
      <c r="E446" s="13">
        <f>MONTH(C446)</f>
        <v>11</v>
      </c>
      <c r="F446" s="13">
        <f>DAY(C446)</f>
        <v>2</v>
      </c>
      <c r="G446" s="13" t="s">
        <v>535</v>
      </c>
      <c r="H446" s="4" t="s">
        <v>14</v>
      </c>
      <c r="I446">
        <v>46.91</v>
      </c>
      <c r="J446">
        <v>6.6863999999999999</v>
      </c>
      <c r="K446" s="4" t="s">
        <v>15</v>
      </c>
      <c r="L446" s="4"/>
      <c r="M446" s="4" t="s">
        <v>1</v>
      </c>
      <c r="N446" s="4"/>
      <c r="O446" s="4" t="s">
        <v>17</v>
      </c>
      <c r="P446" s="4" t="s">
        <v>29</v>
      </c>
    </row>
    <row r="447" spans="1:16" s="8" customFormat="1" x14ac:dyDescent="0.25">
      <c r="A447">
        <f>RIGHT(B447,6)*1</f>
        <v>125974</v>
      </c>
      <c r="B447" t="s">
        <v>485</v>
      </c>
      <c r="C447" s="10">
        <v>43406</v>
      </c>
      <c r="D447" s="13">
        <f>YEAR(C447)</f>
        <v>2018</v>
      </c>
      <c r="E447" s="13">
        <f>MONTH(C447)</f>
        <v>11</v>
      </c>
      <c r="F447" s="13">
        <f>DAY(C447)</f>
        <v>2</v>
      </c>
      <c r="G447" s="13" t="s">
        <v>535</v>
      </c>
      <c r="H447" s="4" t="s">
        <v>14</v>
      </c>
      <c r="I447">
        <v>46.979100000000003</v>
      </c>
      <c r="J447">
        <v>6.6723999999999997</v>
      </c>
      <c r="K447" s="4" t="s">
        <v>15</v>
      </c>
      <c r="L447" s="4"/>
      <c r="M447" s="4" t="s">
        <v>1</v>
      </c>
      <c r="N447" s="4"/>
      <c r="O447" s="4" t="s">
        <v>17</v>
      </c>
      <c r="P447" s="4" t="s">
        <v>184</v>
      </c>
    </row>
    <row r="448" spans="1:16" s="8" customFormat="1" x14ac:dyDescent="0.25">
      <c r="A448">
        <f>RIGHT(B448,6)*1</f>
        <v>125975</v>
      </c>
      <c r="B448" t="s">
        <v>486</v>
      </c>
      <c r="C448" s="10">
        <v>43407</v>
      </c>
      <c r="D448" s="13">
        <f>YEAR(C448)</f>
        <v>2018</v>
      </c>
      <c r="E448" s="13">
        <f>MONTH(C448)</f>
        <v>11</v>
      </c>
      <c r="F448" s="13">
        <f>DAY(C448)</f>
        <v>3</v>
      </c>
      <c r="G448" s="13" t="s">
        <v>535</v>
      </c>
      <c r="H448" s="4" t="s">
        <v>14</v>
      </c>
      <c r="I448">
        <v>46.979100000000003</v>
      </c>
      <c r="J448">
        <v>6.6723999999999997</v>
      </c>
      <c r="K448" s="4" t="s">
        <v>15</v>
      </c>
      <c r="L448" s="4"/>
      <c r="M448" s="4" t="s">
        <v>1</v>
      </c>
      <c r="N448" s="4"/>
      <c r="O448" s="4" t="s">
        <v>17</v>
      </c>
      <c r="P448" s="4" t="s">
        <v>29</v>
      </c>
    </row>
    <row r="449" spans="1:16" s="8" customFormat="1" x14ac:dyDescent="0.25">
      <c r="A449">
        <f>RIGHT(B449,6)*1</f>
        <v>125976</v>
      </c>
      <c r="B449" t="s">
        <v>487</v>
      </c>
      <c r="C449" s="10">
        <v>43408</v>
      </c>
      <c r="D449" s="13">
        <f>YEAR(C449)</f>
        <v>2018</v>
      </c>
      <c r="E449" s="13">
        <f>MONTH(C449)</f>
        <v>11</v>
      </c>
      <c r="F449" s="13">
        <f>DAY(C449)</f>
        <v>4</v>
      </c>
      <c r="G449" s="13" t="s">
        <v>535</v>
      </c>
      <c r="H449" s="4" t="s">
        <v>14</v>
      </c>
      <c r="I449">
        <v>46.860500000000002</v>
      </c>
      <c r="J449">
        <v>6.5678000000000001</v>
      </c>
      <c r="K449" s="4" t="s">
        <v>15</v>
      </c>
      <c r="L449" s="4"/>
      <c r="M449" s="4" t="s">
        <v>1</v>
      </c>
      <c r="N449" s="4"/>
      <c r="O449" s="4" t="s">
        <v>17</v>
      </c>
      <c r="P449" s="4" t="s">
        <v>29</v>
      </c>
    </row>
    <row r="450" spans="1:16" s="8" customFormat="1" x14ac:dyDescent="0.25">
      <c r="A450">
        <f>RIGHT(B450,6)*1</f>
        <v>125977</v>
      </c>
      <c r="B450" t="s">
        <v>488</v>
      </c>
      <c r="C450" s="10">
        <v>43408</v>
      </c>
      <c r="D450" s="13">
        <f>YEAR(C450)</f>
        <v>2018</v>
      </c>
      <c r="E450" s="13">
        <f>MONTH(C450)</f>
        <v>11</v>
      </c>
      <c r="F450" s="13">
        <f>DAY(C450)</f>
        <v>4</v>
      </c>
      <c r="G450" s="13" t="s">
        <v>535</v>
      </c>
      <c r="H450" s="4" t="s">
        <v>14</v>
      </c>
      <c r="I450">
        <v>46.864100000000001</v>
      </c>
      <c r="J450">
        <v>6.5716999999999999</v>
      </c>
      <c r="K450" s="4" t="s">
        <v>15</v>
      </c>
      <c r="L450" s="4"/>
      <c r="M450" s="4" t="s">
        <v>1</v>
      </c>
      <c r="N450" s="4"/>
      <c r="O450" s="4" t="s">
        <v>17</v>
      </c>
      <c r="P450" s="4" t="s">
        <v>29</v>
      </c>
    </row>
    <row r="451" spans="1:16" s="8" customFormat="1" x14ac:dyDescent="0.25">
      <c r="A451">
        <f>RIGHT(B451,6)*1</f>
        <v>125978</v>
      </c>
      <c r="B451" t="s">
        <v>489</v>
      </c>
      <c r="C451" s="10">
        <v>43408</v>
      </c>
      <c r="D451" s="13">
        <f>YEAR(C451)</f>
        <v>2018</v>
      </c>
      <c r="E451" s="13">
        <f>MONTH(C451)</f>
        <v>11</v>
      </c>
      <c r="F451" s="13">
        <f>DAY(C451)</f>
        <v>4</v>
      </c>
      <c r="G451" s="13" t="s">
        <v>535</v>
      </c>
      <c r="H451" s="4" t="s">
        <v>14</v>
      </c>
      <c r="I451">
        <v>46.864100000000001</v>
      </c>
      <c r="J451">
        <v>6.5716999999999999</v>
      </c>
      <c r="K451" s="4" t="s">
        <v>15</v>
      </c>
      <c r="L451" s="4"/>
      <c r="M451" s="4" t="s">
        <v>1</v>
      </c>
      <c r="N451" s="4"/>
      <c r="O451" s="4" t="s">
        <v>17</v>
      </c>
      <c r="P451" s="4" t="s">
        <v>19</v>
      </c>
    </row>
    <row r="452" spans="1:16" s="8" customFormat="1" x14ac:dyDescent="0.25">
      <c r="A452">
        <f>RIGHT(B452,6)*1</f>
        <v>125979</v>
      </c>
      <c r="B452" t="s">
        <v>490</v>
      </c>
      <c r="C452" s="10">
        <v>43408</v>
      </c>
      <c r="D452" s="13">
        <f>YEAR(C452)</f>
        <v>2018</v>
      </c>
      <c r="E452" s="13">
        <f>MONTH(C452)</f>
        <v>11</v>
      </c>
      <c r="F452" s="13">
        <f>DAY(C452)</f>
        <v>4</v>
      </c>
      <c r="G452" s="13" t="s">
        <v>535</v>
      </c>
      <c r="H452" s="4" t="s">
        <v>14</v>
      </c>
      <c r="I452">
        <v>46.864100000000001</v>
      </c>
      <c r="J452">
        <v>6.5716999999999999</v>
      </c>
      <c r="K452" s="4" t="s">
        <v>15</v>
      </c>
      <c r="L452" s="4"/>
      <c r="M452" s="4" t="s">
        <v>1</v>
      </c>
      <c r="N452" s="4"/>
      <c r="O452" s="4" t="s">
        <v>17</v>
      </c>
      <c r="P452" s="4" t="s">
        <v>29</v>
      </c>
    </row>
    <row r="453" spans="1:16" s="8" customFormat="1" x14ac:dyDescent="0.25">
      <c r="A453">
        <f>RIGHT(B453,6)*1</f>
        <v>125980</v>
      </c>
      <c r="B453" t="s">
        <v>491</v>
      </c>
      <c r="C453" s="10">
        <v>43408</v>
      </c>
      <c r="D453" s="13">
        <f>YEAR(C453)</f>
        <v>2018</v>
      </c>
      <c r="E453" s="13">
        <f>MONTH(C453)</f>
        <v>11</v>
      </c>
      <c r="F453" s="13">
        <f>DAY(C453)</f>
        <v>4</v>
      </c>
      <c r="G453" s="13" t="s">
        <v>535</v>
      </c>
      <c r="H453" s="4" t="s">
        <v>14</v>
      </c>
      <c r="I453">
        <v>46.864100000000001</v>
      </c>
      <c r="J453">
        <v>6.5716999999999999</v>
      </c>
      <c r="K453" s="4" t="s">
        <v>15</v>
      </c>
      <c r="L453" s="4"/>
      <c r="M453" s="4" t="s">
        <v>1</v>
      </c>
      <c r="N453" s="4"/>
      <c r="O453" s="4" t="s">
        <v>17</v>
      </c>
      <c r="P453" s="4" t="s">
        <v>29</v>
      </c>
    </row>
    <row r="454" spans="1:16" s="8" customFormat="1" x14ac:dyDescent="0.25">
      <c r="A454">
        <f>RIGHT(B454,6)*1</f>
        <v>125981</v>
      </c>
      <c r="B454" t="s">
        <v>492</v>
      </c>
      <c r="C454" s="10">
        <v>43408</v>
      </c>
      <c r="D454" s="13">
        <f>YEAR(C454)</f>
        <v>2018</v>
      </c>
      <c r="E454" s="13">
        <f>MONTH(C454)</f>
        <v>11</v>
      </c>
      <c r="F454" s="13">
        <f>DAY(C454)</f>
        <v>4</v>
      </c>
      <c r="G454" s="13" t="s">
        <v>535</v>
      </c>
      <c r="H454" s="4" t="s">
        <v>14</v>
      </c>
      <c r="I454">
        <v>46.860500000000002</v>
      </c>
      <c r="J454">
        <v>6.5678000000000001</v>
      </c>
      <c r="K454" s="4" t="s">
        <v>15</v>
      </c>
      <c r="L454" s="4"/>
      <c r="M454" s="4" t="s">
        <v>1</v>
      </c>
      <c r="N454" s="4"/>
      <c r="O454" s="4" t="s">
        <v>17</v>
      </c>
      <c r="P454" s="4" t="s">
        <v>29</v>
      </c>
    </row>
    <row r="455" spans="1:16" s="8" customFormat="1" x14ac:dyDescent="0.25">
      <c r="A455">
        <f>RIGHT(B455,6)*1</f>
        <v>125982</v>
      </c>
      <c r="B455" t="s">
        <v>493</v>
      </c>
      <c r="C455" s="10">
        <v>43408</v>
      </c>
      <c r="D455" s="13">
        <f>YEAR(C455)</f>
        <v>2018</v>
      </c>
      <c r="E455" s="13">
        <f>MONTH(C455)</f>
        <v>11</v>
      </c>
      <c r="F455" s="13">
        <f>DAY(C455)</f>
        <v>4</v>
      </c>
      <c r="G455" s="13" t="s">
        <v>535</v>
      </c>
      <c r="H455" s="4" t="s">
        <v>14</v>
      </c>
      <c r="I455">
        <v>46.854900000000001</v>
      </c>
      <c r="J455">
        <v>6.5456000000000003</v>
      </c>
      <c r="K455" s="4" t="s">
        <v>15</v>
      </c>
      <c r="L455" s="4"/>
      <c r="M455" s="4" t="s">
        <v>1</v>
      </c>
      <c r="N455" s="4"/>
      <c r="O455" s="4" t="s">
        <v>17</v>
      </c>
      <c r="P455" s="4" t="s">
        <v>29</v>
      </c>
    </row>
    <row r="456" spans="1:16" s="8" customFormat="1" x14ac:dyDescent="0.25">
      <c r="A456">
        <f>RIGHT(B456,6)*1</f>
        <v>125983</v>
      </c>
      <c r="B456" t="s">
        <v>494</v>
      </c>
      <c r="C456" s="10">
        <v>43409</v>
      </c>
      <c r="D456" s="13">
        <f>YEAR(C456)</f>
        <v>2018</v>
      </c>
      <c r="E456" s="13">
        <f>MONTH(C456)</f>
        <v>11</v>
      </c>
      <c r="F456" s="13">
        <f>DAY(C456)</f>
        <v>5</v>
      </c>
      <c r="G456" s="13" t="s">
        <v>535</v>
      </c>
      <c r="H456" s="4" t="s">
        <v>14</v>
      </c>
      <c r="I456">
        <v>46.854900000000001</v>
      </c>
      <c r="J456">
        <v>6.5456000000000003</v>
      </c>
      <c r="K456" s="4" t="s">
        <v>15</v>
      </c>
      <c r="L456" s="4"/>
      <c r="M456" s="4" t="s">
        <v>1</v>
      </c>
      <c r="N456" s="4"/>
      <c r="O456" s="4" t="s">
        <v>17</v>
      </c>
      <c r="P456" s="4" t="s">
        <v>29</v>
      </c>
    </row>
    <row r="457" spans="1:16" s="8" customFormat="1" x14ac:dyDescent="0.25">
      <c r="A457">
        <f>RIGHT(B457,6)*1</f>
        <v>125984</v>
      </c>
      <c r="B457" t="s">
        <v>495</v>
      </c>
      <c r="C457" s="10">
        <v>43409</v>
      </c>
      <c r="D457" s="13">
        <f>YEAR(C457)</f>
        <v>2018</v>
      </c>
      <c r="E457" s="13">
        <f>MONTH(C457)</f>
        <v>11</v>
      </c>
      <c r="F457" s="13">
        <f>DAY(C457)</f>
        <v>5</v>
      </c>
      <c r="G457" s="13" t="s">
        <v>535</v>
      </c>
      <c r="H457" s="4" t="s">
        <v>14</v>
      </c>
      <c r="I457">
        <v>46.854900000000001</v>
      </c>
      <c r="J457">
        <v>6.5456000000000003</v>
      </c>
      <c r="K457" s="4" t="s">
        <v>15</v>
      </c>
      <c r="L457" s="4"/>
      <c r="M457" s="4" t="s">
        <v>1</v>
      </c>
      <c r="N457" s="4"/>
      <c r="O457" s="4" t="s">
        <v>17</v>
      </c>
      <c r="P457" s="4" t="s">
        <v>184</v>
      </c>
    </row>
    <row r="458" spans="1:16" s="8" customFormat="1" x14ac:dyDescent="0.25">
      <c r="A458">
        <f>RIGHT(B458,6)*1</f>
        <v>125985</v>
      </c>
      <c r="B458" t="s">
        <v>496</v>
      </c>
      <c r="C458" s="10">
        <v>43409</v>
      </c>
      <c r="D458" s="13">
        <f>YEAR(C458)</f>
        <v>2018</v>
      </c>
      <c r="E458" s="13">
        <f>MONTH(C458)</f>
        <v>11</v>
      </c>
      <c r="F458" s="13">
        <f>DAY(C458)</f>
        <v>5</v>
      </c>
      <c r="G458" s="13" t="s">
        <v>535</v>
      </c>
      <c r="H458" s="4" t="s">
        <v>14</v>
      </c>
      <c r="I458">
        <v>46.854900000000001</v>
      </c>
      <c r="J458">
        <v>6.5456000000000003</v>
      </c>
      <c r="K458" s="4" t="s">
        <v>15</v>
      </c>
      <c r="L458" s="4"/>
      <c r="M458" s="4" t="s">
        <v>1</v>
      </c>
      <c r="N458" s="4"/>
      <c r="O458" s="4" t="s">
        <v>16</v>
      </c>
      <c r="P458" s="4" t="s">
        <v>184</v>
      </c>
    </row>
    <row r="459" spans="1:16" s="8" customFormat="1" x14ac:dyDescent="0.25">
      <c r="A459">
        <f>RIGHT(B459,6)*1</f>
        <v>125986</v>
      </c>
      <c r="B459" t="s">
        <v>497</v>
      </c>
      <c r="C459" s="10">
        <v>43409</v>
      </c>
      <c r="D459" s="13">
        <f>YEAR(C459)</f>
        <v>2018</v>
      </c>
      <c r="E459" s="13">
        <f>MONTH(C459)</f>
        <v>11</v>
      </c>
      <c r="F459" s="13">
        <f>DAY(C459)</f>
        <v>5</v>
      </c>
      <c r="G459" s="13" t="s">
        <v>535</v>
      </c>
      <c r="H459" s="4" t="s">
        <v>14</v>
      </c>
      <c r="I459">
        <v>46.928100000000001</v>
      </c>
      <c r="J459">
        <v>6.7217000000000002</v>
      </c>
      <c r="K459" s="4" t="s">
        <v>15</v>
      </c>
      <c r="L459" s="4"/>
      <c r="M459" s="4" t="s">
        <v>1</v>
      </c>
      <c r="N459" s="4"/>
      <c r="O459" s="4" t="s">
        <v>17</v>
      </c>
      <c r="P459" s="4" t="s">
        <v>29</v>
      </c>
    </row>
    <row r="460" spans="1:16" s="8" customFormat="1" x14ac:dyDescent="0.25">
      <c r="A460">
        <f>RIGHT(B460,6)*1</f>
        <v>125987</v>
      </c>
      <c r="B460" t="s">
        <v>498</v>
      </c>
      <c r="C460" s="10">
        <v>43410</v>
      </c>
      <c r="D460" s="13">
        <f>YEAR(C460)</f>
        <v>2018</v>
      </c>
      <c r="E460" s="13">
        <f>MONTH(C460)</f>
        <v>11</v>
      </c>
      <c r="F460" s="13">
        <f>DAY(C460)</f>
        <v>6</v>
      </c>
      <c r="G460" s="13" t="s">
        <v>535</v>
      </c>
      <c r="H460" s="4" t="s">
        <v>14</v>
      </c>
      <c r="I460">
        <v>46.928100000000001</v>
      </c>
      <c r="J460">
        <v>6.7217000000000002</v>
      </c>
      <c r="K460" s="4" t="s">
        <v>15</v>
      </c>
      <c r="L460" s="4"/>
      <c r="M460" s="4" t="s">
        <v>1</v>
      </c>
      <c r="N460" s="4"/>
      <c r="O460" s="4" t="s">
        <v>16</v>
      </c>
      <c r="P460" s="4" t="s">
        <v>29</v>
      </c>
    </row>
    <row r="461" spans="1:16" s="8" customFormat="1" x14ac:dyDescent="0.25">
      <c r="A461">
        <f>RIGHT(B461,6)*1</f>
        <v>125988</v>
      </c>
      <c r="B461" t="s">
        <v>499</v>
      </c>
      <c r="C461" s="10">
        <v>43410</v>
      </c>
      <c r="D461" s="13">
        <f>YEAR(C461)</f>
        <v>2018</v>
      </c>
      <c r="E461" s="13">
        <f>MONTH(C461)</f>
        <v>11</v>
      </c>
      <c r="F461" s="13">
        <f>DAY(C461)</f>
        <v>6</v>
      </c>
      <c r="G461" s="13" t="s">
        <v>535</v>
      </c>
      <c r="H461" s="4" t="s">
        <v>14</v>
      </c>
      <c r="I461">
        <v>46.911099999999998</v>
      </c>
      <c r="J461">
        <v>6.5998000000000001</v>
      </c>
      <c r="K461" s="4" t="s">
        <v>15</v>
      </c>
      <c r="L461" s="4"/>
      <c r="M461" s="4" t="s">
        <v>1</v>
      </c>
      <c r="N461" s="4"/>
      <c r="O461" s="4" t="s">
        <v>17</v>
      </c>
      <c r="P461" s="4" t="s">
        <v>19</v>
      </c>
    </row>
    <row r="462" spans="1:16" s="8" customFormat="1" x14ac:dyDescent="0.25">
      <c r="A462">
        <f>RIGHT(B462,6)*1</f>
        <v>125989</v>
      </c>
      <c r="B462" t="s">
        <v>500</v>
      </c>
      <c r="C462" s="10">
        <v>43410</v>
      </c>
      <c r="D462" s="13">
        <f>YEAR(C462)</f>
        <v>2018</v>
      </c>
      <c r="E462" s="13">
        <f>MONTH(C462)</f>
        <v>11</v>
      </c>
      <c r="F462" s="13">
        <f>DAY(C462)</f>
        <v>6</v>
      </c>
      <c r="G462" s="13" t="s">
        <v>535</v>
      </c>
      <c r="H462" s="4" t="s">
        <v>14</v>
      </c>
      <c r="I462">
        <v>46.928899999999999</v>
      </c>
      <c r="J462">
        <v>6.4592000000000001</v>
      </c>
      <c r="K462" s="4" t="s">
        <v>15</v>
      </c>
      <c r="L462" s="4"/>
      <c r="M462" s="4" t="s">
        <v>1</v>
      </c>
      <c r="N462" s="4"/>
      <c r="O462" s="4" t="s">
        <v>17</v>
      </c>
      <c r="P462" s="4" t="s">
        <v>184</v>
      </c>
    </row>
    <row r="463" spans="1:16" s="8" customFormat="1" x14ac:dyDescent="0.25">
      <c r="A463">
        <f>RIGHT(B463,6)*1</f>
        <v>125990</v>
      </c>
      <c r="B463" t="s">
        <v>501</v>
      </c>
      <c r="C463" s="10">
        <v>43410</v>
      </c>
      <c r="D463" s="13">
        <f>YEAR(C463)</f>
        <v>2018</v>
      </c>
      <c r="E463" s="13">
        <f>MONTH(C463)</f>
        <v>11</v>
      </c>
      <c r="F463" s="13">
        <f>DAY(C463)</f>
        <v>6</v>
      </c>
      <c r="G463" s="13" t="s">
        <v>535</v>
      </c>
      <c r="H463" s="4" t="s">
        <v>14</v>
      </c>
      <c r="I463">
        <v>46.928899999999999</v>
      </c>
      <c r="J463">
        <v>6.4592000000000001</v>
      </c>
      <c r="K463" s="4" t="s">
        <v>15</v>
      </c>
      <c r="L463" s="4"/>
      <c r="M463" s="4" t="s">
        <v>1</v>
      </c>
      <c r="N463" s="4"/>
      <c r="O463" s="4" t="s">
        <v>17</v>
      </c>
      <c r="P463" s="4" t="s">
        <v>29</v>
      </c>
    </row>
    <row r="464" spans="1:16" s="8" customFormat="1" x14ac:dyDescent="0.25">
      <c r="A464">
        <f>RIGHT(B464,6)*1</f>
        <v>125991</v>
      </c>
      <c r="B464" t="s">
        <v>502</v>
      </c>
      <c r="C464" s="10">
        <v>43410</v>
      </c>
      <c r="D464" s="13">
        <f>YEAR(C464)</f>
        <v>2018</v>
      </c>
      <c r="E464" s="13">
        <f>MONTH(C464)</f>
        <v>11</v>
      </c>
      <c r="F464" s="13">
        <f>DAY(C464)</f>
        <v>6</v>
      </c>
      <c r="G464" s="13" t="s">
        <v>535</v>
      </c>
      <c r="H464" s="4" t="s">
        <v>14</v>
      </c>
      <c r="I464">
        <v>46.929699999999997</v>
      </c>
      <c r="J464">
        <v>6.4603000000000002</v>
      </c>
      <c r="K464" s="4" t="s">
        <v>15</v>
      </c>
      <c r="L464" s="4"/>
      <c r="M464" s="4" t="s">
        <v>1</v>
      </c>
      <c r="N464" s="4"/>
      <c r="O464" s="4" t="s">
        <v>16</v>
      </c>
      <c r="P464" s="4" t="s">
        <v>29</v>
      </c>
    </row>
    <row r="465" spans="1:16" s="8" customFormat="1" x14ac:dyDescent="0.25">
      <c r="A465">
        <f>RIGHT(B465,6)*1</f>
        <v>125992</v>
      </c>
      <c r="B465" t="s">
        <v>503</v>
      </c>
      <c r="C465" s="10">
        <v>43410</v>
      </c>
      <c r="D465" s="13">
        <f>YEAR(C465)</f>
        <v>2018</v>
      </c>
      <c r="E465" s="13">
        <f>MONTH(C465)</f>
        <v>11</v>
      </c>
      <c r="F465" s="13">
        <f>DAY(C465)</f>
        <v>6</v>
      </c>
      <c r="G465" s="13" t="s">
        <v>535</v>
      </c>
      <c r="H465" s="4" t="s">
        <v>14</v>
      </c>
      <c r="I465">
        <v>46.929699999999997</v>
      </c>
      <c r="J465">
        <v>6.4603000000000002</v>
      </c>
      <c r="K465" s="4" t="s">
        <v>15</v>
      </c>
      <c r="L465" s="4"/>
      <c r="M465" s="4" t="s">
        <v>1</v>
      </c>
      <c r="N465" s="4"/>
      <c r="O465" s="4" t="s">
        <v>16</v>
      </c>
      <c r="P465" s="4" t="s">
        <v>29</v>
      </c>
    </row>
    <row r="466" spans="1:16" s="8" customFormat="1" x14ac:dyDescent="0.25">
      <c r="A466">
        <f>RIGHT(B466,6)*1</f>
        <v>125993</v>
      </c>
      <c r="B466" t="s">
        <v>504</v>
      </c>
      <c r="C466" s="10">
        <v>43410</v>
      </c>
      <c r="D466" s="13">
        <f>YEAR(C466)</f>
        <v>2018</v>
      </c>
      <c r="E466" s="13">
        <f>MONTH(C466)</f>
        <v>11</v>
      </c>
      <c r="F466" s="13">
        <f>DAY(C466)</f>
        <v>6</v>
      </c>
      <c r="G466" s="13" t="s">
        <v>535</v>
      </c>
      <c r="H466" s="4" t="s">
        <v>14</v>
      </c>
      <c r="I466">
        <v>46.929699999999997</v>
      </c>
      <c r="J466">
        <v>6.4603000000000002</v>
      </c>
      <c r="K466" s="4" t="s">
        <v>15</v>
      </c>
      <c r="L466" s="4"/>
      <c r="M466" s="4" t="s">
        <v>1</v>
      </c>
      <c r="N466" s="4"/>
      <c r="O466" s="4" t="s">
        <v>17</v>
      </c>
      <c r="P466" s="4" t="s">
        <v>29</v>
      </c>
    </row>
    <row r="467" spans="1:16" s="8" customFormat="1" x14ac:dyDescent="0.25">
      <c r="A467">
        <f>RIGHT(B467,6)*1</f>
        <v>125994</v>
      </c>
      <c r="B467" t="s">
        <v>505</v>
      </c>
      <c r="C467" s="10">
        <v>43410</v>
      </c>
      <c r="D467" s="13">
        <f>YEAR(C467)</f>
        <v>2018</v>
      </c>
      <c r="E467" s="13">
        <f>MONTH(C467)</f>
        <v>11</v>
      </c>
      <c r="F467" s="13">
        <f>DAY(C467)</f>
        <v>6</v>
      </c>
      <c r="G467" s="13" t="s">
        <v>535</v>
      </c>
      <c r="H467" s="4" t="s">
        <v>14</v>
      </c>
      <c r="I467">
        <v>46.936900000000001</v>
      </c>
      <c r="J467">
        <v>6.4641999999999999</v>
      </c>
      <c r="K467" s="4" t="s">
        <v>15</v>
      </c>
      <c r="L467" s="4"/>
      <c r="M467" s="4" t="s">
        <v>1</v>
      </c>
      <c r="N467" s="4"/>
      <c r="O467" s="4" t="s">
        <v>17</v>
      </c>
      <c r="P467" s="4" t="s">
        <v>19</v>
      </c>
    </row>
    <row r="468" spans="1:16" s="8" customFormat="1" x14ac:dyDescent="0.25">
      <c r="A468">
        <f>RIGHT(B468,6)*1</f>
        <v>125995</v>
      </c>
      <c r="B468" t="s">
        <v>506</v>
      </c>
      <c r="C468" s="10">
        <v>43410</v>
      </c>
      <c r="D468" s="13">
        <f>YEAR(C468)</f>
        <v>2018</v>
      </c>
      <c r="E468" s="13">
        <f>MONTH(C468)</f>
        <v>11</v>
      </c>
      <c r="F468" s="13">
        <f>DAY(C468)</f>
        <v>6</v>
      </c>
      <c r="G468" s="13" t="s">
        <v>535</v>
      </c>
      <c r="H468" s="4" t="s">
        <v>14</v>
      </c>
      <c r="I468">
        <v>46.936900000000001</v>
      </c>
      <c r="J468">
        <v>6.4641999999999999</v>
      </c>
      <c r="K468" s="4" t="s">
        <v>15</v>
      </c>
      <c r="L468" s="4"/>
      <c r="M468" s="4" t="s">
        <v>1</v>
      </c>
      <c r="N468" s="4"/>
      <c r="O468" s="4" t="s">
        <v>17</v>
      </c>
      <c r="P468" s="4" t="s">
        <v>29</v>
      </c>
    </row>
    <row r="469" spans="1:16" s="8" customFormat="1" x14ac:dyDescent="0.25">
      <c r="A469">
        <f>RIGHT(B469,6)*1</f>
        <v>125996</v>
      </c>
      <c r="B469" t="s">
        <v>507</v>
      </c>
      <c r="C469" s="10">
        <v>43410</v>
      </c>
      <c r="D469" s="13">
        <f>YEAR(C469)</f>
        <v>2018</v>
      </c>
      <c r="E469" s="13">
        <f>MONTH(C469)</f>
        <v>11</v>
      </c>
      <c r="F469" s="13">
        <f>DAY(C469)</f>
        <v>6</v>
      </c>
      <c r="G469" s="13" t="s">
        <v>535</v>
      </c>
      <c r="H469" s="4" t="s">
        <v>14</v>
      </c>
      <c r="I469">
        <v>46.936900000000001</v>
      </c>
      <c r="J469">
        <v>6.4641999999999999</v>
      </c>
      <c r="K469" s="4" t="s">
        <v>15</v>
      </c>
      <c r="L469" s="4"/>
      <c r="M469" s="4" t="s">
        <v>1</v>
      </c>
      <c r="N469" s="4"/>
      <c r="O469" s="4" t="s">
        <v>17</v>
      </c>
      <c r="P469" s="4" t="s">
        <v>29</v>
      </c>
    </row>
    <row r="470" spans="1:16" s="8" customFormat="1" x14ac:dyDescent="0.25">
      <c r="A470">
        <f>RIGHT(B470,6)*1</f>
        <v>125997</v>
      </c>
      <c r="B470" t="s">
        <v>508</v>
      </c>
      <c r="C470" s="10">
        <v>43410</v>
      </c>
      <c r="D470" s="13">
        <f>YEAR(C470)</f>
        <v>2018</v>
      </c>
      <c r="E470" s="13">
        <f>MONTH(C470)</f>
        <v>11</v>
      </c>
      <c r="F470" s="13">
        <f>DAY(C470)</f>
        <v>6</v>
      </c>
      <c r="G470" s="13" t="s">
        <v>535</v>
      </c>
      <c r="H470" s="4" t="s">
        <v>14</v>
      </c>
      <c r="I470">
        <v>46.936900000000001</v>
      </c>
      <c r="J470">
        <v>6.4641999999999999</v>
      </c>
      <c r="K470" s="4" t="s">
        <v>15</v>
      </c>
      <c r="L470" s="4"/>
      <c r="M470" s="4" t="s">
        <v>1</v>
      </c>
      <c r="N470" s="4"/>
      <c r="O470" s="4" t="s">
        <v>17</v>
      </c>
      <c r="P470" s="4" t="s">
        <v>29</v>
      </c>
    </row>
    <row r="471" spans="1:16" s="8" customFormat="1" x14ac:dyDescent="0.25">
      <c r="A471">
        <f>RIGHT(B471,6)*1</f>
        <v>125998</v>
      </c>
      <c r="B471" t="s">
        <v>509</v>
      </c>
      <c r="C471" s="10">
        <v>43410</v>
      </c>
      <c r="D471" s="13">
        <f>YEAR(C471)</f>
        <v>2018</v>
      </c>
      <c r="E471" s="13">
        <f>MONTH(C471)</f>
        <v>11</v>
      </c>
      <c r="F471" s="13">
        <f>DAY(C471)</f>
        <v>6</v>
      </c>
      <c r="G471" s="13" t="s">
        <v>535</v>
      </c>
      <c r="H471" s="4" t="s">
        <v>14</v>
      </c>
      <c r="I471">
        <v>46.936900000000001</v>
      </c>
      <c r="J471">
        <v>6.4641999999999999</v>
      </c>
      <c r="K471" s="4" t="s">
        <v>15</v>
      </c>
      <c r="L471" s="4"/>
      <c r="M471" s="4" t="s">
        <v>1</v>
      </c>
      <c r="N471" s="4"/>
      <c r="O471" s="4" t="s">
        <v>16</v>
      </c>
      <c r="P471" s="4" t="s">
        <v>29</v>
      </c>
    </row>
    <row r="472" spans="1:16" s="8" customFormat="1" x14ac:dyDescent="0.25">
      <c r="A472">
        <f>RIGHT(B472,6)*1</f>
        <v>125999</v>
      </c>
      <c r="B472" t="s">
        <v>510</v>
      </c>
      <c r="C472" s="10">
        <v>43410</v>
      </c>
      <c r="D472" s="13">
        <f>YEAR(C472)</f>
        <v>2018</v>
      </c>
      <c r="E472" s="13">
        <f>MONTH(C472)</f>
        <v>11</v>
      </c>
      <c r="F472" s="13">
        <f>DAY(C472)</f>
        <v>6</v>
      </c>
      <c r="G472" s="13" t="s">
        <v>535</v>
      </c>
      <c r="H472" s="4" t="s">
        <v>14</v>
      </c>
      <c r="I472">
        <v>46.936900000000001</v>
      </c>
      <c r="J472">
        <v>6.4641999999999999</v>
      </c>
      <c r="K472" s="4" t="s">
        <v>15</v>
      </c>
      <c r="L472" s="4"/>
      <c r="M472" s="4" t="s">
        <v>1</v>
      </c>
      <c r="N472" s="4"/>
      <c r="O472" s="4" t="s">
        <v>17</v>
      </c>
      <c r="P472" s="4" t="s">
        <v>29</v>
      </c>
    </row>
    <row r="473" spans="1:16" s="8" customFormat="1" x14ac:dyDescent="0.25">
      <c r="A473">
        <f>RIGHT(B473,6)*1</f>
        <v>126000</v>
      </c>
      <c r="B473" t="s">
        <v>511</v>
      </c>
      <c r="C473" s="10">
        <v>43410</v>
      </c>
      <c r="D473" s="13">
        <f>YEAR(C473)</f>
        <v>2018</v>
      </c>
      <c r="E473" s="13">
        <f>MONTH(C473)</f>
        <v>11</v>
      </c>
      <c r="F473" s="13">
        <f>DAY(C473)</f>
        <v>6</v>
      </c>
      <c r="G473" s="13" t="s">
        <v>535</v>
      </c>
      <c r="H473" s="4" t="s">
        <v>14</v>
      </c>
      <c r="I473">
        <v>46.929699999999997</v>
      </c>
      <c r="J473">
        <v>6.4603000000000002</v>
      </c>
      <c r="K473" s="4" t="s">
        <v>15</v>
      </c>
      <c r="L473" s="4"/>
      <c r="M473" s="4" t="s">
        <v>1</v>
      </c>
      <c r="N473" s="4"/>
      <c r="O473" s="4" t="s">
        <v>17</v>
      </c>
      <c r="P473" s="4" t="s">
        <v>29</v>
      </c>
    </row>
  </sheetData>
  <sortState xmlns:xlrd2="http://schemas.microsoft.com/office/spreadsheetml/2017/richdata2" ref="A2:Q473">
    <sortCondition ref="E2:E473"/>
  </sortState>
  <pageMargins left="0.7" right="0.7" top="0.75" bottom="0.75" header="0.3" footer="0.3"/>
  <pageSetup paperSize="9"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BE10-482C-4D9D-B442-9B8808CE37F0}">
  <dimension ref="A1:W20"/>
  <sheetViews>
    <sheetView tabSelected="1" workbookViewId="0">
      <selection activeCell="A3" sqref="A3:C20"/>
    </sheetView>
  </sheetViews>
  <sheetFormatPr baseColWidth="10" defaultRowHeight="15.75" x14ac:dyDescent="0.3"/>
  <cols>
    <col min="1" max="1" width="26.7109375" style="15" customWidth="1"/>
    <col min="2" max="2" width="58.42578125" style="15" bestFit="1" customWidth="1"/>
    <col min="3" max="3" width="10.7109375" style="16" customWidth="1"/>
    <col min="4" max="9" width="10.7109375" style="15" customWidth="1"/>
    <col min="10" max="16384" width="11.42578125" style="15"/>
  </cols>
  <sheetData>
    <row r="1" spans="1:23" x14ac:dyDescent="0.3">
      <c r="A1" s="15" t="s">
        <v>515</v>
      </c>
    </row>
    <row r="3" spans="1:23" x14ac:dyDescent="0.3">
      <c r="C3" s="16" t="s">
        <v>527</v>
      </c>
      <c r="I3" s="17"/>
    </row>
    <row r="4" spans="1:23" x14ac:dyDescent="0.3">
      <c r="A4" s="23" t="s">
        <v>531</v>
      </c>
      <c r="B4" s="23" t="s">
        <v>528</v>
      </c>
      <c r="C4" s="24">
        <v>472</v>
      </c>
      <c r="W4" s="15">
        <f>SUM(C5:C6)</f>
        <v>472</v>
      </c>
    </row>
    <row r="5" spans="1:23" x14ac:dyDescent="0.3">
      <c r="B5" s="19" t="s">
        <v>532</v>
      </c>
      <c r="C5" s="20">
        <v>99</v>
      </c>
    </row>
    <row r="6" spans="1:23" x14ac:dyDescent="0.3">
      <c r="A6" s="18"/>
      <c r="B6" s="21" t="s">
        <v>533</v>
      </c>
      <c r="C6" s="22">
        <v>373</v>
      </c>
    </row>
    <row r="7" spans="1:23" x14ac:dyDescent="0.3">
      <c r="A7" s="27" t="s">
        <v>516</v>
      </c>
      <c r="B7" s="27" t="s">
        <v>528</v>
      </c>
      <c r="C7" s="28" t="s">
        <v>529</v>
      </c>
      <c r="W7" s="15">
        <f>SUM(C8:C9)</f>
        <v>77</v>
      </c>
    </row>
    <row r="8" spans="1:23" x14ac:dyDescent="0.3">
      <c r="A8" s="29"/>
      <c r="B8" s="30" t="s">
        <v>43</v>
      </c>
      <c r="C8" s="31">
        <v>51</v>
      </c>
    </row>
    <row r="9" spans="1:23" x14ac:dyDescent="0.3">
      <c r="A9" s="29"/>
      <c r="B9" s="30" t="s">
        <v>118</v>
      </c>
      <c r="C9" s="31">
        <v>26</v>
      </c>
    </row>
    <row r="10" spans="1:23" s="18" customFormat="1" x14ac:dyDescent="0.3">
      <c r="A10" s="32"/>
      <c r="B10" s="33" t="s">
        <v>517</v>
      </c>
      <c r="C10" s="34">
        <v>2</v>
      </c>
    </row>
    <row r="11" spans="1:23" x14ac:dyDescent="0.3">
      <c r="A11" s="23" t="s">
        <v>518</v>
      </c>
      <c r="B11" s="23" t="s">
        <v>528</v>
      </c>
      <c r="C11" s="24">
        <v>12</v>
      </c>
      <c r="W11" s="15">
        <f>SUM(C12:C13)</f>
        <v>12</v>
      </c>
    </row>
    <row r="12" spans="1:23" x14ac:dyDescent="0.3">
      <c r="B12" s="19" t="s">
        <v>519</v>
      </c>
      <c r="C12" s="20">
        <v>11</v>
      </c>
    </row>
    <row r="13" spans="1:23" x14ac:dyDescent="0.3">
      <c r="B13" s="19" t="s">
        <v>520</v>
      </c>
      <c r="C13" s="20">
        <v>1</v>
      </c>
    </row>
    <row r="14" spans="1:23" x14ac:dyDescent="0.3">
      <c r="A14" s="25" t="s">
        <v>521</v>
      </c>
      <c r="B14" s="25" t="s">
        <v>528</v>
      </c>
      <c r="C14" s="26">
        <v>97</v>
      </c>
      <c r="W14" s="15">
        <f>SUM(C15:C19)</f>
        <v>97</v>
      </c>
    </row>
    <row r="15" spans="1:23" x14ac:dyDescent="0.3">
      <c r="B15" s="19" t="s">
        <v>522</v>
      </c>
      <c r="C15" s="20">
        <v>8</v>
      </c>
    </row>
    <row r="16" spans="1:23" x14ac:dyDescent="0.3">
      <c r="B16" s="19" t="s">
        <v>523</v>
      </c>
      <c r="C16" s="20">
        <v>30</v>
      </c>
    </row>
    <row r="17" spans="1:23" x14ac:dyDescent="0.3">
      <c r="B17" s="19" t="s">
        <v>524</v>
      </c>
      <c r="C17" s="20">
        <v>39</v>
      </c>
    </row>
    <row r="18" spans="1:23" x14ac:dyDescent="0.3">
      <c r="B18" s="19" t="s">
        <v>525</v>
      </c>
      <c r="C18" s="20">
        <v>17</v>
      </c>
    </row>
    <row r="19" spans="1:23" x14ac:dyDescent="0.3">
      <c r="B19" s="19" t="s">
        <v>526</v>
      </c>
      <c r="C19" s="20">
        <v>3</v>
      </c>
    </row>
    <row r="20" spans="1:23" x14ac:dyDescent="0.3">
      <c r="A20" s="25" t="s">
        <v>530</v>
      </c>
      <c r="B20" s="25"/>
      <c r="C20" s="26">
        <v>363</v>
      </c>
      <c r="W20" s="15">
        <f>W4-W11-W14</f>
        <v>363</v>
      </c>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Data_all</vt:lpstr>
      <vt:lpstr>Data_Individuals</vt:lpstr>
      <vt:lpstr>Tabelle1</vt:lpstr>
      <vt:lpstr>Tabelle1!Druckbereich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Schaub</dc:creator>
  <cp:keywords/>
  <dc:description/>
  <cp:lastModifiedBy>Pierre Mollet</cp:lastModifiedBy>
  <cp:revision/>
  <cp:lastPrinted>2025-09-16T09:27:47Z</cp:lastPrinted>
  <dcterms:created xsi:type="dcterms:W3CDTF">2015-06-05T18:19:34Z</dcterms:created>
  <dcterms:modified xsi:type="dcterms:W3CDTF">2025-09-16T12:09:35Z</dcterms:modified>
  <cp:category/>
  <cp:contentStatus/>
</cp:coreProperties>
</file>