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PROJETS\externes\OFEV\BECASSE\analyses_isotopes\Rapport_Voigt_2016\"/>
    </mc:Choice>
  </mc:AlternateContent>
  <bookViews>
    <workbookView xWindow="0" yWindow="0" windowWidth="25200" windowHeight="11550"/>
  </bookViews>
  <sheets>
    <sheet name="data" sheetId="1" r:id="rId1"/>
  </sheets>
  <definedNames>
    <definedName name="_xlnm._FilterDatabase" localSheetId="0" hidden="1">data!$A$1:$O$423</definedName>
  </definedNames>
  <calcPr calcId="162913"/>
</workbook>
</file>

<file path=xl/calcChain.xml><?xml version="1.0" encoding="utf-8"?>
<calcChain xmlns="http://schemas.openxmlformats.org/spreadsheetml/2006/main">
  <c r="B19" i="1" l="1"/>
  <c r="O19" i="1" s="1"/>
  <c r="B6" i="1"/>
  <c r="O6" i="1" s="1"/>
  <c r="B45" i="1"/>
  <c r="O45" i="1" s="1"/>
  <c r="B21" i="1"/>
  <c r="O21" i="1" s="1"/>
  <c r="B52" i="1"/>
  <c r="O52" i="1" s="1"/>
  <c r="B5" i="1"/>
  <c r="O5" i="1" s="1"/>
  <c r="B34" i="1"/>
  <c r="O34" i="1" s="1"/>
  <c r="B14" i="1"/>
  <c r="O14" i="1" s="1"/>
  <c r="B3" i="1"/>
  <c r="O3" i="1" s="1"/>
  <c r="B36" i="1"/>
  <c r="O36" i="1" s="1"/>
  <c r="B23" i="1"/>
  <c r="O23" i="1" s="1"/>
  <c r="B35" i="1"/>
  <c r="O35" i="1" s="1"/>
  <c r="B97" i="1"/>
  <c r="O97" i="1" s="1"/>
  <c r="B15" i="1"/>
  <c r="O15" i="1" s="1"/>
  <c r="B43" i="1"/>
  <c r="O43" i="1" s="1"/>
  <c r="B22" i="1"/>
  <c r="O22" i="1" s="1"/>
  <c r="B16" i="1"/>
  <c r="O16" i="1" s="1"/>
  <c r="B64" i="1"/>
  <c r="O64" i="1" s="1"/>
  <c r="B57" i="1"/>
  <c r="O57" i="1" s="1"/>
  <c r="B24" i="1"/>
  <c r="O24" i="1" s="1"/>
  <c r="B29" i="1"/>
  <c r="O29" i="1" s="1"/>
  <c r="B66" i="1"/>
  <c r="O66" i="1" s="1"/>
  <c r="B172" i="1"/>
  <c r="O172" i="1" s="1"/>
  <c r="B103" i="1"/>
  <c r="O103" i="1" s="1"/>
  <c r="B32" i="1"/>
  <c r="O32" i="1" s="1"/>
  <c r="B63" i="1"/>
  <c r="O63" i="1" s="1"/>
  <c r="B296" i="1"/>
  <c r="O296" i="1" s="1"/>
  <c r="B7" i="1"/>
  <c r="O7" i="1" s="1"/>
  <c r="B55" i="1"/>
  <c r="O55" i="1" s="1"/>
  <c r="B30" i="1"/>
  <c r="O30" i="1" s="1"/>
  <c r="B10" i="1"/>
  <c r="O10" i="1" s="1"/>
  <c r="B27" i="1"/>
  <c r="O27" i="1" s="1"/>
  <c r="B8" i="1"/>
  <c r="O8" i="1" s="1"/>
  <c r="B84" i="1"/>
  <c r="O84" i="1" s="1"/>
  <c r="B62" i="1"/>
  <c r="O62" i="1" s="1"/>
  <c r="B44" i="1"/>
  <c r="O44" i="1" s="1"/>
  <c r="B53" i="1"/>
  <c r="O53" i="1" s="1"/>
  <c r="B18" i="1"/>
  <c r="O18" i="1" s="1"/>
  <c r="B240" i="1"/>
  <c r="O240" i="1" s="1"/>
  <c r="B91" i="1"/>
  <c r="O91" i="1" s="1"/>
  <c r="B279" i="1"/>
  <c r="O279" i="1" s="1"/>
  <c r="B102" i="1"/>
  <c r="O102" i="1" s="1"/>
  <c r="B49" i="1"/>
  <c r="O49" i="1" s="1"/>
  <c r="B59" i="1"/>
  <c r="O59" i="1" s="1"/>
  <c r="B48" i="1"/>
  <c r="O48" i="1" s="1"/>
  <c r="B26" i="1"/>
  <c r="O26" i="1" s="1"/>
  <c r="B151" i="1"/>
  <c r="O151" i="1" s="1"/>
  <c r="B61" i="1"/>
  <c r="O61" i="1" s="1"/>
  <c r="B159" i="1"/>
  <c r="O159" i="1" s="1"/>
  <c r="B281" i="1"/>
  <c r="O281" i="1" s="1"/>
  <c r="B180" i="1"/>
  <c r="O180" i="1" s="1"/>
  <c r="B76" i="1"/>
  <c r="O76" i="1" s="1"/>
  <c r="B225" i="1"/>
  <c r="O225" i="1" s="1"/>
  <c r="B229" i="1"/>
  <c r="O229" i="1" s="1"/>
  <c r="B4" i="1"/>
  <c r="O4" i="1" s="1"/>
  <c r="B271" i="1"/>
  <c r="O271" i="1" s="1"/>
  <c r="B351" i="1"/>
  <c r="O351" i="1" s="1"/>
  <c r="B60" i="1"/>
  <c r="O60" i="1" s="1"/>
  <c r="B256" i="1"/>
  <c r="O256" i="1" s="1"/>
  <c r="B329" i="1"/>
  <c r="O329" i="1" s="1"/>
  <c r="B358" i="1"/>
  <c r="O358" i="1" s="1"/>
  <c r="B219" i="1"/>
  <c r="O219" i="1" s="1"/>
  <c r="B341" i="1"/>
  <c r="O341" i="1" s="1"/>
  <c r="B114" i="1"/>
  <c r="O114" i="1" s="1"/>
  <c r="B410" i="1"/>
  <c r="O410" i="1" s="1"/>
  <c r="B357" i="1"/>
  <c r="O357" i="1" s="1"/>
  <c r="B174" i="1"/>
  <c r="O174" i="1" s="1"/>
  <c r="B257" i="1"/>
  <c r="O257" i="1" s="1"/>
  <c r="B382" i="1"/>
  <c r="O382" i="1" s="1"/>
  <c r="B293" i="1"/>
  <c r="O293" i="1" s="1"/>
  <c r="B169" i="1"/>
  <c r="O169" i="1" s="1"/>
  <c r="B163" i="1"/>
  <c r="O163" i="1" s="1"/>
  <c r="B39" i="1"/>
  <c r="O39" i="1" s="1"/>
  <c r="B123" i="1"/>
  <c r="O123" i="1" s="1"/>
  <c r="B175" i="1"/>
  <c r="O175" i="1" s="1"/>
  <c r="B392" i="1"/>
  <c r="O392" i="1" s="1"/>
  <c r="B147" i="1"/>
  <c r="O147" i="1" s="1"/>
  <c r="B342" i="1"/>
  <c r="O342" i="1" s="1"/>
  <c r="B101" i="1"/>
  <c r="O101" i="1" s="1"/>
  <c r="B354" i="1"/>
  <c r="O354" i="1" s="1"/>
  <c r="B153" i="1"/>
  <c r="O153" i="1" s="1"/>
  <c r="B304" i="1"/>
  <c r="O304" i="1" s="1"/>
  <c r="B126" i="1"/>
  <c r="O126" i="1" s="1"/>
  <c r="B349" i="1"/>
  <c r="O349" i="1" s="1"/>
  <c r="B212" i="1"/>
  <c r="O212" i="1" s="1"/>
  <c r="B178" i="1"/>
  <c r="O178" i="1" s="1"/>
  <c r="B248" i="1"/>
  <c r="O248" i="1" s="1"/>
  <c r="B339" i="1"/>
  <c r="O339" i="1" s="1"/>
  <c r="B285" i="1"/>
  <c r="O285" i="1" s="1"/>
  <c r="B243" i="1"/>
  <c r="O243" i="1" s="1"/>
  <c r="B142" i="1"/>
  <c r="O142" i="1" s="1"/>
  <c r="B384" i="1"/>
  <c r="O384" i="1" s="1"/>
  <c r="B372" i="1"/>
  <c r="O372" i="1" s="1"/>
  <c r="B215" i="1"/>
  <c r="O215" i="1" s="1"/>
  <c r="B316" i="1"/>
  <c r="O316" i="1" s="1"/>
  <c r="B403" i="1"/>
  <c r="O403" i="1" s="1"/>
  <c r="B162" i="1"/>
  <c r="O162" i="1" s="1"/>
  <c r="B334" i="1"/>
  <c r="O334" i="1" s="1"/>
  <c r="B223" i="1"/>
  <c r="O223" i="1" s="1"/>
  <c r="B284" i="1"/>
  <c r="O284" i="1" s="1"/>
  <c r="B33" i="1"/>
  <c r="O33" i="1" s="1"/>
  <c r="B135" i="1"/>
  <c r="O135" i="1" s="1"/>
  <c r="B145" i="1"/>
  <c r="O145" i="1" s="1"/>
  <c r="B130" i="1"/>
  <c r="O130" i="1" s="1"/>
  <c r="B327" i="1"/>
  <c r="O327" i="1" s="1"/>
  <c r="B82" i="1"/>
  <c r="O82" i="1" s="1"/>
  <c r="B376" i="1"/>
  <c r="O376" i="1" s="1"/>
  <c r="B109" i="1"/>
  <c r="O109" i="1" s="1"/>
  <c r="B38" i="1"/>
  <c r="O38" i="1" s="1"/>
  <c r="B237" i="1"/>
  <c r="O237" i="1" s="1"/>
  <c r="B129" i="1"/>
  <c r="O129" i="1" s="1"/>
  <c r="B191" i="1"/>
  <c r="O191" i="1" s="1"/>
  <c r="B364" i="1"/>
  <c r="O364" i="1" s="1"/>
  <c r="B65" i="1"/>
  <c r="O65" i="1" s="1"/>
  <c r="B136" i="1"/>
  <c r="O136" i="1" s="1"/>
  <c r="B262" i="1"/>
  <c r="O262" i="1" s="1"/>
  <c r="B298" i="1"/>
  <c r="O298" i="1" s="1"/>
  <c r="B119" i="1"/>
  <c r="O119" i="1" s="1"/>
  <c r="B236" i="1"/>
  <c r="O236" i="1" s="1"/>
  <c r="B120" i="1"/>
  <c r="O120" i="1" s="1"/>
  <c r="B37" i="1"/>
  <c r="O37" i="1" s="1"/>
  <c r="B252" i="1"/>
  <c r="O252" i="1" s="1"/>
  <c r="B301" i="1"/>
  <c r="O301" i="1" s="1"/>
  <c r="B422" i="1"/>
  <c r="O422" i="1" s="1"/>
  <c r="B40" i="1"/>
  <c r="O40" i="1" s="1"/>
  <c r="B85" i="1"/>
  <c r="O85" i="1" s="1"/>
  <c r="B94" i="1"/>
  <c r="O94" i="1" s="1"/>
  <c r="B345" i="1"/>
  <c r="O345" i="1" s="1"/>
  <c r="B360" i="1"/>
  <c r="O360" i="1" s="1"/>
  <c r="B336" i="1"/>
  <c r="O336" i="1" s="1"/>
  <c r="B92" i="1"/>
  <c r="O92" i="1" s="1"/>
  <c r="B274" i="1"/>
  <c r="O274" i="1" s="1"/>
  <c r="B93" i="1"/>
  <c r="O93" i="1" s="1"/>
  <c r="B11" i="1"/>
  <c r="O11" i="1" s="1"/>
  <c r="B42" i="1"/>
  <c r="O42" i="1" s="1"/>
  <c r="B265" i="1"/>
  <c r="O265" i="1" s="1"/>
  <c r="B328" i="1"/>
  <c r="O328" i="1" s="1"/>
  <c r="B359" i="1"/>
  <c r="O359" i="1" s="1"/>
  <c r="B250" i="1"/>
  <c r="O250" i="1" s="1"/>
  <c r="B54" i="1"/>
  <c r="O54" i="1" s="1"/>
  <c r="B195" i="1"/>
  <c r="O195" i="1" s="1"/>
  <c r="B399" i="1"/>
  <c r="O399" i="1" s="1"/>
  <c r="B297" i="1"/>
  <c r="O297" i="1" s="1"/>
  <c r="B361" i="1"/>
  <c r="O361" i="1" s="1"/>
  <c r="B379" i="1"/>
  <c r="O379" i="1" s="1"/>
  <c r="B423" i="1"/>
  <c r="B47" i="1"/>
  <c r="O47" i="1" s="1"/>
  <c r="B127" i="1"/>
  <c r="O127" i="1" s="1"/>
  <c r="B168" i="1"/>
  <c r="O168" i="1" s="1"/>
  <c r="B72" i="1"/>
  <c r="O72" i="1" s="1"/>
  <c r="B242" i="1"/>
  <c r="O242" i="1" s="1"/>
  <c r="B46" i="1"/>
  <c r="O46" i="1" s="1"/>
  <c r="B311" i="1"/>
  <c r="O311" i="1" s="1"/>
  <c r="B269" i="1"/>
  <c r="O269" i="1" s="1"/>
  <c r="B375" i="1"/>
  <c r="O375" i="1" s="1"/>
  <c r="B337" i="1"/>
  <c r="O337" i="1" s="1"/>
  <c r="B272" i="1"/>
  <c r="O272" i="1" s="1"/>
  <c r="B286" i="1"/>
  <c r="O286" i="1" s="1"/>
  <c r="B12" i="1"/>
  <c r="O12" i="1" s="1"/>
  <c r="B143" i="1"/>
  <c r="O143" i="1" s="1"/>
  <c r="B406" i="1"/>
  <c r="O406" i="1" s="1"/>
  <c r="B390" i="1"/>
  <c r="O390" i="1" s="1"/>
  <c r="B220" i="1"/>
  <c r="O220" i="1" s="1"/>
  <c r="B226" i="1"/>
  <c r="O226" i="1" s="1"/>
  <c r="B209" i="1"/>
  <c r="O209" i="1" s="1"/>
  <c r="B81" i="1"/>
  <c r="O81" i="1" s="1"/>
  <c r="B331" i="1"/>
  <c r="O331" i="1" s="1"/>
  <c r="B125" i="1"/>
  <c r="O125" i="1" s="1"/>
  <c r="B112" i="1"/>
  <c r="O112" i="1" s="1"/>
  <c r="B292" i="1"/>
  <c r="O292" i="1" s="1"/>
  <c r="B179" i="1"/>
  <c r="O179" i="1" s="1"/>
  <c r="B370" i="1"/>
  <c r="O370" i="1" s="1"/>
  <c r="B210" i="1"/>
  <c r="O210" i="1" s="1"/>
  <c r="B152" i="1"/>
  <c r="O152" i="1" s="1"/>
  <c r="B411" i="1"/>
  <c r="O411" i="1" s="1"/>
  <c r="B300" i="1"/>
  <c r="O300" i="1" s="1"/>
  <c r="B90" i="1"/>
  <c r="O90" i="1" s="1"/>
  <c r="B58" i="1"/>
  <c r="O58" i="1" s="1"/>
  <c r="B190" i="1"/>
  <c r="O190" i="1" s="1"/>
  <c r="B186" i="1"/>
  <c r="O186" i="1" s="1"/>
  <c r="B313" i="1"/>
  <c r="O313" i="1" s="1"/>
  <c r="B202" i="1"/>
  <c r="O202" i="1" s="1"/>
  <c r="B319" i="1"/>
  <c r="O319" i="1" s="1"/>
  <c r="B314" i="1"/>
  <c r="O314" i="1" s="1"/>
  <c r="B150" i="1"/>
  <c r="O150" i="1" s="1"/>
  <c r="B188" i="1"/>
  <c r="O188" i="1" s="1"/>
  <c r="B232" i="1"/>
  <c r="O232" i="1" s="1"/>
  <c r="B139" i="1"/>
  <c r="O139" i="1" s="1"/>
  <c r="B164" i="1"/>
  <c r="O164" i="1" s="1"/>
  <c r="B381" i="1"/>
  <c r="O381" i="1" s="1"/>
  <c r="B75" i="1"/>
  <c r="O75" i="1" s="1"/>
  <c r="B317" i="1"/>
  <c r="O317" i="1" s="1"/>
  <c r="B189" i="1"/>
  <c r="O189" i="1" s="1"/>
  <c r="B131" i="1"/>
  <c r="O131" i="1" s="1"/>
  <c r="B233" i="1"/>
  <c r="O233" i="1" s="1"/>
  <c r="B167" i="1"/>
  <c r="O167" i="1" s="1"/>
  <c r="B140" i="1"/>
  <c r="O140" i="1" s="1"/>
  <c r="B13" i="1"/>
  <c r="O13" i="1" s="1"/>
  <c r="B239" i="1"/>
  <c r="O239" i="1" s="1"/>
  <c r="B235" i="1"/>
  <c r="O235" i="1" s="1"/>
  <c r="B218" i="1"/>
  <c r="O218" i="1" s="1"/>
  <c r="B79" i="1"/>
  <c r="O79" i="1" s="1"/>
  <c r="B394" i="1"/>
  <c r="O394" i="1" s="1"/>
  <c r="B141" i="1"/>
  <c r="O141" i="1" s="1"/>
  <c r="B88" i="1"/>
  <c r="O88" i="1" s="1"/>
  <c r="B17" i="1"/>
  <c r="O17" i="1" s="1"/>
  <c r="B278" i="1"/>
  <c r="O278" i="1" s="1"/>
  <c r="B155" i="1"/>
  <c r="O155" i="1" s="1"/>
  <c r="B133" i="1"/>
  <c r="O133" i="1" s="1"/>
  <c r="B312" i="1"/>
  <c r="O312" i="1" s="1"/>
  <c r="B78" i="1"/>
  <c r="O78" i="1" s="1"/>
  <c r="B20" i="1"/>
  <c r="O20" i="1" s="1"/>
  <c r="B323" i="1"/>
  <c r="O323" i="1" s="1"/>
  <c r="B393" i="1"/>
  <c r="O393" i="1" s="1"/>
  <c r="B222" i="1"/>
  <c r="O222" i="1" s="1"/>
  <c r="B165" i="1"/>
  <c r="O165" i="1" s="1"/>
  <c r="B254" i="1"/>
  <c r="O254" i="1" s="1"/>
  <c r="B335" i="1"/>
  <c r="O335" i="1" s="1"/>
  <c r="B315" i="1"/>
  <c r="O315" i="1" s="1"/>
  <c r="B407" i="1"/>
  <c r="O407" i="1" s="1"/>
  <c r="B170" i="1"/>
  <c r="O170" i="1" s="1"/>
  <c r="B326" i="1"/>
  <c r="O326" i="1" s="1"/>
  <c r="B380" i="1"/>
  <c r="O380" i="1" s="1"/>
  <c r="B270" i="1"/>
  <c r="O270" i="1" s="1"/>
  <c r="B294" i="1"/>
  <c r="O294" i="1" s="1"/>
  <c r="B303" i="1"/>
  <c r="O303" i="1" s="1"/>
  <c r="B283" i="1"/>
  <c r="O283" i="1" s="1"/>
  <c r="B386" i="1"/>
  <c r="O386" i="1" s="1"/>
  <c r="B194" i="1"/>
  <c r="O194" i="1" s="1"/>
  <c r="B77" i="1"/>
  <c r="O77" i="1" s="1"/>
  <c r="B184" i="1"/>
  <c r="O184" i="1" s="1"/>
  <c r="B205" i="1"/>
  <c r="O205" i="1" s="1"/>
  <c r="B275" i="1"/>
  <c r="O275" i="1" s="1"/>
  <c r="B291" i="1"/>
  <c r="O291" i="1" s="1"/>
  <c r="B74" i="1"/>
  <c r="O74" i="1" s="1"/>
  <c r="B378" i="1"/>
  <c r="O378" i="1" s="1"/>
  <c r="B398" i="1"/>
  <c r="O398" i="1" s="1"/>
  <c r="B99" i="1"/>
  <c r="O99" i="1" s="1"/>
  <c r="B395" i="1"/>
  <c r="O395" i="1" s="1"/>
  <c r="B259" i="1"/>
  <c r="O259" i="1" s="1"/>
  <c r="B241" i="1"/>
  <c r="O241" i="1" s="1"/>
  <c r="B69" i="1"/>
  <c r="O69" i="1" s="1"/>
  <c r="B51" i="1"/>
  <c r="O51" i="1" s="1"/>
  <c r="B146" i="1"/>
  <c r="O146" i="1" s="1"/>
  <c r="B385" i="1"/>
  <c r="O385" i="1" s="1"/>
  <c r="B318" i="1"/>
  <c r="O318" i="1" s="1"/>
  <c r="B118" i="1"/>
  <c r="O118" i="1" s="1"/>
  <c r="B132" i="1"/>
  <c r="O132" i="1" s="1"/>
  <c r="B115" i="1"/>
  <c r="O115" i="1" s="1"/>
  <c r="B321" i="1"/>
  <c r="O321" i="1" s="1"/>
  <c r="B413" i="1"/>
  <c r="O413" i="1" s="1"/>
  <c r="B374" i="1"/>
  <c r="O374" i="1" s="1"/>
  <c r="B365" i="1"/>
  <c r="O365" i="1" s="1"/>
  <c r="B277" i="1"/>
  <c r="O277" i="1" s="1"/>
  <c r="B247" i="1"/>
  <c r="O247" i="1" s="1"/>
  <c r="B148" i="1"/>
  <c r="O148" i="1" s="1"/>
  <c r="B89" i="1"/>
  <c r="O89" i="1" s="1"/>
  <c r="B87" i="1"/>
  <c r="O87" i="1" s="1"/>
  <c r="B31" i="1"/>
  <c r="O31" i="1" s="1"/>
  <c r="B280" i="1"/>
  <c r="O280" i="1" s="1"/>
  <c r="B116" i="1"/>
  <c r="O116" i="1" s="1"/>
  <c r="B348" i="1"/>
  <c r="O348" i="1" s="1"/>
  <c r="B160" i="1"/>
  <c r="O160" i="1" s="1"/>
  <c r="B338" i="1"/>
  <c r="O338" i="1" s="1"/>
  <c r="B128" i="1"/>
  <c r="O128" i="1" s="1"/>
  <c r="B203" i="1"/>
  <c r="O203" i="1" s="1"/>
  <c r="B149" i="1"/>
  <c r="O149" i="1" s="1"/>
  <c r="B289" i="1"/>
  <c r="O289" i="1" s="1"/>
  <c r="B73" i="1"/>
  <c r="O73" i="1" s="1"/>
  <c r="B95" i="1"/>
  <c r="O95" i="1" s="1"/>
  <c r="B322" i="1"/>
  <c r="O322" i="1" s="1"/>
  <c r="B332" i="1"/>
  <c r="O332" i="1" s="1"/>
  <c r="B391" i="1"/>
  <c r="O391" i="1" s="1"/>
  <c r="B253" i="1"/>
  <c r="O253" i="1" s="1"/>
  <c r="B290" i="1"/>
  <c r="O290" i="1" s="1"/>
  <c r="B124" i="1"/>
  <c r="O124" i="1" s="1"/>
  <c r="B216" i="1"/>
  <c r="O216" i="1" s="1"/>
  <c r="B377" i="1"/>
  <c r="O377" i="1" s="1"/>
  <c r="B192" i="1"/>
  <c r="O192" i="1" s="1"/>
  <c r="B234" i="1"/>
  <c r="O234" i="1" s="1"/>
  <c r="B156" i="1"/>
  <c r="O156" i="1" s="1"/>
  <c r="B366" i="1"/>
  <c r="O366" i="1" s="1"/>
  <c r="B201" i="1"/>
  <c r="O201" i="1" s="1"/>
  <c r="B138" i="1"/>
  <c r="O138" i="1" s="1"/>
  <c r="B187" i="1"/>
  <c r="O187" i="1" s="1"/>
  <c r="B183" i="1"/>
  <c r="O183" i="1" s="1"/>
  <c r="B373" i="1"/>
  <c r="O373" i="1" s="1"/>
  <c r="B264" i="1"/>
  <c r="O264" i="1" s="1"/>
  <c r="B173" i="1"/>
  <c r="O173" i="1" s="1"/>
  <c r="B421" i="1"/>
  <c r="O421" i="1" s="1"/>
  <c r="B417" i="1"/>
  <c r="O417" i="1" s="1"/>
  <c r="B107" i="1"/>
  <c r="O107" i="1" s="1"/>
  <c r="B121" i="1"/>
  <c r="O121" i="1" s="1"/>
  <c r="B325" i="1"/>
  <c r="O325" i="1" s="1"/>
  <c r="B418" i="1"/>
  <c r="O418" i="1" s="1"/>
  <c r="B401" i="1"/>
  <c r="O401" i="1"/>
  <c r="B347" i="1"/>
  <c r="O347" i="1" s="1"/>
  <c r="B196" i="1"/>
  <c r="O196" i="1" s="1"/>
  <c r="B258" i="1"/>
  <c r="O258" i="1" s="1"/>
  <c r="B261" i="1"/>
  <c r="O261" i="1" s="1"/>
  <c r="B266" i="1"/>
  <c r="O266" i="1" s="1"/>
  <c r="B231" i="1"/>
  <c r="O231" i="1" s="1"/>
  <c r="B412" i="1"/>
  <c r="O412" i="1" s="1"/>
  <c r="B273" i="1"/>
  <c r="O273" i="1" s="1"/>
  <c r="B420" i="1"/>
  <c r="O420" i="1" s="1"/>
  <c r="B166" i="1"/>
  <c r="O166" i="1"/>
  <c r="B368" i="1"/>
  <c r="O368" i="1" s="1"/>
  <c r="B227" i="1"/>
  <c r="O227" i="1" s="1"/>
  <c r="B356" i="1"/>
  <c r="O356" i="1" s="1"/>
  <c r="B402" i="1"/>
  <c r="O402" i="1" s="1"/>
  <c r="B214" i="1"/>
  <c r="O214" i="1" s="1"/>
  <c r="B344" i="1"/>
  <c r="O344" i="1"/>
  <c r="B224" i="1"/>
  <c r="O224" i="1" s="1"/>
  <c r="B295" i="1"/>
  <c r="O295" i="1" s="1"/>
  <c r="B122" i="1"/>
  <c r="O122" i="1" s="1"/>
  <c r="B282" i="1"/>
  <c r="O282" i="1" s="1"/>
  <c r="B415" i="1"/>
  <c r="O415" i="1"/>
  <c r="B367" i="1"/>
  <c r="O367" i="1" s="1"/>
  <c r="B207" i="1"/>
  <c r="O207" i="1"/>
  <c r="B244" i="1"/>
  <c r="O244" i="1" s="1"/>
  <c r="B158" i="1"/>
  <c r="O158" i="1"/>
  <c r="B343" i="1"/>
  <c r="O343" i="1" s="1"/>
  <c r="B245" i="1"/>
  <c r="O245" i="1"/>
  <c r="B113" i="1"/>
  <c r="O113" i="1" s="1"/>
  <c r="B9" i="1"/>
  <c r="O9" i="1"/>
  <c r="B213" i="1"/>
  <c r="O213" i="1" s="1"/>
  <c r="B41" i="1"/>
  <c r="O41" i="1"/>
  <c r="B310" i="1"/>
  <c r="O310" i="1" s="1"/>
  <c r="B320" i="1"/>
  <c r="O320" i="1"/>
  <c r="B110" i="1"/>
  <c r="O110" i="1" s="1"/>
  <c r="B388" i="1"/>
  <c r="O388" i="1"/>
  <c r="B217" i="1"/>
  <c r="O217" i="1" s="1"/>
  <c r="B199" i="1"/>
  <c r="O199" i="1"/>
  <c r="B396" i="1"/>
  <c r="O396" i="1" s="1"/>
  <c r="B387" i="1"/>
  <c r="O387" i="1"/>
  <c r="B397" i="1"/>
  <c r="O397" i="1" s="1"/>
  <c r="B204" i="1"/>
  <c r="O204" i="1"/>
  <c r="B154" i="1"/>
  <c r="O154" i="1" s="1"/>
  <c r="B404" i="1"/>
  <c r="O404" i="1"/>
  <c r="B211" i="1"/>
  <c r="O211" i="1" s="1"/>
  <c r="B230" i="1"/>
  <c r="O230" i="1"/>
  <c r="B416" i="1"/>
  <c r="O416" i="1" s="1"/>
  <c r="B355" i="1"/>
  <c r="O355" i="1"/>
  <c r="B185" i="1"/>
  <c r="O185" i="1" s="1"/>
  <c r="B276" i="1"/>
  <c r="O276" i="1"/>
  <c r="B198" i="1"/>
  <c r="O198" i="1" s="1"/>
  <c r="B137" i="1"/>
  <c r="O137" i="1"/>
  <c r="B350" i="1"/>
  <c r="O350" i="1" s="1"/>
  <c r="B287" i="1"/>
  <c r="O287" i="1"/>
  <c r="B414" i="1"/>
  <c r="O414" i="1" s="1"/>
  <c r="B86" i="1"/>
  <c r="O86" i="1"/>
  <c r="B324" i="1"/>
  <c r="O324" i="1" s="1"/>
  <c r="B56" i="1"/>
  <c r="O56" i="1"/>
  <c r="B28" i="1"/>
  <c r="O28" i="1" s="1"/>
  <c r="B419" i="1"/>
  <c r="O419" i="1"/>
  <c r="B307" i="1"/>
  <c r="O307" i="1" s="1"/>
  <c r="B305" i="1"/>
  <c r="O305" i="1"/>
  <c r="B105" i="1"/>
  <c r="O105" i="1" s="1"/>
  <c r="B383" i="1"/>
  <c r="O383" i="1"/>
  <c r="B181" i="1"/>
  <c r="O181" i="1" s="1"/>
  <c r="B104" i="1"/>
  <c r="O104" i="1"/>
  <c r="B309" i="1"/>
  <c r="O309" i="1"/>
  <c r="B308" i="1"/>
  <c r="O308" i="1"/>
  <c r="B306" i="1"/>
  <c r="O306" i="1"/>
  <c r="B221" i="1"/>
  <c r="O221" i="1"/>
  <c r="B200" i="1"/>
  <c r="O200" i="1"/>
  <c r="B208" i="1"/>
  <c r="O208" i="1"/>
  <c r="B408" i="1"/>
  <c r="O408" i="1"/>
  <c r="B246" i="1"/>
  <c r="O246" i="1"/>
  <c r="B346" i="1"/>
  <c r="O346" i="1"/>
  <c r="B352" i="1"/>
  <c r="O352" i="1"/>
  <c r="B255" i="1"/>
  <c r="O255" i="1"/>
  <c r="B111" i="1"/>
  <c r="O111" i="1"/>
  <c r="B206" i="1"/>
  <c r="O206" i="1"/>
  <c r="B389" i="1"/>
  <c r="O389" i="1"/>
  <c r="B193" i="1"/>
  <c r="O193" i="1"/>
  <c r="B340" i="1"/>
  <c r="O340" i="1"/>
  <c r="B371" i="1"/>
  <c r="O371" i="1"/>
  <c r="B25" i="1"/>
  <c r="O25" i="1"/>
  <c r="B288" i="1"/>
  <c r="O288" i="1"/>
  <c r="B363" i="1"/>
  <c r="O363" i="1"/>
  <c r="B299" i="1"/>
  <c r="O299" i="1"/>
  <c r="B197" i="1"/>
  <c r="O197" i="1"/>
  <c r="B260" i="1"/>
  <c r="O260" i="1"/>
  <c r="B176" i="1"/>
  <c r="O176" i="1"/>
  <c r="B80" i="1"/>
  <c r="O80" i="1"/>
  <c r="B362" i="1"/>
  <c r="O362" i="1"/>
  <c r="B161" i="1"/>
  <c r="O161" i="1"/>
  <c r="B238" i="1"/>
  <c r="O238" i="1"/>
  <c r="B100" i="1"/>
  <c r="O100" i="1"/>
  <c r="B117" i="1"/>
  <c r="O117" i="1"/>
  <c r="B302" i="1"/>
  <c r="O302" i="1"/>
  <c r="B353" i="1"/>
  <c r="O353" i="1"/>
  <c r="B171" i="1"/>
  <c r="O171" i="1"/>
  <c r="B330" i="1"/>
  <c r="O330" i="1"/>
  <c r="B400" i="1"/>
  <c r="O400" i="1"/>
  <c r="B263" i="1"/>
  <c r="O263" i="1"/>
  <c r="B409" i="1"/>
  <c r="O409" i="1"/>
  <c r="B144" i="1"/>
  <c r="O144" i="1"/>
  <c r="B369" i="1"/>
  <c r="O369" i="1"/>
  <c r="B249" i="1"/>
  <c r="O249" i="1"/>
  <c r="B83" i="1"/>
  <c r="O83" i="1"/>
  <c r="B177" i="1"/>
  <c r="O177" i="1"/>
  <c r="B268" i="1"/>
  <c r="O268" i="1"/>
  <c r="B98" i="1"/>
  <c r="O98" i="1"/>
  <c r="B333" i="1"/>
  <c r="O333" i="1"/>
  <c r="B96" i="1"/>
  <c r="O96" i="1"/>
  <c r="B134" i="1"/>
  <c r="O134" i="1"/>
  <c r="B405" i="1"/>
  <c r="O405" i="1"/>
  <c r="B267" i="1"/>
  <c r="O267" i="1"/>
  <c r="B157" i="1"/>
  <c r="O157" i="1"/>
  <c r="B251" i="1"/>
  <c r="O251" i="1"/>
  <c r="B228" i="1"/>
  <c r="O228" i="1"/>
  <c r="B182" i="1"/>
  <c r="O182" i="1"/>
  <c r="B106" i="1"/>
  <c r="O106" i="1"/>
  <c r="B108" i="1"/>
  <c r="O108" i="1"/>
  <c r="B71" i="1"/>
  <c r="O71" i="1"/>
  <c r="B67" i="1"/>
  <c r="O67" i="1"/>
  <c r="B68" i="1"/>
  <c r="O68" i="1"/>
  <c r="B70" i="1"/>
  <c r="O70" i="1"/>
  <c r="B50" i="1"/>
  <c r="O50" i="1"/>
  <c r="B2" i="1"/>
  <c r="O2" i="1"/>
</calcChain>
</file>

<file path=xl/sharedStrings.xml><?xml version="1.0" encoding="utf-8"?>
<sst xmlns="http://schemas.openxmlformats.org/spreadsheetml/2006/main" count="1725" uniqueCount="837">
  <si>
    <t>ID</t>
  </si>
  <si>
    <t>NO</t>
  </si>
  <si>
    <t>KANTON</t>
  </si>
  <si>
    <t>PR</t>
  </si>
  <si>
    <t>TAG</t>
  </si>
  <si>
    <t>MONATE</t>
  </si>
  <si>
    <t>JAHR</t>
  </si>
  <si>
    <t>JUVENIL</t>
  </si>
  <si>
    <t>GEWICHT</t>
  </si>
  <si>
    <t>dH_Results</t>
  </si>
  <si>
    <t>2012ZUEBAR1</t>
  </si>
  <si>
    <t>ZUEBAR1</t>
  </si>
  <si>
    <t>FR</t>
  </si>
  <si>
    <t>2012MEISTHE1</t>
  </si>
  <si>
    <t>MEISTHE1</t>
  </si>
  <si>
    <t>NE</t>
  </si>
  <si>
    <t>2012MEISTHE2</t>
  </si>
  <si>
    <t>MEISTHE2</t>
  </si>
  <si>
    <t>2012ZUEBAR2</t>
  </si>
  <si>
    <t>ZUEBAR2</t>
  </si>
  <si>
    <t>2012BLANDA1</t>
  </si>
  <si>
    <t>BLANDA1</t>
  </si>
  <si>
    <t>2012MEISTHE4</t>
  </si>
  <si>
    <t>MEISTHE4</t>
  </si>
  <si>
    <t>2012MEISTHE5</t>
  </si>
  <si>
    <t>MEISTHE5</t>
  </si>
  <si>
    <t>2012MEISTHE-6</t>
  </si>
  <si>
    <t>MEISTHE-6</t>
  </si>
  <si>
    <t>2012ROPRRO1</t>
  </si>
  <si>
    <t>ROPRRO1</t>
  </si>
  <si>
    <t>2012ZUEBAR3</t>
  </si>
  <si>
    <t>ZUEBAR3</t>
  </si>
  <si>
    <t>2012yerlmi-3</t>
  </si>
  <si>
    <t>yerlmi-3</t>
  </si>
  <si>
    <t>2012DUCHPA2</t>
  </si>
  <si>
    <t>DUCHPA2</t>
  </si>
  <si>
    <t>2012yerlmi-4</t>
  </si>
  <si>
    <t>yerlmi-4</t>
  </si>
  <si>
    <t>2012MEISTHE7</t>
  </si>
  <si>
    <t>MEISTHE7</t>
  </si>
  <si>
    <t>2012MEISTHE-8</t>
  </si>
  <si>
    <t>MEISTHE-8</t>
  </si>
  <si>
    <t>2012SAVALU1</t>
  </si>
  <si>
    <t>SAVALU1</t>
  </si>
  <si>
    <t>2012DENEPA1</t>
  </si>
  <si>
    <t>DENEPA1</t>
  </si>
  <si>
    <t>2012MEISTHE-9</t>
  </si>
  <si>
    <t>MEISTHE-9</t>
  </si>
  <si>
    <t>2012CRETYC1</t>
  </si>
  <si>
    <t>CRETYC1</t>
  </si>
  <si>
    <t>2012MEISTHE-11</t>
  </si>
  <si>
    <t>MEISTHE-11</t>
  </si>
  <si>
    <t>2012DENEPA2</t>
  </si>
  <si>
    <t>DENEPA2</t>
  </si>
  <si>
    <t>2012yerlmi-5</t>
  </si>
  <si>
    <t>yerlmi-5</t>
  </si>
  <si>
    <t>2012BLANDA3</t>
  </si>
  <si>
    <t>BLANDA3</t>
  </si>
  <si>
    <t>2012DUCHPA4</t>
  </si>
  <si>
    <t>DUCHPA4</t>
  </si>
  <si>
    <t>2012DUCHPA3</t>
  </si>
  <si>
    <t>DUCHPA3</t>
  </si>
  <si>
    <t>2012Yerlmi-6</t>
  </si>
  <si>
    <t>Yerlmi-6</t>
  </si>
  <si>
    <t>2012ANKERFR-1</t>
  </si>
  <si>
    <t>ANKERFR-1</t>
  </si>
  <si>
    <t>2012ZUEBAR4</t>
  </si>
  <si>
    <t>ZUEBAR4</t>
  </si>
  <si>
    <t>2012SAVALU2</t>
  </si>
  <si>
    <t>SAVALU2</t>
  </si>
  <si>
    <t>2012BLANDA4</t>
  </si>
  <si>
    <t>BLANDA4</t>
  </si>
  <si>
    <t>2012DENEPA3</t>
  </si>
  <si>
    <t>DENEPA3</t>
  </si>
  <si>
    <t>2012MEISTHE-12</t>
  </si>
  <si>
    <t>MEISTHE-12</t>
  </si>
  <si>
    <t>2012CRETYC2</t>
  </si>
  <si>
    <t>CRETYC2</t>
  </si>
  <si>
    <t>2012MEISTHE-13</t>
  </si>
  <si>
    <t>MEISTHE-13</t>
  </si>
  <si>
    <t>2012ZUEBAR5</t>
  </si>
  <si>
    <t>ZUEBAR5</t>
  </si>
  <si>
    <t>2012DUMAPI4</t>
  </si>
  <si>
    <t>DUMAPI4</t>
  </si>
  <si>
    <t>2012yerlmi-7</t>
  </si>
  <si>
    <t>yerlmi-7</t>
  </si>
  <si>
    <t>2012ANKERFR-3</t>
  </si>
  <si>
    <t>ANKERFR-3</t>
  </si>
  <si>
    <t>2012ANKERFR-4</t>
  </si>
  <si>
    <t>ANKERFR-4</t>
  </si>
  <si>
    <t>2012ANKERFR-5</t>
  </si>
  <si>
    <t>ANKERFR-5</t>
  </si>
  <si>
    <t>2012MEISTHE-14</t>
  </si>
  <si>
    <t>MEISTHE-14</t>
  </si>
  <si>
    <t>2012MEISTHE-15</t>
  </si>
  <si>
    <t>MEISTHE-15</t>
  </si>
  <si>
    <t>2012MEISTHE-16</t>
  </si>
  <si>
    <t>MEISTHE-16</t>
  </si>
  <si>
    <t>2012DENEPA4</t>
  </si>
  <si>
    <t>DENEPA4</t>
  </si>
  <si>
    <t>2012ROPRRO4</t>
  </si>
  <si>
    <t>ROPRRO4</t>
  </si>
  <si>
    <t>2012BLANDA6</t>
  </si>
  <si>
    <t>BLANDA6</t>
  </si>
  <si>
    <t>2012MEISTHE3</t>
  </si>
  <si>
    <t>MEISTHE3</t>
  </si>
  <si>
    <t>2012MEISTHE-17</t>
  </si>
  <si>
    <t>MEISTHE-17</t>
  </si>
  <si>
    <t>2012MEISTHE-10</t>
  </si>
  <si>
    <t>MEISTHE-10</t>
  </si>
  <si>
    <t>2013GARIJE-1</t>
  </si>
  <si>
    <t>GARIJE-1</t>
  </si>
  <si>
    <t>2013MEISTHE1</t>
  </si>
  <si>
    <t>2013MEISTHE2</t>
  </si>
  <si>
    <t>2013GARIJE-2</t>
  </si>
  <si>
    <t>GARIJE-2</t>
  </si>
  <si>
    <t>2013MEISTHE3</t>
  </si>
  <si>
    <t>TI</t>
  </si>
  <si>
    <t>2013MEISTHE4</t>
  </si>
  <si>
    <t>2013ULRIVI-1</t>
  </si>
  <si>
    <t>ULRIVI-1</t>
  </si>
  <si>
    <t>BARBTH-1</t>
  </si>
  <si>
    <t>PFISED-1</t>
  </si>
  <si>
    <t>2013MEISTHE5</t>
  </si>
  <si>
    <t>ANARGI-1</t>
  </si>
  <si>
    <t>2013MEISTHE6</t>
  </si>
  <si>
    <t>MEISTHE6</t>
  </si>
  <si>
    <t>2013ULRIVI-2</t>
  </si>
  <si>
    <t>ULRIVI-2</t>
  </si>
  <si>
    <t>2013PENA_JA1</t>
  </si>
  <si>
    <t>PENA_JA1</t>
  </si>
  <si>
    <t>2013BLANDA3</t>
  </si>
  <si>
    <t>2013ZUEBAR-2</t>
  </si>
  <si>
    <t>ZUEBAR-2</t>
  </si>
  <si>
    <t>2013ANKEFR1</t>
  </si>
  <si>
    <t>ANKEFR1</t>
  </si>
  <si>
    <t>2013DENEPA4</t>
  </si>
  <si>
    <t>2013SAVALU1</t>
  </si>
  <si>
    <t>FONTER-1</t>
  </si>
  <si>
    <t>FONTER-2</t>
  </si>
  <si>
    <t>2013YERLMI-3</t>
  </si>
  <si>
    <t>YERLMI-3</t>
  </si>
  <si>
    <t>2013ZUEBAR-4</t>
  </si>
  <si>
    <t>ZUEBAR-4</t>
  </si>
  <si>
    <t>2013MEISTHE7</t>
  </si>
  <si>
    <t>GNOSDA-1</t>
  </si>
  <si>
    <t>GNOSDA-2</t>
  </si>
  <si>
    <t>2013SAVABR-2</t>
  </si>
  <si>
    <t>SAVABR-2</t>
  </si>
  <si>
    <t>2013SAVABR-1</t>
  </si>
  <si>
    <t>SAVABR-1</t>
  </si>
  <si>
    <t>GRUBLO-1</t>
  </si>
  <si>
    <t>GRUBLO-2</t>
  </si>
  <si>
    <t>GNOSDA-4</t>
  </si>
  <si>
    <t>GNOSDA-5</t>
  </si>
  <si>
    <t>2013SAVABR-4</t>
  </si>
  <si>
    <t>SAVABR-4</t>
  </si>
  <si>
    <t>2013SAVABR-3</t>
  </si>
  <si>
    <t>SAVABR-3</t>
  </si>
  <si>
    <t>2013BLANDA4</t>
  </si>
  <si>
    <t>2013ANKEFR-3</t>
  </si>
  <si>
    <t>ANKEFR-3</t>
  </si>
  <si>
    <t>2013SAVALU2</t>
  </si>
  <si>
    <t>2013ANKEFR-4</t>
  </si>
  <si>
    <t>ANKEFR-4</t>
  </si>
  <si>
    <t>2013ANKEFR-5</t>
  </si>
  <si>
    <t>ANKEFR-5</t>
  </si>
  <si>
    <t>GNOSDA-6</t>
  </si>
  <si>
    <t>GNOSDA-7</t>
  </si>
  <si>
    <t>GRUBLO-3</t>
  </si>
  <si>
    <t>2013DENEPA10</t>
  </si>
  <si>
    <t>DENEPA10</t>
  </si>
  <si>
    <t>2013MEISTHE8</t>
  </si>
  <si>
    <t>MEISTHE8</t>
  </si>
  <si>
    <t>GNOSDA-8</t>
  </si>
  <si>
    <t>2013YERLMI-4</t>
  </si>
  <si>
    <t>YERLMI-4</t>
  </si>
  <si>
    <t>GRUBLO-4</t>
  </si>
  <si>
    <t>2013MEISTHE9</t>
  </si>
  <si>
    <t>MEISTHE9</t>
  </si>
  <si>
    <t>GNOSDA-3</t>
  </si>
  <si>
    <t>2014MEISHE1</t>
  </si>
  <si>
    <t>MEISHE1</t>
  </si>
  <si>
    <t>2014No4ROSSAL</t>
  </si>
  <si>
    <t>No4ROSSAL</t>
  </si>
  <si>
    <t>VD</t>
  </si>
  <si>
    <t>2014MEISHE2</t>
  </si>
  <si>
    <t>MEISHE2</t>
  </si>
  <si>
    <t>2014POSIAN-1</t>
  </si>
  <si>
    <t>POSIAN-1</t>
  </si>
  <si>
    <t>2014POSIAN-2</t>
  </si>
  <si>
    <t>POSIAN-2</t>
  </si>
  <si>
    <t>2014PFISEP-1</t>
  </si>
  <si>
    <t>PFISEP-1</t>
  </si>
  <si>
    <t>2014MEISHE3</t>
  </si>
  <si>
    <t>MEISHE3</t>
  </si>
  <si>
    <t>2014MEISHE4</t>
  </si>
  <si>
    <t>MEISHE4</t>
  </si>
  <si>
    <t>2014MEISHE5</t>
  </si>
  <si>
    <t>MEISHE5</t>
  </si>
  <si>
    <t>2014PFISEP-2</t>
  </si>
  <si>
    <t>PFISEP-2</t>
  </si>
  <si>
    <t>2014POSIAN-3</t>
  </si>
  <si>
    <t>POSIAN-3</t>
  </si>
  <si>
    <t>2014ANKEFR1</t>
  </si>
  <si>
    <t>2014MEISHE6</t>
  </si>
  <si>
    <t>MEISHE6</t>
  </si>
  <si>
    <t>2014ANKEFR2</t>
  </si>
  <si>
    <t>ANKEFR2</t>
  </si>
  <si>
    <t>2014DUMAPI1</t>
  </si>
  <si>
    <t>DUMAPI1</t>
  </si>
  <si>
    <t>2014DUMAPI2</t>
  </si>
  <si>
    <t>DUMAPI2</t>
  </si>
  <si>
    <t>2014ROCHCH-1</t>
  </si>
  <si>
    <t>ROCHCH-1</t>
  </si>
  <si>
    <t>2014YERMI002</t>
  </si>
  <si>
    <t>YERMI002</t>
  </si>
  <si>
    <t>2014GARIJE03</t>
  </si>
  <si>
    <t>GARIJE03</t>
  </si>
  <si>
    <t>2014GARIJE04</t>
  </si>
  <si>
    <t>GARIJE04</t>
  </si>
  <si>
    <t>2014PFISEP-3</t>
  </si>
  <si>
    <t>PFISEP-3</t>
  </si>
  <si>
    <t>2014YERMI003</t>
  </si>
  <si>
    <t>YERMI003</t>
  </si>
  <si>
    <t>2014MEISHE7</t>
  </si>
  <si>
    <t>MEISHE7</t>
  </si>
  <si>
    <t>2014PFISEP-4</t>
  </si>
  <si>
    <t>PFISEP-4</t>
  </si>
  <si>
    <t>2014SAVAJE-1</t>
  </si>
  <si>
    <t>SAVAJE-1</t>
  </si>
  <si>
    <t>ROSAOR-1</t>
  </si>
  <si>
    <t>2014POSIAN-4</t>
  </si>
  <si>
    <t>POSIAN-4</t>
  </si>
  <si>
    <t>2014ANARGI-1</t>
  </si>
  <si>
    <t>2014ANARGI-2</t>
  </si>
  <si>
    <t>ANARGI-2</t>
  </si>
  <si>
    <t>GNOSDA-10</t>
  </si>
  <si>
    <t>GNOSDA-11</t>
  </si>
  <si>
    <t>GNOSDA-12</t>
  </si>
  <si>
    <t>GNOSDA-9</t>
  </si>
  <si>
    <t>2014MEISHE8</t>
  </si>
  <si>
    <t>MEISHE8</t>
  </si>
  <si>
    <t>2014ROCHCH-2</t>
  </si>
  <si>
    <t>ROCHCH-2</t>
  </si>
  <si>
    <t>2014ANKEFR-3</t>
  </si>
  <si>
    <t>2014ANKEFR-4</t>
  </si>
  <si>
    <t>2014ANKEFR-5</t>
  </si>
  <si>
    <t>GNOSDA-13</t>
  </si>
  <si>
    <t>2014PENAJA2</t>
  </si>
  <si>
    <t>PENAJA2</t>
  </si>
  <si>
    <t>2014SAVABR-1</t>
  </si>
  <si>
    <t>2014BLANDA-1</t>
  </si>
  <si>
    <t>BLANDA-1</t>
  </si>
  <si>
    <t>2014DUMAPI-3</t>
  </si>
  <si>
    <t>DUMAPI-3</t>
  </si>
  <si>
    <t>2014YERMI-005</t>
  </si>
  <si>
    <t>YERMI-005</t>
  </si>
  <si>
    <t>ANARGI-3</t>
  </si>
  <si>
    <t>2014DUCHPA-2</t>
  </si>
  <si>
    <t>DUCHPA-2</t>
  </si>
  <si>
    <t>2014MEISHE9</t>
  </si>
  <si>
    <t>MEISHE9</t>
  </si>
  <si>
    <t>2014No1 VIKTOR ULR.</t>
  </si>
  <si>
    <t>No1 VIKTOR ULR.</t>
  </si>
  <si>
    <t>2014BLANDA-2</t>
  </si>
  <si>
    <t>BLANDA-2</t>
  </si>
  <si>
    <t>ROSAOR-2</t>
  </si>
  <si>
    <t>ANARGI-4</t>
  </si>
  <si>
    <t>2014Savalu-1.</t>
  </si>
  <si>
    <t>Savalu-1.</t>
  </si>
  <si>
    <t>2014DUMAPI5</t>
  </si>
  <si>
    <t>DUMAPI5</t>
  </si>
  <si>
    <t>GRUBLO-5</t>
  </si>
  <si>
    <t>2014No2 VIKTOR ULR.</t>
  </si>
  <si>
    <t>No2 VIKTOR ULR.</t>
  </si>
  <si>
    <t>2014No3 VIKTOR ULR.</t>
  </si>
  <si>
    <t>No3 VIKTOR ULR.</t>
  </si>
  <si>
    <t>2014No5ROSSAL</t>
  </si>
  <si>
    <t>No5ROSSAL</t>
  </si>
  <si>
    <t>GRUBLO-6</t>
  </si>
  <si>
    <t>2014ROCHCH-3</t>
  </si>
  <si>
    <t>ROCHCH-3</t>
  </si>
  <si>
    <t>2014YERMI-009</t>
  </si>
  <si>
    <t>YERMI-009</t>
  </si>
  <si>
    <t>2014GARIJE01</t>
  </si>
  <si>
    <t>GARIJE01</t>
  </si>
  <si>
    <t>2014ROCHCH-4</t>
  </si>
  <si>
    <t>ROCHCH-4</t>
  </si>
  <si>
    <t>GRUBLO-7</t>
  </si>
  <si>
    <t>2014Savalu-2</t>
  </si>
  <si>
    <t>Savalu-2</t>
  </si>
  <si>
    <t>2014JOSEDA3</t>
  </si>
  <si>
    <t>JOSEDA3</t>
  </si>
  <si>
    <t>2014No6ROSSAL</t>
  </si>
  <si>
    <t>No6ROSSAL</t>
  </si>
  <si>
    <t>2014ROCHCH-5</t>
  </si>
  <si>
    <t>ROCHCH-5</t>
  </si>
  <si>
    <t>2014Savalu-3.</t>
  </si>
  <si>
    <t>Savalu-3.</t>
  </si>
  <si>
    <t>2014GARIJE02</t>
  </si>
  <si>
    <t>GARIJE02</t>
  </si>
  <si>
    <t>2014JOSEDA-2</t>
  </si>
  <si>
    <t>JOSEDA-2</t>
  </si>
  <si>
    <t>2014ROCHCH-6</t>
  </si>
  <si>
    <t>ROCHCH-6</t>
  </si>
  <si>
    <t>2014JOSEDA-1</t>
  </si>
  <si>
    <t>JOSEDA-1</t>
  </si>
  <si>
    <t>2014Savalu-4.</t>
  </si>
  <si>
    <t>Savalu-4.</t>
  </si>
  <si>
    <t>2014PILLJE-2</t>
  </si>
  <si>
    <t>PILLJE-2</t>
  </si>
  <si>
    <t>2014Savalu-5</t>
  </si>
  <si>
    <t>Savalu-5</t>
  </si>
  <si>
    <t>2014YERMI-10</t>
  </si>
  <si>
    <t>YERMI-10</t>
  </si>
  <si>
    <t>2014YERMI-11</t>
  </si>
  <si>
    <t>YERMI-11</t>
  </si>
  <si>
    <t>X_DEG</t>
  </si>
  <si>
    <t>Y_DEG</t>
  </si>
  <si>
    <t>BEMERKUNGEN</t>
  </si>
  <si>
    <t>2015FISCIV17</t>
  </si>
  <si>
    <t>FISCIV17</t>
  </si>
  <si>
    <t>2015FISCIV-5</t>
  </si>
  <si>
    <t>FISCIV-5</t>
  </si>
  <si>
    <t>2015RICHAD-1</t>
  </si>
  <si>
    <t>RICHAD-1</t>
  </si>
  <si>
    <t>2015FISCIV15</t>
  </si>
  <si>
    <t>FISCIV15</t>
  </si>
  <si>
    <t>2015FISCIV14</t>
  </si>
  <si>
    <t>FISCIV14</t>
  </si>
  <si>
    <t>2015FISCIV-2</t>
  </si>
  <si>
    <t>FISCIV-2</t>
  </si>
  <si>
    <t>2015FISCIV-8</t>
  </si>
  <si>
    <t>FISCIV-8</t>
  </si>
  <si>
    <t>2015FISCIV19</t>
  </si>
  <si>
    <t>FISCIV19</t>
  </si>
  <si>
    <t>2015FISCIV-3</t>
  </si>
  <si>
    <t>FISCIV-3</t>
  </si>
  <si>
    <t>2015FISCIV-6</t>
  </si>
  <si>
    <t>FISCIV-6</t>
  </si>
  <si>
    <t>2015FISCIV18</t>
  </si>
  <si>
    <t>FISCIV18</t>
  </si>
  <si>
    <t>2015FISCIV-7</t>
  </si>
  <si>
    <t>FISCIV-7</t>
  </si>
  <si>
    <t>2015FISCIV16</t>
  </si>
  <si>
    <t>FISCIV16</t>
  </si>
  <si>
    <t>2015FISCIV10</t>
  </si>
  <si>
    <t>FISCIV10</t>
  </si>
  <si>
    <t>2015FISCIV9</t>
  </si>
  <si>
    <t>FISCIV9</t>
  </si>
  <si>
    <t>2015FISCIV11</t>
  </si>
  <si>
    <t>FISCIV11</t>
  </si>
  <si>
    <t>2015FISCIV13</t>
  </si>
  <si>
    <t>FISCIV13</t>
  </si>
  <si>
    <t>2015FISCIV20</t>
  </si>
  <si>
    <t>FISCIV20</t>
  </si>
  <si>
    <t>2015FISCIV-1</t>
  </si>
  <si>
    <t>FISCIV-1</t>
  </si>
  <si>
    <t>2015MEISHE-1</t>
  </si>
  <si>
    <t>MEISHE-1</t>
  </si>
  <si>
    <t>2015MEISHE-8</t>
  </si>
  <si>
    <t>MEISHE-8</t>
  </si>
  <si>
    <t>2015MEISHE-9</t>
  </si>
  <si>
    <t>MEISHE-9</t>
  </si>
  <si>
    <t>2015MEISHE-5</t>
  </si>
  <si>
    <t>MEISHE-5</t>
  </si>
  <si>
    <t>2015MEISHE-2</t>
  </si>
  <si>
    <t>MEISHE-2</t>
  </si>
  <si>
    <t>2015MEISHE-6</t>
  </si>
  <si>
    <t>MEISHE-6</t>
  </si>
  <si>
    <t>2015MEISHE-10</t>
  </si>
  <si>
    <t>MEISHE-10</t>
  </si>
  <si>
    <t>2015MEISHE-14</t>
  </si>
  <si>
    <t>MEISHE-14</t>
  </si>
  <si>
    <t>2015MEISHE-11</t>
  </si>
  <si>
    <t>MEISHE-11</t>
  </si>
  <si>
    <t>2015MEISHE-7</t>
  </si>
  <si>
    <t>MEISHE-7</t>
  </si>
  <si>
    <t>2015MEISHE-13</t>
  </si>
  <si>
    <t>MEISHE-13</t>
  </si>
  <si>
    <t>2015MEISHE-12</t>
  </si>
  <si>
    <t>MEISHE-12</t>
  </si>
  <si>
    <t>2015MEISHE-4</t>
  </si>
  <si>
    <t>MEISHE-4</t>
  </si>
  <si>
    <t>2015MEISHE-3</t>
  </si>
  <si>
    <t>MEISHE-3</t>
  </si>
  <si>
    <t>2015FISCIV-4</t>
  </si>
  <si>
    <t>FISCIV-4</t>
  </si>
  <si>
    <t>2015FISCIV12</t>
  </si>
  <si>
    <t>FISCIV12</t>
  </si>
  <si>
    <t>2015RICHAD-4</t>
  </si>
  <si>
    <t>RICHAD-4</t>
  </si>
  <si>
    <t>2015RICHAD-10</t>
  </si>
  <si>
    <t>RICHAD-10</t>
  </si>
  <si>
    <t>2015RICHAD-7</t>
  </si>
  <si>
    <t>RICHAD-7</t>
  </si>
  <si>
    <t>2015RICHAD-2</t>
  </si>
  <si>
    <t>RICHAD-2</t>
  </si>
  <si>
    <t>2015RICHAD-3</t>
  </si>
  <si>
    <t>RICHAD-3</t>
  </si>
  <si>
    <t>2015RICHAD_8</t>
  </si>
  <si>
    <t>RICHAD_8</t>
  </si>
  <si>
    <t>2015RICHAD-5</t>
  </si>
  <si>
    <t>RICHAD-5</t>
  </si>
  <si>
    <t>2015RICHAD-6</t>
  </si>
  <si>
    <t>RICHAD-6</t>
  </si>
  <si>
    <t>2015CAVALLIMA7</t>
  </si>
  <si>
    <t>CAVALLIMA7</t>
  </si>
  <si>
    <t>2015CAVALLIMA01</t>
  </si>
  <si>
    <t>CAVALLIMA01</t>
  </si>
  <si>
    <t>2015CAVALLIMA10</t>
  </si>
  <si>
    <t>CAVALLIMA10</t>
  </si>
  <si>
    <t>2015CavalliMa4</t>
  </si>
  <si>
    <t>CavalliMa4</t>
  </si>
  <si>
    <t>2015CAVALLIMA2</t>
  </si>
  <si>
    <t>CAVALLIMA2</t>
  </si>
  <si>
    <t>2015CavalliMa6</t>
  </si>
  <si>
    <t>CavalliMa6</t>
  </si>
  <si>
    <t>2015RICHAD-9</t>
  </si>
  <si>
    <t>RICHAD-9</t>
  </si>
  <si>
    <t>2015PENAJA-3</t>
  </si>
  <si>
    <t>PENAJA-3</t>
  </si>
  <si>
    <t>2015PENAJA-2</t>
  </si>
  <si>
    <t>PENAJA-2</t>
  </si>
  <si>
    <t>2015ANKEFR-1</t>
  </si>
  <si>
    <t>ANKEFR-1</t>
  </si>
  <si>
    <t>2015PRETFA-2</t>
  </si>
  <si>
    <t>PRETFA-2</t>
  </si>
  <si>
    <t>2015PRETFA-1</t>
  </si>
  <si>
    <t>PRETFA-1</t>
  </si>
  <si>
    <t>2015ANARGI-8</t>
  </si>
  <si>
    <t>ANARGI-8</t>
  </si>
  <si>
    <t>2015ANARGI-10</t>
  </si>
  <si>
    <t>ANARGI-10</t>
  </si>
  <si>
    <t>2015ANARGI-9</t>
  </si>
  <si>
    <t>ANARGI-9</t>
  </si>
  <si>
    <t>2015ANARGI-5</t>
  </si>
  <si>
    <t>ANARGI-5</t>
  </si>
  <si>
    <t>2015ANARGI-7</t>
  </si>
  <si>
    <t>ANARGI-7</t>
  </si>
  <si>
    <t>2015BarbTh-4</t>
  </si>
  <si>
    <t>BarbTh-4</t>
  </si>
  <si>
    <t>2015BarbTh-2</t>
  </si>
  <si>
    <t>BarbTh-2</t>
  </si>
  <si>
    <t>2015BarbTh-3</t>
  </si>
  <si>
    <t>BarbTh-3</t>
  </si>
  <si>
    <t>2015BarbTh-5</t>
  </si>
  <si>
    <t>BarbTh-5</t>
  </si>
  <si>
    <t>2015BARBTH-1</t>
  </si>
  <si>
    <t>2015ANKEFR-2</t>
  </si>
  <si>
    <t>ANKEFR-2</t>
  </si>
  <si>
    <t>2015ANKEFR-3</t>
  </si>
  <si>
    <t>2015ROSAOR-3</t>
  </si>
  <si>
    <t>ROSAOR-3</t>
  </si>
  <si>
    <t>2015ROSAOR-6</t>
  </si>
  <si>
    <t>ROSAOR-6</t>
  </si>
  <si>
    <t>2015ROSAOR-10</t>
  </si>
  <si>
    <t>ROSAOR-10</t>
  </si>
  <si>
    <t>2015ROSAOR-1</t>
  </si>
  <si>
    <t>2015ROSAOR-2</t>
  </si>
  <si>
    <t>2015ROSAOR-5</t>
  </si>
  <si>
    <t>ROSAOR-5</t>
  </si>
  <si>
    <t>2015ROSAOR-8</t>
  </si>
  <si>
    <t>ROSAOR-8</t>
  </si>
  <si>
    <t>2015ROSAOR-7</t>
  </si>
  <si>
    <t>ROSAOR-7</t>
  </si>
  <si>
    <t>2015ROSAOR-4</t>
  </si>
  <si>
    <t>ROSAOR-4</t>
  </si>
  <si>
    <t>2015ROSAOR-9</t>
  </si>
  <si>
    <t>ROSAOR-9</t>
  </si>
  <si>
    <t>2015YERLMI-3</t>
  </si>
  <si>
    <t>2015YERLMI-4</t>
  </si>
  <si>
    <t>2015YERLMI-5</t>
  </si>
  <si>
    <t>YERLMI-5</t>
  </si>
  <si>
    <t>2015YERLMI-8</t>
  </si>
  <si>
    <t>YERLMI-8</t>
  </si>
  <si>
    <t>2015YERLMI-7</t>
  </si>
  <si>
    <t>YERLMI-7</t>
  </si>
  <si>
    <t>2015GNOSDA-12</t>
  </si>
  <si>
    <t>2015GNOSDA-3</t>
  </si>
  <si>
    <t>2015GNOSDA-6</t>
  </si>
  <si>
    <t>2015BELLIEN-3</t>
  </si>
  <si>
    <t>BELLIEN-3</t>
  </si>
  <si>
    <t>2015GNOSDA-5</t>
  </si>
  <si>
    <t>2015GNOSDA-8</t>
  </si>
  <si>
    <t>2015GNOSDA-7</t>
  </si>
  <si>
    <t>2015GNOSDA-2</t>
  </si>
  <si>
    <t>2015GNOSDA-1</t>
  </si>
  <si>
    <t>2015GNOSDA-10</t>
  </si>
  <si>
    <t>2015GNOSDA-11</t>
  </si>
  <si>
    <t>2015GNOSDA-4</t>
  </si>
  <si>
    <t>2015GNOSDA-13</t>
  </si>
  <si>
    <t>2015GNOSDA-9</t>
  </si>
  <si>
    <t>2015BELLEN-2</t>
  </si>
  <si>
    <t>BELLEN-2</t>
  </si>
  <si>
    <t>2015BELLEN-1</t>
  </si>
  <si>
    <t>BELLEN-1</t>
  </si>
  <si>
    <t>2015GRUBLO-1</t>
  </si>
  <si>
    <t>2015GRUBLO-2</t>
  </si>
  <si>
    <t>2015GRUBLO-6</t>
  </si>
  <si>
    <t>2015GRUBLO-3</t>
  </si>
  <si>
    <t>2015GRUBLO-4</t>
  </si>
  <si>
    <t>2015GRUBLO-5</t>
  </si>
  <si>
    <t>2015GRUBLO-7</t>
  </si>
  <si>
    <t>2015TANTST2</t>
  </si>
  <si>
    <t>TANTST2</t>
  </si>
  <si>
    <t>2015TANTST1</t>
  </si>
  <si>
    <t>TANTST1</t>
  </si>
  <si>
    <t>2015TANTST3</t>
  </si>
  <si>
    <t>TANTST3</t>
  </si>
  <si>
    <t>2015ANARGI-1</t>
  </si>
  <si>
    <t>2015ANARGI-6</t>
  </si>
  <si>
    <t>ANARGI-6</t>
  </si>
  <si>
    <t>2015ANARGI-3</t>
  </si>
  <si>
    <t>2015ANARGI-2</t>
  </si>
  <si>
    <t>2015ANARGI-4</t>
  </si>
  <si>
    <t>2015MARCRE-1</t>
  </si>
  <si>
    <t>MARCRE-1</t>
  </si>
  <si>
    <t>2015MARCRE-2</t>
  </si>
  <si>
    <t>MARCRE-2</t>
  </si>
  <si>
    <t>2015MARCRE-3</t>
  </si>
  <si>
    <t>MARCRE-3</t>
  </si>
  <si>
    <t>2015TANTMA-1</t>
  </si>
  <si>
    <t>TANTMA-1</t>
  </si>
  <si>
    <t>2015TANTMA-2</t>
  </si>
  <si>
    <t>TANTMA-2</t>
  </si>
  <si>
    <t>2015TANTMA-3</t>
  </si>
  <si>
    <t>TANTMA-3</t>
  </si>
  <si>
    <t>2015BIANCHIRO-5</t>
  </si>
  <si>
    <t>BIANCHIRO-5</t>
  </si>
  <si>
    <t>2015BIANCHIRO-3</t>
  </si>
  <si>
    <t>BIANCHIRO-3</t>
  </si>
  <si>
    <t>2015BIANCHIRO-4</t>
  </si>
  <si>
    <t>BIANCHIRO-4</t>
  </si>
  <si>
    <t>2015BIANCHIRO-2</t>
  </si>
  <si>
    <t>BIANCHIRO-2</t>
  </si>
  <si>
    <t>2015BIANCHIRO-1</t>
  </si>
  <si>
    <t>BIANCHIRO-1</t>
  </si>
  <si>
    <t>2015REZZONICORO-05</t>
  </si>
  <si>
    <t>REZZONICORO-05</t>
  </si>
  <si>
    <t>2015REZZONICORO-10</t>
  </si>
  <si>
    <t>REZZONICORO-10</t>
  </si>
  <si>
    <t>2015REZZONICOMA1</t>
  </si>
  <si>
    <t>REZZONICOMA1</t>
  </si>
  <si>
    <t>2015REZZONICORO-4</t>
  </si>
  <si>
    <t>REZZONICORO-4</t>
  </si>
  <si>
    <t>2015REZZONICORO-3</t>
  </si>
  <si>
    <t>REZZONICORO-3</t>
  </si>
  <si>
    <t>2015REZZONICORO-6</t>
  </si>
  <si>
    <t>REZZONICORO-6</t>
  </si>
  <si>
    <t>2015REZZONICORO-7</t>
  </si>
  <si>
    <t>REZZONICORO-7</t>
  </si>
  <si>
    <t>2015REZZONICORO-8</t>
  </si>
  <si>
    <t>REZZONICORO-8</t>
  </si>
  <si>
    <t>2015REZZONICORO-9</t>
  </si>
  <si>
    <t>REZZONICORO-9</t>
  </si>
  <si>
    <t>2015REZZONICORO-11</t>
  </si>
  <si>
    <t>REZZONICORO-11</t>
  </si>
  <si>
    <t>2015REZZONICORO-12</t>
  </si>
  <si>
    <t>REZZONICORO-12</t>
  </si>
  <si>
    <t>2015REZZONICORO-13</t>
  </si>
  <si>
    <t>REZZONICORO-13</t>
  </si>
  <si>
    <t>2015REZZONICORO-14</t>
  </si>
  <si>
    <t>REZZONICORO-14</t>
  </si>
  <si>
    <t>2015REZZONICORO-15</t>
  </si>
  <si>
    <t>REZZONICORO-15</t>
  </si>
  <si>
    <t>2015REZZONICORO-16</t>
  </si>
  <si>
    <t>REZZONICORO-16</t>
  </si>
  <si>
    <t>2015REZZONICORO-17</t>
  </si>
  <si>
    <t>REZZONICORO-17</t>
  </si>
  <si>
    <t>2015REZZONICORO-18</t>
  </si>
  <si>
    <t>REZZONICORO-18</t>
  </si>
  <si>
    <t>2015REZZONICORO-19</t>
  </si>
  <si>
    <t>REZZONICORO-19</t>
  </si>
  <si>
    <t>2015REZZONICORO-1</t>
  </si>
  <si>
    <t>REZZONICORO-1</t>
  </si>
  <si>
    <t>2015REZZONICORO-2</t>
  </si>
  <si>
    <t>REZZONICORO-2</t>
  </si>
  <si>
    <t>2015FONTER-2</t>
  </si>
  <si>
    <t>2015FONTER-1</t>
  </si>
  <si>
    <t>2015MENGOMA-1</t>
  </si>
  <si>
    <t>MENGOMA-1</t>
  </si>
  <si>
    <t>2015ALBEFE-1</t>
  </si>
  <si>
    <t>ALBEFE-1</t>
  </si>
  <si>
    <t>2015ALBEFE-2</t>
  </si>
  <si>
    <t>ALBEFE-2</t>
  </si>
  <si>
    <t>2015PFISED-1</t>
  </si>
  <si>
    <t>2015Dumapi-1</t>
  </si>
  <si>
    <t>Dumapi-1</t>
  </si>
  <si>
    <t>2015Dumapi-2</t>
  </si>
  <si>
    <t>Dumapi-2</t>
  </si>
  <si>
    <t>2015SAVALU-2</t>
  </si>
  <si>
    <t>SAVALU-2</t>
  </si>
  <si>
    <t>2015SAVALU-4</t>
  </si>
  <si>
    <t>SAVALU-4</t>
  </si>
  <si>
    <t>2015SAVALU-3</t>
  </si>
  <si>
    <t>SAVALU-3</t>
  </si>
  <si>
    <t>2015SAVALU-1</t>
  </si>
  <si>
    <t>SAVALU-1</t>
  </si>
  <si>
    <t>2015SAVAAD-2</t>
  </si>
  <si>
    <t>SAVAAD-2</t>
  </si>
  <si>
    <t>2015SAVAAD-1</t>
  </si>
  <si>
    <t>SAVAAD-1</t>
  </si>
  <si>
    <t>2015SAVALU-5</t>
  </si>
  <si>
    <t>SAVALU-5</t>
  </si>
  <si>
    <t>2015SAVABR-3</t>
  </si>
  <si>
    <t>2015SAVAJE-1</t>
  </si>
  <si>
    <t>2015SAVABR-10</t>
  </si>
  <si>
    <t>SAVABR-10</t>
  </si>
  <si>
    <t>2015SAVABR-14</t>
  </si>
  <si>
    <t>SAVABR-14</t>
  </si>
  <si>
    <t>2015SAVABR-12</t>
  </si>
  <si>
    <t>SAVABR-12</t>
  </si>
  <si>
    <t>2015DUCHPA-10</t>
  </si>
  <si>
    <t>DUCHPA-10</t>
  </si>
  <si>
    <t>2015DUCHPA-2</t>
  </si>
  <si>
    <t>2015DUCHPA-1</t>
  </si>
  <si>
    <t>DUCHPA-1</t>
  </si>
  <si>
    <t>2015DUCHPA-5</t>
  </si>
  <si>
    <t>DUCHPA-5</t>
  </si>
  <si>
    <t>2015DUCHPA-9</t>
  </si>
  <si>
    <t>DUCHPA-9</t>
  </si>
  <si>
    <t>2015DUCHPA-3</t>
  </si>
  <si>
    <t>DUCHPA-3</t>
  </si>
  <si>
    <t>2015DENEPA11</t>
  </si>
  <si>
    <t>DENEPA11</t>
  </si>
  <si>
    <t>2015DENEPA2</t>
  </si>
  <si>
    <t>2015DENEPA1</t>
  </si>
  <si>
    <t>2015DENEPA4</t>
  </si>
  <si>
    <t>2015DENEPA8</t>
  </si>
  <si>
    <t>DENEPA8</t>
  </si>
  <si>
    <t>2015DENEPA10</t>
  </si>
  <si>
    <t>2015DENEPA5</t>
  </si>
  <si>
    <t>DENEPA5</t>
  </si>
  <si>
    <t>2015DENEPA7</t>
  </si>
  <si>
    <t>DENEPA7</t>
  </si>
  <si>
    <t>2015GIAMGI10</t>
  </si>
  <si>
    <t>GIAMGI10</t>
  </si>
  <si>
    <t>2015GIAMGI-5</t>
  </si>
  <si>
    <t>GIAMGI-5</t>
  </si>
  <si>
    <t>2015GIAMGI8</t>
  </si>
  <si>
    <t>GIAMGI8</t>
  </si>
  <si>
    <t>2015GIAMGI-2</t>
  </si>
  <si>
    <t>GIAMGI-2</t>
  </si>
  <si>
    <t>2015GIAMGI9</t>
  </si>
  <si>
    <t>GIAMGI9</t>
  </si>
  <si>
    <t>2015GIAMGI-4</t>
  </si>
  <si>
    <t>GIAMGI-4</t>
  </si>
  <si>
    <t>2015GIAMGI-1</t>
  </si>
  <si>
    <t>GIAMGI-1</t>
  </si>
  <si>
    <t>2015GIAMGI-3</t>
  </si>
  <si>
    <t>GIAMGI-3</t>
  </si>
  <si>
    <t>2015GIAMGI-6</t>
  </si>
  <si>
    <t>GIAMGI-6</t>
  </si>
  <si>
    <t>2015GIAMGI-7</t>
  </si>
  <si>
    <t>GIAMGI-7</t>
  </si>
  <si>
    <t>2015CavalliMa5</t>
  </si>
  <si>
    <t>CavalliMa5</t>
  </si>
  <si>
    <t>2015CAVALLIMA3</t>
  </si>
  <si>
    <t>CAVALLIMA3</t>
  </si>
  <si>
    <t>2015CAVALLIMA8</t>
  </si>
  <si>
    <t>CAVALLIMA8</t>
  </si>
  <si>
    <t>2015CAVALLIMA9</t>
  </si>
  <si>
    <t>CAVALLIMA9</t>
  </si>
  <si>
    <t>2015Devise-7</t>
  </si>
  <si>
    <t>Devise-7</t>
  </si>
  <si>
    <t>2015Devise-1</t>
  </si>
  <si>
    <t>Devise-1</t>
  </si>
  <si>
    <t>2015Devise-10</t>
  </si>
  <si>
    <t>Devise-10</t>
  </si>
  <si>
    <t>2015Devise-3</t>
  </si>
  <si>
    <t>Devise-3</t>
  </si>
  <si>
    <t>2015Devise-6</t>
  </si>
  <si>
    <t>Devise-6</t>
  </si>
  <si>
    <t>2015Devise-4</t>
  </si>
  <si>
    <t>Devise-4</t>
  </si>
  <si>
    <t>2015Devise-8</t>
  </si>
  <si>
    <t>Devise-8</t>
  </si>
  <si>
    <t>2015Devise-5</t>
  </si>
  <si>
    <t>Devise-5</t>
  </si>
  <si>
    <t>2015Devise-2</t>
  </si>
  <si>
    <t>Devise-2</t>
  </si>
  <si>
    <t>2015Devise-9</t>
  </si>
  <si>
    <t>Devise-9</t>
  </si>
  <si>
    <t>2015ROSS-Gi19</t>
  </si>
  <si>
    <t>ROSS-Gi19</t>
  </si>
  <si>
    <t>2015ROSS-GI20</t>
  </si>
  <si>
    <t>ROSS-GI20</t>
  </si>
  <si>
    <t>2015ROSS-Gi9</t>
  </si>
  <si>
    <t>ROSS-Gi9</t>
  </si>
  <si>
    <t>2015ROSS-GI18</t>
  </si>
  <si>
    <t>ROSS-GI18</t>
  </si>
  <si>
    <t>2015ROSS-GI15</t>
  </si>
  <si>
    <t>ROSS-GI15</t>
  </si>
  <si>
    <t>2015Ross.Gi.8</t>
  </si>
  <si>
    <t>Ross.Gi.8</t>
  </si>
  <si>
    <t>2015ROSS-GI-10</t>
  </si>
  <si>
    <t>ROSS-GI-10</t>
  </si>
  <si>
    <t>2015ROSS-GI14</t>
  </si>
  <si>
    <t>ROSS-GI14</t>
  </si>
  <si>
    <t>2015MORAMA-6</t>
  </si>
  <si>
    <t>MORAMA-6</t>
  </si>
  <si>
    <t>2015MORAMA-4</t>
  </si>
  <si>
    <t>MORAMA-4</t>
  </si>
  <si>
    <t>2015MORAMA-2</t>
  </si>
  <si>
    <t>MORAMA-2</t>
  </si>
  <si>
    <t>2015MORAMA-8</t>
  </si>
  <si>
    <t>MORAMA-8</t>
  </si>
  <si>
    <t>2015MORAMA-1</t>
  </si>
  <si>
    <t>MORAMA-1</t>
  </si>
  <si>
    <t>2015MORAMA-5</t>
  </si>
  <si>
    <t>MORAMA-5</t>
  </si>
  <si>
    <t>2015MOrAMA-3</t>
  </si>
  <si>
    <t>MOrAMA-3</t>
  </si>
  <si>
    <t>2015MORAMA-7</t>
  </si>
  <si>
    <t>MORAMA-7</t>
  </si>
  <si>
    <t>2015MORAMA-10</t>
  </si>
  <si>
    <t>MORAMA-10</t>
  </si>
  <si>
    <t>2015PURASA-1</t>
  </si>
  <si>
    <t>PURASA-1</t>
  </si>
  <si>
    <t>2015PURASA-9</t>
  </si>
  <si>
    <t>PURASA-9</t>
  </si>
  <si>
    <t>2015PURASA-3</t>
  </si>
  <si>
    <t>PURASA-3</t>
  </si>
  <si>
    <t>2015PURASA-7</t>
  </si>
  <si>
    <t>PURASA-7</t>
  </si>
  <si>
    <t>2015PURASA-2</t>
  </si>
  <si>
    <t>PURASA-2</t>
  </si>
  <si>
    <t>2015PURASA-4</t>
  </si>
  <si>
    <t>PURASA-4</t>
  </si>
  <si>
    <t>2015PURASA-6</t>
  </si>
  <si>
    <t>PURASA-6</t>
  </si>
  <si>
    <t>2015PURASA-8</t>
  </si>
  <si>
    <t>PURASA-8</t>
  </si>
  <si>
    <t>2015PURASA-5</t>
  </si>
  <si>
    <t>PURASA-5</t>
  </si>
  <si>
    <t>2015PURASA-12</t>
  </si>
  <si>
    <t>PURASA-12</t>
  </si>
  <si>
    <t>2015PURASA-13</t>
  </si>
  <si>
    <t>PURASA-13</t>
  </si>
  <si>
    <t>2015LiechJP-1</t>
  </si>
  <si>
    <t>LiechJP-1</t>
  </si>
  <si>
    <t>2015PRIOJE-5</t>
  </si>
  <si>
    <t>PRIOJE-5</t>
  </si>
  <si>
    <t>2015Roch-2</t>
  </si>
  <si>
    <t>Roch-2</t>
  </si>
  <si>
    <t>2015Roch-3</t>
  </si>
  <si>
    <t>Roch-3</t>
  </si>
  <si>
    <t>2015PRIOJE-4</t>
  </si>
  <si>
    <t>PRIOJE-4</t>
  </si>
  <si>
    <t>2015Fvui-2</t>
  </si>
  <si>
    <t>Fvui-2</t>
  </si>
  <si>
    <t>2015Garije-3</t>
  </si>
  <si>
    <t>Garije-3</t>
  </si>
  <si>
    <t>2015LiechJP-2</t>
  </si>
  <si>
    <t>LiechJP-2</t>
  </si>
  <si>
    <t>2015CORDJP-1</t>
  </si>
  <si>
    <t>CORDJP-1</t>
  </si>
  <si>
    <t>2015ROSSAL-1</t>
  </si>
  <si>
    <t>ROSSAL-1</t>
  </si>
  <si>
    <t>2015CORDJP-2</t>
  </si>
  <si>
    <t>CORDJP-2</t>
  </si>
  <si>
    <t>2015Garije-5</t>
  </si>
  <si>
    <t>Garije-5</t>
  </si>
  <si>
    <t>2015Fvui-3</t>
  </si>
  <si>
    <t>Fvui-3</t>
  </si>
  <si>
    <t>2015CORDJP-3</t>
  </si>
  <si>
    <t>CORDJP-3</t>
  </si>
  <si>
    <t>2015Fvui-1</t>
  </si>
  <si>
    <t>Fvui-1</t>
  </si>
  <si>
    <t>2015Garije-4</t>
  </si>
  <si>
    <t>Garije-4</t>
  </si>
  <si>
    <t>2015JOSEDA3</t>
  </si>
  <si>
    <t>2015GARIGR-2</t>
  </si>
  <si>
    <t>GARIGR-2</t>
  </si>
  <si>
    <t>2015GARIGR-1</t>
  </si>
  <si>
    <t>GARIGR-1</t>
  </si>
  <si>
    <t>2015PRIOJE-2</t>
  </si>
  <si>
    <t>PRIOJE-2</t>
  </si>
  <si>
    <t>2015UELTYV-2</t>
  </si>
  <si>
    <t>UELTYV-2</t>
  </si>
  <si>
    <t>2015GARIGR-3</t>
  </si>
  <si>
    <t>GARIGR-3</t>
  </si>
  <si>
    <t>2015UELTYV-1</t>
  </si>
  <si>
    <t>UELTYV-1</t>
  </si>
  <si>
    <t>2015GARIJE-1</t>
  </si>
  <si>
    <t>2015GARIJE-2</t>
  </si>
  <si>
    <t>2015Roch-1</t>
  </si>
  <si>
    <t>Roch-1</t>
  </si>
  <si>
    <t>2015Rothmi/3</t>
  </si>
  <si>
    <t>Rothmi/3</t>
  </si>
  <si>
    <t>2015JOSEDA-4</t>
  </si>
  <si>
    <t>JOSEDA-4</t>
  </si>
  <si>
    <t>2015Rothmi-2</t>
  </si>
  <si>
    <t>Rothmi-2</t>
  </si>
  <si>
    <t>2015Rothmi-6</t>
  </si>
  <si>
    <t>Rothmi-6</t>
  </si>
  <si>
    <t>2015PillJL-1</t>
  </si>
  <si>
    <t>PillJL-1</t>
  </si>
  <si>
    <t>2015RothMi-1</t>
  </si>
  <si>
    <t>RothMi-1</t>
  </si>
  <si>
    <t>2015PillJL-3</t>
  </si>
  <si>
    <t>PillJL-3</t>
  </si>
  <si>
    <t>2015Rothmi-5</t>
  </si>
  <si>
    <t>Rothmi-5</t>
  </si>
  <si>
    <t>2015PillJL-2</t>
  </si>
  <si>
    <t>PillJL-2</t>
  </si>
  <si>
    <t>2015Rothmi/4</t>
  </si>
  <si>
    <t>Rothmi/4</t>
  </si>
  <si>
    <t>2015PRIOJE-6</t>
  </si>
  <si>
    <t>PRIOJE-6</t>
  </si>
  <si>
    <t>2015CRETYC-1</t>
  </si>
  <si>
    <t>CRETYC-1</t>
  </si>
  <si>
    <t>VS</t>
  </si>
  <si>
    <t>2015K112955</t>
  </si>
  <si>
    <t>K112955</t>
  </si>
  <si>
    <t>Küken</t>
  </si>
  <si>
    <t>2015K112957</t>
  </si>
  <si>
    <t>K112957</t>
  </si>
  <si>
    <t>2015K112953</t>
  </si>
  <si>
    <t>K112953</t>
  </si>
  <si>
    <t>2015K112961</t>
  </si>
  <si>
    <t>K112961</t>
  </si>
  <si>
    <t>2015K112956</t>
  </si>
  <si>
    <t>K112956</t>
  </si>
  <si>
    <t>2015K112954</t>
  </si>
  <si>
    <t>K112954</t>
  </si>
  <si>
    <t>2015K112951</t>
  </si>
  <si>
    <t>K112951</t>
  </si>
  <si>
    <t>2015K112962</t>
  </si>
  <si>
    <t>K112962</t>
  </si>
  <si>
    <t>Abschuss</t>
  </si>
  <si>
    <t>Fang</t>
  </si>
  <si>
    <t>dH_scaled</t>
  </si>
  <si>
    <t>NA</t>
  </si>
  <si>
    <t>MYINDEX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</si>
</sst>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5" fillId="0" borderId="0"/>
    <xf numFmtId="0" fontId="3" fillId="0" borderId="0"/>
    <xf numFmtId="0" fontId="9" fillId="0" borderId="0"/>
  </cellStyleXfs>
  <cellXfs count="19">
    <xf numFmtId="0" fontId="0" fillId="0" borderId="0" xfId="0"/>
    <xf numFmtId="0" fontId="0" fillId="0" borderId="0" xfId="0" applyBorder="1"/>
    <xf numFmtId="0" fontId="0" fillId="0" borderId="0" xfId="0" applyFill="1" applyBorder="1"/>
    <xf numFmtId="0" fontId="1" fillId="0" borderId="1" xfId="0" applyFont="1" applyFill="1" applyBorder="1"/>
    <xf numFmtId="0" fontId="2" fillId="0" borderId="1" xfId="0" applyFont="1" applyFill="1" applyBorder="1"/>
    <xf numFmtId="0" fontId="2" fillId="0" borderId="1" xfId="2" applyFont="1" applyFill="1" applyBorder="1" applyAlignment="1">
      <alignment horizontal="center"/>
    </xf>
    <xf numFmtId="0" fontId="4" fillId="0" borderId="0" xfId="1" applyFont="1" applyFill="1" applyBorder="1" applyAlignment="1">
      <alignment wrapText="1"/>
    </xf>
    <xf numFmtId="0" fontId="4" fillId="0" borderId="0" xfId="1" applyFont="1" applyFill="1" applyBorder="1" applyAlignment="1">
      <alignment horizontal="right" wrapText="1"/>
    </xf>
    <xf numFmtId="0" fontId="6" fillId="0" borderId="0" xfId="2" applyFont="1" applyFill="1" applyBorder="1" applyAlignment="1">
      <alignment horizontal="right"/>
    </xf>
    <xf numFmtId="0" fontId="6" fillId="0" borderId="0" xfId="2" applyFont="1" applyFill="1" applyBorder="1" applyAlignment="1"/>
    <xf numFmtId="0" fontId="7" fillId="0" borderId="0" xfId="0" applyFont="1" applyFill="1" applyBorder="1"/>
    <xf numFmtId="164" fontId="0" fillId="0" borderId="0" xfId="0" applyNumberFormat="1" applyBorder="1"/>
    <xf numFmtId="164" fontId="7" fillId="0" borderId="0" xfId="0" applyNumberFormat="1" applyFont="1" applyFill="1" applyBorder="1"/>
    <xf numFmtId="164" fontId="4" fillId="0" borderId="0" xfId="1" applyNumberFormat="1" applyFont="1" applyFill="1" applyBorder="1" applyAlignment="1">
      <alignment horizontal="right" wrapText="1"/>
    </xf>
    <xf numFmtId="164" fontId="6" fillId="0" borderId="0" xfId="2" applyNumberFormat="1" applyFont="1" applyFill="1" applyBorder="1" applyAlignment="1">
      <alignment horizontal="right"/>
    </xf>
    <xf numFmtId="0" fontId="1" fillId="2" borderId="1" xfId="0" applyFont="1" applyFill="1" applyBorder="1"/>
    <xf numFmtId="2" fontId="9" fillId="2" borderId="0" xfId="3" applyNumberFormat="1" applyFill="1"/>
    <xf numFmtId="0" fontId="0" fillId="2" borderId="0" xfId="0" applyFill="1" applyBorder="1"/>
    <xf numFmtId="0" fontId="2" fillId="0" borderId="0" xfId="0" applyFont="1" applyFill="1" applyBorder="1"/>
  </cellXfs>
  <cellStyles count="4">
    <cellStyle name="Normal" xfId="0" builtinId="0"/>
    <cellStyle name="Normal_data" xfId="1"/>
    <cellStyle name="Normal_Feuil1" xfId="2"/>
    <cellStyle name="Standard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423"/>
  <sheetViews>
    <sheetView tabSelected="1" workbookViewId="0">
      <selection activeCell="O1" sqref="O1"/>
    </sheetView>
  </sheetViews>
  <sheetFormatPr baseColWidth="10" defaultRowHeight="15" x14ac:dyDescent="0.25"/>
  <cols>
    <col min="1" max="1" width="12.7109375" style="1" bestFit="1" customWidth="1"/>
    <col min="2" max="2" width="19" style="17" customWidth="1"/>
    <col min="3" max="3" width="20" style="1" bestFit="1" customWidth="1"/>
    <col min="4" max="4" width="15.85546875" style="1" bestFit="1" customWidth="1"/>
    <col min="5" max="5" width="8.7109375" style="1" bestFit="1" customWidth="1"/>
    <col min="6" max="7" width="12" style="1" bestFit="1" customWidth="1"/>
    <col min="8" max="8" width="6.7109375" style="1" customWidth="1"/>
    <col min="9" max="9" width="4.7109375" style="1" bestFit="1" customWidth="1"/>
    <col min="10" max="10" width="9" style="1" bestFit="1" customWidth="1"/>
    <col min="11" max="11" width="5.42578125" style="1" bestFit="1" customWidth="1"/>
    <col min="12" max="12" width="8.28515625" style="1" bestFit="1" customWidth="1"/>
    <col min="13" max="13" width="9.42578125" style="1" bestFit="1" customWidth="1"/>
    <col min="14" max="14" width="15" style="1" bestFit="1" customWidth="1"/>
    <col min="15" max="15" width="8.28515625" style="1" bestFit="1" customWidth="1"/>
    <col min="16" max="16" width="9.42578125" style="1" bestFit="1" customWidth="1"/>
    <col min="17" max="17" width="15" style="1" bestFit="1" customWidth="1"/>
    <col min="18" max="16384" width="11.42578125" style="1"/>
  </cols>
  <sheetData>
    <row r="1" spans="1:15" ht="15.75" thickBot="1" x14ac:dyDescent="0.3">
      <c r="A1" s="3" t="s">
        <v>9</v>
      </c>
      <c r="B1" s="15" t="s">
        <v>834</v>
      </c>
      <c r="C1" s="4" t="s">
        <v>0</v>
      </c>
      <c r="D1" s="4" t="s">
        <v>1</v>
      </c>
      <c r="E1" s="4" t="s">
        <v>2</v>
      </c>
      <c r="F1" s="5" t="s">
        <v>318</v>
      </c>
      <c r="G1" s="5" t="s">
        <v>319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320</v>
      </c>
      <c r="O1" s="18" t="s">
        <v>836</v>
      </c>
    </row>
    <row r="2" spans="1:15" hidden="1" x14ac:dyDescent="0.25">
      <c r="A2" s="11">
        <v>-33.040897600000001</v>
      </c>
      <c r="B2" s="16">
        <f t="shared" ref="B2:B65" si="0">0.979*A2+20.701</f>
        <v>-11.646038750400002</v>
      </c>
      <c r="C2" s="1" t="s">
        <v>10</v>
      </c>
      <c r="D2" s="1" t="s">
        <v>11</v>
      </c>
      <c r="E2" s="1" t="s">
        <v>12</v>
      </c>
      <c r="F2" s="1">
        <v>46.65006445490625</v>
      </c>
      <c r="G2" s="1">
        <v>7.1579149984598969</v>
      </c>
      <c r="H2" s="1">
        <v>6</v>
      </c>
      <c r="I2" s="1">
        <v>17</v>
      </c>
      <c r="J2" s="1">
        <v>10</v>
      </c>
      <c r="K2" s="1">
        <v>2012</v>
      </c>
      <c r="L2" s="1">
        <v>1</v>
      </c>
      <c r="M2" s="1">
        <v>280</v>
      </c>
      <c r="N2" s="1" t="s">
        <v>832</v>
      </c>
      <c r="O2" s="1">
        <f t="shared" ref="O2:O65" si="1">ROUND(B2/10,0)*(-1)</f>
        <v>1</v>
      </c>
    </row>
    <row r="3" spans="1:15" hidden="1" x14ac:dyDescent="0.25">
      <c r="A3" s="11">
        <v>-43.964892800000001</v>
      </c>
      <c r="B3" s="16">
        <f t="shared" si="0"/>
        <v>-22.340630051200002</v>
      </c>
      <c r="C3" s="1" t="s">
        <v>30</v>
      </c>
      <c r="D3" s="1" t="s">
        <v>31</v>
      </c>
      <c r="E3" s="1" t="s">
        <v>12</v>
      </c>
      <c r="F3" s="1">
        <v>46.666671646781992</v>
      </c>
      <c r="G3" s="1">
        <v>7.1621408152894652</v>
      </c>
      <c r="H3" s="1">
        <v>6</v>
      </c>
      <c r="I3" s="1">
        <v>24</v>
      </c>
      <c r="J3" s="1">
        <v>10</v>
      </c>
      <c r="K3" s="1">
        <v>2012</v>
      </c>
      <c r="L3" s="1">
        <v>1</v>
      </c>
      <c r="M3" s="1">
        <v>290</v>
      </c>
      <c r="N3" s="1" t="s">
        <v>832</v>
      </c>
      <c r="O3" s="1">
        <f t="shared" si="1"/>
        <v>2</v>
      </c>
    </row>
    <row r="4" spans="1:15" hidden="1" x14ac:dyDescent="0.25">
      <c r="A4" s="12">
        <v>-43.748702399999999</v>
      </c>
      <c r="B4" s="16">
        <f t="shared" si="0"/>
        <v>-22.128979649599998</v>
      </c>
      <c r="C4" s="10" t="s">
        <v>119</v>
      </c>
      <c r="D4" s="10" t="s">
        <v>120</v>
      </c>
      <c r="E4" s="10" t="s">
        <v>15</v>
      </c>
      <c r="F4" s="10">
        <v>47.024089533352502</v>
      </c>
      <c r="G4" s="10">
        <v>6.7531374890870559</v>
      </c>
      <c r="H4" s="10">
        <v>5</v>
      </c>
      <c r="I4" s="10">
        <v>24</v>
      </c>
      <c r="J4" s="10">
        <v>10</v>
      </c>
      <c r="K4" s="10">
        <v>2013</v>
      </c>
      <c r="L4" s="10">
        <v>1</v>
      </c>
      <c r="M4" s="10">
        <v>335</v>
      </c>
      <c r="N4" s="1" t="s">
        <v>832</v>
      </c>
      <c r="O4" s="1">
        <f t="shared" si="1"/>
        <v>2</v>
      </c>
    </row>
    <row r="5" spans="1:15" hidden="1" x14ac:dyDescent="0.25">
      <c r="A5" s="11">
        <v>-49.593919599999992</v>
      </c>
      <c r="B5" s="16">
        <f t="shared" si="0"/>
        <v>-27.851447288399989</v>
      </c>
      <c r="C5" s="1" t="s">
        <v>24</v>
      </c>
      <c r="D5" s="1" t="s">
        <v>25</v>
      </c>
      <c r="E5" s="1" t="s">
        <v>15</v>
      </c>
      <c r="F5" s="1">
        <v>47.086918661403722</v>
      </c>
      <c r="G5" s="1">
        <v>6.8842029998908565</v>
      </c>
      <c r="H5" s="1">
        <v>5</v>
      </c>
      <c r="I5" s="1">
        <v>22</v>
      </c>
      <c r="J5" s="1">
        <v>10</v>
      </c>
      <c r="K5" s="1">
        <v>2012</v>
      </c>
      <c r="L5" s="1">
        <v>1</v>
      </c>
      <c r="M5" s="1">
        <v>285</v>
      </c>
      <c r="N5" s="1" t="s">
        <v>832</v>
      </c>
      <c r="O5" s="1">
        <f t="shared" si="1"/>
        <v>3</v>
      </c>
    </row>
    <row r="6" spans="1:15" hidden="1" x14ac:dyDescent="0.25">
      <c r="A6" s="11">
        <v>-55.611253599999998</v>
      </c>
      <c r="B6" s="16">
        <f t="shared" si="0"/>
        <v>-33.742417274399997</v>
      </c>
      <c r="C6" s="1" t="s">
        <v>16</v>
      </c>
      <c r="D6" s="1" t="s">
        <v>17</v>
      </c>
      <c r="E6" s="1" t="s">
        <v>15</v>
      </c>
      <c r="F6" s="1">
        <v>46.967777362187341</v>
      </c>
      <c r="G6" s="1">
        <v>6.6600706233303324</v>
      </c>
      <c r="H6" s="1">
        <v>5</v>
      </c>
      <c r="I6" s="1">
        <v>18</v>
      </c>
      <c r="J6" s="1">
        <v>10</v>
      </c>
      <c r="K6" s="1">
        <v>2012</v>
      </c>
      <c r="L6" s="1">
        <v>1</v>
      </c>
      <c r="M6" s="1">
        <v>290</v>
      </c>
      <c r="N6" s="1" t="s">
        <v>832</v>
      </c>
      <c r="O6" s="1">
        <f t="shared" si="1"/>
        <v>3</v>
      </c>
    </row>
    <row r="7" spans="1:15" hidden="1" x14ac:dyDescent="0.25">
      <c r="A7" s="11">
        <v>-52.737494799999993</v>
      </c>
      <c r="B7" s="16">
        <f t="shared" si="0"/>
        <v>-30.92900740919999</v>
      </c>
      <c r="C7" s="1" t="s">
        <v>68</v>
      </c>
      <c r="D7" s="1" t="s">
        <v>69</v>
      </c>
      <c r="E7" s="1" t="s">
        <v>12</v>
      </c>
      <c r="F7" s="1">
        <v>46.661464900985251</v>
      </c>
      <c r="G7" s="1">
        <v>7.0184438626457775</v>
      </c>
      <c r="H7" s="1">
        <v>5</v>
      </c>
      <c r="I7" s="1">
        <v>8</v>
      </c>
      <c r="J7" s="1">
        <v>11</v>
      </c>
      <c r="K7" s="1">
        <v>2012</v>
      </c>
      <c r="L7" s="1">
        <v>1</v>
      </c>
      <c r="M7" s="1">
        <v>303</v>
      </c>
      <c r="N7" s="1" t="s">
        <v>832</v>
      </c>
      <c r="O7" s="1">
        <f t="shared" si="1"/>
        <v>3</v>
      </c>
    </row>
    <row r="8" spans="1:15" hidden="1" x14ac:dyDescent="0.25">
      <c r="A8" s="11">
        <v>-54.193646799999996</v>
      </c>
      <c r="B8" s="16">
        <f t="shared" si="0"/>
        <v>-32.354580217199995</v>
      </c>
      <c r="C8" s="1" t="s">
        <v>78</v>
      </c>
      <c r="D8" s="1" t="s">
        <v>79</v>
      </c>
      <c r="E8" s="1" t="s">
        <v>15</v>
      </c>
      <c r="F8" s="1">
        <v>46.935277477072141</v>
      </c>
      <c r="G8" s="1">
        <v>6.4681423555393982</v>
      </c>
      <c r="H8" s="1">
        <v>5</v>
      </c>
      <c r="I8" s="1">
        <v>13</v>
      </c>
      <c r="J8" s="1">
        <v>11</v>
      </c>
      <c r="K8" s="1">
        <v>2012</v>
      </c>
      <c r="L8" s="1">
        <v>1</v>
      </c>
      <c r="M8" s="1">
        <v>305</v>
      </c>
      <c r="N8" s="1" t="s">
        <v>832</v>
      </c>
      <c r="O8" s="1">
        <f t="shared" si="1"/>
        <v>3</v>
      </c>
    </row>
    <row r="9" spans="1:15" hidden="1" x14ac:dyDescent="0.25">
      <c r="A9" s="14">
        <v>-56.089812000000009</v>
      </c>
      <c r="B9" s="16">
        <f t="shared" si="0"/>
        <v>-34.210925948000011</v>
      </c>
      <c r="C9" s="9" t="s">
        <v>639</v>
      </c>
      <c r="D9" s="9" t="s">
        <v>640</v>
      </c>
      <c r="E9" s="9" t="s">
        <v>117</v>
      </c>
      <c r="F9" s="9">
        <v>46.049987741728479</v>
      </c>
      <c r="G9" s="9">
        <v>8.8772168443160027</v>
      </c>
      <c r="H9" s="8">
        <v>5</v>
      </c>
      <c r="I9" s="8">
        <v>1</v>
      </c>
      <c r="J9" s="8">
        <v>11</v>
      </c>
      <c r="K9" s="8">
        <v>2015</v>
      </c>
      <c r="L9" s="8">
        <v>1</v>
      </c>
      <c r="M9" s="8">
        <v>310</v>
      </c>
      <c r="N9" s="1" t="s">
        <v>832</v>
      </c>
      <c r="O9" s="1">
        <f t="shared" si="1"/>
        <v>3</v>
      </c>
    </row>
    <row r="10" spans="1:15" hidden="1" x14ac:dyDescent="0.25">
      <c r="A10" s="11">
        <v>-54.4834496</v>
      </c>
      <c r="B10" s="16">
        <f t="shared" si="0"/>
        <v>-32.6382971584</v>
      </c>
      <c r="C10" s="1" t="s">
        <v>74</v>
      </c>
      <c r="D10" s="1" t="s">
        <v>75</v>
      </c>
      <c r="E10" s="1" t="s">
        <v>15</v>
      </c>
      <c r="F10" s="1">
        <v>46.964273888527273</v>
      </c>
      <c r="G10" s="1">
        <v>6.7448736241620892</v>
      </c>
      <c r="H10" s="1">
        <v>4</v>
      </c>
      <c r="I10" s="1">
        <v>12</v>
      </c>
      <c r="J10" s="1">
        <v>11</v>
      </c>
      <c r="K10" s="1">
        <v>2012</v>
      </c>
      <c r="L10" s="1">
        <v>1</v>
      </c>
      <c r="M10" s="1">
        <v>325</v>
      </c>
      <c r="N10" s="1" t="s">
        <v>832</v>
      </c>
      <c r="O10" s="1">
        <f t="shared" si="1"/>
        <v>3</v>
      </c>
    </row>
    <row r="11" spans="1:15" hidden="1" x14ac:dyDescent="0.25">
      <c r="A11" s="13">
        <v>-47.999794699999995</v>
      </c>
      <c r="B11" s="16">
        <f t="shared" si="0"/>
        <v>-26.290799011299995</v>
      </c>
      <c r="C11" s="6" t="s">
        <v>294</v>
      </c>
      <c r="D11" s="6" t="s">
        <v>295</v>
      </c>
      <c r="E11" s="6" t="s">
        <v>185</v>
      </c>
      <c r="F11" s="7">
        <v>46.459439226989765</v>
      </c>
      <c r="G11" s="7">
        <v>6.117352796802094</v>
      </c>
      <c r="H11" s="7">
        <v>4</v>
      </c>
      <c r="I11" s="7">
        <v>18</v>
      </c>
      <c r="J11" s="7">
        <v>11</v>
      </c>
      <c r="K11" s="7">
        <v>2014</v>
      </c>
      <c r="L11" s="7">
        <v>1</v>
      </c>
      <c r="M11" s="7">
        <v>334</v>
      </c>
      <c r="N11" s="1" t="s">
        <v>832</v>
      </c>
      <c r="O11" s="1">
        <f t="shared" si="1"/>
        <v>3</v>
      </c>
    </row>
    <row r="12" spans="1:15" hidden="1" x14ac:dyDescent="0.25">
      <c r="A12" s="14">
        <v>-59.099659700000004</v>
      </c>
      <c r="B12" s="16">
        <f t="shared" si="0"/>
        <v>-37.1575668463</v>
      </c>
      <c r="C12" s="9" t="s">
        <v>347</v>
      </c>
      <c r="D12" s="9" t="s">
        <v>348</v>
      </c>
      <c r="E12" s="9" t="s">
        <v>117</v>
      </c>
      <c r="F12" s="9">
        <v>46.177372349435444</v>
      </c>
      <c r="G12" s="9">
        <v>8.6429597146774046</v>
      </c>
      <c r="H12" s="8">
        <v>3</v>
      </c>
      <c r="I12" s="8">
        <v>4</v>
      </c>
      <c r="J12" s="8">
        <v>11</v>
      </c>
      <c r="K12" s="8">
        <v>2015</v>
      </c>
      <c r="L12" s="8">
        <v>1</v>
      </c>
      <c r="M12" s="8">
        <v>268</v>
      </c>
      <c r="N12" s="1" t="s">
        <v>832</v>
      </c>
      <c r="O12" s="1">
        <f t="shared" si="1"/>
        <v>4</v>
      </c>
    </row>
    <row r="13" spans="1:15" hidden="1" x14ac:dyDescent="0.25">
      <c r="A13" s="14">
        <v>-66.48480050000002</v>
      </c>
      <c r="B13" s="16">
        <f t="shared" si="0"/>
        <v>-44.387619689500021</v>
      </c>
      <c r="C13" s="9" t="s">
        <v>425</v>
      </c>
      <c r="D13" s="9" t="s">
        <v>426</v>
      </c>
      <c r="E13" s="9" t="s">
        <v>15</v>
      </c>
      <c r="F13" s="9">
        <v>46.901632174750297</v>
      </c>
      <c r="G13" s="9">
        <v>6.5260661277732632</v>
      </c>
      <c r="H13" s="8">
        <v>5</v>
      </c>
      <c r="I13" s="8">
        <v>2</v>
      </c>
      <c r="J13" s="8">
        <v>11</v>
      </c>
      <c r="K13" s="8">
        <v>2015</v>
      </c>
      <c r="L13" s="8">
        <v>1</v>
      </c>
      <c r="M13" s="8">
        <v>280</v>
      </c>
      <c r="N13" s="1" t="s">
        <v>832</v>
      </c>
      <c r="O13" s="1">
        <f t="shared" si="1"/>
        <v>4</v>
      </c>
    </row>
    <row r="14" spans="1:15" hidden="1" x14ac:dyDescent="0.25">
      <c r="A14" s="11">
        <v>-66.061285600000005</v>
      </c>
      <c r="B14" s="16">
        <f t="shared" si="0"/>
        <v>-43.972998602400004</v>
      </c>
      <c r="C14" s="1" t="s">
        <v>28</v>
      </c>
      <c r="D14" s="1" t="s">
        <v>29</v>
      </c>
      <c r="E14" s="1" t="s">
        <v>12</v>
      </c>
      <c r="F14" s="1">
        <v>46.579598255464447</v>
      </c>
      <c r="G14" s="1">
        <v>6.9708090283750543</v>
      </c>
      <c r="H14" s="1">
        <v>5</v>
      </c>
      <c r="I14" s="1">
        <v>24</v>
      </c>
      <c r="J14" s="1">
        <v>10</v>
      </c>
      <c r="K14" s="1">
        <v>2012</v>
      </c>
      <c r="L14" s="1">
        <v>1</v>
      </c>
      <c r="M14" s="1">
        <v>288</v>
      </c>
      <c r="N14" s="1" t="s">
        <v>832</v>
      </c>
      <c r="O14" s="1">
        <f t="shared" si="1"/>
        <v>4</v>
      </c>
    </row>
    <row r="15" spans="1:15" hidden="1" x14ac:dyDescent="0.25">
      <c r="A15" s="11">
        <v>-66.015602399999992</v>
      </c>
      <c r="B15" s="16">
        <f t="shared" si="0"/>
        <v>-43.928274749599986</v>
      </c>
      <c r="C15" s="1" t="s">
        <v>40</v>
      </c>
      <c r="D15" s="1" t="s">
        <v>41</v>
      </c>
      <c r="E15" s="1" t="s">
        <v>15</v>
      </c>
      <c r="F15" s="1">
        <v>46.939049946948721</v>
      </c>
      <c r="G15" s="1">
        <v>6.4621638652553424</v>
      </c>
      <c r="H15" s="1">
        <v>6</v>
      </c>
      <c r="I15" s="1">
        <v>26</v>
      </c>
      <c r="J15" s="1">
        <v>10</v>
      </c>
      <c r="K15" s="1">
        <v>2012</v>
      </c>
      <c r="L15" s="1">
        <v>1</v>
      </c>
      <c r="M15" s="1">
        <v>295</v>
      </c>
      <c r="N15" s="1" t="s">
        <v>832</v>
      </c>
      <c r="O15" s="1">
        <f t="shared" si="1"/>
        <v>4</v>
      </c>
    </row>
    <row r="16" spans="1:15" hidden="1" x14ac:dyDescent="0.25">
      <c r="A16" s="11">
        <v>-58.683448799999994</v>
      </c>
      <c r="B16" s="16">
        <f t="shared" si="0"/>
        <v>-36.750096375199995</v>
      </c>
      <c r="C16" s="1" t="s">
        <v>46</v>
      </c>
      <c r="D16" s="1" t="s">
        <v>47</v>
      </c>
      <c r="E16" s="1" t="s">
        <v>15</v>
      </c>
      <c r="F16" s="1">
        <v>46.998968951023755</v>
      </c>
      <c r="G16" s="1">
        <v>6.8354768820947465</v>
      </c>
      <c r="H16" s="1">
        <v>6</v>
      </c>
      <c r="I16" s="1">
        <v>30</v>
      </c>
      <c r="J16" s="1">
        <v>10</v>
      </c>
      <c r="K16" s="1">
        <v>2012</v>
      </c>
      <c r="L16" s="1">
        <v>1</v>
      </c>
      <c r="M16" s="1">
        <v>295</v>
      </c>
      <c r="N16" s="1" t="s">
        <v>832</v>
      </c>
      <c r="O16" s="1">
        <f t="shared" si="1"/>
        <v>4</v>
      </c>
    </row>
    <row r="17" spans="1:15" hidden="1" x14ac:dyDescent="0.25">
      <c r="A17" s="14">
        <v>-64.964248800000021</v>
      </c>
      <c r="B17" s="16">
        <f t="shared" si="0"/>
        <v>-42.898999575200023</v>
      </c>
      <c r="C17" s="9" t="s">
        <v>441</v>
      </c>
      <c r="D17" s="9" t="s">
        <v>442</v>
      </c>
      <c r="E17" s="9" t="s">
        <v>15</v>
      </c>
      <c r="F17" s="9">
        <v>47.064600178331517</v>
      </c>
      <c r="G17" s="9">
        <v>6.8655957329456543</v>
      </c>
      <c r="H17" s="8">
        <v>5</v>
      </c>
      <c r="I17" s="8">
        <v>14</v>
      </c>
      <c r="J17" s="8">
        <v>11</v>
      </c>
      <c r="K17" s="8">
        <v>2015</v>
      </c>
      <c r="L17" s="8">
        <v>1</v>
      </c>
      <c r="M17" s="8">
        <v>298</v>
      </c>
      <c r="N17" s="1" t="s">
        <v>832</v>
      </c>
      <c r="O17" s="1">
        <f t="shared" si="1"/>
        <v>4</v>
      </c>
    </row>
    <row r="18" spans="1:15" hidden="1" x14ac:dyDescent="0.25">
      <c r="A18" s="11">
        <v>-66.273997999999992</v>
      </c>
      <c r="B18" s="16">
        <f t="shared" si="0"/>
        <v>-44.181244041999996</v>
      </c>
      <c r="C18" s="1" t="s">
        <v>88</v>
      </c>
      <c r="D18" s="1" t="s">
        <v>89</v>
      </c>
      <c r="E18" s="1" t="s">
        <v>15</v>
      </c>
      <c r="F18" s="1">
        <v>46.965646947155747</v>
      </c>
      <c r="G18" s="1">
        <v>6.6458574140588986</v>
      </c>
      <c r="H18" s="1">
        <v>5</v>
      </c>
      <c r="I18" s="1">
        <v>15</v>
      </c>
      <c r="J18" s="1">
        <v>11</v>
      </c>
      <c r="K18" s="1">
        <v>2012</v>
      </c>
      <c r="L18" s="1">
        <v>1</v>
      </c>
      <c r="M18" s="1">
        <v>300</v>
      </c>
      <c r="N18" s="1" t="s">
        <v>832</v>
      </c>
      <c r="O18" s="1">
        <f t="shared" si="1"/>
        <v>4</v>
      </c>
    </row>
    <row r="19" spans="1:15" hidden="1" x14ac:dyDescent="0.25">
      <c r="A19" s="11">
        <v>-64.209688400000005</v>
      </c>
      <c r="B19" s="16">
        <f t="shared" si="0"/>
        <v>-42.160284943600004</v>
      </c>
      <c r="C19" s="1" t="s">
        <v>13</v>
      </c>
      <c r="D19" s="1" t="s">
        <v>14</v>
      </c>
      <c r="E19" s="1" t="s">
        <v>15</v>
      </c>
      <c r="F19" s="1">
        <v>46.973637304569088</v>
      </c>
      <c r="G19" s="1">
        <v>6.6619570240223585</v>
      </c>
      <c r="H19" s="1">
        <v>5</v>
      </c>
      <c r="I19" s="1">
        <v>17</v>
      </c>
      <c r="J19" s="1">
        <v>10</v>
      </c>
      <c r="K19" s="1">
        <v>2012</v>
      </c>
      <c r="L19" s="1">
        <v>1</v>
      </c>
      <c r="M19" s="1">
        <v>300</v>
      </c>
      <c r="N19" s="1" t="s">
        <v>832</v>
      </c>
      <c r="O19" s="1">
        <f t="shared" si="1"/>
        <v>4</v>
      </c>
    </row>
    <row r="20" spans="1:15" hidden="1" x14ac:dyDescent="0.25">
      <c r="A20" s="14">
        <v>-59.829594999999998</v>
      </c>
      <c r="B20" s="16">
        <f t="shared" si="0"/>
        <v>-37.872173504999999</v>
      </c>
      <c r="C20" s="9" t="s">
        <v>452</v>
      </c>
      <c r="D20" s="9" t="s">
        <v>161</v>
      </c>
      <c r="E20" s="9" t="s">
        <v>15</v>
      </c>
      <c r="F20" s="9">
        <v>46.880820486135704</v>
      </c>
      <c r="G20" s="9">
        <v>6.4955874798948434</v>
      </c>
      <c r="H20" s="8">
        <v>6</v>
      </c>
      <c r="I20" s="8">
        <v>12</v>
      </c>
      <c r="J20" s="8">
        <v>11</v>
      </c>
      <c r="K20" s="8">
        <v>2015</v>
      </c>
      <c r="L20" s="8">
        <v>1</v>
      </c>
      <c r="M20" s="8">
        <v>300</v>
      </c>
      <c r="N20" s="1" t="s">
        <v>832</v>
      </c>
      <c r="O20" s="1">
        <f t="shared" si="1"/>
        <v>4</v>
      </c>
    </row>
    <row r="21" spans="1:15" hidden="1" x14ac:dyDescent="0.25">
      <c r="A21" s="11">
        <v>-60.859111200000001</v>
      </c>
      <c r="B21" s="16">
        <f t="shared" si="0"/>
        <v>-38.880069864799999</v>
      </c>
      <c r="C21" s="1" t="s">
        <v>20</v>
      </c>
      <c r="D21" s="1" t="s">
        <v>21</v>
      </c>
      <c r="E21" s="1" t="s">
        <v>12</v>
      </c>
      <c r="F21" s="1">
        <v>46.656024642529729</v>
      </c>
      <c r="G21" s="1">
        <v>7.0314200384476875</v>
      </c>
      <c r="H21" s="1">
        <v>5</v>
      </c>
      <c r="I21" s="1">
        <v>20</v>
      </c>
      <c r="J21" s="1">
        <v>10</v>
      </c>
      <c r="K21" s="1">
        <v>2012</v>
      </c>
      <c r="L21" s="1">
        <v>1</v>
      </c>
      <c r="M21" s="1">
        <v>308</v>
      </c>
      <c r="N21" s="1" t="s">
        <v>832</v>
      </c>
      <c r="O21" s="1">
        <f t="shared" si="1"/>
        <v>4</v>
      </c>
    </row>
    <row r="22" spans="1:15" hidden="1" x14ac:dyDescent="0.25">
      <c r="A22" s="11">
        <v>-64.109756399999995</v>
      </c>
      <c r="B22" s="16">
        <f t="shared" si="0"/>
        <v>-42.062451515599996</v>
      </c>
      <c r="C22" s="1" t="s">
        <v>44</v>
      </c>
      <c r="D22" s="1" t="s">
        <v>45</v>
      </c>
      <c r="E22" s="1" t="s">
        <v>12</v>
      </c>
      <c r="F22" s="1">
        <v>46.645765308546999</v>
      </c>
      <c r="G22" s="1">
        <v>7.0130145527416872</v>
      </c>
      <c r="H22" s="1">
        <v>6</v>
      </c>
      <c r="I22" s="1">
        <v>27</v>
      </c>
      <c r="J22" s="1">
        <v>10</v>
      </c>
      <c r="K22" s="1">
        <v>2012</v>
      </c>
      <c r="L22" s="1">
        <v>1</v>
      </c>
      <c r="M22" s="1">
        <v>312</v>
      </c>
      <c r="N22" s="1" t="s">
        <v>832</v>
      </c>
      <c r="O22" s="1">
        <f t="shared" si="1"/>
        <v>4</v>
      </c>
    </row>
    <row r="23" spans="1:15" hidden="1" x14ac:dyDescent="0.25">
      <c r="A23" s="11">
        <v>-63.393101200000004</v>
      </c>
      <c r="B23" s="16">
        <f t="shared" si="0"/>
        <v>-41.360846074800001</v>
      </c>
      <c r="C23" s="1" t="s">
        <v>34</v>
      </c>
      <c r="D23" s="1" t="s">
        <v>35</v>
      </c>
      <c r="E23" s="1" t="s">
        <v>12</v>
      </c>
      <c r="F23" s="1">
        <v>46.538588534514268</v>
      </c>
      <c r="G23" s="1">
        <v>6.9669134897578235</v>
      </c>
      <c r="H23" s="1">
        <v>6</v>
      </c>
      <c r="I23" s="1">
        <v>25</v>
      </c>
      <c r="J23" s="1">
        <v>10</v>
      </c>
      <c r="K23" s="1">
        <v>2012</v>
      </c>
      <c r="L23" s="1">
        <v>1</v>
      </c>
      <c r="M23" s="1">
        <v>313</v>
      </c>
      <c r="N23" s="1" t="s">
        <v>832</v>
      </c>
      <c r="O23" s="1">
        <f t="shared" si="1"/>
        <v>4</v>
      </c>
    </row>
    <row r="24" spans="1:15" hidden="1" x14ac:dyDescent="0.25">
      <c r="A24" s="11">
        <v>-64.400986799999998</v>
      </c>
      <c r="B24" s="16">
        <f t="shared" si="0"/>
        <v>-42.3475660772</v>
      </c>
      <c r="C24" s="1" t="s">
        <v>52</v>
      </c>
      <c r="D24" s="1" t="s">
        <v>53</v>
      </c>
      <c r="E24" s="1" t="s">
        <v>12</v>
      </c>
      <c r="F24" s="1">
        <v>46.648171045612891</v>
      </c>
      <c r="G24" s="1">
        <v>7.0116501556124682</v>
      </c>
      <c r="H24" s="1">
        <v>6</v>
      </c>
      <c r="I24" s="1">
        <v>5</v>
      </c>
      <c r="J24" s="1">
        <v>11</v>
      </c>
      <c r="K24" s="1">
        <v>2012</v>
      </c>
      <c r="L24" s="1">
        <v>1</v>
      </c>
      <c r="M24" s="1">
        <v>314</v>
      </c>
      <c r="N24" s="1" t="s">
        <v>832</v>
      </c>
      <c r="O24" s="1">
        <f t="shared" si="1"/>
        <v>4</v>
      </c>
    </row>
    <row r="25" spans="1:15" hidden="1" x14ac:dyDescent="0.25">
      <c r="A25" s="14">
        <v>-65.946316500000009</v>
      </c>
      <c r="B25" s="16">
        <f t="shared" si="0"/>
        <v>-43.860443853500009</v>
      </c>
      <c r="C25" s="9" t="s">
        <v>747</v>
      </c>
      <c r="D25" s="9" t="s">
        <v>748</v>
      </c>
      <c r="E25" s="9" t="s">
        <v>185</v>
      </c>
      <c r="F25" s="9">
        <v>46.643468385423638</v>
      </c>
      <c r="G25" s="9">
        <v>6.2434823133607615</v>
      </c>
      <c r="H25" s="8">
        <v>4</v>
      </c>
      <c r="I25" s="8">
        <v>8</v>
      </c>
      <c r="J25" s="8">
        <v>11</v>
      </c>
      <c r="K25" s="8">
        <v>2015</v>
      </c>
      <c r="L25" s="8">
        <v>1</v>
      </c>
      <c r="M25" s="8">
        <v>322</v>
      </c>
      <c r="N25" s="1" t="s">
        <v>832</v>
      </c>
      <c r="O25" s="1">
        <f t="shared" si="1"/>
        <v>4</v>
      </c>
    </row>
    <row r="26" spans="1:15" hidden="1" x14ac:dyDescent="0.25">
      <c r="A26" s="11">
        <v>-63.238920399999998</v>
      </c>
      <c r="B26" s="16">
        <f t="shared" si="0"/>
        <v>-41.209903071599996</v>
      </c>
      <c r="C26" s="1" t="s">
        <v>104</v>
      </c>
      <c r="D26" s="1" t="s">
        <v>105</v>
      </c>
      <c r="E26" s="1" t="s">
        <v>15</v>
      </c>
      <c r="F26" s="1">
        <v>47.095134966968459</v>
      </c>
      <c r="G26" s="1">
        <v>6.9098028081378446</v>
      </c>
      <c r="H26" s="1">
        <v>5</v>
      </c>
      <c r="I26" s="1">
        <v>20</v>
      </c>
      <c r="J26" s="1">
        <v>12</v>
      </c>
      <c r="K26" s="1">
        <v>2012</v>
      </c>
      <c r="L26" s="1">
        <v>1</v>
      </c>
      <c r="M26" s="1">
        <v>325</v>
      </c>
      <c r="N26" s="1" t="s">
        <v>832</v>
      </c>
      <c r="O26" s="1">
        <f t="shared" si="1"/>
        <v>4</v>
      </c>
    </row>
    <row r="27" spans="1:15" hidden="1" x14ac:dyDescent="0.25">
      <c r="A27" s="11">
        <v>-59.110301200000009</v>
      </c>
      <c r="B27" s="16">
        <f t="shared" si="0"/>
        <v>-37.167984874800005</v>
      </c>
      <c r="C27" s="1" t="s">
        <v>76</v>
      </c>
      <c r="D27" s="1" t="s">
        <v>77</v>
      </c>
      <c r="E27" s="1" t="s">
        <v>12</v>
      </c>
      <c r="F27" s="1">
        <v>46.527272756722503</v>
      </c>
      <c r="G27" s="1">
        <v>6.9564027522694438</v>
      </c>
      <c r="H27" s="1">
        <v>3</v>
      </c>
      <c r="I27" s="1">
        <v>13</v>
      </c>
      <c r="J27" s="1">
        <v>11</v>
      </c>
      <c r="K27" s="1">
        <v>2012</v>
      </c>
      <c r="L27" s="1">
        <v>1</v>
      </c>
      <c r="M27" s="1">
        <v>326</v>
      </c>
      <c r="N27" s="1" t="s">
        <v>832</v>
      </c>
      <c r="O27" s="1">
        <f t="shared" si="1"/>
        <v>4</v>
      </c>
    </row>
    <row r="28" spans="1:15" hidden="1" x14ac:dyDescent="0.25">
      <c r="A28" s="14">
        <v>-59.617169500000003</v>
      </c>
      <c r="B28" s="16">
        <f t="shared" si="0"/>
        <v>-37.664208940500004</v>
      </c>
      <c r="C28" s="9" t="s">
        <v>697</v>
      </c>
      <c r="D28" s="9" t="s">
        <v>698</v>
      </c>
      <c r="E28" s="9" t="s">
        <v>117</v>
      </c>
      <c r="F28" s="9">
        <v>46.197171856909314</v>
      </c>
      <c r="G28" s="9">
        <v>8.6080281067139381</v>
      </c>
      <c r="H28" s="8">
        <v>6</v>
      </c>
      <c r="I28" s="8">
        <v>10</v>
      </c>
      <c r="J28" s="8">
        <v>11</v>
      </c>
      <c r="K28" s="8">
        <v>2015</v>
      </c>
      <c r="L28" s="8">
        <v>1</v>
      </c>
      <c r="M28" s="8">
        <v>335</v>
      </c>
      <c r="N28" s="1" t="s">
        <v>832</v>
      </c>
      <c r="O28" s="1">
        <f t="shared" si="1"/>
        <v>4</v>
      </c>
    </row>
    <row r="29" spans="1:15" hidden="1" x14ac:dyDescent="0.25">
      <c r="A29" s="11">
        <v>-62.545106799999999</v>
      </c>
      <c r="B29" s="16">
        <f t="shared" si="0"/>
        <v>-40.530659557199996</v>
      </c>
      <c r="C29" s="1" t="s">
        <v>54</v>
      </c>
      <c r="D29" s="1" t="s">
        <v>55</v>
      </c>
      <c r="E29" s="1" t="s">
        <v>12</v>
      </c>
      <c r="F29" s="1">
        <v>46.74092485315893</v>
      </c>
      <c r="G29" s="1">
        <v>6.9426117331556716</v>
      </c>
      <c r="H29" s="1">
        <v>6</v>
      </c>
      <c r="I29" s="1">
        <v>5</v>
      </c>
      <c r="J29" s="1">
        <v>11</v>
      </c>
      <c r="K29" s="1">
        <v>2012</v>
      </c>
      <c r="L29" s="1">
        <v>1</v>
      </c>
      <c r="M29" s="1">
        <v>338</v>
      </c>
      <c r="N29" s="1" t="s">
        <v>832</v>
      </c>
      <c r="O29" s="1">
        <f t="shared" si="1"/>
        <v>4</v>
      </c>
    </row>
    <row r="30" spans="1:15" hidden="1" x14ac:dyDescent="0.25">
      <c r="A30" s="11">
        <v>-57.818323200000009</v>
      </c>
      <c r="B30" s="16">
        <f t="shared" si="0"/>
        <v>-35.903138412800004</v>
      </c>
      <c r="C30" s="1" t="s">
        <v>72</v>
      </c>
      <c r="D30" s="1" t="s">
        <v>73</v>
      </c>
      <c r="E30" s="1" t="s">
        <v>12</v>
      </c>
      <c r="F30" s="1">
        <v>46.642145170120997</v>
      </c>
      <c r="G30" s="1">
        <v>7.0095818487969037</v>
      </c>
      <c r="H30" s="1">
        <v>6</v>
      </c>
      <c r="I30" s="1">
        <v>10</v>
      </c>
      <c r="J30" s="1">
        <v>11</v>
      </c>
      <c r="K30" s="1">
        <v>2012</v>
      </c>
      <c r="L30" s="1">
        <v>1</v>
      </c>
      <c r="M30" s="1">
        <v>338</v>
      </c>
      <c r="N30" s="1" t="s">
        <v>832</v>
      </c>
      <c r="O30" s="1">
        <f t="shared" si="1"/>
        <v>4</v>
      </c>
    </row>
    <row r="31" spans="1:15" hidden="1" x14ac:dyDescent="0.25">
      <c r="A31" s="14">
        <v>-58.638850000000005</v>
      </c>
      <c r="B31" s="16">
        <f t="shared" si="0"/>
        <v>-36.70643415</v>
      </c>
      <c r="C31" s="9" t="s">
        <v>517</v>
      </c>
      <c r="D31" s="9" t="s">
        <v>518</v>
      </c>
      <c r="E31" s="9" t="s">
        <v>117</v>
      </c>
      <c r="F31" s="9">
        <v>46.52263858413906</v>
      </c>
      <c r="G31" s="9">
        <v>8.5907214236780014</v>
      </c>
      <c r="H31" s="8">
        <v>6</v>
      </c>
      <c r="I31" s="8">
        <v>27</v>
      </c>
      <c r="J31" s="8">
        <v>10</v>
      </c>
      <c r="K31" s="8">
        <v>2015</v>
      </c>
      <c r="L31" s="8">
        <v>1</v>
      </c>
      <c r="M31" s="8">
        <v>340</v>
      </c>
      <c r="N31" s="1" t="s">
        <v>832</v>
      </c>
      <c r="O31" s="1">
        <f t="shared" si="1"/>
        <v>4</v>
      </c>
    </row>
    <row r="32" spans="1:15" hidden="1" x14ac:dyDescent="0.25">
      <c r="A32" s="11">
        <v>-57.445719600000004</v>
      </c>
      <c r="B32" s="16">
        <f t="shared" si="0"/>
        <v>-35.538359488400005</v>
      </c>
      <c r="C32" s="1" t="s">
        <v>62</v>
      </c>
      <c r="D32" s="1" t="s">
        <v>63</v>
      </c>
      <c r="E32" s="1" t="s">
        <v>12</v>
      </c>
      <c r="F32" s="1">
        <v>46.740879876733935</v>
      </c>
      <c r="G32" s="1">
        <v>6.9426121466752342</v>
      </c>
      <c r="H32" s="1">
        <v>6</v>
      </c>
      <c r="I32" s="1">
        <v>6</v>
      </c>
      <c r="J32" s="1">
        <v>11</v>
      </c>
      <c r="K32" s="1">
        <v>2012</v>
      </c>
      <c r="L32" s="1">
        <v>1</v>
      </c>
      <c r="M32" s="1">
        <v>412</v>
      </c>
      <c r="N32" s="1" t="s">
        <v>832</v>
      </c>
      <c r="O32" s="1">
        <f t="shared" si="1"/>
        <v>4</v>
      </c>
    </row>
    <row r="33" spans="1:15" hidden="1" x14ac:dyDescent="0.25">
      <c r="A33" s="13">
        <v>-71.069786800000003</v>
      </c>
      <c r="B33" s="16">
        <f t="shared" si="0"/>
        <v>-48.876321277199999</v>
      </c>
      <c r="C33" s="6" t="s">
        <v>221</v>
      </c>
      <c r="D33" s="6" t="s">
        <v>222</v>
      </c>
      <c r="E33" s="6" t="s">
        <v>15</v>
      </c>
      <c r="F33" s="7">
        <v>47.080945825683429</v>
      </c>
      <c r="G33" s="7">
        <v>6.895497250762217</v>
      </c>
      <c r="H33" s="7">
        <v>6</v>
      </c>
      <c r="I33" s="7">
        <v>23</v>
      </c>
      <c r="J33" s="7">
        <v>10</v>
      </c>
      <c r="K33" s="7">
        <v>2014</v>
      </c>
      <c r="L33" s="7">
        <v>1</v>
      </c>
      <c r="M33" s="7">
        <v>260</v>
      </c>
      <c r="N33" s="1" t="s">
        <v>832</v>
      </c>
      <c r="O33" s="1">
        <f t="shared" si="1"/>
        <v>5</v>
      </c>
    </row>
    <row r="34" spans="1:15" hidden="1" x14ac:dyDescent="0.25">
      <c r="A34" s="11">
        <v>-70.733820399999999</v>
      </c>
      <c r="B34" s="16">
        <f t="shared" si="0"/>
        <v>-48.547410171599999</v>
      </c>
      <c r="C34" s="1" t="s">
        <v>26</v>
      </c>
      <c r="D34" s="1" t="s">
        <v>27</v>
      </c>
      <c r="E34" s="1" t="s">
        <v>15</v>
      </c>
      <c r="F34" s="1">
        <v>46.944217319723869</v>
      </c>
      <c r="G34" s="1">
        <v>6.5441658524390505</v>
      </c>
      <c r="H34" s="1">
        <v>6</v>
      </c>
      <c r="I34" s="1">
        <v>23</v>
      </c>
      <c r="J34" s="1">
        <v>10</v>
      </c>
      <c r="K34" s="1">
        <v>2012</v>
      </c>
      <c r="L34" s="1">
        <v>1</v>
      </c>
      <c r="M34" s="1">
        <v>265</v>
      </c>
      <c r="N34" s="1" t="s">
        <v>832</v>
      </c>
      <c r="O34" s="1">
        <f t="shared" si="1"/>
        <v>5</v>
      </c>
    </row>
    <row r="35" spans="1:15" hidden="1" x14ac:dyDescent="0.25">
      <c r="A35" s="11">
        <v>-72.806695599999998</v>
      </c>
      <c r="B35" s="16">
        <f t="shared" si="0"/>
        <v>-50.576754992399991</v>
      </c>
      <c r="C35" s="1" t="s">
        <v>36</v>
      </c>
      <c r="D35" s="1" t="s">
        <v>37</v>
      </c>
      <c r="E35" s="1" t="s">
        <v>12</v>
      </c>
      <c r="F35" s="1">
        <v>46.713258139307129</v>
      </c>
      <c r="G35" s="1">
        <v>7.2102394235118554</v>
      </c>
      <c r="H35" s="1">
        <v>6</v>
      </c>
      <c r="I35" s="1">
        <v>25</v>
      </c>
      <c r="J35" s="1">
        <v>10</v>
      </c>
      <c r="K35" s="1">
        <v>2012</v>
      </c>
      <c r="L35" s="1">
        <v>1</v>
      </c>
      <c r="M35" s="1">
        <v>276</v>
      </c>
      <c r="N35" s="1" t="s">
        <v>832</v>
      </c>
      <c r="O35" s="1">
        <f t="shared" si="1"/>
        <v>5</v>
      </c>
    </row>
    <row r="36" spans="1:15" hidden="1" x14ac:dyDescent="0.25">
      <c r="A36" s="11">
        <v>-75.356389199999995</v>
      </c>
      <c r="B36" s="16">
        <f t="shared" si="0"/>
        <v>-53.072905026799994</v>
      </c>
      <c r="C36" s="1" t="s">
        <v>32</v>
      </c>
      <c r="D36" s="1" t="s">
        <v>33</v>
      </c>
      <c r="E36" s="1" t="s">
        <v>12</v>
      </c>
      <c r="F36" s="1">
        <v>46.696553647037149</v>
      </c>
      <c r="G36" s="1">
        <v>7.188881462464134</v>
      </c>
      <c r="H36" s="1">
        <v>6</v>
      </c>
      <c r="I36" s="1">
        <v>24</v>
      </c>
      <c r="J36" s="1">
        <v>10</v>
      </c>
      <c r="K36" s="1">
        <v>2012</v>
      </c>
      <c r="L36" s="1">
        <v>1</v>
      </c>
      <c r="M36" s="1">
        <v>286</v>
      </c>
      <c r="N36" s="1" t="s">
        <v>832</v>
      </c>
      <c r="O36" s="1">
        <f t="shared" si="1"/>
        <v>5</v>
      </c>
    </row>
    <row r="37" spans="1:15" hidden="1" x14ac:dyDescent="0.25">
      <c r="A37" s="13">
        <v>-73.521887200000009</v>
      </c>
      <c r="B37" s="16">
        <f t="shared" si="0"/>
        <v>-51.276927568800012</v>
      </c>
      <c r="C37" s="6" t="s">
        <v>263</v>
      </c>
      <c r="D37" s="6" t="s">
        <v>264</v>
      </c>
      <c r="E37" s="6" t="s">
        <v>15</v>
      </c>
      <c r="F37" s="7">
        <v>46.95945294975845</v>
      </c>
      <c r="G37" s="7">
        <v>6.6021176559121857</v>
      </c>
      <c r="H37" s="7">
        <v>6</v>
      </c>
      <c r="I37" s="7">
        <v>3</v>
      </c>
      <c r="J37" s="7">
        <v>11</v>
      </c>
      <c r="K37" s="7">
        <v>2014</v>
      </c>
      <c r="L37" s="7">
        <v>1</v>
      </c>
      <c r="M37" s="7">
        <v>291</v>
      </c>
      <c r="N37" s="1" t="s">
        <v>832</v>
      </c>
      <c r="O37" s="1">
        <f t="shared" si="1"/>
        <v>5</v>
      </c>
    </row>
    <row r="38" spans="1:15" hidden="1" x14ac:dyDescent="0.25">
      <c r="A38" s="13">
        <v>-74.107254400000016</v>
      </c>
      <c r="B38" s="16">
        <f t="shared" si="0"/>
        <v>-51.850002057600015</v>
      </c>
      <c r="C38" s="6" t="s">
        <v>241</v>
      </c>
      <c r="D38" s="6" t="s">
        <v>242</v>
      </c>
      <c r="E38" s="6" t="s">
        <v>15</v>
      </c>
      <c r="F38" s="7">
        <v>46.985160918376955</v>
      </c>
      <c r="G38" s="7">
        <v>6.6700060252245503</v>
      </c>
      <c r="H38" s="7">
        <v>6</v>
      </c>
      <c r="I38" s="7">
        <v>28</v>
      </c>
      <c r="J38" s="7">
        <v>10</v>
      </c>
      <c r="K38" s="7">
        <v>2014</v>
      </c>
      <c r="L38" s="7">
        <v>1</v>
      </c>
      <c r="M38" s="7">
        <v>300</v>
      </c>
      <c r="N38" s="1" t="s">
        <v>832</v>
      </c>
      <c r="O38" s="1">
        <f t="shared" si="1"/>
        <v>5</v>
      </c>
    </row>
    <row r="39" spans="1:15" hidden="1" x14ac:dyDescent="0.25">
      <c r="A39" s="11">
        <v>-69.012231599999993</v>
      </c>
      <c r="B39" s="16">
        <f t="shared" si="0"/>
        <v>-46.861974736399993</v>
      </c>
      <c r="C39" s="1" t="s">
        <v>160</v>
      </c>
      <c r="D39" s="1" t="s">
        <v>161</v>
      </c>
      <c r="E39" s="1" t="s">
        <v>15</v>
      </c>
      <c r="F39" s="1">
        <v>46.99020149828155</v>
      </c>
      <c r="G39" s="1">
        <v>6.6840135288112208</v>
      </c>
      <c r="H39" s="1">
        <v>5</v>
      </c>
      <c r="I39" s="1">
        <v>8</v>
      </c>
      <c r="J39" s="1">
        <v>11</v>
      </c>
      <c r="K39" s="1">
        <v>2013</v>
      </c>
      <c r="L39" s="1">
        <v>1</v>
      </c>
      <c r="M39" s="1">
        <v>300</v>
      </c>
      <c r="N39" s="1" t="s">
        <v>832</v>
      </c>
      <c r="O39" s="1">
        <f t="shared" si="1"/>
        <v>5</v>
      </c>
    </row>
    <row r="40" spans="1:15" hidden="1" x14ac:dyDescent="0.25">
      <c r="A40" s="13">
        <v>-75.749923600000017</v>
      </c>
      <c r="B40" s="16">
        <f t="shared" si="0"/>
        <v>-53.458175204400014</v>
      </c>
      <c r="C40" s="6" t="s">
        <v>274</v>
      </c>
      <c r="D40" s="6" t="s">
        <v>275</v>
      </c>
      <c r="E40" s="6" t="s">
        <v>15</v>
      </c>
      <c r="F40" s="7">
        <v>46.967714425535114</v>
      </c>
      <c r="G40" s="7">
        <v>6.6430410500921102</v>
      </c>
      <c r="H40" s="7">
        <v>6</v>
      </c>
      <c r="I40" s="7">
        <v>11</v>
      </c>
      <c r="J40" s="7">
        <v>11</v>
      </c>
      <c r="K40" s="7">
        <v>2014</v>
      </c>
      <c r="L40" s="7">
        <v>1</v>
      </c>
      <c r="M40" s="7">
        <v>302</v>
      </c>
      <c r="N40" s="1" t="s">
        <v>832</v>
      </c>
      <c r="O40" s="1">
        <f t="shared" si="1"/>
        <v>5</v>
      </c>
    </row>
    <row r="41" spans="1:15" hidden="1" x14ac:dyDescent="0.25">
      <c r="A41" s="14">
        <v>-72.950204999999997</v>
      </c>
      <c r="B41" s="16">
        <f t="shared" si="0"/>
        <v>-50.717250694999997</v>
      </c>
      <c r="C41" s="9" t="s">
        <v>643</v>
      </c>
      <c r="D41" s="9" t="s">
        <v>644</v>
      </c>
      <c r="E41" s="9" t="s">
        <v>117</v>
      </c>
      <c r="F41" s="9">
        <v>46.055826206640546</v>
      </c>
      <c r="G41" s="9">
        <v>8.8744370861551047</v>
      </c>
      <c r="H41" s="8">
        <v>5</v>
      </c>
      <c r="I41" s="8">
        <v>17</v>
      </c>
      <c r="J41" s="8">
        <v>10</v>
      </c>
      <c r="K41" s="8">
        <v>2015</v>
      </c>
      <c r="L41" s="8">
        <v>1</v>
      </c>
      <c r="M41" s="8">
        <v>303</v>
      </c>
      <c r="N41" s="1" t="s">
        <v>832</v>
      </c>
      <c r="O41" s="1">
        <f t="shared" si="1"/>
        <v>5</v>
      </c>
    </row>
    <row r="42" spans="1:15" hidden="1" x14ac:dyDescent="0.25">
      <c r="A42" s="13">
        <v>-74.379994299999993</v>
      </c>
      <c r="B42" s="16">
        <f t="shared" si="0"/>
        <v>-52.117014419699991</v>
      </c>
      <c r="C42" s="6" t="s">
        <v>296</v>
      </c>
      <c r="D42" s="6" t="s">
        <v>297</v>
      </c>
      <c r="E42" s="6" t="s">
        <v>185</v>
      </c>
      <c r="F42" s="7">
        <v>46.670601709685016</v>
      </c>
      <c r="G42" s="7">
        <v>6.2572581505787506</v>
      </c>
      <c r="H42" s="7">
        <v>5</v>
      </c>
      <c r="I42" s="7">
        <v>18</v>
      </c>
      <c r="J42" s="7">
        <v>11</v>
      </c>
      <c r="K42" s="7">
        <v>2014</v>
      </c>
      <c r="L42" s="7">
        <v>1</v>
      </c>
      <c r="M42" s="7">
        <v>304</v>
      </c>
      <c r="N42" s="1" t="s">
        <v>832</v>
      </c>
      <c r="O42" s="1">
        <f t="shared" si="1"/>
        <v>5</v>
      </c>
    </row>
    <row r="43" spans="1:15" hidden="1" x14ac:dyDescent="0.25">
      <c r="A43" s="11">
        <v>-73.387728799999991</v>
      </c>
      <c r="B43" s="16">
        <f t="shared" si="0"/>
        <v>-51.145586495199986</v>
      </c>
      <c r="C43" s="1" t="s">
        <v>42</v>
      </c>
      <c r="D43" s="1" t="s">
        <v>43</v>
      </c>
      <c r="E43" s="1" t="s">
        <v>12</v>
      </c>
      <c r="F43" s="1">
        <v>46.665381507227352</v>
      </c>
      <c r="G43" s="1">
        <v>6.9841783832466326</v>
      </c>
      <c r="H43" s="1">
        <v>5</v>
      </c>
      <c r="I43" s="1">
        <v>27</v>
      </c>
      <c r="J43" s="1">
        <v>10</v>
      </c>
      <c r="K43" s="1">
        <v>2012</v>
      </c>
      <c r="L43" s="1">
        <v>1</v>
      </c>
      <c r="M43" s="1">
        <v>305</v>
      </c>
      <c r="N43" s="1" t="s">
        <v>832</v>
      </c>
      <c r="O43" s="1">
        <f t="shared" si="1"/>
        <v>5</v>
      </c>
    </row>
    <row r="44" spans="1:15" hidden="1" x14ac:dyDescent="0.25">
      <c r="A44" s="11">
        <v>-73.751766799999999</v>
      </c>
      <c r="B44" s="16">
        <f t="shared" si="0"/>
        <v>-51.501979697199992</v>
      </c>
      <c r="C44" s="1" t="s">
        <v>84</v>
      </c>
      <c r="D44" s="1" t="s">
        <v>85</v>
      </c>
      <c r="E44" s="1" t="s">
        <v>12</v>
      </c>
      <c r="F44" s="1">
        <v>46.667323516278913</v>
      </c>
      <c r="G44" s="1">
        <v>7.1458035363830863</v>
      </c>
      <c r="H44" s="1">
        <v>6</v>
      </c>
      <c r="I44" s="1">
        <v>14</v>
      </c>
      <c r="J44" s="1">
        <v>11</v>
      </c>
      <c r="K44" s="1">
        <v>2012</v>
      </c>
      <c r="L44" s="1">
        <v>1</v>
      </c>
      <c r="M44" s="1">
        <v>306</v>
      </c>
      <c r="N44" s="1" t="s">
        <v>832</v>
      </c>
      <c r="O44" s="1">
        <f t="shared" si="1"/>
        <v>5</v>
      </c>
    </row>
    <row r="45" spans="1:15" hidden="1" x14ac:dyDescent="0.25">
      <c r="A45" s="11">
        <v>-73.165023200000007</v>
      </c>
      <c r="B45" s="16">
        <f t="shared" si="0"/>
        <v>-50.927557712800002</v>
      </c>
      <c r="C45" s="1" t="s">
        <v>18</v>
      </c>
      <c r="D45" s="1" t="s">
        <v>19</v>
      </c>
      <c r="E45" s="1" t="s">
        <v>12</v>
      </c>
      <c r="F45" s="1">
        <v>46.58781441056658</v>
      </c>
      <c r="G45" s="1">
        <v>6.9781753979176697</v>
      </c>
      <c r="H45" s="1">
        <v>6</v>
      </c>
      <c r="I45" s="1">
        <v>20</v>
      </c>
      <c r="J45" s="1">
        <v>10</v>
      </c>
      <c r="K45" s="1">
        <v>2012</v>
      </c>
      <c r="L45" s="1">
        <v>1</v>
      </c>
      <c r="M45" s="1">
        <v>310</v>
      </c>
      <c r="N45" s="1" t="s">
        <v>832</v>
      </c>
      <c r="O45" s="1">
        <f t="shared" si="1"/>
        <v>5</v>
      </c>
    </row>
    <row r="46" spans="1:15" hidden="1" x14ac:dyDescent="0.25">
      <c r="A46" s="14">
        <v>-71.142096500000022</v>
      </c>
      <c r="B46" s="16">
        <f t="shared" si="0"/>
        <v>-48.94711247350002</v>
      </c>
      <c r="C46" s="9" t="s">
        <v>333</v>
      </c>
      <c r="D46" s="9" t="s">
        <v>334</v>
      </c>
      <c r="E46" s="9" t="s">
        <v>117</v>
      </c>
      <c r="F46" s="9">
        <v>46.157495231131897</v>
      </c>
      <c r="G46" s="9">
        <v>8.6642059410218675</v>
      </c>
      <c r="H46" s="8">
        <v>6</v>
      </c>
      <c r="I46" s="8">
        <v>28</v>
      </c>
      <c r="J46" s="8">
        <v>10</v>
      </c>
      <c r="K46" s="8">
        <v>2015</v>
      </c>
      <c r="L46" s="8">
        <v>1</v>
      </c>
      <c r="M46" s="8">
        <v>311</v>
      </c>
      <c r="N46" s="1" t="s">
        <v>832</v>
      </c>
      <c r="O46" s="1">
        <f t="shared" si="1"/>
        <v>5</v>
      </c>
    </row>
    <row r="47" spans="1:15" hidden="1" x14ac:dyDescent="0.25">
      <c r="A47" s="14">
        <v>-76.349674200000024</v>
      </c>
      <c r="B47" s="16">
        <f t="shared" si="0"/>
        <v>-54.045331041800019</v>
      </c>
      <c r="C47" s="9" t="s">
        <v>323</v>
      </c>
      <c r="D47" s="9" t="s">
        <v>324</v>
      </c>
      <c r="E47" s="9" t="s">
        <v>117</v>
      </c>
      <c r="F47" s="9">
        <v>46.185124276371631</v>
      </c>
      <c r="G47" s="9">
        <v>8.6625085966396291</v>
      </c>
      <c r="H47" s="8">
        <v>6</v>
      </c>
      <c r="I47" s="8">
        <v>20</v>
      </c>
      <c r="J47" s="8">
        <v>10</v>
      </c>
      <c r="K47" s="8">
        <v>2015</v>
      </c>
      <c r="L47" s="8">
        <v>1</v>
      </c>
      <c r="M47" s="8">
        <v>313</v>
      </c>
      <c r="N47" s="1" t="s">
        <v>832</v>
      </c>
      <c r="O47" s="1">
        <f t="shared" si="1"/>
        <v>5</v>
      </c>
    </row>
    <row r="48" spans="1:15" hidden="1" x14ac:dyDescent="0.25">
      <c r="A48" s="11">
        <v>-72.446940400000003</v>
      </c>
      <c r="B48" s="16">
        <f t="shared" si="0"/>
        <v>-50.224554651599995</v>
      </c>
      <c r="C48" s="1" t="s">
        <v>102</v>
      </c>
      <c r="D48" s="1" t="s">
        <v>103</v>
      </c>
      <c r="E48" s="1" t="s">
        <v>12</v>
      </c>
      <c r="F48" s="1">
        <v>46.593134839713102</v>
      </c>
      <c r="G48" s="1">
        <v>6.899181173665065</v>
      </c>
      <c r="H48" s="1">
        <v>4</v>
      </c>
      <c r="I48" s="1" t="s">
        <v>835</v>
      </c>
      <c r="J48" s="1">
        <v>11</v>
      </c>
      <c r="K48" s="1">
        <v>2012</v>
      </c>
      <c r="L48" s="1">
        <v>1</v>
      </c>
      <c r="M48" s="1">
        <v>316</v>
      </c>
      <c r="N48" s="1" t="s">
        <v>832</v>
      </c>
      <c r="O48" s="1">
        <f t="shared" si="1"/>
        <v>5</v>
      </c>
    </row>
    <row r="49" spans="1:15" hidden="1" x14ac:dyDescent="0.25">
      <c r="A49" s="11">
        <v>-67.922876000000002</v>
      </c>
      <c r="B49" s="16">
        <f t="shared" si="0"/>
        <v>-45.795495604000003</v>
      </c>
      <c r="C49" s="1" t="s">
        <v>98</v>
      </c>
      <c r="D49" s="1" t="s">
        <v>99</v>
      </c>
      <c r="E49" s="1" t="s">
        <v>12</v>
      </c>
      <c r="F49" s="1">
        <v>46.642109215747581</v>
      </c>
      <c r="G49" s="1">
        <v>7.0119853886703112</v>
      </c>
      <c r="H49" s="1">
        <v>6</v>
      </c>
      <c r="I49" s="1">
        <v>19</v>
      </c>
      <c r="J49" s="1">
        <v>11</v>
      </c>
      <c r="K49" s="1">
        <v>2012</v>
      </c>
      <c r="L49" s="1">
        <v>1</v>
      </c>
      <c r="M49" s="1">
        <v>316</v>
      </c>
      <c r="N49" s="1" t="s">
        <v>832</v>
      </c>
      <c r="O49" s="1">
        <f t="shared" si="1"/>
        <v>5</v>
      </c>
    </row>
    <row r="50" spans="1:15" hidden="1" x14ac:dyDescent="0.25">
      <c r="A50" s="11">
        <v>-77.029978799999981</v>
      </c>
      <c r="B50" s="16">
        <f t="shared" si="0"/>
        <v>-54.711349245199976</v>
      </c>
      <c r="C50" s="1" t="s">
        <v>830</v>
      </c>
      <c r="D50" s="1" t="s">
        <v>831</v>
      </c>
      <c r="E50" s="1" t="s">
        <v>15</v>
      </c>
      <c r="F50" s="1">
        <v>46.932186313624328</v>
      </c>
      <c r="G50" s="1">
        <v>6.7567913204534893</v>
      </c>
      <c r="H50" s="1">
        <v>6</v>
      </c>
      <c r="I50" s="1">
        <v>13</v>
      </c>
      <c r="J50" s="1">
        <v>8</v>
      </c>
      <c r="K50" s="1">
        <v>2015</v>
      </c>
      <c r="L50" s="1">
        <v>1</v>
      </c>
      <c r="M50" s="1">
        <v>320</v>
      </c>
      <c r="N50" s="2" t="s">
        <v>833</v>
      </c>
      <c r="O50" s="1">
        <f t="shared" si="1"/>
        <v>5</v>
      </c>
    </row>
    <row r="51" spans="1:15" hidden="1" x14ac:dyDescent="0.25">
      <c r="A51" s="14">
        <v>-74.616789999999995</v>
      </c>
      <c r="B51" s="16">
        <f t="shared" si="0"/>
        <v>-52.348837409999994</v>
      </c>
      <c r="C51" s="9" t="s">
        <v>496</v>
      </c>
      <c r="D51" s="9" t="s">
        <v>497</v>
      </c>
      <c r="E51" s="9" t="s">
        <v>117</v>
      </c>
      <c r="F51" s="9">
        <v>46.12132338636988</v>
      </c>
      <c r="G51" s="9">
        <v>8.8927604198497434</v>
      </c>
      <c r="H51" s="8">
        <v>5</v>
      </c>
      <c r="I51" s="8">
        <v>17</v>
      </c>
      <c r="J51" s="8">
        <v>10</v>
      </c>
      <c r="K51" s="8">
        <v>2015</v>
      </c>
      <c r="L51" s="8">
        <v>1</v>
      </c>
      <c r="M51" s="8">
        <v>320</v>
      </c>
      <c r="N51" s="1" t="s">
        <v>832</v>
      </c>
      <c r="O51" s="1">
        <f t="shared" si="1"/>
        <v>5</v>
      </c>
    </row>
    <row r="52" spans="1:15" hidden="1" x14ac:dyDescent="0.25">
      <c r="A52" s="11">
        <v>-69.607444000000001</v>
      </c>
      <c r="B52" s="16">
        <f t="shared" si="0"/>
        <v>-47.444687675999994</v>
      </c>
      <c r="C52" s="1" t="s">
        <v>22</v>
      </c>
      <c r="D52" s="1" t="s">
        <v>23</v>
      </c>
      <c r="E52" s="1" t="s">
        <v>15</v>
      </c>
      <c r="F52" s="1">
        <v>47.094270089920549</v>
      </c>
      <c r="G52" s="1">
        <v>6.9173849292019023</v>
      </c>
      <c r="H52" s="1">
        <v>6</v>
      </c>
      <c r="I52" s="1">
        <v>20</v>
      </c>
      <c r="J52" s="1">
        <v>10</v>
      </c>
      <c r="K52" s="1">
        <v>2012</v>
      </c>
      <c r="L52" s="1">
        <v>1</v>
      </c>
      <c r="M52" s="1">
        <v>320</v>
      </c>
      <c r="N52" s="1" t="s">
        <v>832</v>
      </c>
      <c r="O52" s="1">
        <f t="shared" si="1"/>
        <v>5</v>
      </c>
    </row>
    <row r="53" spans="1:15" hidden="1" x14ac:dyDescent="0.25">
      <c r="A53" s="11">
        <v>-67.940007199999997</v>
      </c>
      <c r="B53" s="16">
        <f t="shared" si="0"/>
        <v>-45.812267048799988</v>
      </c>
      <c r="C53" s="1" t="s">
        <v>86</v>
      </c>
      <c r="D53" s="1" t="s">
        <v>87</v>
      </c>
      <c r="E53" s="1" t="s">
        <v>15</v>
      </c>
      <c r="F53" s="1">
        <v>46.922027082845446</v>
      </c>
      <c r="G53" s="1">
        <v>6.4440910160953733</v>
      </c>
      <c r="H53" s="1">
        <v>5</v>
      </c>
      <c r="I53" s="1">
        <v>14</v>
      </c>
      <c r="J53" s="1">
        <v>11</v>
      </c>
      <c r="K53" s="1">
        <v>2012</v>
      </c>
      <c r="L53" s="1">
        <v>1</v>
      </c>
      <c r="M53" s="1">
        <v>320</v>
      </c>
      <c r="N53" s="1" t="s">
        <v>832</v>
      </c>
      <c r="O53" s="1">
        <f t="shared" si="1"/>
        <v>5</v>
      </c>
    </row>
    <row r="54" spans="1:15" hidden="1" x14ac:dyDescent="0.25">
      <c r="A54" s="13">
        <v>-71.335277300000001</v>
      </c>
      <c r="B54" s="16">
        <f t="shared" si="0"/>
        <v>-49.136236476699999</v>
      </c>
      <c r="C54" s="6" t="s">
        <v>306</v>
      </c>
      <c r="D54" s="6" t="s">
        <v>307</v>
      </c>
      <c r="E54" s="6" t="s">
        <v>185</v>
      </c>
      <c r="F54" s="7">
        <v>46.799979417217529</v>
      </c>
      <c r="G54" s="7">
        <v>6.4391385396565122</v>
      </c>
      <c r="H54" s="7">
        <v>6</v>
      </c>
      <c r="I54" s="7">
        <v>25</v>
      </c>
      <c r="J54" s="7">
        <v>11</v>
      </c>
      <c r="K54" s="7">
        <v>2014</v>
      </c>
      <c r="L54" s="7">
        <v>1</v>
      </c>
      <c r="M54" s="7">
        <v>322</v>
      </c>
      <c r="N54" s="1" t="s">
        <v>832</v>
      </c>
      <c r="O54" s="1">
        <f t="shared" si="1"/>
        <v>5</v>
      </c>
    </row>
    <row r="55" spans="1:15" hidden="1" x14ac:dyDescent="0.25">
      <c r="A55" s="11">
        <v>-72.976579999999998</v>
      </c>
      <c r="B55" s="16">
        <f t="shared" si="0"/>
        <v>-50.74307181999999</v>
      </c>
      <c r="C55" s="1" t="s">
        <v>70</v>
      </c>
      <c r="D55" s="1" t="s">
        <v>71</v>
      </c>
      <c r="E55" s="1" t="s">
        <v>12</v>
      </c>
      <c r="F55" s="1">
        <v>46.682484146536908</v>
      </c>
      <c r="G55" s="1">
        <v>7.0348803967544482</v>
      </c>
      <c r="H55" s="1">
        <v>4</v>
      </c>
      <c r="I55" s="1">
        <v>8</v>
      </c>
      <c r="J55" s="1">
        <v>11</v>
      </c>
      <c r="K55" s="1">
        <v>2012</v>
      </c>
      <c r="L55" s="1">
        <v>1</v>
      </c>
      <c r="M55" s="1">
        <v>324</v>
      </c>
      <c r="N55" s="1" t="s">
        <v>832</v>
      </c>
      <c r="O55" s="1">
        <f t="shared" si="1"/>
        <v>5</v>
      </c>
    </row>
    <row r="56" spans="1:15" hidden="1" x14ac:dyDescent="0.25">
      <c r="A56" s="14">
        <v>-74.389767499999991</v>
      </c>
      <c r="B56" s="16">
        <f t="shared" si="0"/>
        <v>-52.126582382499983</v>
      </c>
      <c r="C56" s="9" t="s">
        <v>695</v>
      </c>
      <c r="D56" s="9" t="s">
        <v>696</v>
      </c>
      <c r="E56" s="9" t="s">
        <v>117</v>
      </c>
      <c r="F56" s="9">
        <v>46.206206182830357</v>
      </c>
      <c r="G56" s="9">
        <v>8.6173832148106939</v>
      </c>
      <c r="H56" s="8">
        <v>6</v>
      </c>
      <c r="I56" s="8">
        <v>7</v>
      </c>
      <c r="J56" s="8">
        <v>11</v>
      </c>
      <c r="K56" s="8">
        <v>2015</v>
      </c>
      <c r="L56" s="8">
        <v>1</v>
      </c>
      <c r="M56" s="8">
        <v>325</v>
      </c>
      <c r="N56" s="1" t="s">
        <v>832</v>
      </c>
      <c r="O56" s="1">
        <f t="shared" si="1"/>
        <v>5</v>
      </c>
    </row>
    <row r="57" spans="1:15" hidden="1" x14ac:dyDescent="0.25">
      <c r="A57" s="11">
        <v>-68.279775999999998</v>
      </c>
      <c r="B57" s="16">
        <f t="shared" si="0"/>
        <v>-46.144900704000001</v>
      </c>
      <c r="C57" s="1" t="s">
        <v>50</v>
      </c>
      <c r="D57" s="1" t="s">
        <v>51</v>
      </c>
      <c r="E57" s="1" t="s">
        <v>15</v>
      </c>
      <c r="F57" s="1">
        <v>47.025773849789353</v>
      </c>
      <c r="G57" s="1">
        <v>6.938110991761131</v>
      </c>
      <c r="H57" s="1">
        <v>6</v>
      </c>
      <c r="I57" s="1">
        <v>3</v>
      </c>
      <c r="J57" s="1">
        <v>11</v>
      </c>
      <c r="K57" s="1">
        <v>2012</v>
      </c>
      <c r="L57" s="1">
        <v>1</v>
      </c>
      <c r="M57" s="1">
        <v>325</v>
      </c>
      <c r="N57" s="1" t="s">
        <v>832</v>
      </c>
      <c r="O57" s="1">
        <f t="shared" si="1"/>
        <v>5</v>
      </c>
    </row>
    <row r="58" spans="1:15" hidden="1" x14ac:dyDescent="0.25">
      <c r="A58" s="14">
        <v>-76.6975853</v>
      </c>
      <c r="B58" s="16">
        <f t="shared" si="0"/>
        <v>-54.385936008699993</v>
      </c>
      <c r="C58" s="9" t="s">
        <v>385</v>
      </c>
      <c r="D58" s="9" t="s">
        <v>386</v>
      </c>
      <c r="E58" s="9" t="s">
        <v>15</v>
      </c>
      <c r="F58" s="9">
        <v>47.023107963011256</v>
      </c>
      <c r="G58" s="9">
        <v>6.8160926875075178</v>
      </c>
      <c r="H58" s="8">
        <v>6</v>
      </c>
      <c r="I58" s="8">
        <v>20</v>
      </c>
      <c r="J58" s="8">
        <v>10</v>
      </c>
      <c r="K58" s="8">
        <v>2015</v>
      </c>
      <c r="L58" s="8">
        <v>1</v>
      </c>
      <c r="M58" s="8">
        <v>326</v>
      </c>
      <c r="N58" s="1" t="s">
        <v>832</v>
      </c>
      <c r="O58" s="1">
        <f t="shared" si="1"/>
        <v>5</v>
      </c>
    </row>
    <row r="59" spans="1:15" hidden="1" x14ac:dyDescent="0.25">
      <c r="A59" s="11">
        <v>-74.339937999999989</v>
      </c>
      <c r="B59" s="16">
        <f t="shared" si="0"/>
        <v>-52.077799301999981</v>
      </c>
      <c r="C59" s="1" t="s">
        <v>100</v>
      </c>
      <c r="D59" s="1" t="s">
        <v>101</v>
      </c>
      <c r="E59" s="1" t="s">
        <v>12</v>
      </c>
      <c r="F59" s="1">
        <v>46.668516881365186</v>
      </c>
      <c r="G59" s="1">
        <v>7.0038840320573312</v>
      </c>
      <c r="H59" s="1">
        <v>5</v>
      </c>
      <c r="I59" s="1">
        <v>26</v>
      </c>
      <c r="J59" s="1">
        <v>11</v>
      </c>
      <c r="K59" s="1">
        <v>2012</v>
      </c>
      <c r="L59" s="1">
        <v>1</v>
      </c>
      <c r="M59" s="1">
        <v>331</v>
      </c>
      <c r="N59" s="1" t="s">
        <v>832</v>
      </c>
      <c r="O59" s="1">
        <f t="shared" si="1"/>
        <v>5</v>
      </c>
    </row>
    <row r="60" spans="1:15" hidden="1" x14ac:dyDescent="0.25">
      <c r="A60" s="11">
        <v>-74.079854400000002</v>
      </c>
      <c r="B60" s="16">
        <f t="shared" si="0"/>
        <v>-51.823177457600003</v>
      </c>
      <c r="C60" s="1" t="s">
        <v>127</v>
      </c>
      <c r="D60" s="1" t="s">
        <v>128</v>
      </c>
      <c r="E60" s="1" t="s">
        <v>15</v>
      </c>
      <c r="F60" s="1">
        <v>47.005340773317499</v>
      </c>
      <c r="G60" s="1">
        <v>6.7527588405018442</v>
      </c>
      <c r="H60" s="2">
        <v>5</v>
      </c>
      <c r="I60" s="1">
        <v>29</v>
      </c>
      <c r="J60" s="1">
        <v>10</v>
      </c>
      <c r="K60" s="1">
        <v>2013</v>
      </c>
      <c r="L60" s="1">
        <v>1</v>
      </c>
      <c r="M60" s="1">
        <v>334</v>
      </c>
      <c r="N60" s="1" t="s">
        <v>832</v>
      </c>
      <c r="O60" s="1">
        <f t="shared" si="1"/>
        <v>5</v>
      </c>
    </row>
    <row r="61" spans="1:15" hidden="1" x14ac:dyDescent="0.25">
      <c r="A61" s="11">
        <v>-76.825389599999994</v>
      </c>
      <c r="B61" s="16">
        <f t="shared" si="0"/>
        <v>-54.511056418399995</v>
      </c>
      <c r="C61" s="1" t="s">
        <v>108</v>
      </c>
      <c r="D61" s="1" t="s">
        <v>109</v>
      </c>
      <c r="E61" s="1" t="s">
        <v>15</v>
      </c>
      <c r="F61" s="1">
        <v>47.101038361578922</v>
      </c>
      <c r="G61" s="1">
        <v>6.7892097582864928</v>
      </c>
      <c r="H61" s="1">
        <v>5</v>
      </c>
      <c r="I61" s="1" t="s">
        <v>835</v>
      </c>
      <c r="J61" s="1" t="s">
        <v>835</v>
      </c>
      <c r="K61" s="1">
        <v>2012</v>
      </c>
      <c r="L61" s="1">
        <v>1</v>
      </c>
      <c r="M61" s="1">
        <v>340</v>
      </c>
      <c r="N61" s="1" t="s">
        <v>832</v>
      </c>
      <c r="O61" s="1">
        <f t="shared" si="1"/>
        <v>5</v>
      </c>
    </row>
    <row r="62" spans="1:15" hidden="1" x14ac:dyDescent="0.25">
      <c r="A62" s="11">
        <v>-73.911658000000003</v>
      </c>
      <c r="B62" s="16">
        <f t="shared" si="0"/>
        <v>-51.658513182</v>
      </c>
      <c r="C62" s="1" t="s">
        <v>82</v>
      </c>
      <c r="D62" s="1" t="s">
        <v>83</v>
      </c>
      <c r="E62" s="1" t="s">
        <v>12</v>
      </c>
      <c r="F62" s="1">
        <v>46.663775766034171</v>
      </c>
      <c r="G62" s="1">
        <v>7.1550998365574294</v>
      </c>
      <c r="H62" s="1">
        <v>5</v>
      </c>
      <c r="I62" s="1">
        <v>14</v>
      </c>
      <c r="J62" s="1">
        <v>11</v>
      </c>
      <c r="K62" s="1">
        <v>2012</v>
      </c>
      <c r="L62" s="1">
        <v>1</v>
      </c>
      <c r="M62" s="1">
        <v>340</v>
      </c>
      <c r="N62" s="1" t="s">
        <v>832</v>
      </c>
      <c r="O62" s="1">
        <f t="shared" si="1"/>
        <v>5</v>
      </c>
    </row>
    <row r="63" spans="1:15" hidden="1" x14ac:dyDescent="0.25">
      <c r="A63" s="11">
        <v>-70.231305199999994</v>
      </c>
      <c r="B63" s="16">
        <f t="shared" si="0"/>
        <v>-48.055447790799995</v>
      </c>
      <c r="C63" s="1" t="s">
        <v>64</v>
      </c>
      <c r="D63" s="1" t="s">
        <v>65</v>
      </c>
      <c r="E63" s="1" t="s">
        <v>15</v>
      </c>
      <c r="F63" s="1">
        <v>46.891310370907213</v>
      </c>
      <c r="G63" s="1">
        <v>6.5011380829168388</v>
      </c>
      <c r="H63" s="1">
        <v>5</v>
      </c>
      <c r="I63" s="1">
        <v>6</v>
      </c>
      <c r="J63" s="1">
        <v>11</v>
      </c>
      <c r="K63" s="1">
        <v>2012</v>
      </c>
      <c r="L63" s="1">
        <v>1</v>
      </c>
      <c r="M63" s="1">
        <v>340</v>
      </c>
      <c r="N63" s="1" t="s">
        <v>832</v>
      </c>
      <c r="O63" s="1">
        <f t="shared" si="1"/>
        <v>5</v>
      </c>
    </row>
    <row r="64" spans="1:15" hidden="1" x14ac:dyDescent="0.25">
      <c r="A64" s="11">
        <v>-68.907920000000004</v>
      </c>
      <c r="B64" s="16">
        <f t="shared" si="0"/>
        <v>-46.759853679999999</v>
      </c>
      <c r="C64" s="1" t="s">
        <v>48</v>
      </c>
      <c r="D64" s="1" t="s">
        <v>49</v>
      </c>
      <c r="E64" s="1" t="s">
        <v>12</v>
      </c>
      <c r="F64" s="1">
        <v>46.783857784138291</v>
      </c>
      <c r="G64" s="1">
        <v>6.9608647774909018</v>
      </c>
      <c r="H64" s="1">
        <v>6</v>
      </c>
      <c r="I64" s="1">
        <v>31</v>
      </c>
      <c r="J64" s="1">
        <v>10</v>
      </c>
      <c r="K64" s="1">
        <v>2012</v>
      </c>
      <c r="L64" s="1">
        <v>1</v>
      </c>
      <c r="M64" s="1">
        <v>365</v>
      </c>
      <c r="N64" s="1" t="s">
        <v>832</v>
      </c>
      <c r="O64" s="1">
        <f t="shared" si="1"/>
        <v>5</v>
      </c>
    </row>
    <row r="65" spans="1:15" hidden="1" x14ac:dyDescent="0.25">
      <c r="A65" s="13">
        <v>-77.249752000000001</v>
      </c>
      <c r="B65" s="16">
        <f t="shared" si="0"/>
        <v>-54.926507207999997</v>
      </c>
      <c r="C65" s="6" t="s">
        <v>249</v>
      </c>
      <c r="D65" s="6" t="s">
        <v>250</v>
      </c>
      <c r="E65" s="6" t="s">
        <v>15</v>
      </c>
      <c r="F65" s="7">
        <v>47.086339293703389</v>
      </c>
      <c r="G65" s="7">
        <v>6.8760438710907117</v>
      </c>
      <c r="H65" s="7">
        <v>6</v>
      </c>
      <c r="I65" s="7">
        <v>29</v>
      </c>
      <c r="J65" s="7">
        <v>10</v>
      </c>
      <c r="K65" s="7">
        <v>2014</v>
      </c>
      <c r="L65" s="7">
        <v>1</v>
      </c>
      <c r="M65" s="7">
        <v>366</v>
      </c>
      <c r="N65" s="1" t="s">
        <v>832</v>
      </c>
      <c r="O65" s="1">
        <f t="shared" si="1"/>
        <v>5</v>
      </c>
    </row>
    <row r="66" spans="1:15" hidden="1" x14ac:dyDescent="0.25">
      <c r="A66" s="11">
        <v>-68.880795599999999</v>
      </c>
      <c r="B66" s="16">
        <f t="shared" ref="B66:B129" si="2">0.979*A66+20.701</f>
        <v>-46.733298892399993</v>
      </c>
      <c r="C66" s="1" t="s">
        <v>56</v>
      </c>
      <c r="D66" s="1" t="s">
        <v>57</v>
      </c>
      <c r="E66" s="1" t="s">
        <v>12</v>
      </c>
      <c r="F66" s="1">
        <v>46.593134839713102</v>
      </c>
      <c r="G66" s="1">
        <v>6.899181173665065</v>
      </c>
      <c r="H66" s="1">
        <v>4</v>
      </c>
      <c r="I66" s="1">
        <v>6</v>
      </c>
      <c r="J66" s="1">
        <v>11</v>
      </c>
      <c r="K66" s="1">
        <v>2012</v>
      </c>
      <c r="L66" s="1">
        <v>1</v>
      </c>
      <c r="M66" s="1">
        <v>368</v>
      </c>
      <c r="N66" s="1" t="s">
        <v>832</v>
      </c>
      <c r="O66" s="1">
        <f t="shared" ref="O66:O129" si="3">ROUND(B66/10,0)*(-1)</f>
        <v>5</v>
      </c>
    </row>
    <row r="67" spans="1:15" hidden="1" x14ac:dyDescent="0.25">
      <c r="A67" s="11">
        <v>-86.278489799999988</v>
      </c>
      <c r="B67" s="16">
        <f t="shared" si="2"/>
        <v>-63.765641514199991</v>
      </c>
      <c r="C67" s="1" t="s">
        <v>824</v>
      </c>
      <c r="D67" s="1" t="s">
        <v>825</v>
      </c>
      <c r="E67" s="1" t="s">
        <v>15</v>
      </c>
      <c r="F67" s="1">
        <v>46.939315999999998</v>
      </c>
      <c r="G67" s="1">
        <v>6.7455800000000004</v>
      </c>
      <c r="H67" s="1">
        <v>6</v>
      </c>
      <c r="I67" s="1">
        <v>20</v>
      </c>
      <c r="J67" s="1">
        <v>6</v>
      </c>
      <c r="K67" s="1">
        <v>2015</v>
      </c>
      <c r="L67" s="1">
        <v>1</v>
      </c>
      <c r="M67" s="1">
        <v>127</v>
      </c>
      <c r="N67" s="1" t="s">
        <v>817</v>
      </c>
      <c r="O67" s="1">
        <f t="shared" si="3"/>
        <v>6</v>
      </c>
    </row>
    <row r="68" spans="1:15" hidden="1" x14ac:dyDescent="0.25">
      <c r="A68" s="11">
        <v>-81.190068999999994</v>
      </c>
      <c r="B68" s="16">
        <f t="shared" si="2"/>
        <v>-58.784077550999989</v>
      </c>
      <c r="C68" s="1" t="s">
        <v>826</v>
      </c>
      <c r="D68" s="1" t="s">
        <v>827</v>
      </c>
      <c r="E68" s="1" t="s">
        <v>15</v>
      </c>
      <c r="F68" s="1">
        <v>46.939315999999998</v>
      </c>
      <c r="G68" s="1">
        <v>6.7455800000000004</v>
      </c>
      <c r="H68" s="1">
        <v>6</v>
      </c>
      <c r="I68" s="1">
        <v>20</v>
      </c>
      <c r="J68" s="1">
        <v>6</v>
      </c>
      <c r="K68" s="1">
        <v>2015</v>
      </c>
      <c r="L68" s="1">
        <v>1</v>
      </c>
      <c r="M68" s="1">
        <v>140</v>
      </c>
      <c r="N68" s="1" t="s">
        <v>817</v>
      </c>
      <c r="O68" s="1">
        <f t="shared" si="3"/>
        <v>6</v>
      </c>
    </row>
    <row r="69" spans="1:15" hidden="1" x14ac:dyDescent="0.25">
      <c r="A69" s="14">
        <v>-85.523507500000008</v>
      </c>
      <c r="B69" s="16">
        <f t="shared" si="2"/>
        <v>-63.026513842500002</v>
      </c>
      <c r="C69" s="9" t="s">
        <v>494</v>
      </c>
      <c r="D69" s="9" t="s">
        <v>495</v>
      </c>
      <c r="E69" s="9" t="s">
        <v>117</v>
      </c>
      <c r="F69" s="9">
        <v>46.128451748500765</v>
      </c>
      <c r="G69" s="9">
        <v>8.898126458491447</v>
      </c>
      <c r="H69" s="8">
        <v>5</v>
      </c>
      <c r="I69" s="8">
        <v>5</v>
      </c>
      <c r="J69" s="8">
        <v>11</v>
      </c>
      <c r="K69" s="8">
        <v>2015</v>
      </c>
      <c r="L69" s="8">
        <v>1</v>
      </c>
      <c r="M69" s="8">
        <v>230</v>
      </c>
      <c r="N69" s="1" t="s">
        <v>832</v>
      </c>
      <c r="O69" s="1">
        <f t="shared" si="3"/>
        <v>6</v>
      </c>
    </row>
    <row r="70" spans="1:15" hidden="1" x14ac:dyDescent="0.25">
      <c r="A70" s="11">
        <v>-78.185172800000004</v>
      </c>
      <c r="B70" s="16">
        <f t="shared" si="2"/>
        <v>-55.842284171199999</v>
      </c>
      <c r="C70" s="1" t="s">
        <v>828</v>
      </c>
      <c r="D70" s="1" t="s">
        <v>829</v>
      </c>
      <c r="E70" s="1" t="s">
        <v>15</v>
      </c>
      <c r="F70" s="1">
        <v>46.935204279962868</v>
      </c>
      <c r="G70" s="1">
        <v>6.7515130951083151</v>
      </c>
      <c r="H70" s="1">
        <v>6</v>
      </c>
      <c r="I70" s="1">
        <v>13</v>
      </c>
      <c r="J70" s="1">
        <v>6</v>
      </c>
      <c r="K70" s="1">
        <v>2015</v>
      </c>
      <c r="L70" s="1">
        <v>1</v>
      </c>
      <c r="M70" s="1">
        <v>260</v>
      </c>
      <c r="N70" s="2" t="s">
        <v>833</v>
      </c>
      <c r="O70" s="1">
        <f t="shared" si="3"/>
        <v>6</v>
      </c>
    </row>
    <row r="71" spans="1:15" hidden="1" x14ac:dyDescent="0.25">
      <c r="A71" s="11">
        <v>-86.967430799999988</v>
      </c>
      <c r="B71" s="16">
        <f t="shared" si="2"/>
        <v>-64.440114753199992</v>
      </c>
      <c r="C71" s="1" t="s">
        <v>822</v>
      </c>
      <c r="D71" s="1" t="s">
        <v>823</v>
      </c>
      <c r="E71" s="1" t="s">
        <v>15</v>
      </c>
      <c r="F71" s="1">
        <v>46.939315999999998</v>
      </c>
      <c r="G71" s="1">
        <v>6.7455800000000004</v>
      </c>
      <c r="H71" s="1">
        <v>6</v>
      </c>
      <c r="I71" s="1">
        <v>27</v>
      </c>
      <c r="J71" s="1">
        <v>6</v>
      </c>
      <c r="K71" s="1">
        <v>2015</v>
      </c>
      <c r="L71" s="1">
        <v>1</v>
      </c>
      <c r="M71" s="1">
        <v>277</v>
      </c>
      <c r="N71" s="2" t="s">
        <v>833</v>
      </c>
      <c r="O71" s="1">
        <f t="shared" si="3"/>
        <v>6</v>
      </c>
    </row>
    <row r="72" spans="1:15" hidden="1" x14ac:dyDescent="0.25">
      <c r="A72" s="14">
        <v>-84.251830300000009</v>
      </c>
      <c r="B72" s="16">
        <f t="shared" si="2"/>
        <v>-61.781541863700006</v>
      </c>
      <c r="C72" s="9" t="s">
        <v>329</v>
      </c>
      <c r="D72" s="9" t="s">
        <v>330</v>
      </c>
      <c r="E72" s="9" t="s">
        <v>117</v>
      </c>
      <c r="F72" s="9">
        <v>46.20601681281844</v>
      </c>
      <c r="G72" s="9">
        <v>8.6902285141013476</v>
      </c>
      <c r="H72" s="8">
        <v>3</v>
      </c>
      <c r="I72" s="8">
        <v>5</v>
      </c>
      <c r="J72" s="8">
        <v>11</v>
      </c>
      <c r="K72" s="8">
        <v>2015</v>
      </c>
      <c r="L72" s="8">
        <v>1</v>
      </c>
      <c r="M72" s="8">
        <v>277</v>
      </c>
      <c r="N72" s="1" t="s">
        <v>832</v>
      </c>
      <c r="O72" s="1">
        <f t="shared" si="3"/>
        <v>6</v>
      </c>
    </row>
    <row r="73" spans="1:15" hidden="1" x14ac:dyDescent="0.25">
      <c r="A73" s="14">
        <v>-81.378419999999991</v>
      </c>
      <c r="B73" s="16">
        <f t="shared" si="2"/>
        <v>-58.968473179999982</v>
      </c>
      <c r="C73" s="9" t="s">
        <v>537</v>
      </c>
      <c r="D73" s="9" t="s">
        <v>538</v>
      </c>
      <c r="E73" s="9" t="s">
        <v>117</v>
      </c>
      <c r="F73" s="9">
        <v>46.474849684750424</v>
      </c>
      <c r="G73" s="9">
        <v>8.7654281693304306</v>
      </c>
      <c r="H73" s="8">
        <v>5</v>
      </c>
      <c r="I73" s="8">
        <v>17</v>
      </c>
      <c r="J73" s="8">
        <v>10</v>
      </c>
      <c r="K73" s="8">
        <v>2015</v>
      </c>
      <c r="L73" s="8">
        <v>1</v>
      </c>
      <c r="M73" s="8">
        <v>280</v>
      </c>
      <c r="N73" s="1" t="s">
        <v>832</v>
      </c>
      <c r="O73" s="1">
        <f t="shared" si="3"/>
        <v>6</v>
      </c>
    </row>
    <row r="74" spans="1:15" hidden="1" x14ac:dyDescent="0.25">
      <c r="A74" s="14">
        <v>-83.187057499999995</v>
      </c>
      <c r="B74" s="16">
        <f t="shared" si="2"/>
        <v>-60.739129292499989</v>
      </c>
      <c r="C74" s="9" t="s">
        <v>487</v>
      </c>
      <c r="D74" s="9" t="s">
        <v>146</v>
      </c>
      <c r="E74" s="9" t="s">
        <v>117</v>
      </c>
      <c r="F74" s="9">
        <v>46.12212224438214</v>
      </c>
      <c r="G74" s="9">
        <v>8.8293829567198046</v>
      </c>
      <c r="H74" s="8">
        <v>5</v>
      </c>
      <c r="I74" s="8">
        <v>27</v>
      </c>
      <c r="J74" s="8">
        <v>10</v>
      </c>
      <c r="K74" s="8">
        <v>2015</v>
      </c>
      <c r="L74" s="8">
        <v>1</v>
      </c>
      <c r="M74" s="8">
        <v>283</v>
      </c>
      <c r="N74" s="1" t="s">
        <v>832</v>
      </c>
      <c r="O74" s="1">
        <f t="shared" si="3"/>
        <v>6</v>
      </c>
    </row>
    <row r="75" spans="1:15" hidden="1" x14ac:dyDescent="0.25">
      <c r="A75" s="14">
        <v>-83.057012100000023</v>
      </c>
      <c r="B75" s="16">
        <f t="shared" si="2"/>
        <v>-60.611814845900021</v>
      </c>
      <c r="C75" s="9" t="s">
        <v>411</v>
      </c>
      <c r="D75" s="9" t="s">
        <v>412</v>
      </c>
      <c r="E75" s="9" t="s">
        <v>117</v>
      </c>
      <c r="F75" s="9">
        <v>46.255628260709415</v>
      </c>
      <c r="G75" s="9">
        <v>8.6833798609021002</v>
      </c>
      <c r="H75" s="8">
        <v>5</v>
      </c>
      <c r="I75" s="8">
        <v>14</v>
      </c>
      <c r="J75" s="8">
        <v>11</v>
      </c>
      <c r="K75" s="8">
        <v>2015</v>
      </c>
      <c r="L75" s="8">
        <v>1</v>
      </c>
      <c r="M75" s="8">
        <v>284</v>
      </c>
      <c r="N75" s="1" t="s">
        <v>832</v>
      </c>
      <c r="O75" s="1">
        <f t="shared" si="3"/>
        <v>6</v>
      </c>
    </row>
    <row r="76" spans="1:15" hidden="1" x14ac:dyDescent="0.25">
      <c r="A76" s="11">
        <v>-78.813226799999995</v>
      </c>
      <c r="B76" s="16">
        <f t="shared" si="2"/>
        <v>-56.45714903719999</v>
      </c>
      <c r="C76" s="1" t="s">
        <v>114</v>
      </c>
      <c r="D76" s="1" t="s">
        <v>115</v>
      </c>
      <c r="E76" s="1" t="s">
        <v>15</v>
      </c>
      <c r="F76" s="1">
        <v>46.860306345604258</v>
      </c>
      <c r="G76" s="1">
        <v>6.5083666794976605</v>
      </c>
      <c r="H76" s="1">
        <v>6</v>
      </c>
      <c r="I76" s="1">
        <v>16</v>
      </c>
      <c r="J76" s="1">
        <v>10</v>
      </c>
      <c r="K76" s="1">
        <v>2013</v>
      </c>
      <c r="L76" s="1">
        <v>1</v>
      </c>
      <c r="M76" s="1">
        <v>287</v>
      </c>
      <c r="N76" s="1" t="s">
        <v>832</v>
      </c>
      <c r="O76" s="1">
        <f t="shared" si="3"/>
        <v>6</v>
      </c>
    </row>
    <row r="77" spans="1:15" hidden="1" x14ac:dyDescent="0.25">
      <c r="A77" s="14">
        <v>-82.245439999999988</v>
      </c>
      <c r="B77" s="16">
        <f t="shared" si="2"/>
        <v>-59.817285759999983</v>
      </c>
      <c r="C77" s="9" t="s">
        <v>481</v>
      </c>
      <c r="D77" s="9" t="s">
        <v>167</v>
      </c>
      <c r="E77" s="9" t="s">
        <v>117</v>
      </c>
      <c r="F77" s="9">
        <v>46.088522651186985</v>
      </c>
      <c r="G77" s="9">
        <v>8.8543881439873804</v>
      </c>
      <c r="H77" s="8">
        <v>4</v>
      </c>
      <c r="I77" s="8">
        <v>1</v>
      </c>
      <c r="J77" s="8">
        <v>11</v>
      </c>
      <c r="K77" s="8">
        <v>2015</v>
      </c>
      <c r="L77" s="8">
        <v>1</v>
      </c>
      <c r="M77" s="8">
        <v>298</v>
      </c>
      <c r="N77" s="1" t="s">
        <v>832</v>
      </c>
      <c r="O77" s="1">
        <f t="shared" si="3"/>
        <v>6</v>
      </c>
    </row>
    <row r="78" spans="1:15" hidden="1" x14ac:dyDescent="0.25">
      <c r="A78" s="14">
        <v>-82.590277499999999</v>
      </c>
      <c r="B78" s="16">
        <f t="shared" si="2"/>
        <v>-60.154881672500004</v>
      </c>
      <c r="C78" s="9" t="s">
        <v>450</v>
      </c>
      <c r="D78" s="9" t="s">
        <v>451</v>
      </c>
      <c r="E78" s="9" t="s">
        <v>15</v>
      </c>
      <c r="F78" s="9">
        <v>46.888408965529408</v>
      </c>
      <c r="G78" s="9">
        <v>6.5016610268664232</v>
      </c>
      <c r="H78" s="8">
        <v>6</v>
      </c>
      <c r="I78" s="8">
        <v>3</v>
      </c>
      <c r="J78" s="8">
        <v>11</v>
      </c>
      <c r="K78" s="8">
        <v>2015</v>
      </c>
      <c r="L78" s="8">
        <v>1</v>
      </c>
      <c r="M78" s="8">
        <v>300</v>
      </c>
      <c r="N78" s="1" t="s">
        <v>832</v>
      </c>
      <c r="O78" s="1">
        <f t="shared" si="3"/>
        <v>6</v>
      </c>
    </row>
    <row r="79" spans="1:15" hidden="1" x14ac:dyDescent="0.25">
      <c r="A79" s="14">
        <v>-81.580815600000008</v>
      </c>
      <c r="B79" s="16">
        <f t="shared" si="2"/>
        <v>-59.16661847240001</v>
      </c>
      <c r="C79" s="9" t="s">
        <v>433</v>
      </c>
      <c r="D79" s="9" t="s">
        <v>434</v>
      </c>
      <c r="E79" s="9" t="s">
        <v>117</v>
      </c>
      <c r="F79" s="9">
        <v>46.098512963812802</v>
      </c>
      <c r="G79" s="9">
        <v>9.0486449987007624</v>
      </c>
      <c r="H79" s="8">
        <v>5</v>
      </c>
      <c r="I79" s="8">
        <v>26</v>
      </c>
      <c r="J79" s="8">
        <v>11</v>
      </c>
      <c r="K79" s="8">
        <v>2015</v>
      </c>
      <c r="L79" s="8">
        <v>1</v>
      </c>
      <c r="M79" s="8">
        <v>300</v>
      </c>
      <c r="N79" s="1" t="s">
        <v>832</v>
      </c>
      <c r="O79" s="1">
        <f t="shared" si="3"/>
        <v>6</v>
      </c>
    </row>
    <row r="80" spans="1:15" hidden="1" x14ac:dyDescent="0.25">
      <c r="A80" s="14">
        <v>-77.775957500000018</v>
      </c>
      <c r="B80" s="16">
        <f t="shared" si="2"/>
        <v>-55.441662392500014</v>
      </c>
      <c r="C80" s="9" t="s">
        <v>761</v>
      </c>
      <c r="D80" s="9" t="s">
        <v>762</v>
      </c>
      <c r="E80" s="9" t="s">
        <v>185</v>
      </c>
      <c r="F80" s="9">
        <v>46.662630001950177</v>
      </c>
      <c r="G80" s="9">
        <v>6.3606640142461792</v>
      </c>
      <c r="H80" s="8">
        <v>4</v>
      </c>
      <c r="I80" s="8">
        <v>18</v>
      </c>
      <c r="J80" s="8">
        <v>10</v>
      </c>
      <c r="K80" s="8">
        <v>2015</v>
      </c>
      <c r="L80" s="8">
        <v>1</v>
      </c>
      <c r="M80" s="8">
        <v>304</v>
      </c>
      <c r="N80" s="1" t="s">
        <v>832</v>
      </c>
      <c r="O80" s="1">
        <f t="shared" si="3"/>
        <v>6</v>
      </c>
    </row>
    <row r="81" spans="1:15" hidden="1" x14ac:dyDescent="0.25">
      <c r="A81" s="14">
        <v>-87.466196200000027</v>
      </c>
      <c r="B81" s="16">
        <f t="shared" si="2"/>
        <v>-64.928406079800027</v>
      </c>
      <c r="C81" s="9" t="s">
        <v>361</v>
      </c>
      <c r="D81" s="9" t="s">
        <v>362</v>
      </c>
      <c r="E81" s="9" t="s">
        <v>15</v>
      </c>
      <c r="F81" s="9">
        <v>47.033170011097276</v>
      </c>
      <c r="G81" s="9">
        <v>6.8254223734540496</v>
      </c>
      <c r="H81" s="8">
        <v>6</v>
      </c>
      <c r="I81" s="8">
        <v>7</v>
      </c>
      <c r="J81" s="8">
        <v>11</v>
      </c>
      <c r="K81" s="8">
        <v>2015</v>
      </c>
      <c r="L81" s="8">
        <v>1</v>
      </c>
      <c r="M81" s="8">
        <v>305</v>
      </c>
      <c r="N81" s="1" t="s">
        <v>832</v>
      </c>
      <c r="O81" s="1">
        <f t="shared" si="3"/>
        <v>6</v>
      </c>
    </row>
    <row r="82" spans="1:15" hidden="1" x14ac:dyDescent="0.25">
      <c r="A82" s="13">
        <v>-85.327259200000015</v>
      </c>
      <c r="B82" s="16">
        <f t="shared" si="2"/>
        <v>-62.834386756800008</v>
      </c>
      <c r="C82" s="6" t="s">
        <v>232</v>
      </c>
      <c r="D82" s="6" t="s">
        <v>233</v>
      </c>
      <c r="E82" s="6" t="s">
        <v>15</v>
      </c>
      <c r="F82" s="7">
        <v>47.073641837279972</v>
      </c>
      <c r="G82" s="7">
        <v>6.8731488105405738</v>
      </c>
      <c r="H82" s="7">
        <v>6</v>
      </c>
      <c r="I82" s="7">
        <v>27</v>
      </c>
      <c r="J82" s="7">
        <v>10</v>
      </c>
      <c r="K82" s="7">
        <v>2014</v>
      </c>
      <c r="L82" s="7">
        <v>1</v>
      </c>
      <c r="M82" s="7">
        <v>305</v>
      </c>
      <c r="N82" s="1" t="s">
        <v>832</v>
      </c>
      <c r="O82" s="1">
        <f t="shared" si="3"/>
        <v>6</v>
      </c>
    </row>
    <row r="83" spans="1:15" hidden="1" x14ac:dyDescent="0.25">
      <c r="A83" s="14">
        <v>-84.366260000000025</v>
      </c>
      <c r="B83" s="16">
        <f t="shared" si="2"/>
        <v>-61.893568540000025</v>
      </c>
      <c r="C83" s="9" t="s">
        <v>790</v>
      </c>
      <c r="D83" s="9" t="s">
        <v>791</v>
      </c>
      <c r="E83" s="9" t="s">
        <v>185</v>
      </c>
      <c r="F83" s="9">
        <v>46.639911610617276</v>
      </c>
      <c r="G83" s="9">
        <v>6.2474795603822493</v>
      </c>
      <c r="H83" s="8">
        <v>4</v>
      </c>
      <c r="I83" s="8">
        <v>16</v>
      </c>
      <c r="J83" s="8">
        <v>11</v>
      </c>
      <c r="K83" s="8">
        <v>2015</v>
      </c>
      <c r="L83" s="8">
        <v>1</v>
      </c>
      <c r="M83" s="8">
        <v>310</v>
      </c>
      <c r="N83" s="1" t="s">
        <v>832</v>
      </c>
      <c r="O83" s="1">
        <f t="shared" si="3"/>
        <v>6</v>
      </c>
    </row>
    <row r="84" spans="1:15" hidden="1" x14ac:dyDescent="0.25">
      <c r="A84" s="11">
        <v>-86.460262</v>
      </c>
      <c r="B84" s="16">
        <f t="shared" si="2"/>
        <v>-63.943596497999998</v>
      </c>
      <c r="C84" s="1" t="s">
        <v>80</v>
      </c>
      <c r="D84" s="1" t="s">
        <v>81</v>
      </c>
      <c r="E84" s="1" t="s">
        <v>12</v>
      </c>
      <c r="F84" s="1">
        <v>46.663919697959756</v>
      </c>
      <c r="G84" s="1">
        <v>7.1777038211905051</v>
      </c>
      <c r="H84" s="1">
        <v>6</v>
      </c>
      <c r="I84" s="1">
        <v>14</v>
      </c>
      <c r="J84" s="1">
        <v>11</v>
      </c>
      <c r="K84" s="1">
        <v>2012</v>
      </c>
      <c r="L84" s="1">
        <v>1</v>
      </c>
      <c r="M84" s="1">
        <v>315</v>
      </c>
      <c r="N84" s="1" t="s">
        <v>832</v>
      </c>
      <c r="O84" s="1">
        <f t="shared" si="3"/>
        <v>6</v>
      </c>
    </row>
    <row r="85" spans="1:15" hidden="1" x14ac:dyDescent="0.25">
      <c r="A85" s="13">
        <v>-86.275330000000025</v>
      </c>
      <c r="B85" s="16">
        <f t="shared" si="2"/>
        <v>-63.76254807000003</v>
      </c>
      <c r="C85" s="6" t="s">
        <v>276</v>
      </c>
      <c r="D85" s="6" t="s">
        <v>277</v>
      </c>
      <c r="E85" s="6" t="s">
        <v>15</v>
      </c>
      <c r="F85" s="7">
        <v>46.967609512275679</v>
      </c>
      <c r="G85" s="7">
        <v>6.6473790651525277</v>
      </c>
      <c r="H85" s="7">
        <v>5</v>
      </c>
      <c r="I85" s="7">
        <v>11</v>
      </c>
      <c r="J85" s="7">
        <v>11</v>
      </c>
      <c r="K85" s="7">
        <v>2014</v>
      </c>
      <c r="L85" s="7">
        <v>1</v>
      </c>
      <c r="M85" s="7">
        <v>315</v>
      </c>
      <c r="N85" s="1" t="s">
        <v>832</v>
      </c>
      <c r="O85" s="1">
        <f t="shared" si="3"/>
        <v>6</v>
      </c>
    </row>
    <row r="86" spans="1:15" hidden="1" x14ac:dyDescent="0.25">
      <c r="A86" s="14">
        <v>-84.661210499999996</v>
      </c>
      <c r="B86" s="16">
        <f t="shared" si="2"/>
        <v>-62.182325079499996</v>
      </c>
      <c r="C86" s="9" t="s">
        <v>691</v>
      </c>
      <c r="D86" s="9" t="s">
        <v>692</v>
      </c>
      <c r="E86" s="9" t="s">
        <v>117</v>
      </c>
      <c r="F86" s="9">
        <v>46.215443921752751</v>
      </c>
      <c r="G86" s="9">
        <v>8.613228520554939</v>
      </c>
      <c r="H86" s="8">
        <v>6</v>
      </c>
      <c r="I86" s="8">
        <v>24</v>
      </c>
      <c r="J86" s="8">
        <v>11</v>
      </c>
      <c r="K86" s="8">
        <v>2015</v>
      </c>
      <c r="L86" s="8">
        <v>1</v>
      </c>
      <c r="M86" s="8">
        <v>318</v>
      </c>
      <c r="N86" s="1" t="s">
        <v>832</v>
      </c>
      <c r="O86" s="1">
        <f t="shared" si="3"/>
        <v>6</v>
      </c>
    </row>
    <row r="87" spans="1:15" hidden="1" x14ac:dyDescent="0.25">
      <c r="A87" s="14">
        <v>-86.296224999999978</v>
      </c>
      <c r="B87" s="16">
        <f t="shared" si="2"/>
        <v>-63.783004274999975</v>
      </c>
      <c r="C87" s="9" t="s">
        <v>516</v>
      </c>
      <c r="D87" s="9" t="s">
        <v>268</v>
      </c>
      <c r="E87" s="9" t="s">
        <v>117</v>
      </c>
      <c r="F87" s="9">
        <v>46.078048067717106</v>
      </c>
      <c r="G87" s="9">
        <v>9.0325272756258723</v>
      </c>
      <c r="H87" s="8">
        <v>5</v>
      </c>
      <c r="I87" s="8">
        <v>7</v>
      </c>
      <c r="J87" s="8">
        <v>11</v>
      </c>
      <c r="K87" s="8">
        <v>2015</v>
      </c>
      <c r="L87" s="8">
        <v>1</v>
      </c>
      <c r="M87" s="8">
        <v>320</v>
      </c>
      <c r="N87" s="1" t="s">
        <v>832</v>
      </c>
      <c r="O87" s="1">
        <f t="shared" si="3"/>
        <v>6</v>
      </c>
    </row>
    <row r="88" spans="1:15" hidden="1" x14ac:dyDescent="0.25">
      <c r="A88" s="14">
        <v>-82.272479500000017</v>
      </c>
      <c r="B88" s="16">
        <f t="shared" si="2"/>
        <v>-59.843757430500013</v>
      </c>
      <c r="C88" s="9" t="s">
        <v>439</v>
      </c>
      <c r="D88" s="9" t="s">
        <v>440</v>
      </c>
      <c r="E88" s="9" t="s">
        <v>117</v>
      </c>
      <c r="F88" s="9">
        <v>46.075295122090367</v>
      </c>
      <c r="G88" s="9">
        <v>9.0363253033845883</v>
      </c>
      <c r="H88" s="8">
        <v>4</v>
      </c>
      <c r="I88" s="8">
        <v>8</v>
      </c>
      <c r="J88" s="8">
        <v>11</v>
      </c>
      <c r="K88" s="8">
        <v>2015</v>
      </c>
      <c r="L88" s="8">
        <v>1</v>
      </c>
      <c r="M88" s="8">
        <v>320</v>
      </c>
      <c r="N88" s="1" t="s">
        <v>832</v>
      </c>
      <c r="O88" s="1">
        <f t="shared" si="3"/>
        <v>6</v>
      </c>
    </row>
    <row r="89" spans="1:15" hidden="1" x14ac:dyDescent="0.25">
      <c r="A89" s="14">
        <v>-81.540282499999975</v>
      </c>
      <c r="B89" s="16">
        <f t="shared" si="2"/>
        <v>-59.126936567499975</v>
      </c>
      <c r="C89" s="9" t="s">
        <v>515</v>
      </c>
      <c r="D89" s="9" t="s">
        <v>236</v>
      </c>
      <c r="E89" s="9" t="s">
        <v>117</v>
      </c>
      <c r="F89" s="9">
        <v>46.089934025730848</v>
      </c>
      <c r="G89" s="9">
        <v>9.0820138848920937</v>
      </c>
      <c r="H89" s="8">
        <v>5</v>
      </c>
      <c r="I89" s="8">
        <v>5</v>
      </c>
      <c r="J89" s="8">
        <v>11</v>
      </c>
      <c r="K89" s="8">
        <v>2015</v>
      </c>
      <c r="L89" s="8">
        <v>1</v>
      </c>
      <c r="M89" s="8">
        <v>320</v>
      </c>
      <c r="N89" s="1" t="s">
        <v>832</v>
      </c>
      <c r="O89" s="1">
        <f t="shared" si="3"/>
        <v>6</v>
      </c>
    </row>
    <row r="90" spans="1:15" hidden="1" x14ac:dyDescent="0.25">
      <c r="A90" s="14">
        <v>-84.709243300000011</v>
      </c>
      <c r="B90" s="16">
        <f t="shared" si="2"/>
        <v>-62.229349190700013</v>
      </c>
      <c r="C90" s="9" t="s">
        <v>383</v>
      </c>
      <c r="D90" s="9" t="s">
        <v>384</v>
      </c>
      <c r="E90" s="9" t="s">
        <v>15</v>
      </c>
      <c r="F90" s="9">
        <v>47.078266688454633</v>
      </c>
      <c r="G90" s="9">
        <v>6.8807767267383504</v>
      </c>
      <c r="H90" s="8">
        <v>6</v>
      </c>
      <c r="I90" s="9" t="s">
        <v>835</v>
      </c>
      <c r="J90" s="9" t="s">
        <v>835</v>
      </c>
      <c r="K90" s="8">
        <v>2015</v>
      </c>
      <c r="L90" s="8">
        <v>1</v>
      </c>
      <c r="M90" s="8">
        <v>326</v>
      </c>
      <c r="N90" s="1" t="s">
        <v>832</v>
      </c>
      <c r="O90" s="1">
        <f t="shared" si="3"/>
        <v>6</v>
      </c>
    </row>
    <row r="91" spans="1:15" hidden="1" x14ac:dyDescent="0.25">
      <c r="A91" s="11">
        <v>-82.168896400000008</v>
      </c>
      <c r="B91" s="16">
        <f t="shared" si="2"/>
        <v>-59.742349575600009</v>
      </c>
      <c r="C91" s="1" t="s">
        <v>92</v>
      </c>
      <c r="D91" s="1" t="s">
        <v>93</v>
      </c>
      <c r="E91" s="1" t="s">
        <v>15</v>
      </c>
      <c r="F91" s="1">
        <v>46.965865706703546</v>
      </c>
      <c r="G91" s="1">
        <v>6.6436728851051567</v>
      </c>
      <c r="H91" s="1">
        <v>5</v>
      </c>
      <c r="I91" s="1">
        <v>15</v>
      </c>
      <c r="J91" s="1">
        <v>11</v>
      </c>
      <c r="K91" s="1">
        <v>2012</v>
      </c>
      <c r="L91" s="1">
        <v>1</v>
      </c>
      <c r="M91" s="1">
        <v>330</v>
      </c>
      <c r="N91" s="1" t="s">
        <v>832</v>
      </c>
      <c r="O91" s="1">
        <f t="shared" si="3"/>
        <v>6</v>
      </c>
    </row>
    <row r="92" spans="1:15" hidden="1" x14ac:dyDescent="0.25">
      <c r="A92" s="13">
        <v>-78.739777600000025</v>
      </c>
      <c r="B92" s="16">
        <f t="shared" si="2"/>
        <v>-56.38524227040002</v>
      </c>
      <c r="C92" s="6" t="s">
        <v>287</v>
      </c>
      <c r="D92" s="6" t="s">
        <v>288</v>
      </c>
      <c r="E92" s="6" t="s">
        <v>185</v>
      </c>
      <c r="F92" s="7">
        <v>46.671582135771018</v>
      </c>
      <c r="G92" s="7">
        <v>6.265078441495084</v>
      </c>
      <c r="H92" s="7">
        <v>5</v>
      </c>
      <c r="I92" s="7">
        <v>14</v>
      </c>
      <c r="J92" s="7">
        <v>11</v>
      </c>
      <c r="K92" s="7">
        <v>2014</v>
      </c>
      <c r="L92" s="7">
        <v>1</v>
      </c>
      <c r="M92" s="7">
        <v>332</v>
      </c>
      <c r="N92" s="1" t="s">
        <v>832</v>
      </c>
      <c r="O92" s="1">
        <f t="shared" si="3"/>
        <v>6</v>
      </c>
    </row>
    <row r="93" spans="1:15" hidden="1" x14ac:dyDescent="0.25">
      <c r="A93" s="13">
        <v>-80.963612800000021</v>
      </c>
      <c r="B93" s="16">
        <f t="shared" si="2"/>
        <v>-58.562376931200014</v>
      </c>
      <c r="C93" s="6" t="s">
        <v>292</v>
      </c>
      <c r="D93" s="6" t="s">
        <v>293</v>
      </c>
      <c r="E93" s="6" t="s">
        <v>185</v>
      </c>
      <c r="F93" s="7">
        <v>46.847574982002826</v>
      </c>
      <c r="G93" s="7">
        <v>6.459614116872908</v>
      </c>
      <c r="H93" s="7">
        <v>6</v>
      </c>
      <c r="I93" s="7">
        <v>17</v>
      </c>
      <c r="J93" s="7">
        <v>11</v>
      </c>
      <c r="K93" s="7">
        <v>2014</v>
      </c>
      <c r="L93" s="7">
        <v>1</v>
      </c>
      <c r="M93" s="7">
        <v>335</v>
      </c>
      <c r="N93" s="1" t="s">
        <v>832</v>
      </c>
      <c r="O93" s="1">
        <f t="shared" si="3"/>
        <v>6</v>
      </c>
    </row>
    <row r="94" spans="1:15" hidden="1" x14ac:dyDescent="0.25">
      <c r="A94" s="13">
        <v>-83.777286000000004</v>
      </c>
      <c r="B94" s="16">
        <f t="shared" si="2"/>
        <v>-61.316962994000001</v>
      </c>
      <c r="C94" s="6" t="s">
        <v>278</v>
      </c>
      <c r="D94" s="6" t="s">
        <v>279</v>
      </c>
      <c r="E94" s="6" t="s">
        <v>185</v>
      </c>
      <c r="F94" s="7">
        <v>46.516327143898948</v>
      </c>
      <c r="G94" s="7">
        <v>6.2163138780322384</v>
      </c>
      <c r="H94" s="7">
        <v>4</v>
      </c>
      <c r="I94" s="7">
        <v>11</v>
      </c>
      <c r="J94" s="7">
        <v>11</v>
      </c>
      <c r="K94" s="7">
        <v>2014</v>
      </c>
      <c r="L94" s="7">
        <v>1</v>
      </c>
      <c r="M94" s="7">
        <v>336</v>
      </c>
      <c r="N94" s="1" t="s">
        <v>832</v>
      </c>
      <c r="O94" s="1">
        <f t="shared" si="3"/>
        <v>6</v>
      </c>
    </row>
    <row r="95" spans="1:15" hidden="1" x14ac:dyDescent="0.25">
      <c r="A95" s="14">
        <v>-86.363784999999993</v>
      </c>
      <c r="B95" s="16">
        <f t="shared" si="2"/>
        <v>-63.849145514999996</v>
      </c>
      <c r="C95" s="9" t="s">
        <v>539</v>
      </c>
      <c r="D95" s="9" t="s">
        <v>540</v>
      </c>
      <c r="E95" s="9" t="s">
        <v>117</v>
      </c>
      <c r="F95" s="9">
        <v>46.49721187109521</v>
      </c>
      <c r="G95" s="9">
        <v>8.7665490243946973</v>
      </c>
      <c r="H95" s="8">
        <v>5</v>
      </c>
      <c r="I95" s="8">
        <v>24</v>
      </c>
      <c r="J95" s="8">
        <v>10</v>
      </c>
      <c r="K95" s="8">
        <v>2015</v>
      </c>
      <c r="L95" s="8">
        <v>1</v>
      </c>
      <c r="M95" s="8">
        <v>340</v>
      </c>
      <c r="N95" s="1" t="s">
        <v>832</v>
      </c>
      <c r="O95" s="1">
        <f t="shared" si="3"/>
        <v>6</v>
      </c>
    </row>
    <row r="96" spans="1:15" hidden="1" x14ac:dyDescent="0.25">
      <c r="A96" s="14">
        <v>-77.589863200000011</v>
      </c>
      <c r="B96" s="16">
        <f t="shared" si="2"/>
        <v>-55.259476072800005</v>
      </c>
      <c r="C96" s="9" t="s">
        <v>800</v>
      </c>
      <c r="D96" s="9" t="s">
        <v>801</v>
      </c>
      <c r="E96" s="9" t="s">
        <v>185</v>
      </c>
      <c r="F96" s="9">
        <v>46.566124276920739</v>
      </c>
      <c r="G96" s="9">
        <v>6.3351942755511423</v>
      </c>
      <c r="H96" s="8">
        <v>4</v>
      </c>
      <c r="I96" s="8">
        <v>9</v>
      </c>
      <c r="J96" s="8">
        <v>11</v>
      </c>
      <c r="K96" s="8">
        <v>2015</v>
      </c>
      <c r="L96" s="8">
        <v>1</v>
      </c>
      <c r="M96" s="8">
        <v>340</v>
      </c>
      <c r="N96" s="1" t="s">
        <v>832</v>
      </c>
      <c r="O96" s="1">
        <f t="shared" si="3"/>
        <v>6</v>
      </c>
    </row>
    <row r="97" spans="1:15" hidden="1" x14ac:dyDescent="0.25">
      <c r="A97" s="11">
        <v>-81.857679599999997</v>
      </c>
      <c r="B97" s="16">
        <f t="shared" si="2"/>
        <v>-59.437668328400001</v>
      </c>
      <c r="C97" s="1" t="s">
        <v>38</v>
      </c>
      <c r="D97" s="1" t="s">
        <v>39</v>
      </c>
      <c r="E97" s="1" t="s">
        <v>15</v>
      </c>
      <c r="F97" s="1">
        <v>46.935024487595243</v>
      </c>
      <c r="G97" s="1">
        <v>6.5771512767371165</v>
      </c>
      <c r="H97" s="1">
        <v>6</v>
      </c>
      <c r="I97" s="1">
        <v>25</v>
      </c>
      <c r="J97" s="1">
        <v>10</v>
      </c>
      <c r="K97" s="1">
        <v>2012</v>
      </c>
      <c r="L97" s="1">
        <v>1</v>
      </c>
      <c r="M97" s="1">
        <v>345</v>
      </c>
      <c r="N97" s="1" t="s">
        <v>832</v>
      </c>
      <c r="O97" s="1">
        <f t="shared" si="3"/>
        <v>6</v>
      </c>
    </row>
    <row r="98" spans="1:15" hidden="1" x14ac:dyDescent="0.25">
      <c r="A98" s="14">
        <v>-82.595028800000009</v>
      </c>
      <c r="B98" s="16">
        <f t="shared" si="2"/>
        <v>-60.159533195200005</v>
      </c>
      <c r="C98" s="9" t="s">
        <v>796</v>
      </c>
      <c r="D98" s="9" t="s">
        <v>797</v>
      </c>
      <c r="E98" s="9" t="s">
        <v>185</v>
      </c>
      <c r="F98" s="9">
        <v>46.565597493034915</v>
      </c>
      <c r="G98" s="9">
        <v>6.3743362207210748</v>
      </c>
      <c r="H98" s="8">
        <v>4</v>
      </c>
      <c r="I98" s="8">
        <v>14</v>
      </c>
      <c r="J98" s="8">
        <v>12</v>
      </c>
      <c r="K98" s="8">
        <v>2015</v>
      </c>
      <c r="L98" s="8">
        <v>1</v>
      </c>
      <c r="M98" s="8">
        <v>348</v>
      </c>
      <c r="N98" s="1" t="s">
        <v>832</v>
      </c>
      <c r="O98" s="1">
        <f t="shared" si="3"/>
        <v>6</v>
      </c>
    </row>
    <row r="99" spans="1:15" hidden="1" x14ac:dyDescent="0.25">
      <c r="A99" s="14">
        <v>-82.273589999999999</v>
      </c>
      <c r="B99" s="16">
        <f t="shared" si="2"/>
        <v>-59.844844610000003</v>
      </c>
      <c r="C99" s="9" t="s">
        <v>490</v>
      </c>
      <c r="D99" s="9" t="s">
        <v>238</v>
      </c>
      <c r="E99" s="9" t="s">
        <v>117</v>
      </c>
      <c r="F99" s="9">
        <v>46.077794639267516</v>
      </c>
      <c r="G99" s="9">
        <v>8.8489388416581694</v>
      </c>
      <c r="H99" s="8">
        <v>4</v>
      </c>
      <c r="I99" s="8">
        <v>15</v>
      </c>
      <c r="J99" s="8">
        <v>11</v>
      </c>
      <c r="K99" s="8">
        <v>2015</v>
      </c>
      <c r="L99" s="8">
        <v>1</v>
      </c>
      <c r="M99" s="8">
        <v>354</v>
      </c>
      <c r="N99" s="1" t="s">
        <v>832</v>
      </c>
      <c r="O99" s="1">
        <f t="shared" si="3"/>
        <v>6</v>
      </c>
    </row>
    <row r="100" spans="1:15" hidden="1" x14ac:dyDescent="0.25">
      <c r="A100" s="14">
        <v>-78.77391999999999</v>
      </c>
      <c r="B100" s="16">
        <f t="shared" si="2"/>
        <v>-56.418667679999992</v>
      </c>
      <c r="C100" s="9" t="s">
        <v>769</v>
      </c>
      <c r="D100" s="9" t="s">
        <v>770</v>
      </c>
      <c r="E100" s="9" t="s">
        <v>185</v>
      </c>
      <c r="F100" s="9">
        <v>46.651010756636396</v>
      </c>
      <c r="G100" s="9">
        <v>6.3687344387936511</v>
      </c>
      <c r="H100" s="8">
        <v>4</v>
      </c>
      <c r="I100" s="8">
        <v>9</v>
      </c>
      <c r="J100" s="8">
        <v>11</v>
      </c>
      <c r="K100" s="8">
        <v>2015</v>
      </c>
      <c r="L100" s="8">
        <v>1</v>
      </c>
      <c r="M100" s="8">
        <v>360</v>
      </c>
      <c r="N100" s="1" t="s">
        <v>832</v>
      </c>
      <c r="O100" s="1">
        <f t="shared" si="3"/>
        <v>6</v>
      </c>
    </row>
    <row r="101" spans="1:15" hidden="1" x14ac:dyDescent="0.25">
      <c r="A101" s="11">
        <v>-84.672277199999996</v>
      </c>
      <c r="B101" s="16">
        <f t="shared" si="2"/>
        <v>-62.193159378799997</v>
      </c>
      <c r="C101" s="1" t="s">
        <v>175</v>
      </c>
      <c r="D101" s="1" t="s">
        <v>176</v>
      </c>
      <c r="E101" s="1" t="s">
        <v>12</v>
      </c>
      <c r="F101" s="1">
        <v>46.759853977277793</v>
      </c>
      <c r="G101" s="1">
        <v>6.9797433663125421</v>
      </c>
      <c r="H101" s="1">
        <v>3</v>
      </c>
      <c r="I101" s="1">
        <v>19</v>
      </c>
      <c r="J101" s="1">
        <v>11</v>
      </c>
      <c r="K101" s="1">
        <v>2013</v>
      </c>
      <c r="L101" s="1">
        <v>1</v>
      </c>
      <c r="M101" s="1">
        <v>363</v>
      </c>
      <c r="N101" s="1" t="s">
        <v>832</v>
      </c>
      <c r="O101" s="1">
        <f t="shared" si="3"/>
        <v>6</v>
      </c>
    </row>
    <row r="102" spans="1:15" hidden="1" x14ac:dyDescent="0.25">
      <c r="A102" s="11">
        <v>-82.1517652</v>
      </c>
      <c r="B102" s="16">
        <f t="shared" si="2"/>
        <v>-59.725578130799995</v>
      </c>
      <c r="C102" s="1" t="s">
        <v>96</v>
      </c>
      <c r="D102" s="1" t="s">
        <v>97</v>
      </c>
      <c r="E102" s="1" t="s">
        <v>15</v>
      </c>
      <c r="F102" s="1">
        <v>46.95581915801327</v>
      </c>
      <c r="G102" s="1">
        <v>6.6221439372702839</v>
      </c>
      <c r="H102" s="1">
        <v>5</v>
      </c>
      <c r="I102" s="1">
        <v>16</v>
      </c>
      <c r="J102" s="1">
        <v>11</v>
      </c>
      <c r="K102" s="1">
        <v>2012</v>
      </c>
      <c r="L102" s="1">
        <v>1</v>
      </c>
      <c r="M102" s="1">
        <v>365</v>
      </c>
      <c r="N102" s="1" t="s">
        <v>832</v>
      </c>
      <c r="O102" s="1">
        <f t="shared" si="3"/>
        <v>6</v>
      </c>
    </row>
    <row r="103" spans="1:15" hidden="1" x14ac:dyDescent="0.25">
      <c r="A103" s="11">
        <v>-79.692010400000001</v>
      </c>
      <c r="B103" s="16">
        <f t="shared" si="2"/>
        <v>-57.317478181600002</v>
      </c>
      <c r="C103" s="1" t="s">
        <v>60</v>
      </c>
      <c r="D103" s="1" t="s">
        <v>61</v>
      </c>
      <c r="E103" s="1" t="s">
        <v>12</v>
      </c>
      <c r="F103" s="1">
        <v>46.682877595575391</v>
      </c>
      <c r="G103" s="1">
        <v>6.9471838205242769</v>
      </c>
      <c r="H103" s="1">
        <v>6</v>
      </c>
      <c r="I103" s="1">
        <v>6</v>
      </c>
      <c r="J103" s="1">
        <v>11</v>
      </c>
      <c r="K103" s="1">
        <v>2012</v>
      </c>
      <c r="L103" s="1">
        <v>1</v>
      </c>
      <c r="M103" s="1">
        <v>400</v>
      </c>
      <c r="N103" s="1" t="s">
        <v>832</v>
      </c>
      <c r="O103" s="1">
        <f t="shared" si="3"/>
        <v>6</v>
      </c>
    </row>
    <row r="104" spans="1:15" hidden="1" x14ac:dyDescent="0.25">
      <c r="A104" s="14">
        <v>-85.460957000000022</v>
      </c>
      <c r="B104" s="16">
        <f t="shared" si="2"/>
        <v>-62.965276903000024</v>
      </c>
      <c r="C104" s="9" t="s">
        <v>711</v>
      </c>
      <c r="D104" s="9" t="s">
        <v>712</v>
      </c>
      <c r="E104" s="9" t="s">
        <v>117</v>
      </c>
      <c r="F104" s="9">
        <v>46.050086862714501</v>
      </c>
      <c r="G104" s="9">
        <v>8.8371759053116055</v>
      </c>
      <c r="H104" s="8">
        <v>5</v>
      </c>
      <c r="I104" s="8">
        <v>27</v>
      </c>
      <c r="J104" s="8">
        <v>10</v>
      </c>
      <c r="K104" s="8">
        <v>2015</v>
      </c>
      <c r="L104" s="8">
        <v>1</v>
      </c>
      <c r="M104" s="9" t="s">
        <v>835</v>
      </c>
      <c r="N104" s="1" t="s">
        <v>832</v>
      </c>
      <c r="O104" s="1">
        <f t="shared" si="3"/>
        <v>6</v>
      </c>
    </row>
    <row r="105" spans="1:15" hidden="1" x14ac:dyDescent="0.25">
      <c r="A105" s="14">
        <v>-84.001867000000018</v>
      </c>
      <c r="B105" s="16">
        <f t="shared" si="2"/>
        <v>-61.536827793000022</v>
      </c>
      <c r="C105" s="9" t="s">
        <v>705</v>
      </c>
      <c r="D105" s="9" t="s">
        <v>706</v>
      </c>
      <c r="E105" s="9" t="s">
        <v>117</v>
      </c>
      <c r="F105" s="9">
        <v>46.02745639576019</v>
      </c>
      <c r="G105" s="9">
        <v>8.8236163506207284</v>
      </c>
      <c r="H105" s="8">
        <v>5</v>
      </c>
      <c r="I105" s="8">
        <v>16</v>
      </c>
      <c r="J105" s="8">
        <v>10</v>
      </c>
      <c r="K105" s="8">
        <v>2015</v>
      </c>
      <c r="L105" s="8">
        <v>1</v>
      </c>
      <c r="M105" s="9" t="s">
        <v>835</v>
      </c>
      <c r="N105" s="1" t="s">
        <v>832</v>
      </c>
      <c r="O105" s="1">
        <f t="shared" si="3"/>
        <v>6</v>
      </c>
    </row>
    <row r="106" spans="1:15" hidden="1" x14ac:dyDescent="0.25">
      <c r="A106" s="11">
        <v>-93.817870400000004</v>
      </c>
      <c r="B106" s="16">
        <f t="shared" si="2"/>
        <v>-71.146695121600004</v>
      </c>
      <c r="C106" s="1" t="s">
        <v>818</v>
      </c>
      <c r="D106" s="1" t="s">
        <v>819</v>
      </c>
      <c r="E106" s="1" t="s">
        <v>15</v>
      </c>
      <c r="F106" s="1">
        <v>46.939315999999998</v>
      </c>
      <c r="G106" s="1">
        <v>6.7455800000000004</v>
      </c>
      <c r="H106" s="1">
        <v>6</v>
      </c>
      <c r="I106" s="1">
        <v>20</v>
      </c>
      <c r="J106" s="1">
        <v>6</v>
      </c>
      <c r="K106" s="1">
        <v>2015</v>
      </c>
      <c r="L106" s="1">
        <v>1</v>
      </c>
      <c r="M106" s="1">
        <v>122</v>
      </c>
      <c r="N106" s="1" t="s">
        <v>817</v>
      </c>
      <c r="O106" s="1">
        <f t="shared" si="3"/>
        <v>7</v>
      </c>
    </row>
    <row r="107" spans="1:15" hidden="1" x14ac:dyDescent="0.25">
      <c r="A107" s="14">
        <v>-97.049852000000001</v>
      </c>
      <c r="B107" s="16">
        <f t="shared" si="2"/>
        <v>-74.310805108000011</v>
      </c>
      <c r="C107" s="9" t="s">
        <v>581</v>
      </c>
      <c r="D107" s="9" t="s">
        <v>582</v>
      </c>
      <c r="E107" s="9" t="s">
        <v>117</v>
      </c>
      <c r="F107" s="9">
        <v>46.28757117474332</v>
      </c>
      <c r="G107" s="9">
        <v>9.020263868360388</v>
      </c>
      <c r="H107" s="8">
        <v>6</v>
      </c>
      <c r="I107" s="8">
        <v>21</v>
      </c>
      <c r="J107" s="8">
        <v>11</v>
      </c>
      <c r="K107" s="8">
        <v>2015</v>
      </c>
      <c r="L107" s="8">
        <v>1</v>
      </c>
      <c r="M107" s="8">
        <v>250</v>
      </c>
      <c r="N107" s="1" t="s">
        <v>832</v>
      </c>
      <c r="O107" s="1">
        <f t="shared" si="3"/>
        <v>7</v>
      </c>
    </row>
    <row r="108" spans="1:15" hidden="1" x14ac:dyDescent="0.25">
      <c r="A108" s="11">
        <v>-88.661251399999998</v>
      </c>
      <c r="B108" s="16">
        <f t="shared" si="2"/>
        <v>-66.098365120599993</v>
      </c>
      <c r="C108" s="1" t="s">
        <v>820</v>
      </c>
      <c r="D108" s="1" t="s">
        <v>821</v>
      </c>
      <c r="E108" s="1" t="s">
        <v>15</v>
      </c>
      <c r="F108" s="1">
        <v>46.939315999999998</v>
      </c>
      <c r="G108" s="1">
        <v>6.7455800000000004</v>
      </c>
      <c r="H108" s="1">
        <v>6</v>
      </c>
      <c r="I108" s="1">
        <v>19</v>
      </c>
      <c r="J108" s="1">
        <v>6</v>
      </c>
      <c r="K108" s="1">
        <v>2015</v>
      </c>
      <c r="L108" s="1">
        <v>1</v>
      </c>
      <c r="M108" s="1">
        <v>255</v>
      </c>
      <c r="N108" s="2" t="s">
        <v>833</v>
      </c>
      <c r="O108" s="1">
        <f t="shared" si="3"/>
        <v>7</v>
      </c>
    </row>
    <row r="109" spans="1:15" hidden="1" x14ac:dyDescent="0.25">
      <c r="A109" s="13">
        <v>-97.039026199999995</v>
      </c>
      <c r="B109" s="16">
        <f t="shared" si="2"/>
        <v>-74.300206649800003</v>
      </c>
      <c r="C109" s="6" t="s">
        <v>235</v>
      </c>
      <c r="D109" s="6" t="s">
        <v>236</v>
      </c>
      <c r="E109" s="6" t="s">
        <v>117</v>
      </c>
      <c r="F109" s="7">
        <v>46.089753461569863</v>
      </c>
      <c r="G109" s="7">
        <v>9.0477400999852673</v>
      </c>
      <c r="H109" s="7">
        <v>5</v>
      </c>
      <c r="I109" s="7">
        <v>28</v>
      </c>
      <c r="J109" s="7">
        <v>10</v>
      </c>
      <c r="K109" s="7">
        <v>2014</v>
      </c>
      <c r="L109" s="7">
        <v>1</v>
      </c>
      <c r="M109" s="7">
        <v>270</v>
      </c>
      <c r="N109" s="1" t="s">
        <v>832</v>
      </c>
      <c r="O109" s="1">
        <f t="shared" si="3"/>
        <v>7</v>
      </c>
    </row>
    <row r="110" spans="1:15" hidden="1" x14ac:dyDescent="0.25">
      <c r="A110" s="14">
        <v>-91.308182000000002</v>
      </c>
      <c r="B110" s="16">
        <f t="shared" si="2"/>
        <v>-68.689710178000013</v>
      </c>
      <c r="C110" s="9" t="s">
        <v>649</v>
      </c>
      <c r="D110" s="9" t="s">
        <v>650</v>
      </c>
      <c r="E110" s="9" t="s">
        <v>117</v>
      </c>
      <c r="F110" s="9">
        <v>46.04415820257865</v>
      </c>
      <c r="G110" s="9">
        <v>8.8708229826650857</v>
      </c>
      <c r="H110" s="8">
        <v>5</v>
      </c>
      <c r="I110" s="8">
        <v>16</v>
      </c>
      <c r="J110" s="8">
        <v>10</v>
      </c>
      <c r="K110" s="8">
        <v>2015</v>
      </c>
      <c r="L110" s="8">
        <v>1</v>
      </c>
      <c r="M110" s="8">
        <v>271</v>
      </c>
      <c r="N110" s="1" t="s">
        <v>832</v>
      </c>
      <c r="O110" s="1">
        <f t="shared" si="3"/>
        <v>7</v>
      </c>
    </row>
    <row r="111" spans="1:15" hidden="1" x14ac:dyDescent="0.25">
      <c r="A111" s="14">
        <v>-96.408261499999995</v>
      </c>
      <c r="B111" s="16">
        <f t="shared" si="2"/>
        <v>-73.68268800849998</v>
      </c>
      <c r="C111" s="9" t="s">
        <v>735</v>
      </c>
      <c r="D111" s="9" t="s">
        <v>736</v>
      </c>
      <c r="E111" s="9" t="s">
        <v>117</v>
      </c>
      <c r="F111" s="9">
        <v>46.135189775480562</v>
      </c>
      <c r="G111" s="9">
        <v>8.933249532565938</v>
      </c>
      <c r="H111" s="8">
        <v>5</v>
      </c>
      <c r="I111" s="8">
        <v>24</v>
      </c>
      <c r="J111" s="8">
        <v>10</v>
      </c>
      <c r="K111" s="8">
        <v>2015</v>
      </c>
      <c r="L111" s="8">
        <v>1</v>
      </c>
      <c r="M111" s="8">
        <v>275</v>
      </c>
      <c r="N111" s="1" t="s">
        <v>832</v>
      </c>
      <c r="O111" s="1">
        <f t="shared" si="3"/>
        <v>7</v>
      </c>
    </row>
    <row r="112" spans="1:15" hidden="1" x14ac:dyDescent="0.25">
      <c r="A112" s="14">
        <v>-91.467866900000004</v>
      </c>
      <c r="B112" s="16">
        <f t="shared" si="2"/>
        <v>-68.846041695100013</v>
      </c>
      <c r="C112" s="9" t="s">
        <v>367</v>
      </c>
      <c r="D112" s="9" t="s">
        <v>368</v>
      </c>
      <c r="E112" s="9" t="s">
        <v>15</v>
      </c>
      <c r="F112" s="9">
        <v>46.955021234871026</v>
      </c>
      <c r="G112" s="9">
        <v>6.5806406415996133</v>
      </c>
      <c r="H112" s="8">
        <v>6</v>
      </c>
      <c r="I112" s="8">
        <v>16</v>
      </c>
      <c r="J112" s="8">
        <v>10</v>
      </c>
      <c r="K112" s="8">
        <v>2015</v>
      </c>
      <c r="L112" s="8">
        <v>1</v>
      </c>
      <c r="M112" s="8">
        <v>275</v>
      </c>
      <c r="N112" s="1" t="s">
        <v>832</v>
      </c>
      <c r="O112" s="1">
        <f t="shared" si="3"/>
        <v>7</v>
      </c>
    </row>
    <row r="113" spans="1:15" hidden="1" x14ac:dyDescent="0.25">
      <c r="A113" s="14">
        <v>-97.109922999999995</v>
      </c>
      <c r="B113" s="16">
        <f t="shared" si="2"/>
        <v>-74.369614616999996</v>
      </c>
      <c r="C113" s="9" t="s">
        <v>637</v>
      </c>
      <c r="D113" s="9" t="s">
        <v>638</v>
      </c>
      <c r="E113" s="9" t="s">
        <v>117</v>
      </c>
      <c r="F113" s="9">
        <v>46.049987741728479</v>
      </c>
      <c r="G113" s="9">
        <v>8.8772168443160027</v>
      </c>
      <c r="H113" s="8">
        <v>5</v>
      </c>
      <c r="I113" s="8">
        <v>10</v>
      </c>
      <c r="J113" s="8">
        <v>11</v>
      </c>
      <c r="K113" s="8">
        <v>2015</v>
      </c>
      <c r="L113" s="8">
        <v>1</v>
      </c>
      <c r="M113" s="8">
        <v>277</v>
      </c>
      <c r="N113" s="1" t="s">
        <v>832</v>
      </c>
      <c r="O113" s="1">
        <f t="shared" si="3"/>
        <v>7</v>
      </c>
    </row>
    <row r="114" spans="1:15" hidden="1" x14ac:dyDescent="0.25">
      <c r="A114" s="11">
        <v>-89.690176799999989</v>
      </c>
      <c r="B114" s="16">
        <f t="shared" si="2"/>
        <v>-67.105683087199992</v>
      </c>
      <c r="C114" s="1" t="s">
        <v>137</v>
      </c>
      <c r="D114" s="1" t="s">
        <v>43</v>
      </c>
      <c r="E114" s="1" t="s">
        <v>12</v>
      </c>
      <c r="F114" s="1">
        <v>46.65203627369052</v>
      </c>
      <c r="G114" s="1">
        <v>6.9990524610422247</v>
      </c>
      <c r="H114" s="1">
        <v>6</v>
      </c>
      <c r="I114" s="1">
        <v>2</v>
      </c>
      <c r="J114" s="1">
        <v>11</v>
      </c>
      <c r="K114" s="1">
        <v>2013</v>
      </c>
      <c r="L114" s="1">
        <v>1</v>
      </c>
      <c r="M114" s="1">
        <v>277</v>
      </c>
      <c r="N114" s="1" t="s">
        <v>832</v>
      </c>
      <c r="O114" s="1">
        <f t="shared" si="3"/>
        <v>7</v>
      </c>
    </row>
    <row r="115" spans="1:15" hidden="1" x14ac:dyDescent="0.25">
      <c r="A115" s="14">
        <v>-97.44644000000001</v>
      </c>
      <c r="B115" s="16">
        <f t="shared" si="2"/>
        <v>-74.699064759999999</v>
      </c>
      <c r="C115" s="9" t="s">
        <v>503</v>
      </c>
      <c r="D115" s="9" t="s">
        <v>273</v>
      </c>
      <c r="E115" s="9" t="s">
        <v>117</v>
      </c>
      <c r="F115" s="9">
        <v>46.089149254326244</v>
      </c>
      <c r="G115" s="9">
        <v>8.9449200719491415</v>
      </c>
      <c r="H115" s="8">
        <v>5</v>
      </c>
      <c r="I115" s="8">
        <v>4</v>
      </c>
      <c r="J115" s="8">
        <v>11</v>
      </c>
      <c r="K115" s="8">
        <v>2015</v>
      </c>
      <c r="L115" s="8">
        <v>1</v>
      </c>
      <c r="M115" s="8">
        <v>278</v>
      </c>
      <c r="N115" s="1" t="s">
        <v>832</v>
      </c>
      <c r="O115" s="1">
        <f t="shared" si="3"/>
        <v>7</v>
      </c>
    </row>
    <row r="116" spans="1:15" hidden="1" x14ac:dyDescent="0.25">
      <c r="A116" s="14">
        <v>-93.629299999999986</v>
      </c>
      <c r="B116" s="16">
        <f t="shared" si="2"/>
        <v>-70.962084699999991</v>
      </c>
      <c r="C116" s="9" t="s">
        <v>521</v>
      </c>
      <c r="D116" s="9" t="s">
        <v>522</v>
      </c>
      <c r="E116" s="9" t="s">
        <v>117</v>
      </c>
      <c r="F116" s="9">
        <v>46.519505485172573</v>
      </c>
      <c r="G116" s="9">
        <v>8.5748590612121909</v>
      </c>
      <c r="H116" s="8">
        <v>6</v>
      </c>
      <c r="I116" s="8">
        <v>7</v>
      </c>
      <c r="J116" s="8">
        <v>11</v>
      </c>
      <c r="K116" s="8">
        <v>2015</v>
      </c>
      <c r="L116" s="8">
        <v>1</v>
      </c>
      <c r="M116" s="8">
        <v>280</v>
      </c>
      <c r="N116" s="1" t="s">
        <v>832</v>
      </c>
      <c r="O116" s="1">
        <f t="shared" si="3"/>
        <v>7</v>
      </c>
    </row>
    <row r="117" spans="1:15" hidden="1" x14ac:dyDescent="0.25">
      <c r="A117" s="14">
        <v>-91.141772499999988</v>
      </c>
      <c r="B117" s="16">
        <f t="shared" si="2"/>
        <v>-68.526795277499986</v>
      </c>
      <c r="C117" s="9" t="s">
        <v>771</v>
      </c>
      <c r="D117" s="9" t="s">
        <v>772</v>
      </c>
      <c r="E117" s="9" t="s">
        <v>15</v>
      </c>
      <c r="F117" s="9">
        <v>46.903182570958542</v>
      </c>
      <c r="G117" s="9">
        <v>6.5470139687531717</v>
      </c>
      <c r="H117" s="8">
        <v>5</v>
      </c>
      <c r="I117" s="8">
        <v>30</v>
      </c>
      <c r="J117" s="8">
        <v>10</v>
      </c>
      <c r="K117" s="8">
        <v>2015</v>
      </c>
      <c r="L117" s="8">
        <v>1</v>
      </c>
      <c r="M117" s="8">
        <v>280</v>
      </c>
      <c r="N117" s="1" t="s">
        <v>832</v>
      </c>
      <c r="O117" s="1">
        <f t="shared" si="3"/>
        <v>7</v>
      </c>
    </row>
    <row r="118" spans="1:15" hidden="1" x14ac:dyDescent="0.25">
      <c r="A118" s="14">
        <v>-90.278042500000012</v>
      </c>
      <c r="B118" s="16">
        <f t="shared" si="2"/>
        <v>-67.681203607500009</v>
      </c>
      <c r="C118" s="9" t="s">
        <v>501</v>
      </c>
      <c r="D118" s="9" t="s">
        <v>169</v>
      </c>
      <c r="E118" s="9" t="s">
        <v>117</v>
      </c>
      <c r="F118" s="9">
        <v>46.103261141493221</v>
      </c>
      <c r="G118" s="9">
        <v>8.9660044169011872</v>
      </c>
      <c r="H118" s="8">
        <v>5</v>
      </c>
      <c r="I118" s="8">
        <v>3</v>
      </c>
      <c r="J118" s="8">
        <v>11</v>
      </c>
      <c r="K118" s="8">
        <v>2015</v>
      </c>
      <c r="L118" s="8">
        <v>1</v>
      </c>
      <c r="M118" s="8">
        <v>283</v>
      </c>
      <c r="N118" s="1" t="s">
        <v>832</v>
      </c>
      <c r="O118" s="1">
        <f t="shared" si="3"/>
        <v>7</v>
      </c>
    </row>
    <row r="119" spans="1:15" hidden="1" x14ac:dyDescent="0.25">
      <c r="A119" s="13">
        <v>-97.349008699999985</v>
      </c>
      <c r="B119" s="16">
        <f t="shared" si="2"/>
        <v>-74.60367951729998</v>
      </c>
      <c r="C119" s="6" t="s">
        <v>256</v>
      </c>
      <c r="D119" s="6" t="s">
        <v>257</v>
      </c>
      <c r="E119" s="6" t="s">
        <v>12</v>
      </c>
      <c r="F119" s="7">
        <v>46.70339224003456</v>
      </c>
      <c r="G119" s="7">
        <v>7.2742220149348071</v>
      </c>
      <c r="H119" s="7">
        <v>4</v>
      </c>
      <c r="I119" s="7">
        <v>30</v>
      </c>
      <c r="J119" s="7">
        <v>10</v>
      </c>
      <c r="K119" s="7">
        <v>2014</v>
      </c>
      <c r="L119" s="7">
        <v>1</v>
      </c>
      <c r="M119" s="7">
        <v>284</v>
      </c>
      <c r="N119" s="1" t="s">
        <v>832</v>
      </c>
      <c r="O119" s="1">
        <f t="shared" si="3"/>
        <v>7</v>
      </c>
    </row>
    <row r="120" spans="1:15" hidden="1" x14ac:dyDescent="0.25">
      <c r="A120" s="13">
        <v>-95.610396400000013</v>
      </c>
      <c r="B120" s="16">
        <f t="shared" si="2"/>
        <v>-72.901578075600014</v>
      </c>
      <c r="C120" s="6" t="s">
        <v>261</v>
      </c>
      <c r="D120" s="6" t="s">
        <v>262</v>
      </c>
      <c r="E120" s="6" t="s">
        <v>15</v>
      </c>
      <c r="F120" s="7">
        <v>46.971571850532797</v>
      </c>
      <c r="G120" s="7">
        <v>6.7618634354452087</v>
      </c>
      <c r="H120" s="7">
        <v>6</v>
      </c>
      <c r="I120" s="7">
        <v>3</v>
      </c>
      <c r="J120" s="7">
        <v>11</v>
      </c>
      <c r="K120" s="7">
        <v>2014</v>
      </c>
      <c r="L120" s="7">
        <v>1</v>
      </c>
      <c r="M120" s="7">
        <v>286</v>
      </c>
      <c r="N120" s="1" t="s">
        <v>832</v>
      </c>
      <c r="O120" s="1">
        <f t="shared" si="3"/>
        <v>7</v>
      </c>
    </row>
    <row r="121" spans="1:15" hidden="1" x14ac:dyDescent="0.25">
      <c r="A121" s="14">
        <v>-95.109418999999988</v>
      </c>
      <c r="B121" s="16">
        <f t="shared" si="2"/>
        <v>-72.411121200999986</v>
      </c>
      <c r="C121" s="9" t="s">
        <v>583</v>
      </c>
      <c r="D121" s="9" t="s">
        <v>584</v>
      </c>
      <c r="E121" s="9" t="s">
        <v>117</v>
      </c>
      <c r="F121" s="9">
        <v>46.136300134064903</v>
      </c>
      <c r="G121" s="9">
        <v>8.9679001907387921</v>
      </c>
      <c r="H121" s="8">
        <v>4</v>
      </c>
      <c r="I121" s="8">
        <v>27</v>
      </c>
      <c r="J121" s="8">
        <v>10</v>
      </c>
      <c r="K121" s="8">
        <v>2015</v>
      </c>
      <c r="L121" s="8">
        <v>1</v>
      </c>
      <c r="M121" s="8">
        <v>290</v>
      </c>
      <c r="N121" s="1" t="s">
        <v>832</v>
      </c>
      <c r="O121" s="1">
        <f t="shared" si="3"/>
        <v>7</v>
      </c>
    </row>
    <row r="122" spans="1:15" hidden="1" x14ac:dyDescent="0.25">
      <c r="A122" s="14">
        <v>-95.134564999999995</v>
      </c>
      <c r="B122" s="16">
        <f t="shared" si="2"/>
        <v>-72.435739135000006</v>
      </c>
      <c r="C122" s="9" t="s">
        <v>623</v>
      </c>
      <c r="D122" s="9" t="s">
        <v>624</v>
      </c>
      <c r="E122" s="9" t="s">
        <v>12</v>
      </c>
      <c r="F122" s="9">
        <v>46.617385235524779</v>
      </c>
      <c r="G122" s="9">
        <v>6.8893044251767135</v>
      </c>
      <c r="H122" s="8">
        <v>5</v>
      </c>
      <c r="I122" s="8">
        <v>2</v>
      </c>
      <c r="J122" s="8">
        <v>11</v>
      </c>
      <c r="K122" s="8">
        <v>2015</v>
      </c>
      <c r="L122" s="8">
        <v>1</v>
      </c>
      <c r="M122" s="8">
        <v>294</v>
      </c>
      <c r="N122" s="1" t="s">
        <v>832</v>
      </c>
      <c r="O122" s="1">
        <f t="shared" si="3"/>
        <v>7</v>
      </c>
    </row>
    <row r="123" spans="1:15" hidden="1" x14ac:dyDescent="0.25">
      <c r="A123" s="11">
        <v>-95.75778840000001</v>
      </c>
      <c r="B123" s="16">
        <f t="shared" si="2"/>
        <v>-73.045874843600018</v>
      </c>
      <c r="C123" s="1" t="s">
        <v>162</v>
      </c>
      <c r="D123" s="1" t="s">
        <v>69</v>
      </c>
      <c r="E123" s="1" t="s">
        <v>12</v>
      </c>
      <c r="F123" s="1">
        <v>46.648526368628815</v>
      </c>
      <c r="G123" s="1">
        <v>7.0225938999991779</v>
      </c>
      <c r="H123" s="1">
        <v>6</v>
      </c>
      <c r="I123" s="1">
        <v>9</v>
      </c>
      <c r="J123" s="1">
        <v>11</v>
      </c>
      <c r="K123" s="1">
        <v>2013</v>
      </c>
      <c r="L123" s="1">
        <v>1</v>
      </c>
      <c r="M123" s="1">
        <v>295</v>
      </c>
      <c r="N123" s="1" t="s">
        <v>832</v>
      </c>
      <c r="O123" s="1">
        <f t="shared" si="3"/>
        <v>7</v>
      </c>
    </row>
    <row r="124" spans="1:15" hidden="1" x14ac:dyDescent="0.25">
      <c r="A124" s="14">
        <v>-93.949909000000005</v>
      </c>
      <c r="B124" s="16">
        <f t="shared" si="2"/>
        <v>-71.275960910999999</v>
      </c>
      <c r="C124" s="9" t="s">
        <v>551</v>
      </c>
      <c r="D124" s="9" t="s">
        <v>552</v>
      </c>
      <c r="E124" s="9" t="s">
        <v>117</v>
      </c>
      <c r="F124" s="9">
        <v>45.880200390776764</v>
      </c>
      <c r="G124" s="9">
        <v>9.0682536743485169</v>
      </c>
      <c r="H124" s="8">
        <v>5</v>
      </c>
      <c r="I124" s="8">
        <v>3</v>
      </c>
      <c r="J124" s="8">
        <v>11</v>
      </c>
      <c r="K124" s="8">
        <v>2015</v>
      </c>
      <c r="L124" s="8">
        <v>1</v>
      </c>
      <c r="M124" s="8">
        <v>295</v>
      </c>
      <c r="N124" s="1" t="s">
        <v>832</v>
      </c>
      <c r="O124" s="1">
        <f t="shared" si="3"/>
        <v>7</v>
      </c>
    </row>
    <row r="125" spans="1:15" hidden="1" x14ac:dyDescent="0.25">
      <c r="A125" s="14">
        <v>-92.331407200000015</v>
      </c>
      <c r="B125" s="16">
        <f t="shared" si="2"/>
        <v>-69.691447648800022</v>
      </c>
      <c r="C125" s="9" t="s">
        <v>365</v>
      </c>
      <c r="D125" s="9" t="s">
        <v>366</v>
      </c>
      <c r="E125" s="9" t="s">
        <v>15</v>
      </c>
      <c r="F125" s="9">
        <v>47.023072839851835</v>
      </c>
      <c r="G125" s="9">
        <v>6.8162509442111956</v>
      </c>
      <c r="H125" s="8">
        <v>6</v>
      </c>
      <c r="I125" s="8">
        <v>27</v>
      </c>
      <c r="J125" s="8">
        <v>10</v>
      </c>
      <c r="K125" s="8">
        <v>2015</v>
      </c>
      <c r="L125" s="8">
        <v>1</v>
      </c>
      <c r="M125" s="8">
        <v>296</v>
      </c>
      <c r="N125" s="1" t="s">
        <v>832</v>
      </c>
      <c r="O125" s="1">
        <f t="shared" si="3"/>
        <v>7</v>
      </c>
    </row>
    <row r="126" spans="1:15" hidden="1" x14ac:dyDescent="0.25">
      <c r="A126" s="13">
        <v>-97.205452000000008</v>
      </c>
      <c r="B126" s="16">
        <f t="shared" si="2"/>
        <v>-74.463137508000017</v>
      </c>
      <c r="C126" s="6" t="s">
        <v>186</v>
      </c>
      <c r="D126" s="6" t="s">
        <v>187</v>
      </c>
      <c r="E126" s="6" t="s">
        <v>15</v>
      </c>
      <c r="F126" s="7">
        <v>46.956015885107853</v>
      </c>
      <c r="G126" s="7">
        <v>6.6181995477960207</v>
      </c>
      <c r="H126" s="7">
        <v>6</v>
      </c>
      <c r="I126" s="7">
        <v>11</v>
      </c>
      <c r="J126" s="7">
        <v>10</v>
      </c>
      <c r="K126" s="7">
        <v>2014</v>
      </c>
      <c r="L126" s="7">
        <v>1</v>
      </c>
      <c r="M126" s="7">
        <v>297</v>
      </c>
      <c r="N126" s="1" t="s">
        <v>832</v>
      </c>
      <c r="O126" s="1">
        <f t="shared" si="3"/>
        <v>7</v>
      </c>
    </row>
    <row r="127" spans="1:15" hidden="1" x14ac:dyDescent="0.25">
      <c r="A127" s="14">
        <v>-96.248525800000024</v>
      </c>
      <c r="B127" s="16">
        <f t="shared" si="2"/>
        <v>-73.526306758200008</v>
      </c>
      <c r="C127" s="9" t="s">
        <v>325</v>
      </c>
      <c r="D127" s="9" t="s">
        <v>326</v>
      </c>
      <c r="E127" s="9" t="s">
        <v>117</v>
      </c>
      <c r="F127" s="9">
        <v>46.149148034323801</v>
      </c>
      <c r="G127" s="9">
        <v>9.046903591937614</v>
      </c>
      <c r="H127" s="8">
        <v>4</v>
      </c>
      <c r="I127" s="8">
        <v>22</v>
      </c>
      <c r="J127" s="8">
        <v>10</v>
      </c>
      <c r="K127" s="8">
        <v>2015</v>
      </c>
      <c r="L127" s="8">
        <v>1</v>
      </c>
      <c r="M127" s="8">
        <v>300</v>
      </c>
      <c r="N127" s="1" t="s">
        <v>832</v>
      </c>
      <c r="O127" s="1">
        <f t="shared" si="3"/>
        <v>7</v>
      </c>
    </row>
    <row r="128" spans="1:15" hidden="1" x14ac:dyDescent="0.25">
      <c r="A128" s="14">
        <v>-95.084655000000012</v>
      </c>
      <c r="B128" s="16">
        <f t="shared" si="2"/>
        <v>-72.386877245000022</v>
      </c>
      <c r="C128" s="9" t="s">
        <v>529</v>
      </c>
      <c r="D128" s="9" t="s">
        <v>530</v>
      </c>
      <c r="E128" s="9" t="s">
        <v>117</v>
      </c>
      <c r="F128" s="9">
        <v>45.884041305566399</v>
      </c>
      <c r="G128" s="9">
        <v>9.0695530926831527</v>
      </c>
      <c r="H128" s="8">
        <v>5</v>
      </c>
      <c r="I128" s="8">
        <v>3</v>
      </c>
      <c r="J128" s="8">
        <v>11</v>
      </c>
      <c r="K128" s="8">
        <v>2015</v>
      </c>
      <c r="L128" s="8">
        <v>1</v>
      </c>
      <c r="M128" s="8">
        <v>300</v>
      </c>
      <c r="N128" s="1" t="s">
        <v>832</v>
      </c>
      <c r="O128" s="1">
        <f t="shared" si="3"/>
        <v>7</v>
      </c>
    </row>
    <row r="129" spans="1:15" hidden="1" x14ac:dyDescent="0.25">
      <c r="A129" s="13">
        <v>-92.715769600000016</v>
      </c>
      <c r="B129" s="16">
        <f t="shared" si="2"/>
        <v>-70.067738438399999</v>
      </c>
      <c r="C129" s="6" t="s">
        <v>245</v>
      </c>
      <c r="D129" s="6" t="s">
        <v>161</v>
      </c>
      <c r="E129" s="6" t="s">
        <v>15</v>
      </c>
      <c r="F129" s="7">
        <v>46.893753897471058</v>
      </c>
      <c r="G129" s="7">
        <v>6.496344961314187</v>
      </c>
      <c r="H129" s="7">
        <v>6</v>
      </c>
      <c r="I129" s="7">
        <v>29</v>
      </c>
      <c r="J129" s="7">
        <v>10</v>
      </c>
      <c r="K129" s="7">
        <v>2014</v>
      </c>
      <c r="L129" s="7">
        <v>1</v>
      </c>
      <c r="M129" s="7">
        <v>300</v>
      </c>
      <c r="N129" s="1" t="s">
        <v>832</v>
      </c>
      <c r="O129" s="1">
        <f t="shared" si="3"/>
        <v>7</v>
      </c>
    </row>
    <row r="130" spans="1:15" hidden="1" x14ac:dyDescent="0.25">
      <c r="A130" s="13">
        <v>-88.931888799999996</v>
      </c>
      <c r="B130" s="16">
        <f t="shared" ref="B130:B193" si="4">0.979*A130+20.701</f>
        <v>-66.363319135199987</v>
      </c>
      <c r="C130" s="6" t="s">
        <v>227</v>
      </c>
      <c r="D130" s="6" t="s">
        <v>228</v>
      </c>
      <c r="E130" s="6" t="s">
        <v>15</v>
      </c>
      <c r="F130" s="7">
        <v>47.024224026367733</v>
      </c>
      <c r="G130" s="7">
        <v>6.8145538320977179</v>
      </c>
      <c r="H130" s="7">
        <v>6</v>
      </c>
      <c r="I130" s="7">
        <v>25</v>
      </c>
      <c r="J130" s="7">
        <v>10</v>
      </c>
      <c r="K130" s="7">
        <v>2014</v>
      </c>
      <c r="L130" s="7">
        <v>1</v>
      </c>
      <c r="M130" s="7">
        <v>300</v>
      </c>
      <c r="N130" s="1" t="s">
        <v>832</v>
      </c>
      <c r="O130" s="1">
        <f t="shared" ref="O130:O193" si="5">ROUND(B130/10,0)*(-1)</f>
        <v>7</v>
      </c>
    </row>
    <row r="131" spans="1:15" hidden="1" x14ac:dyDescent="0.25">
      <c r="A131" s="14">
        <v>-91.926666000000026</v>
      </c>
      <c r="B131" s="16">
        <f t="shared" si="4"/>
        <v>-69.29520601400003</v>
      </c>
      <c r="C131" s="9" t="s">
        <v>417</v>
      </c>
      <c r="D131" s="9" t="s">
        <v>418</v>
      </c>
      <c r="E131" s="9" t="s">
        <v>117</v>
      </c>
      <c r="F131" s="9">
        <v>46.237111346830474</v>
      </c>
      <c r="G131" s="9">
        <v>8.6933029484795483</v>
      </c>
      <c r="H131" s="8">
        <v>6</v>
      </c>
      <c r="I131" s="8">
        <v>4</v>
      </c>
      <c r="J131" s="8">
        <v>11</v>
      </c>
      <c r="K131" s="8">
        <v>2015</v>
      </c>
      <c r="L131" s="8">
        <v>1</v>
      </c>
      <c r="M131" s="8">
        <v>303</v>
      </c>
      <c r="N131" s="1" t="s">
        <v>832</v>
      </c>
      <c r="O131" s="1">
        <f t="shared" si="5"/>
        <v>7</v>
      </c>
    </row>
    <row r="132" spans="1:15" hidden="1" x14ac:dyDescent="0.25">
      <c r="A132" s="14">
        <v>-96.471042499999996</v>
      </c>
      <c r="B132" s="16">
        <f t="shared" si="4"/>
        <v>-73.744150607499989</v>
      </c>
      <c r="C132" s="9" t="s">
        <v>502</v>
      </c>
      <c r="D132" s="9" t="s">
        <v>177</v>
      </c>
      <c r="E132" s="9" t="s">
        <v>117</v>
      </c>
      <c r="F132" s="9">
        <v>46.101964527251603</v>
      </c>
      <c r="G132" s="9">
        <v>8.9620879235241517</v>
      </c>
      <c r="H132" s="8">
        <v>5</v>
      </c>
      <c r="I132" s="8">
        <v>3</v>
      </c>
      <c r="J132" s="8">
        <v>11</v>
      </c>
      <c r="K132" s="8">
        <v>2015</v>
      </c>
      <c r="L132" s="8">
        <v>1</v>
      </c>
      <c r="M132" s="8">
        <v>304</v>
      </c>
      <c r="N132" s="1" t="s">
        <v>832</v>
      </c>
      <c r="O132" s="1">
        <f t="shared" si="5"/>
        <v>7</v>
      </c>
    </row>
    <row r="133" spans="1:15" hidden="1" x14ac:dyDescent="0.25">
      <c r="A133" s="14">
        <v>-91.513827500000005</v>
      </c>
      <c r="B133" s="16">
        <f t="shared" si="4"/>
        <v>-68.891037122499995</v>
      </c>
      <c r="C133" s="9" t="s">
        <v>447</v>
      </c>
      <c r="D133" s="9" t="s">
        <v>448</v>
      </c>
      <c r="E133" s="9" t="s">
        <v>15</v>
      </c>
      <c r="F133" s="9">
        <v>47.013666838835157</v>
      </c>
      <c r="G133" s="9">
        <v>6.8285648672674082</v>
      </c>
      <c r="H133" s="8">
        <v>5</v>
      </c>
      <c r="I133" s="8">
        <v>21</v>
      </c>
      <c r="J133" s="8">
        <v>11</v>
      </c>
      <c r="K133" s="8">
        <v>2015</v>
      </c>
      <c r="L133" s="8">
        <v>1</v>
      </c>
      <c r="M133" s="8">
        <v>304</v>
      </c>
      <c r="N133" s="1" t="s">
        <v>832</v>
      </c>
      <c r="O133" s="1">
        <f t="shared" si="5"/>
        <v>7</v>
      </c>
    </row>
    <row r="134" spans="1:15" hidden="1" x14ac:dyDescent="0.25">
      <c r="A134" s="14">
        <v>-97.268340000000009</v>
      </c>
      <c r="B134" s="16">
        <f t="shared" si="4"/>
        <v>-74.524704860000014</v>
      </c>
      <c r="C134" s="9" t="s">
        <v>802</v>
      </c>
      <c r="D134" s="9" t="s">
        <v>803</v>
      </c>
      <c r="E134" s="9" t="s">
        <v>15</v>
      </c>
      <c r="F134" s="9">
        <v>46.873895094088347</v>
      </c>
      <c r="G134" s="9">
        <v>6.5532056046764726</v>
      </c>
      <c r="H134" s="8">
        <v>4</v>
      </c>
      <c r="I134" s="8">
        <v>27</v>
      </c>
      <c r="J134" s="8">
        <v>11</v>
      </c>
      <c r="K134" s="8">
        <v>2015</v>
      </c>
      <c r="L134" s="8">
        <v>1</v>
      </c>
      <c r="M134" s="8">
        <v>305</v>
      </c>
      <c r="N134" s="1" t="s">
        <v>832</v>
      </c>
      <c r="O134" s="1">
        <f t="shared" si="5"/>
        <v>7</v>
      </c>
    </row>
    <row r="135" spans="1:15" hidden="1" x14ac:dyDescent="0.25">
      <c r="A135" s="13">
        <v>-94.465482600000001</v>
      </c>
      <c r="B135" s="16">
        <f t="shared" si="4"/>
        <v>-71.780707465400013</v>
      </c>
      <c r="C135" s="6" t="s">
        <v>223</v>
      </c>
      <c r="D135" s="6" t="s">
        <v>224</v>
      </c>
      <c r="E135" s="6" t="s">
        <v>12</v>
      </c>
      <c r="F135" s="7">
        <v>46.67648919088986</v>
      </c>
      <c r="G135" s="7">
        <v>7.1420029363047632</v>
      </c>
      <c r="H135" s="7">
        <v>4</v>
      </c>
      <c r="I135" s="7">
        <v>23</v>
      </c>
      <c r="J135" s="7">
        <v>10</v>
      </c>
      <c r="K135" s="7">
        <v>2014</v>
      </c>
      <c r="L135" s="7">
        <v>1</v>
      </c>
      <c r="M135" s="7">
        <v>306</v>
      </c>
      <c r="N135" s="1" t="s">
        <v>832</v>
      </c>
      <c r="O135" s="1">
        <f t="shared" si="5"/>
        <v>7</v>
      </c>
    </row>
    <row r="136" spans="1:15" hidden="1" x14ac:dyDescent="0.25">
      <c r="A136" s="13">
        <v>-96.635489200000023</v>
      </c>
      <c r="B136" s="16">
        <f t="shared" si="4"/>
        <v>-73.905143926800008</v>
      </c>
      <c r="C136" s="6" t="s">
        <v>251</v>
      </c>
      <c r="D136" s="6" t="s">
        <v>150</v>
      </c>
      <c r="E136" s="6" t="s">
        <v>12</v>
      </c>
      <c r="F136" s="7">
        <v>46.640320833814741</v>
      </c>
      <c r="G136" s="7">
        <v>7.0052993477954608</v>
      </c>
      <c r="H136" s="7">
        <v>4</v>
      </c>
      <c r="I136" s="7">
        <v>29</v>
      </c>
      <c r="J136" s="7">
        <v>10</v>
      </c>
      <c r="K136" s="7">
        <v>2014</v>
      </c>
      <c r="L136" s="7">
        <v>1</v>
      </c>
      <c r="M136" s="7">
        <v>307</v>
      </c>
      <c r="N136" s="1" t="s">
        <v>832</v>
      </c>
      <c r="O136" s="1">
        <f t="shared" si="5"/>
        <v>7</v>
      </c>
    </row>
    <row r="137" spans="1:15" hidden="1" x14ac:dyDescent="0.25">
      <c r="A137" s="14">
        <v>-88.803099000000017</v>
      </c>
      <c r="B137" s="16">
        <f t="shared" si="4"/>
        <v>-66.237233921000012</v>
      </c>
      <c r="C137" s="9" t="s">
        <v>683</v>
      </c>
      <c r="D137" s="9" t="s">
        <v>684</v>
      </c>
      <c r="E137" s="9" t="s">
        <v>117</v>
      </c>
      <c r="F137" s="9">
        <v>46.055162798113003</v>
      </c>
      <c r="G137" s="9">
        <v>8.8945920166907193</v>
      </c>
      <c r="H137" s="8">
        <v>6</v>
      </c>
      <c r="I137" s="8">
        <v>1</v>
      </c>
      <c r="J137" s="8">
        <v>11</v>
      </c>
      <c r="K137" s="8">
        <v>2015</v>
      </c>
      <c r="L137" s="8">
        <v>1</v>
      </c>
      <c r="M137" s="8">
        <v>308</v>
      </c>
      <c r="N137" s="1" t="s">
        <v>832</v>
      </c>
      <c r="O137" s="1">
        <f t="shared" si="5"/>
        <v>7</v>
      </c>
    </row>
    <row r="138" spans="1:15" hidden="1" x14ac:dyDescent="0.25">
      <c r="A138" s="14">
        <v>-97.051248999999999</v>
      </c>
      <c r="B138" s="16">
        <f t="shared" si="4"/>
        <v>-74.312172771000007</v>
      </c>
      <c r="C138" s="9" t="s">
        <v>567</v>
      </c>
      <c r="D138" s="9" t="s">
        <v>568</v>
      </c>
      <c r="E138" s="9" t="s">
        <v>117</v>
      </c>
      <c r="F138" s="9">
        <v>45.895787111100496</v>
      </c>
      <c r="G138" s="9">
        <v>9.0748120973608408</v>
      </c>
      <c r="H138" s="8">
        <v>5</v>
      </c>
      <c r="I138" s="8">
        <v>11</v>
      </c>
      <c r="J138" s="8">
        <v>11</v>
      </c>
      <c r="K138" s="8">
        <v>2015</v>
      </c>
      <c r="L138" s="8">
        <v>1</v>
      </c>
      <c r="M138" s="8">
        <v>310</v>
      </c>
      <c r="N138" s="1" t="s">
        <v>832</v>
      </c>
      <c r="O138" s="1">
        <f t="shared" si="5"/>
        <v>7</v>
      </c>
    </row>
    <row r="139" spans="1:15" hidden="1" x14ac:dyDescent="0.25">
      <c r="A139" s="14">
        <v>-95.933881100000022</v>
      </c>
      <c r="B139" s="16">
        <f t="shared" si="4"/>
        <v>-73.218269596900029</v>
      </c>
      <c r="C139" s="9" t="s">
        <v>405</v>
      </c>
      <c r="D139" s="9" t="s">
        <v>406</v>
      </c>
      <c r="E139" s="9" t="s">
        <v>117</v>
      </c>
      <c r="F139" s="9">
        <v>46.071065360488504</v>
      </c>
      <c r="G139" s="9">
        <v>8.9004709153227726</v>
      </c>
      <c r="H139" s="8">
        <v>4</v>
      </c>
      <c r="I139" s="8">
        <v>5</v>
      </c>
      <c r="J139" s="8">
        <v>11</v>
      </c>
      <c r="K139" s="8">
        <v>2015</v>
      </c>
      <c r="L139" s="8">
        <v>1</v>
      </c>
      <c r="M139" s="8">
        <v>310</v>
      </c>
      <c r="N139" s="1" t="s">
        <v>832</v>
      </c>
      <c r="O139" s="1">
        <f t="shared" si="5"/>
        <v>7</v>
      </c>
    </row>
    <row r="140" spans="1:15" hidden="1" x14ac:dyDescent="0.25">
      <c r="A140" s="14">
        <v>-94.511742500000011</v>
      </c>
      <c r="B140" s="16">
        <f t="shared" si="4"/>
        <v>-71.825995907500015</v>
      </c>
      <c r="C140" s="9" t="s">
        <v>423</v>
      </c>
      <c r="D140" s="9" t="s">
        <v>424</v>
      </c>
      <c r="E140" s="9" t="s">
        <v>15</v>
      </c>
      <c r="F140" s="9">
        <v>47.0217888669399</v>
      </c>
      <c r="G140" s="9">
        <v>6.8150293768956764</v>
      </c>
      <c r="H140" s="8">
        <v>6</v>
      </c>
      <c r="I140" s="8">
        <v>21</v>
      </c>
      <c r="J140" s="8">
        <v>11</v>
      </c>
      <c r="K140" s="8">
        <v>2015</v>
      </c>
      <c r="L140" s="8">
        <v>1</v>
      </c>
      <c r="M140" s="8">
        <v>310</v>
      </c>
      <c r="N140" s="1" t="s">
        <v>832</v>
      </c>
      <c r="O140" s="1">
        <f t="shared" si="5"/>
        <v>7</v>
      </c>
    </row>
    <row r="141" spans="1:15" hidden="1" x14ac:dyDescent="0.25">
      <c r="A141" s="14">
        <v>-91.606476900000004</v>
      </c>
      <c r="B141" s="16">
        <f t="shared" si="4"/>
        <v>-68.98174088510001</v>
      </c>
      <c r="C141" s="9" t="s">
        <v>437</v>
      </c>
      <c r="D141" s="9" t="s">
        <v>438</v>
      </c>
      <c r="E141" s="9" t="s">
        <v>117</v>
      </c>
      <c r="F141" s="9">
        <v>46.075595256385149</v>
      </c>
      <c r="G141" s="9">
        <v>9.0150029270515049</v>
      </c>
      <c r="H141" s="8">
        <v>5</v>
      </c>
      <c r="I141" s="8">
        <v>8</v>
      </c>
      <c r="J141" s="8">
        <v>11</v>
      </c>
      <c r="K141" s="8">
        <v>2015</v>
      </c>
      <c r="L141" s="8">
        <v>1</v>
      </c>
      <c r="M141" s="8">
        <v>310</v>
      </c>
      <c r="N141" s="1" t="s">
        <v>832</v>
      </c>
      <c r="O141" s="1">
        <f t="shared" si="5"/>
        <v>7</v>
      </c>
    </row>
    <row r="142" spans="1:15" hidden="1" x14ac:dyDescent="0.25">
      <c r="A142" s="13">
        <v>-89.976587200000012</v>
      </c>
      <c r="B142" s="16">
        <f t="shared" si="4"/>
        <v>-67.386078868800013</v>
      </c>
      <c r="C142" s="6" t="s">
        <v>202</v>
      </c>
      <c r="D142" s="6" t="s">
        <v>203</v>
      </c>
      <c r="E142" s="6" t="s">
        <v>15</v>
      </c>
      <c r="F142" s="7">
        <v>47.073500427887012</v>
      </c>
      <c r="G142" s="7">
        <v>6.8718336612734499</v>
      </c>
      <c r="H142" s="7">
        <v>6</v>
      </c>
      <c r="I142" s="7">
        <v>16</v>
      </c>
      <c r="J142" s="7">
        <v>10</v>
      </c>
      <c r="K142" s="7">
        <v>2014</v>
      </c>
      <c r="L142" s="7">
        <v>1</v>
      </c>
      <c r="M142" s="7">
        <v>310</v>
      </c>
      <c r="N142" s="1" t="s">
        <v>832</v>
      </c>
      <c r="O142" s="1">
        <f t="shared" si="5"/>
        <v>7</v>
      </c>
    </row>
    <row r="143" spans="1:15" hidden="1" x14ac:dyDescent="0.25">
      <c r="A143" s="14">
        <v>-95.078657400000012</v>
      </c>
      <c r="B143" s="16">
        <f t="shared" si="4"/>
        <v>-72.381005594599998</v>
      </c>
      <c r="C143" s="9" t="s">
        <v>349</v>
      </c>
      <c r="D143" s="9" t="s">
        <v>350</v>
      </c>
      <c r="E143" s="9" t="s">
        <v>117</v>
      </c>
      <c r="F143" s="9">
        <v>46.159744490531871</v>
      </c>
      <c r="G143" s="9">
        <v>8.6064616614391287</v>
      </c>
      <c r="H143" s="8">
        <v>6</v>
      </c>
      <c r="I143" s="8">
        <v>3</v>
      </c>
      <c r="J143" s="8">
        <v>11</v>
      </c>
      <c r="K143" s="8">
        <v>2015</v>
      </c>
      <c r="L143" s="8">
        <v>1</v>
      </c>
      <c r="M143" s="8">
        <v>311</v>
      </c>
      <c r="N143" s="1" t="s">
        <v>832</v>
      </c>
      <c r="O143" s="1">
        <f t="shared" si="5"/>
        <v>7</v>
      </c>
    </row>
    <row r="144" spans="1:15" hidden="1" x14ac:dyDescent="0.25">
      <c r="A144" s="14">
        <v>-96.010387200000011</v>
      </c>
      <c r="B144" s="16">
        <f t="shared" si="4"/>
        <v>-73.293169068800012</v>
      </c>
      <c r="C144" s="9" t="s">
        <v>786</v>
      </c>
      <c r="D144" s="9" t="s">
        <v>111</v>
      </c>
      <c r="E144" s="9" t="s">
        <v>185</v>
      </c>
      <c r="F144" s="9">
        <v>46.862167931447907</v>
      </c>
      <c r="G144" s="9">
        <v>6.5524935747381825</v>
      </c>
      <c r="H144" s="8">
        <v>6</v>
      </c>
      <c r="I144" s="8">
        <v>3</v>
      </c>
      <c r="J144" s="8">
        <v>11</v>
      </c>
      <c r="K144" s="8">
        <v>2015</v>
      </c>
      <c r="L144" s="8">
        <v>1</v>
      </c>
      <c r="M144" s="8">
        <v>312</v>
      </c>
      <c r="N144" s="1" t="s">
        <v>832</v>
      </c>
      <c r="O144" s="1">
        <f t="shared" si="5"/>
        <v>7</v>
      </c>
    </row>
    <row r="145" spans="1:15" hidden="1" x14ac:dyDescent="0.25">
      <c r="A145" s="13">
        <v>-96.502451199999996</v>
      </c>
      <c r="B145" s="16">
        <f t="shared" si="4"/>
        <v>-73.77489972479998</v>
      </c>
      <c r="C145" s="6" t="s">
        <v>225</v>
      </c>
      <c r="D145" s="6" t="s">
        <v>226</v>
      </c>
      <c r="E145" s="6" t="s">
        <v>15</v>
      </c>
      <c r="F145" s="7">
        <v>47.088038233886842</v>
      </c>
      <c r="G145" s="7">
        <v>6.8832036736139823</v>
      </c>
      <c r="H145" s="7">
        <v>6</v>
      </c>
      <c r="I145" s="7">
        <v>24</v>
      </c>
      <c r="J145" s="7">
        <v>10</v>
      </c>
      <c r="K145" s="7">
        <v>2014</v>
      </c>
      <c r="L145" s="7">
        <v>1</v>
      </c>
      <c r="M145" s="7">
        <v>315</v>
      </c>
      <c r="N145" s="1" t="s">
        <v>832</v>
      </c>
      <c r="O145" s="1">
        <f t="shared" si="5"/>
        <v>7</v>
      </c>
    </row>
    <row r="146" spans="1:15" hidden="1" x14ac:dyDescent="0.25">
      <c r="A146" s="14">
        <v>-95.663137500000019</v>
      </c>
      <c r="B146" s="16">
        <f t="shared" si="4"/>
        <v>-72.953211612500013</v>
      </c>
      <c r="C146" s="9" t="s">
        <v>498</v>
      </c>
      <c r="D146" s="9" t="s">
        <v>151</v>
      </c>
      <c r="E146" s="9" t="s">
        <v>117</v>
      </c>
      <c r="F146" s="9">
        <v>46.108463917966866</v>
      </c>
      <c r="G146" s="9">
        <v>8.9803791872274523</v>
      </c>
      <c r="H146" s="8">
        <v>5</v>
      </c>
      <c r="I146" s="8">
        <v>17</v>
      </c>
      <c r="J146" s="8">
        <v>10</v>
      </c>
      <c r="K146" s="8">
        <v>2015</v>
      </c>
      <c r="L146" s="8">
        <v>1</v>
      </c>
      <c r="M146" s="8">
        <v>316</v>
      </c>
      <c r="N146" s="1" t="s">
        <v>832</v>
      </c>
      <c r="O146" s="1">
        <f t="shared" si="5"/>
        <v>7</v>
      </c>
    </row>
    <row r="147" spans="1:15" hidden="1" x14ac:dyDescent="0.25">
      <c r="A147" s="11">
        <v>-92.810307599999987</v>
      </c>
      <c r="B147" s="16">
        <f t="shared" si="4"/>
        <v>-70.160291140399977</v>
      </c>
      <c r="C147" s="1" t="s">
        <v>170</v>
      </c>
      <c r="D147" s="1" t="s">
        <v>171</v>
      </c>
      <c r="E147" s="1" t="s">
        <v>12</v>
      </c>
      <c r="F147" s="1">
        <v>46.646485478279693</v>
      </c>
      <c r="G147" s="1">
        <v>7.015569076378795</v>
      </c>
      <c r="H147" s="1">
        <v>6</v>
      </c>
      <c r="I147" s="1">
        <v>16</v>
      </c>
      <c r="J147" s="1">
        <v>11</v>
      </c>
      <c r="K147" s="1">
        <v>2013</v>
      </c>
      <c r="L147" s="1">
        <v>1</v>
      </c>
      <c r="M147" s="1">
        <v>318</v>
      </c>
      <c r="N147" s="1" t="s">
        <v>832</v>
      </c>
      <c r="O147" s="1">
        <f t="shared" si="5"/>
        <v>7</v>
      </c>
    </row>
    <row r="148" spans="1:15" hidden="1" x14ac:dyDescent="0.25">
      <c r="A148" s="14">
        <v>-97.052340000000001</v>
      </c>
      <c r="B148" s="16">
        <f t="shared" si="4"/>
        <v>-74.313240860000008</v>
      </c>
      <c r="C148" s="9" t="s">
        <v>514</v>
      </c>
      <c r="D148" s="9" t="s">
        <v>258</v>
      </c>
      <c r="E148" s="9" t="s">
        <v>117</v>
      </c>
      <c r="F148" s="9">
        <v>46.077589252270876</v>
      </c>
      <c r="G148" s="9">
        <v>9.0331603068653532</v>
      </c>
      <c r="H148" s="8">
        <v>5</v>
      </c>
      <c r="I148" s="8">
        <v>7</v>
      </c>
      <c r="J148" s="8">
        <v>11</v>
      </c>
      <c r="K148" s="8">
        <v>2015</v>
      </c>
      <c r="L148" s="8">
        <v>1</v>
      </c>
      <c r="M148" s="8">
        <v>320</v>
      </c>
      <c r="N148" s="1" t="s">
        <v>832</v>
      </c>
      <c r="O148" s="1">
        <f t="shared" si="5"/>
        <v>7</v>
      </c>
    </row>
    <row r="149" spans="1:15" hidden="1" x14ac:dyDescent="0.25">
      <c r="A149" s="14">
        <v>-94.51743249999997</v>
      </c>
      <c r="B149" s="16">
        <f t="shared" si="4"/>
        <v>-71.831566417499971</v>
      </c>
      <c r="C149" s="9" t="s">
        <v>533</v>
      </c>
      <c r="D149" s="9" t="s">
        <v>534</v>
      </c>
      <c r="E149" s="9" t="s">
        <v>117</v>
      </c>
      <c r="F149" s="9">
        <v>45.882950428778962</v>
      </c>
      <c r="G149" s="9">
        <v>9.0678458930292436</v>
      </c>
      <c r="H149" s="8">
        <v>5</v>
      </c>
      <c r="I149" s="8">
        <v>3</v>
      </c>
      <c r="J149" s="8">
        <v>11</v>
      </c>
      <c r="K149" s="8">
        <v>2015</v>
      </c>
      <c r="L149" s="8">
        <v>1</v>
      </c>
      <c r="M149" s="8">
        <v>320</v>
      </c>
      <c r="N149" s="1" t="s">
        <v>832</v>
      </c>
      <c r="O149" s="1">
        <f t="shared" si="5"/>
        <v>7</v>
      </c>
    </row>
    <row r="150" spans="1:15" hidden="1" x14ac:dyDescent="0.25">
      <c r="A150" s="14">
        <v>-92.092998000000037</v>
      </c>
      <c r="B150" s="16">
        <f t="shared" si="4"/>
        <v>-69.458045042000037</v>
      </c>
      <c r="C150" s="9" t="s">
        <v>399</v>
      </c>
      <c r="D150" s="9" t="s">
        <v>400</v>
      </c>
      <c r="E150" s="9" t="s">
        <v>117</v>
      </c>
      <c r="F150" s="9">
        <v>46.122505067050511</v>
      </c>
      <c r="G150" s="9">
        <v>8.9057306308189297</v>
      </c>
      <c r="H150" s="8">
        <v>4</v>
      </c>
      <c r="I150" s="8">
        <v>24</v>
      </c>
      <c r="J150" s="8">
        <v>10</v>
      </c>
      <c r="K150" s="8">
        <v>2015</v>
      </c>
      <c r="L150" s="8">
        <v>1</v>
      </c>
      <c r="M150" s="8">
        <v>320</v>
      </c>
      <c r="N150" s="1" t="s">
        <v>832</v>
      </c>
      <c r="O150" s="1">
        <f t="shared" si="5"/>
        <v>7</v>
      </c>
    </row>
    <row r="151" spans="1:15" hidden="1" x14ac:dyDescent="0.25">
      <c r="A151" s="11">
        <v>-89.062776799999995</v>
      </c>
      <c r="B151" s="16">
        <f t="shared" si="4"/>
        <v>-66.491458487199992</v>
      </c>
      <c r="C151" s="1" t="s">
        <v>106</v>
      </c>
      <c r="D151" s="1" t="s">
        <v>107</v>
      </c>
      <c r="E151" s="1" t="s">
        <v>15</v>
      </c>
      <c r="F151" s="1">
        <v>47.099654958326674</v>
      </c>
      <c r="G151" s="1">
        <v>6.9146980033754204</v>
      </c>
      <c r="H151" s="1">
        <v>5</v>
      </c>
      <c r="I151" s="1" t="s">
        <v>835</v>
      </c>
      <c r="J151" s="1" t="s">
        <v>835</v>
      </c>
      <c r="K151" s="1">
        <v>2012</v>
      </c>
      <c r="L151" s="1">
        <v>1</v>
      </c>
      <c r="M151" s="1">
        <v>320</v>
      </c>
      <c r="N151" s="1" t="s">
        <v>832</v>
      </c>
      <c r="O151" s="1">
        <f t="shared" si="5"/>
        <v>7</v>
      </c>
    </row>
    <row r="152" spans="1:15" hidden="1" x14ac:dyDescent="0.25">
      <c r="A152" s="14">
        <v>-95.767549100000011</v>
      </c>
      <c r="B152" s="16">
        <f t="shared" si="4"/>
        <v>-73.055430568900022</v>
      </c>
      <c r="C152" s="9" t="s">
        <v>377</v>
      </c>
      <c r="D152" s="9" t="s">
        <v>378</v>
      </c>
      <c r="E152" s="9" t="s">
        <v>15</v>
      </c>
      <c r="F152" s="9">
        <v>46.937379653430355</v>
      </c>
      <c r="G152" s="9">
        <v>6.4688661543774515</v>
      </c>
      <c r="H152" s="8">
        <v>6</v>
      </c>
      <c r="I152" s="8">
        <v>3</v>
      </c>
      <c r="J152" s="8">
        <v>11</v>
      </c>
      <c r="K152" s="8">
        <v>2015</v>
      </c>
      <c r="L152" s="8">
        <v>1</v>
      </c>
      <c r="M152" s="8">
        <v>321</v>
      </c>
      <c r="N152" s="1" t="s">
        <v>832</v>
      </c>
      <c r="O152" s="1">
        <f t="shared" si="5"/>
        <v>7</v>
      </c>
    </row>
    <row r="153" spans="1:15" hidden="1" x14ac:dyDescent="0.25">
      <c r="A153" s="13">
        <v>-91.07450080000001</v>
      </c>
      <c r="B153" s="16">
        <f t="shared" si="4"/>
        <v>-68.460936283199999</v>
      </c>
      <c r="C153" s="6" t="s">
        <v>181</v>
      </c>
      <c r="D153" s="6" t="s">
        <v>182</v>
      </c>
      <c r="E153" s="6" t="s">
        <v>15</v>
      </c>
      <c r="F153" s="7">
        <v>47.08804141463429</v>
      </c>
      <c r="G153" s="7">
        <v>6.8838621388302137</v>
      </c>
      <c r="H153" s="7">
        <v>6</v>
      </c>
      <c r="I153" s="7">
        <v>10</v>
      </c>
      <c r="J153" s="7">
        <v>10</v>
      </c>
      <c r="K153" s="7">
        <v>2014</v>
      </c>
      <c r="L153" s="7">
        <v>1</v>
      </c>
      <c r="M153" s="7">
        <v>321</v>
      </c>
      <c r="N153" s="1" t="s">
        <v>832</v>
      </c>
      <c r="O153" s="1">
        <f t="shared" si="5"/>
        <v>7</v>
      </c>
    </row>
    <row r="154" spans="1:15" hidden="1" x14ac:dyDescent="0.25">
      <c r="A154" s="14">
        <v>-97.676018000000013</v>
      </c>
      <c r="B154" s="16">
        <f t="shared" si="4"/>
        <v>-74.92382162200002</v>
      </c>
      <c r="C154" s="9" t="s">
        <v>665</v>
      </c>
      <c r="D154" s="9" t="s">
        <v>666</v>
      </c>
      <c r="E154" s="9" t="s">
        <v>117</v>
      </c>
      <c r="F154" s="9">
        <v>46.054627966056408</v>
      </c>
      <c r="G154" s="9">
        <v>8.8955986515296477</v>
      </c>
      <c r="H154" s="8">
        <v>6</v>
      </c>
      <c r="I154" s="8">
        <v>25</v>
      </c>
      <c r="J154" s="8">
        <v>10</v>
      </c>
      <c r="K154" s="8">
        <v>2015</v>
      </c>
      <c r="L154" s="8">
        <v>1</v>
      </c>
      <c r="M154" s="8">
        <v>324</v>
      </c>
      <c r="N154" s="1" t="s">
        <v>832</v>
      </c>
      <c r="O154" s="1">
        <f t="shared" si="5"/>
        <v>7</v>
      </c>
    </row>
    <row r="155" spans="1:15" hidden="1" x14ac:dyDescent="0.25">
      <c r="A155" s="14">
        <v>-92.299212499999996</v>
      </c>
      <c r="B155" s="16">
        <f t="shared" si="4"/>
        <v>-69.659929037500007</v>
      </c>
      <c r="C155" s="9" t="s">
        <v>445</v>
      </c>
      <c r="D155" s="9" t="s">
        <v>446</v>
      </c>
      <c r="E155" s="9" t="s">
        <v>15</v>
      </c>
      <c r="F155" s="9">
        <v>47.03474691171602</v>
      </c>
      <c r="G155" s="9">
        <v>6.8344168641054281</v>
      </c>
      <c r="H155" s="8">
        <v>5</v>
      </c>
      <c r="I155" s="8">
        <v>14</v>
      </c>
      <c r="J155" s="8">
        <v>11</v>
      </c>
      <c r="K155" s="8">
        <v>2015</v>
      </c>
      <c r="L155" s="8">
        <v>1</v>
      </c>
      <c r="M155" s="8">
        <v>324</v>
      </c>
      <c r="N155" s="1" t="s">
        <v>832</v>
      </c>
      <c r="O155" s="1">
        <f t="shared" si="5"/>
        <v>7</v>
      </c>
    </row>
    <row r="156" spans="1:15" hidden="1" x14ac:dyDescent="0.25">
      <c r="A156" s="14">
        <v>-93.199719999999999</v>
      </c>
      <c r="B156" s="16">
        <f t="shared" si="4"/>
        <v>-70.541525879999995</v>
      </c>
      <c r="C156" s="9" t="s">
        <v>561</v>
      </c>
      <c r="D156" s="9" t="s">
        <v>562</v>
      </c>
      <c r="E156" s="9" t="s">
        <v>117</v>
      </c>
      <c r="F156" s="9">
        <v>45.888725210790099</v>
      </c>
      <c r="G156" s="9">
        <v>9.0790720285796187</v>
      </c>
      <c r="H156" s="8">
        <v>5</v>
      </c>
      <c r="I156" s="8">
        <v>8</v>
      </c>
      <c r="J156" s="8">
        <v>11</v>
      </c>
      <c r="K156" s="8">
        <v>2015</v>
      </c>
      <c r="L156" s="8">
        <v>1</v>
      </c>
      <c r="M156" s="8">
        <v>325</v>
      </c>
      <c r="N156" s="1" t="s">
        <v>832</v>
      </c>
      <c r="O156" s="1">
        <f t="shared" si="5"/>
        <v>7</v>
      </c>
    </row>
    <row r="157" spans="1:15" hidden="1" x14ac:dyDescent="0.25">
      <c r="A157" s="14">
        <v>-91.970072800000011</v>
      </c>
      <c r="B157" s="16">
        <f t="shared" si="4"/>
        <v>-69.337701271200018</v>
      </c>
      <c r="C157" s="9" t="s">
        <v>808</v>
      </c>
      <c r="D157" s="9" t="s">
        <v>809</v>
      </c>
      <c r="E157" s="9" t="s">
        <v>185</v>
      </c>
      <c r="F157" s="9">
        <v>46.56013659017826</v>
      </c>
      <c r="G157" s="9">
        <v>6.2759728364049217</v>
      </c>
      <c r="H157" s="8">
        <v>4</v>
      </c>
      <c r="I157" s="8">
        <v>1</v>
      </c>
      <c r="J157" s="8">
        <v>12</v>
      </c>
      <c r="K157" s="8">
        <v>2015</v>
      </c>
      <c r="L157" s="8">
        <v>1</v>
      </c>
      <c r="M157" s="8">
        <v>325</v>
      </c>
      <c r="N157" s="1" t="s">
        <v>832</v>
      </c>
      <c r="O157" s="1">
        <f t="shared" si="5"/>
        <v>7</v>
      </c>
    </row>
    <row r="158" spans="1:15" hidden="1" x14ac:dyDescent="0.25">
      <c r="A158" s="14">
        <v>-92.893777000000014</v>
      </c>
      <c r="B158" s="16">
        <f t="shared" si="4"/>
        <v>-70.242007683000026</v>
      </c>
      <c r="C158" s="9" t="s">
        <v>632</v>
      </c>
      <c r="D158" s="9" t="s">
        <v>171</v>
      </c>
      <c r="E158" s="9" t="s">
        <v>12</v>
      </c>
      <c r="F158" s="9">
        <v>46.594819721228227</v>
      </c>
      <c r="G158" s="9">
        <v>6.9753753174079849</v>
      </c>
      <c r="H158" s="8">
        <v>3</v>
      </c>
      <c r="I158" s="8">
        <v>14</v>
      </c>
      <c r="J158" s="8">
        <v>11</v>
      </c>
      <c r="K158" s="8">
        <v>2015</v>
      </c>
      <c r="L158" s="8">
        <v>1</v>
      </c>
      <c r="M158" s="8">
        <v>326</v>
      </c>
      <c r="N158" s="1" t="s">
        <v>832</v>
      </c>
      <c r="O158" s="1">
        <f t="shared" si="5"/>
        <v>7</v>
      </c>
    </row>
    <row r="159" spans="1:15" hidden="1" x14ac:dyDescent="0.25">
      <c r="A159" s="11">
        <v>-87.873898800000006</v>
      </c>
      <c r="B159" s="16">
        <f t="shared" si="4"/>
        <v>-65.327546925200011</v>
      </c>
      <c r="C159" s="1" t="s">
        <v>110</v>
      </c>
      <c r="D159" s="1" t="s">
        <v>111</v>
      </c>
      <c r="E159" s="1" t="s">
        <v>15</v>
      </c>
      <c r="F159" s="1">
        <v>46.878063950275944</v>
      </c>
      <c r="G159" s="1">
        <v>6.5665840563427764</v>
      </c>
      <c r="H159" s="1">
        <v>6</v>
      </c>
      <c r="I159" s="1">
        <v>25</v>
      </c>
      <c r="J159" s="1">
        <v>9</v>
      </c>
      <c r="K159" s="1">
        <v>2013</v>
      </c>
      <c r="L159" s="1">
        <v>1</v>
      </c>
      <c r="M159" s="1">
        <v>326</v>
      </c>
      <c r="N159" s="1" t="s">
        <v>832</v>
      </c>
      <c r="O159" s="1">
        <f t="shared" si="5"/>
        <v>7</v>
      </c>
    </row>
    <row r="160" spans="1:15" hidden="1" x14ac:dyDescent="0.25">
      <c r="A160" s="14">
        <v>-92.297804999999997</v>
      </c>
      <c r="B160" s="16">
        <f t="shared" si="4"/>
        <v>-69.658551095000007</v>
      </c>
      <c r="C160" s="9" t="s">
        <v>525</v>
      </c>
      <c r="D160" s="9" t="s">
        <v>526</v>
      </c>
      <c r="E160" s="9" t="s">
        <v>117</v>
      </c>
      <c r="F160" s="9">
        <v>46.081429690119336</v>
      </c>
      <c r="G160" s="9">
        <v>8.9834946382447889</v>
      </c>
      <c r="H160" s="8">
        <v>3</v>
      </c>
      <c r="I160" s="8">
        <v>29</v>
      </c>
      <c r="J160" s="8">
        <v>10</v>
      </c>
      <c r="K160" s="8">
        <v>2015</v>
      </c>
      <c r="L160" s="8">
        <v>1</v>
      </c>
      <c r="M160" s="8">
        <v>327</v>
      </c>
      <c r="N160" s="1" t="s">
        <v>832</v>
      </c>
      <c r="O160" s="1">
        <f t="shared" si="5"/>
        <v>7</v>
      </c>
    </row>
    <row r="161" spans="1:15" hidden="1" x14ac:dyDescent="0.25">
      <c r="A161" s="14">
        <v>-88.939372500000005</v>
      </c>
      <c r="B161" s="16">
        <f t="shared" si="4"/>
        <v>-66.370645677499994</v>
      </c>
      <c r="C161" s="9" t="s">
        <v>765</v>
      </c>
      <c r="D161" s="9" t="s">
        <v>766</v>
      </c>
      <c r="E161" s="9" t="s">
        <v>185</v>
      </c>
      <c r="F161" s="9">
        <v>46.593044032939765</v>
      </c>
      <c r="G161" s="9">
        <v>6.4244311556598266</v>
      </c>
      <c r="H161" s="8">
        <v>4</v>
      </c>
      <c r="I161" s="8">
        <v>14</v>
      </c>
      <c r="J161" s="8">
        <v>12</v>
      </c>
      <c r="K161" s="8">
        <v>2015</v>
      </c>
      <c r="L161" s="8">
        <v>1</v>
      </c>
      <c r="M161" s="8">
        <v>327</v>
      </c>
      <c r="N161" s="1" t="s">
        <v>832</v>
      </c>
      <c r="O161" s="1">
        <f t="shared" si="5"/>
        <v>7</v>
      </c>
    </row>
    <row r="162" spans="1:15" hidden="1" x14ac:dyDescent="0.25">
      <c r="A162" s="13">
        <v>-97.743030900000008</v>
      </c>
      <c r="B162" s="16">
        <f t="shared" si="4"/>
        <v>-74.989427251100011</v>
      </c>
      <c r="C162" s="6" t="s">
        <v>213</v>
      </c>
      <c r="D162" s="6" t="s">
        <v>214</v>
      </c>
      <c r="E162" s="6" t="s">
        <v>185</v>
      </c>
      <c r="F162" s="7">
        <v>46.690058752797285</v>
      </c>
      <c r="G162" s="7">
        <v>6.3130504931583378</v>
      </c>
      <c r="H162" s="7">
        <v>4</v>
      </c>
      <c r="I162" s="7">
        <v>22</v>
      </c>
      <c r="J162" s="7">
        <v>10</v>
      </c>
      <c r="K162" s="7">
        <v>2014</v>
      </c>
      <c r="L162" s="7">
        <v>1</v>
      </c>
      <c r="M162" s="7">
        <v>328</v>
      </c>
      <c r="N162" s="1" t="s">
        <v>832</v>
      </c>
      <c r="O162" s="1">
        <f t="shared" si="5"/>
        <v>7</v>
      </c>
    </row>
    <row r="163" spans="1:15" hidden="1" x14ac:dyDescent="0.25">
      <c r="A163" s="11">
        <v>-95.79646200000002</v>
      </c>
      <c r="B163" s="16">
        <f t="shared" si="4"/>
        <v>-73.083736298000019</v>
      </c>
      <c r="C163" s="1" t="s">
        <v>159</v>
      </c>
      <c r="D163" s="1" t="s">
        <v>71</v>
      </c>
      <c r="E163" s="1" t="s">
        <v>12</v>
      </c>
      <c r="F163" s="1">
        <v>46.591238639579856</v>
      </c>
      <c r="G163" s="1">
        <v>6.7940246616978799</v>
      </c>
      <c r="I163" s="1">
        <v>7</v>
      </c>
      <c r="J163" s="1">
        <v>11</v>
      </c>
      <c r="K163" s="1">
        <v>2013</v>
      </c>
      <c r="L163" s="1">
        <v>1</v>
      </c>
      <c r="M163" s="1">
        <v>328</v>
      </c>
      <c r="N163" s="1" t="s">
        <v>832</v>
      </c>
      <c r="O163" s="1">
        <f t="shared" si="5"/>
        <v>7</v>
      </c>
    </row>
    <row r="164" spans="1:15" hidden="1" x14ac:dyDescent="0.25">
      <c r="A164" s="14">
        <v>-95.380827200000013</v>
      </c>
      <c r="B164" s="16">
        <f t="shared" si="4"/>
        <v>-72.67682982880001</v>
      </c>
      <c r="C164" s="9" t="s">
        <v>407</v>
      </c>
      <c r="D164" s="9" t="s">
        <v>408</v>
      </c>
      <c r="E164" s="9" t="s">
        <v>117</v>
      </c>
      <c r="F164" s="9">
        <v>46.226024424747735</v>
      </c>
      <c r="G164" s="9">
        <v>8.6838050823129969</v>
      </c>
      <c r="H164" s="8">
        <v>6</v>
      </c>
      <c r="I164" s="8">
        <v>14</v>
      </c>
      <c r="J164" s="8">
        <v>11</v>
      </c>
      <c r="K164" s="8">
        <v>2015</v>
      </c>
      <c r="L164" s="8">
        <v>1</v>
      </c>
      <c r="M164" s="8">
        <v>328</v>
      </c>
      <c r="N164" s="1" t="s">
        <v>832</v>
      </c>
      <c r="O164" s="1">
        <f t="shared" si="5"/>
        <v>7</v>
      </c>
    </row>
    <row r="165" spans="1:15" hidden="1" x14ac:dyDescent="0.25">
      <c r="A165" s="14">
        <v>-94.206374999999966</v>
      </c>
      <c r="B165" s="16">
        <f t="shared" si="4"/>
        <v>-71.527041124999954</v>
      </c>
      <c r="C165" s="9" t="s">
        <v>459</v>
      </c>
      <c r="D165" s="9" t="s">
        <v>231</v>
      </c>
      <c r="E165" s="9" t="s">
        <v>117</v>
      </c>
      <c r="F165" s="9">
        <v>46.08165925861622</v>
      </c>
      <c r="G165" s="9">
        <v>9.0475015636865788</v>
      </c>
      <c r="H165" s="8">
        <v>5</v>
      </c>
      <c r="I165" s="8">
        <v>17</v>
      </c>
      <c r="J165" s="8">
        <v>10</v>
      </c>
      <c r="K165" s="8">
        <v>2015</v>
      </c>
      <c r="L165" s="8">
        <v>1</v>
      </c>
      <c r="M165" s="8">
        <v>329</v>
      </c>
      <c r="N165" s="1" t="s">
        <v>832</v>
      </c>
      <c r="O165" s="1">
        <f t="shared" si="5"/>
        <v>7</v>
      </c>
    </row>
    <row r="166" spans="1:15" hidden="1" x14ac:dyDescent="0.25">
      <c r="A166" s="14">
        <v>-90.834598999999983</v>
      </c>
      <c r="B166" s="16">
        <f t="shared" si="4"/>
        <v>-68.226072420999969</v>
      </c>
      <c r="C166" s="9" t="s">
        <v>607</v>
      </c>
      <c r="D166" s="9" t="s">
        <v>230</v>
      </c>
      <c r="E166" s="9" t="s">
        <v>12</v>
      </c>
      <c r="F166" s="9">
        <v>46.662139664950956</v>
      </c>
      <c r="G166" s="9">
        <v>7.0160344705850335</v>
      </c>
      <c r="H166" s="8">
        <v>5</v>
      </c>
      <c r="I166" s="8">
        <v>24</v>
      </c>
      <c r="J166" s="8">
        <v>10</v>
      </c>
      <c r="K166" s="8">
        <v>2015</v>
      </c>
      <c r="L166" s="8">
        <v>1</v>
      </c>
      <c r="M166" s="8">
        <v>330</v>
      </c>
      <c r="N166" s="1" t="s">
        <v>832</v>
      </c>
      <c r="O166" s="1">
        <f t="shared" si="5"/>
        <v>7</v>
      </c>
    </row>
    <row r="167" spans="1:15" hidden="1" x14ac:dyDescent="0.25">
      <c r="A167" s="14">
        <v>-90.194041000000013</v>
      </c>
      <c r="B167" s="16">
        <f t="shared" si="4"/>
        <v>-67.598966138999998</v>
      </c>
      <c r="C167" s="9" t="s">
        <v>421</v>
      </c>
      <c r="D167" s="9" t="s">
        <v>422</v>
      </c>
      <c r="E167" s="9" t="s">
        <v>15</v>
      </c>
      <c r="F167" s="9">
        <v>47.007701774437578</v>
      </c>
      <c r="G167" s="9">
        <v>6.8166264001557115</v>
      </c>
      <c r="H167" s="8">
        <v>6</v>
      </c>
      <c r="I167" s="8">
        <v>10</v>
      </c>
      <c r="J167" s="8">
        <v>11</v>
      </c>
      <c r="K167" s="8">
        <v>2015</v>
      </c>
      <c r="L167" s="8">
        <v>1</v>
      </c>
      <c r="M167" s="8">
        <v>330</v>
      </c>
      <c r="N167" s="1" t="s">
        <v>832</v>
      </c>
      <c r="O167" s="1">
        <f t="shared" si="5"/>
        <v>7</v>
      </c>
    </row>
    <row r="168" spans="1:15" hidden="1" x14ac:dyDescent="0.25">
      <c r="A168" s="14">
        <v>-88.845365700000016</v>
      </c>
      <c r="B168" s="16">
        <f t="shared" si="4"/>
        <v>-66.278613020300014</v>
      </c>
      <c r="C168" s="9" t="s">
        <v>327</v>
      </c>
      <c r="D168" s="9" t="s">
        <v>328</v>
      </c>
      <c r="E168" s="9" t="s">
        <v>117</v>
      </c>
      <c r="F168" s="9">
        <v>46.163514181245702</v>
      </c>
      <c r="G168" s="9">
        <v>8.6245785667226755</v>
      </c>
      <c r="H168" s="8">
        <v>6</v>
      </c>
      <c r="I168" s="8">
        <v>7</v>
      </c>
      <c r="J168" s="8">
        <v>11</v>
      </c>
      <c r="K168" s="8">
        <v>2015</v>
      </c>
      <c r="L168" s="8">
        <v>1</v>
      </c>
      <c r="M168" s="8">
        <v>332</v>
      </c>
      <c r="N168" s="1" t="s">
        <v>832</v>
      </c>
      <c r="O168" s="1">
        <f t="shared" si="5"/>
        <v>7</v>
      </c>
    </row>
    <row r="169" spans="1:15" hidden="1" x14ac:dyDescent="0.25">
      <c r="A169" s="11">
        <v>-96.645900000000012</v>
      </c>
      <c r="B169" s="16">
        <f t="shared" si="4"/>
        <v>-73.915336100000019</v>
      </c>
      <c r="C169" s="1" t="s">
        <v>157</v>
      </c>
      <c r="D169" s="1" t="s">
        <v>158</v>
      </c>
      <c r="E169" s="1" t="s">
        <v>12</v>
      </c>
      <c r="F169" s="1">
        <v>46.804493363773332</v>
      </c>
      <c r="G169" s="1">
        <v>7.0511016846746797</v>
      </c>
      <c r="H169" s="1">
        <v>6</v>
      </c>
      <c r="I169" s="1">
        <v>7</v>
      </c>
      <c r="J169" s="1">
        <v>11</v>
      </c>
      <c r="K169" s="1">
        <v>2013</v>
      </c>
      <c r="L169" s="1">
        <v>1</v>
      </c>
      <c r="M169" s="1">
        <v>333</v>
      </c>
      <c r="N169" s="1" t="s">
        <v>832</v>
      </c>
      <c r="O169" s="1">
        <f t="shared" si="5"/>
        <v>7</v>
      </c>
    </row>
    <row r="170" spans="1:15" hidden="1" x14ac:dyDescent="0.25">
      <c r="A170" s="14">
        <v>-92.425887500000002</v>
      </c>
      <c r="B170" s="16">
        <f t="shared" si="4"/>
        <v>-69.783943862499996</v>
      </c>
      <c r="C170" s="9" t="s">
        <v>467</v>
      </c>
      <c r="D170" s="9" t="s">
        <v>468</v>
      </c>
      <c r="E170" s="9" t="s">
        <v>117</v>
      </c>
      <c r="F170" s="9">
        <v>46.077772370995881</v>
      </c>
      <c r="G170" s="9">
        <v>9.051912040646755</v>
      </c>
      <c r="H170" s="8">
        <v>5</v>
      </c>
      <c r="I170" s="8">
        <v>31</v>
      </c>
      <c r="J170" s="8">
        <v>10</v>
      </c>
      <c r="K170" s="8">
        <v>2015</v>
      </c>
      <c r="L170" s="8">
        <v>1</v>
      </c>
      <c r="M170" s="8">
        <v>340</v>
      </c>
      <c r="N170" s="1" t="s">
        <v>832</v>
      </c>
      <c r="O170" s="1">
        <f t="shared" si="5"/>
        <v>7</v>
      </c>
    </row>
    <row r="171" spans="1:15" hidden="1" x14ac:dyDescent="0.25">
      <c r="A171" s="14">
        <v>-96.543299200000021</v>
      </c>
      <c r="B171" s="16">
        <f t="shared" si="4"/>
        <v>-73.814889916800013</v>
      </c>
      <c r="C171" s="9" t="s">
        <v>776</v>
      </c>
      <c r="D171" s="9" t="s">
        <v>777</v>
      </c>
      <c r="E171" s="9" t="s">
        <v>15</v>
      </c>
      <c r="F171" s="9">
        <v>46.929369271167076</v>
      </c>
      <c r="G171" s="9">
        <v>6.4823000144271612</v>
      </c>
      <c r="H171" s="8">
        <v>5</v>
      </c>
      <c r="I171" s="8">
        <v>14</v>
      </c>
      <c r="J171" s="8">
        <v>11</v>
      </c>
      <c r="K171" s="8">
        <v>2015</v>
      </c>
      <c r="L171" s="8">
        <v>1</v>
      </c>
      <c r="M171" s="8">
        <v>341</v>
      </c>
      <c r="N171" s="1" t="s">
        <v>832</v>
      </c>
      <c r="O171" s="1">
        <f t="shared" si="5"/>
        <v>7</v>
      </c>
    </row>
    <row r="172" spans="1:15" hidden="1" x14ac:dyDescent="0.25">
      <c r="A172" s="11">
        <v>-88.444626</v>
      </c>
      <c r="B172" s="16">
        <f t="shared" si="4"/>
        <v>-65.886288853999986</v>
      </c>
      <c r="C172" s="1" t="s">
        <v>58</v>
      </c>
      <c r="D172" s="1" t="s">
        <v>59</v>
      </c>
      <c r="E172" s="1" t="s">
        <v>12</v>
      </c>
      <c r="F172" s="1">
        <v>46.673079344102291</v>
      </c>
      <c r="G172" s="1">
        <v>6.8840071456208092</v>
      </c>
      <c r="H172" s="1">
        <v>6</v>
      </c>
      <c r="I172" s="1">
        <v>6</v>
      </c>
      <c r="J172" s="1">
        <v>11</v>
      </c>
      <c r="K172" s="1">
        <v>2012</v>
      </c>
      <c r="L172" s="1">
        <v>1</v>
      </c>
      <c r="M172" s="1">
        <v>348</v>
      </c>
      <c r="N172" s="1" t="s">
        <v>832</v>
      </c>
      <c r="O172" s="1">
        <f t="shared" si="5"/>
        <v>7</v>
      </c>
    </row>
    <row r="173" spans="1:15" hidden="1" x14ac:dyDescent="0.25">
      <c r="A173" s="14">
        <v>-97.530420000000007</v>
      </c>
      <c r="B173" s="16">
        <f t="shared" si="4"/>
        <v>-74.781281180000008</v>
      </c>
      <c r="C173" s="9" t="s">
        <v>577</v>
      </c>
      <c r="D173" s="9" t="s">
        <v>578</v>
      </c>
      <c r="E173" s="9" t="s">
        <v>117</v>
      </c>
      <c r="F173" s="9">
        <v>46.020942365548635</v>
      </c>
      <c r="G173" s="9">
        <v>9.0075376959780797</v>
      </c>
      <c r="H173" s="8">
        <v>5</v>
      </c>
      <c r="I173" s="8">
        <v>18</v>
      </c>
      <c r="J173" s="8">
        <v>11</v>
      </c>
      <c r="K173" s="8">
        <v>2015</v>
      </c>
      <c r="L173" s="8">
        <v>1</v>
      </c>
      <c r="M173" s="8">
        <v>350</v>
      </c>
      <c r="N173" s="1" t="s">
        <v>832</v>
      </c>
      <c r="O173" s="1">
        <f t="shared" si="5"/>
        <v>7</v>
      </c>
    </row>
    <row r="174" spans="1:15" hidden="1" x14ac:dyDescent="0.25">
      <c r="A174" s="11">
        <v>-88.821401999999978</v>
      </c>
      <c r="B174" s="16">
        <f t="shared" si="4"/>
        <v>-66.255152557999963</v>
      </c>
      <c r="C174" s="1" t="s">
        <v>144</v>
      </c>
      <c r="D174" s="1" t="s">
        <v>39</v>
      </c>
      <c r="E174" s="1" t="s">
        <v>15</v>
      </c>
      <c r="F174" s="1">
        <v>46.965379611351494</v>
      </c>
      <c r="G174" s="1">
        <v>6.6488310538820592</v>
      </c>
      <c r="H174" s="1">
        <v>6</v>
      </c>
      <c r="I174" s="1">
        <v>5</v>
      </c>
      <c r="J174" s="1">
        <v>11</v>
      </c>
      <c r="K174" s="1">
        <v>2013</v>
      </c>
      <c r="L174" s="1">
        <v>1</v>
      </c>
      <c r="M174" s="1">
        <v>351</v>
      </c>
      <c r="N174" s="1" t="s">
        <v>832</v>
      </c>
      <c r="O174" s="1">
        <f t="shared" si="5"/>
        <v>7</v>
      </c>
    </row>
    <row r="175" spans="1:15" hidden="1" x14ac:dyDescent="0.25">
      <c r="A175" s="11">
        <v>-94.60172399999999</v>
      </c>
      <c r="B175" s="16">
        <f t="shared" si="4"/>
        <v>-71.91408779599999</v>
      </c>
      <c r="C175" s="1" t="s">
        <v>163</v>
      </c>
      <c r="D175" s="1" t="s">
        <v>164</v>
      </c>
      <c r="E175" s="1" t="s">
        <v>15</v>
      </c>
      <c r="F175" s="1">
        <v>46.93836345287869</v>
      </c>
      <c r="G175" s="1">
        <v>6.5444734131211488</v>
      </c>
      <c r="H175" s="1">
        <v>5</v>
      </c>
      <c r="I175" s="1">
        <v>9</v>
      </c>
      <c r="J175" s="1">
        <v>11</v>
      </c>
      <c r="K175" s="1">
        <v>2013</v>
      </c>
      <c r="L175" s="1">
        <v>1</v>
      </c>
      <c r="M175" s="1">
        <v>360</v>
      </c>
      <c r="N175" s="1" t="s">
        <v>832</v>
      </c>
      <c r="O175" s="1">
        <f t="shared" si="5"/>
        <v>7</v>
      </c>
    </row>
    <row r="176" spans="1:15" hidden="1" x14ac:dyDescent="0.25">
      <c r="A176" s="14">
        <v>-95.19418850000001</v>
      </c>
      <c r="B176" s="16">
        <f t="shared" si="4"/>
        <v>-72.494110541500021</v>
      </c>
      <c r="C176" s="9" t="s">
        <v>759</v>
      </c>
      <c r="D176" s="9" t="s">
        <v>760</v>
      </c>
      <c r="E176" s="9" t="s">
        <v>185</v>
      </c>
      <c r="F176" s="9">
        <v>46.391134446431941</v>
      </c>
      <c r="G176" s="9">
        <v>6.2035300290118052</v>
      </c>
      <c r="H176" s="8">
        <v>4</v>
      </c>
      <c r="I176" s="8">
        <v>4</v>
      </c>
      <c r="J176" s="8">
        <v>12</v>
      </c>
      <c r="K176" s="8">
        <v>2015</v>
      </c>
      <c r="L176" s="8">
        <v>1</v>
      </c>
      <c r="M176" s="8">
        <v>364</v>
      </c>
      <c r="N176" s="1" t="s">
        <v>832</v>
      </c>
      <c r="O176" s="1">
        <f t="shared" si="5"/>
        <v>7</v>
      </c>
    </row>
    <row r="177" spans="1:15" hidden="1" x14ac:dyDescent="0.25">
      <c r="A177" s="14">
        <v>-90.8621768</v>
      </c>
      <c r="B177" s="16">
        <f t="shared" si="4"/>
        <v>-68.253071087199999</v>
      </c>
      <c r="C177" s="9" t="s">
        <v>792</v>
      </c>
      <c r="D177" s="9" t="s">
        <v>793</v>
      </c>
      <c r="E177" s="9" t="s">
        <v>185</v>
      </c>
      <c r="F177" s="9">
        <v>46.803213311215309</v>
      </c>
      <c r="G177" s="9">
        <v>6.4427206508446506</v>
      </c>
      <c r="H177" s="8">
        <v>5</v>
      </c>
      <c r="I177" s="8">
        <v>30</v>
      </c>
      <c r="J177" s="8">
        <v>10</v>
      </c>
      <c r="K177" s="8">
        <v>2015</v>
      </c>
      <c r="L177" s="8">
        <v>1</v>
      </c>
      <c r="M177" s="8">
        <v>365</v>
      </c>
      <c r="N177" s="1" t="s">
        <v>832</v>
      </c>
      <c r="O177" s="1">
        <f t="shared" si="5"/>
        <v>7</v>
      </c>
    </row>
    <row r="178" spans="1:15" hidden="1" x14ac:dyDescent="0.25">
      <c r="A178" s="13">
        <v>-96.30079360000002</v>
      </c>
      <c r="B178" s="16">
        <f t="shared" si="4"/>
        <v>-73.577476934400011</v>
      </c>
      <c r="C178" s="6" t="s">
        <v>192</v>
      </c>
      <c r="D178" s="6" t="s">
        <v>193</v>
      </c>
      <c r="E178" s="6" t="s">
        <v>15</v>
      </c>
      <c r="F178" s="7">
        <v>47.079077147857021</v>
      </c>
      <c r="G178" s="7">
        <v>6.8846791196048498</v>
      </c>
      <c r="H178" s="7">
        <v>6</v>
      </c>
      <c r="I178" s="7">
        <v>13</v>
      </c>
      <c r="J178" s="7">
        <v>10</v>
      </c>
      <c r="K178" s="7">
        <v>2014</v>
      </c>
      <c r="L178" s="7">
        <v>1</v>
      </c>
      <c r="M178" s="7">
        <v>370</v>
      </c>
      <c r="N178" s="1" t="s">
        <v>832</v>
      </c>
      <c r="O178" s="1">
        <f t="shared" si="5"/>
        <v>7</v>
      </c>
    </row>
    <row r="179" spans="1:15" hidden="1" x14ac:dyDescent="0.25">
      <c r="A179" s="14">
        <v>-91.442917100000003</v>
      </c>
      <c r="B179" s="16">
        <f t="shared" si="4"/>
        <v>-68.821615840899995</v>
      </c>
      <c r="C179" s="9" t="s">
        <v>371</v>
      </c>
      <c r="D179" s="9" t="s">
        <v>372</v>
      </c>
      <c r="E179" s="9" t="s">
        <v>15</v>
      </c>
      <c r="F179" s="9">
        <v>46.933648572458338</v>
      </c>
      <c r="G179" s="9">
        <v>6.5736275220209626</v>
      </c>
      <c r="H179" s="8">
        <v>6</v>
      </c>
      <c r="I179" s="8">
        <v>16</v>
      </c>
      <c r="J179" s="8">
        <v>11</v>
      </c>
      <c r="K179" s="8">
        <v>2015</v>
      </c>
      <c r="L179" s="8">
        <v>1</v>
      </c>
      <c r="M179" s="8">
        <v>372</v>
      </c>
      <c r="N179" s="1" t="s">
        <v>832</v>
      </c>
      <c r="O179" s="1">
        <f t="shared" si="5"/>
        <v>7</v>
      </c>
    </row>
    <row r="180" spans="1:15" hidden="1" x14ac:dyDescent="0.25">
      <c r="A180" s="11">
        <v>-96.807500400000009</v>
      </c>
      <c r="B180" s="16">
        <f t="shared" si="4"/>
        <v>-74.073542891599999</v>
      </c>
      <c r="C180" s="1" t="s">
        <v>113</v>
      </c>
      <c r="D180" s="1" t="s">
        <v>17</v>
      </c>
      <c r="E180" s="1" t="s">
        <v>15</v>
      </c>
      <c r="F180" s="1">
        <v>47.023205257354263</v>
      </c>
      <c r="G180" s="1">
        <v>6.7648297331828466</v>
      </c>
      <c r="H180" s="1">
        <v>6</v>
      </c>
      <c r="I180" s="1">
        <v>16</v>
      </c>
      <c r="J180" s="1">
        <v>10</v>
      </c>
      <c r="K180" s="1">
        <v>2013</v>
      </c>
      <c r="L180" s="1">
        <v>1</v>
      </c>
      <c r="M180" s="1">
        <v>382</v>
      </c>
      <c r="N180" s="1" t="s">
        <v>832</v>
      </c>
      <c r="O180" s="1">
        <f t="shared" si="5"/>
        <v>7</v>
      </c>
    </row>
    <row r="181" spans="1:15" hidden="1" x14ac:dyDescent="0.25">
      <c r="A181" s="14">
        <v>-93.586436500000005</v>
      </c>
      <c r="B181" s="16">
        <f t="shared" si="4"/>
        <v>-70.920121333499992</v>
      </c>
      <c r="C181" s="9" t="s">
        <v>709</v>
      </c>
      <c r="D181" s="9" t="s">
        <v>710</v>
      </c>
      <c r="E181" s="9" t="s">
        <v>117</v>
      </c>
      <c r="F181" s="9">
        <v>46.02745639576019</v>
      </c>
      <c r="G181" s="9">
        <v>8.8236163506207284</v>
      </c>
      <c r="H181" s="8">
        <v>5</v>
      </c>
      <c r="I181" s="8">
        <v>16</v>
      </c>
      <c r="J181" s="8">
        <v>10</v>
      </c>
      <c r="K181" s="8">
        <v>2015</v>
      </c>
      <c r="L181" s="8">
        <v>1</v>
      </c>
      <c r="M181" s="9" t="s">
        <v>835</v>
      </c>
      <c r="N181" s="1" t="s">
        <v>832</v>
      </c>
      <c r="O181" s="1">
        <f t="shared" si="5"/>
        <v>7</v>
      </c>
    </row>
    <row r="182" spans="1:15" x14ac:dyDescent="0.25">
      <c r="A182" s="11">
        <v>-97.848523200000017</v>
      </c>
      <c r="B182" s="16">
        <f t="shared" si="4"/>
        <v>-75.092704212800015</v>
      </c>
      <c r="C182" s="1" t="s">
        <v>815</v>
      </c>
      <c r="D182" s="1" t="s">
        <v>816</v>
      </c>
      <c r="E182" s="1" t="s">
        <v>15</v>
      </c>
      <c r="F182" s="1">
        <v>46.939315999999998</v>
      </c>
      <c r="G182" s="1">
        <v>6.7455800000000004</v>
      </c>
      <c r="H182" s="1">
        <v>6</v>
      </c>
      <c r="I182" s="1">
        <v>20</v>
      </c>
      <c r="J182" s="1">
        <v>6</v>
      </c>
      <c r="K182" s="1">
        <v>2015</v>
      </c>
      <c r="L182" s="1">
        <v>1</v>
      </c>
      <c r="M182" s="1">
        <v>120</v>
      </c>
      <c r="N182" s="1" t="s">
        <v>817</v>
      </c>
      <c r="O182" s="1">
        <f t="shared" si="5"/>
        <v>8</v>
      </c>
    </row>
    <row r="183" spans="1:15" x14ac:dyDescent="0.25">
      <c r="A183" s="14">
        <v>-104.61879800000001</v>
      </c>
      <c r="B183" s="16">
        <f t="shared" si="4"/>
        <v>-81.720803242000017</v>
      </c>
      <c r="C183" s="9" t="s">
        <v>571</v>
      </c>
      <c r="D183" s="9" t="s">
        <v>572</v>
      </c>
      <c r="E183" s="9" t="s">
        <v>117</v>
      </c>
      <c r="F183" s="9">
        <v>45.899060658142126</v>
      </c>
      <c r="G183" s="9">
        <v>9.0443433190703253</v>
      </c>
      <c r="H183" s="8">
        <v>5</v>
      </c>
      <c r="I183" s="8">
        <v>17</v>
      </c>
      <c r="J183" s="8">
        <v>11</v>
      </c>
      <c r="K183" s="8">
        <v>2015</v>
      </c>
      <c r="L183" s="8">
        <v>1</v>
      </c>
      <c r="M183" s="8">
        <v>200</v>
      </c>
      <c r="N183" s="1" t="s">
        <v>832</v>
      </c>
      <c r="O183" s="1">
        <f t="shared" si="5"/>
        <v>8</v>
      </c>
    </row>
    <row r="184" spans="1:15" x14ac:dyDescent="0.25">
      <c r="A184" s="14">
        <v>-101.12845999999998</v>
      </c>
      <c r="B184" s="16">
        <f t="shared" si="4"/>
        <v>-78.303762339999963</v>
      </c>
      <c r="C184" s="9" t="s">
        <v>482</v>
      </c>
      <c r="D184" s="9" t="s">
        <v>483</v>
      </c>
      <c r="E184" s="9" t="s">
        <v>117</v>
      </c>
      <c r="F184" s="9">
        <v>46.129284110168939</v>
      </c>
      <c r="G184" s="9">
        <v>8.9033248585771876</v>
      </c>
      <c r="H184" s="8">
        <v>5</v>
      </c>
      <c r="I184" s="8">
        <v>18</v>
      </c>
      <c r="J184" s="8">
        <v>11</v>
      </c>
      <c r="K184" s="8">
        <v>2015</v>
      </c>
      <c r="L184" s="8">
        <v>1</v>
      </c>
      <c r="M184" s="8">
        <v>240</v>
      </c>
      <c r="N184" s="1" t="s">
        <v>832</v>
      </c>
      <c r="O184" s="1">
        <f t="shared" si="5"/>
        <v>8</v>
      </c>
    </row>
    <row r="185" spans="1:15" x14ac:dyDescent="0.25">
      <c r="A185" s="14">
        <v>-102.3051875</v>
      </c>
      <c r="B185" s="16">
        <f t="shared" si="4"/>
        <v>-79.455778562500001</v>
      </c>
      <c r="C185" s="9" t="s">
        <v>677</v>
      </c>
      <c r="D185" s="9" t="s">
        <v>678</v>
      </c>
      <c r="E185" s="9" t="s">
        <v>117</v>
      </c>
      <c r="F185" s="9">
        <v>46.055469715915692</v>
      </c>
      <c r="G185" s="9">
        <v>8.895905400651019</v>
      </c>
      <c r="H185" s="8">
        <v>6</v>
      </c>
      <c r="I185" s="8">
        <v>25</v>
      </c>
      <c r="J185" s="8">
        <v>10</v>
      </c>
      <c r="K185" s="8">
        <v>2015</v>
      </c>
      <c r="L185" s="8">
        <v>1</v>
      </c>
      <c r="M185" s="8">
        <v>262</v>
      </c>
      <c r="N185" s="1" t="s">
        <v>832</v>
      </c>
      <c r="O185" s="1">
        <f t="shared" si="5"/>
        <v>8</v>
      </c>
    </row>
    <row r="186" spans="1:15" x14ac:dyDescent="0.25">
      <c r="A186" s="14">
        <v>-105.86390150000004</v>
      </c>
      <c r="B186" s="16">
        <f t="shared" si="4"/>
        <v>-82.939759568500023</v>
      </c>
      <c r="C186" s="9" t="s">
        <v>389</v>
      </c>
      <c r="D186" s="9" t="s">
        <v>390</v>
      </c>
      <c r="E186" s="9" t="s">
        <v>117</v>
      </c>
      <c r="F186" s="9">
        <v>46.177372349435444</v>
      </c>
      <c r="G186" s="9">
        <v>8.6429597146774046</v>
      </c>
      <c r="H186" s="8">
        <v>3</v>
      </c>
      <c r="I186" s="8">
        <v>4</v>
      </c>
      <c r="J186" s="8">
        <v>11</v>
      </c>
      <c r="K186" s="8">
        <v>2015</v>
      </c>
      <c r="L186" s="8">
        <v>1</v>
      </c>
      <c r="M186" s="8">
        <v>264</v>
      </c>
      <c r="N186" s="1" t="s">
        <v>832</v>
      </c>
      <c r="O186" s="1">
        <f t="shared" si="5"/>
        <v>8</v>
      </c>
    </row>
    <row r="187" spans="1:15" x14ac:dyDescent="0.25">
      <c r="A187" s="14">
        <v>-98.145099999999999</v>
      </c>
      <c r="B187" s="16">
        <f t="shared" si="4"/>
        <v>-75.383052899999996</v>
      </c>
      <c r="C187" s="9" t="s">
        <v>569</v>
      </c>
      <c r="D187" s="9" t="s">
        <v>570</v>
      </c>
      <c r="E187" s="9" t="s">
        <v>117</v>
      </c>
      <c r="F187" s="9">
        <v>46.020301358038139</v>
      </c>
      <c r="G187" s="9">
        <v>8.9862357093270138</v>
      </c>
      <c r="H187" s="8">
        <v>5</v>
      </c>
      <c r="I187" s="8">
        <v>11</v>
      </c>
      <c r="J187" s="8">
        <v>11</v>
      </c>
      <c r="K187" s="8">
        <v>2015</v>
      </c>
      <c r="L187" s="8">
        <v>1</v>
      </c>
      <c r="M187" s="8">
        <v>265</v>
      </c>
      <c r="N187" s="1" t="s">
        <v>832</v>
      </c>
      <c r="O187" s="1">
        <f t="shared" si="5"/>
        <v>8</v>
      </c>
    </row>
    <row r="188" spans="1:15" x14ac:dyDescent="0.25">
      <c r="A188" s="14">
        <v>-106.0884497</v>
      </c>
      <c r="B188" s="16">
        <f t="shared" si="4"/>
        <v>-83.159592256299987</v>
      </c>
      <c r="C188" s="9" t="s">
        <v>401</v>
      </c>
      <c r="D188" s="9" t="s">
        <v>402</v>
      </c>
      <c r="E188" s="9" t="s">
        <v>117</v>
      </c>
      <c r="F188" s="9">
        <v>46.063590890588436</v>
      </c>
      <c r="G188" s="9">
        <v>8.9044714417548612</v>
      </c>
      <c r="H188" s="8">
        <v>4</v>
      </c>
      <c r="I188" s="8">
        <v>12</v>
      </c>
      <c r="J188" s="8">
        <v>11</v>
      </c>
      <c r="K188" s="8">
        <v>2015</v>
      </c>
      <c r="L188" s="8">
        <v>1</v>
      </c>
      <c r="M188" s="8">
        <v>270</v>
      </c>
      <c r="N188" s="1" t="s">
        <v>832</v>
      </c>
      <c r="O188" s="1">
        <f t="shared" si="5"/>
        <v>8</v>
      </c>
    </row>
    <row r="189" spans="1:15" x14ac:dyDescent="0.25">
      <c r="A189" s="14">
        <v>-105.85142660000001</v>
      </c>
      <c r="B189" s="16">
        <f t="shared" si="4"/>
        <v>-82.927546641399999</v>
      </c>
      <c r="C189" s="9" t="s">
        <v>415</v>
      </c>
      <c r="D189" s="9" t="s">
        <v>416</v>
      </c>
      <c r="E189" s="9" t="s">
        <v>117</v>
      </c>
      <c r="F189" s="9">
        <v>46.208074189208489</v>
      </c>
      <c r="G189" s="9">
        <v>8.6912994995461759</v>
      </c>
      <c r="H189" s="8">
        <v>6</v>
      </c>
      <c r="I189" s="8">
        <v>1</v>
      </c>
      <c r="J189" s="8">
        <v>11</v>
      </c>
      <c r="K189" s="8">
        <v>2015</v>
      </c>
      <c r="L189" s="8">
        <v>1</v>
      </c>
      <c r="M189" s="8">
        <v>280</v>
      </c>
      <c r="N189" s="1" t="s">
        <v>832</v>
      </c>
      <c r="O189" s="1">
        <f t="shared" si="5"/>
        <v>8</v>
      </c>
    </row>
    <row r="190" spans="1:15" x14ac:dyDescent="0.25">
      <c r="A190" s="14">
        <v>-102.32380210000004</v>
      </c>
      <c r="B190" s="16">
        <f t="shared" si="4"/>
        <v>-79.474002255900047</v>
      </c>
      <c r="C190" s="9" t="s">
        <v>387</v>
      </c>
      <c r="D190" s="9" t="s">
        <v>388</v>
      </c>
      <c r="E190" s="9" t="s">
        <v>117</v>
      </c>
      <c r="F190" s="9">
        <v>46.183553497990026</v>
      </c>
      <c r="G190" s="9">
        <v>8.6521630735094046</v>
      </c>
      <c r="H190" s="8">
        <v>6</v>
      </c>
      <c r="I190" s="8">
        <v>20</v>
      </c>
      <c r="J190" s="8">
        <v>10</v>
      </c>
      <c r="K190" s="8">
        <v>2015</v>
      </c>
      <c r="L190" s="8">
        <v>1</v>
      </c>
      <c r="M190" s="8">
        <v>280</v>
      </c>
      <c r="N190" s="1" t="s">
        <v>832</v>
      </c>
      <c r="O190" s="1">
        <f t="shared" si="5"/>
        <v>8</v>
      </c>
    </row>
    <row r="191" spans="1:15" x14ac:dyDescent="0.25">
      <c r="A191" s="13">
        <v>-101.25680920000002</v>
      </c>
      <c r="B191" s="16">
        <f t="shared" si="4"/>
        <v>-78.429416206800028</v>
      </c>
      <c r="C191" s="6" t="s">
        <v>246</v>
      </c>
      <c r="D191" s="6" t="s">
        <v>164</v>
      </c>
      <c r="E191" s="6" t="s">
        <v>15</v>
      </c>
      <c r="F191" s="7">
        <v>46.892391082344659</v>
      </c>
      <c r="G191" s="7">
        <v>6.494715374171693</v>
      </c>
      <c r="H191" s="7">
        <v>6</v>
      </c>
      <c r="I191" s="7">
        <v>29</v>
      </c>
      <c r="J191" s="7">
        <v>10</v>
      </c>
      <c r="K191" s="7">
        <v>2014</v>
      </c>
      <c r="L191" s="7">
        <v>1</v>
      </c>
      <c r="M191" s="7">
        <v>280</v>
      </c>
      <c r="N191" s="1" t="s">
        <v>832</v>
      </c>
      <c r="O191" s="1">
        <f t="shared" si="5"/>
        <v>8</v>
      </c>
    </row>
    <row r="192" spans="1:15" x14ac:dyDescent="0.25">
      <c r="A192" s="14">
        <v>-99.842454999999987</v>
      </c>
      <c r="B192" s="16">
        <f t="shared" si="4"/>
        <v>-77.044763444999973</v>
      </c>
      <c r="C192" s="9" t="s">
        <v>557</v>
      </c>
      <c r="D192" s="9" t="s">
        <v>558</v>
      </c>
      <c r="E192" s="9" t="s">
        <v>117</v>
      </c>
      <c r="F192" s="9">
        <v>46.498722969909558</v>
      </c>
      <c r="G192" s="9">
        <v>8.7879654500431794</v>
      </c>
      <c r="H192" s="8">
        <v>5</v>
      </c>
      <c r="I192" s="8">
        <v>5</v>
      </c>
      <c r="J192" s="8">
        <v>11</v>
      </c>
      <c r="K192" s="8">
        <v>2015</v>
      </c>
      <c r="L192" s="8">
        <v>1</v>
      </c>
      <c r="M192" s="8">
        <v>280</v>
      </c>
      <c r="N192" s="1" t="s">
        <v>832</v>
      </c>
      <c r="O192" s="1">
        <f t="shared" si="5"/>
        <v>8</v>
      </c>
    </row>
    <row r="193" spans="1:15" x14ac:dyDescent="0.25">
      <c r="A193" s="14">
        <v>-103.62525100000001</v>
      </c>
      <c r="B193" s="16">
        <f t="shared" si="4"/>
        <v>-80.748120728999993</v>
      </c>
      <c r="C193" s="9" t="s">
        <v>741</v>
      </c>
      <c r="D193" s="9" t="s">
        <v>742</v>
      </c>
      <c r="E193" s="9" t="s">
        <v>185</v>
      </c>
      <c r="F193" s="9">
        <v>46.605675553361486</v>
      </c>
      <c r="G193" s="9">
        <v>6.3317765109160886</v>
      </c>
      <c r="H193" s="8">
        <v>4</v>
      </c>
      <c r="I193" s="8">
        <v>2</v>
      </c>
      <c r="J193" s="8">
        <v>11</v>
      </c>
      <c r="K193" s="8">
        <v>2015</v>
      </c>
      <c r="L193" s="8">
        <v>1</v>
      </c>
      <c r="M193" s="8">
        <v>281</v>
      </c>
      <c r="N193" s="1" t="s">
        <v>832</v>
      </c>
      <c r="O193" s="1">
        <f t="shared" si="5"/>
        <v>8</v>
      </c>
    </row>
    <row r="194" spans="1:15" x14ac:dyDescent="0.25">
      <c r="A194" s="14">
        <v>-106.17856999999997</v>
      </c>
      <c r="B194" s="16">
        <f t="shared" ref="B194:B257" si="6">0.979*A194+20.701</f>
        <v>-83.247820029999957</v>
      </c>
      <c r="C194" s="9" t="s">
        <v>480</v>
      </c>
      <c r="D194" s="9" t="s">
        <v>180</v>
      </c>
      <c r="E194" s="9" t="s">
        <v>117</v>
      </c>
      <c r="F194" s="9">
        <v>46.12212224438214</v>
      </c>
      <c r="G194" s="9">
        <v>8.8293829567198046</v>
      </c>
      <c r="H194" s="8">
        <v>4</v>
      </c>
      <c r="I194" s="8">
        <v>27</v>
      </c>
      <c r="J194" s="8">
        <v>10</v>
      </c>
      <c r="K194" s="8">
        <v>2015</v>
      </c>
      <c r="L194" s="8">
        <v>1</v>
      </c>
      <c r="M194" s="8">
        <v>283</v>
      </c>
      <c r="N194" s="1" t="s">
        <v>832</v>
      </c>
      <c r="O194" s="1">
        <f t="shared" ref="O194:O257" si="7">ROUND(B194/10,0)*(-1)</f>
        <v>8</v>
      </c>
    </row>
    <row r="195" spans="1:15" x14ac:dyDescent="0.25">
      <c r="A195" s="13">
        <v>-101.0383468</v>
      </c>
      <c r="B195" s="16">
        <f t="shared" si="6"/>
        <v>-78.215541517199995</v>
      </c>
      <c r="C195" s="6" t="s">
        <v>308</v>
      </c>
      <c r="D195" s="6" t="s">
        <v>309</v>
      </c>
      <c r="E195" s="6" t="s">
        <v>12</v>
      </c>
      <c r="F195" s="7">
        <v>46.766875144230738</v>
      </c>
      <c r="G195" s="7">
        <v>7.0383723113710168</v>
      </c>
      <c r="H195" s="7">
        <v>4</v>
      </c>
      <c r="I195" s="7">
        <v>25</v>
      </c>
      <c r="J195" s="7">
        <v>11</v>
      </c>
      <c r="K195" s="7">
        <v>2014</v>
      </c>
      <c r="L195" s="7">
        <v>1</v>
      </c>
      <c r="M195" s="7">
        <v>284</v>
      </c>
      <c r="N195" s="1" t="s">
        <v>832</v>
      </c>
      <c r="O195" s="1">
        <f t="shared" si="7"/>
        <v>8</v>
      </c>
    </row>
    <row r="196" spans="1:15" x14ac:dyDescent="0.25">
      <c r="A196" s="14">
        <v>-97.79864400000001</v>
      </c>
      <c r="B196" s="16">
        <f t="shared" si="6"/>
        <v>-75.043872476000018</v>
      </c>
      <c r="C196" s="9" t="s">
        <v>592</v>
      </c>
      <c r="D196" s="9" t="s">
        <v>593</v>
      </c>
      <c r="E196" s="9" t="s">
        <v>12</v>
      </c>
      <c r="F196" s="9">
        <v>46.615210759980847</v>
      </c>
      <c r="G196" s="9">
        <v>6.9532295524636574</v>
      </c>
      <c r="H196" s="8">
        <v>5</v>
      </c>
      <c r="I196" s="8">
        <v>24</v>
      </c>
      <c r="J196" s="8">
        <v>10</v>
      </c>
      <c r="K196" s="8">
        <v>2015</v>
      </c>
      <c r="L196" s="8">
        <v>1</v>
      </c>
      <c r="M196" s="8">
        <v>285</v>
      </c>
      <c r="N196" s="1" t="s">
        <v>832</v>
      </c>
      <c r="O196" s="1">
        <f t="shared" si="7"/>
        <v>8</v>
      </c>
    </row>
    <row r="197" spans="1:15" x14ac:dyDescent="0.25">
      <c r="A197" s="14">
        <v>-101.30447199999999</v>
      </c>
      <c r="B197" s="16">
        <f t="shared" si="6"/>
        <v>-78.47607808799998</v>
      </c>
      <c r="C197" s="9" t="s">
        <v>755</v>
      </c>
      <c r="D197" s="9" t="s">
        <v>756</v>
      </c>
      <c r="E197" s="9" t="s">
        <v>185</v>
      </c>
      <c r="F197" s="9">
        <v>46.581415254255205</v>
      </c>
      <c r="G197" s="9">
        <v>6.3348823925408331</v>
      </c>
      <c r="H197" s="8">
        <v>4</v>
      </c>
      <c r="I197" s="8">
        <v>6</v>
      </c>
      <c r="J197" s="8">
        <v>11</v>
      </c>
      <c r="K197" s="8">
        <v>2015</v>
      </c>
      <c r="L197" s="8">
        <v>1</v>
      </c>
      <c r="M197" s="8">
        <v>287</v>
      </c>
      <c r="N197" s="1" t="s">
        <v>832</v>
      </c>
      <c r="O197" s="1">
        <f t="shared" si="7"/>
        <v>8</v>
      </c>
    </row>
    <row r="198" spans="1:15" x14ac:dyDescent="0.25">
      <c r="A198" s="14">
        <v>-100.02845650000002</v>
      </c>
      <c r="B198" s="16">
        <f t="shared" si="6"/>
        <v>-77.226858913500024</v>
      </c>
      <c r="C198" s="9" t="s">
        <v>681</v>
      </c>
      <c r="D198" s="9" t="s">
        <v>682</v>
      </c>
      <c r="E198" s="9" t="s">
        <v>117</v>
      </c>
      <c r="F198" s="9">
        <v>46.054510262739903</v>
      </c>
      <c r="G198" s="9">
        <v>8.8935666656855723</v>
      </c>
      <c r="H198" s="8">
        <v>5</v>
      </c>
      <c r="I198" s="8">
        <v>17</v>
      </c>
      <c r="J198" s="8">
        <v>10</v>
      </c>
      <c r="K198" s="8">
        <v>2015</v>
      </c>
      <c r="L198" s="8">
        <v>1</v>
      </c>
      <c r="M198" s="8">
        <v>288</v>
      </c>
      <c r="N198" s="1" t="s">
        <v>832</v>
      </c>
      <c r="O198" s="1">
        <f t="shared" si="7"/>
        <v>8</v>
      </c>
    </row>
    <row r="199" spans="1:15" x14ac:dyDescent="0.25">
      <c r="A199" s="14">
        <v>-107.024432</v>
      </c>
      <c r="B199" s="16">
        <f t="shared" si="6"/>
        <v>-84.075918927999993</v>
      </c>
      <c r="C199" s="9" t="s">
        <v>655</v>
      </c>
      <c r="D199" s="9" t="s">
        <v>656</v>
      </c>
      <c r="E199" s="9" t="s">
        <v>117</v>
      </c>
      <c r="F199" s="9">
        <v>46.125821542911467</v>
      </c>
      <c r="G199" s="9">
        <v>8.946941810247246</v>
      </c>
      <c r="H199" s="8">
        <v>5</v>
      </c>
      <c r="I199" s="9" t="s">
        <v>835</v>
      </c>
      <c r="J199" s="9" t="s">
        <v>835</v>
      </c>
      <c r="K199" s="8">
        <v>2015</v>
      </c>
      <c r="L199" s="8">
        <v>1</v>
      </c>
      <c r="M199" s="8">
        <v>290</v>
      </c>
      <c r="N199" s="1" t="s">
        <v>832</v>
      </c>
      <c r="O199" s="1">
        <f t="shared" si="7"/>
        <v>8</v>
      </c>
    </row>
    <row r="200" spans="1:15" x14ac:dyDescent="0.25">
      <c r="A200" s="14">
        <v>-103.13384050000001</v>
      </c>
      <c r="B200" s="16">
        <f t="shared" si="6"/>
        <v>-80.267029849500005</v>
      </c>
      <c r="C200" s="9" t="s">
        <v>721</v>
      </c>
      <c r="D200" s="9" t="s">
        <v>722</v>
      </c>
      <c r="E200" s="9" t="s">
        <v>117</v>
      </c>
      <c r="F200" s="9">
        <v>46.137214279490678</v>
      </c>
      <c r="G200" s="9">
        <v>8.9501300394122598</v>
      </c>
      <c r="H200" s="8">
        <v>5</v>
      </c>
      <c r="I200" s="8">
        <v>28</v>
      </c>
      <c r="J200" s="8">
        <v>10</v>
      </c>
      <c r="K200" s="8">
        <v>2015</v>
      </c>
      <c r="L200" s="8">
        <v>1</v>
      </c>
      <c r="M200" s="8">
        <v>290</v>
      </c>
      <c r="N200" s="1" t="s">
        <v>832</v>
      </c>
      <c r="O200" s="1">
        <f t="shared" si="7"/>
        <v>8</v>
      </c>
    </row>
    <row r="201" spans="1:15" x14ac:dyDescent="0.25">
      <c r="A201" s="14">
        <v>-101.48812100000002</v>
      </c>
      <c r="B201" s="16">
        <f t="shared" si="6"/>
        <v>-78.655870459000027</v>
      </c>
      <c r="C201" s="9" t="s">
        <v>565</v>
      </c>
      <c r="D201" s="9" t="s">
        <v>566</v>
      </c>
      <c r="E201" s="9" t="s">
        <v>117</v>
      </c>
      <c r="F201" s="9">
        <v>45.896663769762213</v>
      </c>
      <c r="G201" s="9">
        <v>9.0745418974057035</v>
      </c>
      <c r="H201" s="8">
        <v>5</v>
      </c>
      <c r="I201" s="8">
        <v>11</v>
      </c>
      <c r="J201" s="8">
        <v>11</v>
      </c>
      <c r="K201" s="8">
        <v>2015</v>
      </c>
      <c r="L201" s="8">
        <v>1</v>
      </c>
      <c r="M201" s="8">
        <v>290</v>
      </c>
      <c r="N201" s="1" t="s">
        <v>832</v>
      </c>
      <c r="O201" s="1">
        <f t="shared" si="7"/>
        <v>8</v>
      </c>
    </row>
    <row r="202" spans="1:15" x14ac:dyDescent="0.25">
      <c r="A202" s="14">
        <v>-100.41237020000001</v>
      </c>
      <c r="B202" s="16">
        <f t="shared" si="6"/>
        <v>-77.602710425800012</v>
      </c>
      <c r="C202" s="9" t="s">
        <v>393</v>
      </c>
      <c r="D202" s="9" t="s">
        <v>394</v>
      </c>
      <c r="E202" s="9" t="s">
        <v>117</v>
      </c>
      <c r="F202" s="9">
        <v>46.077698694501983</v>
      </c>
      <c r="G202" s="9">
        <v>8.8919220157614696</v>
      </c>
      <c r="H202" s="8">
        <v>4</v>
      </c>
      <c r="I202" s="8">
        <v>14</v>
      </c>
      <c r="J202" s="8">
        <v>11</v>
      </c>
      <c r="K202" s="8">
        <v>2015</v>
      </c>
      <c r="L202" s="8">
        <v>1</v>
      </c>
      <c r="M202" s="8">
        <v>290</v>
      </c>
      <c r="N202" s="1" t="s">
        <v>832</v>
      </c>
      <c r="O202" s="1">
        <f t="shared" si="7"/>
        <v>8</v>
      </c>
    </row>
    <row r="203" spans="1:15" x14ac:dyDescent="0.25">
      <c r="A203" s="14">
        <v>-98.969354999999993</v>
      </c>
      <c r="B203" s="16">
        <f t="shared" si="6"/>
        <v>-76.18999854499998</v>
      </c>
      <c r="C203" s="9" t="s">
        <v>531</v>
      </c>
      <c r="D203" s="9" t="s">
        <v>532</v>
      </c>
      <c r="E203" s="9" t="s">
        <v>117</v>
      </c>
      <c r="F203" s="9">
        <v>46.495552943104009</v>
      </c>
      <c r="G203" s="9">
        <v>8.7844342060316407</v>
      </c>
      <c r="H203" s="8">
        <v>5</v>
      </c>
      <c r="I203" s="8">
        <v>29</v>
      </c>
      <c r="J203" s="8">
        <v>10</v>
      </c>
      <c r="K203" s="8">
        <v>2015</v>
      </c>
      <c r="L203" s="8">
        <v>1</v>
      </c>
      <c r="M203" s="8">
        <v>290</v>
      </c>
      <c r="N203" s="1" t="s">
        <v>832</v>
      </c>
      <c r="O203" s="1">
        <f t="shared" si="7"/>
        <v>8</v>
      </c>
    </row>
    <row r="204" spans="1:15" x14ac:dyDescent="0.25">
      <c r="A204" s="14">
        <v>-104.36856099999999</v>
      </c>
      <c r="B204" s="16">
        <f t="shared" si="6"/>
        <v>-81.475821218999982</v>
      </c>
      <c r="C204" s="9" t="s">
        <v>663</v>
      </c>
      <c r="D204" s="9" t="s">
        <v>664</v>
      </c>
      <c r="E204" s="9" t="s">
        <v>117</v>
      </c>
      <c r="F204" s="9">
        <v>46.229098935116248</v>
      </c>
      <c r="G204" s="9">
        <v>8.6823845789103355</v>
      </c>
      <c r="H204" s="8">
        <v>5</v>
      </c>
      <c r="I204" s="8">
        <v>14</v>
      </c>
      <c r="J204" s="8">
        <v>11</v>
      </c>
      <c r="K204" s="8">
        <v>2015</v>
      </c>
      <c r="L204" s="8">
        <v>1</v>
      </c>
      <c r="M204" s="8">
        <v>291</v>
      </c>
      <c r="N204" s="1" t="s">
        <v>832</v>
      </c>
      <c r="O204" s="1">
        <f t="shared" si="7"/>
        <v>8</v>
      </c>
    </row>
    <row r="205" spans="1:15" x14ac:dyDescent="0.25">
      <c r="A205" s="14">
        <v>-100.90044499999998</v>
      </c>
      <c r="B205" s="16">
        <f t="shared" si="6"/>
        <v>-78.080535654999977</v>
      </c>
      <c r="C205" s="9" t="s">
        <v>484</v>
      </c>
      <c r="D205" s="9" t="s">
        <v>154</v>
      </c>
      <c r="E205" s="9" t="s">
        <v>117</v>
      </c>
      <c r="F205" s="9">
        <v>46.088522651186985</v>
      </c>
      <c r="G205" s="9">
        <v>8.8543881439873804</v>
      </c>
      <c r="H205" s="8">
        <v>4</v>
      </c>
      <c r="I205" s="8">
        <v>1</v>
      </c>
      <c r="J205" s="8">
        <v>11</v>
      </c>
      <c r="K205" s="8">
        <v>2015</v>
      </c>
      <c r="L205" s="8">
        <v>1</v>
      </c>
      <c r="M205" s="8">
        <v>294</v>
      </c>
      <c r="N205" s="1" t="s">
        <v>832</v>
      </c>
      <c r="O205" s="1">
        <f t="shared" si="7"/>
        <v>8</v>
      </c>
    </row>
    <row r="206" spans="1:15" x14ac:dyDescent="0.25">
      <c r="A206" s="14">
        <v>-107.84284699999999</v>
      </c>
      <c r="B206" s="16">
        <f t="shared" si="6"/>
        <v>-84.877147213000001</v>
      </c>
      <c r="C206" s="9" t="s">
        <v>737</v>
      </c>
      <c r="D206" s="9" t="s">
        <v>738</v>
      </c>
      <c r="E206" s="9" t="s">
        <v>117</v>
      </c>
      <c r="F206" s="9">
        <v>46.138003554854151</v>
      </c>
      <c r="G206" s="9">
        <v>8.9313852581848394</v>
      </c>
      <c r="H206" s="8">
        <v>5</v>
      </c>
      <c r="I206" s="8">
        <v>29</v>
      </c>
      <c r="J206" s="8">
        <v>10</v>
      </c>
      <c r="K206" s="8">
        <v>2015</v>
      </c>
      <c r="L206" s="8">
        <v>1</v>
      </c>
      <c r="M206" s="8">
        <v>295</v>
      </c>
      <c r="N206" s="1" t="s">
        <v>832</v>
      </c>
      <c r="O206" s="1">
        <f t="shared" si="7"/>
        <v>8</v>
      </c>
    </row>
    <row r="207" spans="1:15" x14ac:dyDescent="0.25">
      <c r="A207" s="14">
        <v>-106.02837100000004</v>
      </c>
      <c r="B207" s="16">
        <f t="shared" si="6"/>
        <v>-83.100775209000034</v>
      </c>
      <c r="C207" s="9" t="s">
        <v>629</v>
      </c>
      <c r="D207" s="9" t="s">
        <v>99</v>
      </c>
      <c r="E207" s="9" t="s">
        <v>12</v>
      </c>
      <c r="F207" s="9">
        <v>46.639900020989117</v>
      </c>
      <c r="G207" s="9">
        <v>7.0011102564682632</v>
      </c>
      <c r="H207" s="8">
        <v>3</v>
      </c>
      <c r="I207" s="8">
        <v>29</v>
      </c>
      <c r="J207" s="8">
        <v>10</v>
      </c>
      <c r="K207" s="8">
        <v>2015</v>
      </c>
      <c r="L207" s="8">
        <v>1</v>
      </c>
      <c r="M207" s="8">
        <v>295</v>
      </c>
      <c r="N207" s="1" t="s">
        <v>832</v>
      </c>
      <c r="O207" s="1">
        <f t="shared" si="7"/>
        <v>8</v>
      </c>
    </row>
    <row r="208" spans="1:15" x14ac:dyDescent="0.25">
      <c r="A208" s="14">
        <v>-104.197875</v>
      </c>
      <c r="B208" s="16">
        <f t="shared" si="6"/>
        <v>-81.308719624999981</v>
      </c>
      <c r="C208" s="9" t="s">
        <v>723</v>
      </c>
      <c r="D208" s="9" t="s">
        <v>724</v>
      </c>
      <c r="E208" s="9" t="s">
        <v>117</v>
      </c>
      <c r="F208" s="9">
        <v>46.135570826488134</v>
      </c>
      <c r="G208" s="9">
        <v>8.9384367439184036</v>
      </c>
      <c r="H208" s="8">
        <v>5</v>
      </c>
      <c r="I208" s="8">
        <v>21</v>
      </c>
      <c r="J208" s="8">
        <v>10</v>
      </c>
      <c r="K208" s="8">
        <v>2015</v>
      </c>
      <c r="L208" s="8">
        <v>1</v>
      </c>
      <c r="M208" s="8">
        <v>295</v>
      </c>
      <c r="N208" s="1" t="s">
        <v>832</v>
      </c>
      <c r="O208" s="1">
        <f t="shared" si="7"/>
        <v>8</v>
      </c>
    </row>
    <row r="209" spans="1:15" x14ac:dyDescent="0.25">
      <c r="A209" s="14">
        <v>-101.4519452</v>
      </c>
      <c r="B209" s="16">
        <f t="shared" si="6"/>
        <v>-78.620454350800003</v>
      </c>
      <c r="C209" s="9" t="s">
        <v>359</v>
      </c>
      <c r="D209" s="9" t="s">
        <v>360</v>
      </c>
      <c r="E209" s="9" t="s">
        <v>15</v>
      </c>
      <c r="F209" s="9">
        <v>46.978999503198125</v>
      </c>
      <c r="G209" s="9">
        <v>6.7538443785658835</v>
      </c>
      <c r="H209" s="8">
        <v>6</v>
      </c>
      <c r="I209" s="8">
        <v>13</v>
      </c>
      <c r="J209" s="8">
        <v>10</v>
      </c>
      <c r="K209" s="8">
        <v>2015</v>
      </c>
      <c r="L209" s="8">
        <v>1</v>
      </c>
      <c r="M209" s="8">
        <v>296</v>
      </c>
      <c r="N209" s="1" t="s">
        <v>832</v>
      </c>
      <c r="O209" s="1">
        <f t="shared" si="7"/>
        <v>8</v>
      </c>
    </row>
    <row r="210" spans="1:15" x14ac:dyDescent="0.25">
      <c r="A210" s="14">
        <v>-107.94859590000003</v>
      </c>
      <c r="B210" s="16">
        <f t="shared" si="6"/>
        <v>-84.980675386100017</v>
      </c>
      <c r="C210" s="9" t="s">
        <v>375</v>
      </c>
      <c r="D210" s="9" t="s">
        <v>376</v>
      </c>
      <c r="E210" s="9" t="s">
        <v>15</v>
      </c>
      <c r="F210" s="9">
        <v>46.929643635900817</v>
      </c>
      <c r="G210" s="9">
        <v>6.5580390335865495</v>
      </c>
      <c r="H210" s="8">
        <v>6</v>
      </c>
      <c r="I210" s="8">
        <v>17</v>
      </c>
      <c r="J210" s="8">
        <v>11</v>
      </c>
      <c r="K210" s="8">
        <v>2015</v>
      </c>
      <c r="L210" s="8">
        <v>1</v>
      </c>
      <c r="M210" s="8">
        <v>297</v>
      </c>
      <c r="N210" s="1" t="s">
        <v>832</v>
      </c>
      <c r="O210" s="1">
        <f t="shared" si="7"/>
        <v>8</v>
      </c>
    </row>
    <row r="211" spans="1:15" x14ac:dyDescent="0.25">
      <c r="A211" s="14">
        <v>-104.06986050000002</v>
      </c>
      <c r="B211" s="16">
        <f t="shared" si="6"/>
        <v>-81.183393429500029</v>
      </c>
      <c r="C211" s="9" t="s">
        <v>669</v>
      </c>
      <c r="D211" s="9" t="s">
        <v>670</v>
      </c>
      <c r="E211" s="9" t="s">
        <v>117</v>
      </c>
      <c r="F211" s="9">
        <v>46.05485587190789</v>
      </c>
      <c r="G211" s="9">
        <v>8.8925808234670463</v>
      </c>
      <c r="H211" s="8">
        <v>6</v>
      </c>
      <c r="I211" s="8">
        <v>3</v>
      </c>
      <c r="J211" s="8">
        <v>11</v>
      </c>
      <c r="K211" s="8">
        <v>2015</v>
      </c>
      <c r="L211" s="8">
        <v>1</v>
      </c>
      <c r="M211" s="8">
        <v>298</v>
      </c>
      <c r="N211" s="1" t="s">
        <v>832</v>
      </c>
      <c r="O211" s="1">
        <f t="shared" si="7"/>
        <v>8</v>
      </c>
    </row>
    <row r="212" spans="1:15" x14ac:dyDescent="0.25">
      <c r="A212" s="13">
        <v>-103.14734920000001</v>
      </c>
      <c r="B212" s="16">
        <f t="shared" si="6"/>
        <v>-80.280254866799993</v>
      </c>
      <c r="C212" s="6" t="s">
        <v>190</v>
      </c>
      <c r="D212" s="6" t="s">
        <v>191</v>
      </c>
      <c r="E212" s="6" t="s">
        <v>15</v>
      </c>
      <c r="F212" s="7">
        <v>47.080465049336972</v>
      </c>
      <c r="G212" s="7">
        <v>6.8815044349570469</v>
      </c>
      <c r="H212" s="7">
        <v>6</v>
      </c>
      <c r="I212" s="7">
        <v>11</v>
      </c>
      <c r="J212" s="7">
        <v>10</v>
      </c>
      <c r="K212" s="7">
        <v>2014</v>
      </c>
      <c r="L212" s="7">
        <v>1</v>
      </c>
      <c r="M212" s="7">
        <v>298</v>
      </c>
      <c r="N212" s="1" t="s">
        <v>832</v>
      </c>
      <c r="O212" s="1">
        <f t="shared" si="7"/>
        <v>8</v>
      </c>
    </row>
    <row r="213" spans="1:15" x14ac:dyDescent="0.25">
      <c r="A213" s="14">
        <v>-98.931611000000018</v>
      </c>
      <c r="B213" s="16">
        <f t="shared" si="6"/>
        <v>-76.153047169000018</v>
      </c>
      <c r="C213" s="9" t="s">
        <v>641</v>
      </c>
      <c r="D213" s="9" t="s">
        <v>642</v>
      </c>
      <c r="E213" s="9" t="s">
        <v>117</v>
      </c>
      <c r="F213" s="9">
        <v>46.0494335816649</v>
      </c>
      <c r="G213" s="9">
        <v>8.8769309066238229</v>
      </c>
      <c r="H213" s="8">
        <v>5</v>
      </c>
      <c r="I213" s="8">
        <v>8</v>
      </c>
      <c r="J213" s="8">
        <v>11</v>
      </c>
      <c r="K213" s="8">
        <v>2015</v>
      </c>
      <c r="L213" s="8">
        <v>1</v>
      </c>
      <c r="M213" s="8">
        <v>298</v>
      </c>
      <c r="N213" s="1" t="s">
        <v>832</v>
      </c>
      <c r="O213" s="1">
        <f t="shared" si="7"/>
        <v>8</v>
      </c>
    </row>
    <row r="214" spans="1:15" x14ac:dyDescent="0.25">
      <c r="A214" s="14">
        <v>-98.701105999999996</v>
      </c>
      <c r="B214" s="16">
        <f t="shared" si="6"/>
        <v>-75.927382773999994</v>
      </c>
      <c r="C214" s="9" t="s">
        <v>616</v>
      </c>
      <c r="D214" s="9" t="s">
        <v>260</v>
      </c>
      <c r="E214" s="9" t="s">
        <v>12</v>
      </c>
      <c r="F214" s="9">
        <v>46.68627755141565</v>
      </c>
      <c r="G214" s="9">
        <v>6.9470875208744447</v>
      </c>
      <c r="H214" s="8">
        <v>6</v>
      </c>
      <c r="I214" s="8">
        <v>28</v>
      </c>
      <c r="J214" s="8">
        <v>10</v>
      </c>
      <c r="K214" s="8">
        <v>2015</v>
      </c>
      <c r="L214" s="8">
        <v>1</v>
      </c>
      <c r="M214" s="8">
        <v>298</v>
      </c>
      <c r="N214" s="1" t="s">
        <v>832</v>
      </c>
      <c r="O214" s="1">
        <f t="shared" si="7"/>
        <v>8</v>
      </c>
    </row>
    <row r="215" spans="1:15" x14ac:dyDescent="0.25">
      <c r="A215" s="13">
        <v>-107.23511680000001</v>
      </c>
      <c r="B215" s="16">
        <f t="shared" si="6"/>
        <v>-84.282179347200014</v>
      </c>
      <c r="C215" s="6" t="s">
        <v>207</v>
      </c>
      <c r="D215" s="6" t="s">
        <v>208</v>
      </c>
      <c r="E215" s="6" t="s">
        <v>15</v>
      </c>
      <c r="F215" s="7">
        <v>46.947804763510284</v>
      </c>
      <c r="G215" s="7">
        <v>6.5450782140986918</v>
      </c>
      <c r="H215" s="7">
        <v>6</v>
      </c>
      <c r="I215" s="7">
        <v>18</v>
      </c>
      <c r="J215" s="7">
        <v>10</v>
      </c>
      <c r="K215" s="7">
        <v>2014</v>
      </c>
      <c r="L215" s="7">
        <v>1</v>
      </c>
      <c r="M215" s="7">
        <v>300</v>
      </c>
      <c r="N215" s="1" t="s">
        <v>832</v>
      </c>
      <c r="O215" s="1">
        <f t="shared" si="7"/>
        <v>8</v>
      </c>
    </row>
    <row r="216" spans="1:15" x14ac:dyDescent="0.25">
      <c r="A216" s="14">
        <v>-105.31171000000002</v>
      </c>
      <c r="B216" s="16">
        <f t="shared" si="6"/>
        <v>-82.399164090000028</v>
      </c>
      <c r="C216" s="9" t="s">
        <v>553</v>
      </c>
      <c r="D216" s="9" t="s">
        <v>554</v>
      </c>
      <c r="E216" s="9" t="s">
        <v>117</v>
      </c>
      <c r="F216" s="9">
        <v>45.885502387300825</v>
      </c>
      <c r="G216" s="9">
        <v>9.0717867177633877</v>
      </c>
      <c r="H216" s="8">
        <v>5</v>
      </c>
      <c r="I216" s="8">
        <v>3</v>
      </c>
      <c r="J216" s="8">
        <v>11</v>
      </c>
      <c r="K216" s="8">
        <v>2015</v>
      </c>
      <c r="L216" s="8">
        <v>1</v>
      </c>
      <c r="M216" s="8">
        <v>300</v>
      </c>
      <c r="N216" s="1" t="s">
        <v>832</v>
      </c>
      <c r="O216" s="1">
        <f t="shared" si="7"/>
        <v>8</v>
      </c>
    </row>
    <row r="217" spans="1:15" x14ac:dyDescent="0.25">
      <c r="A217" s="14">
        <v>-103.32517600000001</v>
      </c>
      <c r="B217" s="16">
        <f t="shared" si="6"/>
        <v>-80.454347304000009</v>
      </c>
      <c r="C217" s="9" t="s">
        <v>653</v>
      </c>
      <c r="D217" s="9" t="s">
        <v>654</v>
      </c>
      <c r="E217" s="9" t="s">
        <v>117</v>
      </c>
      <c r="F217" s="9">
        <v>46.053603662484498</v>
      </c>
      <c r="G217" s="9">
        <v>8.8730476821359439</v>
      </c>
      <c r="H217" s="8">
        <v>5</v>
      </c>
      <c r="I217" s="8">
        <v>3</v>
      </c>
      <c r="J217" s="8">
        <v>11</v>
      </c>
      <c r="K217" s="8">
        <v>2015</v>
      </c>
      <c r="L217" s="8">
        <v>1</v>
      </c>
      <c r="M217" s="8">
        <v>300</v>
      </c>
      <c r="N217" s="1" t="s">
        <v>832</v>
      </c>
      <c r="O217" s="1">
        <f t="shared" si="7"/>
        <v>8</v>
      </c>
    </row>
    <row r="218" spans="1:15" x14ac:dyDescent="0.25">
      <c r="A218" s="14">
        <v>-102.56221130000002</v>
      </c>
      <c r="B218" s="16">
        <f t="shared" si="6"/>
        <v>-79.707404862700002</v>
      </c>
      <c r="C218" s="9" t="s">
        <v>431</v>
      </c>
      <c r="D218" s="9" t="s">
        <v>432</v>
      </c>
      <c r="E218" s="9" t="s">
        <v>117</v>
      </c>
      <c r="F218" s="9">
        <v>46.072679300561255</v>
      </c>
      <c r="G218" s="9">
        <v>9.0304314879504961</v>
      </c>
      <c r="H218" s="8">
        <v>5</v>
      </c>
      <c r="I218" s="8">
        <v>14</v>
      </c>
      <c r="J218" s="8">
        <v>11</v>
      </c>
      <c r="K218" s="8">
        <v>2015</v>
      </c>
      <c r="L218" s="8">
        <v>1</v>
      </c>
      <c r="M218" s="8">
        <v>300</v>
      </c>
      <c r="N218" s="1" t="s">
        <v>832</v>
      </c>
      <c r="O218" s="1">
        <f t="shared" si="7"/>
        <v>8</v>
      </c>
    </row>
    <row r="219" spans="1:15" x14ac:dyDescent="0.25">
      <c r="A219" s="11">
        <v>-99.282610800000015</v>
      </c>
      <c r="B219" s="16">
        <f t="shared" si="6"/>
        <v>-76.496675973200013</v>
      </c>
      <c r="C219" s="1" t="s">
        <v>134</v>
      </c>
      <c r="D219" s="1" t="s">
        <v>135</v>
      </c>
      <c r="E219" s="1" t="s">
        <v>15</v>
      </c>
      <c r="F219" s="1">
        <v>46.930078502572016</v>
      </c>
      <c r="G219" s="1">
        <v>6.4918736964283363</v>
      </c>
      <c r="H219" s="1">
        <v>4</v>
      </c>
      <c r="I219" s="1">
        <v>31</v>
      </c>
      <c r="J219" s="1">
        <v>10</v>
      </c>
      <c r="K219" s="1">
        <v>2013</v>
      </c>
      <c r="L219" s="1">
        <v>1</v>
      </c>
      <c r="M219" s="1">
        <v>300</v>
      </c>
      <c r="N219" s="1" t="s">
        <v>832</v>
      </c>
      <c r="O219" s="1">
        <f t="shared" si="7"/>
        <v>8</v>
      </c>
    </row>
    <row r="220" spans="1:15" x14ac:dyDescent="0.25">
      <c r="A220" s="14">
        <v>-98.786474899999988</v>
      </c>
      <c r="B220" s="16">
        <f t="shared" si="6"/>
        <v>-76.010958927099978</v>
      </c>
      <c r="C220" s="9" t="s">
        <v>355</v>
      </c>
      <c r="D220" s="9" t="s">
        <v>356</v>
      </c>
      <c r="E220" s="9" t="s">
        <v>117</v>
      </c>
      <c r="F220" s="9">
        <v>46.150580811152651</v>
      </c>
      <c r="G220" s="9">
        <v>8.6965679147747839</v>
      </c>
      <c r="H220" s="8">
        <v>6</v>
      </c>
      <c r="I220" s="8">
        <v>18</v>
      </c>
      <c r="J220" s="8">
        <v>11</v>
      </c>
      <c r="K220" s="8">
        <v>2015</v>
      </c>
      <c r="L220" s="8">
        <v>1</v>
      </c>
      <c r="M220" s="8">
        <v>300</v>
      </c>
      <c r="N220" s="1" t="s">
        <v>832</v>
      </c>
      <c r="O220" s="1">
        <f t="shared" si="7"/>
        <v>8</v>
      </c>
    </row>
    <row r="221" spans="1:15" x14ac:dyDescent="0.25">
      <c r="A221" s="14">
        <v>-98.762076499999992</v>
      </c>
      <c r="B221" s="16">
        <f t="shared" si="6"/>
        <v>-75.987072893499999</v>
      </c>
      <c r="C221" s="9" t="s">
        <v>719</v>
      </c>
      <c r="D221" s="9" t="s">
        <v>720</v>
      </c>
      <c r="E221" s="9" t="s">
        <v>117</v>
      </c>
      <c r="F221" s="9">
        <v>46.137917822446376</v>
      </c>
      <c r="G221" s="9">
        <v>8.9378541522106456</v>
      </c>
      <c r="H221" s="8">
        <v>5</v>
      </c>
      <c r="I221" s="8">
        <v>21</v>
      </c>
      <c r="J221" s="8">
        <v>10</v>
      </c>
      <c r="K221" s="8">
        <v>2015</v>
      </c>
      <c r="L221" s="8">
        <v>1</v>
      </c>
      <c r="M221" s="8">
        <v>300</v>
      </c>
      <c r="N221" s="1" t="s">
        <v>832</v>
      </c>
      <c r="O221" s="1">
        <f t="shared" si="7"/>
        <v>8</v>
      </c>
    </row>
    <row r="222" spans="1:15" x14ac:dyDescent="0.25">
      <c r="A222" s="14">
        <v>-97.891210000000015</v>
      </c>
      <c r="B222" s="16">
        <f t="shared" si="6"/>
        <v>-75.134494590000003</v>
      </c>
      <c r="C222" s="9" t="s">
        <v>457</v>
      </c>
      <c r="D222" s="9" t="s">
        <v>458</v>
      </c>
      <c r="E222" s="9" t="s">
        <v>117</v>
      </c>
      <c r="F222" s="9">
        <v>46.080232430999068</v>
      </c>
      <c r="G222" s="9">
        <v>9.0371162229086135</v>
      </c>
      <c r="H222" s="8">
        <v>6</v>
      </c>
      <c r="I222" s="8">
        <v>29</v>
      </c>
      <c r="J222" s="8">
        <v>11</v>
      </c>
      <c r="K222" s="8">
        <v>2015</v>
      </c>
      <c r="L222" s="8">
        <v>1</v>
      </c>
      <c r="M222" s="8">
        <v>300</v>
      </c>
      <c r="N222" s="1" t="s">
        <v>832</v>
      </c>
      <c r="O222" s="1">
        <f t="shared" si="7"/>
        <v>8</v>
      </c>
    </row>
    <row r="223" spans="1:15" x14ac:dyDescent="0.25">
      <c r="A223" s="13">
        <v>-101.9402044</v>
      </c>
      <c r="B223" s="16">
        <f t="shared" si="6"/>
        <v>-79.098460107600005</v>
      </c>
      <c r="C223" s="6" t="s">
        <v>217</v>
      </c>
      <c r="D223" s="6" t="s">
        <v>218</v>
      </c>
      <c r="E223" s="6" t="s">
        <v>185</v>
      </c>
      <c r="F223" s="7">
        <v>46.854781410642637</v>
      </c>
      <c r="G223" s="7">
        <v>6.5026791035459768</v>
      </c>
      <c r="H223" s="7">
        <v>6</v>
      </c>
      <c r="I223" s="7">
        <v>23</v>
      </c>
      <c r="J223" s="7">
        <v>10</v>
      </c>
      <c r="K223" s="7">
        <v>2014</v>
      </c>
      <c r="L223" s="7">
        <v>1</v>
      </c>
      <c r="M223" s="7">
        <v>301</v>
      </c>
      <c r="N223" s="1" t="s">
        <v>832</v>
      </c>
      <c r="O223" s="1">
        <f t="shared" si="7"/>
        <v>8</v>
      </c>
    </row>
    <row r="224" spans="1:15" x14ac:dyDescent="0.25">
      <c r="A224" s="14">
        <v>-105.322886</v>
      </c>
      <c r="B224" s="16">
        <f t="shared" si="6"/>
        <v>-82.410105393999999</v>
      </c>
      <c r="C224" s="9" t="s">
        <v>619</v>
      </c>
      <c r="D224" s="9" t="s">
        <v>620</v>
      </c>
      <c r="E224" s="9" t="s">
        <v>12</v>
      </c>
      <c r="F224" s="9">
        <v>46.628905547244784</v>
      </c>
      <c r="G224" s="9">
        <v>6.90951880979771</v>
      </c>
      <c r="H224" s="8">
        <v>5</v>
      </c>
      <c r="I224" s="8">
        <v>3</v>
      </c>
      <c r="J224" s="8">
        <v>11</v>
      </c>
      <c r="K224" s="8">
        <v>2015</v>
      </c>
      <c r="L224" s="8">
        <v>1</v>
      </c>
      <c r="M224" s="8">
        <v>302</v>
      </c>
      <c r="N224" s="1" t="s">
        <v>832</v>
      </c>
      <c r="O224" s="1">
        <f t="shared" si="7"/>
        <v>8</v>
      </c>
    </row>
    <row r="225" spans="1:15" x14ac:dyDescent="0.25">
      <c r="A225" s="11">
        <v>-103.634772</v>
      </c>
      <c r="B225" s="16">
        <f t="shared" si="6"/>
        <v>-80.757441787999994</v>
      </c>
      <c r="C225" s="1" t="s">
        <v>116</v>
      </c>
      <c r="D225" s="1" t="s">
        <v>105</v>
      </c>
      <c r="E225" s="1" t="s">
        <v>15</v>
      </c>
      <c r="F225" s="1">
        <v>47.081049214954049</v>
      </c>
      <c r="G225" s="1">
        <v>6.8945349224687549</v>
      </c>
      <c r="H225" s="1">
        <v>6</v>
      </c>
      <c r="I225" s="1">
        <v>18</v>
      </c>
      <c r="J225" s="1">
        <v>10</v>
      </c>
      <c r="K225" s="1">
        <v>2013</v>
      </c>
      <c r="L225" s="1">
        <v>1</v>
      </c>
      <c r="M225" s="1">
        <v>303</v>
      </c>
      <c r="N225" s="1" t="s">
        <v>832</v>
      </c>
      <c r="O225" s="1">
        <f t="shared" si="7"/>
        <v>8</v>
      </c>
    </row>
    <row r="226" spans="1:15" x14ac:dyDescent="0.25">
      <c r="A226" s="14">
        <v>-100.22663280000002</v>
      </c>
      <c r="B226" s="16">
        <f t="shared" si="6"/>
        <v>-77.420873511200028</v>
      </c>
      <c r="C226" s="9" t="s">
        <v>357</v>
      </c>
      <c r="D226" s="9" t="s">
        <v>358</v>
      </c>
      <c r="E226" s="9" t="s">
        <v>117</v>
      </c>
      <c r="F226" s="9">
        <v>46.171195621176338</v>
      </c>
      <c r="G226" s="9">
        <v>8.6074709581070596</v>
      </c>
      <c r="H226" s="8">
        <v>6</v>
      </c>
      <c r="I226" s="8">
        <v>16</v>
      </c>
      <c r="J226" s="8">
        <v>10</v>
      </c>
      <c r="K226" s="8">
        <v>2015</v>
      </c>
      <c r="L226" s="8">
        <v>1</v>
      </c>
      <c r="M226" s="8">
        <v>303</v>
      </c>
      <c r="N226" s="1" t="s">
        <v>832</v>
      </c>
      <c r="O226" s="1">
        <f t="shared" si="7"/>
        <v>8</v>
      </c>
    </row>
    <row r="227" spans="1:15" x14ac:dyDescent="0.25">
      <c r="A227" s="14">
        <v>-98.624271000000007</v>
      </c>
      <c r="B227" s="16">
        <f t="shared" si="6"/>
        <v>-75.852161308999996</v>
      </c>
      <c r="C227" s="9" t="s">
        <v>610</v>
      </c>
      <c r="D227" s="9" t="s">
        <v>611</v>
      </c>
      <c r="E227" s="9" t="s">
        <v>12</v>
      </c>
      <c r="F227" s="9">
        <v>46.746853663818435</v>
      </c>
      <c r="G227" s="9">
        <v>7.0629795226859517</v>
      </c>
      <c r="H227" s="8">
        <v>5</v>
      </c>
      <c r="I227" s="8">
        <v>2</v>
      </c>
      <c r="J227" s="8">
        <v>12</v>
      </c>
      <c r="K227" s="8">
        <v>2015</v>
      </c>
      <c r="L227" s="8">
        <v>1</v>
      </c>
      <c r="M227" s="8">
        <v>303</v>
      </c>
      <c r="N227" s="1" t="s">
        <v>832</v>
      </c>
      <c r="O227" s="1">
        <f t="shared" si="7"/>
        <v>8</v>
      </c>
    </row>
    <row r="228" spans="1:15" x14ac:dyDescent="0.25">
      <c r="A228" s="14">
        <v>-103.53706799999999</v>
      </c>
      <c r="B228" s="16">
        <f t="shared" si="6"/>
        <v>-80.661789571999975</v>
      </c>
      <c r="C228" s="9" t="s">
        <v>812</v>
      </c>
      <c r="D228" s="9" t="s">
        <v>813</v>
      </c>
      <c r="E228" s="9" t="s">
        <v>814</v>
      </c>
      <c r="F228" s="9">
        <v>46.167495358429377</v>
      </c>
      <c r="G228" s="9">
        <v>7.3838442443108754</v>
      </c>
      <c r="H228" s="8">
        <v>6</v>
      </c>
      <c r="I228" s="8">
        <v>16</v>
      </c>
      <c r="J228" s="8">
        <v>10</v>
      </c>
      <c r="K228" s="8">
        <v>2015</v>
      </c>
      <c r="L228" s="8">
        <v>1</v>
      </c>
      <c r="M228" s="8">
        <v>304</v>
      </c>
      <c r="N228" s="1" t="s">
        <v>832</v>
      </c>
      <c r="O228" s="1">
        <f t="shared" si="7"/>
        <v>8</v>
      </c>
    </row>
    <row r="229" spans="1:15" x14ac:dyDescent="0.25">
      <c r="A229" s="11">
        <v>-97.846080799999982</v>
      </c>
      <c r="B229" s="16">
        <f t="shared" si="6"/>
        <v>-75.090313103199975</v>
      </c>
      <c r="C229" s="1" t="s">
        <v>118</v>
      </c>
      <c r="D229" s="1" t="s">
        <v>23</v>
      </c>
      <c r="E229" s="1" t="s">
        <v>15</v>
      </c>
      <c r="F229" s="1">
        <v>46.938453135446444</v>
      </c>
      <c r="G229" s="1">
        <v>6.5869466545923965</v>
      </c>
      <c r="H229" s="1">
        <v>6</v>
      </c>
      <c r="I229" s="1">
        <v>24</v>
      </c>
      <c r="J229" s="1">
        <v>10</v>
      </c>
      <c r="K229" s="1">
        <v>2013</v>
      </c>
      <c r="L229" s="1">
        <v>1</v>
      </c>
      <c r="M229" s="1">
        <v>307</v>
      </c>
      <c r="N229" s="1" t="s">
        <v>832</v>
      </c>
      <c r="O229" s="1">
        <f t="shared" si="7"/>
        <v>8</v>
      </c>
    </row>
    <row r="230" spans="1:15" x14ac:dyDescent="0.25">
      <c r="A230" s="14">
        <v>-107.87863600000001</v>
      </c>
      <c r="B230" s="16">
        <f t="shared" si="6"/>
        <v>-84.912184644000007</v>
      </c>
      <c r="C230" s="9" t="s">
        <v>671</v>
      </c>
      <c r="D230" s="9" t="s">
        <v>672</v>
      </c>
      <c r="E230" s="9" t="s">
        <v>117</v>
      </c>
      <c r="F230" s="9">
        <v>46.056275656589001</v>
      </c>
      <c r="G230" s="9">
        <v>8.8961982809138505</v>
      </c>
      <c r="H230" s="8">
        <v>5</v>
      </c>
      <c r="I230" s="8">
        <v>17</v>
      </c>
      <c r="J230" s="8">
        <v>10</v>
      </c>
      <c r="K230" s="8">
        <v>2015</v>
      </c>
      <c r="L230" s="8">
        <v>1</v>
      </c>
      <c r="M230" s="8">
        <v>309</v>
      </c>
      <c r="N230" s="1" t="s">
        <v>832</v>
      </c>
      <c r="O230" s="1">
        <f t="shared" si="7"/>
        <v>8</v>
      </c>
    </row>
    <row r="231" spans="1:15" x14ac:dyDescent="0.25">
      <c r="A231" s="14">
        <v>-102.93680999999999</v>
      </c>
      <c r="B231" s="16">
        <f t="shared" si="6"/>
        <v>-80.07413699</v>
      </c>
      <c r="C231" s="9" t="s">
        <v>600</v>
      </c>
      <c r="D231" s="9" t="s">
        <v>601</v>
      </c>
      <c r="E231" s="9" t="s">
        <v>12</v>
      </c>
      <c r="F231" s="9">
        <v>46.658313973199554</v>
      </c>
      <c r="G231" s="9">
        <v>6.9737857360356434</v>
      </c>
      <c r="H231" s="8">
        <v>5</v>
      </c>
      <c r="I231" s="8">
        <v>29</v>
      </c>
      <c r="J231" s="8">
        <v>10</v>
      </c>
      <c r="K231" s="8">
        <v>2015</v>
      </c>
      <c r="L231" s="8">
        <v>1</v>
      </c>
      <c r="M231" s="8">
        <v>310</v>
      </c>
      <c r="N231" s="1" t="s">
        <v>832</v>
      </c>
      <c r="O231" s="1">
        <f t="shared" si="7"/>
        <v>8</v>
      </c>
    </row>
    <row r="232" spans="1:15" x14ac:dyDescent="0.25">
      <c r="A232" s="14">
        <v>-102.2364778</v>
      </c>
      <c r="B232" s="16">
        <f t="shared" si="6"/>
        <v>-79.388511766199997</v>
      </c>
      <c r="C232" s="9" t="s">
        <v>403</v>
      </c>
      <c r="D232" s="9" t="s">
        <v>404</v>
      </c>
      <c r="E232" s="9" t="s">
        <v>117</v>
      </c>
      <c r="F232" s="9">
        <v>46.127756988458628</v>
      </c>
      <c r="G232" s="9">
        <v>8.9340164126776003</v>
      </c>
      <c r="H232" s="8">
        <v>4</v>
      </c>
      <c r="I232" s="8">
        <v>3</v>
      </c>
      <c r="J232" s="8">
        <v>11</v>
      </c>
      <c r="K232" s="8">
        <v>2015</v>
      </c>
      <c r="L232" s="8">
        <v>1</v>
      </c>
      <c r="M232" s="8">
        <v>310</v>
      </c>
      <c r="N232" s="1" t="s">
        <v>832</v>
      </c>
      <c r="O232" s="1">
        <f t="shared" si="7"/>
        <v>8</v>
      </c>
    </row>
    <row r="233" spans="1:15" x14ac:dyDescent="0.25">
      <c r="A233" s="14">
        <v>-100.29732389999999</v>
      </c>
      <c r="B233" s="16">
        <f t="shared" si="6"/>
        <v>-77.49008009809998</v>
      </c>
      <c r="C233" s="9" t="s">
        <v>419</v>
      </c>
      <c r="D233" s="9" t="s">
        <v>420</v>
      </c>
      <c r="E233" s="9" t="s">
        <v>117</v>
      </c>
      <c r="F233" s="9">
        <v>46.078493689539513</v>
      </c>
      <c r="G233" s="9">
        <v>8.9000233442147678</v>
      </c>
      <c r="H233" s="8">
        <v>4</v>
      </c>
      <c r="I233" s="8">
        <v>12</v>
      </c>
      <c r="J233" s="8">
        <v>11</v>
      </c>
      <c r="K233" s="8">
        <v>2015</v>
      </c>
      <c r="L233" s="8">
        <v>1</v>
      </c>
      <c r="M233" s="8">
        <v>310</v>
      </c>
      <c r="N233" s="1" t="s">
        <v>832</v>
      </c>
      <c r="O233" s="1">
        <f t="shared" si="7"/>
        <v>8</v>
      </c>
    </row>
    <row r="234" spans="1:15" x14ac:dyDescent="0.25">
      <c r="A234" s="14">
        <v>-99.84524900000001</v>
      </c>
      <c r="B234" s="16">
        <f t="shared" si="6"/>
        <v>-77.047498770999994</v>
      </c>
      <c r="C234" s="9" t="s">
        <v>559</v>
      </c>
      <c r="D234" s="9" t="s">
        <v>560</v>
      </c>
      <c r="E234" s="9" t="s">
        <v>117</v>
      </c>
      <c r="F234" s="9">
        <v>45.884601564979363</v>
      </c>
      <c r="G234" s="9">
        <v>9.0749548694668665</v>
      </c>
      <c r="H234" s="8">
        <v>5</v>
      </c>
      <c r="I234" s="8">
        <v>8</v>
      </c>
      <c r="J234" s="8">
        <v>11</v>
      </c>
      <c r="K234" s="8">
        <v>2015</v>
      </c>
      <c r="L234" s="8">
        <v>1</v>
      </c>
      <c r="M234" s="8">
        <v>315</v>
      </c>
      <c r="N234" s="1" t="s">
        <v>832</v>
      </c>
      <c r="O234" s="1">
        <f t="shared" si="7"/>
        <v>8</v>
      </c>
    </row>
    <row r="235" spans="1:15" x14ac:dyDescent="0.25">
      <c r="A235" s="14">
        <v>-105.55895950000003</v>
      </c>
      <c r="B235" s="16">
        <f t="shared" si="6"/>
        <v>-82.641221350500018</v>
      </c>
      <c r="C235" s="9" t="s">
        <v>429</v>
      </c>
      <c r="D235" s="9" t="s">
        <v>430</v>
      </c>
      <c r="E235" s="9" t="s">
        <v>15</v>
      </c>
      <c r="F235" s="9">
        <v>47.081147331008339</v>
      </c>
      <c r="G235" s="9">
        <v>6.748654918009616</v>
      </c>
      <c r="H235" s="8">
        <v>6</v>
      </c>
      <c r="I235" s="8">
        <v>14</v>
      </c>
      <c r="J235" s="8">
        <v>10</v>
      </c>
      <c r="K235" s="8">
        <v>2015</v>
      </c>
      <c r="L235" s="8">
        <v>1</v>
      </c>
      <c r="M235" s="8">
        <v>317</v>
      </c>
      <c r="N235" s="1" t="s">
        <v>832</v>
      </c>
      <c r="O235" s="1">
        <f t="shared" si="7"/>
        <v>8</v>
      </c>
    </row>
    <row r="236" spans="1:15" x14ac:dyDescent="0.25">
      <c r="A236" s="13">
        <v>-107.92836700000001</v>
      </c>
      <c r="B236" s="16">
        <f t="shared" si="6"/>
        <v>-84.960871292999997</v>
      </c>
      <c r="C236" s="6" t="s">
        <v>259</v>
      </c>
      <c r="D236" s="6" t="s">
        <v>260</v>
      </c>
      <c r="E236" s="6" t="s">
        <v>12</v>
      </c>
      <c r="F236" s="7">
        <v>46.537521605043167</v>
      </c>
      <c r="G236" s="7">
        <v>6.9656061491121868</v>
      </c>
      <c r="H236" s="7">
        <v>3</v>
      </c>
      <c r="I236" s="7">
        <v>3</v>
      </c>
      <c r="J236" s="7">
        <v>11</v>
      </c>
      <c r="K236" s="7">
        <v>2014</v>
      </c>
      <c r="L236" s="7">
        <v>1</v>
      </c>
      <c r="M236" s="7">
        <v>318</v>
      </c>
      <c r="N236" s="1" t="s">
        <v>832</v>
      </c>
      <c r="O236" s="1">
        <f t="shared" si="7"/>
        <v>8</v>
      </c>
    </row>
    <row r="237" spans="1:15" x14ac:dyDescent="0.25">
      <c r="A237" s="13">
        <v>-106.07122739999997</v>
      </c>
      <c r="B237" s="16">
        <f t="shared" si="6"/>
        <v>-83.142731624599975</v>
      </c>
      <c r="C237" s="6" t="s">
        <v>243</v>
      </c>
      <c r="D237" s="6" t="s">
        <v>244</v>
      </c>
      <c r="E237" s="6" t="s">
        <v>185</v>
      </c>
      <c r="F237" s="7">
        <v>46.682888851741943</v>
      </c>
      <c r="G237" s="7">
        <v>6.3158143881276079</v>
      </c>
      <c r="H237" s="7">
        <v>4</v>
      </c>
      <c r="I237" s="7">
        <v>28</v>
      </c>
      <c r="J237" s="7">
        <v>10</v>
      </c>
      <c r="K237" s="7">
        <v>2014</v>
      </c>
      <c r="L237" s="7">
        <v>1</v>
      </c>
      <c r="M237" s="7">
        <v>318</v>
      </c>
      <c r="N237" s="1" t="s">
        <v>832</v>
      </c>
      <c r="O237" s="1">
        <f t="shared" si="7"/>
        <v>8</v>
      </c>
    </row>
    <row r="238" spans="1:15" x14ac:dyDescent="0.25">
      <c r="A238" s="14">
        <v>-101.87021349999999</v>
      </c>
      <c r="B238" s="16">
        <f t="shared" si="6"/>
        <v>-79.029939016499981</v>
      </c>
      <c r="C238" s="9" t="s">
        <v>767</v>
      </c>
      <c r="D238" s="9" t="s">
        <v>768</v>
      </c>
      <c r="E238" s="9" t="s">
        <v>185</v>
      </c>
      <c r="F238" s="9">
        <v>46.659150100368294</v>
      </c>
      <c r="G238" s="9">
        <v>6.2810283555610074</v>
      </c>
      <c r="H238" s="8">
        <v>4</v>
      </c>
      <c r="I238" s="8">
        <v>10</v>
      </c>
      <c r="J238" s="8">
        <v>11</v>
      </c>
      <c r="K238" s="8">
        <v>2015</v>
      </c>
      <c r="L238" s="8">
        <v>1</v>
      </c>
      <c r="M238" s="8">
        <v>318</v>
      </c>
      <c r="N238" s="1" t="s">
        <v>832</v>
      </c>
      <c r="O238" s="1">
        <f t="shared" si="7"/>
        <v>8</v>
      </c>
    </row>
    <row r="239" spans="1:15" x14ac:dyDescent="0.25">
      <c r="A239" s="14">
        <v>-101.76243160000003</v>
      </c>
      <c r="B239" s="16">
        <f t="shared" si="6"/>
        <v>-78.924420536400021</v>
      </c>
      <c r="C239" s="9" t="s">
        <v>427</v>
      </c>
      <c r="D239" s="9" t="s">
        <v>428</v>
      </c>
      <c r="E239" s="9" t="s">
        <v>15</v>
      </c>
      <c r="F239" s="9">
        <v>47.083147745362346</v>
      </c>
      <c r="G239" s="9">
        <v>6.7567675781132985</v>
      </c>
      <c r="H239" s="8">
        <v>6</v>
      </c>
      <c r="I239" s="8">
        <v>2</v>
      </c>
      <c r="J239" s="8">
        <v>11</v>
      </c>
      <c r="K239" s="8">
        <v>2015</v>
      </c>
      <c r="L239" s="8">
        <v>1</v>
      </c>
      <c r="M239" s="8">
        <v>319</v>
      </c>
      <c r="N239" s="1" t="s">
        <v>832</v>
      </c>
      <c r="O239" s="1">
        <f t="shared" si="7"/>
        <v>8</v>
      </c>
    </row>
    <row r="240" spans="1:15" x14ac:dyDescent="0.25">
      <c r="A240" s="11">
        <v>-107.78146800000002</v>
      </c>
      <c r="B240" s="16">
        <f t="shared" si="6"/>
        <v>-84.817057172000005</v>
      </c>
      <c r="C240" s="1" t="s">
        <v>90</v>
      </c>
      <c r="D240" s="1" t="s">
        <v>91</v>
      </c>
      <c r="E240" s="1" t="s">
        <v>15</v>
      </c>
      <c r="F240" s="1">
        <v>46.965829143024628</v>
      </c>
      <c r="G240" s="1">
        <v>6.6384172807080795</v>
      </c>
      <c r="H240" s="1">
        <v>5</v>
      </c>
      <c r="I240" s="1">
        <v>15</v>
      </c>
      <c r="J240" s="1">
        <v>11</v>
      </c>
      <c r="K240" s="1">
        <v>2012</v>
      </c>
      <c r="L240" s="1">
        <v>1</v>
      </c>
      <c r="M240" s="1">
        <v>320</v>
      </c>
      <c r="N240" s="1" t="s">
        <v>832</v>
      </c>
      <c r="O240" s="1">
        <f t="shared" si="7"/>
        <v>8</v>
      </c>
    </row>
    <row r="241" spans="1:15" x14ac:dyDescent="0.25">
      <c r="A241" s="14">
        <v>-105.083535</v>
      </c>
      <c r="B241" s="16">
        <f t="shared" si="6"/>
        <v>-82.175780764999985</v>
      </c>
      <c r="C241" s="9" t="s">
        <v>493</v>
      </c>
      <c r="D241" s="9" t="s">
        <v>240</v>
      </c>
      <c r="E241" s="9" t="s">
        <v>117</v>
      </c>
      <c r="F241" s="9">
        <v>46.118460740616882</v>
      </c>
      <c r="G241" s="9">
        <v>8.8344646706914265</v>
      </c>
      <c r="H241" s="8">
        <v>4</v>
      </c>
      <c r="I241" s="8">
        <v>11</v>
      </c>
      <c r="J241" s="8">
        <v>11</v>
      </c>
      <c r="K241" s="8">
        <v>2015</v>
      </c>
      <c r="L241" s="8">
        <v>1</v>
      </c>
      <c r="M241" s="8">
        <v>320</v>
      </c>
      <c r="N241" s="1" t="s">
        <v>832</v>
      </c>
      <c r="O241" s="1">
        <f t="shared" si="7"/>
        <v>8</v>
      </c>
    </row>
    <row r="242" spans="1:15" x14ac:dyDescent="0.25">
      <c r="A242" s="14">
        <v>-103.85267040000001</v>
      </c>
      <c r="B242" s="16">
        <f t="shared" si="6"/>
        <v>-80.970764321600001</v>
      </c>
      <c r="C242" s="9" t="s">
        <v>331</v>
      </c>
      <c r="D242" s="9" t="s">
        <v>332</v>
      </c>
      <c r="E242" s="9" t="s">
        <v>117</v>
      </c>
      <c r="F242" s="9">
        <v>46.164360068862052</v>
      </c>
      <c r="G242" s="9">
        <v>8.6003196269084601</v>
      </c>
      <c r="H242" s="8">
        <v>6</v>
      </c>
      <c r="I242" s="8">
        <v>16</v>
      </c>
      <c r="J242" s="8">
        <v>10</v>
      </c>
      <c r="K242" s="8">
        <v>2015</v>
      </c>
      <c r="L242" s="8">
        <v>1</v>
      </c>
      <c r="M242" s="8">
        <v>320</v>
      </c>
      <c r="N242" s="1" t="s">
        <v>832</v>
      </c>
      <c r="O242" s="1">
        <f t="shared" si="7"/>
        <v>8</v>
      </c>
    </row>
    <row r="243" spans="1:15" x14ac:dyDescent="0.25">
      <c r="A243" s="13">
        <v>-101.18398840000003</v>
      </c>
      <c r="B243" s="16">
        <f t="shared" si="6"/>
        <v>-78.358124643600036</v>
      </c>
      <c r="C243" s="6" t="s">
        <v>200</v>
      </c>
      <c r="D243" s="6" t="s">
        <v>201</v>
      </c>
      <c r="E243" s="6" t="s">
        <v>15</v>
      </c>
      <c r="F243" s="7">
        <v>47.080022588413428</v>
      </c>
      <c r="G243" s="7">
        <v>6.8905027702199613</v>
      </c>
      <c r="H243" s="7">
        <v>6</v>
      </c>
      <c r="I243" s="7">
        <v>16</v>
      </c>
      <c r="J243" s="7">
        <v>10</v>
      </c>
      <c r="K243" s="7">
        <v>2014</v>
      </c>
      <c r="L243" s="7">
        <v>1</v>
      </c>
      <c r="M243" s="7">
        <v>320</v>
      </c>
      <c r="N243" s="1" t="s">
        <v>832</v>
      </c>
      <c r="O243" s="1">
        <f t="shared" si="7"/>
        <v>8</v>
      </c>
    </row>
    <row r="244" spans="1:15" x14ac:dyDescent="0.25">
      <c r="A244" s="14">
        <v>-101.13048900000003</v>
      </c>
      <c r="B244" s="16">
        <f t="shared" si="6"/>
        <v>-78.305748731000023</v>
      </c>
      <c r="C244" s="9" t="s">
        <v>630</v>
      </c>
      <c r="D244" s="9" t="s">
        <v>631</v>
      </c>
      <c r="E244" s="9" t="s">
        <v>12</v>
      </c>
      <c r="F244" s="9">
        <v>46.657988149901207</v>
      </c>
      <c r="G244" s="9">
        <v>7.027093794984097</v>
      </c>
      <c r="H244" s="8">
        <v>3</v>
      </c>
      <c r="I244" s="8">
        <v>9</v>
      </c>
      <c r="J244" s="8">
        <v>11</v>
      </c>
      <c r="K244" s="8">
        <v>2015</v>
      </c>
      <c r="L244" s="8">
        <v>1</v>
      </c>
      <c r="M244" s="8">
        <v>320</v>
      </c>
      <c r="N244" s="1" t="s">
        <v>832</v>
      </c>
      <c r="O244" s="1">
        <f t="shared" si="7"/>
        <v>8</v>
      </c>
    </row>
    <row r="245" spans="1:15" x14ac:dyDescent="0.25">
      <c r="A245" s="14">
        <v>-99.725107000000023</v>
      </c>
      <c r="B245" s="16">
        <f t="shared" si="6"/>
        <v>-76.929879753000023</v>
      </c>
      <c r="C245" s="9" t="s">
        <v>635</v>
      </c>
      <c r="D245" s="9" t="s">
        <v>636</v>
      </c>
      <c r="E245" s="9" t="s">
        <v>12</v>
      </c>
      <c r="F245" s="9">
        <v>46.594819721228227</v>
      </c>
      <c r="G245" s="9">
        <v>6.9753753174079849</v>
      </c>
      <c r="H245" s="8">
        <v>3</v>
      </c>
      <c r="I245" s="8">
        <v>7</v>
      </c>
      <c r="J245" s="8">
        <v>11</v>
      </c>
      <c r="K245" s="8">
        <v>2015</v>
      </c>
      <c r="L245" s="8">
        <v>1</v>
      </c>
      <c r="M245" s="8">
        <v>320</v>
      </c>
      <c r="N245" s="1" t="s">
        <v>832</v>
      </c>
      <c r="O245" s="1">
        <f t="shared" si="7"/>
        <v>8</v>
      </c>
    </row>
    <row r="246" spans="1:15" x14ac:dyDescent="0.25">
      <c r="A246" s="14">
        <v>-99.665060499999996</v>
      </c>
      <c r="B246" s="16">
        <f t="shared" si="6"/>
        <v>-76.871094229499988</v>
      </c>
      <c r="C246" s="9" t="s">
        <v>727</v>
      </c>
      <c r="D246" s="9" t="s">
        <v>728</v>
      </c>
      <c r="E246" s="9" t="s">
        <v>117</v>
      </c>
      <c r="F246" s="9">
        <v>46.137132417396934</v>
      </c>
      <c r="G246" s="9">
        <v>8.9360206433505702</v>
      </c>
      <c r="H246" s="8">
        <v>5</v>
      </c>
      <c r="I246" s="8">
        <v>21</v>
      </c>
      <c r="J246" s="8">
        <v>10</v>
      </c>
      <c r="K246" s="8">
        <v>2015</v>
      </c>
      <c r="L246" s="8">
        <v>1</v>
      </c>
      <c r="M246" s="8">
        <v>320</v>
      </c>
      <c r="N246" s="1" t="s">
        <v>832</v>
      </c>
      <c r="O246" s="1">
        <f t="shared" si="7"/>
        <v>8</v>
      </c>
    </row>
    <row r="247" spans="1:15" x14ac:dyDescent="0.25">
      <c r="A247" s="14">
        <v>-97.996772500000006</v>
      </c>
      <c r="B247" s="16">
        <f t="shared" si="6"/>
        <v>-75.237840277499998</v>
      </c>
      <c r="C247" s="9" t="s">
        <v>512</v>
      </c>
      <c r="D247" s="9" t="s">
        <v>513</v>
      </c>
      <c r="E247" s="9" t="s">
        <v>117</v>
      </c>
      <c r="F247" s="9">
        <v>46.074386606806435</v>
      </c>
      <c r="G247" s="9">
        <v>9.0369451095323914</v>
      </c>
      <c r="H247" s="8">
        <v>5</v>
      </c>
      <c r="I247" s="8">
        <v>8</v>
      </c>
      <c r="J247" s="8">
        <v>11</v>
      </c>
      <c r="K247" s="8">
        <v>2015</v>
      </c>
      <c r="L247" s="8">
        <v>1</v>
      </c>
      <c r="M247" s="8">
        <v>320</v>
      </c>
      <c r="N247" s="1" t="s">
        <v>832</v>
      </c>
      <c r="O247" s="1">
        <f t="shared" si="7"/>
        <v>8</v>
      </c>
    </row>
    <row r="248" spans="1:15" x14ac:dyDescent="0.25">
      <c r="A248" s="13">
        <v>-107.33454520000001</v>
      </c>
      <c r="B248" s="16">
        <f t="shared" si="6"/>
        <v>-84.3795197508</v>
      </c>
      <c r="C248" s="6" t="s">
        <v>194</v>
      </c>
      <c r="D248" s="6" t="s">
        <v>195</v>
      </c>
      <c r="E248" s="6" t="s">
        <v>15</v>
      </c>
      <c r="F248" s="7">
        <v>46.969531504566916</v>
      </c>
      <c r="G248" s="7">
        <v>6.6534745792463017</v>
      </c>
      <c r="H248" s="7">
        <v>6</v>
      </c>
      <c r="I248" s="7">
        <v>14</v>
      </c>
      <c r="J248" s="7">
        <v>10</v>
      </c>
      <c r="K248" s="7">
        <v>2014</v>
      </c>
      <c r="L248" s="7">
        <v>1</v>
      </c>
      <c r="M248" s="7">
        <v>322</v>
      </c>
      <c r="N248" s="1" t="s">
        <v>832</v>
      </c>
      <c r="O248" s="1">
        <f t="shared" si="7"/>
        <v>8</v>
      </c>
    </row>
    <row r="249" spans="1:15" x14ac:dyDescent="0.25">
      <c r="A249" s="14">
        <v>-103.53005600000002</v>
      </c>
      <c r="B249" s="16">
        <f t="shared" si="6"/>
        <v>-80.654924824000005</v>
      </c>
      <c r="C249" s="9" t="s">
        <v>788</v>
      </c>
      <c r="D249" s="9" t="s">
        <v>789</v>
      </c>
      <c r="E249" s="9" t="s">
        <v>185</v>
      </c>
      <c r="F249" s="9">
        <v>46.659996362355699</v>
      </c>
      <c r="G249" s="9">
        <v>6.2757835339421497</v>
      </c>
      <c r="H249" s="8">
        <v>4</v>
      </c>
      <c r="I249" s="8">
        <v>20</v>
      </c>
      <c r="J249" s="8">
        <v>11</v>
      </c>
      <c r="K249" s="8">
        <v>2015</v>
      </c>
      <c r="L249" s="8">
        <v>1</v>
      </c>
      <c r="M249" s="8">
        <v>322</v>
      </c>
      <c r="N249" s="1" t="s">
        <v>832</v>
      </c>
      <c r="O249" s="1">
        <f t="shared" si="7"/>
        <v>8</v>
      </c>
    </row>
    <row r="250" spans="1:15" x14ac:dyDescent="0.25">
      <c r="A250" s="13">
        <v>-107.1417003</v>
      </c>
      <c r="B250" s="16">
        <f t="shared" si="6"/>
        <v>-84.190724593699997</v>
      </c>
      <c r="C250" s="6" t="s">
        <v>304</v>
      </c>
      <c r="D250" s="6" t="s">
        <v>305</v>
      </c>
      <c r="E250" s="6" t="s">
        <v>185</v>
      </c>
      <c r="F250" s="7">
        <v>46.685007834742542</v>
      </c>
      <c r="G250" s="7">
        <v>6.2758985010179789</v>
      </c>
      <c r="H250" s="7">
        <v>5</v>
      </c>
      <c r="I250" s="7">
        <v>20</v>
      </c>
      <c r="J250" s="7">
        <v>11</v>
      </c>
      <c r="K250" s="7">
        <v>2014</v>
      </c>
      <c r="L250" s="7">
        <v>1</v>
      </c>
      <c r="M250" s="7">
        <v>323</v>
      </c>
      <c r="N250" s="1" t="s">
        <v>832</v>
      </c>
      <c r="O250" s="1">
        <f t="shared" si="7"/>
        <v>8</v>
      </c>
    </row>
    <row r="251" spans="1:15" x14ac:dyDescent="0.25">
      <c r="A251" s="14">
        <v>-105.6140224</v>
      </c>
      <c r="B251" s="16">
        <f t="shared" si="6"/>
        <v>-82.695127929600005</v>
      </c>
      <c r="C251" s="9" t="s">
        <v>810</v>
      </c>
      <c r="D251" s="9" t="s">
        <v>811</v>
      </c>
      <c r="E251" s="9" t="s">
        <v>185</v>
      </c>
      <c r="F251" s="9">
        <v>46.499941913074551</v>
      </c>
      <c r="G251" s="9">
        <v>6.3525013531956125</v>
      </c>
      <c r="H251" s="8">
        <v>6</v>
      </c>
      <c r="I251" s="8">
        <v>24</v>
      </c>
      <c r="J251" s="8">
        <v>11</v>
      </c>
      <c r="K251" s="8">
        <v>2015</v>
      </c>
      <c r="L251" s="8">
        <v>1</v>
      </c>
      <c r="M251" s="8">
        <v>323</v>
      </c>
      <c r="N251" s="1" t="s">
        <v>832</v>
      </c>
      <c r="O251" s="1">
        <f t="shared" si="7"/>
        <v>8</v>
      </c>
    </row>
    <row r="252" spans="1:15" x14ac:dyDescent="0.25">
      <c r="A252" s="13">
        <v>-103.35600880000001</v>
      </c>
      <c r="B252" s="16">
        <f t="shared" si="6"/>
        <v>-80.48453261520001</v>
      </c>
      <c r="C252" s="6" t="s">
        <v>265</v>
      </c>
      <c r="D252" s="6" t="s">
        <v>266</v>
      </c>
      <c r="E252" s="6" t="s">
        <v>12</v>
      </c>
      <c r="F252" s="7">
        <v>46.644320815536105</v>
      </c>
      <c r="G252" s="7">
        <v>6.9814818923166673</v>
      </c>
      <c r="H252" s="7">
        <v>3</v>
      </c>
      <c r="I252" s="7">
        <v>4</v>
      </c>
      <c r="J252" s="7">
        <v>11</v>
      </c>
      <c r="K252" s="7">
        <v>2014</v>
      </c>
      <c r="L252" s="7">
        <v>1</v>
      </c>
      <c r="M252" s="7">
        <v>324</v>
      </c>
      <c r="N252" s="1" t="s">
        <v>832</v>
      </c>
      <c r="O252" s="1">
        <f t="shared" si="7"/>
        <v>8</v>
      </c>
    </row>
    <row r="253" spans="1:15" x14ac:dyDescent="0.25">
      <c r="A253" s="14">
        <v>-107.53154300000001</v>
      </c>
      <c r="B253" s="16">
        <f t="shared" si="6"/>
        <v>-84.572380597000006</v>
      </c>
      <c r="C253" s="9" t="s">
        <v>547</v>
      </c>
      <c r="D253" s="9" t="s">
        <v>548</v>
      </c>
      <c r="E253" s="9" t="s">
        <v>117</v>
      </c>
      <c r="F253" s="9">
        <v>46.01732907391434</v>
      </c>
      <c r="G253" s="9">
        <v>9.0053419175482716</v>
      </c>
      <c r="H253" s="8">
        <v>5</v>
      </c>
      <c r="I253" s="8">
        <v>18</v>
      </c>
      <c r="J253" s="8">
        <v>10</v>
      </c>
      <c r="K253" s="8">
        <v>2015</v>
      </c>
      <c r="L253" s="8">
        <v>1</v>
      </c>
      <c r="M253" s="8">
        <v>325</v>
      </c>
      <c r="N253" s="1" t="s">
        <v>832</v>
      </c>
      <c r="O253" s="1">
        <f t="shared" si="7"/>
        <v>8</v>
      </c>
    </row>
    <row r="254" spans="1:15" x14ac:dyDescent="0.25">
      <c r="A254" s="14">
        <v>-105.70424250000001</v>
      </c>
      <c r="B254" s="16">
        <f t="shared" si="6"/>
        <v>-82.783453407499991</v>
      </c>
      <c r="C254" s="9" t="s">
        <v>460</v>
      </c>
      <c r="D254" s="9" t="s">
        <v>267</v>
      </c>
      <c r="E254" s="9" t="s">
        <v>117</v>
      </c>
      <c r="F254" s="9">
        <v>46.108451990026964</v>
      </c>
      <c r="G254" s="9">
        <v>9.0457042588434078</v>
      </c>
      <c r="H254" s="8">
        <v>5</v>
      </c>
      <c r="I254" s="8">
        <v>20</v>
      </c>
      <c r="J254" s="8">
        <v>10</v>
      </c>
      <c r="K254" s="8">
        <v>2015</v>
      </c>
      <c r="L254" s="8">
        <v>1</v>
      </c>
      <c r="M254" s="8">
        <v>325</v>
      </c>
      <c r="N254" s="1" t="s">
        <v>832</v>
      </c>
      <c r="O254" s="1">
        <f t="shared" si="7"/>
        <v>8</v>
      </c>
    </row>
    <row r="255" spans="1:15" x14ac:dyDescent="0.25">
      <c r="A255" s="14">
        <v>-101.04706649999999</v>
      </c>
      <c r="B255" s="16">
        <f t="shared" si="6"/>
        <v>-78.224078103499977</v>
      </c>
      <c r="C255" s="9" t="s">
        <v>733</v>
      </c>
      <c r="D255" s="9" t="s">
        <v>734</v>
      </c>
      <c r="E255" s="9" t="s">
        <v>117</v>
      </c>
      <c r="F255" s="9">
        <v>46.132821035694612</v>
      </c>
      <c r="G255" s="9">
        <v>8.9422435292814253</v>
      </c>
      <c r="H255" s="8">
        <v>5</v>
      </c>
      <c r="I255" s="8">
        <v>27</v>
      </c>
      <c r="J255" s="8">
        <v>10</v>
      </c>
      <c r="K255" s="8">
        <v>2015</v>
      </c>
      <c r="L255" s="8">
        <v>1</v>
      </c>
      <c r="M255" s="8">
        <v>325</v>
      </c>
      <c r="N255" s="1" t="s">
        <v>832</v>
      </c>
      <c r="O255" s="1">
        <f t="shared" si="7"/>
        <v>8</v>
      </c>
    </row>
    <row r="256" spans="1:15" x14ac:dyDescent="0.25">
      <c r="A256" s="11">
        <v>-100.2977928</v>
      </c>
      <c r="B256" s="16">
        <f t="shared" si="6"/>
        <v>-77.490539151199982</v>
      </c>
      <c r="C256" s="1" t="s">
        <v>129</v>
      </c>
      <c r="D256" s="1" t="s">
        <v>130</v>
      </c>
      <c r="E256" s="1" t="s">
        <v>15</v>
      </c>
      <c r="F256" s="1">
        <v>47.092297711644981</v>
      </c>
      <c r="G256" s="1">
        <v>6.8935909720693456</v>
      </c>
      <c r="H256" s="1">
        <v>5</v>
      </c>
      <c r="I256" s="1">
        <v>30</v>
      </c>
      <c r="J256" s="1">
        <v>10</v>
      </c>
      <c r="K256" s="1">
        <v>2013</v>
      </c>
      <c r="L256" s="1">
        <v>1</v>
      </c>
      <c r="M256" s="1">
        <v>325</v>
      </c>
      <c r="N256" s="1" t="s">
        <v>832</v>
      </c>
      <c r="O256" s="1">
        <f t="shared" si="7"/>
        <v>8</v>
      </c>
    </row>
    <row r="257" spans="1:15" x14ac:dyDescent="0.25">
      <c r="A257" s="11">
        <v>-98.405548799999991</v>
      </c>
      <c r="B257" s="16">
        <f t="shared" si="6"/>
        <v>-75.638032275199976</v>
      </c>
      <c r="C257" s="1" t="s">
        <v>147</v>
      </c>
      <c r="D257" s="1" t="s">
        <v>148</v>
      </c>
      <c r="E257" s="1" t="s">
        <v>12</v>
      </c>
      <c r="F257" s="1">
        <v>46.76427723785585</v>
      </c>
      <c r="G257" s="1">
        <v>7.0388890414357705</v>
      </c>
      <c r="H257" s="1">
        <v>6</v>
      </c>
      <c r="I257" s="1">
        <v>6</v>
      </c>
      <c r="J257" s="1">
        <v>11</v>
      </c>
      <c r="K257" s="1">
        <v>2013</v>
      </c>
      <c r="L257" s="1">
        <v>1</v>
      </c>
      <c r="M257" s="1">
        <v>325</v>
      </c>
      <c r="N257" s="1" t="s">
        <v>832</v>
      </c>
      <c r="O257" s="1">
        <f t="shared" si="7"/>
        <v>8</v>
      </c>
    </row>
    <row r="258" spans="1:15" x14ac:dyDescent="0.25">
      <c r="A258" s="14">
        <v>-98.351855999999984</v>
      </c>
      <c r="B258" s="16">
        <f t="shared" ref="B258:B321" si="8">0.979*A258+20.701</f>
        <v>-75.585467023999968</v>
      </c>
      <c r="C258" s="9" t="s">
        <v>594</v>
      </c>
      <c r="D258" s="9" t="s">
        <v>595</v>
      </c>
      <c r="E258" s="9" t="s">
        <v>12</v>
      </c>
      <c r="F258" s="9">
        <v>46.629317998768585</v>
      </c>
      <c r="G258" s="9">
        <v>6.9092274931329731</v>
      </c>
      <c r="H258" s="8">
        <v>5</v>
      </c>
      <c r="I258" s="8">
        <v>2</v>
      </c>
      <c r="J258" s="8">
        <v>11</v>
      </c>
      <c r="K258" s="8">
        <v>2015</v>
      </c>
      <c r="L258" s="8">
        <v>1</v>
      </c>
      <c r="M258" s="8">
        <v>325</v>
      </c>
      <c r="N258" s="1" t="s">
        <v>832</v>
      </c>
      <c r="O258" s="1">
        <f t="shared" ref="O258:O321" si="9">ROUND(B258/10,0)*(-1)</f>
        <v>8</v>
      </c>
    </row>
    <row r="259" spans="1:15" x14ac:dyDescent="0.25">
      <c r="A259" s="14">
        <v>-98.167080000000013</v>
      </c>
      <c r="B259" s="16">
        <f t="shared" si="8"/>
        <v>-75.404571320000002</v>
      </c>
      <c r="C259" s="9" t="s">
        <v>492</v>
      </c>
      <c r="D259" s="9" t="s">
        <v>248</v>
      </c>
      <c r="E259" s="9" t="s">
        <v>117</v>
      </c>
      <c r="F259" s="9">
        <v>46.128408652979402</v>
      </c>
      <c r="G259" s="9">
        <v>8.9692965201361794</v>
      </c>
      <c r="H259" s="8">
        <v>4</v>
      </c>
      <c r="I259" s="8">
        <v>24</v>
      </c>
      <c r="J259" s="8">
        <v>11</v>
      </c>
      <c r="K259" s="8">
        <v>2015</v>
      </c>
      <c r="L259" s="8">
        <v>1</v>
      </c>
      <c r="M259" s="8">
        <v>325</v>
      </c>
      <c r="N259" s="1" t="s">
        <v>832</v>
      </c>
      <c r="O259" s="1">
        <f t="shared" si="9"/>
        <v>8</v>
      </c>
    </row>
    <row r="260" spans="1:15" x14ac:dyDescent="0.25">
      <c r="A260" s="14">
        <v>-104.4497745</v>
      </c>
      <c r="B260" s="16">
        <f t="shared" si="8"/>
        <v>-81.555329235500011</v>
      </c>
      <c r="C260" s="9" t="s">
        <v>757</v>
      </c>
      <c r="D260" s="9" t="s">
        <v>758</v>
      </c>
      <c r="E260" s="9" t="s">
        <v>185</v>
      </c>
      <c r="F260" s="9">
        <v>46.5517762161871</v>
      </c>
      <c r="G260" s="9">
        <v>6.1672623852183044</v>
      </c>
      <c r="H260" s="8">
        <v>4</v>
      </c>
      <c r="I260" s="8">
        <v>16</v>
      </c>
      <c r="J260" s="8">
        <v>10</v>
      </c>
      <c r="K260" s="8">
        <v>2015</v>
      </c>
      <c r="L260" s="8">
        <v>1</v>
      </c>
      <c r="M260" s="8">
        <v>327</v>
      </c>
      <c r="N260" s="1" t="s">
        <v>832</v>
      </c>
      <c r="O260" s="1">
        <f t="shared" si="9"/>
        <v>8</v>
      </c>
    </row>
    <row r="261" spans="1:15" x14ac:dyDescent="0.25">
      <c r="A261" s="14">
        <v>-103.02761499999998</v>
      </c>
      <c r="B261" s="16">
        <f t="shared" si="8"/>
        <v>-80.16303508499999</v>
      </c>
      <c r="C261" s="9" t="s">
        <v>596</v>
      </c>
      <c r="D261" s="9" t="s">
        <v>597</v>
      </c>
      <c r="E261" s="9" t="s">
        <v>12</v>
      </c>
      <c r="F261" s="9">
        <v>46.657155380190233</v>
      </c>
      <c r="G261" s="9">
        <v>6.9742399077019464</v>
      </c>
      <c r="H261" s="8">
        <v>5</v>
      </c>
      <c r="I261" s="8">
        <v>29</v>
      </c>
      <c r="J261" s="8">
        <v>10</v>
      </c>
      <c r="K261" s="8">
        <v>2015</v>
      </c>
      <c r="L261" s="8">
        <v>1</v>
      </c>
      <c r="M261" s="8">
        <v>327</v>
      </c>
      <c r="N261" s="1" t="s">
        <v>832</v>
      </c>
      <c r="O261" s="1">
        <f t="shared" si="9"/>
        <v>8</v>
      </c>
    </row>
    <row r="262" spans="1:15" x14ac:dyDescent="0.25">
      <c r="A262" s="13">
        <v>-102.76888049999999</v>
      </c>
      <c r="B262" s="16">
        <f t="shared" si="8"/>
        <v>-79.909734009499999</v>
      </c>
      <c r="C262" s="6" t="s">
        <v>252</v>
      </c>
      <c r="D262" s="6" t="s">
        <v>253</v>
      </c>
      <c r="E262" s="6" t="s">
        <v>12</v>
      </c>
      <c r="F262" s="7">
        <v>46.662413413176665</v>
      </c>
      <c r="G262" s="7">
        <v>7.0074609853388896</v>
      </c>
      <c r="H262" s="7">
        <v>3</v>
      </c>
      <c r="I262" s="7">
        <v>30</v>
      </c>
      <c r="J262" s="7">
        <v>10</v>
      </c>
      <c r="K262" s="7">
        <v>2014</v>
      </c>
      <c r="L262" s="7">
        <v>1</v>
      </c>
      <c r="M262" s="7">
        <v>328</v>
      </c>
      <c r="N262" s="1" t="s">
        <v>832</v>
      </c>
      <c r="O262" s="1">
        <f t="shared" si="9"/>
        <v>8</v>
      </c>
    </row>
    <row r="263" spans="1:15" x14ac:dyDescent="0.25">
      <c r="A263" s="14">
        <v>-101.52041680000001</v>
      </c>
      <c r="B263" s="16">
        <f t="shared" si="8"/>
        <v>-78.687488047199992</v>
      </c>
      <c r="C263" s="9" t="s">
        <v>782</v>
      </c>
      <c r="D263" s="9" t="s">
        <v>783</v>
      </c>
      <c r="E263" s="9" t="s">
        <v>15</v>
      </c>
      <c r="F263" s="9">
        <v>46.907175552947052</v>
      </c>
      <c r="G263" s="9">
        <v>6.5526576633190974</v>
      </c>
      <c r="H263" s="8">
        <v>3</v>
      </c>
      <c r="I263" s="8">
        <v>5</v>
      </c>
      <c r="J263" s="8">
        <v>11</v>
      </c>
      <c r="K263" s="8">
        <v>2015</v>
      </c>
      <c r="L263" s="8">
        <v>1</v>
      </c>
      <c r="M263" s="8">
        <v>328</v>
      </c>
      <c r="N263" s="1" t="s">
        <v>832</v>
      </c>
      <c r="O263" s="1">
        <f t="shared" si="9"/>
        <v>8</v>
      </c>
    </row>
    <row r="264" spans="1:15" x14ac:dyDescent="0.25">
      <c r="A264" s="14">
        <v>-107.91152699999999</v>
      </c>
      <c r="B264" s="16">
        <f t="shared" si="8"/>
        <v>-84.944384932999981</v>
      </c>
      <c r="C264" s="9" t="s">
        <v>575</v>
      </c>
      <c r="D264" s="9" t="s">
        <v>576</v>
      </c>
      <c r="E264" s="9" t="s">
        <v>117</v>
      </c>
      <c r="F264" s="9">
        <v>46.524995359098085</v>
      </c>
      <c r="G264" s="9">
        <v>8.5755607750732565</v>
      </c>
      <c r="H264" s="8">
        <v>5</v>
      </c>
      <c r="I264" s="8">
        <v>18</v>
      </c>
      <c r="J264" s="8">
        <v>10</v>
      </c>
      <c r="K264" s="8">
        <v>2015</v>
      </c>
      <c r="L264" s="8">
        <v>1</v>
      </c>
      <c r="M264" s="8">
        <v>330</v>
      </c>
      <c r="N264" s="1" t="s">
        <v>832</v>
      </c>
      <c r="O264" s="1">
        <f t="shared" si="9"/>
        <v>8</v>
      </c>
    </row>
    <row r="265" spans="1:15" x14ac:dyDescent="0.25">
      <c r="A265" s="13">
        <v>-104.3726992</v>
      </c>
      <c r="B265" s="16">
        <f t="shared" si="8"/>
        <v>-81.479872516799986</v>
      </c>
      <c r="C265" s="6" t="s">
        <v>298</v>
      </c>
      <c r="D265" s="6" t="s">
        <v>299</v>
      </c>
      <c r="E265" s="6" t="s">
        <v>12</v>
      </c>
      <c r="F265" s="7">
        <v>46.658674253887661</v>
      </c>
      <c r="G265" s="7">
        <v>7.0179037621776468</v>
      </c>
      <c r="H265" s="7">
        <v>5</v>
      </c>
      <c r="I265" s="7">
        <v>19</v>
      </c>
      <c r="J265" s="7">
        <v>11</v>
      </c>
      <c r="K265" s="7">
        <v>2014</v>
      </c>
      <c r="L265" s="7">
        <v>1</v>
      </c>
      <c r="M265" s="7">
        <v>330</v>
      </c>
      <c r="N265" s="1" t="s">
        <v>832</v>
      </c>
      <c r="O265" s="1">
        <f t="shared" si="9"/>
        <v>8</v>
      </c>
    </row>
    <row r="266" spans="1:15" x14ac:dyDescent="0.25">
      <c r="A266" s="14">
        <v>-103.87838799999999</v>
      </c>
      <c r="B266" s="16">
        <f t="shared" si="8"/>
        <v>-80.995941851999987</v>
      </c>
      <c r="C266" s="9" t="s">
        <v>598</v>
      </c>
      <c r="D266" s="9" t="s">
        <v>599</v>
      </c>
      <c r="E266" s="9" t="s">
        <v>12</v>
      </c>
      <c r="F266" s="9">
        <v>46.609518264488138</v>
      </c>
      <c r="G266" s="9">
        <v>6.9432034548001793</v>
      </c>
      <c r="H266" s="8">
        <v>5</v>
      </c>
      <c r="I266" s="8">
        <v>17</v>
      </c>
      <c r="J266" s="8">
        <v>10</v>
      </c>
      <c r="K266" s="8">
        <v>2015</v>
      </c>
      <c r="L266" s="8">
        <v>1</v>
      </c>
      <c r="M266" s="8">
        <v>330</v>
      </c>
      <c r="N266" s="1" t="s">
        <v>832</v>
      </c>
      <c r="O266" s="1">
        <f t="shared" si="9"/>
        <v>8</v>
      </c>
    </row>
    <row r="267" spans="1:15" x14ac:dyDescent="0.25">
      <c r="A267" s="14">
        <v>-101.5400504</v>
      </c>
      <c r="B267" s="16">
        <f t="shared" si="8"/>
        <v>-78.706709341600003</v>
      </c>
      <c r="C267" s="9" t="s">
        <v>806</v>
      </c>
      <c r="D267" s="9" t="s">
        <v>807</v>
      </c>
      <c r="E267" s="9" t="s">
        <v>185</v>
      </c>
      <c r="F267" s="9">
        <v>46.52382740018539</v>
      </c>
      <c r="G267" s="9">
        <v>6.2448193162758736</v>
      </c>
      <c r="H267" s="8">
        <v>4</v>
      </c>
      <c r="I267" s="8">
        <v>17</v>
      </c>
      <c r="J267" s="8">
        <v>11</v>
      </c>
      <c r="K267" s="8">
        <v>2015</v>
      </c>
      <c r="L267" s="8">
        <v>1</v>
      </c>
      <c r="M267" s="8">
        <v>330</v>
      </c>
      <c r="N267" s="1" t="s">
        <v>832</v>
      </c>
      <c r="O267" s="1">
        <f t="shared" si="9"/>
        <v>8</v>
      </c>
    </row>
    <row r="268" spans="1:15" x14ac:dyDescent="0.25">
      <c r="A268" s="14">
        <v>-101.23012000000001</v>
      </c>
      <c r="B268" s="16">
        <f t="shared" si="8"/>
        <v>-78.403287480000017</v>
      </c>
      <c r="C268" s="9" t="s">
        <v>794</v>
      </c>
      <c r="D268" s="9" t="s">
        <v>795</v>
      </c>
      <c r="E268" s="9" t="s">
        <v>185</v>
      </c>
      <c r="F268" s="9">
        <v>46.663197648963411</v>
      </c>
      <c r="G268" s="9">
        <v>6.2809416121064494</v>
      </c>
      <c r="H268" s="8">
        <v>5</v>
      </c>
      <c r="I268" s="8">
        <v>12</v>
      </c>
      <c r="J268" s="8">
        <v>11</v>
      </c>
      <c r="K268" s="8">
        <v>2015</v>
      </c>
      <c r="L268" s="8">
        <v>1</v>
      </c>
      <c r="M268" s="8">
        <v>331</v>
      </c>
      <c r="N268" s="1" t="s">
        <v>832</v>
      </c>
      <c r="O268" s="1">
        <f t="shared" si="9"/>
        <v>8</v>
      </c>
    </row>
    <row r="269" spans="1:15" x14ac:dyDescent="0.25">
      <c r="A269" s="14">
        <v>-102.01886010000003</v>
      </c>
      <c r="B269" s="16">
        <f t="shared" si="8"/>
        <v>-79.175464037900014</v>
      </c>
      <c r="C269" s="9" t="s">
        <v>337</v>
      </c>
      <c r="D269" s="9" t="s">
        <v>338</v>
      </c>
      <c r="E269" s="9" t="s">
        <v>117</v>
      </c>
      <c r="F269" s="9">
        <v>46.21044669012629</v>
      </c>
      <c r="G269" s="9">
        <v>8.6890991764885328</v>
      </c>
      <c r="H269" s="8">
        <v>6</v>
      </c>
      <c r="I269" s="8">
        <v>18</v>
      </c>
      <c r="J269" s="8">
        <v>10</v>
      </c>
      <c r="K269" s="8">
        <v>2015</v>
      </c>
      <c r="L269" s="8">
        <v>1</v>
      </c>
      <c r="M269" s="8">
        <v>332</v>
      </c>
      <c r="N269" s="1" t="s">
        <v>832</v>
      </c>
      <c r="O269" s="1">
        <f t="shared" si="9"/>
        <v>8</v>
      </c>
    </row>
    <row r="270" spans="1:15" x14ac:dyDescent="0.25">
      <c r="A270" s="14">
        <v>-102.01377750000002</v>
      </c>
      <c r="B270" s="16">
        <f t="shared" si="8"/>
        <v>-79.170488172500001</v>
      </c>
      <c r="C270" s="9" t="s">
        <v>472</v>
      </c>
      <c r="D270" s="9" t="s">
        <v>176</v>
      </c>
      <c r="E270" s="9" t="s">
        <v>12</v>
      </c>
      <c r="F270" s="9">
        <v>46.735146785731374</v>
      </c>
      <c r="G270" s="9">
        <v>6.9461058789489361</v>
      </c>
      <c r="H270" s="8">
        <v>4</v>
      </c>
      <c r="I270" s="8">
        <v>21</v>
      </c>
      <c r="J270" s="8">
        <v>11</v>
      </c>
      <c r="K270" s="8">
        <v>2015</v>
      </c>
      <c r="L270" s="8">
        <v>1</v>
      </c>
      <c r="M270" s="8">
        <v>332</v>
      </c>
      <c r="N270" s="1" t="s">
        <v>832</v>
      </c>
      <c r="O270" s="1">
        <f t="shared" si="9"/>
        <v>8</v>
      </c>
    </row>
    <row r="271" spans="1:15" x14ac:dyDescent="0.25">
      <c r="A271" s="11">
        <v>-97.768815600000011</v>
      </c>
      <c r="B271" s="16">
        <f t="shared" si="8"/>
        <v>-75.014670472400013</v>
      </c>
      <c r="C271" s="1" t="s">
        <v>123</v>
      </c>
      <c r="D271" s="1" t="s">
        <v>25</v>
      </c>
      <c r="E271" s="1" t="s">
        <v>15</v>
      </c>
      <c r="F271" s="1">
        <v>46.972385261873455</v>
      </c>
      <c r="G271" s="1">
        <v>6.7625102762858393</v>
      </c>
      <c r="H271" s="1">
        <v>6</v>
      </c>
      <c r="I271" s="1">
        <v>26</v>
      </c>
      <c r="J271" s="1">
        <v>10</v>
      </c>
      <c r="K271" s="1">
        <v>2013</v>
      </c>
      <c r="L271" s="1">
        <v>1</v>
      </c>
      <c r="M271" s="1">
        <v>334</v>
      </c>
      <c r="N271" s="1" t="s">
        <v>832</v>
      </c>
      <c r="O271" s="1">
        <f t="shared" si="9"/>
        <v>8</v>
      </c>
    </row>
    <row r="272" spans="1:15" x14ac:dyDescent="0.25">
      <c r="A272" s="14">
        <v>-106.39339170000004</v>
      </c>
      <c r="B272" s="16">
        <f t="shared" si="8"/>
        <v>-83.45813047430002</v>
      </c>
      <c r="C272" s="9" t="s">
        <v>343</v>
      </c>
      <c r="D272" s="9" t="s">
        <v>344</v>
      </c>
      <c r="E272" s="9" t="s">
        <v>117</v>
      </c>
      <c r="F272" s="9">
        <v>46.166015450315612</v>
      </c>
      <c r="G272" s="9">
        <v>8.6313920032946143</v>
      </c>
      <c r="H272" s="8">
        <v>6</v>
      </c>
      <c r="I272" s="8">
        <v>25</v>
      </c>
      <c r="J272" s="8">
        <v>10</v>
      </c>
      <c r="K272" s="8">
        <v>2015</v>
      </c>
      <c r="L272" s="8">
        <v>1</v>
      </c>
      <c r="M272" s="8">
        <v>335</v>
      </c>
      <c r="N272" s="1" t="s">
        <v>832</v>
      </c>
      <c r="O272" s="1">
        <f t="shared" si="9"/>
        <v>8</v>
      </c>
    </row>
    <row r="273" spans="1:15" x14ac:dyDescent="0.25">
      <c r="A273" s="14">
        <v>-100.58426199999998</v>
      </c>
      <c r="B273" s="16">
        <f t="shared" si="8"/>
        <v>-77.77099249799997</v>
      </c>
      <c r="C273" s="9" t="s">
        <v>604</v>
      </c>
      <c r="D273" s="9" t="s">
        <v>605</v>
      </c>
      <c r="E273" s="9" t="s">
        <v>12</v>
      </c>
      <c r="F273" s="9">
        <v>46.642399553075919</v>
      </c>
      <c r="G273" s="9">
        <v>7.003127577039244</v>
      </c>
      <c r="H273" s="8">
        <v>5</v>
      </c>
      <c r="I273" s="8">
        <v>3</v>
      </c>
      <c r="J273" s="8">
        <v>11</v>
      </c>
      <c r="K273" s="8">
        <v>2015</v>
      </c>
      <c r="L273" s="8">
        <v>1</v>
      </c>
      <c r="M273" s="8">
        <v>336</v>
      </c>
      <c r="N273" s="1" t="s">
        <v>832</v>
      </c>
      <c r="O273" s="1">
        <f t="shared" si="9"/>
        <v>8</v>
      </c>
    </row>
    <row r="274" spans="1:15" x14ac:dyDescent="0.25">
      <c r="A274" s="13">
        <v>-101.65592320000002</v>
      </c>
      <c r="B274" s="16">
        <f t="shared" si="8"/>
        <v>-78.820148812800028</v>
      </c>
      <c r="C274" s="6" t="s">
        <v>290</v>
      </c>
      <c r="D274" s="6" t="s">
        <v>291</v>
      </c>
      <c r="E274" s="6" t="s">
        <v>12</v>
      </c>
      <c r="F274" s="7">
        <v>46.648218858478842</v>
      </c>
      <c r="G274" s="7">
        <v>7.0124074110384296</v>
      </c>
      <c r="H274" s="7">
        <v>4</v>
      </c>
      <c r="I274" s="7">
        <v>15</v>
      </c>
      <c r="J274" s="7">
        <v>11</v>
      </c>
      <c r="K274" s="7">
        <v>2014</v>
      </c>
      <c r="L274" s="7">
        <v>1</v>
      </c>
      <c r="M274" s="7">
        <v>337</v>
      </c>
      <c r="N274" s="1" t="s">
        <v>832</v>
      </c>
      <c r="O274" s="1">
        <f t="shared" si="9"/>
        <v>8</v>
      </c>
    </row>
    <row r="275" spans="1:15" x14ac:dyDescent="0.25">
      <c r="A275" s="14">
        <v>-100.24314249999999</v>
      </c>
      <c r="B275" s="16">
        <f t="shared" si="8"/>
        <v>-77.437036507499982</v>
      </c>
      <c r="C275" s="9" t="s">
        <v>485</v>
      </c>
      <c r="D275" s="9" t="s">
        <v>174</v>
      </c>
      <c r="E275" s="9" t="s">
        <v>117</v>
      </c>
      <c r="F275" s="9">
        <v>46.118460740616882</v>
      </c>
      <c r="G275" s="9">
        <v>8.8344646706914265</v>
      </c>
      <c r="H275" s="8">
        <v>4</v>
      </c>
      <c r="I275" s="8">
        <v>10</v>
      </c>
      <c r="J275" s="8">
        <v>11</v>
      </c>
      <c r="K275" s="8">
        <v>2015</v>
      </c>
      <c r="L275" s="8">
        <v>1</v>
      </c>
      <c r="M275" s="8">
        <v>337</v>
      </c>
      <c r="N275" s="1" t="s">
        <v>832</v>
      </c>
      <c r="O275" s="1">
        <f t="shared" si="9"/>
        <v>8</v>
      </c>
    </row>
    <row r="276" spans="1:15" x14ac:dyDescent="0.25">
      <c r="A276" s="14">
        <v>-107.13257300000002</v>
      </c>
      <c r="B276" s="16">
        <f t="shared" si="8"/>
        <v>-84.181788967000017</v>
      </c>
      <c r="C276" s="9" t="s">
        <v>679</v>
      </c>
      <c r="D276" s="9" t="s">
        <v>680</v>
      </c>
      <c r="E276" s="9" t="s">
        <v>117</v>
      </c>
      <c r="F276" s="9">
        <v>46.056523209385446</v>
      </c>
      <c r="G276" s="9">
        <v>8.894447347554383</v>
      </c>
      <c r="H276" s="8">
        <v>5</v>
      </c>
      <c r="I276" s="8">
        <v>22</v>
      </c>
      <c r="J276" s="8">
        <v>10</v>
      </c>
      <c r="K276" s="8">
        <v>2015</v>
      </c>
      <c r="L276" s="8">
        <v>1</v>
      </c>
      <c r="M276" s="8">
        <v>340</v>
      </c>
      <c r="N276" s="1" t="s">
        <v>832</v>
      </c>
      <c r="O276" s="1">
        <f t="shared" si="9"/>
        <v>8</v>
      </c>
    </row>
    <row r="277" spans="1:15" x14ac:dyDescent="0.25">
      <c r="A277" s="14">
        <v>-105.31999499999999</v>
      </c>
      <c r="B277" s="16">
        <f t="shared" si="8"/>
        <v>-82.407275104999997</v>
      </c>
      <c r="C277" s="9" t="s">
        <v>511</v>
      </c>
      <c r="D277" s="9" t="s">
        <v>124</v>
      </c>
      <c r="E277" s="9" t="s">
        <v>117</v>
      </c>
      <c r="F277" s="9">
        <v>46.06649298013145</v>
      </c>
      <c r="G277" s="9">
        <v>9.0224957015524847</v>
      </c>
      <c r="H277" s="8">
        <v>5</v>
      </c>
      <c r="I277" s="8">
        <v>1</v>
      </c>
      <c r="J277" s="8">
        <v>11</v>
      </c>
      <c r="K277" s="8">
        <v>2015</v>
      </c>
      <c r="L277" s="8">
        <v>1</v>
      </c>
      <c r="M277" s="8">
        <v>340</v>
      </c>
      <c r="N277" s="1" t="s">
        <v>832</v>
      </c>
      <c r="O277" s="1">
        <f t="shared" si="9"/>
        <v>8</v>
      </c>
    </row>
    <row r="278" spans="1:15" x14ac:dyDescent="0.25">
      <c r="A278" s="14">
        <v>-101.65154360000001</v>
      </c>
      <c r="B278" s="16">
        <f t="shared" si="8"/>
        <v>-78.815861184400006</v>
      </c>
      <c r="C278" s="9" t="s">
        <v>443</v>
      </c>
      <c r="D278" s="9" t="s">
        <v>444</v>
      </c>
      <c r="E278" s="9" t="s">
        <v>15</v>
      </c>
      <c r="F278" s="9">
        <v>47.026615680085257</v>
      </c>
      <c r="G278" s="9">
        <v>6.8345215662948391</v>
      </c>
      <c r="H278" s="8">
        <v>5</v>
      </c>
      <c r="I278" s="8">
        <v>7</v>
      </c>
      <c r="J278" s="8">
        <v>11</v>
      </c>
      <c r="K278" s="8">
        <v>2015</v>
      </c>
      <c r="L278" s="8">
        <v>1</v>
      </c>
      <c r="M278" s="8">
        <v>340</v>
      </c>
      <c r="N278" s="1" t="s">
        <v>832</v>
      </c>
      <c r="O278" s="1">
        <f t="shared" si="9"/>
        <v>8</v>
      </c>
    </row>
    <row r="279" spans="1:15" x14ac:dyDescent="0.25">
      <c r="A279" s="11">
        <v>-99.305806799999985</v>
      </c>
      <c r="B279" s="16">
        <f t="shared" si="8"/>
        <v>-76.519384857199981</v>
      </c>
      <c r="C279" s="1" t="s">
        <v>94</v>
      </c>
      <c r="D279" s="1" t="s">
        <v>95</v>
      </c>
      <c r="E279" s="1" t="s">
        <v>15</v>
      </c>
      <c r="F279" s="1">
        <v>46.970417461958604</v>
      </c>
      <c r="G279" s="1">
        <v>6.6514904099967191</v>
      </c>
      <c r="H279" s="1">
        <v>5</v>
      </c>
      <c r="I279" s="1">
        <v>15</v>
      </c>
      <c r="J279" s="1">
        <v>11</v>
      </c>
      <c r="K279" s="1">
        <v>2012</v>
      </c>
      <c r="L279" s="1">
        <v>1</v>
      </c>
      <c r="M279" s="1">
        <v>340</v>
      </c>
      <c r="N279" s="1" t="s">
        <v>832</v>
      </c>
      <c r="O279" s="1">
        <f t="shared" si="9"/>
        <v>8</v>
      </c>
    </row>
    <row r="280" spans="1:15" x14ac:dyDescent="0.25">
      <c r="A280" s="14">
        <v>-101.20305749999999</v>
      </c>
      <c r="B280" s="16">
        <f t="shared" si="8"/>
        <v>-78.376793292499997</v>
      </c>
      <c r="C280" s="9" t="s">
        <v>519</v>
      </c>
      <c r="D280" s="9" t="s">
        <v>520</v>
      </c>
      <c r="E280" s="9" t="s">
        <v>117</v>
      </c>
      <c r="F280" s="9">
        <v>46.519058482559757</v>
      </c>
      <c r="G280" s="9">
        <v>8.5248697185607032</v>
      </c>
      <c r="H280" s="8">
        <v>6</v>
      </c>
      <c r="I280" s="8">
        <v>3</v>
      </c>
      <c r="J280" s="8">
        <v>11</v>
      </c>
      <c r="K280" s="8">
        <v>2015</v>
      </c>
      <c r="L280" s="8">
        <v>1</v>
      </c>
      <c r="M280" s="8">
        <v>341</v>
      </c>
      <c r="N280" s="1" t="s">
        <v>832</v>
      </c>
      <c r="O280" s="1">
        <f t="shared" si="9"/>
        <v>8</v>
      </c>
    </row>
    <row r="281" spans="1:15" x14ac:dyDescent="0.25">
      <c r="A281" s="11">
        <v>-105.2687316</v>
      </c>
      <c r="B281" s="16">
        <f t="shared" si="8"/>
        <v>-82.357088236399989</v>
      </c>
      <c r="C281" s="1" t="s">
        <v>112</v>
      </c>
      <c r="D281" s="1" t="s">
        <v>14</v>
      </c>
      <c r="E281" s="1" t="s">
        <v>15</v>
      </c>
      <c r="F281" s="1">
        <v>47.092600055963352</v>
      </c>
      <c r="G281" s="1">
        <v>6.8966567569666752</v>
      </c>
      <c r="H281" s="1">
        <v>6</v>
      </c>
      <c r="I281" s="1">
        <v>15</v>
      </c>
      <c r="J281" s="1">
        <v>10</v>
      </c>
      <c r="K281" s="1">
        <v>2013</v>
      </c>
      <c r="L281" s="1">
        <v>1</v>
      </c>
      <c r="M281" s="1">
        <v>342</v>
      </c>
      <c r="N281" s="1" t="s">
        <v>832</v>
      </c>
      <c r="O281" s="1">
        <f t="shared" si="9"/>
        <v>8</v>
      </c>
    </row>
    <row r="282" spans="1:15" x14ac:dyDescent="0.25">
      <c r="A282" s="14">
        <v>-106.79113300000002</v>
      </c>
      <c r="B282" s="16">
        <f t="shared" si="8"/>
        <v>-83.847519207000005</v>
      </c>
      <c r="C282" s="9" t="s">
        <v>625</v>
      </c>
      <c r="D282" s="9" t="s">
        <v>626</v>
      </c>
      <c r="E282" s="9" t="s">
        <v>12</v>
      </c>
      <c r="F282" s="9">
        <v>46.675978956689683</v>
      </c>
      <c r="G282" s="9">
        <v>7.0269567251490965</v>
      </c>
      <c r="H282" s="8">
        <v>3</v>
      </c>
      <c r="I282" s="8">
        <v>12</v>
      </c>
      <c r="J282" s="8">
        <v>12</v>
      </c>
      <c r="K282" s="8">
        <v>2015</v>
      </c>
      <c r="L282" s="8">
        <v>1</v>
      </c>
      <c r="M282" s="8">
        <v>344</v>
      </c>
      <c r="N282" s="1" t="s">
        <v>832</v>
      </c>
      <c r="O282" s="1">
        <f t="shared" si="9"/>
        <v>8</v>
      </c>
    </row>
    <row r="283" spans="1:15" x14ac:dyDescent="0.25">
      <c r="A283" s="14">
        <v>-106.17716250000002</v>
      </c>
      <c r="B283" s="16">
        <f t="shared" si="8"/>
        <v>-83.246442087500014</v>
      </c>
      <c r="C283" s="9" t="s">
        <v>477</v>
      </c>
      <c r="D283" s="9" t="s">
        <v>478</v>
      </c>
      <c r="E283" s="9" t="s">
        <v>12</v>
      </c>
      <c r="F283" s="9">
        <v>46.738394888020991</v>
      </c>
      <c r="G283" s="9">
        <v>6.9400442532093223</v>
      </c>
      <c r="H283" s="8">
        <v>4</v>
      </c>
      <c r="I283" s="8">
        <v>3</v>
      </c>
      <c r="J283" s="8">
        <v>12</v>
      </c>
      <c r="K283" s="8">
        <v>2015</v>
      </c>
      <c r="L283" s="8">
        <v>1</v>
      </c>
      <c r="M283" s="8">
        <v>345</v>
      </c>
      <c r="N283" s="1" t="s">
        <v>832</v>
      </c>
      <c r="O283" s="1">
        <f t="shared" si="9"/>
        <v>8</v>
      </c>
    </row>
    <row r="284" spans="1:15" x14ac:dyDescent="0.25">
      <c r="A284" s="13">
        <v>-101.07155409999999</v>
      </c>
      <c r="B284" s="16">
        <f t="shared" si="8"/>
        <v>-78.248051463899998</v>
      </c>
      <c r="C284" s="6" t="s">
        <v>219</v>
      </c>
      <c r="D284" s="6" t="s">
        <v>220</v>
      </c>
      <c r="E284" s="6" t="s">
        <v>185</v>
      </c>
      <c r="F284" s="7">
        <v>46.852012087777872</v>
      </c>
      <c r="G284" s="7">
        <v>6.5072642926558437</v>
      </c>
      <c r="H284" s="7">
        <v>6</v>
      </c>
      <c r="I284" s="7">
        <v>23</v>
      </c>
      <c r="J284" s="7">
        <v>10</v>
      </c>
      <c r="K284" s="7">
        <v>2014</v>
      </c>
      <c r="L284" s="7">
        <v>1</v>
      </c>
      <c r="M284" s="7">
        <v>345</v>
      </c>
      <c r="N284" s="1" t="s">
        <v>832</v>
      </c>
      <c r="O284" s="1">
        <f t="shared" si="9"/>
        <v>8</v>
      </c>
    </row>
    <row r="285" spans="1:15" x14ac:dyDescent="0.25">
      <c r="A285" s="13">
        <v>-107.81908360000003</v>
      </c>
      <c r="B285" s="16">
        <f t="shared" si="8"/>
        <v>-84.853882844400033</v>
      </c>
      <c r="C285" s="6" t="s">
        <v>198</v>
      </c>
      <c r="D285" s="6" t="s">
        <v>199</v>
      </c>
      <c r="E285" s="6" t="s">
        <v>15</v>
      </c>
      <c r="F285" s="7">
        <v>47.097603086369745</v>
      </c>
      <c r="G285" s="7">
        <v>6.778318251424114</v>
      </c>
      <c r="H285" s="7">
        <v>6</v>
      </c>
      <c r="I285" s="7">
        <v>16</v>
      </c>
      <c r="J285" s="7">
        <v>10</v>
      </c>
      <c r="K285" s="7">
        <v>2014</v>
      </c>
      <c r="L285" s="7">
        <v>1</v>
      </c>
      <c r="M285" s="7">
        <v>347</v>
      </c>
      <c r="N285" s="1" t="s">
        <v>832</v>
      </c>
      <c r="O285" s="1">
        <f t="shared" si="9"/>
        <v>8</v>
      </c>
    </row>
    <row r="286" spans="1:15" x14ac:dyDescent="0.25">
      <c r="A286" s="14">
        <v>-105.46331860000002</v>
      </c>
      <c r="B286" s="16">
        <f t="shared" si="8"/>
        <v>-82.547588909400019</v>
      </c>
      <c r="C286" s="9" t="s">
        <v>345</v>
      </c>
      <c r="D286" s="9" t="s">
        <v>346</v>
      </c>
      <c r="E286" s="9" t="s">
        <v>117</v>
      </c>
      <c r="F286" s="9">
        <v>46.208378835118779</v>
      </c>
      <c r="G286" s="9">
        <v>8.6889739625209401</v>
      </c>
      <c r="H286" s="8">
        <v>6</v>
      </c>
      <c r="I286" s="8">
        <v>8</v>
      </c>
      <c r="J286" s="8">
        <v>11</v>
      </c>
      <c r="K286" s="8">
        <v>2015</v>
      </c>
      <c r="L286" s="8">
        <v>1</v>
      </c>
      <c r="M286" s="8">
        <v>347</v>
      </c>
      <c r="N286" s="1" t="s">
        <v>832</v>
      </c>
      <c r="O286" s="1">
        <f t="shared" si="9"/>
        <v>8</v>
      </c>
    </row>
    <row r="287" spans="1:15" x14ac:dyDescent="0.25">
      <c r="A287" s="14">
        <v>-100.31201550000002</v>
      </c>
      <c r="B287" s="16">
        <f t="shared" si="8"/>
        <v>-77.504463174500017</v>
      </c>
      <c r="C287" s="9" t="s">
        <v>687</v>
      </c>
      <c r="D287" s="9" t="s">
        <v>688</v>
      </c>
      <c r="E287" s="9" t="s">
        <v>117</v>
      </c>
      <c r="F287" s="9">
        <v>46.193758189325557</v>
      </c>
      <c r="G287" s="9">
        <v>8.6392928250788472</v>
      </c>
      <c r="H287" s="8">
        <v>6</v>
      </c>
      <c r="I287" s="8">
        <v>25</v>
      </c>
      <c r="J287" s="8">
        <v>11</v>
      </c>
      <c r="K287" s="8">
        <v>2015</v>
      </c>
      <c r="L287" s="8">
        <v>1</v>
      </c>
      <c r="M287" s="8">
        <v>348</v>
      </c>
      <c r="N287" s="1" t="s">
        <v>832</v>
      </c>
      <c r="O287" s="1">
        <f t="shared" si="9"/>
        <v>8</v>
      </c>
    </row>
    <row r="288" spans="1:15" x14ac:dyDescent="0.25">
      <c r="A288" s="14">
        <v>-103.19715949999998</v>
      </c>
      <c r="B288" s="16">
        <f t="shared" si="8"/>
        <v>-80.329019150499988</v>
      </c>
      <c r="C288" s="9" t="s">
        <v>749</v>
      </c>
      <c r="D288" s="9" t="s">
        <v>750</v>
      </c>
      <c r="E288" s="9" t="s">
        <v>185</v>
      </c>
      <c r="F288" s="9">
        <v>46.580460967146252</v>
      </c>
      <c r="G288" s="9">
        <v>6.4007906772269685</v>
      </c>
      <c r="H288" s="8">
        <v>6</v>
      </c>
      <c r="I288" s="8">
        <v>23</v>
      </c>
      <c r="J288" s="8">
        <v>11</v>
      </c>
      <c r="K288" s="8">
        <v>2015</v>
      </c>
      <c r="L288" s="8">
        <v>1</v>
      </c>
      <c r="M288" s="8">
        <v>350</v>
      </c>
      <c r="N288" s="1" t="s">
        <v>832</v>
      </c>
      <c r="O288" s="1">
        <f t="shared" si="9"/>
        <v>8</v>
      </c>
    </row>
    <row r="289" spans="1:15" x14ac:dyDescent="0.25">
      <c r="A289" s="14">
        <v>-101.7266475</v>
      </c>
      <c r="B289" s="16">
        <f t="shared" si="8"/>
        <v>-78.889387902500005</v>
      </c>
      <c r="C289" s="9" t="s">
        <v>535</v>
      </c>
      <c r="D289" s="9" t="s">
        <v>536</v>
      </c>
      <c r="E289" s="9" t="s">
        <v>117</v>
      </c>
      <c r="F289" s="9">
        <v>46.526691250605865</v>
      </c>
      <c r="G289" s="9">
        <v>8.5795979665990494</v>
      </c>
      <c r="H289" s="8">
        <v>5</v>
      </c>
      <c r="I289" s="8">
        <v>21</v>
      </c>
      <c r="J289" s="8">
        <v>10</v>
      </c>
      <c r="K289" s="8">
        <v>2015</v>
      </c>
      <c r="L289" s="8">
        <v>1</v>
      </c>
      <c r="M289" s="8">
        <v>350</v>
      </c>
      <c r="N289" s="1" t="s">
        <v>832</v>
      </c>
      <c r="O289" s="1">
        <f t="shared" si="9"/>
        <v>8</v>
      </c>
    </row>
    <row r="290" spans="1:15" x14ac:dyDescent="0.25">
      <c r="A290" s="14">
        <v>-100.60382</v>
      </c>
      <c r="B290" s="16">
        <f t="shared" si="8"/>
        <v>-77.790139780000004</v>
      </c>
      <c r="C290" s="9" t="s">
        <v>549</v>
      </c>
      <c r="D290" s="9" t="s">
        <v>550</v>
      </c>
      <c r="E290" s="9" t="s">
        <v>117</v>
      </c>
      <c r="F290" s="9">
        <v>46.522699778637673</v>
      </c>
      <c r="G290" s="9">
        <v>8.5666758642278253</v>
      </c>
      <c r="H290" s="8">
        <v>5</v>
      </c>
      <c r="I290" s="8">
        <v>27</v>
      </c>
      <c r="J290" s="8">
        <v>10</v>
      </c>
      <c r="K290" s="8">
        <v>2015</v>
      </c>
      <c r="L290" s="8">
        <v>1</v>
      </c>
      <c r="M290" s="8">
        <v>350</v>
      </c>
      <c r="N290" s="1" t="s">
        <v>832</v>
      </c>
      <c r="O290" s="1">
        <f t="shared" si="9"/>
        <v>8</v>
      </c>
    </row>
    <row r="291" spans="1:15" x14ac:dyDescent="0.25">
      <c r="A291" s="14">
        <v>-103.83508249999998</v>
      </c>
      <c r="B291" s="16">
        <f t="shared" si="8"/>
        <v>-80.953545767499975</v>
      </c>
      <c r="C291" s="9" t="s">
        <v>486</v>
      </c>
      <c r="D291" s="9" t="s">
        <v>168</v>
      </c>
      <c r="E291" s="9" t="s">
        <v>117</v>
      </c>
      <c r="F291" s="9">
        <v>46.092281783439127</v>
      </c>
      <c r="G291" s="9">
        <v>8.841554212240764</v>
      </c>
      <c r="H291" s="8">
        <v>4</v>
      </c>
      <c r="I291" s="8">
        <v>8</v>
      </c>
      <c r="J291" s="8">
        <v>11</v>
      </c>
      <c r="K291" s="8">
        <v>2015</v>
      </c>
      <c r="L291" s="8">
        <v>1</v>
      </c>
      <c r="M291" s="8">
        <v>352</v>
      </c>
      <c r="N291" s="1" t="s">
        <v>832</v>
      </c>
      <c r="O291" s="1">
        <f t="shared" si="9"/>
        <v>8</v>
      </c>
    </row>
    <row r="292" spans="1:15" x14ac:dyDescent="0.25">
      <c r="A292" s="14">
        <v>-107.0795112</v>
      </c>
      <c r="B292" s="16">
        <f t="shared" si="8"/>
        <v>-84.129841464799995</v>
      </c>
      <c r="C292" s="9" t="s">
        <v>369</v>
      </c>
      <c r="D292" s="9" t="s">
        <v>370</v>
      </c>
      <c r="E292" s="9" t="s">
        <v>15</v>
      </c>
      <c r="F292" s="9">
        <v>46.927987610951753</v>
      </c>
      <c r="G292" s="9">
        <v>6.4540657219281643</v>
      </c>
      <c r="H292" s="8">
        <v>6</v>
      </c>
      <c r="I292" s="8">
        <v>2</v>
      </c>
      <c r="J292" s="8">
        <v>11</v>
      </c>
      <c r="K292" s="8">
        <v>2015</v>
      </c>
      <c r="L292" s="8">
        <v>1</v>
      </c>
      <c r="M292" s="8">
        <v>355</v>
      </c>
      <c r="N292" s="1" t="s">
        <v>832</v>
      </c>
      <c r="O292" s="1">
        <f t="shared" si="9"/>
        <v>8</v>
      </c>
    </row>
    <row r="293" spans="1:15" x14ac:dyDescent="0.25">
      <c r="A293" s="11">
        <v>-101.2411524</v>
      </c>
      <c r="B293" s="16">
        <f t="shared" si="8"/>
        <v>-78.414088199600002</v>
      </c>
      <c r="C293" s="1" t="s">
        <v>155</v>
      </c>
      <c r="D293" s="1" t="s">
        <v>156</v>
      </c>
      <c r="E293" s="1" t="s">
        <v>12</v>
      </c>
      <c r="F293" s="1">
        <v>46.749388998249245</v>
      </c>
      <c r="G293" s="1">
        <v>7.0680527469535015</v>
      </c>
      <c r="H293" s="1">
        <v>6</v>
      </c>
      <c r="I293" s="1">
        <v>7</v>
      </c>
      <c r="J293" s="1">
        <v>11</v>
      </c>
      <c r="K293" s="1">
        <v>2013</v>
      </c>
      <c r="L293" s="1">
        <v>1</v>
      </c>
      <c r="M293" s="1">
        <v>355</v>
      </c>
      <c r="N293" s="1" t="s">
        <v>832</v>
      </c>
      <c r="O293" s="1">
        <f t="shared" si="9"/>
        <v>8</v>
      </c>
    </row>
    <row r="294" spans="1:15" x14ac:dyDescent="0.25">
      <c r="A294" s="14">
        <v>-98.4148</v>
      </c>
      <c r="B294" s="16">
        <f t="shared" si="8"/>
        <v>-75.647089200000011</v>
      </c>
      <c r="C294" s="9" t="s">
        <v>473</v>
      </c>
      <c r="D294" s="9" t="s">
        <v>474</v>
      </c>
      <c r="E294" s="9" t="s">
        <v>12</v>
      </c>
      <c r="F294" s="9">
        <v>46.731436815480563</v>
      </c>
      <c r="G294" s="9">
        <v>6.9410897609292057</v>
      </c>
      <c r="H294" s="8">
        <v>4</v>
      </c>
      <c r="I294" s="8">
        <v>21</v>
      </c>
      <c r="J294" s="8">
        <v>11</v>
      </c>
      <c r="K294" s="8">
        <v>2015</v>
      </c>
      <c r="L294" s="8">
        <v>1</v>
      </c>
      <c r="M294" s="8">
        <v>356</v>
      </c>
      <c r="N294" s="1" t="s">
        <v>832</v>
      </c>
      <c r="O294" s="1">
        <f t="shared" si="9"/>
        <v>8</v>
      </c>
    </row>
    <row r="295" spans="1:15" x14ac:dyDescent="0.25">
      <c r="A295" s="14">
        <v>-105.84536400000003</v>
      </c>
      <c r="B295" s="16">
        <f t="shared" si="8"/>
        <v>-82.921611356000028</v>
      </c>
      <c r="C295" s="9" t="s">
        <v>621</v>
      </c>
      <c r="D295" s="9" t="s">
        <v>622</v>
      </c>
      <c r="E295" s="9" t="s">
        <v>12</v>
      </c>
      <c r="F295" s="9">
        <v>46.755722920279879</v>
      </c>
      <c r="G295" s="9">
        <v>7.2588929089030767</v>
      </c>
      <c r="H295" s="8">
        <v>6</v>
      </c>
      <c r="I295" s="8">
        <v>9</v>
      </c>
      <c r="J295" s="8">
        <v>11</v>
      </c>
      <c r="K295" s="8">
        <v>2015</v>
      </c>
      <c r="L295" s="8">
        <v>1</v>
      </c>
      <c r="M295" s="8">
        <v>360</v>
      </c>
      <c r="N295" s="1" t="s">
        <v>832</v>
      </c>
      <c r="O295" s="1">
        <f t="shared" si="9"/>
        <v>8</v>
      </c>
    </row>
    <row r="296" spans="1:15" x14ac:dyDescent="0.25">
      <c r="A296" s="11">
        <v>-102.0153916</v>
      </c>
      <c r="B296" s="16">
        <f t="shared" si="8"/>
        <v>-79.172068376400006</v>
      </c>
      <c r="C296" s="1" t="s">
        <v>66</v>
      </c>
      <c r="D296" s="1" t="s">
        <v>67</v>
      </c>
      <c r="E296" s="1" t="s">
        <v>12</v>
      </c>
      <c r="F296" s="1">
        <v>46.639435583317045</v>
      </c>
      <c r="G296" s="1">
        <v>7.0090809358598785</v>
      </c>
      <c r="H296" s="1">
        <v>6</v>
      </c>
      <c r="I296" s="1">
        <v>7</v>
      </c>
      <c r="J296" s="1">
        <v>11</v>
      </c>
      <c r="K296" s="1">
        <v>2012</v>
      </c>
      <c r="L296" s="1">
        <v>1</v>
      </c>
      <c r="M296" s="1">
        <v>360</v>
      </c>
      <c r="N296" s="1" t="s">
        <v>832</v>
      </c>
      <c r="O296" s="1">
        <f t="shared" si="9"/>
        <v>8</v>
      </c>
    </row>
    <row r="297" spans="1:15" x14ac:dyDescent="0.25">
      <c r="A297" s="13">
        <v>-101.2049944</v>
      </c>
      <c r="B297" s="16">
        <f t="shared" si="8"/>
        <v>-78.378689517600009</v>
      </c>
      <c r="C297" s="6" t="s">
        <v>312</v>
      </c>
      <c r="D297" s="6" t="s">
        <v>313</v>
      </c>
      <c r="E297" s="6" t="s">
        <v>12</v>
      </c>
      <c r="F297" s="7">
        <v>46.613688012430792</v>
      </c>
      <c r="G297" s="7">
        <v>6.9484522711595869</v>
      </c>
      <c r="H297" s="7">
        <v>4</v>
      </c>
      <c r="I297" s="7">
        <v>4</v>
      </c>
      <c r="J297" s="7">
        <v>12</v>
      </c>
      <c r="K297" s="7">
        <v>2014</v>
      </c>
      <c r="L297" s="7">
        <v>1</v>
      </c>
      <c r="M297" s="7">
        <v>360</v>
      </c>
      <c r="N297" s="1" t="s">
        <v>832</v>
      </c>
      <c r="O297" s="1">
        <f t="shared" si="9"/>
        <v>8</v>
      </c>
    </row>
    <row r="298" spans="1:15" x14ac:dyDescent="0.25">
      <c r="A298" s="13">
        <v>-100.51739800000001</v>
      </c>
      <c r="B298" s="16">
        <f t="shared" si="8"/>
        <v>-77.705532642000009</v>
      </c>
      <c r="C298" s="6" t="s">
        <v>254</v>
      </c>
      <c r="D298" s="6" t="s">
        <v>255</v>
      </c>
      <c r="E298" s="6" t="s">
        <v>12</v>
      </c>
      <c r="F298" s="7">
        <v>46.615846906420174</v>
      </c>
      <c r="G298" s="7">
        <v>6.8892939426503341</v>
      </c>
      <c r="H298" s="7">
        <v>5</v>
      </c>
      <c r="I298" s="7">
        <v>30</v>
      </c>
      <c r="J298" s="7">
        <v>10</v>
      </c>
      <c r="K298" s="7">
        <v>2014</v>
      </c>
      <c r="L298" s="7">
        <v>1</v>
      </c>
      <c r="M298" s="7">
        <v>360</v>
      </c>
      <c r="N298" s="1" t="s">
        <v>832</v>
      </c>
      <c r="O298" s="1">
        <f t="shared" si="9"/>
        <v>8</v>
      </c>
    </row>
    <row r="299" spans="1:15" x14ac:dyDescent="0.25">
      <c r="A299" s="14">
        <v>-99.905948000000009</v>
      </c>
      <c r="B299" s="16">
        <f t="shared" si="8"/>
        <v>-77.106923092000017</v>
      </c>
      <c r="C299" s="9" t="s">
        <v>753</v>
      </c>
      <c r="D299" s="9" t="s">
        <v>754</v>
      </c>
      <c r="E299" s="9" t="s">
        <v>185</v>
      </c>
      <c r="F299" s="9">
        <v>46.896514227356924</v>
      </c>
      <c r="G299" s="9">
        <v>6.6601571748668755</v>
      </c>
      <c r="H299" s="8">
        <v>6</v>
      </c>
      <c r="I299" s="8">
        <v>10</v>
      </c>
      <c r="J299" s="8">
        <v>11</v>
      </c>
      <c r="K299" s="8">
        <v>2015</v>
      </c>
      <c r="L299" s="8">
        <v>1</v>
      </c>
      <c r="M299" s="8">
        <v>362</v>
      </c>
      <c r="N299" s="1" t="s">
        <v>832</v>
      </c>
      <c r="O299" s="1">
        <f t="shared" si="9"/>
        <v>8</v>
      </c>
    </row>
    <row r="300" spans="1:15" x14ac:dyDescent="0.25">
      <c r="A300" s="14">
        <v>-102.3626129</v>
      </c>
      <c r="B300" s="16">
        <f t="shared" si="8"/>
        <v>-79.511998029099999</v>
      </c>
      <c r="C300" s="9" t="s">
        <v>381</v>
      </c>
      <c r="D300" s="9" t="s">
        <v>382</v>
      </c>
      <c r="E300" s="9" t="s">
        <v>15</v>
      </c>
      <c r="F300" s="9">
        <v>47.026436608276903</v>
      </c>
      <c r="G300" s="9">
        <v>6.8161593139812648</v>
      </c>
      <c r="H300" s="8">
        <v>6</v>
      </c>
      <c r="I300" s="8">
        <v>19</v>
      </c>
      <c r="J300" s="8">
        <v>11</v>
      </c>
      <c r="K300" s="8">
        <v>2015</v>
      </c>
      <c r="L300" s="8">
        <v>1</v>
      </c>
      <c r="M300" s="8">
        <v>367</v>
      </c>
      <c r="N300" s="1" t="s">
        <v>832</v>
      </c>
      <c r="O300" s="1">
        <f t="shared" si="9"/>
        <v>8</v>
      </c>
    </row>
    <row r="301" spans="1:15" x14ac:dyDescent="0.25">
      <c r="A301" s="13">
        <v>-102.21608320000001</v>
      </c>
      <c r="B301" s="16">
        <f t="shared" si="8"/>
        <v>-79.368545452800021</v>
      </c>
      <c r="C301" s="6" t="s">
        <v>269</v>
      </c>
      <c r="D301" s="6" t="s">
        <v>270</v>
      </c>
      <c r="E301" s="6" t="s">
        <v>12</v>
      </c>
      <c r="F301" s="7">
        <v>46.652197438176962</v>
      </c>
      <c r="G301" s="7">
        <v>6.9942176118018198</v>
      </c>
      <c r="H301" s="7">
        <v>4</v>
      </c>
      <c r="I301" s="7">
        <v>10</v>
      </c>
      <c r="J301" s="7">
        <v>11</v>
      </c>
      <c r="K301" s="7">
        <v>2014</v>
      </c>
      <c r="L301" s="7">
        <v>1</v>
      </c>
      <c r="M301" s="7">
        <v>368</v>
      </c>
      <c r="N301" s="1" t="s">
        <v>832</v>
      </c>
      <c r="O301" s="1">
        <f t="shared" si="9"/>
        <v>8</v>
      </c>
    </row>
    <row r="302" spans="1:15" x14ac:dyDescent="0.25">
      <c r="A302" s="14">
        <v>-106.40217120000001</v>
      </c>
      <c r="B302" s="16">
        <f t="shared" si="8"/>
        <v>-83.466725604800018</v>
      </c>
      <c r="C302" s="9" t="s">
        <v>773</v>
      </c>
      <c r="D302" s="9" t="s">
        <v>293</v>
      </c>
      <c r="E302" s="9" t="s">
        <v>185</v>
      </c>
      <c r="F302" s="9">
        <v>46.816816310348173</v>
      </c>
      <c r="G302" s="9">
        <v>6.4828698592447118</v>
      </c>
      <c r="H302" s="8">
        <v>5</v>
      </c>
      <c r="I302" s="8">
        <v>27</v>
      </c>
      <c r="J302" s="8">
        <v>10</v>
      </c>
      <c r="K302" s="8">
        <v>2015</v>
      </c>
      <c r="L302" s="8">
        <v>1</v>
      </c>
      <c r="M302" s="8">
        <v>380</v>
      </c>
      <c r="N302" s="1" t="s">
        <v>832</v>
      </c>
      <c r="O302" s="1">
        <f t="shared" si="9"/>
        <v>8</v>
      </c>
    </row>
    <row r="303" spans="1:15" x14ac:dyDescent="0.25">
      <c r="A303" s="14">
        <v>-98.435912500000015</v>
      </c>
      <c r="B303" s="16">
        <f t="shared" si="8"/>
        <v>-75.667758337500004</v>
      </c>
      <c r="C303" s="9" t="s">
        <v>475</v>
      </c>
      <c r="D303" s="9" t="s">
        <v>476</v>
      </c>
      <c r="E303" s="9" t="s">
        <v>12</v>
      </c>
      <c r="F303" s="9">
        <v>46.753888833960936</v>
      </c>
      <c r="G303" s="9">
        <v>6.9794799986273182</v>
      </c>
      <c r="H303" s="8">
        <v>4</v>
      </c>
      <c r="I303" s="8">
        <v>5</v>
      </c>
      <c r="J303" s="8">
        <v>12</v>
      </c>
      <c r="K303" s="8">
        <v>2015</v>
      </c>
      <c r="L303" s="8">
        <v>1</v>
      </c>
      <c r="M303" s="8">
        <v>382</v>
      </c>
      <c r="N303" s="1" t="s">
        <v>832</v>
      </c>
      <c r="O303" s="1">
        <f t="shared" si="9"/>
        <v>8</v>
      </c>
    </row>
    <row r="304" spans="1:15" x14ac:dyDescent="0.25">
      <c r="A304" s="13">
        <v>-99.541319200000004</v>
      </c>
      <c r="B304" s="16">
        <f t="shared" si="8"/>
        <v>-76.749951496800008</v>
      </c>
      <c r="C304" s="6" t="s">
        <v>183</v>
      </c>
      <c r="D304" s="6" t="s">
        <v>184</v>
      </c>
      <c r="E304" s="6" t="s">
        <v>185</v>
      </c>
      <c r="F304" s="7">
        <v>46.516327143898948</v>
      </c>
      <c r="G304" s="7">
        <v>6.2163138780322384</v>
      </c>
      <c r="H304" s="7">
        <v>4</v>
      </c>
      <c r="I304" s="7">
        <v>10</v>
      </c>
      <c r="J304" s="7">
        <v>10</v>
      </c>
      <c r="K304" s="7">
        <v>2014</v>
      </c>
      <c r="L304" s="7">
        <v>1</v>
      </c>
      <c r="M304" s="7">
        <v>385</v>
      </c>
      <c r="N304" s="1" t="s">
        <v>832</v>
      </c>
      <c r="O304" s="1">
        <f t="shared" si="9"/>
        <v>8</v>
      </c>
    </row>
    <row r="305" spans="1:15" x14ac:dyDescent="0.25">
      <c r="A305" s="14">
        <v>-107.6074655</v>
      </c>
      <c r="B305" s="16">
        <f t="shared" si="8"/>
        <v>-84.646708724500002</v>
      </c>
      <c r="C305" s="9" t="s">
        <v>703</v>
      </c>
      <c r="D305" s="9" t="s">
        <v>704</v>
      </c>
      <c r="E305" s="9" t="s">
        <v>117</v>
      </c>
      <c r="F305" s="9">
        <v>46.050086862714501</v>
      </c>
      <c r="G305" s="9">
        <v>8.8371759053116055</v>
      </c>
      <c r="H305" s="8">
        <v>5</v>
      </c>
      <c r="I305" s="8">
        <v>27</v>
      </c>
      <c r="J305" s="8">
        <v>10</v>
      </c>
      <c r="K305" s="8">
        <v>2015</v>
      </c>
      <c r="L305" s="8">
        <v>1</v>
      </c>
      <c r="M305" s="9" t="s">
        <v>835</v>
      </c>
      <c r="N305" s="1" t="s">
        <v>832</v>
      </c>
      <c r="O305" s="1">
        <f t="shared" si="9"/>
        <v>8</v>
      </c>
    </row>
    <row r="306" spans="1:15" x14ac:dyDescent="0.25">
      <c r="A306" s="14">
        <v>-107.270223</v>
      </c>
      <c r="B306" s="16">
        <f t="shared" si="8"/>
        <v>-84.316548317000013</v>
      </c>
      <c r="C306" s="9" t="s">
        <v>717</v>
      </c>
      <c r="D306" s="9" t="s">
        <v>718</v>
      </c>
      <c r="E306" s="9" t="s">
        <v>117</v>
      </c>
      <c r="F306" s="9">
        <v>46.025796262291898</v>
      </c>
      <c r="G306" s="9">
        <v>8.8240005082061259</v>
      </c>
      <c r="H306" s="8">
        <v>5</v>
      </c>
      <c r="I306" s="8">
        <v>25</v>
      </c>
      <c r="J306" s="8">
        <v>10</v>
      </c>
      <c r="K306" s="8">
        <v>2015</v>
      </c>
      <c r="L306" s="8">
        <v>1</v>
      </c>
      <c r="M306" s="9" t="s">
        <v>835</v>
      </c>
      <c r="N306" s="1" t="s">
        <v>832</v>
      </c>
      <c r="O306" s="1">
        <f t="shared" si="9"/>
        <v>8</v>
      </c>
    </row>
    <row r="307" spans="1:15" x14ac:dyDescent="0.25">
      <c r="A307" s="14">
        <v>-104.778758</v>
      </c>
      <c r="B307" s="16">
        <f t="shared" si="8"/>
        <v>-81.877404081999998</v>
      </c>
      <c r="C307" s="9" t="s">
        <v>701</v>
      </c>
      <c r="D307" s="9" t="s">
        <v>702</v>
      </c>
      <c r="E307" s="9" t="s">
        <v>117</v>
      </c>
      <c r="F307" s="9">
        <v>46.020849974306969</v>
      </c>
      <c r="G307" s="9">
        <v>8.8113481891650771</v>
      </c>
      <c r="H307" s="8">
        <v>5</v>
      </c>
      <c r="I307" s="8">
        <v>31</v>
      </c>
      <c r="J307" s="8">
        <v>10</v>
      </c>
      <c r="K307" s="8">
        <v>2015</v>
      </c>
      <c r="L307" s="8">
        <v>1</v>
      </c>
      <c r="M307" s="9" t="s">
        <v>835</v>
      </c>
      <c r="N307" s="1" t="s">
        <v>832</v>
      </c>
      <c r="O307" s="1">
        <f t="shared" si="9"/>
        <v>8</v>
      </c>
    </row>
    <row r="308" spans="1:15" x14ac:dyDescent="0.25">
      <c r="A308" s="14">
        <v>-102.1510195</v>
      </c>
      <c r="B308" s="16">
        <f t="shared" si="8"/>
        <v>-79.304848090500002</v>
      </c>
      <c r="C308" s="9" t="s">
        <v>715</v>
      </c>
      <c r="D308" s="9" t="s">
        <v>716</v>
      </c>
      <c r="E308" s="9" t="s">
        <v>117</v>
      </c>
      <c r="F308" s="9">
        <v>46.020849974306969</v>
      </c>
      <c r="G308" s="9">
        <v>8.8113481891650771</v>
      </c>
      <c r="H308" s="8">
        <v>5</v>
      </c>
      <c r="I308" s="8">
        <v>31</v>
      </c>
      <c r="J308" s="8">
        <v>10</v>
      </c>
      <c r="K308" s="8">
        <v>2015</v>
      </c>
      <c r="L308" s="8">
        <v>1</v>
      </c>
      <c r="M308" s="9" t="s">
        <v>835</v>
      </c>
      <c r="N308" s="1" t="s">
        <v>832</v>
      </c>
      <c r="O308" s="1">
        <f t="shared" si="9"/>
        <v>8</v>
      </c>
    </row>
    <row r="309" spans="1:15" x14ac:dyDescent="0.25">
      <c r="A309" s="14">
        <v>-101.689892</v>
      </c>
      <c r="B309" s="16">
        <f t="shared" si="8"/>
        <v>-78.853404267999991</v>
      </c>
      <c r="C309" s="9" t="s">
        <v>713</v>
      </c>
      <c r="D309" s="9" t="s">
        <v>714</v>
      </c>
      <c r="E309" s="9" t="s">
        <v>117</v>
      </c>
      <c r="F309" s="9">
        <v>46.027493708592452</v>
      </c>
      <c r="G309" s="9">
        <v>8.8264329862939732</v>
      </c>
      <c r="H309" s="8">
        <v>5</v>
      </c>
      <c r="I309" s="8">
        <v>16</v>
      </c>
      <c r="J309" s="8">
        <v>10</v>
      </c>
      <c r="K309" s="8">
        <v>2015</v>
      </c>
      <c r="L309" s="8">
        <v>1</v>
      </c>
      <c r="M309" s="9" t="s">
        <v>835</v>
      </c>
      <c r="N309" s="1" t="s">
        <v>832</v>
      </c>
      <c r="O309" s="1">
        <f t="shared" si="9"/>
        <v>8</v>
      </c>
    </row>
    <row r="310" spans="1:15" hidden="1" x14ac:dyDescent="0.25">
      <c r="A310" s="14">
        <v>-115.67046499999999</v>
      </c>
      <c r="B310" s="16">
        <f t="shared" si="8"/>
        <v>-92.540385235000002</v>
      </c>
      <c r="C310" s="9" t="s">
        <v>645</v>
      </c>
      <c r="D310" s="9" t="s">
        <v>646</v>
      </c>
      <c r="E310" s="9" t="s">
        <v>117</v>
      </c>
      <c r="F310" s="9">
        <v>46.049159165896874</v>
      </c>
      <c r="G310" s="9">
        <v>8.8602681872595728</v>
      </c>
      <c r="H310" s="8">
        <v>5</v>
      </c>
      <c r="I310" s="8">
        <v>8</v>
      </c>
      <c r="J310" s="8">
        <v>11</v>
      </c>
      <c r="K310" s="8">
        <v>2015</v>
      </c>
      <c r="L310" s="8">
        <v>1</v>
      </c>
      <c r="M310" s="8">
        <v>220</v>
      </c>
      <c r="N310" s="1" t="s">
        <v>832</v>
      </c>
      <c r="O310" s="1">
        <f t="shared" si="9"/>
        <v>9</v>
      </c>
    </row>
    <row r="311" spans="1:15" hidden="1" x14ac:dyDescent="0.25">
      <c r="A311" s="14">
        <v>-111.71878790000001</v>
      </c>
      <c r="B311" s="16">
        <f t="shared" si="8"/>
        <v>-88.6716933541</v>
      </c>
      <c r="C311" s="9" t="s">
        <v>335</v>
      </c>
      <c r="D311" s="9" t="s">
        <v>336</v>
      </c>
      <c r="E311" s="9" t="s">
        <v>117</v>
      </c>
      <c r="F311" s="9">
        <v>46.18760332774643</v>
      </c>
      <c r="G311" s="9">
        <v>8.6686783458115944</v>
      </c>
      <c r="H311" s="8">
        <v>6</v>
      </c>
      <c r="I311" s="8">
        <v>17</v>
      </c>
      <c r="J311" s="8">
        <v>11</v>
      </c>
      <c r="K311" s="8">
        <v>2015</v>
      </c>
      <c r="L311" s="8">
        <v>1</v>
      </c>
      <c r="M311" s="8">
        <v>250</v>
      </c>
      <c r="N311" s="1" t="s">
        <v>832</v>
      </c>
      <c r="O311" s="1">
        <f t="shared" si="9"/>
        <v>9</v>
      </c>
    </row>
    <row r="312" spans="1:15" hidden="1" x14ac:dyDescent="0.25">
      <c r="A312" s="14">
        <v>-108.45027499999999</v>
      </c>
      <c r="B312" s="16">
        <f t="shared" si="8"/>
        <v>-85.47181922499999</v>
      </c>
      <c r="C312" s="9" t="s">
        <v>449</v>
      </c>
      <c r="D312" s="9" t="s">
        <v>121</v>
      </c>
      <c r="E312" s="9" t="s">
        <v>15</v>
      </c>
      <c r="F312" s="9">
        <v>47.088725054560676</v>
      </c>
      <c r="G312" s="9">
        <v>6.9028200359036482</v>
      </c>
      <c r="H312" s="8">
        <v>5</v>
      </c>
      <c r="I312" s="8">
        <v>10</v>
      </c>
      <c r="J312" s="8">
        <v>10</v>
      </c>
      <c r="K312" s="8">
        <v>2015</v>
      </c>
      <c r="L312" s="8">
        <v>1</v>
      </c>
      <c r="M312" s="8">
        <v>256</v>
      </c>
      <c r="N312" s="1" t="s">
        <v>832</v>
      </c>
      <c r="O312" s="1">
        <f t="shared" si="9"/>
        <v>9</v>
      </c>
    </row>
    <row r="313" spans="1:15" hidden="1" x14ac:dyDescent="0.25">
      <c r="A313" s="14">
        <v>-111.0063325</v>
      </c>
      <c r="B313" s="16">
        <f t="shared" si="8"/>
        <v>-87.974199517499983</v>
      </c>
      <c r="C313" s="9" t="s">
        <v>391</v>
      </c>
      <c r="D313" s="9" t="s">
        <v>392</v>
      </c>
      <c r="E313" s="9" t="s">
        <v>117</v>
      </c>
      <c r="F313" s="9">
        <v>46.127502104832445</v>
      </c>
      <c r="G313" s="9">
        <v>8.9019830269565219</v>
      </c>
      <c r="H313" s="8">
        <v>4</v>
      </c>
      <c r="I313" s="8">
        <v>28</v>
      </c>
      <c r="J313" s="8">
        <v>10</v>
      </c>
      <c r="K313" s="8">
        <v>2015</v>
      </c>
      <c r="L313" s="8">
        <v>1</v>
      </c>
      <c r="M313" s="8">
        <v>260</v>
      </c>
      <c r="N313" s="1" t="s">
        <v>832</v>
      </c>
      <c r="O313" s="1">
        <f t="shared" si="9"/>
        <v>9</v>
      </c>
    </row>
    <row r="314" spans="1:15" hidden="1" x14ac:dyDescent="0.25">
      <c r="A314" s="14">
        <v>-110.08596210000003</v>
      </c>
      <c r="B314" s="16">
        <f t="shared" si="8"/>
        <v>-87.073156895900041</v>
      </c>
      <c r="C314" s="9" t="s">
        <v>397</v>
      </c>
      <c r="D314" s="9" t="s">
        <v>398</v>
      </c>
      <c r="E314" s="9" t="s">
        <v>117</v>
      </c>
      <c r="F314" s="9">
        <v>46.1254112662144</v>
      </c>
      <c r="G314" s="9">
        <v>8.907102719205394</v>
      </c>
      <c r="H314" s="8">
        <v>4</v>
      </c>
      <c r="I314" s="8">
        <v>24</v>
      </c>
      <c r="J314" s="8">
        <v>10</v>
      </c>
      <c r="K314" s="8">
        <v>2015</v>
      </c>
      <c r="L314" s="8">
        <v>1</v>
      </c>
      <c r="M314" s="8">
        <v>260</v>
      </c>
      <c r="N314" s="1" t="s">
        <v>832</v>
      </c>
      <c r="O314" s="1">
        <f t="shared" si="9"/>
        <v>9</v>
      </c>
    </row>
    <row r="315" spans="1:15" hidden="1" x14ac:dyDescent="0.25">
      <c r="A315" s="14">
        <v>-115.0556725</v>
      </c>
      <c r="B315" s="16">
        <f t="shared" si="8"/>
        <v>-91.938503377499984</v>
      </c>
      <c r="C315" s="9" t="s">
        <v>463</v>
      </c>
      <c r="D315" s="9" t="s">
        <v>464</v>
      </c>
      <c r="E315" s="9" t="s">
        <v>117</v>
      </c>
      <c r="F315" s="9">
        <v>46.07696528472556</v>
      </c>
      <c r="G315" s="9">
        <v>9.0454240111118178</v>
      </c>
      <c r="H315" s="8">
        <v>4</v>
      </c>
      <c r="I315" s="8">
        <v>18</v>
      </c>
      <c r="J315" s="8">
        <v>11</v>
      </c>
      <c r="K315" s="8">
        <v>2015</v>
      </c>
      <c r="L315" s="8">
        <v>1</v>
      </c>
      <c r="M315" s="8">
        <v>270</v>
      </c>
      <c r="N315" s="1" t="s">
        <v>832</v>
      </c>
      <c r="O315" s="1">
        <f t="shared" si="9"/>
        <v>9</v>
      </c>
    </row>
    <row r="316" spans="1:15" hidden="1" x14ac:dyDescent="0.25">
      <c r="A316" s="13">
        <v>-116.15286400000002</v>
      </c>
      <c r="B316" s="16">
        <f t="shared" si="8"/>
        <v>-93.012653856000014</v>
      </c>
      <c r="C316" s="6" t="s">
        <v>209</v>
      </c>
      <c r="D316" s="6" t="s">
        <v>210</v>
      </c>
      <c r="E316" s="6" t="s">
        <v>12</v>
      </c>
      <c r="F316" s="7">
        <v>46.657195880918827</v>
      </c>
      <c r="G316" s="7">
        <v>6.9731421124456476</v>
      </c>
      <c r="H316" s="7">
        <v>5</v>
      </c>
      <c r="I316" s="7">
        <v>18</v>
      </c>
      <c r="J316" s="7">
        <v>10</v>
      </c>
      <c r="K316" s="7">
        <v>2014</v>
      </c>
      <c r="L316" s="7">
        <v>1</v>
      </c>
      <c r="M316" s="7">
        <v>280</v>
      </c>
      <c r="N316" s="1" t="s">
        <v>832</v>
      </c>
      <c r="O316" s="1">
        <f t="shared" si="9"/>
        <v>9</v>
      </c>
    </row>
    <row r="317" spans="1:15" hidden="1" x14ac:dyDescent="0.25">
      <c r="A317" s="14">
        <v>-108.4018506</v>
      </c>
      <c r="B317" s="16">
        <f t="shared" si="8"/>
        <v>-85.424411737399993</v>
      </c>
      <c r="C317" s="9" t="s">
        <v>413</v>
      </c>
      <c r="D317" s="9" t="s">
        <v>414</v>
      </c>
      <c r="E317" s="9" t="s">
        <v>117</v>
      </c>
      <c r="F317" s="9">
        <v>46.241667957425676</v>
      </c>
      <c r="G317" s="9">
        <v>8.6912944141597919</v>
      </c>
      <c r="H317" s="8">
        <v>6</v>
      </c>
      <c r="I317" s="8">
        <v>4</v>
      </c>
      <c r="J317" s="8">
        <v>11</v>
      </c>
      <c r="K317" s="8">
        <v>2015</v>
      </c>
      <c r="L317" s="8">
        <v>1</v>
      </c>
      <c r="M317" s="8">
        <v>282</v>
      </c>
      <c r="N317" s="1" t="s">
        <v>832</v>
      </c>
      <c r="O317" s="1">
        <f t="shared" si="9"/>
        <v>9</v>
      </c>
    </row>
    <row r="318" spans="1:15" hidden="1" x14ac:dyDescent="0.25">
      <c r="A318" s="14">
        <v>-111.49188249999999</v>
      </c>
      <c r="B318" s="16">
        <f t="shared" si="8"/>
        <v>-88.449552967499983</v>
      </c>
      <c r="C318" s="9" t="s">
        <v>500</v>
      </c>
      <c r="D318" s="9" t="s">
        <v>280</v>
      </c>
      <c r="E318" s="9" t="s">
        <v>117</v>
      </c>
      <c r="F318" s="9">
        <v>46.109486627202465</v>
      </c>
      <c r="G318" s="9">
        <v>8.9713529795252409</v>
      </c>
      <c r="H318" s="8">
        <v>5</v>
      </c>
      <c r="I318" s="8">
        <v>7</v>
      </c>
      <c r="J318" s="8">
        <v>11</v>
      </c>
      <c r="K318" s="8">
        <v>2015</v>
      </c>
      <c r="L318" s="8">
        <v>1</v>
      </c>
      <c r="M318" s="8">
        <v>289</v>
      </c>
      <c r="N318" s="1" t="s">
        <v>832</v>
      </c>
      <c r="O318" s="1">
        <f t="shared" si="9"/>
        <v>9</v>
      </c>
    </row>
    <row r="319" spans="1:15" hidden="1" x14ac:dyDescent="0.25">
      <c r="A319" s="14">
        <v>-114.2650536</v>
      </c>
      <c r="B319" s="16">
        <f t="shared" si="8"/>
        <v>-91.164487474400005</v>
      </c>
      <c r="C319" s="9" t="s">
        <v>395</v>
      </c>
      <c r="D319" s="9" t="s">
        <v>396</v>
      </c>
      <c r="E319" s="9" t="s">
        <v>117</v>
      </c>
      <c r="F319" s="9">
        <v>46.070111442793234</v>
      </c>
      <c r="G319" s="9">
        <v>8.9046464351160477</v>
      </c>
      <c r="H319" s="8">
        <v>4</v>
      </c>
      <c r="I319" s="8">
        <v>10</v>
      </c>
      <c r="J319" s="8">
        <v>11</v>
      </c>
      <c r="K319" s="8">
        <v>2015</v>
      </c>
      <c r="L319" s="8">
        <v>1</v>
      </c>
      <c r="M319" s="8">
        <v>290</v>
      </c>
      <c r="N319" s="1" t="s">
        <v>832</v>
      </c>
      <c r="O319" s="1">
        <f t="shared" si="9"/>
        <v>9</v>
      </c>
    </row>
    <row r="320" spans="1:15" hidden="1" x14ac:dyDescent="0.25">
      <c r="A320" s="14">
        <v>-108.61421800000001</v>
      </c>
      <c r="B320" s="16">
        <f t="shared" si="8"/>
        <v>-85.632319421999995</v>
      </c>
      <c r="C320" s="9" t="s">
        <v>647</v>
      </c>
      <c r="D320" s="9" t="s">
        <v>648</v>
      </c>
      <c r="E320" s="9" t="s">
        <v>117</v>
      </c>
      <c r="F320" s="9">
        <v>46.049716019048255</v>
      </c>
      <c r="G320" s="9">
        <v>8.8766540699915506</v>
      </c>
      <c r="H320" s="8">
        <v>5</v>
      </c>
      <c r="I320" s="8">
        <v>1</v>
      </c>
      <c r="J320" s="8">
        <v>11</v>
      </c>
      <c r="K320" s="8">
        <v>2015</v>
      </c>
      <c r="L320" s="8">
        <v>1</v>
      </c>
      <c r="M320" s="8">
        <v>290</v>
      </c>
      <c r="N320" s="1" t="s">
        <v>832</v>
      </c>
      <c r="O320" s="1">
        <f t="shared" si="9"/>
        <v>9</v>
      </c>
    </row>
    <row r="321" spans="1:15" hidden="1" x14ac:dyDescent="0.25">
      <c r="A321" s="14">
        <v>-116.29286499999999</v>
      </c>
      <c r="B321" s="16">
        <f t="shared" si="8"/>
        <v>-93.149714834999997</v>
      </c>
      <c r="C321" s="9" t="s">
        <v>504</v>
      </c>
      <c r="D321" s="9" t="s">
        <v>289</v>
      </c>
      <c r="E321" s="9" t="s">
        <v>117</v>
      </c>
      <c r="F321" s="9">
        <v>46.104160517980404</v>
      </c>
      <c r="G321" s="9">
        <v>8.9660295846456464</v>
      </c>
      <c r="H321" s="8">
        <v>5</v>
      </c>
      <c r="I321" s="8">
        <v>11</v>
      </c>
      <c r="J321" s="8">
        <v>11</v>
      </c>
      <c r="K321" s="8">
        <v>2015</v>
      </c>
      <c r="L321" s="8">
        <v>1</v>
      </c>
      <c r="M321" s="8">
        <v>291</v>
      </c>
      <c r="N321" s="1" t="s">
        <v>832</v>
      </c>
      <c r="O321" s="1">
        <f t="shared" si="9"/>
        <v>9</v>
      </c>
    </row>
    <row r="322" spans="1:15" hidden="1" x14ac:dyDescent="0.25">
      <c r="A322" s="14">
        <v>-112.62914249999999</v>
      </c>
      <c r="B322" s="16">
        <f t="shared" ref="B322:B385" si="10">0.979*A322+20.701</f>
        <v>-89.562930507499971</v>
      </c>
      <c r="C322" s="9" t="s">
        <v>541</v>
      </c>
      <c r="D322" s="9" t="s">
        <v>542</v>
      </c>
      <c r="E322" s="9" t="s">
        <v>117</v>
      </c>
      <c r="F322" s="9">
        <v>45.885967020699105</v>
      </c>
      <c r="G322" s="9">
        <v>9.0664282088671602</v>
      </c>
      <c r="H322" s="8">
        <v>5</v>
      </c>
      <c r="I322" s="8">
        <v>3</v>
      </c>
      <c r="J322" s="8">
        <v>11</v>
      </c>
      <c r="K322" s="8">
        <v>2015</v>
      </c>
      <c r="L322" s="8">
        <v>1</v>
      </c>
      <c r="M322" s="8">
        <v>295</v>
      </c>
      <c r="N322" s="1" t="s">
        <v>832</v>
      </c>
      <c r="O322" s="1">
        <f t="shared" ref="O322:O385" si="11">ROUND(B322/10,0)*(-1)</f>
        <v>9</v>
      </c>
    </row>
    <row r="323" spans="1:15" hidden="1" x14ac:dyDescent="0.25">
      <c r="A323" s="14">
        <v>-111.90146499999999</v>
      </c>
      <c r="B323" s="16">
        <f t="shared" si="10"/>
        <v>-88.850534234999998</v>
      </c>
      <c r="C323" s="9" t="s">
        <v>453</v>
      </c>
      <c r="D323" s="9" t="s">
        <v>454</v>
      </c>
      <c r="E323" s="9" t="s">
        <v>117</v>
      </c>
      <c r="F323" s="9">
        <v>46.079552580395266</v>
      </c>
      <c r="G323" s="9">
        <v>9.0532575367792845</v>
      </c>
      <c r="H323" s="8">
        <v>5</v>
      </c>
      <c r="I323" s="8">
        <v>24</v>
      </c>
      <c r="J323" s="8">
        <v>10</v>
      </c>
      <c r="K323" s="8">
        <v>2015</v>
      </c>
      <c r="L323" s="8">
        <v>1</v>
      </c>
      <c r="M323" s="8">
        <v>295</v>
      </c>
      <c r="N323" s="1" t="s">
        <v>832</v>
      </c>
      <c r="O323" s="1">
        <f t="shared" si="11"/>
        <v>9</v>
      </c>
    </row>
    <row r="324" spans="1:15" hidden="1" x14ac:dyDescent="0.25">
      <c r="A324" s="14">
        <v>-110.72248500000002</v>
      </c>
      <c r="B324" s="16">
        <f t="shared" si="10"/>
        <v>-87.696312815000027</v>
      </c>
      <c r="C324" s="9" t="s">
        <v>693</v>
      </c>
      <c r="D324" s="9" t="s">
        <v>694</v>
      </c>
      <c r="E324" s="9" t="s">
        <v>117</v>
      </c>
      <c r="F324" s="9">
        <v>46.14883729015483</v>
      </c>
      <c r="G324" s="9">
        <v>8.6385369832967509</v>
      </c>
      <c r="H324" s="8">
        <v>6</v>
      </c>
      <c r="I324" s="8">
        <v>11</v>
      </c>
      <c r="J324" s="8">
        <v>11</v>
      </c>
      <c r="K324" s="8">
        <v>2015</v>
      </c>
      <c r="L324" s="8">
        <v>1</v>
      </c>
      <c r="M324" s="8">
        <v>297</v>
      </c>
      <c r="N324" s="1" t="s">
        <v>832</v>
      </c>
      <c r="O324" s="1">
        <f t="shared" si="11"/>
        <v>9</v>
      </c>
    </row>
    <row r="325" spans="1:15" hidden="1" x14ac:dyDescent="0.25">
      <c r="A325" s="14">
        <v>-111.50042000000003</v>
      </c>
      <c r="B325" s="16">
        <f t="shared" si="10"/>
        <v>-88.457911180000025</v>
      </c>
      <c r="C325" s="9" t="s">
        <v>585</v>
      </c>
      <c r="D325" s="9" t="s">
        <v>586</v>
      </c>
      <c r="E325" s="9" t="s">
        <v>117</v>
      </c>
      <c r="F325" s="9">
        <v>46.136374494216156</v>
      </c>
      <c r="G325" s="9">
        <v>8.9624018384446718</v>
      </c>
      <c r="H325" s="8">
        <v>5</v>
      </c>
      <c r="I325" s="8">
        <v>1</v>
      </c>
      <c r="J325" s="8">
        <v>11</v>
      </c>
      <c r="K325" s="8">
        <v>2015</v>
      </c>
      <c r="L325" s="8">
        <v>1</v>
      </c>
      <c r="M325" s="8">
        <v>300</v>
      </c>
      <c r="N325" s="1" t="s">
        <v>832</v>
      </c>
      <c r="O325" s="1">
        <f t="shared" si="11"/>
        <v>9</v>
      </c>
    </row>
    <row r="326" spans="1:15" hidden="1" x14ac:dyDescent="0.25">
      <c r="A326" s="14">
        <v>-109.60442499999998</v>
      </c>
      <c r="B326" s="16">
        <f t="shared" si="10"/>
        <v>-86.601732074999973</v>
      </c>
      <c r="C326" s="9" t="s">
        <v>469</v>
      </c>
      <c r="D326" s="9" t="s">
        <v>470</v>
      </c>
      <c r="E326" s="9" t="s">
        <v>117</v>
      </c>
      <c r="F326" s="9">
        <v>46.082728064156271</v>
      </c>
      <c r="G326" s="9">
        <v>9.0514119787991731</v>
      </c>
      <c r="H326" s="8">
        <v>6</v>
      </c>
      <c r="I326" s="8">
        <v>26</v>
      </c>
      <c r="J326" s="8">
        <v>11</v>
      </c>
      <c r="K326" s="8">
        <v>2015</v>
      </c>
      <c r="L326" s="8">
        <v>1</v>
      </c>
      <c r="M326" s="8">
        <v>300</v>
      </c>
      <c r="N326" s="1" t="s">
        <v>832</v>
      </c>
      <c r="O326" s="1">
        <f t="shared" si="11"/>
        <v>9</v>
      </c>
    </row>
    <row r="327" spans="1:15" hidden="1" x14ac:dyDescent="0.25">
      <c r="A327" s="13">
        <v>-114.38978</v>
      </c>
      <c r="B327" s="16">
        <f t="shared" si="10"/>
        <v>-91.286594619999988</v>
      </c>
      <c r="C327" s="6" t="s">
        <v>229</v>
      </c>
      <c r="D327" s="6" t="s">
        <v>230</v>
      </c>
      <c r="E327" s="6" t="s">
        <v>12</v>
      </c>
      <c r="F327" s="7">
        <v>46.662220730362485</v>
      </c>
      <c r="G327" s="7">
        <v>7.013642754144267</v>
      </c>
      <c r="H327" s="7">
        <v>4</v>
      </c>
      <c r="I327" s="7">
        <v>25</v>
      </c>
      <c r="J327" s="7">
        <v>10</v>
      </c>
      <c r="K327" s="7">
        <v>2014</v>
      </c>
      <c r="L327" s="7">
        <v>1</v>
      </c>
      <c r="M327" s="7">
        <v>303</v>
      </c>
      <c r="N327" s="1" t="s">
        <v>832</v>
      </c>
      <c r="O327" s="1">
        <f t="shared" si="11"/>
        <v>9</v>
      </c>
    </row>
    <row r="328" spans="1:15" hidden="1" x14ac:dyDescent="0.25">
      <c r="A328" s="13">
        <v>-111.730819</v>
      </c>
      <c r="B328" s="16">
        <f t="shared" si="10"/>
        <v>-88.683471800999996</v>
      </c>
      <c r="C328" s="6" t="s">
        <v>300</v>
      </c>
      <c r="D328" s="6" t="s">
        <v>301</v>
      </c>
      <c r="E328" s="6" t="s">
        <v>185</v>
      </c>
      <c r="F328" s="7">
        <v>46.838890544090418</v>
      </c>
      <c r="G328" s="7">
        <v>6.5472264320743836</v>
      </c>
      <c r="H328" s="7">
        <v>6</v>
      </c>
      <c r="I328" s="7">
        <v>20</v>
      </c>
      <c r="J328" s="7">
        <v>11</v>
      </c>
      <c r="K328" s="7">
        <v>2014</v>
      </c>
      <c r="L328" s="7">
        <v>1</v>
      </c>
      <c r="M328" s="7">
        <v>303</v>
      </c>
      <c r="N328" s="1" t="s">
        <v>832</v>
      </c>
      <c r="O328" s="1">
        <f t="shared" si="11"/>
        <v>9</v>
      </c>
    </row>
    <row r="329" spans="1:15" hidden="1" x14ac:dyDescent="0.25">
      <c r="A329" s="11">
        <v>-110.7299964</v>
      </c>
      <c r="B329" s="16">
        <f t="shared" si="10"/>
        <v>-87.703666475599988</v>
      </c>
      <c r="C329" s="1" t="s">
        <v>131</v>
      </c>
      <c r="D329" s="1" t="s">
        <v>57</v>
      </c>
      <c r="E329" s="1" t="s">
        <v>12</v>
      </c>
      <c r="F329" s="1">
        <v>46.595512571615032</v>
      </c>
      <c r="G329" s="1">
        <v>6.9270844882566927</v>
      </c>
      <c r="H329" s="1">
        <v>4</v>
      </c>
      <c r="I329" s="1">
        <v>31</v>
      </c>
      <c r="J329" s="1">
        <v>10</v>
      </c>
      <c r="K329" s="1">
        <v>2013</v>
      </c>
      <c r="L329" s="1">
        <v>1</v>
      </c>
      <c r="M329" s="1">
        <v>304</v>
      </c>
      <c r="N329" s="1" t="s">
        <v>832</v>
      </c>
      <c r="O329" s="1">
        <f t="shared" si="11"/>
        <v>9</v>
      </c>
    </row>
    <row r="330" spans="1:15" hidden="1" x14ac:dyDescent="0.25">
      <c r="A330" s="14">
        <v>-109.47482960000001</v>
      </c>
      <c r="B330" s="16">
        <f t="shared" si="10"/>
        <v>-86.474858178400012</v>
      </c>
      <c r="C330" s="9" t="s">
        <v>778</v>
      </c>
      <c r="D330" s="9" t="s">
        <v>779</v>
      </c>
      <c r="E330" s="9" t="s">
        <v>185</v>
      </c>
      <c r="F330" s="9">
        <v>46.697572852721109</v>
      </c>
      <c r="G330" s="9">
        <v>6.4184793603742971</v>
      </c>
      <c r="H330" s="8">
        <v>6</v>
      </c>
      <c r="I330" s="8">
        <v>6</v>
      </c>
      <c r="J330" s="8">
        <v>11</v>
      </c>
      <c r="K330" s="8">
        <v>2015</v>
      </c>
      <c r="L330" s="8">
        <v>1</v>
      </c>
      <c r="M330" s="8">
        <v>309</v>
      </c>
      <c r="N330" s="1" t="s">
        <v>832</v>
      </c>
      <c r="O330" s="1">
        <f t="shared" si="11"/>
        <v>9</v>
      </c>
    </row>
    <row r="331" spans="1:15" hidden="1" x14ac:dyDescent="0.25">
      <c r="A331" s="14">
        <v>-117.26180180000001</v>
      </c>
      <c r="B331" s="16">
        <f t="shared" si="10"/>
        <v>-94.098303962200021</v>
      </c>
      <c r="C331" s="9" t="s">
        <v>363</v>
      </c>
      <c r="D331" s="9" t="s">
        <v>364</v>
      </c>
      <c r="E331" s="9" t="s">
        <v>15</v>
      </c>
      <c r="F331" s="9">
        <v>46.937004999739557</v>
      </c>
      <c r="G331" s="9">
        <v>6.5713802217784023</v>
      </c>
      <c r="H331" s="8">
        <v>6</v>
      </c>
      <c r="I331" s="8">
        <v>14</v>
      </c>
      <c r="J331" s="8">
        <v>11</v>
      </c>
      <c r="K331" s="8">
        <v>2015</v>
      </c>
      <c r="L331" s="8">
        <v>1</v>
      </c>
      <c r="M331" s="8">
        <v>310</v>
      </c>
      <c r="N331" s="1" t="s">
        <v>832</v>
      </c>
      <c r="O331" s="1">
        <f t="shared" si="11"/>
        <v>9</v>
      </c>
    </row>
    <row r="332" spans="1:15" hidden="1" x14ac:dyDescent="0.25">
      <c r="A332" s="14">
        <v>-116.75874750000001</v>
      </c>
      <c r="B332" s="16">
        <f t="shared" si="10"/>
        <v>-93.605813802500023</v>
      </c>
      <c r="C332" s="9" t="s">
        <v>543</v>
      </c>
      <c r="D332" s="9" t="s">
        <v>544</v>
      </c>
      <c r="E332" s="9" t="s">
        <v>117</v>
      </c>
      <c r="F332" s="9">
        <v>46.040218430177177</v>
      </c>
      <c r="G332" s="9">
        <v>9.012406227442991</v>
      </c>
      <c r="H332" s="8">
        <v>6</v>
      </c>
      <c r="I332" s="8">
        <v>29</v>
      </c>
      <c r="J332" s="8">
        <v>10</v>
      </c>
      <c r="K332" s="8">
        <v>2015</v>
      </c>
      <c r="L332" s="8">
        <v>1</v>
      </c>
      <c r="M332" s="8">
        <v>310</v>
      </c>
      <c r="N332" s="1" t="s">
        <v>832</v>
      </c>
      <c r="O332" s="1">
        <f t="shared" si="11"/>
        <v>9</v>
      </c>
    </row>
    <row r="333" spans="1:15" hidden="1" x14ac:dyDescent="0.25">
      <c r="A333" s="14">
        <v>-115.13070879999999</v>
      </c>
      <c r="B333" s="16">
        <f t="shared" si="10"/>
        <v>-92.011963915199999</v>
      </c>
      <c r="C333" s="9" t="s">
        <v>798</v>
      </c>
      <c r="D333" s="9" t="s">
        <v>799</v>
      </c>
      <c r="E333" s="9" t="s">
        <v>185</v>
      </c>
      <c r="F333" s="9">
        <v>46.536055823046503</v>
      </c>
      <c r="G333" s="9">
        <v>6.2966969382218156</v>
      </c>
      <c r="H333" s="8">
        <v>4</v>
      </c>
      <c r="I333" s="8">
        <v>12</v>
      </c>
      <c r="J333" s="8">
        <v>11</v>
      </c>
      <c r="K333" s="8">
        <v>2015</v>
      </c>
      <c r="L333" s="8">
        <v>1</v>
      </c>
      <c r="M333" s="8">
        <v>310</v>
      </c>
      <c r="N333" s="1" t="s">
        <v>832</v>
      </c>
      <c r="O333" s="1">
        <f t="shared" si="11"/>
        <v>9</v>
      </c>
    </row>
    <row r="334" spans="1:15" hidden="1" x14ac:dyDescent="0.25">
      <c r="A334" s="13">
        <v>-113.09198659999998</v>
      </c>
      <c r="B334" s="16">
        <f t="shared" si="10"/>
        <v>-90.016054881399981</v>
      </c>
      <c r="C334" s="6" t="s">
        <v>215</v>
      </c>
      <c r="D334" s="6" t="s">
        <v>216</v>
      </c>
      <c r="E334" s="6" t="s">
        <v>12</v>
      </c>
      <c r="F334" s="7">
        <v>46.668968968103364</v>
      </c>
      <c r="G334" s="7">
        <v>7.1490353712796519</v>
      </c>
      <c r="H334" s="7">
        <v>4</v>
      </c>
      <c r="I334" s="7">
        <v>22</v>
      </c>
      <c r="J334" s="7">
        <v>10</v>
      </c>
      <c r="K334" s="7">
        <v>2014</v>
      </c>
      <c r="L334" s="7">
        <v>1</v>
      </c>
      <c r="M334" s="7">
        <v>310</v>
      </c>
      <c r="N334" s="1" t="s">
        <v>832</v>
      </c>
      <c r="O334" s="1">
        <f t="shared" si="11"/>
        <v>9</v>
      </c>
    </row>
    <row r="335" spans="1:15" hidden="1" x14ac:dyDescent="0.25">
      <c r="A335" s="14">
        <v>-111.75649250000002</v>
      </c>
      <c r="B335" s="16">
        <f t="shared" si="10"/>
        <v>-88.708606157500014</v>
      </c>
      <c r="C335" s="9" t="s">
        <v>461</v>
      </c>
      <c r="D335" s="9" t="s">
        <v>462</v>
      </c>
      <c r="E335" s="9" t="s">
        <v>117</v>
      </c>
      <c r="F335" s="9">
        <v>46.07517577989573</v>
      </c>
      <c r="G335" s="9">
        <v>9.0447249604381916</v>
      </c>
      <c r="H335" s="8">
        <v>5</v>
      </c>
      <c r="I335" s="8">
        <v>4</v>
      </c>
      <c r="J335" s="8">
        <v>11</v>
      </c>
      <c r="K335" s="8">
        <v>2015</v>
      </c>
      <c r="L335" s="8">
        <v>1</v>
      </c>
      <c r="M335" s="8">
        <v>310</v>
      </c>
      <c r="N335" s="1" t="s">
        <v>832</v>
      </c>
      <c r="O335" s="1">
        <f t="shared" si="11"/>
        <v>9</v>
      </c>
    </row>
    <row r="336" spans="1:15" hidden="1" x14ac:dyDescent="0.25">
      <c r="A336" s="13">
        <v>-111.70326499999996</v>
      </c>
      <c r="B336" s="16">
        <f t="shared" si="10"/>
        <v>-88.656496434999951</v>
      </c>
      <c r="C336" s="6" t="s">
        <v>285</v>
      </c>
      <c r="D336" s="6" t="s">
        <v>286</v>
      </c>
      <c r="E336" s="6" t="s">
        <v>185</v>
      </c>
      <c r="F336" s="7">
        <v>46.855282765662764</v>
      </c>
      <c r="G336" s="7">
        <v>6.5555574622171697</v>
      </c>
      <c r="H336" s="7">
        <v>5</v>
      </c>
      <c r="I336" s="7">
        <v>14</v>
      </c>
      <c r="J336" s="7">
        <v>11</v>
      </c>
      <c r="K336" s="7">
        <v>2014</v>
      </c>
      <c r="L336" s="7">
        <v>1</v>
      </c>
      <c r="M336" s="7">
        <v>310</v>
      </c>
      <c r="N336" s="1" t="s">
        <v>832</v>
      </c>
      <c r="O336" s="1">
        <f t="shared" si="11"/>
        <v>9</v>
      </c>
    </row>
    <row r="337" spans="1:15" hidden="1" x14ac:dyDescent="0.25">
      <c r="A337" s="14">
        <v>-110.06794280000001</v>
      </c>
      <c r="B337" s="16">
        <f t="shared" si="10"/>
        <v>-87.055516001200004</v>
      </c>
      <c r="C337" s="9" t="s">
        <v>341</v>
      </c>
      <c r="D337" s="9" t="s">
        <v>342</v>
      </c>
      <c r="E337" s="9" t="s">
        <v>117</v>
      </c>
      <c r="F337" s="9">
        <v>46.208162347911298</v>
      </c>
      <c r="G337" s="9">
        <v>8.6315890188484712</v>
      </c>
      <c r="H337" s="8">
        <v>6</v>
      </c>
      <c r="I337" s="8">
        <v>14</v>
      </c>
      <c r="J337" s="8">
        <v>11</v>
      </c>
      <c r="K337" s="8">
        <v>2015</v>
      </c>
      <c r="L337" s="8">
        <v>1</v>
      </c>
      <c r="M337" s="8">
        <v>310</v>
      </c>
      <c r="N337" s="1" t="s">
        <v>832</v>
      </c>
      <c r="O337" s="1">
        <f t="shared" si="11"/>
        <v>9</v>
      </c>
    </row>
    <row r="338" spans="1:15" hidden="1" x14ac:dyDescent="0.25">
      <c r="A338" s="14">
        <v>-112.12384999999999</v>
      </c>
      <c r="B338" s="16">
        <f t="shared" si="10"/>
        <v>-89.068249149999986</v>
      </c>
      <c r="C338" s="9" t="s">
        <v>527</v>
      </c>
      <c r="D338" s="9" t="s">
        <v>528</v>
      </c>
      <c r="E338" s="9" t="s">
        <v>117</v>
      </c>
      <c r="F338" s="9">
        <v>46.081429690119336</v>
      </c>
      <c r="G338" s="9">
        <v>8.9834946382447889</v>
      </c>
      <c r="H338" s="8">
        <v>3</v>
      </c>
      <c r="I338" s="8">
        <v>3</v>
      </c>
      <c r="J338" s="8">
        <v>11</v>
      </c>
      <c r="K338" s="8">
        <v>2015</v>
      </c>
      <c r="L338" s="8">
        <v>1</v>
      </c>
      <c r="M338" s="8">
        <v>312</v>
      </c>
      <c r="N338" s="1" t="s">
        <v>832</v>
      </c>
      <c r="O338" s="1">
        <f t="shared" si="11"/>
        <v>9</v>
      </c>
    </row>
    <row r="339" spans="1:15" hidden="1" x14ac:dyDescent="0.25">
      <c r="A339" s="13">
        <v>-113.48650240000001</v>
      </c>
      <c r="B339" s="16">
        <f t="shared" si="10"/>
        <v>-90.402285849599991</v>
      </c>
      <c r="C339" s="6" t="s">
        <v>196</v>
      </c>
      <c r="D339" s="6" t="s">
        <v>197</v>
      </c>
      <c r="E339" s="6" t="s">
        <v>15</v>
      </c>
      <c r="F339" s="7">
        <v>46.96682678469702</v>
      </c>
      <c r="G339" s="7">
        <v>6.6525942681922752</v>
      </c>
      <c r="H339" s="7">
        <v>6</v>
      </c>
      <c r="I339" s="7">
        <v>14</v>
      </c>
      <c r="J339" s="7">
        <v>10</v>
      </c>
      <c r="K339" s="7">
        <v>2014</v>
      </c>
      <c r="L339" s="7">
        <v>1</v>
      </c>
      <c r="M339" s="7">
        <v>315</v>
      </c>
      <c r="N339" s="1" t="s">
        <v>832</v>
      </c>
      <c r="O339" s="1">
        <f t="shared" si="11"/>
        <v>9</v>
      </c>
    </row>
    <row r="340" spans="1:15" hidden="1" x14ac:dyDescent="0.25">
      <c r="A340" s="14">
        <v>-114.04122650000001</v>
      </c>
      <c r="B340" s="16">
        <f t="shared" si="10"/>
        <v>-90.945360743500004</v>
      </c>
      <c r="C340" s="9" t="s">
        <v>743</v>
      </c>
      <c r="D340" s="9" t="s">
        <v>744</v>
      </c>
      <c r="E340" s="9" t="s">
        <v>185</v>
      </c>
      <c r="F340" s="9">
        <v>46.582023152569747</v>
      </c>
      <c r="G340" s="9">
        <v>6.3994559491836069</v>
      </c>
      <c r="H340" s="8">
        <v>6</v>
      </c>
      <c r="I340" s="8">
        <v>23</v>
      </c>
      <c r="J340" s="8">
        <v>11</v>
      </c>
      <c r="K340" s="8">
        <v>2015</v>
      </c>
      <c r="L340" s="8">
        <v>1</v>
      </c>
      <c r="M340" s="8">
        <v>316</v>
      </c>
      <c r="N340" s="1" t="s">
        <v>832</v>
      </c>
      <c r="O340" s="1">
        <f t="shared" si="11"/>
        <v>9</v>
      </c>
    </row>
    <row r="341" spans="1:15" hidden="1" x14ac:dyDescent="0.25">
      <c r="A341" s="11">
        <v>-109.86950880000001</v>
      </c>
      <c r="B341" s="16">
        <f t="shared" si="10"/>
        <v>-86.861249115199996</v>
      </c>
      <c r="C341" s="1" t="s">
        <v>136</v>
      </c>
      <c r="D341" s="1" t="s">
        <v>99</v>
      </c>
      <c r="E341" s="1" t="s">
        <v>12</v>
      </c>
      <c r="F341" s="1">
        <v>46.587277176740741</v>
      </c>
      <c r="G341" s="1">
        <v>6.9699728016288685</v>
      </c>
      <c r="H341" s="1">
        <v>6</v>
      </c>
      <c r="I341" s="1">
        <v>2</v>
      </c>
      <c r="J341" s="1">
        <v>11</v>
      </c>
      <c r="K341" s="1">
        <v>2013</v>
      </c>
      <c r="L341" s="1">
        <v>1</v>
      </c>
      <c r="M341" s="1">
        <v>316</v>
      </c>
      <c r="N341" s="1" t="s">
        <v>832</v>
      </c>
      <c r="O341" s="1">
        <f t="shared" si="11"/>
        <v>9</v>
      </c>
    </row>
    <row r="342" spans="1:15" hidden="1" x14ac:dyDescent="0.25">
      <c r="A342" s="11">
        <v>-111.2299908</v>
      </c>
      <c r="B342" s="16">
        <f t="shared" si="10"/>
        <v>-88.193160993199996</v>
      </c>
      <c r="C342" s="1" t="s">
        <v>172</v>
      </c>
      <c r="D342" s="1" t="s">
        <v>173</v>
      </c>
      <c r="E342" s="1" t="s">
        <v>15</v>
      </c>
      <c r="F342" s="1">
        <v>46.94868082520734</v>
      </c>
      <c r="G342" s="1">
        <v>6.5059960344872376</v>
      </c>
      <c r="H342" s="1">
        <v>6</v>
      </c>
      <c r="I342" s="1">
        <v>16</v>
      </c>
      <c r="J342" s="1">
        <v>11</v>
      </c>
      <c r="K342" s="1">
        <v>2013</v>
      </c>
      <c r="L342" s="1">
        <v>1</v>
      </c>
      <c r="M342" s="1">
        <v>317</v>
      </c>
      <c r="N342" s="1" t="s">
        <v>832</v>
      </c>
      <c r="O342" s="1">
        <f t="shared" si="11"/>
        <v>9</v>
      </c>
    </row>
    <row r="343" spans="1:15" hidden="1" x14ac:dyDescent="0.25">
      <c r="A343" s="14">
        <v>-112.97704900000001</v>
      </c>
      <c r="B343" s="16">
        <f t="shared" si="10"/>
        <v>-89.903530971000009</v>
      </c>
      <c r="C343" s="9" t="s">
        <v>633</v>
      </c>
      <c r="D343" s="9" t="s">
        <v>634</v>
      </c>
      <c r="E343" s="9" t="s">
        <v>12</v>
      </c>
      <c r="F343" s="9">
        <v>46.639997317268275</v>
      </c>
      <c r="G343" s="9">
        <v>7.0272307733990971</v>
      </c>
      <c r="H343" s="8">
        <v>3</v>
      </c>
      <c r="I343" s="8">
        <v>4</v>
      </c>
      <c r="J343" s="8">
        <v>11</v>
      </c>
      <c r="K343" s="8">
        <v>2015</v>
      </c>
      <c r="L343" s="8">
        <v>1</v>
      </c>
      <c r="M343" s="8">
        <v>318</v>
      </c>
      <c r="N343" s="1" t="s">
        <v>832</v>
      </c>
      <c r="O343" s="1">
        <f t="shared" si="11"/>
        <v>9</v>
      </c>
    </row>
    <row r="344" spans="1:15" hidden="1" x14ac:dyDescent="0.25">
      <c r="A344" s="14">
        <v>-111.387263</v>
      </c>
      <c r="B344" s="16">
        <f t="shared" si="10"/>
        <v>-88.347130477000007</v>
      </c>
      <c r="C344" s="9" t="s">
        <v>617</v>
      </c>
      <c r="D344" s="9" t="s">
        <v>618</v>
      </c>
      <c r="E344" s="9" t="s">
        <v>12</v>
      </c>
      <c r="F344" s="9">
        <v>46.542081356870547</v>
      </c>
      <c r="G344" s="9">
        <v>6.9675088427216982</v>
      </c>
      <c r="H344" s="8">
        <v>6</v>
      </c>
      <c r="I344" s="9" t="s">
        <v>835</v>
      </c>
      <c r="J344" s="9" t="s">
        <v>835</v>
      </c>
      <c r="K344" s="8">
        <v>2015</v>
      </c>
      <c r="L344" s="8">
        <v>1</v>
      </c>
      <c r="M344" s="8">
        <v>318</v>
      </c>
      <c r="N344" s="1" t="s">
        <v>832</v>
      </c>
      <c r="O344" s="1">
        <f t="shared" si="11"/>
        <v>9</v>
      </c>
    </row>
    <row r="345" spans="1:15" hidden="1" x14ac:dyDescent="0.25">
      <c r="A345" s="13">
        <v>-108.65372200000002</v>
      </c>
      <c r="B345" s="16">
        <f t="shared" si="10"/>
        <v>-85.670993838000015</v>
      </c>
      <c r="C345" s="6" t="s">
        <v>281</v>
      </c>
      <c r="D345" s="6" t="s">
        <v>282</v>
      </c>
      <c r="E345" s="6" t="s">
        <v>185</v>
      </c>
      <c r="F345" s="7">
        <v>46.677284286658434</v>
      </c>
      <c r="G345" s="7">
        <v>6.2950175834629167</v>
      </c>
      <c r="H345" s="7">
        <v>5</v>
      </c>
      <c r="I345" s="7">
        <v>13</v>
      </c>
      <c r="J345" s="7">
        <v>11</v>
      </c>
      <c r="K345" s="7">
        <v>2014</v>
      </c>
      <c r="L345" s="7">
        <v>1</v>
      </c>
      <c r="M345" s="7">
        <v>319</v>
      </c>
      <c r="N345" s="1" t="s">
        <v>832</v>
      </c>
      <c r="O345" s="1">
        <f t="shared" si="11"/>
        <v>9</v>
      </c>
    </row>
    <row r="346" spans="1:15" hidden="1" x14ac:dyDescent="0.25">
      <c r="A346" s="14">
        <v>-113.2235855</v>
      </c>
      <c r="B346" s="16">
        <f t="shared" si="10"/>
        <v>-90.144890204500001</v>
      </c>
      <c r="C346" s="9" t="s">
        <v>729</v>
      </c>
      <c r="D346" s="9" t="s">
        <v>730</v>
      </c>
      <c r="E346" s="9" t="s">
        <v>117</v>
      </c>
      <c r="F346" s="9">
        <v>46.134289578112536</v>
      </c>
      <c r="G346" s="9">
        <v>8.9468135849147323</v>
      </c>
      <c r="H346" s="8">
        <v>5</v>
      </c>
      <c r="I346" s="8">
        <v>24</v>
      </c>
      <c r="J346" s="8">
        <v>10</v>
      </c>
      <c r="K346" s="8">
        <v>2015</v>
      </c>
      <c r="L346" s="8">
        <v>1</v>
      </c>
      <c r="M346" s="8">
        <v>320</v>
      </c>
      <c r="N346" s="1" t="s">
        <v>832</v>
      </c>
      <c r="O346" s="1">
        <f t="shared" si="11"/>
        <v>9</v>
      </c>
    </row>
    <row r="347" spans="1:15" hidden="1" x14ac:dyDescent="0.25">
      <c r="A347" s="14">
        <v>-112.61522599999999</v>
      </c>
      <c r="B347" s="16">
        <f t="shared" si="10"/>
        <v>-89.549306253999987</v>
      </c>
      <c r="C347" s="9" t="s">
        <v>590</v>
      </c>
      <c r="D347" s="9" t="s">
        <v>591</v>
      </c>
      <c r="E347" s="9" t="s">
        <v>12</v>
      </c>
      <c r="F347" s="9">
        <v>46.616925087727552</v>
      </c>
      <c r="G347" s="9">
        <v>6.8890218852048868</v>
      </c>
      <c r="H347" s="8">
        <v>5</v>
      </c>
      <c r="I347" s="8">
        <v>31</v>
      </c>
      <c r="J347" s="8">
        <v>10</v>
      </c>
      <c r="K347" s="8">
        <v>2015</v>
      </c>
      <c r="L347" s="8">
        <v>1</v>
      </c>
      <c r="M347" s="8">
        <v>320</v>
      </c>
      <c r="N347" s="1" t="s">
        <v>832</v>
      </c>
      <c r="O347" s="1">
        <f t="shared" si="11"/>
        <v>9</v>
      </c>
    </row>
    <row r="348" spans="1:15" hidden="1" x14ac:dyDescent="0.25">
      <c r="A348" s="14">
        <v>-112.6066225</v>
      </c>
      <c r="B348" s="16">
        <f t="shared" si="10"/>
        <v>-89.540883427500006</v>
      </c>
      <c r="C348" s="9" t="s">
        <v>523</v>
      </c>
      <c r="D348" s="9" t="s">
        <v>524</v>
      </c>
      <c r="E348" s="9" t="s">
        <v>117</v>
      </c>
      <c r="F348" s="9">
        <v>46.081429690119336</v>
      </c>
      <c r="G348" s="9">
        <v>8.9834946382447889</v>
      </c>
      <c r="H348" s="8">
        <v>3</v>
      </c>
      <c r="I348" s="8">
        <v>21</v>
      </c>
      <c r="J348" s="8">
        <v>10</v>
      </c>
      <c r="K348" s="8">
        <v>2015</v>
      </c>
      <c r="L348" s="8">
        <v>1</v>
      </c>
      <c r="M348" s="8">
        <v>320</v>
      </c>
      <c r="N348" s="1" t="s">
        <v>832</v>
      </c>
      <c r="O348" s="1">
        <f t="shared" si="11"/>
        <v>9</v>
      </c>
    </row>
    <row r="349" spans="1:15" hidden="1" x14ac:dyDescent="0.25">
      <c r="A349" s="13">
        <v>-116.64300399999999</v>
      </c>
      <c r="B349" s="16">
        <f t="shared" si="10"/>
        <v>-93.492500915999983</v>
      </c>
      <c r="C349" s="6" t="s">
        <v>188</v>
      </c>
      <c r="D349" s="6" t="s">
        <v>189</v>
      </c>
      <c r="E349" s="6" t="s">
        <v>15</v>
      </c>
      <c r="F349" s="7">
        <v>47.079706168293825</v>
      </c>
      <c r="G349" s="7">
        <v>6.8808275888642765</v>
      </c>
      <c r="H349" s="7">
        <v>6</v>
      </c>
      <c r="I349" s="7">
        <v>11</v>
      </c>
      <c r="J349" s="7">
        <v>10</v>
      </c>
      <c r="K349" s="7">
        <v>2014</v>
      </c>
      <c r="L349" s="7">
        <v>1</v>
      </c>
      <c r="M349" s="7">
        <v>322</v>
      </c>
      <c r="N349" s="1" t="s">
        <v>832</v>
      </c>
      <c r="O349" s="1">
        <f t="shared" si="11"/>
        <v>9</v>
      </c>
    </row>
    <row r="350" spans="1:15" hidden="1" x14ac:dyDescent="0.25">
      <c r="A350" s="14">
        <v>-110.45269100000003</v>
      </c>
      <c r="B350" s="16">
        <f t="shared" si="10"/>
        <v>-87.432184489000036</v>
      </c>
      <c r="C350" s="9" t="s">
        <v>685</v>
      </c>
      <c r="D350" s="9" t="s">
        <v>686</v>
      </c>
      <c r="E350" s="9" t="s">
        <v>117</v>
      </c>
      <c r="F350" s="9">
        <v>46.207898741655107</v>
      </c>
      <c r="G350" s="9">
        <v>8.6155408838992482</v>
      </c>
      <c r="H350" s="8">
        <v>6</v>
      </c>
      <c r="I350" s="8">
        <v>24</v>
      </c>
      <c r="J350" s="8">
        <v>11</v>
      </c>
      <c r="K350" s="8">
        <v>2015</v>
      </c>
      <c r="L350" s="8">
        <v>1</v>
      </c>
      <c r="M350" s="8">
        <v>322</v>
      </c>
      <c r="N350" s="1" t="s">
        <v>832</v>
      </c>
      <c r="O350" s="1">
        <f t="shared" si="11"/>
        <v>9</v>
      </c>
    </row>
    <row r="351" spans="1:15" hidden="1" x14ac:dyDescent="0.25">
      <c r="A351" s="11">
        <v>-113.70372</v>
      </c>
      <c r="B351" s="16">
        <f t="shared" si="10"/>
        <v>-90.614941880000003</v>
      </c>
      <c r="C351" s="1" t="s">
        <v>125</v>
      </c>
      <c r="D351" s="1" t="s">
        <v>126</v>
      </c>
      <c r="E351" s="1" t="s">
        <v>15</v>
      </c>
      <c r="F351" s="1">
        <v>47.036981034516877</v>
      </c>
      <c r="G351" s="1">
        <v>6.8316286320271606</v>
      </c>
      <c r="H351" s="1">
        <v>6</v>
      </c>
      <c r="I351" s="1">
        <v>28</v>
      </c>
      <c r="J351" s="1">
        <v>10</v>
      </c>
      <c r="K351" s="1">
        <v>2013</v>
      </c>
      <c r="L351" s="1">
        <v>1</v>
      </c>
      <c r="M351" s="1">
        <v>324</v>
      </c>
      <c r="N351" s="1" t="s">
        <v>832</v>
      </c>
      <c r="O351" s="1">
        <f t="shared" si="11"/>
        <v>9</v>
      </c>
    </row>
    <row r="352" spans="1:15" hidden="1" x14ac:dyDescent="0.25">
      <c r="A352" s="14">
        <v>-115.110767</v>
      </c>
      <c r="B352" s="16">
        <f t="shared" si="10"/>
        <v>-91.99244089299998</v>
      </c>
      <c r="C352" s="9" t="s">
        <v>731</v>
      </c>
      <c r="D352" s="9" t="s">
        <v>732</v>
      </c>
      <c r="E352" s="9" t="s">
        <v>117</v>
      </c>
      <c r="F352" s="9">
        <v>46.132812416910113</v>
      </c>
      <c r="G352" s="9">
        <v>8.9428903563119988</v>
      </c>
      <c r="H352" s="8">
        <v>5</v>
      </c>
      <c r="I352" s="8">
        <v>24</v>
      </c>
      <c r="J352" s="8">
        <v>10</v>
      </c>
      <c r="K352" s="8">
        <v>2015</v>
      </c>
      <c r="L352" s="8">
        <v>1</v>
      </c>
      <c r="M352" s="8">
        <v>325</v>
      </c>
      <c r="N352" s="1" t="s">
        <v>832</v>
      </c>
      <c r="O352" s="1">
        <f t="shared" si="11"/>
        <v>9</v>
      </c>
    </row>
    <row r="353" spans="1:15" hidden="1" x14ac:dyDescent="0.25">
      <c r="A353" s="14">
        <v>-109.82963679999999</v>
      </c>
      <c r="B353" s="16">
        <f t="shared" si="10"/>
        <v>-86.822214427199981</v>
      </c>
      <c r="C353" s="9" t="s">
        <v>774</v>
      </c>
      <c r="D353" s="9" t="s">
        <v>775</v>
      </c>
      <c r="E353" s="9" t="s">
        <v>15</v>
      </c>
      <c r="F353" s="9">
        <v>46.891953941213238</v>
      </c>
      <c r="G353" s="9">
        <v>6.5116774120460406</v>
      </c>
      <c r="H353" s="8">
        <v>5</v>
      </c>
      <c r="I353" s="8">
        <v>14</v>
      </c>
      <c r="J353" s="8">
        <v>11</v>
      </c>
      <c r="K353" s="8">
        <v>2015</v>
      </c>
      <c r="L353" s="8">
        <v>1</v>
      </c>
      <c r="M353" s="8">
        <v>327</v>
      </c>
      <c r="N353" s="1" t="s">
        <v>832</v>
      </c>
      <c r="O353" s="1">
        <f t="shared" si="11"/>
        <v>9</v>
      </c>
    </row>
    <row r="354" spans="1:15" hidden="1" x14ac:dyDescent="0.25">
      <c r="A354" s="11">
        <v>-108.90681239999998</v>
      </c>
      <c r="B354" s="16">
        <f t="shared" si="10"/>
        <v>-85.918769339599976</v>
      </c>
      <c r="C354" s="1" t="s">
        <v>178</v>
      </c>
      <c r="D354" s="1" t="s">
        <v>179</v>
      </c>
      <c r="E354" s="1" t="s">
        <v>15</v>
      </c>
      <c r="F354" s="1">
        <v>46.913305883488732</v>
      </c>
      <c r="G354" s="1">
        <v>6.7615596404191196</v>
      </c>
      <c r="H354" s="1">
        <v>6</v>
      </c>
      <c r="I354" s="1">
        <v>13</v>
      </c>
      <c r="J354" s="1">
        <v>12</v>
      </c>
      <c r="K354" s="1">
        <v>2013</v>
      </c>
      <c r="L354" s="1">
        <v>1</v>
      </c>
      <c r="M354" s="1">
        <v>327</v>
      </c>
      <c r="N354" s="1" t="s">
        <v>832</v>
      </c>
      <c r="O354" s="1">
        <f t="shared" si="11"/>
        <v>9</v>
      </c>
    </row>
    <row r="355" spans="1:15" hidden="1" x14ac:dyDescent="0.25">
      <c r="A355" s="14">
        <v>-108.78712600000001</v>
      </c>
      <c r="B355" s="16">
        <f t="shared" si="10"/>
        <v>-85.801596354000026</v>
      </c>
      <c r="C355" s="9" t="s">
        <v>675</v>
      </c>
      <c r="D355" s="9" t="s">
        <v>676</v>
      </c>
      <c r="E355" s="9" t="s">
        <v>117</v>
      </c>
      <c r="F355" s="9">
        <v>46.058070254217576</v>
      </c>
      <c r="G355" s="9">
        <v>8.8965692457171865</v>
      </c>
      <c r="H355" s="8">
        <v>5</v>
      </c>
      <c r="I355" s="8">
        <v>18</v>
      </c>
      <c r="J355" s="8">
        <v>10</v>
      </c>
      <c r="K355" s="8">
        <v>2015</v>
      </c>
      <c r="L355" s="8">
        <v>1</v>
      </c>
      <c r="M355" s="8">
        <v>328</v>
      </c>
      <c r="N355" s="1" t="s">
        <v>832</v>
      </c>
      <c r="O355" s="1">
        <f t="shared" si="11"/>
        <v>9</v>
      </c>
    </row>
    <row r="356" spans="1:15" hidden="1" x14ac:dyDescent="0.25">
      <c r="A356" s="14">
        <v>-111.66666300000001</v>
      </c>
      <c r="B356" s="16">
        <f t="shared" si="10"/>
        <v>-88.620663077000017</v>
      </c>
      <c r="C356" s="9" t="s">
        <v>612</v>
      </c>
      <c r="D356" s="9" t="s">
        <v>613</v>
      </c>
      <c r="E356" s="9" t="s">
        <v>12</v>
      </c>
      <c r="F356" s="9">
        <v>46.75117029028182</v>
      </c>
      <c r="G356" s="9">
        <v>7.0571778589369201</v>
      </c>
      <c r="H356" s="8">
        <v>5</v>
      </c>
      <c r="I356" s="8">
        <v>18</v>
      </c>
      <c r="J356" s="8">
        <v>11</v>
      </c>
      <c r="K356" s="8">
        <v>2015</v>
      </c>
      <c r="L356" s="8">
        <v>1</v>
      </c>
      <c r="M356" s="8">
        <v>329</v>
      </c>
      <c r="N356" s="1" t="s">
        <v>832</v>
      </c>
      <c r="O356" s="1">
        <f t="shared" si="11"/>
        <v>9</v>
      </c>
    </row>
    <row r="357" spans="1:15" hidden="1" x14ac:dyDescent="0.25">
      <c r="A357" s="11">
        <v>-114.58630680000002</v>
      </c>
      <c r="B357" s="16">
        <f t="shared" si="10"/>
        <v>-91.478994357200008</v>
      </c>
      <c r="C357" s="1" t="s">
        <v>142</v>
      </c>
      <c r="D357" s="1" t="s">
        <v>143</v>
      </c>
      <c r="E357" s="1" t="s">
        <v>12</v>
      </c>
      <c r="F357" s="1">
        <v>46.644415892876069</v>
      </c>
      <c r="G357" s="1">
        <v>7.0227430965085595</v>
      </c>
      <c r="H357" s="1">
        <v>6</v>
      </c>
      <c r="I357" s="1">
        <v>5</v>
      </c>
      <c r="J357" s="1">
        <v>11</v>
      </c>
      <c r="K357" s="1">
        <v>2013</v>
      </c>
      <c r="L357" s="1">
        <v>1</v>
      </c>
      <c r="M357" s="1">
        <v>330</v>
      </c>
      <c r="N357" s="1" t="s">
        <v>832</v>
      </c>
      <c r="O357" s="1">
        <f t="shared" si="11"/>
        <v>9</v>
      </c>
    </row>
    <row r="358" spans="1:15" hidden="1" x14ac:dyDescent="0.25">
      <c r="A358" s="11">
        <v>-114.18437759999998</v>
      </c>
      <c r="B358" s="16">
        <f t="shared" si="10"/>
        <v>-91.085505670399982</v>
      </c>
      <c r="C358" s="1" t="s">
        <v>132</v>
      </c>
      <c r="D358" s="1" t="s">
        <v>133</v>
      </c>
      <c r="E358" s="1" t="s">
        <v>12</v>
      </c>
      <c r="F358" s="1">
        <v>46.663077439547223</v>
      </c>
      <c r="G358" s="1">
        <v>7.1752383931826635</v>
      </c>
      <c r="H358" s="1">
        <v>6</v>
      </c>
      <c r="I358" s="1">
        <v>31</v>
      </c>
      <c r="J358" s="1">
        <v>10</v>
      </c>
      <c r="K358" s="1">
        <v>2013</v>
      </c>
      <c r="L358" s="1">
        <v>1</v>
      </c>
      <c r="M358" s="1">
        <v>330</v>
      </c>
      <c r="N358" s="1" t="s">
        <v>832</v>
      </c>
      <c r="O358" s="1">
        <f t="shared" si="11"/>
        <v>9</v>
      </c>
    </row>
    <row r="359" spans="1:15" hidden="1" x14ac:dyDescent="0.25">
      <c r="A359" s="13">
        <v>-109.42179380000002</v>
      </c>
      <c r="B359" s="16">
        <f t="shared" si="10"/>
        <v>-86.422936130200014</v>
      </c>
      <c r="C359" s="6" t="s">
        <v>302</v>
      </c>
      <c r="D359" s="6" t="s">
        <v>303</v>
      </c>
      <c r="E359" s="6" t="s">
        <v>185</v>
      </c>
      <c r="F359" s="7">
        <v>46.80577238073878</v>
      </c>
      <c r="G359" s="7">
        <v>6.4401054114090375</v>
      </c>
      <c r="H359" s="7">
        <v>6</v>
      </c>
      <c r="I359" s="7">
        <v>20</v>
      </c>
      <c r="J359" s="7">
        <v>11</v>
      </c>
      <c r="K359" s="7">
        <v>2014</v>
      </c>
      <c r="L359" s="7">
        <v>1</v>
      </c>
      <c r="M359" s="7">
        <v>330</v>
      </c>
      <c r="N359" s="1" t="s">
        <v>832</v>
      </c>
      <c r="O359" s="1">
        <f t="shared" si="11"/>
        <v>9</v>
      </c>
    </row>
    <row r="360" spans="1:15" hidden="1" x14ac:dyDescent="0.25">
      <c r="A360" s="13">
        <v>-109.0677249</v>
      </c>
      <c r="B360" s="16">
        <f t="shared" si="10"/>
        <v>-86.076302677099989</v>
      </c>
      <c r="C360" s="6" t="s">
        <v>283</v>
      </c>
      <c r="D360" s="6" t="s">
        <v>284</v>
      </c>
      <c r="E360" s="6" t="s">
        <v>12</v>
      </c>
      <c r="F360" s="7">
        <v>46.711803140222891</v>
      </c>
      <c r="G360" s="7">
        <v>7.1444506227411528</v>
      </c>
      <c r="H360" s="7">
        <v>4</v>
      </c>
      <c r="I360" s="7">
        <v>13</v>
      </c>
      <c r="J360" s="7">
        <v>11</v>
      </c>
      <c r="K360" s="7">
        <v>2014</v>
      </c>
      <c r="L360" s="7">
        <v>1</v>
      </c>
      <c r="M360" s="7">
        <v>330</v>
      </c>
      <c r="N360" s="1" t="s">
        <v>832</v>
      </c>
      <c r="O360" s="1">
        <f t="shared" si="11"/>
        <v>9</v>
      </c>
    </row>
    <row r="361" spans="1:15" hidden="1" x14ac:dyDescent="0.25">
      <c r="A361" s="13">
        <v>-109.86816859999999</v>
      </c>
      <c r="B361" s="16">
        <f t="shared" si="10"/>
        <v>-86.859937059399982</v>
      </c>
      <c r="C361" s="6" t="s">
        <v>314</v>
      </c>
      <c r="D361" s="6" t="s">
        <v>315</v>
      </c>
      <c r="E361" s="6" t="s">
        <v>12</v>
      </c>
      <c r="F361" s="7">
        <v>46.733599161296944</v>
      </c>
      <c r="G361" s="7">
        <v>6.9418679079394385</v>
      </c>
      <c r="H361" s="7">
        <v>4</v>
      </c>
      <c r="I361" s="7">
        <v>4</v>
      </c>
      <c r="J361" s="7">
        <v>12</v>
      </c>
      <c r="K361" s="7">
        <v>2014</v>
      </c>
      <c r="L361" s="7">
        <v>1</v>
      </c>
      <c r="M361" s="7">
        <v>332</v>
      </c>
      <c r="N361" s="1" t="s">
        <v>832</v>
      </c>
      <c r="O361" s="1">
        <f t="shared" si="11"/>
        <v>9</v>
      </c>
    </row>
    <row r="362" spans="1:15" hidden="1" x14ac:dyDescent="0.25">
      <c r="A362" s="14">
        <v>-108.8435625</v>
      </c>
      <c r="B362" s="16">
        <f t="shared" si="10"/>
        <v>-85.856847687499993</v>
      </c>
      <c r="C362" s="9" t="s">
        <v>763</v>
      </c>
      <c r="D362" s="9" t="s">
        <v>764</v>
      </c>
      <c r="E362" s="9" t="s">
        <v>15</v>
      </c>
      <c r="F362" s="9">
        <v>46.930241015499846</v>
      </c>
      <c r="G362" s="9">
        <v>6.542271051160796</v>
      </c>
      <c r="H362" s="8">
        <v>5</v>
      </c>
      <c r="I362" s="8">
        <v>4</v>
      </c>
      <c r="J362" s="8">
        <v>11</v>
      </c>
      <c r="K362" s="8">
        <v>2015</v>
      </c>
      <c r="L362" s="8">
        <v>1</v>
      </c>
      <c r="M362" s="8">
        <v>332</v>
      </c>
      <c r="N362" s="1" t="s">
        <v>832</v>
      </c>
      <c r="O362" s="1">
        <f t="shared" si="11"/>
        <v>9</v>
      </c>
    </row>
    <row r="363" spans="1:15" hidden="1" x14ac:dyDescent="0.25">
      <c r="A363" s="14">
        <v>-117.04062000000003</v>
      </c>
      <c r="B363" s="16">
        <f t="shared" si="10"/>
        <v>-93.881766980000037</v>
      </c>
      <c r="C363" s="9" t="s">
        <v>751</v>
      </c>
      <c r="D363" s="9" t="s">
        <v>752</v>
      </c>
      <c r="E363" s="9" t="s">
        <v>185</v>
      </c>
      <c r="F363" s="9">
        <v>46.597520493347979</v>
      </c>
      <c r="G363" s="9">
        <v>6.4219979818194295</v>
      </c>
      <c r="H363" s="8">
        <v>4</v>
      </c>
      <c r="I363" s="8">
        <v>14</v>
      </c>
      <c r="J363" s="8">
        <v>12</v>
      </c>
      <c r="K363" s="8">
        <v>2015</v>
      </c>
      <c r="L363" s="8">
        <v>1</v>
      </c>
      <c r="M363" s="8">
        <v>340</v>
      </c>
      <c r="N363" s="1" t="s">
        <v>832</v>
      </c>
      <c r="O363" s="1">
        <f t="shared" si="11"/>
        <v>9</v>
      </c>
    </row>
    <row r="364" spans="1:15" hidden="1" x14ac:dyDescent="0.25">
      <c r="A364" s="13">
        <v>-114.47798560000001</v>
      </c>
      <c r="B364" s="16">
        <f t="shared" si="10"/>
        <v>-91.3729479024</v>
      </c>
      <c r="C364" s="6" t="s">
        <v>247</v>
      </c>
      <c r="D364" s="6" t="s">
        <v>166</v>
      </c>
      <c r="E364" s="6" t="s">
        <v>15</v>
      </c>
      <c r="F364" s="7">
        <v>46.894147363439423</v>
      </c>
      <c r="G364" s="7">
        <v>6.5114821364393789</v>
      </c>
      <c r="H364" s="7">
        <v>6</v>
      </c>
      <c r="I364" s="7">
        <v>29</v>
      </c>
      <c r="J364" s="7">
        <v>10</v>
      </c>
      <c r="K364" s="7">
        <v>2014</v>
      </c>
      <c r="L364" s="7">
        <v>1</v>
      </c>
      <c r="M364" s="7">
        <v>340</v>
      </c>
      <c r="N364" s="1" t="s">
        <v>832</v>
      </c>
      <c r="O364" s="1">
        <f t="shared" si="11"/>
        <v>9</v>
      </c>
    </row>
    <row r="365" spans="1:15" hidden="1" x14ac:dyDescent="0.25">
      <c r="A365" s="14">
        <v>-110.95703249999998</v>
      </c>
      <c r="B365" s="16">
        <f t="shared" si="10"/>
        <v>-87.925934817499979</v>
      </c>
      <c r="C365" s="9" t="s">
        <v>509</v>
      </c>
      <c r="D365" s="9" t="s">
        <v>510</v>
      </c>
      <c r="E365" s="9" t="s">
        <v>117</v>
      </c>
      <c r="F365" s="9">
        <v>45.954245172761027</v>
      </c>
      <c r="G365" s="9">
        <v>9.0069933023274658</v>
      </c>
      <c r="H365" s="8">
        <v>6</v>
      </c>
      <c r="I365" s="8">
        <v>14</v>
      </c>
      <c r="J365" s="8">
        <v>11</v>
      </c>
      <c r="K365" s="8">
        <v>2015</v>
      </c>
      <c r="L365" s="8">
        <v>1</v>
      </c>
      <c r="M365" s="8">
        <v>340</v>
      </c>
      <c r="N365" s="1" t="s">
        <v>832</v>
      </c>
      <c r="O365" s="1">
        <f t="shared" si="11"/>
        <v>9</v>
      </c>
    </row>
    <row r="366" spans="1:15" hidden="1" x14ac:dyDescent="0.25">
      <c r="A366" s="14">
        <v>-108.82237100000002</v>
      </c>
      <c r="B366" s="16">
        <f t="shared" si="10"/>
        <v>-85.83610120900002</v>
      </c>
      <c r="C366" s="9" t="s">
        <v>563</v>
      </c>
      <c r="D366" s="9" t="s">
        <v>564</v>
      </c>
      <c r="E366" s="9" t="s">
        <v>117</v>
      </c>
      <c r="F366" s="9">
        <v>45.882944148649656</v>
      </c>
      <c r="G366" s="9">
        <v>9.0701388144568806</v>
      </c>
      <c r="H366" s="8">
        <v>5</v>
      </c>
      <c r="I366" s="8">
        <v>10</v>
      </c>
      <c r="J366" s="8">
        <v>11</v>
      </c>
      <c r="K366" s="8">
        <v>2015</v>
      </c>
      <c r="L366" s="8">
        <v>1</v>
      </c>
      <c r="M366" s="8">
        <v>340</v>
      </c>
      <c r="N366" s="1" t="s">
        <v>832</v>
      </c>
      <c r="O366" s="1">
        <f t="shared" si="11"/>
        <v>9</v>
      </c>
    </row>
    <row r="367" spans="1:15" hidden="1" x14ac:dyDescent="0.25">
      <c r="A367" s="14">
        <v>-112.61662299999999</v>
      </c>
      <c r="B367" s="16">
        <f t="shared" si="10"/>
        <v>-89.550673916999983</v>
      </c>
      <c r="C367" s="9" t="s">
        <v>628</v>
      </c>
      <c r="D367" s="9" t="s">
        <v>45</v>
      </c>
      <c r="E367" s="9" t="s">
        <v>12</v>
      </c>
      <c r="F367" s="9">
        <v>46.649039147237801</v>
      </c>
      <c r="G367" s="9">
        <v>7.0402247626806247</v>
      </c>
      <c r="H367" s="8">
        <v>3</v>
      </c>
      <c r="I367" s="8">
        <v>19</v>
      </c>
      <c r="J367" s="8">
        <v>10</v>
      </c>
      <c r="K367" s="8">
        <v>2015</v>
      </c>
      <c r="L367" s="8">
        <v>1</v>
      </c>
      <c r="M367" s="8">
        <v>342</v>
      </c>
      <c r="N367" s="1" t="s">
        <v>832</v>
      </c>
      <c r="O367" s="1">
        <f t="shared" si="11"/>
        <v>9</v>
      </c>
    </row>
    <row r="368" spans="1:15" hidden="1" x14ac:dyDescent="0.25">
      <c r="A368" s="14">
        <v>-108.533192</v>
      </c>
      <c r="B368" s="16">
        <f t="shared" si="10"/>
        <v>-85.552994968000007</v>
      </c>
      <c r="C368" s="9" t="s">
        <v>608</v>
      </c>
      <c r="D368" s="9" t="s">
        <v>609</v>
      </c>
      <c r="E368" s="9" t="s">
        <v>12</v>
      </c>
      <c r="F368" s="9">
        <v>46.76472040989546</v>
      </c>
      <c r="G368" s="9">
        <v>7.077412047572226</v>
      </c>
      <c r="H368" s="8">
        <v>5</v>
      </c>
      <c r="I368" s="8">
        <v>12</v>
      </c>
      <c r="J368" s="8">
        <v>11</v>
      </c>
      <c r="K368" s="8">
        <v>2015</v>
      </c>
      <c r="L368" s="8">
        <v>1</v>
      </c>
      <c r="M368" s="8">
        <v>343</v>
      </c>
      <c r="N368" s="1" t="s">
        <v>832</v>
      </c>
      <c r="O368" s="1">
        <f t="shared" si="11"/>
        <v>9</v>
      </c>
    </row>
    <row r="369" spans="1:15" hidden="1" x14ac:dyDescent="0.25">
      <c r="A369" s="14">
        <v>-114.51084800000002</v>
      </c>
      <c r="B369" s="16">
        <f t="shared" si="10"/>
        <v>-91.405120192000027</v>
      </c>
      <c r="C369" s="9" t="s">
        <v>787</v>
      </c>
      <c r="D369" s="9" t="s">
        <v>115</v>
      </c>
      <c r="E369" s="9" t="s">
        <v>185</v>
      </c>
      <c r="F369" s="9">
        <v>46.933621929267893</v>
      </c>
      <c r="G369" s="9">
        <v>6.4983120032280217</v>
      </c>
      <c r="H369" s="8">
        <v>5</v>
      </c>
      <c r="I369" s="8">
        <v>10</v>
      </c>
      <c r="J369" s="8">
        <v>10</v>
      </c>
      <c r="K369" s="8">
        <v>2015</v>
      </c>
      <c r="L369" s="8">
        <v>1</v>
      </c>
      <c r="M369" s="8">
        <v>347</v>
      </c>
      <c r="N369" s="1" t="s">
        <v>832</v>
      </c>
      <c r="O369" s="1">
        <f t="shared" si="11"/>
        <v>9</v>
      </c>
    </row>
    <row r="370" spans="1:15" hidden="1" x14ac:dyDescent="0.25">
      <c r="A370" s="14">
        <v>-111.97521640000001</v>
      </c>
      <c r="B370" s="16">
        <f t="shared" si="10"/>
        <v>-88.922736855599993</v>
      </c>
      <c r="C370" s="9" t="s">
        <v>373</v>
      </c>
      <c r="D370" s="9" t="s">
        <v>374</v>
      </c>
      <c r="E370" s="9" t="s">
        <v>15</v>
      </c>
      <c r="F370" s="9">
        <v>47.001625519705811</v>
      </c>
      <c r="G370" s="9">
        <v>6.8275314416328081</v>
      </c>
      <c r="H370" s="8">
        <v>6</v>
      </c>
      <c r="I370" s="8">
        <v>21</v>
      </c>
      <c r="J370" s="8">
        <v>11</v>
      </c>
      <c r="K370" s="8">
        <v>2015</v>
      </c>
      <c r="L370" s="8">
        <v>1</v>
      </c>
      <c r="M370" s="8">
        <v>347</v>
      </c>
      <c r="N370" s="1" t="s">
        <v>832</v>
      </c>
      <c r="O370" s="1">
        <f t="shared" si="11"/>
        <v>9</v>
      </c>
    </row>
    <row r="371" spans="1:15" hidden="1" x14ac:dyDescent="0.25">
      <c r="A371" s="14">
        <v>-116.80110900000001</v>
      </c>
      <c r="B371" s="16">
        <f t="shared" si="10"/>
        <v>-93.647285710999995</v>
      </c>
      <c r="C371" s="9" t="s">
        <v>745</v>
      </c>
      <c r="D371" s="9" t="s">
        <v>746</v>
      </c>
      <c r="E371" s="9" t="s">
        <v>185</v>
      </c>
      <c r="F371" s="9">
        <v>46.663831678602492</v>
      </c>
      <c r="G371" s="9">
        <v>6.2992226848288659</v>
      </c>
      <c r="H371" s="8">
        <v>4</v>
      </c>
      <c r="I371" s="8">
        <v>16</v>
      </c>
      <c r="J371" s="8">
        <v>11</v>
      </c>
      <c r="K371" s="8">
        <v>2015</v>
      </c>
      <c r="L371" s="8">
        <v>1</v>
      </c>
      <c r="M371" s="8">
        <v>348</v>
      </c>
      <c r="N371" s="1" t="s">
        <v>832</v>
      </c>
      <c r="O371" s="1">
        <f t="shared" si="11"/>
        <v>9</v>
      </c>
    </row>
    <row r="372" spans="1:15" hidden="1" x14ac:dyDescent="0.25">
      <c r="A372" s="13">
        <v>-115.86158080000001</v>
      </c>
      <c r="B372" s="16">
        <f t="shared" si="10"/>
        <v>-92.727487603200018</v>
      </c>
      <c r="C372" s="6" t="s">
        <v>205</v>
      </c>
      <c r="D372" s="6" t="s">
        <v>206</v>
      </c>
      <c r="E372" s="6" t="s">
        <v>15</v>
      </c>
      <c r="F372" s="7">
        <v>47.098474049794767</v>
      </c>
      <c r="G372" s="7">
        <v>7.0095510986823504</v>
      </c>
      <c r="H372" s="7">
        <v>6</v>
      </c>
      <c r="I372" s="7">
        <v>17</v>
      </c>
      <c r="J372" s="7">
        <v>10</v>
      </c>
      <c r="K372" s="7">
        <v>2014</v>
      </c>
      <c r="L372" s="7">
        <v>1</v>
      </c>
      <c r="M372" s="7">
        <v>348</v>
      </c>
      <c r="N372" s="1" t="s">
        <v>832</v>
      </c>
      <c r="O372" s="1">
        <f t="shared" si="11"/>
        <v>9</v>
      </c>
    </row>
    <row r="373" spans="1:15" hidden="1" x14ac:dyDescent="0.25">
      <c r="A373" s="14">
        <v>-112.93234499999998</v>
      </c>
      <c r="B373" s="16">
        <f t="shared" si="10"/>
        <v>-89.859765754999984</v>
      </c>
      <c r="C373" s="9" t="s">
        <v>573</v>
      </c>
      <c r="D373" s="9" t="s">
        <v>574</v>
      </c>
      <c r="E373" s="9" t="s">
        <v>117</v>
      </c>
      <c r="F373" s="9">
        <v>46.029926398432366</v>
      </c>
      <c r="G373" s="9">
        <v>8.9824393606740003</v>
      </c>
      <c r="H373" s="8">
        <v>5</v>
      </c>
      <c r="I373" s="8">
        <v>28</v>
      </c>
      <c r="J373" s="8">
        <v>11</v>
      </c>
      <c r="K373" s="8">
        <v>2015</v>
      </c>
      <c r="L373" s="8">
        <v>1</v>
      </c>
      <c r="M373" s="8">
        <v>350</v>
      </c>
      <c r="N373" s="1" t="s">
        <v>832</v>
      </c>
      <c r="O373" s="1">
        <f t="shared" si="11"/>
        <v>9</v>
      </c>
    </row>
    <row r="374" spans="1:15" hidden="1" x14ac:dyDescent="0.25">
      <c r="A374" s="14">
        <v>-111.27935000000001</v>
      </c>
      <c r="B374" s="16">
        <f t="shared" si="10"/>
        <v>-88.241483649999992</v>
      </c>
      <c r="C374" s="9" t="s">
        <v>507</v>
      </c>
      <c r="D374" s="9" t="s">
        <v>508</v>
      </c>
      <c r="E374" s="9" t="s">
        <v>117</v>
      </c>
      <c r="F374" s="9">
        <v>45.960000881247197</v>
      </c>
      <c r="G374" s="9">
        <v>9.0136085297993667</v>
      </c>
      <c r="H374" s="8">
        <v>6</v>
      </c>
      <c r="I374" s="8">
        <v>20</v>
      </c>
      <c r="J374" s="8">
        <v>10</v>
      </c>
      <c r="K374" s="8">
        <v>2015</v>
      </c>
      <c r="L374" s="8">
        <v>1</v>
      </c>
      <c r="M374" s="8">
        <v>350</v>
      </c>
      <c r="N374" s="1" t="s">
        <v>832</v>
      </c>
      <c r="O374" s="1">
        <f t="shared" si="11"/>
        <v>9</v>
      </c>
    </row>
    <row r="375" spans="1:15" hidden="1" x14ac:dyDescent="0.25">
      <c r="A375" s="14">
        <v>-117.2770489</v>
      </c>
      <c r="B375" s="16">
        <f t="shared" si="10"/>
        <v>-94.113230873100008</v>
      </c>
      <c r="C375" s="9" t="s">
        <v>339</v>
      </c>
      <c r="D375" s="9" t="s">
        <v>340</v>
      </c>
      <c r="E375" s="9" t="s">
        <v>117</v>
      </c>
      <c r="F375" s="9">
        <v>46.155125928209458</v>
      </c>
      <c r="G375" s="9">
        <v>8.6899279313976017</v>
      </c>
      <c r="H375" s="8">
        <v>6</v>
      </c>
      <c r="I375" s="8">
        <v>21</v>
      </c>
      <c r="J375" s="8">
        <v>10</v>
      </c>
      <c r="K375" s="8">
        <v>2015</v>
      </c>
      <c r="L375" s="8">
        <v>1</v>
      </c>
      <c r="M375" s="8">
        <v>360</v>
      </c>
      <c r="N375" s="1" t="s">
        <v>832</v>
      </c>
      <c r="O375" s="1">
        <f t="shared" si="11"/>
        <v>9</v>
      </c>
    </row>
    <row r="376" spans="1:15" hidden="1" x14ac:dyDescent="0.25">
      <c r="A376" s="13">
        <v>-114.31400649999998</v>
      </c>
      <c r="B376" s="16">
        <f t="shared" si="10"/>
        <v>-91.212412363499965</v>
      </c>
      <c r="C376" s="6" t="s">
        <v>234</v>
      </c>
      <c r="D376" s="6" t="s">
        <v>124</v>
      </c>
      <c r="E376" s="6" t="s">
        <v>117</v>
      </c>
      <c r="F376" s="7">
        <v>46.084915935202531</v>
      </c>
      <c r="G376" s="7">
        <v>9.0867763785164772</v>
      </c>
      <c r="H376" s="7">
        <v>5</v>
      </c>
      <c r="I376" s="7">
        <v>28</v>
      </c>
      <c r="J376" s="7">
        <v>10</v>
      </c>
      <c r="K376" s="7">
        <v>2014</v>
      </c>
      <c r="L376" s="7">
        <v>1</v>
      </c>
      <c r="M376" s="7">
        <v>360</v>
      </c>
      <c r="N376" s="1" t="s">
        <v>832</v>
      </c>
      <c r="O376" s="1">
        <f t="shared" si="11"/>
        <v>9</v>
      </c>
    </row>
    <row r="377" spans="1:15" hidden="1" x14ac:dyDescent="0.25">
      <c r="A377" s="14">
        <v>-113.64481500000001</v>
      </c>
      <c r="B377" s="16">
        <f t="shared" si="10"/>
        <v>-90.557273885000001</v>
      </c>
      <c r="C377" s="9" t="s">
        <v>555</v>
      </c>
      <c r="D377" s="9" t="s">
        <v>556</v>
      </c>
      <c r="E377" s="9" t="s">
        <v>117</v>
      </c>
      <c r="F377" s="9">
        <v>45.883653155950789</v>
      </c>
      <c r="G377" s="9">
        <v>9.0721181040400971</v>
      </c>
      <c r="H377" s="8">
        <v>5</v>
      </c>
      <c r="I377" s="8">
        <v>3</v>
      </c>
      <c r="J377" s="8">
        <v>11</v>
      </c>
      <c r="K377" s="8">
        <v>2015</v>
      </c>
      <c r="L377" s="8">
        <v>1</v>
      </c>
      <c r="M377" s="8">
        <v>360</v>
      </c>
      <c r="N377" s="1" t="s">
        <v>832</v>
      </c>
      <c r="O377" s="1">
        <f t="shared" si="11"/>
        <v>9</v>
      </c>
    </row>
    <row r="378" spans="1:15" hidden="1" x14ac:dyDescent="0.25">
      <c r="A378" s="14">
        <v>-113.697435</v>
      </c>
      <c r="B378" s="16">
        <f t="shared" si="10"/>
        <v>-90.608788865000008</v>
      </c>
      <c r="C378" s="9" t="s">
        <v>488</v>
      </c>
      <c r="D378" s="9" t="s">
        <v>145</v>
      </c>
      <c r="E378" s="9" t="s">
        <v>117</v>
      </c>
      <c r="F378" s="9">
        <v>46.122106297025873</v>
      </c>
      <c r="G378" s="9">
        <v>8.8306763933733698</v>
      </c>
      <c r="H378" s="8">
        <v>5</v>
      </c>
      <c r="I378" s="8">
        <v>21</v>
      </c>
      <c r="J378" s="8">
        <v>10</v>
      </c>
      <c r="K378" s="8">
        <v>2015</v>
      </c>
      <c r="L378" s="8">
        <v>1</v>
      </c>
      <c r="M378" s="8">
        <v>361</v>
      </c>
      <c r="N378" s="1" t="s">
        <v>832</v>
      </c>
      <c r="O378" s="1">
        <f t="shared" si="11"/>
        <v>9</v>
      </c>
    </row>
    <row r="379" spans="1:15" hidden="1" x14ac:dyDescent="0.25">
      <c r="A379" s="13">
        <v>-111.75286219999998</v>
      </c>
      <c r="B379" s="16">
        <f t="shared" si="10"/>
        <v>-88.705052093799992</v>
      </c>
      <c r="C379" s="6" t="s">
        <v>316</v>
      </c>
      <c r="D379" s="6" t="s">
        <v>317</v>
      </c>
      <c r="E379" s="6" t="s">
        <v>12</v>
      </c>
      <c r="F379" s="7">
        <v>46.741931378426898</v>
      </c>
      <c r="G379" s="7">
        <v>6.9465411837759055</v>
      </c>
      <c r="H379" s="7">
        <v>4</v>
      </c>
      <c r="I379" s="7">
        <v>9</v>
      </c>
      <c r="J379" s="7">
        <v>12</v>
      </c>
      <c r="K379" s="7">
        <v>2014</v>
      </c>
      <c r="L379" s="7">
        <v>1</v>
      </c>
      <c r="M379" s="7">
        <v>370</v>
      </c>
      <c r="N379" s="1" t="s">
        <v>832</v>
      </c>
      <c r="O379" s="1">
        <f t="shared" si="11"/>
        <v>9</v>
      </c>
    </row>
    <row r="380" spans="1:15" hidden="1" x14ac:dyDescent="0.25">
      <c r="A380" s="14">
        <v>-111.24557</v>
      </c>
      <c r="B380" s="16">
        <f t="shared" si="10"/>
        <v>-88.208413030000003</v>
      </c>
      <c r="C380" s="9" t="s">
        <v>471</v>
      </c>
      <c r="D380" s="9" t="s">
        <v>141</v>
      </c>
      <c r="E380" s="9" t="s">
        <v>12</v>
      </c>
      <c r="F380" s="9">
        <v>46.730666959458375</v>
      </c>
      <c r="G380" s="9">
        <v>6.946107521189095</v>
      </c>
      <c r="H380" s="8">
        <v>4</v>
      </c>
      <c r="I380" s="8">
        <v>11</v>
      </c>
      <c r="J380" s="8">
        <v>11</v>
      </c>
      <c r="K380" s="8">
        <v>2015</v>
      </c>
      <c r="L380" s="8">
        <v>1</v>
      </c>
      <c r="M380" s="8">
        <v>372</v>
      </c>
      <c r="N380" s="1" t="s">
        <v>832</v>
      </c>
      <c r="O380" s="1">
        <f t="shared" si="11"/>
        <v>9</v>
      </c>
    </row>
    <row r="381" spans="1:15" hidden="1" x14ac:dyDescent="0.25">
      <c r="A381" s="14">
        <v>-108.46006680000001</v>
      </c>
      <c r="B381" s="16">
        <f t="shared" si="10"/>
        <v>-85.481405397200007</v>
      </c>
      <c r="C381" s="9" t="s">
        <v>409</v>
      </c>
      <c r="D381" s="9" t="s">
        <v>410</v>
      </c>
      <c r="E381" s="9" t="s">
        <v>117</v>
      </c>
      <c r="F381" s="9">
        <v>46.21463640075725</v>
      </c>
      <c r="G381" s="9">
        <v>8.688534389837951</v>
      </c>
      <c r="H381" s="8">
        <v>5</v>
      </c>
      <c r="I381" s="8">
        <v>18</v>
      </c>
      <c r="J381" s="8">
        <v>10</v>
      </c>
      <c r="K381" s="8">
        <v>2015</v>
      </c>
      <c r="L381" s="8">
        <v>1</v>
      </c>
      <c r="M381" s="8">
        <v>375</v>
      </c>
      <c r="N381" s="1" t="s">
        <v>832</v>
      </c>
      <c r="O381" s="1">
        <f t="shared" si="11"/>
        <v>9</v>
      </c>
    </row>
    <row r="382" spans="1:15" hidden="1" x14ac:dyDescent="0.25">
      <c r="A382" s="11">
        <v>-112.77693479999999</v>
      </c>
      <c r="B382" s="16">
        <f t="shared" si="10"/>
        <v>-89.707619169200001</v>
      </c>
      <c r="C382" s="1" t="s">
        <v>149</v>
      </c>
      <c r="D382" s="1" t="s">
        <v>150</v>
      </c>
      <c r="E382" s="1" t="s">
        <v>12</v>
      </c>
      <c r="F382" s="1">
        <v>46.76427723785585</v>
      </c>
      <c r="G382" s="1">
        <v>7.0388890414357705</v>
      </c>
      <c r="H382" s="1">
        <v>6</v>
      </c>
      <c r="I382" s="1">
        <v>6</v>
      </c>
      <c r="J382" s="1">
        <v>11</v>
      </c>
      <c r="K382" s="1">
        <v>2013</v>
      </c>
      <c r="L382" s="1">
        <v>1</v>
      </c>
      <c r="M382" s="1">
        <v>381</v>
      </c>
      <c r="N382" s="1" t="s">
        <v>832</v>
      </c>
      <c r="O382" s="1">
        <f t="shared" si="11"/>
        <v>9</v>
      </c>
    </row>
    <row r="383" spans="1:15" hidden="1" x14ac:dyDescent="0.25">
      <c r="A383" s="14">
        <v>-114.04535599999998</v>
      </c>
      <c r="B383" s="16">
        <f t="shared" si="10"/>
        <v>-90.94940352399999</v>
      </c>
      <c r="C383" s="9" t="s">
        <v>707</v>
      </c>
      <c r="D383" s="9" t="s">
        <v>708</v>
      </c>
      <c r="E383" s="9" t="s">
        <v>117</v>
      </c>
      <c r="F383" s="9">
        <v>46.025796262291898</v>
      </c>
      <c r="G383" s="9">
        <v>8.8240005082061259</v>
      </c>
      <c r="H383" s="8">
        <v>5</v>
      </c>
      <c r="I383" s="8">
        <v>18</v>
      </c>
      <c r="J383" s="8">
        <v>10</v>
      </c>
      <c r="K383" s="8">
        <v>2015</v>
      </c>
      <c r="L383" s="8">
        <v>1</v>
      </c>
      <c r="M383" s="9" t="s">
        <v>835</v>
      </c>
      <c r="N383" s="1" t="s">
        <v>832</v>
      </c>
      <c r="O383" s="1">
        <f t="shared" si="11"/>
        <v>9</v>
      </c>
    </row>
    <row r="384" spans="1:15" hidden="1" x14ac:dyDescent="0.25">
      <c r="A384" s="13">
        <v>-121.27832800000002</v>
      </c>
      <c r="B384" s="16">
        <f t="shared" si="10"/>
        <v>-98.030483112000013</v>
      </c>
      <c r="C384" s="6" t="s">
        <v>204</v>
      </c>
      <c r="D384" s="6" t="s">
        <v>135</v>
      </c>
      <c r="E384" s="6" t="s">
        <v>15</v>
      </c>
      <c r="F384" s="7">
        <v>46.958211986784143</v>
      </c>
      <c r="G384" s="7">
        <v>6.6426036599670342</v>
      </c>
      <c r="H384" s="7">
        <v>6</v>
      </c>
      <c r="I384" s="7">
        <v>17</v>
      </c>
      <c r="J384" s="7">
        <v>10</v>
      </c>
      <c r="K384" s="7">
        <v>2014</v>
      </c>
      <c r="L384" s="7">
        <v>1</v>
      </c>
      <c r="M384" s="7">
        <v>260</v>
      </c>
      <c r="N384" s="1" t="s">
        <v>832</v>
      </c>
      <c r="O384" s="1">
        <f t="shared" si="11"/>
        <v>10</v>
      </c>
    </row>
    <row r="385" spans="1:15" hidden="1" x14ac:dyDescent="0.25">
      <c r="A385" s="14">
        <v>-120.90101999999997</v>
      </c>
      <c r="B385" s="16">
        <f t="shared" si="10"/>
        <v>-97.661098579999958</v>
      </c>
      <c r="C385" s="9" t="s">
        <v>499</v>
      </c>
      <c r="D385" s="9" t="s">
        <v>152</v>
      </c>
      <c r="E385" s="9" t="s">
        <v>117</v>
      </c>
      <c r="F385" s="9">
        <v>46.10662094856162</v>
      </c>
      <c r="G385" s="9">
        <v>8.9835609246550359</v>
      </c>
      <c r="H385" s="8">
        <v>5</v>
      </c>
      <c r="I385" s="8">
        <v>24</v>
      </c>
      <c r="J385" s="8">
        <v>10</v>
      </c>
      <c r="K385" s="8">
        <v>2015</v>
      </c>
      <c r="L385" s="8">
        <v>1</v>
      </c>
      <c r="M385" s="8">
        <v>272</v>
      </c>
      <c r="N385" s="1" t="s">
        <v>832</v>
      </c>
      <c r="O385" s="1">
        <f t="shared" si="11"/>
        <v>10</v>
      </c>
    </row>
    <row r="386" spans="1:15" hidden="1" x14ac:dyDescent="0.25">
      <c r="A386" s="14">
        <v>-121.725815</v>
      </c>
      <c r="B386" s="16">
        <f t="shared" ref="B386:B423" si="12">0.979*A386+20.701</f>
        <v>-98.468572884999986</v>
      </c>
      <c r="C386" s="9" t="s">
        <v>479</v>
      </c>
      <c r="D386" s="9" t="s">
        <v>239</v>
      </c>
      <c r="E386" s="9" t="s">
        <v>117</v>
      </c>
      <c r="F386" s="9">
        <v>46.091382381117562</v>
      </c>
      <c r="G386" s="9">
        <v>8.8415311021162939</v>
      </c>
      <c r="H386" s="8">
        <v>4</v>
      </c>
      <c r="I386" s="8">
        <v>19</v>
      </c>
      <c r="J386" s="8">
        <v>11</v>
      </c>
      <c r="K386" s="8">
        <v>2015</v>
      </c>
      <c r="L386" s="8">
        <v>1</v>
      </c>
      <c r="M386" s="8">
        <v>285</v>
      </c>
      <c r="N386" s="1" t="s">
        <v>832</v>
      </c>
      <c r="O386" s="1">
        <f t="shared" ref="O386:O422" si="13">ROUND(B386/10,0)*(-1)</f>
        <v>10</v>
      </c>
    </row>
    <row r="387" spans="1:15" hidden="1" x14ac:dyDescent="0.25">
      <c r="A387" s="14">
        <v>-122.40897</v>
      </c>
      <c r="B387" s="16">
        <f t="shared" si="12"/>
        <v>-99.137381629999993</v>
      </c>
      <c r="C387" s="9" t="s">
        <v>659</v>
      </c>
      <c r="D387" s="9" t="s">
        <v>660</v>
      </c>
      <c r="E387" s="9" t="s">
        <v>117</v>
      </c>
      <c r="F387" s="9">
        <v>46.213277180453055</v>
      </c>
      <c r="G387" s="9">
        <v>8.6845245687595209</v>
      </c>
      <c r="H387" s="8">
        <v>6</v>
      </c>
      <c r="I387" s="8">
        <v>1</v>
      </c>
      <c r="J387" s="8">
        <v>11</v>
      </c>
      <c r="K387" s="8">
        <v>2015</v>
      </c>
      <c r="L387" s="8">
        <v>1</v>
      </c>
      <c r="M387" s="8">
        <v>288</v>
      </c>
      <c r="N387" s="1" t="s">
        <v>832</v>
      </c>
      <c r="O387" s="1">
        <f t="shared" si="13"/>
        <v>10</v>
      </c>
    </row>
    <row r="388" spans="1:15" hidden="1" x14ac:dyDescent="0.25">
      <c r="A388" s="14">
        <v>-119.446556</v>
      </c>
      <c r="B388" s="16">
        <f t="shared" si="12"/>
        <v>-96.237178323999984</v>
      </c>
      <c r="C388" s="9" t="s">
        <v>651</v>
      </c>
      <c r="D388" s="9" t="s">
        <v>652</v>
      </c>
      <c r="E388" s="9" t="s">
        <v>117</v>
      </c>
      <c r="F388" s="9">
        <v>46.031385261401994</v>
      </c>
      <c r="G388" s="9">
        <v>8.8613818029842761</v>
      </c>
      <c r="H388" s="8">
        <v>5</v>
      </c>
      <c r="I388" s="8">
        <v>28</v>
      </c>
      <c r="J388" s="8">
        <v>10</v>
      </c>
      <c r="K388" s="8">
        <v>2015</v>
      </c>
      <c r="L388" s="8">
        <v>1</v>
      </c>
      <c r="M388" s="8">
        <v>290</v>
      </c>
      <c r="N388" s="1" t="s">
        <v>832</v>
      </c>
      <c r="O388" s="1">
        <f t="shared" si="13"/>
        <v>10</v>
      </c>
    </row>
    <row r="389" spans="1:15" hidden="1" x14ac:dyDescent="0.25">
      <c r="A389" s="14">
        <v>-118.63736000000002</v>
      </c>
      <c r="B389" s="16">
        <f t="shared" si="12"/>
        <v>-95.444975440000007</v>
      </c>
      <c r="C389" s="9" t="s">
        <v>739</v>
      </c>
      <c r="D389" s="9" t="s">
        <v>740</v>
      </c>
      <c r="E389" s="9" t="s">
        <v>117</v>
      </c>
      <c r="F389" s="9">
        <v>46.228023941494129</v>
      </c>
      <c r="G389" s="9">
        <v>8.9345011899587892</v>
      </c>
      <c r="H389" s="8">
        <v>5</v>
      </c>
      <c r="I389" s="8">
        <v>29</v>
      </c>
      <c r="J389" s="8">
        <v>10</v>
      </c>
      <c r="K389" s="8">
        <v>2015</v>
      </c>
      <c r="L389" s="8">
        <v>1</v>
      </c>
      <c r="M389" s="8">
        <v>290</v>
      </c>
      <c r="N389" s="1" t="s">
        <v>832</v>
      </c>
      <c r="O389" s="1">
        <f t="shared" si="13"/>
        <v>10</v>
      </c>
    </row>
    <row r="390" spans="1:15" hidden="1" x14ac:dyDescent="0.25">
      <c r="A390" s="14">
        <v>-118.68671260000004</v>
      </c>
      <c r="B390" s="16">
        <f t="shared" si="12"/>
        <v>-95.493291635400027</v>
      </c>
      <c r="C390" s="9" t="s">
        <v>353</v>
      </c>
      <c r="D390" s="9" t="s">
        <v>354</v>
      </c>
      <c r="E390" s="9" t="s">
        <v>117</v>
      </c>
      <c r="F390" s="9">
        <v>46.177372349435444</v>
      </c>
      <c r="G390" s="9">
        <v>8.6429597146774046</v>
      </c>
      <c r="H390" s="8">
        <v>3</v>
      </c>
      <c r="I390" s="9" t="s">
        <v>835</v>
      </c>
      <c r="J390" s="9" t="s">
        <v>835</v>
      </c>
      <c r="K390" s="8">
        <v>2015</v>
      </c>
      <c r="L390" s="8">
        <v>1</v>
      </c>
      <c r="M390" s="8">
        <v>298</v>
      </c>
      <c r="N390" s="1" t="s">
        <v>832</v>
      </c>
      <c r="O390" s="1">
        <f t="shared" si="13"/>
        <v>10</v>
      </c>
    </row>
    <row r="391" spans="1:15" hidden="1" x14ac:dyDescent="0.25">
      <c r="A391" s="14">
        <v>-122.64149500000001</v>
      </c>
      <c r="B391" s="16">
        <f t="shared" si="12"/>
        <v>-99.365023605000005</v>
      </c>
      <c r="C391" s="9" t="s">
        <v>545</v>
      </c>
      <c r="D391" s="9" t="s">
        <v>546</v>
      </c>
      <c r="E391" s="9" t="s">
        <v>117</v>
      </c>
      <c r="F391" s="9">
        <v>46.480643625710542</v>
      </c>
      <c r="G391" s="9">
        <v>8.7452527923116978</v>
      </c>
      <c r="H391" s="8">
        <v>5</v>
      </c>
      <c r="I391" s="8">
        <v>21</v>
      </c>
      <c r="J391" s="8">
        <v>10</v>
      </c>
      <c r="K391" s="8">
        <v>2015</v>
      </c>
      <c r="L391" s="8">
        <v>1</v>
      </c>
      <c r="M391" s="8">
        <v>300</v>
      </c>
      <c r="N391" s="1" t="s">
        <v>832</v>
      </c>
      <c r="O391" s="1">
        <f t="shared" si="13"/>
        <v>10</v>
      </c>
    </row>
    <row r="392" spans="1:15" hidden="1" x14ac:dyDescent="0.25">
      <c r="A392" s="11">
        <v>-119.58625079999999</v>
      </c>
      <c r="B392" s="16">
        <f t="shared" si="12"/>
        <v>-96.373939533199973</v>
      </c>
      <c r="C392" s="1" t="s">
        <v>165</v>
      </c>
      <c r="D392" s="1" t="s">
        <v>166</v>
      </c>
      <c r="E392" s="1" t="s">
        <v>15</v>
      </c>
      <c r="F392" s="1">
        <v>46.93598804793497</v>
      </c>
      <c r="G392" s="1">
        <v>6.5444078631143041</v>
      </c>
      <c r="H392" s="1">
        <v>5</v>
      </c>
      <c r="I392" s="1">
        <v>9</v>
      </c>
      <c r="J392" s="1">
        <v>11</v>
      </c>
      <c r="K392" s="1">
        <v>2013</v>
      </c>
      <c r="L392" s="1">
        <v>1</v>
      </c>
      <c r="M392" s="1">
        <v>300</v>
      </c>
      <c r="N392" s="1" t="s">
        <v>832</v>
      </c>
      <c r="O392" s="1">
        <f t="shared" si="13"/>
        <v>10</v>
      </c>
    </row>
    <row r="393" spans="1:15" hidden="1" x14ac:dyDescent="0.25">
      <c r="A393" s="14">
        <v>-119.08112249999998</v>
      </c>
      <c r="B393" s="16">
        <f t="shared" si="12"/>
        <v>-95.879418927499984</v>
      </c>
      <c r="C393" s="9" t="s">
        <v>455</v>
      </c>
      <c r="D393" s="9" t="s">
        <v>456</v>
      </c>
      <c r="E393" s="9" t="s">
        <v>117</v>
      </c>
      <c r="F393" s="9">
        <v>46.105753914943662</v>
      </c>
      <c r="G393" s="9">
        <v>9.0456248102933685</v>
      </c>
      <c r="H393" s="8">
        <v>5</v>
      </c>
      <c r="I393" s="8">
        <v>7</v>
      </c>
      <c r="J393" s="8">
        <v>11</v>
      </c>
      <c r="K393" s="8">
        <v>2015</v>
      </c>
      <c r="L393" s="8">
        <v>1</v>
      </c>
      <c r="M393" s="8">
        <v>300</v>
      </c>
      <c r="N393" s="1" t="s">
        <v>832</v>
      </c>
      <c r="O393" s="1">
        <f t="shared" si="13"/>
        <v>10</v>
      </c>
    </row>
    <row r="394" spans="1:15" hidden="1" x14ac:dyDescent="0.25">
      <c r="A394" s="14">
        <v>-119.07204840000001</v>
      </c>
      <c r="B394" s="16">
        <f t="shared" si="12"/>
        <v>-95.870535383600014</v>
      </c>
      <c r="C394" s="9" t="s">
        <v>435</v>
      </c>
      <c r="D394" s="9" t="s">
        <v>436</v>
      </c>
      <c r="E394" s="9" t="s">
        <v>117</v>
      </c>
      <c r="F394" s="9">
        <v>46.077304195806825</v>
      </c>
      <c r="G394" s="9">
        <v>9.0531910552301973</v>
      </c>
      <c r="H394" s="8">
        <v>5</v>
      </c>
      <c r="I394" s="8">
        <v>22</v>
      </c>
      <c r="J394" s="8">
        <v>11</v>
      </c>
      <c r="K394" s="8">
        <v>2015</v>
      </c>
      <c r="L394" s="8">
        <v>1</v>
      </c>
      <c r="M394" s="8">
        <v>300</v>
      </c>
      <c r="N394" s="1" t="s">
        <v>832</v>
      </c>
      <c r="O394" s="1">
        <f t="shared" si="13"/>
        <v>10</v>
      </c>
    </row>
    <row r="395" spans="1:15" hidden="1" x14ac:dyDescent="0.25">
      <c r="A395" s="14">
        <v>-120.00866500000002</v>
      </c>
      <c r="B395" s="16">
        <f t="shared" si="12"/>
        <v>-96.787483035000008</v>
      </c>
      <c r="C395" s="9" t="s">
        <v>491</v>
      </c>
      <c r="D395" s="9" t="s">
        <v>153</v>
      </c>
      <c r="E395" s="9" t="s">
        <v>117</v>
      </c>
      <c r="F395" s="9">
        <v>46.113286803913532</v>
      </c>
      <c r="G395" s="9">
        <v>8.8162214858017389</v>
      </c>
      <c r="H395" s="8">
        <v>5</v>
      </c>
      <c r="I395" s="8">
        <v>31</v>
      </c>
      <c r="J395" s="8">
        <v>10</v>
      </c>
      <c r="K395" s="8">
        <v>2015</v>
      </c>
      <c r="L395" s="8">
        <v>1</v>
      </c>
      <c r="M395" s="8">
        <v>304</v>
      </c>
      <c r="N395" s="1" t="s">
        <v>832</v>
      </c>
      <c r="O395" s="1">
        <f t="shared" si="13"/>
        <v>10</v>
      </c>
    </row>
    <row r="396" spans="1:15" hidden="1" x14ac:dyDescent="0.25">
      <c r="A396" s="14">
        <v>-125.005219</v>
      </c>
      <c r="B396" s="16">
        <f t="shared" si="12"/>
        <v>-101.67910940100001</v>
      </c>
      <c r="C396" s="9" t="s">
        <v>657</v>
      </c>
      <c r="D396" s="9" t="s">
        <v>658</v>
      </c>
      <c r="E396" s="9" t="s">
        <v>117</v>
      </c>
      <c r="F396" s="9">
        <v>46.236660907750881</v>
      </c>
      <c r="G396" s="9">
        <v>8.6949780594854236</v>
      </c>
      <c r="H396" s="8">
        <v>6</v>
      </c>
      <c r="I396" s="8">
        <v>4</v>
      </c>
      <c r="J396" s="8">
        <v>11</v>
      </c>
      <c r="K396" s="8">
        <v>2015</v>
      </c>
      <c r="L396" s="8">
        <v>1</v>
      </c>
      <c r="M396" s="8">
        <v>314</v>
      </c>
      <c r="N396" s="1" t="s">
        <v>832</v>
      </c>
      <c r="O396" s="1">
        <f t="shared" si="13"/>
        <v>10</v>
      </c>
    </row>
    <row r="397" spans="1:15" hidden="1" x14ac:dyDescent="0.25">
      <c r="A397" s="14">
        <v>-121.340806</v>
      </c>
      <c r="B397" s="16">
        <f t="shared" si="12"/>
        <v>-98.091649074000003</v>
      </c>
      <c r="C397" s="9" t="s">
        <v>661</v>
      </c>
      <c r="D397" s="9" t="s">
        <v>662</v>
      </c>
      <c r="E397" s="9" t="s">
        <v>117</v>
      </c>
      <c r="F397" s="9">
        <v>46.224248521292388</v>
      </c>
      <c r="G397" s="9">
        <v>8.6833107996214682</v>
      </c>
      <c r="H397" s="8">
        <v>6</v>
      </c>
      <c r="I397" s="8">
        <v>14</v>
      </c>
      <c r="J397" s="8">
        <v>11</v>
      </c>
      <c r="K397" s="8">
        <v>2015</v>
      </c>
      <c r="L397" s="8">
        <v>1</v>
      </c>
      <c r="M397" s="8">
        <v>314</v>
      </c>
      <c r="N397" s="1" t="s">
        <v>832</v>
      </c>
      <c r="O397" s="1">
        <f t="shared" si="13"/>
        <v>10</v>
      </c>
    </row>
    <row r="398" spans="1:15" hidden="1" x14ac:dyDescent="0.25">
      <c r="A398" s="14">
        <v>-118.80103000000001</v>
      </c>
      <c r="B398" s="16">
        <f t="shared" si="12"/>
        <v>-95.605208370000014</v>
      </c>
      <c r="C398" s="9" t="s">
        <v>489</v>
      </c>
      <c r="D398" s="9" t="s">
        <v>237</v>
      </c>
      <c r="E398" s="9" t="s">
        <v>117</v>
      </c>
      <c r="F398" s="9">
        <v>46.113915653309419</v>
      </c>
      <c r="G398" s="9">
        <v>8.8382293759216441</v>
      </c>
      <c r="H398" s="8">
        <v>4</v>
      </c>
      <c r="I398" s="8">
        <v>14</v>
      </c>
      <c r="J398" s="8">
        <v>11</v>
      </c>
      <c r="K398" s="8">
        <v>2015</v>
      </c>
      <c r="L398" s="8">
        <v>1</v>
      </c>
      <c r="M398" s="8">
        <v>314</v>
      </c>
      <c r="N398" s="1" t="s">
        <v>832</v>
      </c>
      <c r="O398" s="1">
        <f t="shared" si="13"/>
        <v>10</v>
      </c>
    </row>
    <row r="399" spans="1:15" hidden="1" x14ac:dyDescent="0.25">
      <c r="A399" s="13">
        <v>-121.87344639999998</v>
      </c>
      <c r="B399" s="16">
        <f t="shared" si="12"/>
        <v>-98.613104025599966</v>
      </c>
      <c r="C399" s="6" t="s">
        <v>310</v>
      </c>
      <c r="D399" s="6" t="s">
        <v>311</v>
      </c>
      <c r="E399" s="6" t="s">
        <v>185</v>
      </c>
      <c r="F399" s="7">
        <v>46.541414732434284</v>
      </c>
      <c r="G399" s="7">
        <v>6.3858937774462339</v>
      </c>
      <c r="H399" s="7">
        <v>4</v>
      </c>
      <c r="I399" s="7">
        <v>2</v>
      </c>
      <c r="J399" s="7">
        <v>12</v>
      </c>
      <c r="K399" s="7">
        <v>2014</v>
      </c>
      <c r="L399" s="7">
        <v>1</v>
      </c>
      <c r="M399" s="7">
        <v>315</v>
      </c>
      <c r="N399" s="1" t="s">
        <v>832</v>
      </c>
      <c r="O399" s="1">
        <f t="shared" si="13"/>
        <v>10</v>
      </c>
    </row>
    <row r="400" spans="1:15" hidden="1" x14ac:dyDescent="0.25">
      <c r="A400" s="14">
        <v>-118.37305760000002</v>
      </c>
      <c r="B400" s="16">
        <f t="shared" si="12"/>
        <v>-95.186223390400016</v>
      </c>
      <c r="C400" s="9" t="s">
        <v>780</v>
      </c>
      <c r="D400" s="9" t="s">
        <v>781</v>
      </c>
      <c r="E400" s="9" t="s">
        <v>185</v>
      </c>
      <c r="F400" s="9">
        <v>46.707117682844391</v>
      </c>
      <c r="G400" s="9">
        <v>6.4245109107977623</v>
      </c>
      <c r="H400" s="8">
        <v>6</v>
      </c>
      <c r="I400" s="8">
        <v>17</v>
      </c>
      <c r="J400" s="8">
        <v>11</v>
      </c>
      <c r="K400" s="8">
        <v>2015</v>
      </c>
      <c r="L400" s="8">
        <v>1</v>
      </c>
      <c r="M400" s="8">
        <v>315</v>
      </c>
      <c r="N400" s="1" t="s">
        <v>832</v>
      </c>
      <c r="O400" s="1">
        <f t="shared" si="13"/>
        <v>10</v>
      </c>
    </row>
    <row r="401" spans="1:15" hidden="1" x14ac:dyDescent="0.25">
      <c r="A401" s="14">
        <v>-122.27687800000002</v>
      </c>
      <c r="B401" s="16">
        <f t="shared" si="12"/>
        <v>-99.008063562000018</v>
      </c>
      <c r="C401" s="9" t="s">
        <v>588</v>
      </c>
      <c r="D401" s="9" t="s">
        <v>589</v>
      </c>
      <c r="E401" s="9" t="s">
        <v>12</v>
      </c>
      <c r="F401" s="9">
        <v>46.619642520619962</v>
      </c>
      <c r="G401" s="9">
        <v>6.8929110218742622</v>
      </c>
      <c r="H401" s="8">
        <v>5</v>
      </c>
      <c r="I401" s="8">
        <v>31</v>
      </c>
      <c r="J401" s="8">
        <v>10</v>
      </c>
      <c r="K401" s="8">
        <v>2015</v>
      </c>
      <c r="L401" s="8">
        <v>1</v>
      </c>
      <c r="M401" s="8">
        <v>316</v>
      </c>
      <c r="N401" s="1" t="s">
        <v>832</v>
      </c>
      <c r="O401" s="1">
        <f t="shared" si="13"/>
        <v>10</v>
      </c>
    </row>
    <row r="402" spans="1:15" hidden="1" x14ac:dyDescent="0.25">
      <c r="A402" s="14">
        <v>-124.220105</v>
      </c>
      <c r="B402" s="16">
        <f t="shared" si="12"/>
        <v>-100.91048279500001</v>
      </c>
      <c r="C402" s="9" t="s">
        <v>614</v>
      </c>
      <c r="D402" s="9" t="s">
        <v>615</v>
      </c>
      <c r="E402" s="9" t="s">
        <v>12</v>
      </c>
      <c r="F402" s="9">
        <v>46.758132479002086</v>
      </c>
      <c r="G402" s="9">
        <v>7.2698797240842383</v>
      </c>
      <c r="H402" s="8">
        <v>6</v>
      </c>
      <c r="I402" s="8">
        <v>2</v>
      </c>
      <c r="J402" s="8">
        <v>11</v>
      </c>
      <c r="K402" s="8">
        <v>2015</v>
      </c>
      <c r="L402" s="8">
        <v>1</v>
      </c>
      <c r="M402" s="8">
        <v>318</v>
      </c>
      <c r="N402" s="1" t="s">
        <v>832</v>
      </c>
      <c r="O402" s="1">
        <f t="shared" si="13"/>
        <v>10</v>
      </c>
    </row>
    <row r="403" spans="1:15" hidden="1" x14ac:dyDescent="0.25">
      <c r="A403" s="13">
        <v>-121.46458120000003</v>
      </c>
      <c r="B403" s="16">
        <f t="shared" si="12"/>
        <v>-98.21282499480003</v>
      </c>
      <c r="C403" s="6" t="s">
        <v>211</v>
      </c>
      <c r="D403" s="6" t="s">
        <v>212</v>
      </c>
      <c r="E403" s="6" t="s">
        <v>12</v>
      </c>
      <c r="F403" s="7">
        <v>46.625683745712401</v>
      </c>
      <c r="G403" s="7">
        <v>6.895853225611142</v>
      </c>
      <c r="H403" s="7">
        <v>5</v>
      </c>
      <c r="I403" s="7">
        <v>18</v>
      </c>
      <c r="J403" s="7">
        <v>10</v>
      </c>
      <c r="K403" s="7">
        <v>2014</v>
      </c>
      <c r="L403" s="7">
        <v>1</v>
      </c>
      <c r="M403" s="7">
        <v>320</v>
      </c>
      <c r="N403" s="1" t="s">
        <v>832</v>
      </c>
      <c r="O403" s="1">
        <f t="shared" si="13"/>
        <v>10</v>
      </c>
    </row>
    <row r="404" spans="1:15" hidden="1" x14ac:dyDescent="0.25">
      <c r="A404" s="14">
        <v>-119.14804149999999</v>
      </c>
      <c r="B404" s="16">
        <f t="shared" si="12"/>
        <v>-95.944932628499998</v>
      </c>
      <c r="C404" s="9" t="s">
        <v>667</v>
      </c>
      <c r="D404" s="9" t="s">
        <v>668</v>
      </c>
      <c r="E404" s="9" t="s">
        <v>117</v>
      </c>
      <c r="F404" s="9">
        <v>46.0574749174205</v>
      </c>
      <c r="G404" s="9">
        <v>8.8904147951120134</v>
      </c>
      <c r="H404" s="8">
        <v>5</v>
      </c>
      <c r="I404" s="8">
        <v>16</v>
      </c>
      <c r="J404" s="8">
        <v>10</v>
      </c>
      <c r="K404" s="8">
        <v>2015</v>
      </c>
      <c r="L404" s="8">
        <v>1</v>
      </c>
      <c r="M404" s="8">
        <v>320</v>
      </c>
      <c r="N404" s="1" t="s">
        <v>832</v>
      </c>
      <c r="O404" s="1">
        <f t="shared" si="13"/>
        <v>10</v>
      </c>
    </row>
    <row r="405" spans="1:15" hidden="1" x14ac:dyDescent="0.25">
      <c r="A405" s="14">
        <v>-118.59884400000003</v>
      </c>
      <c r="B405" s="16">
        <f t="shared" si="12"/>
        <v>-95.407268276000025</v>
      </c>
      <c r="C405" s="9" t="s">
        <v>804</v>
      </c>
      <c r="D405" s="9" t="s">
        <v>805</v>
      </c>
      <c r="E405" s="9" t="s">
        <v>185</v>
      </c>
      <c r="F405" s="9">
        <v>46.561424000039963</v>
      </c>
      <c r="G405" s="9">
        <v>6.4096334372736194</v>
      </c>
      <c r="H405" s="8">
        <v>4</v>
      </c>
      <c r="I405" s="8">
        <v>7</v>
      </c>
      <c r="J405" s="8">
        <v>12</v>
      </c>
      <c r="K405" s="8">
        <v>2015</v>
      </c>
      <c r="L405" s="8">
        <v>1</v>
      </c>
      <c r="M405" s="8">
        <v>320</v>
      </c>
      <c r="N405" s="1" t="s">
        <v>832</v>
      </c>
      <c r="O405" s="1">
        <f t="shared" si="13"/>
        <v>10</v>
      </c>
    </row>
    <row r="406" spans="1:15" hidden="1" x14ac:dyDescent="0.25">
      <c r="A406" s="14">
        <v>-122.43056870000002</v>
      </c>
      <c r="B406" s="16">
        <f t="shared" si="12"/>
        <v>-99.158526757300024</v>
      </c>
      <c r="C406" s="9" t="s">
        <v>351</v>
      </c>
      <c r="D406" s="9" t="s">
        <v>352</v>
      </c>
      <c r="E406" s="9" t="s">
        <v>117</v>
      </c>
      <c r="F406" s="9">
        <v>46.177372349435444</v>
      </c>
      <c r="G406" s="9">
        <v>8.6429597146774046</v>
      </c>
      <c r="H406" s="8">
        <v>3</v>
      </c>
      <c r="I406" s="8">
        <v>4</v>
      </c>
      <c r="J406" s="8">
        <v>11</v>
      </c>
      <c r="K406" s="8">
        <v>2015</v>
      </c>
      <c r="L406" s="8">
        <v>1</v>
      </c>
      <c r="M406" s="8">
        <v>322</v>
      </c>
      <c r="N406" s="1" t="s">
        <v>832</v>
      </c>
      <c r="O406" s="1">
        <f t="shared" si="13"/>
        <v>10</v>
      </c>
    </row>
    <row r="407" spans="1:15" hidden="1" x14ac:dyDescent="0.25">
      <c r="A407" s="14">
        <v>-125.0827025</v>
      </c>
      <c r="B407" s="16">
        <f t="shared" si="12"/>
        <v>-101.75496574749999</v>
      </c>
      <c r="C407" s="9" t="s">
        <v>465</v>
      </c>
      <c r="D407" s="9" t="s">
        <v>466</v>
      </c>
      <c r="E407" s="9" t="s">
        <v>117</v>
      </c>
      <c r="F407" s="9">
        <v>46.083140741166048</v>
      </c>
      <c r="G407" s="9">
        <v>9.0540101377967197</v>
      </c>
      <c r="H407" s="8">
        <v>4</v>
      </c>
      <c r="I407" s="8">
        <v>18</v>
      </c>
      <c r="J407" s="8">
        <v>11</v>
      </c>
      <c r="K407" s="8">
        <v>2015</v>
      </c>
      <c r="L407" s="8">
        <v>1</v>
      </c>
      <c r="M407" s="8">
        <v>325</v>
      </c>
      <c r="N407" s="1" t="s">
        <v>832</v>
      </c>
      <c r="O407" s="1">
        <f t="shared" si="13"/>
        <v>10</v>
      </c>
    </row>
    <row r="408" spans="1:15" hidden="1" x14ac:dyDescent="0.25">
      <c r="A408" s="14">
        <v>-121.00218700000001</v>
      </c>
      <c r="B408" s="16">
        <f t="shared" si="12"/>
        <v>-97.760141073</v>
      </c>
      <c r="C408" s="9" t="s">
        <v>725</v>
      </c>
      <c r="D408" s="9" t="s">
        <v>726</v>
      </c>
      <c r="E408" s="9" t="s">
        <v>117</v>
      </c>
      <c r="F408" s="9">
        <v>46.137005672604616</v>
      </c>
      <c r="G408" s="9">
        <v>8.9320050628121557</v>
      </c>
      <c r="H408" s="8">
        <v>5</v>
      </c>
      <c r="I408" s="8">
        <v>24</v>
      </c>
      <c r="J408" s="8">
        <v>10</v>
      </c>
      <c r="K408" s="8">
        <v>2015</v>
      </c>
      <c r="L408" s="8">
        <v>1</v>
      </c>
      <c r="M408" s="8">
        <v>325</v>
      </c>
      <c r="N408" s="1" t="s">
        <v>832</v>
      </c>
      <c r="O408" s="1">
        <f t="shared" si="13"/>
        <v>10</v>
      </c>
    </row>
    <row r="409" spans="1:15" hidden="1" x14ac:dyDescent="0.25">
      <c r="A409" s="14">
        <v>-120.5313512</v>
      </c>
      <c r="B409" s="16">
        <f t="shared" si="12"/>
        <v>-97.299192824800002</v>
      </c>
      <c r="C409" s="9" t="s">
        <v>784</v>
      </c>
      <c r="D409" s="9" t="s">
        <v>785</v>
      </c>
      <c r="E409" s="9" t="s">
        <v>185</v>
      </c>
      <c r="F409" s="9">
        <v>46.654508139868085</v>
      </c>
      <c r="G409" s="9">
        <v>6.377157536956755</v>
      </c>
      <c r="H409" s="8">
        <v>6</v>
      </c>
      <c r="I409" s="8">
        <v>13</v>
      </c>
      <c r="J409" s="8">
        <v>11</v>
      </c>
      <c r="K409" s="8">
        <v>2015</v>
      </c>
      <c r="L409" s="8">
        <v>1</v>
      </c>
      <c r="M409" s="8">
        <v>325</v>
      </c>
      <c r="N409" s="1" t="s">
        <v>832</v>
      </c>
      <c r="O409" s="1">
        <f t="shared" si="13"/>
        <v>10</v>
      </c>
    </row>
    <row r="410" spans="1:15" hidden="1" x14ac:dyDescent="0.25">
      <c r="A410" s="11">
        <v>-122.6967132</v>
      </c>
      <c r="B410" s="16">
        <f t="shared" si="12"/>
        <v>-99.4190822228</v>
      </c>
      <c r="C410" s="1" t="s">
        <v>140</v>
      </c>
      <c r="D410" s="1" t="s">
        <v>141</v>
      </c>
      <c r="E410" s="1" t="s">
        <v>12</v>
      </c>
      <c r="F410" s="1">
        <v>46.759853977277793</v>
      </c>
      <c r="G410" s="1">
        <v>6.9797433663125421</v>
      </c>
      <c r="H410" s="1">
        <v>3</v>
      </c>
      <c r="I410" s="1">
        <v>5</v>
      </c>
      <c r="J410" s="1">
        <v>11</v>
      </c>
      <c r="K410" s="1">
        <v>2013</v>
      </c>
      <c r="L410" s="1">
        <v>1</v>
      </c>
      <c r="M410" s="1">
        <v>330</v>
      </c>
      <c r="N410" s="1" t="s">
        <v>832</v>
      </c>
      <c r="O410" s="1">
        <f t="shared" si="13"/>
        <v>10</v>
      </c>
    </row>
    <row r="411" spans="1:15" hidden="1" x14ac:dyDescent="0.25">
      <c r="A411" s="14">
        <v>-120.1240983</v>
      </c>
      <c r="B411" s="16">
        <f t="shared" si="12"/>
        <v>-96.9004922357</v>
      </c>
      <c r="C411" s="9" t="s">
        <v>379</v>
      </c>
      <c r="D411" s="9" t="s">
        <v>380</v>
      </c>
      <c r="E411" s="9" t="s">
        <v>15</v>
      </c>
      <c r="F411" s="9">
        <v>47.00609550996252</v>
      </c>
      <c r="G411" s="9">
        <v>6.8090969377530834</v>
      </c>
      <c r="H411" s="8">
        <v>6</v>
      </c>
      <c r="I411" s="8">
        <v>20</v>
      </c>
      <c r="J411" s="8">
        <v>11</v>
      </c>
      <c r="K411" s="8">
        <v>2015</v>
      </c>
      <c r="L411" s="8">
        <v>1</v>
      </c>
      <c r="M411" s="8">
        <v>332</v>
      </c>
      <c r="N411" s="1" t="s">
        <v>832</v>
      </c>
      <c r="O411" s="1">
        <f t="shared" si="13"/>
        <v>10</v>
      </c>
    </row>
    <row r="412" spans="1:15" hidden="1" x14ac:dyDescent="0.25">
      <c r="A412" s="14">
        <v>-122.70715400000002</v>
      </c>
      <c r="B412" s="16">
        <f t="shared" si="12"/>
        <v>-99.429303766000004</v>
      </c>
      <c r="C412" s="9" t="s">
        <v>602</v>
      </c>
      <c r="D412" s="9" t="s">
        <v>603</v>
      </c>
      <c r="E412" s="9" t="s">
        <v>12</v>
      </c>
      <c r="F412" s="9">
        <v>46.638398698285734</v>
      </c>
      <c r="G412" s="9">
        <v>7.0156584903546886</v>
      </c>
      <c r="H412" s="8">
        <v>5</v>
      </c>
      <c r="I412" s="8">
        <v>24</v>
      </c>
      <c r="J412" s="8">
        <v>10</v>
      </c>
      <c r="K412" s="8">
        <v>2015</v>
      </c>
      <c r="L412" s="8">
        <v>1</v>
      </c>
      <c r="M412" s="8">
        <v>340</v>
      </c>
      <c r="N412" s="1" t="s">
        <v>832</v>
      </c>
      <c r="O412" s="1">
        <f t="shared" si="13"/>
        <v>10</v>
      </c>
    </row>
    <row r="413" spans="1:15" hidden="1" x14ac:dyDescent="0.25">
      <c r="A413" s="14">
        <v>-121.28245250000002</v>
      </c>
      <c r="B413" s="16">
        <f t="shared" si="12"/>
        <v>-98.03452099750001</v>
      </c>
      <c r="C413" s="9" t="s">
        <v>505</v>
      </c>
      <c r="D413" s="9" t="s">
        <v>506</v>
      </c>
      <c r="E413" s="9" t="s">
        <v>117</v>
      </c>
      <c r="F413" s="9">
        <v>45.952338359535382</v>
      </c>
      <c r="G413" s="9">
        <v>9.0146779487898883</v>
      </c>
      <c r="H413" s="8">
        <v>6</v>
      </c>
      <c r="I413" s="8">
        <v>28</v>
      </c>
      <c r="J413" s="8">
        <v>10</v>
      </c>
      <c r="K413" s="8">
        <v>2015</v>
      </c>
      <c r="L413" s="8">
        <v>1</v>
      </c>
      <c r="M413" s="8">
        <v>340</v>
      </c>
      <c r="N413" s="1" t="s">
        <v>832</v>
      </c>
      <c r="O413" s="1">
        <f t="shared" si="13"/>
        <v>10</v>
      </c>
    </row>
    <row r="414" spans="1:15" hidden="1" x14ac:dyDescent="0.25">
      <c r="A414" s="14">
        <v>-120.90996149999999</v>
      </c>
      <c r="B414" s="16">
        <f t="shared" si="12"/>
        <v>-97.669852308499998</v>
      </c>
      <c r="C414" s="9" t="s">
        <v>689</v>
      </c>
      <c r="D414" s="9" t="s">
        <v>690</v>
      </c>
      <c r="E414" s="9" t="s">
        <v>117</v>
      </c>
      <c r="F414" s="9">
        <v>46.206950549931797</v>
      </c>
      <c r="G414" s="9">
        <v>8.6210534902823657</v>
      </c>
      <c r="H414" s="8">
        <v>6</v>
      </c>
      <c r="I414" s="8">
        <v>7</v>
      </c>
      <c r="J414" s="8">
        <v>11</v>
      </c>
      <c r="K414" s="8">
        <v>2015</v>
      </c>
      <c r="L414" s="8">
        <v>1</v>
      </c>
      <c r="M414" s="8">
        <v>344</v>
      </c>
      <c r="N414" s="1" t="s">
        <v>832</v>
      </c>
      <c r="O414" s="1">
        <f t="shared" si="13"/>
        <v>10</v>
      </c>
    </row>
    <row r="415" spans="1:15" hidden="1" x14ac:dyDescent="0.25">
      <c r="A415" s="14">
        <v>-122.96001099999999</v>
      </c>
      <c r="B415" s="16">
        <f t="shared" si="12"/>
        <v>-99.676850768999998</v>
      </c>
      <c r="C415" s="9" t="s">
        <v>627</v>
      </c>
      <c r="D415" s="9" t="s">
        <v>53</v>
      </c>
      <c r="E415" s="9" t="s">
        <v>12</v>
      </c>
      <c r="F415" s="9">
        <v>46.648844522396132</v>
      </c>
      <c r="G415" s="9">
        <v>6.9879750346811811</v>
      </c>
      <c r="H415" s="8">
        <v>3</v>
      </c>
      <c r="I415" s="8">
        <v>28</v>
      </c>
      <c r="J415" s="8">
        <v>10</v>
      </c>
      <c r="K415" s="8">
        <v>2015</v>
      </c>
      <c r="L415" s="8">
        <v>1</v>
      </c>
      <c r="M415" s="8">
        <v>351</v>
      </c>
      <c r="N415" s="1" t="s">
        <v>832</v>
      </c>
      <c r="O415" s="1">
        <f t="shared" si="13"/>
        <v>10</v>
      </c>
    </row>
    <row r="416" spans="1:15" hidden="1" x14ac:dyDescent="0.25">
      <c r="A416" s="14">
        <v>-127.91359350000003</v>
      </c>
      <c r="B416" s="16">
        <f t="shared" si="12"/>
        <v>-104.52640803650002</v>
      </c>
      <c r="C416" s="9" t="s">
        <v>673</v>
      </c>
      <c r="D416" s="9" t="s">
        <v>674</v>
      </c>
      <c r="E416" s="9" t="s">
        <v>117</v>
      </c>
      <c r="F416" s="9">
        <v>46.052913634563502</v>
      </c>
      <c r="G416" s="9">
        <v>8.9084493292357951</v>
      </c>
      <c r="H416" s="8">
        <v>5</v>
      </c>
      <c r="I416" s="8">
        <v>22</v>
      </c>
      <c r="J416" s="8">
        <v>10</v>
      </c>
      <c r="K416" s="8">
        <v>2015</v>
      </c>
      <c r="L416" s="8">
        <v>1</v>
      </c>
      <c r="M416" s="8">
        <v>357</v>
      </c>
      <c r="N416" s="1" t="s">
        <v>832</v>
      </c>
      <c r="O416" s="1">
        <f t="shared" si="13"/>
        <v>10</v>
      </c>
    </row>
    <row r="417" spans="1:15" hidden="1" x14ac:dyDescent="0.25">
      <c r="A417" s="14">
        <v>-130.413006</v>
      </c>
      <c r="B417" s="16">
        <f t="shared" si="12"/>
        <v>-106.97333287399999</v>
      </c>
      <c r="C417" s="9" t="s">
        <v>580</v>
      </c>
      <c r="D417" s="9" t="s">
        <v>138</v>
      </c>
      <c r="E417" s="9" t="s">
        <v>117</v>
      </c>
      <c r="F417" s="9">
        <v>46.092726070161476</v>
      </c>
      <c r="G417" s="9">
        <v>9.0756318378020051</v>
      </c>
      <c r="H417" s="8">
        <v>4</v>
      </c>
      <c r="I417" s="8">
        <v>15</v>
      </c>
      <c r="J417" s="8">
        <v>11</v>
      </c>
      <c r="K417" s="8">
        <v>2015</v>
      </c>
      <c r="L417" s="8">
        <v>1</v>
      </c>
      <c r="M417" s="8">
        <v>280</v>
      </c>
      <c r="N417" s="1" t="s">
        <v>832</v>
      </c>
      <c r="O417" s="1">
        <f t="shared" si="13"/>
        <v>11</v>
      </c>
    </row>
    <row r="418" spans="1:15" hidden="1" x14ac:dyDescent="0.25">
      <c r="A418" s="14">
        <v>-131.14363700000001</v>
      </c>
      <c r="B418" s="16">
        <f t="shared" si="12"/>
        <v>-107.68862062300002</v>
      </c>
      <c r="C418" s="9" t="s">
        <v>587</v>
      </c>
      <c r="D418" s="9" t="s">
        <v>122</v>
      </c>
      <c r="E418" s="9" t="s">
        <v>15</v>
      </c>
      <c r="F418" s="9">
        <v>46.973635888701104</v>
      </c>
      <c r="G418" s="9">
        <v>6.6459760669333745</v>
      </c>
      <c r="H418" s="8">
        <v>4</v>
      </c>
      <c r="I418" s="8">
        <v>4</v>
      </c>
      <c r="J418" s="8">
        <v>11</v>
      </c>
      <c r="K418" s="8">
        <v>2015</v>
      </c>
      <c r="L418" s="8">
        <v>1</v>
      </c>
      <c r="M418" s="8">
        <v>310</v>
      </c>
      <c r="N418" s="1" t="s">
        <v>832</v>
      </c>
      <c r="O418" s="1">
        <f t="shared" si="13"/>
        <v>11</v>
      </c>
    </row>
    <row r="419" spans="1:15" hidden="1" x14ac:dyDescent="0.25">
      <c r="A419" s="14">
        <v>-134.80159950000001</v>
      </c>
      <c r="B419" s="16">
        <f t="shared" si="12"/>
        <v>-111.26976591050001</v>
      </c>
      <c r="C419" s="9" t="s">
        <v>699</v>
      </c>
      <c r="D419" s="9" t="s">
        <v>700</v>
      </c>
      <c r="E419" s="9" t="s">
        <v>117</v>
      </c>
      <c r="F419" s="9">
        <v>46.190868428690202</v>
      </c>
      <c r="G419" s="9">
        <v>8.6386203117599276</v>
      </c>
      <c r="H419" s="8">
        <v>6</v>
      </c>
      <c r="I419" s="8">
        <v>11</v>
      </c>
      <c r="J419" s="8">
        <v>11</v>
      </c>
      <c r="K419" s="8">
        <v>2015</v>
      </c>
      <c r="L419" s="8">
        <v>1</v>
      </c>
      <c r="M419" s="8">
        <v>323</v>
      </c>
      <c r="N419" s="1" t="s">
        <v>832</v>
      </c>
      <c r="O419" s="1">
        <f t="shared" si="13"/>
        <v>11</v>
      </c>
    </row>
    <row r="420" spans="1:15" hidden="1" x14ac:dyDescent="0.25">
      <c r="A420" s="14">
        <v>-130.920117</v>
      </c>
      <c r="B420" s="16">
        <f t="shared" si="12"/>
        <v>-107.46979454300001</v>
      </c>
      <c r="C420" s="9" t="s">
        <v>606</v>
      </c>
      <c r="D420" s="9" t="s">
        <v>158</v>
      </c>
      <c r="E420" s="9" t="s">
        <v>12</v>
      </c>
      <c r="F420" s="9">
        <v>46.747708007290157</v>
      </c>
      <c r="G420" s="9">
        <v>7.0629081397819169</v>
      </c>
      <c r="H420" s="8">
        <v>5</v>
      </c>
      <c r="I420" s="8">
        <v>4</v>
      </c>
      <c r="J420" s="8">
        <v>11</v>
      </c>
      <c r="K420" s="8">
        <v>2015</v>
      </c>
      <c r="L420" s="8">
        <v>1</v>
      </c>
      <c r="M420" s="8">
        <v>333</v>
      </c>
      <c r="N420" s="1" t="s">
        <v>832</v>
      </c>
      <c r="O420" s="1">
        <f t="shared" si="13"/>
        <v>11</v>
      </c>
    </row>
    <row r="421" spans="1:15" hidden="1" x14ac:dyDescent="0.25">
      <c r="A421" s="14">
        <v>-128.74079699999999</v>
      </c>
      <c r="B421" s="16">
        <f t="shared" si="12"/>
        <v>-105.33624026299998</v>
      </c>
      <c r="C421" s="9" t="s">
        <v>579</v>
      </c>
      <c r="D421" s="9" t="s">
        <v>139</v>
      </c>
      <c r="E421" s="9" t="s">
        <v>117</v>
      </c>
      <c r="F421" s="9">
        <v>46.082954662235572</v>
      </c>
      <c r="G421" s="9">
        <v>9.082450306296602</v>
      </c>
      <c r="H421" s="8">
        <v>5</v>
      </c>
      <c r="I421" s="8">
        <v>28</v>
      </c>
      <c r="J421" s="8">
        <v>11</v>
      </c>
      <c r="K421" s="8">
        <v>2015</v>
      </c>
      <c r="L421" s="8">
        <v>1</v>
      </c>
      <c r="M421" s="8">
        <v>345</v>
      </c>
      <c r="N421" s="1" t="s">
        <v>832</v>
      </c>
      <c r="O421" s="1">
        <f t="shared" si="13"/>
        <v>11</v>
      </c>
    </row>
    <row r="422" spans="1:15" hidden="1" x14ac:dyDescent="0.25">
      <c r="A422" s="13">
        <v>-138.5760688</v>
      </c>
      <c r="B422" s="16">
        <f t="shared" si="12"/>
        <v>-114.96497135519999</v>
      </c>
      <c r="C422" s="6" t="s">
        <v>271</v>
      </c>
      <c r="D422" s="6" t="s">
        <v>272</v>
      </c>
      <c r="E422" s="6" t="s">
        <v>12</v>
      </c>
      <c r="F422" s="7">
        <v>46.634279142902045</v>
      </c>
      <c r="G422" s="7">
        <v>6.8874089060901902</v>
      </c>
      <c r="H422" s="7">
        <v>5</v>
      </c>
      <c r="I422" s="7">
        <v>11</v>
      </c>
      <c r="J422" s="7">
        <v>11</v>
      </c>
      <c r="K422" s="7">
        <v>2014</v>
      </c>
      <c r="L422" s="7">
        <v>1</v>
      </c>
      <c r="M422" s="7">
        <v>386</v>
      </c>
      <c r="N422" s="1" t="s">
        <v>832</v>
      </c>
      <c r="O422" s="1">
        <f t="shared" si="13"/>
        <v>11</v>
      </c>
    </row>
    <row r="423" spans="1:15" hidden="1" x14ac:dyDescent="0.25">
      <c r="A423" s="14">
        <v>0</v>
      </c>
      <c r="B423" s="16">
        <f t="shared" si="12"/>
        <v>20.701000000000001</v>
      </c>
      <c r="C423" s="9" t="s">
        <v>321</v>
      </c>
      <c r="D423" s="9" t="s">
        <v>322</v>
      </c>
      <c r="E423" s="9" t="s">
        <v>117</v>
      </c>
      <c r="F423" s="9">
        <v>46.190236159559277</v>
      </c>
      <c r="G423" s="9">
        <v>8.6606802633289561</v>
      </c>
      <c r="H423" s="8">
        <v>6</v>
      </c>
      <c r="I423" s="8">
        <v>10</v>
      </c>
      <c r="J423" s="8">
        <v>11</v>
      </c>
      <c r="K423" s="8">
        <v>2015</v>
      </c>
      <c r="L423" s="8">
        <v>1</v>
      </c>
      <c r="M423" s="8">
        <v>280</v>
      </c>
      <c r="N423" s="1" t="s">
        <v>832</v>
      </c>
      <c r="O423" s="1">
        <v>12</v>
      </c>
    </row>
  </sheetData>
  <autoFilter ref="A1:O423">
    <filterColumn colId="14">
      <filters>
        <filter val="8"/>
      </filters>
    </filterColumn>
  </autoFilter>
  <sortState ref="A2:XFD423">
    <sortCondition ref="O2:O423"/>
  </sortState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>UniNE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Bohnenstengel</dc:creator>
  <cp:lastModifiedBy>ANGST Christof</cp:lastModifiedBy>
  <dcterms:created xsi:type="dcterms:W3CDTF">2015-04-07T14:22:33Z</dcterms:created>
  <dcterms:modified xsi:type="dcterms:W3CDTF">2019-08-26T11:29:08Z</dcterms:modified>
</cp:coreProperties>
</file>