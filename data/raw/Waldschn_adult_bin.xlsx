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gelwarte-my.sharepoint.com/personal/steffen_oppel_vogelwarte_ch/Documents/Woodcock/data/raw/"/>
    </mc:Choice>
  </mc:AlternateContent>
  <xr:revisionPtr revIDLastSave="4" documentId="11_0D499F09A75F516F3141A33D2FD4B1A07780F78E" xr6:coauthVersionLast="47" xr6:coauthVersionMax="47" xr10:uidLastSave="{C0EE413D-1B8E-4EFA-ABE1-EB0778A7F2A5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data!$A$1:$P$153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15" i="1"/>
  <c r="B17" i="1"/>
  <c r="B16" i="1"/>
  <c r="B7" i="1"/>
  <c r="B9" i="1"/>
  <c r="B8" i="1"/>
  <c r="B10" i="1"/>
  <c r="B11" i="1"/>
  <c r="B12" i="1"/>
  <c r="B14" i="1"/>
  <c r="B13" i="1"/>
  <c r="B6" i="1"/>
  <c r="B3" i="1"/>
  <c r="P3" i="1" s="1"/>
  <c r="B2" i="1"/>
  <c r="B18" i="1"/>
  <c r="B19" i="1"/>
  <c r="B4" i="1"/>
  <c r="B20" i="1"/>
  <c r="B21" i="1"/>
  <c r="B22" i="1"/>
  <c r="B5" i="1"/>
  <c r="B26" i="1"/>
  <c r="B53" i="1"/>
  <c r="B23" i="1"/>
  <c r="B25" i="1"/>
  <c r="B27" i="1"/>
  <c r="B38" i="1"/>
  <c r="B39" i="1"/>
  <c r="B59" i="1"/>
  <c r="B60" i="1"/>
  <c r="B62" i="1"/>
  <c r="B40" i="1"/>
  <c r="B41" i="1"/>
  <c r="B61" i="1"/>
  <c r="B48" i="1"/>
  <c r="B49" i="1"/>
  <c r="B43" i="1"/>
  <c r="B44" i="1"/>
  <c r="B63" i="1"/>
  <c r="B64" i="1"/>
  <c r="B28" i="1"/>
  <c r="B54" i="1"/>
  <c r="B55" i="1"/>
  <c r="B56" i="1"/>
  <c r="B45" i="1"/>
  <c r="B29" i="1"/>
  <c r="B30" i="1"/>
  <c r="B46" i="1"/>
  <c r="B31" i="1"/>
  <c r="B32" i="1"/>
  <c r="B33" i="1"/>
  <c r="B50" i="1"/>
  <c r="B52" i="1"/>
  <c r="B47" i="1"/>
  <c r="B51" i="1"/>
  <c r="B34" i="1"/>
  <c r="B35" i="1"/>
  <c r="B36" i="1"/>
  <c r="B58" i="1"/>
  <c r="B37" i="1"/>
  <c r="B57" i="1"/>
  <c r="B42" i="1"/>
  <c r="B82" i="1"/>
  <c r="B93" i="1"/>
  <c r="B94" i="1"/>
  <c r="B74" i="1"/>
  <c r="B75" i="1"/>
  <c r="B76" i="1"/>
  <c r="B77" i="1"/>
  <c r="B95" i="1"/>
  <c r="B78" i="1"/>
  <c r="B79" i="1"/>
  <c r="B125" i="1"/>
  <c r="B96" i="1"/>
  <c r="B109" i="1"/>
  <c r="B113" i="1"/>
  <c r="B123" i="1"/>
  <c r="B80" i="1"/>
  <c r="B97" i="1"/>
  <c r="B98" i="1"/>
  <c r="B118" i="1"/>
  <c r="B126" i="1"/>
  <c r="B72" i="1"/>
  <c r="B81" i="1"/>
  <c r="B83" i="1"/>
  <c r="B84" i="1"/>
  <c r="B85" i="1"/>
  <c r="B99" i="1"/>
  <c r="B100" i="1"/>
  <c r="B127" i="1"/>
  <c r="B86" i="1"/>
  <c r="B101" i="1"/>
  <c r="B65" i="1"/>
  <c r="B87" i="1"/>
  <c r="B67" i="1"/>
  <c r="B70" i="1"/>
  <c r="B73" i="1"/>
  <c r="B110" i="1"/>
  <c r="B114" i="1"/>
  <c r="B102" i="1"/>
  <c r="B119" i="1"/>
  <c r="B88" i="1"/>
  <c r="B68" i="1"/>
  <c r="B69" i="1"/>
  <c r="B103" i="1"/>
  <c r="B104" i="1"/>
  <c r="B108" i="1"/>
  <c r="B111" i="1"/>
  <c r="B115" i="1"/>
  <c r="B128" i="1"/>
  <c r="B89" i="1"/>
  <c r="B124" i="1"/>
  <c r="B129" i="1"/>
  <c r="B130" i="1"/>
  <c r="B105" i="1"/>
  <c r="B106" i="1"/>
  <c r="B116" i="1"/>
  <c r="B117" i="1"/>
  <c r="B107" i="1"/>
  <c r="B90" i="1"/>
  <c r="B91" i="1"/>
  <c r="B120" i="1"/>
  <c r="B92" i="1"/>
  <c r="B112" i="1"/>
  <c r="B121" i="1"/>
  <c r="B71" i="1"/>
  <c r="B122" i="1"/>
  <c r="B66" i="1"/>
  <c r="B151" i="1"/>
  <c r="B136" i="1"/>
  <c r="B150" i="1"/>
  <c r="B153" i="1"/>
  <c r="B135" i="1"/>
  <c r="B132" i="1"/>
  <c r="B137" i="1"/>
  <c r="B140" i="1"/>
  <c r="B134" i="1"/>
  <c r="B131" i="1"/>
  <c r="B138" i="1"/>
  <c r="B133" i="1"/>
  <c r="B139" i="1"/>
  <c r="B149" i="1"/>
  <c r="B144" i="1"/>
  <c r="B143" i="1"/>
  <c r="B145" i="1"/>
  <c r="B147" i="1"/>
  <c r="B148" i="1"/>
  <c r="B152" i="1"/>
  <c r="B141" i="1"/>
  <c r="B142" i="1"/>
  <c r="B146" i="1"/>
  <c r="O148" i="1" l="1"/>
  <c r="P148" i="1"/>
  <c r="O138" i="1"/>
  <c r="P138" i="1"/>
  <c r="O122" i="1"/>
  <c r="P122" i="1"/>
  <c r="O107" i="1"/>
  <c r="P107" i="1"/>
  <c r="O89" i="1"/>
  <c r="P89" i="1"/>
  <c r="O68" i="1"/>
  <c r="P68" i="1"/>
  <c r="O67" i="1"/>
  <c r="P67" i="1"/>
  <c r="O85" i="1"/>
  <c r="P85" i="1"/>
  <c r="O97" i="1"/>
  <c r="P97" i="1"/>
  <c r="O78" i="1"/>
  <c r="P78" i="1"/>
  <c r="O82" i="1"/>
  <c r="P82" i="1"/>
  <c r="O51" i="1"/>
  <c r="P51" i="1"/>
  <c r="O30" i="1"/>
  <c r="P30" i="1"/>
  <c r="O63" i="1"/>
  <c r="P63" i="1"/>
  <c r="O62" i="1"/>
  <c r="P62" i="1"/>
  <c r="O38" i="1"/>
  <c r="P38" i="1"/>
  <c r="O22" i="1"/>
  <c r="P22" i="1"/>
  <c r="O6" i="1"/>
  <c r="P6" i="1"/>
  <c r="O11" i="1"/>
  <c r="P11" i="1"/>
  <c r="O7" i="1"/>
  <c r="P7" i="1"/>
  <c r="O142" i="1"/>
  <c r="P142" i="1"/>
  <c r="O147" i="1"/>
  <c r="P147" i="1"/>
  <c r="O149" i="1"/>
  <c r="P149" i="1"/>
  <c r="O131" i="1"/>
  <c r="P131" i="1"/>
  <c r="O132" i="1"/>
  <c r="P132" i="1"/>
  <c r="O136" i="1"/>
  <c r="P136" i="1"/>
  <c r="O71" i="1"/>
  <c r="P71" i="1"/>
  <c r="O120" i="1"/>
  <c r="P120" i="1"/>
  <c r="O117" i="1"/>
  <c r="P117" i="1"/>
  <c r="O130" i="1"/>
  <c r="P130" i="1"/>
  <c r="O128" i="1"/>
  <c r="P128" i="1"/>
  <c r="O104" i="1"/>
  <c r="P104" i="1"/>
  <c r="O88" i="1"/>
  <c r="P88" i="1"/>
  <c r="O110" i="1"/>
  <c r="P110" i="1"/>
  <c r="O87" i="1"/>
  <c r="P87" i="1"/>
  <c r="O127" i="1"/>
  <c r="P127" i="1"/>
  <c r="O84" i="1"/>
  <c r="P84" i="1"/>
  <c r="O126" i="1"/>
  <c r="P126" i="1"/>
  <c r="O80" i="1"/>
  <c r="P80" i="1"/>
  <c r="O96" i="1"/>
  <c r="P96" i="1"/>
  <c r="O95" i="1"/>
  <c r="P95" i="1"/>
  <c r="O74" i="1"/>
  <c r="P74" i="1"/>
  <c r="O42" i="1"/>
  <c r="P42" i="1"/>
  <c r="O36" i="1"/>
  <c r="P36" i="1"/>
  <c r="O47" i="1"/>
  <c r="P47" i="1"/>
  <c r="O32" i="1"/>
  <c r="P32" i="1"/>
  <c r="O29" i="1"/>
  <c r="P29" i="1"/>
  <c r="O54" i="1"/>
  <c r="P54" i="1"/>
  <c r="O44" i="1"/>
  <c r="P44" i="1"/>
  <c r="O61" i="1"/>
  <c r="P61" i="1"/>
  <c r="O60" i="1"/>
  <c r="P60" i="1"/>
  <c r="O27" i="1"/>
  <c r="P27" i="1"/>
  <c r="O26" i="1"/>
  <c r="P26" i="1"/>
  <c r="O21" i="1"/>
  <c r="P21" i="1"/>
  <c r="O18" i="1"/>
  <c r="P18" i="1"/>
  <c r="O13" i="1"/>
  <c r="P13" i="1"/>
  <c r="O10" i="1"/>
  <c r="P10" i="1"/>
  <c r="O16" i="1"/>
  <c r="P16" i="1"/>
  <c r="O150" i="1"/>
  <c r="P150" i="1"/>
  <c r="O108" i="1"/>
  <c r="P108" i="1"/>
  <c r="O109" i="1"/>
  <c r="P109" i="1"/>
  <c r="O19" i="1"/>
  <c r="P19" i="1"/>
  <c r="O141" i="1"/>
  <c r="P141" i="1"/>
  <c r="O145" i="1"/>
  <c r="P145" i="1"/>
  <c r="O139" i="1"/>
  <c r="P139" i="1"/>
  <c r="O134" i="1"/>
  <c r="P134" i="1"/>
  <c r="O135" i="1"/>
  <c r="P135" i="1"/>
  <c r="O151" i="1"/>
  <c r="P151" i="1"/>
  <c r="O121" i="1"/>
  <c r="P121" i="1"/>
  <c r="O91" i="1"/>
  <c r="P91" i="1"/>
  <c r="O116" i="1"/>
  <c r="P116" i="1"/>
  <c r="O129" i="1"/>
  <c r="P129" i="1"/>
  <c r="O115" i="1"/>
  <c r="P115" i="1"/>
  <c r="O103" i="1"/>
  <c r="P103" i="1"/>
  <c r="O119" i="1"/>
  <c r="P119" i="1"/>
  <c r="O73" i="1"/>
  <c r="P73" i="1"/>
  <c r="O65" i="1"/>
  <c r="P65" i="1"/>
  <c r="O100" i="1"/>
  <c r="P100" i="1"/>
  <c r="O83" i="1"/>
  <c r="P83" i="1"/>
  <c r="O118" i="1"/>
  <c r="P118" i="1"/>
  <c r="O123" i="1"/>
  <c r="P123" i="1"/>
  <c r="O125" i="1"/>
  <c r="P125" i="1"/>
  <c r="O77" i="1"/>
  <c r="P77" i="1"/>
  <c r="O94" i="1"/>
  <c r="P94" i="1"/>
  <c r="O57" i="1"/>
  <c r="P57" i="1"/>
  <c r="O35" i="1"/>
  <c r="P35" i="1"/>
  <c r="O52" i="1"/>
  <c r="P52" i="1"/>
  <c r="O31" i="1"/>
  <c r="P31" i="1"/>
  <c r="O45" i="1"/>
  <c r="P45" i="1"/>
  <c r="O28" i="1"/>
  <c r="P28" i="1"/>
  <c r="O43" i="1"/>
  <c r="P43" i="1"/>
  <c r="O41" i="1"/>
  <c r="P41" i="1"/>
  <c r="O59" i="1"/>
  <c r="P59" i="1"/>
  <c r="O25" i="1"/>
  <c r="P25" i="1"/>
  <c r="O24" i="1"/>
  <c r="P24" i="1"/>
  <c r="O20" i="1"/>
  <c r="P20" i="1"/>
  <c r="O2" i="1"/>
  <c r="P2" i="1"/>
  <c r="O14" i="1"/>
  <c r="P14" i="1"/>
  <c r="O8" i="1"/>
  <c r="P8" i="1"/>
  <c r="O17" i="1"/>
  <c r="P17" i="1"/>
  <c r="O146" i="1"/>
  <c r="P146" i="1"/>
  <c r="O144" i="1"/>
  <c r="P144" i="1"/>
  <c r="O137" i="1"/>
  <c r="P137" i="1"/>
  <c r="O92" i="1"/>
  <c r="P92" i="1"/>
  <c r="O105" i="1"/>
  <c r="P105" i="1"/>
  <c r="O114" i="1"/>
  <c r="P114" i="1"/>
  <c r="O86" i="1"/>
  <c r="P86" i="1"/>
  <c r="O72" i="1"/>
  <c r="P72" i="1"/>
  <c r="O75" i="1"/>
  <c r="P75" i="1"/>
  <c r="O58" i="1"/>
  <c r="P58" i="1"/>
  <c r="O33" i="1"/>
  <c r="P33" i="1"/>
  <c r="O55" i="1"/>
  <c r="P55" i="1"/>
  <c r="O48" i="1"/>
  <c r="P48" i="1"/>
  <c r="O53" i="1"/>
  <c r="P53" i="1"/>
  <c r="O152" i="1"/>
  <c r="P152" i="1"/>
  <c r="O143" i="1"/>
  <c r="P143" i="1"/>
  <c r="O133" i="1"/>
  <c r="P133" i="1"/>
  <c r="O140" i="1"/>
  <c r="P140" i="1"/>
  <c r="O153" i="1"/>
  <c r="P153" i="1"/>
  <c r="O66" i="1"/>
  <c r="P66" i="1"/>
  <c r="O112" i="1"/>
  <c r="P112" i="1"/>
  <c r="O90" i="1"/>
  <c r="P90" i="1"/>
  <c r="O106" i="1"/>
  <c r="P106" i="1"/>
  <c r="O124" i="1"/>
  <c r="P124" i="1"/>
  <c r="O111" i="1"/>
  <c r="P111" i="1"/>
  <c r="O69" i="1"/>
  <c r="P69" i="1"/>
  <c r="O102" i="1"/>
  <c r="P102" i="1"/>
  <c r="O70" i="1"/>
  <c r="P70" i="1"/>
  <c r="O101" i="1"/>
  <c r="P101" i="1"/>
  <c r="O99" i="1"/>
  <c r="P99" i="1"/>
  <c r="O81" i="1"/>
  <c r="P81" i="1"/>
  <c r="O98" i="1"/>
  <c r="P98" i="1"/>
  <c r="O113" i="1"/>
  <c r="P113" i="1"/>
  <c r="O79" i="1"/>
  <c r="P79" i="1"/>
  <c r="O76" i="1"/>
  <c r="P76" i="1"/>
  <c r="O93" i="1"/>
  <c r="P93" i="1"/>
  <c r="O37" i="1"/>
  <c r="P37" i="1"/>
  <c r="O34" i="1"/>
  <c r="P34" i="1"/>
  <c r="O50" i="1"/>
  <c r="P50" i="1"/>
  <c r="O46" i="1"/>
  <c r="P46" i="1"/>
  <c r="O56" i="1"/>
  <c r="P56" i="1"/>
  <c r="O64" i="1"/>
  <c r="P64" i="1"/>
  <c r="O49" i="1"/>
  <c r="P49" i="1"/>
  <c r="O40" i="1"/>
  <c r="P40" i="1"/>
  <c r="O39" i="1"/>
  <c r="P39" i="1"/>
  <c r="O23" i="1"/>
  <c r="P23" i="1"/>
  <c r="O5" i="1"/>
  <c r="P5" i="1"/>
  <c r="O4" i="1"/>
  <c r="P4" i="1"/>
  <c r="O12" i="1"/>
  <c r="P12" i="1"/>
  <c r="O9" i="1"/>
  <c r="P9" i="1"/>
  <c r="O15" i="1"/>
  <c r="P15" i="1"/>
</calcChain>
</file>

<file path=xl/sharedStrings.xml><?xml version="1.0" encoding="utf-8"?>
<sst xmlns="http://schemas.openxmlformats.org/spreadsheetml/2006/main" count="635" uniqueCount="304">
  <si>
    <t>ID</t>
  </si>
  <si>
    <t>NO</t>
  </si>
  <si>
    <t>KANTON</t>
  </si>
  <si>
    <t>PR</t>
  </si>
  <si>
    <t>TAG</t>
  </si>
  <si>
    <t>MONATE</t>
  </si>
  <si>
    <t>JAHR</t>
  </si>
  <si>
    <t>ADULTE</t>
  </si>
  <si>
    <t>GEWICHT</t>
  </si>
  <si>
    <t>dH_Results</t>
  </si>
  <si>
    <t>FR</t>
  </si>
  <si>
    <t>NE</t>
  </si>
  <si>
    <t>2012PENA7</t>
  </si>
  <si>
    <t>PENA7</t>
  </si>
  <si>
    <t>2012PENA9</t>
  </si>
  <si>
    <t>PENA9</t>
  </si>
  <si>
    <t>2012PENA8</t>
  </si>
  <si>
    <t>PENA8</t>
  </si>
  <si>
    <t>2012Barth-2</t>
  </si>
  <si>
    <t>Barth-2</t>
  </si>
  <si>
    <t>2012PENA10</t>
  </si>
  <si>
    <t>PENA10</t>
  </si>
  <si>
    <t>2012Barth3</t>
  </si>
  <si>
    <t>Barth3</t>
  </si>
  <si>
    <t>2012PENA11</t>
  </si>
  <si>
    <t>PENA11</t>
  </si>
  <si>
    <t>2012PENA12</t>
  </si>
  <si>
    <t>PENA12</t>
  </si>
  <si>
    <t>2012PENA13</t>
  </si>
  <si>
    <t>PENA13</t>
  </si>
  <si>
    <t>2012PENA19</t>
  </si>
  <si>
    <t>PENA19</t>
  </si>
  <si>
    <t>2012PENA14</t>
  </si>
  <si>
    <t>PENA14</t>
  </si>
  <si>
    <t>2012Barbth8</t>
  </si>
  <si>
    <t>Barbth8</t>
  </si>
  <si>
    <t>2012Barbth4</t>
  </si>
  <si>
    <t>Barbth4</t>
  </si>
  <si>
    <t>2012ANKERFR-2</t>
  </si>
  <si>
    <t>ANKERFR-2</t>
  </si>
  <si>
    <t>2012ULVI-1</t>
  </si>
  <si>
    <t>ULVI-1</t>
  </si>
  <si>
    <t>2012ULVI-2</t>
  </si>
  <si>
    <t>ULVI-2</t>
  </si>
  <si>
    <t>2012Barbth5</t>
  </si>
  <si>
    <t>Barbth5</t>
  </si>
  <si>
    <t>2012ULVI-3</t>
  </si>
  <si>
    <t>ULVI-3</t>
  </si>
  <si>
    <t>2012ULVI-4</t>
  </si>
  <si>
    <t>ULVI-4</t>
  </si>
  <si>
    <t>2012ULVI-5</t>
  </si>
  <si>
    <t>ULVI-5</t>
  </si>
  <si>
    <t>2012BarbTH6</t>
  </si>
  <si>
    <t>BarbTH6</t>
  </si>
  <si>
    <t>2013ANARTA-1</t>
  </si>
  <si>
    <t>ANARTA-1</t>
  </si>
  <si>
    <t>TI</t>
  </si>
  <si>
    <t>2013BARBTH-1</t>
  </si>
  <si>
    <t>BARBTH-1</t>
  </si>
  <si>
    <t>2013PFISED-1</t>
  </si>
  <si>
    <t>PFISED-1</t>
  </si>
  <si>
    <t>2013ANARGI-1</t>
  </si>
  <si>
    <t>ANARGI-1</t>
  </si>
  <si>
    <t>2013ANARTA-2</t>
  </si>
  <si>
    <t>ANARTA-2</t>
  </si>
  <si>
    <t>2013BARBTH-2</t>
  </si>
  <si>
    <t>BARBTH-2</t>
  </si>
  <si>
    <t>2013FONTER-1</t>
  </si>
  <si>
    <t>FONTER-1</t>
  </si>
  <si>
    <t>2013FONTER-2</t>
  </si>
  <si>
    <t>FONTER-2</t>
  </si>
  <si>
    <t>2013ROSSIGI-2</t>
  </si>
  <si>
    <t>ROSSIGI-2</t>
  </si>
  <si>
    <t>2013ROSSIGI-3</t>
  </si>
  <si>
    <t>ROSSIGI-3</t>
  </si>
  <si>
    <t>2013ROSSIGI-5</t>
  </si>
  <si>
    <t>ROSSIGI-5</t>
  </si>
  <si>
    <t>2013GNOSDA-1</t>
  </si>
  <si>
    <t>GNOSDA-1</t>
  </si>
  <si>
    <t>2013GNOSDA-2</t>
  </si>
  <si>
    <t>GNOSDA-2</t>
  </si>
  <si>
    <t>2013ROSSIGI-4</t>
  </si>
  <si>
    <t>ROSSIGI-4</t>
  </si>
  <si>
    <t>2013GRUBLO-1</t>
  </si>
  <si>
    <t>GRUBLO-1</t>
  </si>
  <si>
    <t>2013GRUBLO-2</t>
  </si>
  <si>
    <t>GRUBLO-2</t>
  </si>
  <si>
    <t>2013GNOSDA-4</t>
  </si>
  <si>
    <t>GNOSDA-4</t>
  </si>
  <si>
    <t>2013GNOSDA-5</t>
  </si>
  <si>
    <t>GNOSDA-5</t>
  </si>
  <si>
    <t>2013ROSSIGI-6</t>
  </si>
  <si>
    <t>ROSSIGI-6</t>
  </si>
  <si>
    <t>2013ULRIVI-3</t>
  </si>
  <si>
    <t>ULRIVI-3</t>
  </si>
  <si>
    <t>2013BARBTH-3</t>
  </si>
  <si>
    <t>BARBTH-3</t>
  </si>
  <si>
    <t>2013PFISED-2</t>
  </si>
  <si>
    <t>PFISED-2</t>
  </si>
  <si>
    <t>2013ROSARE-1</t>
  </si>
  <si>
    <t>ROSARE-1</t>
  </si>
  <si>
    <t>2013ROSARE-2</t>
  </si>
  <si>
    <t>ROSARE-2</t>
  </si>
  <si>
    <t>2013GNOSDA-6</t>
  </si>
  <si>
    <t>GNOSDA-6</t>
  </si>
  <si>
    <t>2013CAVALLICO-1</t>
  </si>
  <si>
    <t>CAVALLICO-1</t>
  </si>
  <si>
    <t>2013CAVALLICO-2</t>
  </si>
  <si>
    <t>CAVALLICO-2</t>
  </si>
  <si>
    <t>2013GNOSDA-7</t>
  </si>
  <si>
    <t>GNOSDA-7</t>
  </si>
  <si>
    <t>2013CAVALLICO-3</t>
  </si>
  <si>
    <t>CAVALLICO-3</t>
  </si>
  <si>
    <t>2013CAVALLICO-4</t>
  </si>
  <si>
    <t>CAVALLICO-4</t>
  </si>
  <si>
    <t>2013CAVALLICO-5</t>
  </si>
  <si>
    <t>CAVALLICO-5</t>
  </si>
  <si>
    <t>2013GRUBLO-3</t>
  </si>
  <si>
    <t>GRUBLO-3</t>
  </si>
  <si>
    <t>2013MOLTRE-1</t>
  </si>
  <si>
    <t>MOLTRE-1</t>
  </si>
  <si>
    <t>2013GNOSDA-8</t>
  </si>
  <si>
    <t>GNOSDA-8</t>
  </si>
  <si>
    <t>2013GRUBLO-4</t>
  </si>
  <si>
    <t>GRUBLO-4</t>
  </si>
  <si>
    <t>2013CAVALLICO-6</t>
  </si>
  <si>
    <t>CAVALLICO-6</t>
  </si>
  <si>
    <t>2013CAVALLICO-7</t>
  </si>
  <si>
    <t>CAVALLICO-7</t>
  </si>
  <si>
    <t>2013CAVALLICO-8</t>
  </si>
  <si>
    <t>CAVALLICO-8</t>
  </si>
  <si>
    <t>2013ROSSIGI-12</t>
  </si>
  <si>
    <t>ROSSIGI-12</t>
  </si>
  <si>
    <t>2013CAVALLICO-9</t>
  </si>
  <si>
    <t>CAVALLICO-9</t>
  </si>
  <si>
    <t>2013ROSSIGI-11</t>
  </si>
  <si>
    <t>ROSSIGI-11</t>
  </si>
  <si>
    <t>2013GNOSDA-3</t>
  </si>
  <si>
    <t>GNOSDA-3</t>
  </si>
  <si>
    <t>VD</t>
  </si>
  <si>
    <t>2014GNOSDA-1</t>
  </si>
  <si>
    <t>2014GNOSDA-2</t>
  </si>
  <si>
    <t>2014GNOSDA-3</t>
  </si>
  <si>
    <t>2014CAVACO-2</t>
  </si>
  <si>
    <t>CAVACO-2</t>
  </si>
  <si>
    <t>2014CAVACO-3</t>
  </si>
  <si>
    <t>CAVACO-3</t>
  </si>
  <si>
    <t>2014CAVACO-4</t>
  </si>
  <si>
    <t>CAVACO-4</t>
  </si>
  <si>
    <t>2014CAVACO-5</t>
  </si>
  <si>
    <t>CAVACO-5</t>
  </si>
  <si>
    <t>2014GNOSDA-4</t>
  </si>
  <si>
    <t>2014CAVACO-6</t>
  </si>
  <si>
    <t>CAVACO-6</t>
  </si>
  <si>
    <t>2014CAVACO-7</t>
  </si>
  <si>
    <t>CAVACO-7</t>
  </si>
  <si>
    <t>2014ROSSEGI-1</t>
  </si>
  <si>
    <t>ROSSEGI-1</t>
  </si>
  <si>
    <t>2014GNOSDA-5</t>
  </si>
  <si>
    <t>2014HAUKCL-2</t>
  </si>
  <si>
    <t>HAUKCL-2</t>
  </si>
  <si>
    <t>2014PENAJA1</t>
  </si>
  <si>
    <t>PENAJA1</t>
  </si>
  <si>
    <t>2014ROSS.GI-2</t>
  </si>
  <si>
    <t>ROSS.GI-2</t>
  </si>
  <si>
    <t>2014CAVACO-8</t>
  </si>
  <si>
    <t>CAVACO-8</t>
  </si>
  <si>
    <t>2014GNOSDA-6</t>
  </si>
  <si>
    <t>2014GNOSDA-7</t>
  </si>
  <si>
    <t>2014ROSAOR-1</t>
  </si>
  <si>
    <t>ROSAOR-1</t>
  </si>
  <si>
    <t>2014ROSSGI-3</t>
  </si>
  <si>
    <t>ROSSGI-3</t>
  </si>
  <si>
    <t>2014CAVACO-10</t>
  </si>
  <si>
    <t>CAVACO-10</t>
  </si>
  <si>
    <t>2014CAVACO-9</t>
  </si>
  <si>
    <t>CAVACO-9</t>
  </si>
  <si>
    <t>2014GNOSDA-10</t>
  </si>
  <si>
    <t>GNOSDA-10</t>
  </si>
  <si>
    <t>2014GNOSDA-11</t>
  </si>
  <si>
    <t>GNOSDA-11</t>
  </si>
  <si>
    <t>2014GNOSDA-12</t>
  </si>
  <si>
    <t>GNOSDA-12</t>
  </si>
  <si>
    <t>2014GNOSDA-8</t>
  </si>
  <si>
    <t>2014GNOSDA-9</t>
  </si>
  <si>
    <t>GNOSDA-9</t>
  </si>
  <si>
    <t>2014ROSSGI-4</t>
  </si>
  <si>
    <t>ROSSGI-4</t>
  </si>
  <si>
    <t>2014GNOSDA-13</t>
  </si>
  <si>
    <t>GNOSDA-13</t>
  </si>
  <si>
    <t>2014GROBLO-1</t>
  </si>
  <si>
    <t>GROBLO-1</t>
  </si>
  <si>
    <t>2014ALBEFA-1</t>
  </si>
  <si>
    <t>ALBEFA-1</t>
  </si>
  <si>
    <t>2014GNOSDA-14</t>
  </si>
  <si>
    <t>GNOSDA-14</t>
  </si>
  <si>
    <t>2014ANARGI-3</t>
  </si>
  <si>
    <t>ANARGI-3</t>
  </si>
  <si>
    <t>2014CAVACO.11</t>
  </si>
  <si>
    <t>CAVACO.11</t>
  </si>
  <si>
    <t>2014CAVACO-12</t>
  </si>
  <si>
    <t>CAVACO-12</t>
  </si>
  <si>
    <t>2014HAUKCL-3</t>
  </si>
  <si>
    <t>HAUKCL-3</t>
  </si>
  <si>
    <t>2014PENAJA3</t>
  </si>
  <si>
    <t>PENAJA3</t>
  </si>
  <si>
    <t>2014GRUBLO-2</t>
  </si>
  <si>
    <t>2014ROSAOR-2</t>
  </si>
  <si>
    <t>ROSAOR-2</t>
  </si>
  <si>
    <t>2014GNOSDA-15</t>
  </si>
  <si>
    <t>GNOSDA-15</t>
  </si>
  <si>
    <t>2014ANARGI-4</t>
  </si>
  <si>
    <t>ANARGI-4</t>
  </si>
  <si>
    <t>2014BARBTH-1</t>
  </si>
  <si>
    <t>2014GRUBLO-3</t>
  </si>
  <si>
    <t>2014GRUBLO-4</t>
  </si>
  <si>
    <t>2014HAUKCL-1</t>
  </si>
  <si>
    <t>HAUKCL-1</t>
  </si>
  <si>
    <t>2014HAUKCL-4</t>
  </si>
  <si>
    <t>HAUKCL-4</t>
  </si>
  <si>
    <t>2014PENAJA4</t>
  </si>
  <si>
    <t>PENAJA4</t>
  </si>
  <si>
    <t>2014ROSS-GI5</t>
  </si>
  <si>
    <t>ROSS-GI5</t>
  </si>
  <si>
    <t>2014GNOSDA-16</t>
  </si>
  <si>
    <t>GNOSDA-16</t>
  </si>
  <si>
    <t>2014ROSS.GI6</t>
  </si>
  <si>
    <t>ROSS.GI6</t>
  </si>
  <si>
    <t>2014ROSS-GI7</t>
  </si>
  <si>
    <t>ROSS-GI7</t>
  </si>
  <si>
    <t>2014ROSS-GI8</t>
  </si>
  <si>
    <t>ROSS-GI8</t>
  </si>
  <si>
    <t>2014GRUBLO-5</t>
  </si>
  <si>
    <t>GRUBLO-5</t>
  </si>
  <si>
    <t>2014GRUBLO-6</t>
  </si>
  <si>
    <t>GRUBLO-6</t>
  </si>
  <si>
    <t>2014PENAJA5</t>
  </si>
  <si>
    <t>PENAJA5</t>
  </si>
  <si>
    <t>2014PILLJE-1</t>
  </si>
  <si>
    <t>PILLJE-1</t>
  </si>
  <si>
    <t>2014GRUBLO-7</t>
  </si>
  <si>
    <t>GRUBLO-7</t>
  </si>
  <si>
    <t>2014GNOSDA-17</t>
  </si>
  <si>
    <t>GNOSDA-17</t>
  </si>
  <si>
    <t>2014GNOSDA-18</t>
  </si>
  <si>
    <t>GNOSDA-18</t>
  </si>
  <si>
    <t>2014ROSS.GI10</t>
  </si>
  <si>
    <t>ROSS.GI10</t>
  </si>
  <si>
    <t>2014GNOSDA-19</t>
  </si>
  <si>
    <t>GNOSDA-19</t>
  </si>
  <si>
    <t>2014HAUKCL-5</t>
  </si>
  <si>
    <t>HAUKCL-5</t>
  </si>
  <si>
    <t>2014ROSS.GI-11</t>
  </si>
  <si>
    <t>ROSS.GI-11</t>
  </si>
  <si>
    <t>2014CAVACO-1</t>
  </si>
  <si>
    <t>CAVACO-1</t>
  </si>
  <si>
    <t>2014ROSS.GI-12</t>
  </si>
  <si>
    <t>ROSS.GI-12</t>
  </si>
  <si>
    <t>2014ALBEFA-2</t>
  </si>
  <si>
    <t>ALBEFA-2</t>
  </si>
  <si>
    <t>JOSEDA-1</t>
  </si>
  <si>
    <t>X_DEG</t>
  </si>
  <si>
    <t>Y_DEG</t>
  </si>
  <si>
    <t>BEMERKUNGEN</t>
  </si>
  <si>
    <t>2015PFISED-2</t>
  </si>
  <si>
    <t>2015CAVACO-5</t>
  </si>
  <si>
    <t>2015PENAJA-1</t>
  </si>
  <si>
    <t>PENAJA-1</t>
  </si>
  <si>
    <t>2015SAVAJE-2</t>
  </si>
  <si>
    <t>SAVAJE-2</t>
  </si>
  <si>
    <t>2015CAVACO-4</t>
  </si>
  <si>
    <t>2015CAVACO-10</t>
  </si>
  <si>
    <t>2015CAVACO-6</t>
  </si>
  <si>
    <t>2015CAVACO-9</t>
  </si>
  <si>
    <t>2015CAVACO-3</t>
  </si>
  <si>
    <t>2015CAVACO-1</t>
  </si>
  <si>
    <t>2015CAVACO-7</t>
  </si>
  <si>
    <t>2015CAVACO-2</t>
  </si>
  <si>
    <t>2015CAVACO-8</t>
  </si>
  <si>
    <t>2015MORAMA-9</t>
  </si>
  <si>
    <t>MORAMA-9</t>
  </si>
  <si>
    <t>2015JOSEDA2</t>
  </si>
  <si>
    <t>JOSEDA2</t>
  </si>
  <si>
    <t>2015JOSEDA-1</t>
  </si>
  <si>
    <t>2015JOSEDA-5</t>
  </si>
  <si>
    <t>JOSEDA-5</t>
  </si>
  <si>
    <t>2015K112959</t>
  </si>
  <si>
    <t>K112959</t>
  </si>
  <si>
    <t>2015K112960</t>
  </si>
  <si>
    <t>K112960</t>
  </si>
  <si>
    <t>2015RIMEYA01</t>
  </si>
  <si>
    <t>RIMEYA01</t>
  </si>
  <si>
    <t>2015GREJE01</t>
  </si>
  <si>
    <t>GREJE01</t>
  </si>
  <si>
    <t>2015GREJE02</t>
  </si>
  <si>
    <t>GREJE02</t>
  </si>
  <si>
    <t>2015K112952</t>
  </si>
  <si>
    <t>K112952</t>
  </si>
  <si>
    <t>Abschuss</t>
  </si>
  <si>
    <t>Fang</t>
  </si>
  <si>
    <t>dH_scaled</t>
  </si>
  <si>
    <t>NA</t>
  </si>
  <si>
    <t>MYINDEX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</si>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</sst>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3" fillId="0" borderId="0"/>
    <xf numFmtId="0" fontId="8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2" applyFont="1" applyBorder="1" applyAlignment="1">
      <alignment horizontal="center"/>
    </xf>
    <xf numFmtId="0" fontId="4" fillId="0" borderId="0" xfId="1" applyFont="1" applyAlignment="1">
      <alignment wrapText="1"/>
    </xf>
    <xf numFmtId="0" fontId="4" fillId="0" borderId="0" xfId="1" applyFont="1" applyAlignment="1">
      <alignment horizontal="right" wrapText="1"/>
    </xf>
    <xf numFmtId="0" fontId="6" fillId="0" borderId="0" xfId="2" applyFont="1" applyAlignment="1">
      <alignment horizontal="right"/>
    </xf>
    <xf numFmtId="0" fontId="6" fillId="0" borderId="0" xfId="2" applyFont="1"/>
    <xf numFmtId="164" fontId="0" fillId="0" borderId="0" xfId="0" applyNumberFormat="1"/>
    <xf numFmtId="164" fontId="4" fillId="0" borderId="0" xfId="1" applyNumberFormat="1" applyFont="1" applyAlignment="1">
      <alignment horizontal="right" wrapText="1"/>
    </xf>
    <xf numFmtId="164" fontId="6" fillId="0" borderId="0" xfId="2" applyNumberFormat="1" applyFont="1" applyAlignment="1">
      <alignment horizontal="right"/>
    </xf>
    <xf numFmtId="0" fontId="1" fillId="2" borderId="1" xfId="0" applyFont="1" applyFill="1" applyBorder="1"/>
    <xf numFmtId="2" fontId="8" fillId="2" borderId="0" xfId="3" applyNumberFormat="1" applyFill="1"/>
    <xf numFmtId="0" fontId="0" fillId="2" borderId="0" xfId="0" applyFill="1"/>
    <xf numFmtId="0" fontId="2" fillId="0" borderId="0" xfId="0" applyFont="1"/>
    <xf numFmtId="2" fontId="0" fillId="0" borderId="0" xfId="0" applyNumberFormat="1"/>
  </cellXfs>
  <cellStyles count="4">
    <cellStyle name="Normal" xfId="0" builtinId="0"/>
    <cellStyle name="Normal_data" xfId="1" xr:uid="{00000000-0005-0000-0000-000001000000}"/>
    <cellStyle name="Normal_Feuil1" xfId="2" xr:uid="{00000000-0005-0000-0000-000002000000}"/>
    <cellStyle name="Standard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"/>
  <sheetViews>
    <sheetView tabSelected="1" topLeftCell="A91" workbookViewId="0">
      <selection activeCell="B93" sqref="B93"/>
    </sheetView>
  </sheetViews>
  <sheetFormatPr defaultColWidth="11.44140625" defaultRowHeight="14.4" x14ac:dyDescent="0.3"/>
  <cols>
    <col min="1" max="1" width="12.6640625" bestFit="1" customWidth="1"/>
    <col min="2" max="2" width="19" style="13" customWidth="1"/>
    <col min="3" max="3" width="20" bestFit="1" customWidth="1"/>
    <col min="4" max="4" width="15.88671875" bestFit="1" customWidth="1"/>
    <col min="5" max="5" width="8.6640625" bestFit="1" customWidth="1"/>
    <col min="6" max="7" width="12" bestFit="1" customWidth="1"/>
    <col min="8" max="8" width="6.6640625" customWidth="1"/>
    <col min="9" max="9" width="4.6640625" bestFit="1" customWidth="1"/>
    <col min="10" max="10" width="9" bestFit="1" customWidth="1"/>
    <col min="11" max="11" width="5.44140625" bestFit="1" customWidth="1"/>
    <col min="12" max="12" width="7.88671875" bestFit="1" customWidth="1"/>
    <col min="13" max="13" width="9.44140625" bestFit="1" customWidth="1"/>
    <col min="14" max="14" width="15" bestFit="1" customWidth="1"/>
    <col min="15" max="15" width="8.33203125" bestFit="1" customWidth="1"/>
    <col min="16" max="16" width="9.44140625" bestFit="1" customWidth="1"/>
    <col min="17" max="17" width="15" bestFit="1" customWidth="1"/>
  </cols>
  <sheetData>
    <row r="1" spans="1:16" ht="15" thickBot="1" x14ac:dyDescent="0.35">
      <c r="A1" s="1" t="s">
        <v>9</v>
      </c>
      <c r="B1" s="11" t="s">
        <v>300</v>
      </c>
      <c r="C1" s="2" t="s">
        <v>0</v>
      </c>
      <c r="D1" s="2" t="s">
        <v>1</v>
      </c>
      <c r="E1" s="2" t="s">
        <v>2</v>
      </c>
      <c r="F1" s="3" t="s">
        <v>261</v>
      </c>
      <c r="G1" s="3" t="s">
        <v>262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263</v>
      </c>
      <c r="O1" s="14" t="s">
        <v>302</v>
      </c>
      <c r="P1" s="14" t="s">
        <v>303</v>
      </c>
    </row>
    <row r="2" spans="1:16" hidden="1" x14ac:dyDescent="0.3">
      <c r="A2" s="8">
        <v>-71.050747599999994</v>
      </c>
      <c r="B2" s="12">
        <f t="shared" ref="B2:B33" si="0">0.979*A2+20.701</f>
        <v>-48.857681900399989</v>
      </c>
      <c r="C2" t="s">
        <v>38</v>
      </c>
      <c r="D2" t="s">
        <v>39</v>
      </c>
      <c r="E2" t="s">
        <v>11</v>
      </c>
      <c r="F2">
        <v>46.991444386678964</v>
      </c>
      <c r="G2">
        <v>6.6815113624474822</v>
      </c>
      <c r="H2">
        <v>5</v>
      </c>
      <c r="I2">
        <v>12</v>
      </c>
      <c r="J2">
        <v>11</v>
      </c>
      <c r="K2">
        <v>2012</v>
      </c>
      <c r="L2">
        <v>1</v>
      </c>
      <c r="M2">
        <v>340</v>
      </c>
      <c r="N2" t="s">
        <v>298</v>
      </c>
      <c r="O2">
        <f>ROUND(B2/10,0)*-1</f>
        <v>5</v>
      </c>
      <c r="P2" s="15">
        <f t="shared" ref="P2:P33" si="1">-5.6375 + (1.25*B2)</f>
        <v>-66.709602375499983</v>
      </c>
    </row>
    <row r="3" spans="1:16" hidden="1" x14ac:dyDescent="0.3">
      <c r="A3" s="8">
        <v>-24.987806000000006</v>
      </c>
      <c r="B3" s="12">
        <f t="shared" si="0"/>
        <v>-3.7620620740000064</v>
      </c>
      <c r="C3" t="s">
        <v>36</v>
      </c>
      <c r="D3" t="s">
        <v>37</v>
      </c>
      <c r="E3" t="s">
        <v>11</v>
      </c>
      <c r="F3">
        <v>47.095279746557715</v>
      </c>
      <c r="G3">
        <v>6.9119483683137579</v>
      </c>
      <c r="H3">
        <v>4</v>
      </c>
      <c r="I3">
        <v>10</v>
      </c>
      <c r="J3">
        <v>11</v>
      </c>
      <c r="K3">
        <v>2012</v>
      </c>
      <c r="L3">
        <v>1</v>
      </c>
      <c r="M3">
        <v>376</v>
      </c>
      <c r="N3" t="s">
        <v>298</v>
      </c>
      <c r="O3">
        <v>1</v>
      </c>
      <c r="P3" s="15">
        <f t="shared" si="1"/>
        <v>-10.340077592500009</v>
      </c>
    </row>
    <row r="4" spans="1:16" hidden="1" x14ac:dyDescent="0.3">
      <c r="A4" s="8">
        <v>-55.916826999999998</v>
      </c>
      <c r="B4" s="12">
        <f t="shared" si="0"/>
        <v>-34.041573632999999</v>
      </c>
      <c r="C4" t="s">
        <v>44</v>
      </c>
      <c r="D4" t="s">
        <v>45</v>
      </c>
      <c r="E4" t="s">
        <v>11</v>
      </c>
      <c r="F4">
        <v>47.017224967125074</v>
      </c>
      <c r="G4">
        <v>6.8127806819929013</v>
      </c>
      <c r="H4">
        <v>4</v>
      </c>
      <c r="I4">
        <v>16</v>
      </c>
      <c r="J4">
        <v>11</v>
      </c>
      <c r="K4">
        <v>2012</v>
      </c>
      <c r="L4">
        <v>1</v>
      </c>
      <c r="M4">
        <v>320</v>
      </c>
      <c r="N4" t="s">
        <v>298</v>
      </c>
      <c r="O4">
        <f t="shared" ref="O4:O35" si="2">ROUND(B4/10,0)*-1</f>
        <v>3</v>
      </c>
      <c r="P4" s="15">
        <f t="shared" si="1"/>
        <v>-48.189467041249998</v>
      </c>
    </row>
    <row r="5" spans="1:16" hidden="1" x14ac:dyDescent="0.3">
      <c r="A5" s="8">
        <v>-60.152449199999992</v>
      </c>
      <c r="B5" s="12">
        <f t="shared" si="0"/>
        <v>-38.188247766799989</v>
      </c>
      <c r="C5" t="s">
        <v>52</v>
      </c>
      <c r="D5" t="s">
        <v>53</v>
      </c>
      <c r="E5" t="s">
        <v>11</v>
      </c>
      <c r="F5">
        <v>47.01231089192332</v>
      </c>
      <c r="G5">
        <v>6.8073801111555552</v>
      </c>
      <c r="H5">
        <v>3</v>
      </c>
      <c r="I5">
        <v>24</v>
      </c>
      <c r="J5">
        <v>11</v>
      </c>
      <c r="K5">
        <v>2012</v>
      </c>
      <c r="L5">
        <v>1</v>
      </c>
      <c r="M5">
        <v>372</v>
      </c>
      <c r="N5" t="s">
        <v>298</v>
      </c>
      <c r="O5">
        <f t="shared" si="2"/>
        <v>4</v>
      </c>
      <c r="P5" s="15">
        <f t="shared" si="1"/>
        <v>-53.372809708499986</v>
      </c>
    </row>
    <row r="6" spans="1:16" hidden="1" x14ac:dyDescent="0.3">
      <c r="A6" s="8">
        <v>-75.913153199999996</v>
      </c>
      <c r="B6" s="12">
        <f t="shared" si="0"/>
        <v>-53.617976982799995</v>
      </c>
      <c r="C6" t="s">
        <v>34</v>
      </c>
      <c r="D6" t="s">
        <v>35</v>
      </c>
      <c r="E6" t="s">
        <v>11</v>
      </c>
      <c r="F6">
        <v>47.091389843002815</v>
      </c>
      <c r="G6">
        <v>6.8994480251981862</v>
      </c>
      <c r="H6">
        <v>4</v>
      </c>
      <c r="I6">
        <v>9</v>
      </c>
      <c r="J6">
        <v>11</v>
      </c>
      <c r="K6">
        <v>2012</v>
      </c>
      <c r="L6">
        <v>1</v>
      </c>
      <c r="M6">
        <v>356</v>
      </c>
      <c r="N6" t="s">
        <v>298</v>
      </c>
      <c r="O6">
        <f t="shared" si="2"/>
        <v>5</v>
      </c>
      <c r="P6" s="15">
        <f t="shared" si="1"/>
        <v>-72.659971228499998</v>
      </c>
    </row>
    <row r="7" spans="1:16" hidden="1" x14ac:dyDescent="0.3">
      <c r="A7" s="8">
        <v>-60.072503600000005</v>
      </c>
      <c r="B7" s="12">
        <f t="shared" si="0"/>
        <v>-38.1099810244</v>
      </c>
      <c r="C7" t="s">
        <v>18</v>
      </c>
      <c r="D7" t="s">
        <v>19</v>
      </c>
      <c r="E7" t="s">
        <v>11</v>
      </c>
      <c r="F7">
        <v>47.098332448441944</v>
      </c>
      <c r="G7">
        <v>6.9186099772966356</v>
      </c>
      <c r="H7">
        <v>5</v>
      </c>
      <c r="I7">
        <v>26</v>
      </c>
      <c r="J7">
        <v>10</v>
      </c>
      <c r="K7">
        <v>2012</v>
      </c>
      <c r="L7">
        <v>1</v>
      </c>
      <c r="M7">
        <v>330</v>
      </c>
      <c r="N7" t="s">
        <v>298</v>
      </c>
      <c r="O7">
        <f t="shared" si="2"/>
        <v>4</v>
      </c>
      <c r="P7" s="15">
        <f t="shared" si="1"/>
        <v>-53.274976280499999</v>
      </c>
    </row>
    <row r="8" spans="1:16" hidden="1" x14ac:dyDescent="0.3">
      <c r="A8" s="8">
        <v>-66.759382000000002</v>
      </c>
      <c r="B8" s="12">
        <f t="shared" si="0"/>
        <v>-44.656434978</v>
      </c>
      <c r="C8" t="s">
        <v>22</v>
      </c>
      <c r="D8" t="s">
        <v>23</v>
      </c>
      <c r="E8" t="s">
        <v>11</v>
      </c>
      <c r="F8">
        <v>46.969721629251495</v>
      </c>
      <c r="G8">
        <v>6.6803851243136574</v>
      </c>
      <c r="H8">
        <v>5</v>
      </c>
      <c r="I8">
        <v>27</v>
      </c>
      <c r="J8">
        <v>10</v>
      </c>
      <c r="K8">
        <v>2012</v>
      </c>
      <c r="L8">
        <v>1</v>
      </c>
      <c r="M8">
        <v>360</v>
      </c>
      <c r="N8" t="s">
        <v>298</v>
      </c>
      <c r="O8">
        <f t="shared" si="2"/>
        <v>4</v>
      </c>
      <c r="P8" s="15">
        <f t="shared" si="1"/>
        <v>-61.458043722500001</v>
      </c>
    </row>
    <row r="9" spans="1:16" hidden="1" x14ac:dyDescent="0.3">
      <c r="A9" s="8">
        <v>-65.174745999999999</v>
      </c>
      <c r="B9" s="12">
        <f t="shared" si="0"/>
        <v>-43.105076333999996</v>
      </c>
      <c r="C9" t="s">
        <v>20</v>
      </c>
      <c r="D9" t="s">
        <v>21</v>
      </c>
      <c r="E9" t="s">
        <v>11</v>
      </c>
      <c r="F9">
        <v>46.97166549165776</v>
      </c>
      <c r="G9">
        <v>6.75944420169259</v>
      </c>
      <c r="H9">
        <v>5</v>
      </c>
      <c r="I9">
        <v>27</v>
      </c>
      <c r="J9">
        <v>10</v>
      </c>
      <c r="K9">
        <v>2012</v>
      </c>
      <c r="L9">
        <v>1</v>
      </c>
      <c r="M9">
        <v>219</v>
      </c>
      <c r="N9" t="s">
        <v>298</v>
      </c>
      <c r="O9">
        <f t="shared" si="2"/>
        <v>4</v>
      </c>
      <c r="P9" s="15">
        <f t="shared" si="1"/>
        <v>-59.518845417499996</v>
      </c>
    </row>
    <row r="10" spans="1:16" hidden="1" x14ac:dyDescent="0.3">
      <c r="A10" s="8">
        <v>-74.372772800000007</v>
      </c>
      <c r="B10" s="12">
        <f t="shared" si="0"/>
        <v>-52.10994457120001</v>
      </c>
      <c r="C10" t="s">
        <v>24</v>
      </c>
      <c r="D10" t="s">
        <v>25</v>
      </c>
      <c r="E10" t="s">
        <v>11</v>
      </c>
      <c r="F10">
        <v>47.092220169137725</v>
      </c>
      <c r="G10">
        <v>6.9038914603865305</v>
      </c>
      <c r="H10">
        <v>5</v>
      </c>
      <c r="I10">
        <v>2</v>
      </c>
      <c r="J10">
        <v>11</v>
      </c>
      <c r="K10">
        <v>2012</v>
      </c>
      <c r="L10">
        <v>1</v>
      </c>
      <c r="M10">
        <v>302</v>
      </c>
      <c r="N10" t="s">
        <v>298</v>
      </c>
      <c r="O10">
        <f t="shared" si="2"/>
        <v>5</v>
      </c>
      <c r="P10" s="15">
        <f t="shared" si="1"/>
        <v>-70.774930714000021</v>
      </c>
    </row>
    <row r="11" spans="1:16" hidden="1" x14ac:dyDescent="0.3">
      <c r="A11" s="8">
        <v>-70.198470399999991</v>
      </c>
      <c r="B11" s="12">
        <f t="shared" si="0"/>
        <v>-48.023302521599994</v>
      </c>
      <c r="C11" t="s">
        <v>26</v>
      </c>
      <c r="D11" t="s">
        <v>27</v>
      </c>
      <c r="E11" t="s">
        <v>11</v>
      </c>
      <c r="F11">
        <v>47.088336814264771</v>
      </c>
      <c r="G11">
        <v>6.9102781410628475</v>
      </c>
      <c r="H11">
        <v>5</v>
      </c>
      <c r="I11">
        <v>3</v>
      </c>
      <c r="J11">
        <v>11</v>
      </c>
      <c r="K11">
        <v>2012</v>
      </c>
      <c r="L11">
        <v>1</v>
      </c>
      <c r="M11">
        <v>344</v>
      </c>
      <c r="N11" t="s">
        <v>298</v>
      </c>
      <c r="O11">
        <f t="shared" si="2"/>
        <v>5</v>
      </c>
      <c r="P11" s="15">
        <f t="shared" si="1"/>
        <v>-65.666628151999987</v>
      </c>
    </row>
    <row r="12" spans="1:16" hidden="1" x14ac:dyDescent="0.3">
      <c r="A12" s="8">
        <v>-73.045104800000004</v>
      </c>
      <c r="B12" s="12">
        <f t="shared" si="0"/>
        <v>-50.810157599200004</v>
      </c>
      <c r="C12" t="s">
        <v>28</v>
      </c>
      <c r="D12" t="s">
        <v>29</v>
      </c>
      <c r="E12" t="s">
        <v>11</v>
      </c>
      <c r="F12">
        <v>47.099826878850905</v>
      </c>
      <c r="G12">
        <v>6.9149202607281763</v>
      </c>
      <c r="H12">
        <v>5</v>
      </c>
      <c r="I12">
        <v>9</v>
      </c>
      <c r="J12">
        <v>11</v>
      </c>
      <c r="K12">
        <v>2012</v>
      </c>
      <c r="L12">
        <v>1</v>
      </c>
      <c r="M12">
        <v>219</v>
      </c>
      <c r="N12" t="s">
        <v>298</v>
      </c>
      <c r="O12">
        <f t="shared" si="2"/>
        <v>5</v>
      </c>
      <c r="P12" s="15">
        <f t="shared" si="1"/>
        <v>-69.150196999000002</v>
      </c>
    </row>
    <row r="13" spans="1:16" hidden="1" x14ac:dyDescent="0.3">
      <c r="A13" s="8">
        <v>-68.107036399999998</v>
      </c>
      <c r="B13" s="12">
        <f t="shared" si="0"/>
        <v>-45.97578863559999</v>
      </c>
      <c r="C13" t="s">
        <v>32</v>
      </c>
      <c r="D13" t="s">
        <v>33</v>
      </c>
      <c r="E13" t="s">
        <v>11</v>
      </c>
      <c r="F13">
        <v>47.020274451261379</v>
      </c>
      <c r="G13">
        <v>6.8144419149627735</v>
      </c>
      <c r="H13">
        <v>5</v>
      </c>
      <c r="I13">
        <v>9</v>
      </c>
      <c r="J13">
        <v>11</v>
      </c>
      <c r="K13">
        <v>2012</v>
      </c>
      <c r="L13">
        <v>1</v>
      </c>
      <c r="M13">
        <v>372</v>
      </c>
      <c r="N13" t="s">
        <v>298</v>
      </c>
      <c r="O13">
        <f t="shared" si="2"/>
        <v>5</v>
      </c>
      <c r="P13" s="15">
        <f t="shared" si="1"/>
        <v>-63.107235794499992</v>
      </c>
    </row>
    <row r="14" spans="1:16" hidden="1" x14ac:dyDescent="0.3">
      <c r="A14" s="8">
        <v>-89.973585600000007</v>
      </c>
      <c r="B14" s="12">
        <f t="shared" si="0"/>
        <v>-67.383140302399994</v>
      </c>
      <c r="C14" t="s">
        <v>30</v>
      </c>
      <c r="D14" t="s">
        <v>31</v>
      </c>
      <c r="E14" t="s">
        <v>11</v>
      </c>
      <c r="F14">
        <v>47.023329977943519</v>
      </c>
      <c r="G14">
        <v>6.8155639453851391</v>
      </c>
      <c r="H14">
        <v>5</v>
      </c>
      <c r="I14">
        <v>9</v>
      </c>
      <c r="J14">
        <v>11</v>
      </c>
      <c r="K14">
        <v>2012</v>
      </c>
      <c r="L14">
        <v>1</v>
      </c>
      <c r="M14">
        <v>381</v>
      </c>
      <c r="N14" t="s">
        <v>298</v>
      </c>
      <c r="O14">
        <f t="shared" si="2"/>
        <v>7</v>
      </c>
      <c r="P14" s="15">
        <f t="shared" si="1"/>
        <v>-89.866425377999988</v>
      </c>
    </row>
    <row r="15" spans="1:16" hidden="1" x14ac:dyDescent="0.3">
      <c r="A15" s="8">
        <v>-60.190994399999994</v>
      </c>
      <c r="B15" s="12">
        <f t="shared" si="0"/>
        <v>-38.225983517599992</v>
      </c>
      <c r="C15" t="s">
        <v>12</v>
      </c>
      <c r="D15" t="s">
        <v>13</v>
      </c>
      <c r="E15" t="s">
        <v>11</v>
      </c>
      <c r="F15">
        <v>47.027778236980687</v>
      </c>
      <c r="G15">
        <v>6.8180644200502121</v>
      </c>
      <c r="H15">
        <v>5</v>
      </c>
      <c r="I15">
        <v>22</v>
      </c>
      <c r="J15">
        <v>10</v>
      </c>
      <c r="K15">
        <v>2012</v>
      </c>
      <c r="L15">
        <v>1</v>
      </c>
      <c r="M15">
        <v>267</v>
      </c>
      <c r="N15" t="s">
        <v>298</v>
      </c>
      <c r="O15">
        <f t="shared" si="2"/>
        <v>4</v>
      </c>
      <c r="P15" s="15">
        <f t="shared" si="1"/>
        <v>-53.419979396999992</v>
      </c>
    </row>
    <row r="16" spans="1:16" hidden="1" x14ac:dyDescent="0.3">
      <c r="A16" s="8">
        <v>-84.060466399999996</v>
      </c>
      <c r="B16" s="12">
        <f t="shared" si="0"/>
        <v>-61.594196605599997</v>
      </c>
      <c r="C16" t="s">
        <v>16</v>
      </c>
      <c r="D16" t="s">
        <v>17</v>
      </c>
      <c r="E16" t="s">
        <v>11</v>
      </c>
      <c r="F16">
        <v>47.092499165535365</v>
      </c>
      <c r="G16">
        <v>6.9236188688339064</v>
      </c>
      <c r="H16">
        <v>5</v>
      </c>
      <c r="I16">
        <v>23</v>
      </c>
      <c r="J16">
        <v>10</v>
      </c>
      <c r="K16">
        <v>2012</v>
      </c>
      <c r="L16">
        <v>1</v>
      </c>
      <c r="M16">
        <v>315</v>
      </c>
      <c r="N16" t="s">
        <v>298</v>
      </c>
      <c r="O16">
        <f t="shared" si="2"/>
        <v>6</v>
      </c>
      <c r="P16" s="15">
        <f t="shared" si="1"/>
        <v>-82.630245756999997</v>
      </c>
    </row>
    <row r="17" spans="1:16" hidden="1" x14ac:dyDescent="0.3">
      <c r="A17" s="8">
        <v>-57.410029600000001</v>
      </c>
      <c r="B17" s="12">
        <f t="shared" si="0"/>
        <v>-35.503418978399999</v>
      </c>
      <c r="C17" t="s">
        <v>14</v>
      </c>
      <c r="D17" t="s">
        <v>15</v>
      </c>
      <c r="E17" t="s">
        <v>11</v>
      </c>
      <c r="F17">
        <v>47.094995714298562</v>
      </c>
      <c r="G17">
        <v>6.9127809723903511</v>
      </c>
      <c r="H17">
        <v>5</v>
      </c>
      <c r="I17">
        <v>23</v>
      </c>
      <c r="J17">
        <v>10</v>
      </c>
      <c r="K17">
        <v>2012</v>
      </c>
      <c r="L17">
        <v>1</v>
      </c>
      <c r="M17">
        <v>297</v>
      </c>
      <c r="N17" t="s">
        <v>298</v>
      </c>
      <c r="O17">
        <f t="shared" si="2"/>
        <v>4</v>
      </c>
      <c r="P17" s="15">
        <f t="shared" si="1"/>
        <v>-50.016773723</v>
      </c>
    </row>
    <row r="18" spans="1:16" hidden="1" x14ac:dyDescent="0.3">
      <c r="A18" s="8">
        <v>-74.282834000000008</v>
      </c>
      <c r="B18" s="12">
        <f t="shared" si="0"/>
        <v>-52.021894486000001</v>
      </c>
      <c r="C18" t="s">
        <v>40</v>
      </c>
      <c r="D18" t="s">
        <v>41</v>
      </c>
      <c r="E18" t="s">
        <v>11</v>
      </c>
      <c r="F18">
        <v>47.103265724745683</v>
      </c>
      <c r="G18">
        <v>6.7822665027488194</v>
      </c>
      <c r="H18">
        <v>4</v>
      </c>
      <c r="I18">
        <v>14</v>
      </c>
      <c r="J18">
        <v>11</v>
      </c>
      <c r="K18">
        <v>2012</v>
      </c>
      <c r="L18">
        <v>1</v>
      </c>
      <c r="M18">
        <v>380</v>
      </c>
      <c r="N18" t="s">
        <v>298</v>
      </c>
      <c r="O18">
        <f t="shared" si="2"/>
        <v>5</v>
      </c>
      <c r="P18" s="15">
        <f t="shared" si="1"/>
        <v>-70.664868107499998</v>
      </c>
    </row>
    <row r="19" spans="1:16" hidden="1" x14ac:dyDescent="0.3">
      <c r="A19" s="8">
        <v>-70.6867096</v>
      </c>
      <c r="B19" s="12">
        <f t="shared" si="0"/>
        <v>-48.501288698399996</v>
      </c>
      <c r="C19" t="s">
        <v>42</v>
      </c>
      <c r="D19" t="s">
        <v>43</v>
      </c>
      <c r="E19" t="s">
        <v>11</v>
      </c>
      <c r="F19">
        <v>46.99500848726543</v>
      </c>
      <c r="G19">
        <v>6.8098842824466459</v>
      </c>
      <c r="H19">
        <v>4</v>
      </c>
      <c r="I19">
        <v>16</v>
      </c>
      <c r="J19">
        <v>11</v>
      </c>
      <c r="K19">
        <v>2012</v>
      </c>
      <c r="L19">
        <v>1</v>
      </c>
      <c r="M19">
        <v>359</v>
      </c>
      <c r="N19" t="s">
        <v>298</v>
      </c>
      <c r="O19">
        <f t="shared" si="2"/>
        <v>5</v>
      </c>
      <c r="P19" s="15">
        <f t="shared" si="1"/>
        <v>-66.264110872999993</v>
      </c>
    </row>
    <row r="20" spans="1:16" hidden="1" x14ac:dyDescent="0.3">
      <c r="A20" s="8">
        <v>-62.712136000000001</v>
      </c>
      <c r="B20" s="12">
        <f t="shared" si="0"/>
        <v>-40.694181143999998</v>
      </c>
      <c r="C20" t="s">
        <v>46</v>
      </c>
      <c r="D20" t="s">
        <v>47</v>
      </c>
      <c r="E20" t="s">
        <v>11</v>
      </c>
      <c r="F20">
        <v>47.098291279968613</v>
      </c>
      <c r="G20">
        <v>6.7806808448519966</v>
      </c>
      <c r="H20">
        <v>4</v>
      </c>
      <c r="I20">
        <v>19</v>
      </c>
      <c r="J20">
        <v>11</v>
      </c>
      <c r="K20">
        <v>2012</v>
      </c>
      <c r="L20">
        <v>1</v>
      </c>
      <c r="M20">
        <v>332</v>
      </c>
      <c r="N20" t="s">
        <v>298</v>
      </c>
      <c r="O20">
        <f t="shared" si="2"/>
        <v>4</v>
      </c>
      <c r="P20" s="15">
        <f t="shared" si="1"/>
        <v>-56.50522643</v>
      </c>
    </row>
    <row r="21" spans="1:16" hidden="1" x14ac:dyDescent="0.3">
      <c r="A21" s="8">
        <v>-80.250201999999987</v>
      </c>
      <c r="B21" s="12">
        <f t="shared" si="0"/>
        <v>-57.863947757999988</v>
      </c>
      <c r="C21" t="s">
        <v>48</v>
      </c>
      <c r="D21" t="s">
        <v>49</v>
      </c>
      <c r="E21" t="s">
        <v>11</v>
      </c>
      <c r="F21">
        <v>47.029372849170109</v>
      </c>
      <c r="G21">
        <v>6.844015197472924</v>
      </c>
      <c r="H21">
        <v>4</v>
      </c>
      <c r="I21">
        <v>20</v>
      </c>
      <c r="J21">
        <v>11</v>
      </c>
      <c r="K21">
        <v>2012</v>
      </c>
      <c r="L21">
        <v>1</v>
      </c>
      <c r="M21">
        <v>347</v>
      </c>
      <c r="N21" t="s">
        <v>298</v>
      </c>
      <c r="O21">
        <f t="shared" si="2"/>
        <v>6</v>
      </c>
      <c r="P21" s="15">
        <f t="shared" si="1"/>
        <v>-77.967434697499982</v>
      </c>
    </row>
    <row r="22" spans="1:16" hidden="1" x14ac:dyDescent="0.3">
      <c r="A22" s="8">
        <v>-72.815261199999995</v>
      </c>
      <c r="B22" s="12">
        <f t="shared" si="0"/>
        <v>-50.585140714799998</v>
      </c>
      <c r="C22" t="s">
        <v>50</v>
      </c>
      <c r="D22" t="s">
        <v>51</v>
      </c>
      <c r="E22" t="s">
        <v>11</v>
      </c>
      <c r="F22">
        <v>47.023671732485411</v>
      </c>
      <c r="G22">
        <v>6.8289510004654046</v>
      </c>
      <c r="H22">
        <v>4</v>
      </c>
      <c r="I22">
        <v>20</v>
      </c>
      <c r="J22">
        <v>11</v>
      </c>
      <c r="K22">
        <v>2012</v>
      </c>
      <c r="L22">
        <v>1</v>
      </c>
      <c r="M22">
        <v>342</v>
      </c>
      <c r="N22" t="s">
        <v>298</v>
      </c>
      <c r="O22">
        <f t="shared" si="2"/>
        <v>5</v>
      </c>
      <c r="P22" s="15">
        <f t="shared" si="1"/>
        <v>-68.868925893499991</v>
      </c>
    </row>
    <row r="23" spans="1:16" x14ac:dyDescent="0.3">
      <c r="A23" s="8">
        <v>-105.064314</v>
      </c>
      <c r="B23" s="12">
        <f t="shared" si="0"/>
        <v>-82.156963405999988</v>
      </c>
      <c r="C23" t="s">
        <v>61</v>
      </c>
      <c r="D23" t="s">
        <v>62</v>
      </c>
      <c r="E23" t="s">
        <v>56</v>
      </c>
      <c r="F23">
        <v>46.07003588934095</v>
      </c>
      <c r="G23">
        <v>9.0264764434494591</v>
      </c>
      <c r="H23">
        <v>5</v>
      </c>
      <c r="I23">
        <v>26</v>
      </c>
      <c r="J23">
        <v>10</v>
      </c>
      <c r="K23">
        <v>2013</v>
      </c>
      <c r="L23">
        <v>1</v>
      </c>
      <c r="M23">
        <v>290</v>
      </c>
      <c r="N23" t="s">
        <v>298</v>
      </c>
      <c r="O23">
        <f t="shared" si="2"/>
        <v>8</v>
      </c>
      <c r="P23" s="15">
        <f t="shared" si="1"/>
        <v>-108.33370425749999</v>
      </c>
    </row>
    <row r="24" spans="1:16" x14ac:dyDescent="0.3">
      <c r="A24" s="8">
        <v>-106.67341200000001</v>
      </c>
      <c r="B24" s="12">
        <f>0.979*A24+20.701</f>
        <v>-83.732270348000014</v>
      </c>
      <c r="C24" t="s">
        <v>54</v>
      </c>
      <c r="D24" t="s">
        <v>55</v>
      </c>
      <c r="E24" t="s">
        <v>56</v>
      </c>
      <c r="F24">
        <v>46.065286559318203</v>
      </c>
      <c r="G24">
        <v>9.0754556988697441</v>
      </c>
      <c r="H24">
        <v>5</v>
      </c>
      <c r="I24">
        <v>19</v>
      </c>
      <c r="J24">
        <v>10</v>
      </c>
      <c r="K24">
        <v>2013</v>
      </c>
      <c r="L24">
        <v>1</v>
      </c>
      <c r="M24">
        <v>270</v>
      </c>
      <c r="N24" t="s">
        <v>298</v>
      </c>
      <c r="O24">
        <f t="shared" si="2"/>
        <v>8</v>
      </c>
      <c r="P24" s="15">
        <f t="shared" si="1"/>
        <v>-110.30283793500003</v>
      </c>
    </row>
    <row r="25" spans="1:16" hidden="1" x14ac:dyDescent="0.3">
      <c r="A25" s="8">
        <v>-119.03100839999999</v>
      </c>
      <c r="B25" s="12">
        <f t="shared" si="0"/>
        <v>-95.830357223599975</v>
      </c>
      <c r="C25" t="s">
        <v>63</v>
      </c>
      <c r="D25" t="s">
        <v>64</v>
      </c>
      <c r="E25" t="s">
        <v>56</v>
      </c>
      <c r="F25">
        <v>46.073660611330013</v>
      </c>
      <c r="G25">
        <v>9.0246427064260821</v>
      </c>
      <c r="H25">
        <v>5</v>
      </c>
      <c r="I25">
        <v>31</v>
      </c>
      <c r="J25">
        <v>10</v>
      </c>
      <c r="K25">
        <v>2013</v>
      </c>
      <c r="L25">
        <v>1</v>
      </c>
      <c r="M25">
        <v>300</v>
      </c>
      <c r="N25" t="s">
        <v>298</v>
      </c>
      <c r="O25">
        <f t="shared" si="2"/>
        <v>10</v>
      </c>
      <c r="P25" s="15">
        <f t="shared" si="1"/>
        <v>-125.42544652949998</v>
      </c>
    </row>
    <row r="26" spans="1:16" hidden="1" x14ac:dyDescent="0.3">
      <c r="A26" s="8">
        <v>-61.248506399999997</v>
      </c>
      <c r="B26" s="12">
        <f t="shared" si="0"/>
        <v>-39.261287765599995</v>
      </c>
      <c r="C26" t="s">
        <v>57</v>
      </c>
      <c r="D26" t="s">
        <v>58</v>
      </c>
      <c r="E26" t="s">
        <v>11</v>
      </c>
      <c r="F26">
        <v>47.051022932072151</v>
      </c>
      <c r="G26">
        <v>6.8471838890320216</v>
      </c>
      <c r="H26" t="s">
        <v>301</v>
      </c>
      <c r="I26">
        <v>24</v>
      </c>
      <c r="J26">
        <v>10</v>
      </c>
      <c r="K26">
        <v>2013</v>
      </c>
      <c r="L26">
        <v>1</v>
      </c>
      <c r="M26">
        <v>348</v>
      </c>
      <c r="N26" t="s">
        <v>298</v>
      </c>
      <c r="O26">
        <f t="shared" si="2"/>
        <v>4</v>
      </c>
      <c r="P26" s="15">
        <f t="shared" si="1"/>
        <v>-54.714109706999999</v>
      </c>
    </row>
    <row r="27" spans="1:16" hidden="1" x14ac:dyDescent="0.3">
      <c r="A27" s="8">
        <v>-61.611761999999999</v>
      </c>
      <c r="B27" s="12">
        <f t="shared" si="0"/>
        <v>-39.616914997999999</v>
      </c>
      <c r="C27" t="s">
        <v>65</v>
      </c>
      <c r="D27" t="s">
        <v>66</v>
      </c>
      <c r="E27" t="s">
        <v>11</v>
      </c>
      <c r="F27">
        <v>47.078823430293397</v>
      </c>
      <c r="G27">
        <v>6.8787299399790864</v>
      </c>
      <c r="H27" t="s">
        <v>301</v>
      </c>
      <c r="I27">
        <v>2</v>
      </c>
      <c r="J27">
        <v>11</v>
      </c>
      <c r="K27">
        <v>2013</v>
      </c>
      <c r="L27">
        <v>1</v>
      </c>
      <c r="M27">
        <v>358</v>
      </c>
      <c r="N27" t="s">
        <v>298</v>
      </c>
      <c r="O27">
        <f t="shared" si="2"/>
        <v>4</v>
      </c>
      <c r="P27" s="15">
        <f t="shared" si="1"/>
        <v>-55.158643747500001</v>
      </c>
    </row>
    <row r="28" spans="1:16" x14ac:dyDescent="0.3">
      <c r="A28" s="8">
        <v>-106.47313799999998</v>
      </c>
      <c r="B28" s="12">
        <f t="shared" si="0"/>
        <v>-83.536202101999976</v>
      </c>
      <c r="C28" t="s">
        <v>95</v>
      </c>
      <c r="D28" t="s">
        <v>96</v>
      </c>
      <c r="E28" t="s">
        <v>11</v>
      </c>
      <c r="F28">
        <v>47.03400290471675</v>
      </c>
      <c r="G28">
        <v>6.8349120420150458</v>
      </c>
      <c r="H28">
        <v>5</v>
      </c>
      <c r="I28">
        <v>9</v>
      </c>
      <c r="J28">
        <v>11</v>
      </c>
      <c r="K28">
        <v>2013</v>
      </c>
      <c r="L28">
        <v>1</v>
      </c>
      <c r="M28">
        <v>316</v>
      </c>
      <c r="N28" t="s">
        <v>298</v>
      </c>
      <c r="O28">
        <f t="shared" si="2"/>
        <v>8</v>
      </c>
      <c r="P28" s="15">
        <f t="shared" si="1"/>
        <v>-110.05775262749997</v>
      </c>
    </row>
    <row r="29" spans="1:16" hidden="1" x14ac:dyDescent="0.3">
      <c r="A29" s="8">
        <v>-114.86392799999999</v>
      </c>
      <c r="B29" s="12">
        <f t="shared" si="0"/>
        <v>-91.750785511999993</v>
      </c>
      <c r="C29" t="s">
        <v>105</v>
      </c>
      <c r="D29" t="s">
        <v>106</v>
      </c>
      <c r="E29" t="s">
        <v>56</v>
      </c>
      <c r="F29">
        <v>46.190191073665282</v>
      </c>
      <c r="G29">
        <v>8.7048142815936504</v>
      </c>
      <c r="H29">
        <v>5</v>
      </c>
      <c r="I29">
        <v>10</v>
      </c>
      <c r="J29">
        <v>11</v>
      </c>
      <c r="K29">
        <v>2013</v>
      </c>
      <c r="L29">
        <v>1</v>
      </c>
      <c r="M29">
        <v>289</v>
      </c>
      <c r="N29" t="s">
        <v>298</v>
      </c>
      <c r="O29">
        <f t="shared" si="2"/>
        <v>9</v>
      </c>
      <c r="P29" s="15">
        <f t="shared" si="1"/>
        <v>-120.32598188999999</v>
      </c>
    </row>
    <row r="30" spans="1:16" x14ac:dyDescent="0.3">
      <c r="A30" s="8">
        <v>-101.11684439999999</v>
      </c>
      <c r="B30" s="12">
        <f t="shared" si="0"/>
        <v>-78.292390667599989</v>
      </c>
      <c r="C30" t="s">
        <v>107</v>
      </c>
      <c r="D30" t="s">
        <v>108</v>
      </c>
      <c r="E30" t="s">
        <v>56</v>
      </c>
      <c r="F30">
        <v>46.199847906315469</v>
      </c>
      <c r="G30">
        <v>8.7220636448307509</v>
      </c>
      <c r="H30">
        <v>6</v>
      </c>
      <c r="I30">
        <v>10</v>
      </c>
      <c r="J30">
        <v>11</v>
      </c>
      <c r="K30">
        <v>2013</v>
      </c>
      <c r="L30">
        <v>1</v>
      </c>
      <c r="M30">
        <v>345</v>
      </c>
      <c r="N30" t="s">
        <v>298</v>
      </c>
      <c r="O30">
        <f t="shared" si="2"/>
        <v>8</v>
      </c>
      <c r="P30" s="15">
        <f t="shared" si="1"/>
        <v>-103.50298833449999</v>
      </c>
    </row>
    <row r="31" spans="1:16" x14ac:dyDescent="0.3">
      <c r="A31" s="8">
        <v>-98.699744399999986</v>
      </c>
      <c r="B31" s="12">
        <f t="shared" si="0"/>
        <v>-75.926049767599977</v>
      </c>
      <c r="C31" t="s">
        <v>111</v>
      </c>
      <c r="D31" t="s">
        <v>112</v>
      </c>
      <c r="E31" t="s">
        <v>56</v>
      </c>
      <c r="F31">
        <v>46.208047684176364</v>
      </c>
      <c r="G31">
        <v>8.6904436298979846</v>
      </c>
      <c r="H31">
        <v>5</v>
      </c>
      <c r="I31">
        <v>12</v>
      </c>
      <c r="J31">
        <v>11</v>
      </c>
      <c r="K31">
        <v>2013</v>
      </c>
      <c r="L31">
        <v>1</v>
      </c>
      <c r="M31">
        <v>298</v>
      </c>
      <c r="N31" t="s">
        <v>298</v>
      </c>
      <c r="O31">
        <f t="shared" si="2"/>
        <v>8</v>
      </c>
      <c r="P31" s="15">
        <f t="shared" si="1"/>
        <v>-100.54506220949997</v>
      </c>
    </row>
    <row r="32" spans="1:16" hidden="1" x14ac:dyDescent="0.3">
      <c r="A32" s="8">
        <v>-111.76311469999999</v>
      </c>
      <c r="B32" s="12">
        <f t="shared" si="0"/>
        <v>-88.715089291299989</v>
      </c>
      <c r="C32" t="s">
        <v>113</v>
      </c>
      <c r="D32" t="s">
        <v>114</v>
      </c>
      <c r="E32" t="s">
        <v>56</v>
      </c>
      <c r="F32">
        <v>46.207749055215494</v>
      </c>
      <c r="G32">
        <v>8.6954646361755596</v>
      </c>
      <c r="H32">
        <v>4</v>
      </c>
      <c r="I32">
        <v>12</v>
      </c>
      <c r="J32">
        <v>11</v>
      </c>
      <c r="K32">
        <v>2013</v>
      </c>
      <c r="L32">
        <v>1</v>
      </c>
      <c r="M32">
        <v>357</v>
      </c>
      <c r="N32" t="s">
        <v>298</v>
      </c>
      <c r="O32">
        <f t="shared" si="2"/>
        <v>9</v>
      </c>
      <c r="P32" s="15">
        <f t="shared" si="1"/>
        <v>-116.53136161412499</v>
      </c>
    </row>
    <row r="33" spans="1:16" hidden="1" x14ac:dyDescent="0.3">
      <c r="A33" s="8">
        <v>-95.987067599999989</v>
      </c>
      <c r="B33" s="12">
        <f t="shared" si="0"/>
        <v>-73.270339180399986</v>
      </c>
      <c r="C33" t="s">
        <v>115</v>
      </c>
      <c r="D33" t="s">
        <v>116</v>
      </c>
      <c r="E33" t="s">
        <v>56</v>
      </c>
      <c r="F33">
        <v>46.210657606333726</v>
      </c>
      <c r="G33">
        <v>8.7016873238760191</v>
      </c>
      <c r="H33">
        <v>5</v>
      </c>
      <c r="I33">
        <v>12</v>
      </c>
      <c r="J33">
        <v>11</v>
      </c>
      <c r="K33">
        <v>2013</v>
      </c>
      <c r="L33">
        <v>1</v>
      </c>
      <c r="M33">
        <v>287</v>
      </c>
      <c r="N33" t="s">
        <v>298</v>
      </c>
      <c r="O33">
        <f t="shared" si="2"/>
        <v>7</v>
      </c>
      <c r="P33" s="15">
        <f t="shared" si="1"/>
        <v>-97.225423975499993</v>
      </c>
    </row>
    <row r="34" spans="1:16" hidden="1" x14ac:dyDescent="0.3">
      <c r="A34" s="8">
        <v>-114.86807160000001</v>
      </c>
      <c r="B34" s="12">
        <f t="shared" ref="B34:B65" si="3">0.979*A34+20.701</f>
        <v>-91.754842096400012</v>
      </c>
      <c r="C34" t="s">
        <v>125</v>
      </c>
      <c r="D34" t="s">
        <v>126</v>
      </c>
      <c r="E34" t="s">
        <v>56</v>
      </c>
      <c r="F34">
        <v>46.189087431695633</v>
      </c>
      <c r="G34">
        <v>8.7417465727347494</v>
      </c>
      <c r="H34">
        <v>5</v>
      </c>
      <c r="I34">
        <v>23</v>
      </c>
      <c r="J34">
        <v>11</v>
      </c>
      <c r="K34">
        <v>2013</v>
      </c>
      <c r="L34">
        <v>1</v>
      </c>
      <c r="M34">
        <v>219</v>
      </c>
      <c r="N34" t="s">
        <v>298</v>
      </c>
      <c r="O34">
        <f t="shared" si="2"/>
        <v>9</v>
      </c>
      <c r="P34" s="15">
        <f t="shared" ref="P34:P65" si="4">-5.6375 + (1.25*B34)</f>
        <v>-120.33105262050002</v>
      </c>
    </row>
    <row r="35" spans="1:16" x14ac:dyDescent="0.3">
      <c r="A35" s="8">
        <v>-102.9911328</v>
      </c>
      <c r="B35" s="12">
        <f t="shared" si="3"/>
        <v>-80.127319011200001</v>
      </c>
      <c r="C35" t="s">
        <v>127</v>
      </c>
      <c r="D35" t="s">
        <v>128</v>
      </c>
      <c r="E35" t="s">
        <v>56</v>
      </c>
      <c r="F35">
        <v>46.184590334819013</v>
      </c>
      <c r="G35">
        <v>8.7586852787578913</v>
      </c>
      <c r="H35">
        <v>5</v>
      </c>
      <c r="I35">
        <v>23</v>
      </c>
      <c r="J35">
        <v>11</v>
      </c>
      <c r="K35">
        <v>2013</v>
      </c>
      <c r="L35">
        <v>1</v>
      </c>
      <c r="M35">
        <v>294</v>
      </c>
      <c r="N35" t="s">
        <v>298</v>
      </c>
      <c r="O35">
        <f t="shared" si="2"/>
        <v>8</v>
      </c>
      <c r="P35" s="15">
        <f t="shared" si="4"/>
        <v>-105.79664876400001</v>
      </c>
    </row>
    <row r="36" spans="1:16" x14ac:dyDescent="0.3">
      <c r="A36" s="8">
        <v>-106.5035244</v>
      </c>
      <c r="B36" s="12">
        <f t="shared" si="3"/>
        <v>-83.565950387599997</v>
      </c>
      <c r="C36" t="s">
        <v>129</v>
      </c>
      <c r="D36" t="s">
        <v>130</v>
      </c>
      <c r="E36" t="s">
        <v>56</v>
      </c>
      <c r="F36">
        <v>46.26353310352593</v>
      </c>
      <c r="G36">
        <v>8.6762965181276588</v>
      </c>
      <c r="H36">
        <v>5</v>
      </c>
      <c r="I36">
        <v>26</v>
      </c>
      <c r="J36">
        <v>11</v>
      </c>
      <c r="K36">
        <v>2013</v>
      </c>
      <c r="L36">
        <v>1</v>
      </c>
      <c r="M36">
        <v>300</v>
      </c>
      <c r="N36" t="s">
        <v>298</v>
      </c>
      <c r="O36">
        <f t="shared" ref="O36:O67" si="5">ROUND(B36/10,0)*-1</f>
        <v>8</v>
      </c>
      <c r="P36" s="15">
        <f t="shared" si="4"/>
        <v>-110.09493798449999</v>
      </c>
    </row>
    <row r="37" spans="1:16" hidden="1" x14ac:dyDescent="0.3">
      <c r="A37" s="8">
        <v>-93.723280799999998</v>
      </c>
      <c r="B37" s="12">
        <f t="shared" si="3"/>
        <v>-71.054091903200003</v>
      </c>
      <c r="C37" t="s">
        <v>133</v>
      </c>
      <c r="D37" t="s">
        <v>134</v>
      </c>
      <c r="E37" t="s">
        <v>56</v>
      </c>
      <c r="F37">
        <v>46.204379713426896</v>
      </c>
      <c r="G37">
        <v>8.7286103750619883</v>
      </c>
      <c r="H37">
        <v>5</v>
      </c>
      <c r="I37">
        <v>30</v>
      </c>
      <c r="J37">
        <v>11</v>
      </c>
      <c r="K37">
        <v>2013</v>
      </c>
      <c r="L37">
        <v>1</v>
      </c>
      <c r="M37">
        <v>303</v>
      </c>
      <c r="N37" t="s">
        <v>298</v>
      </c>
      <c r="O37">
        <f t="shared" si="5"/>
        <v>7</v>
      </c>
      <c r="P37" s="15">
        <f t="shared" si="4"/>
        <v>-94.455114879000007</v>
      </c>
    </row>
    <row r="38" spans="1:16" hidden="1" x14ac:dyDescent="0.3">
      <c r="A38" s="8">
        <v>-109.41371279999998</v>
      </c>
      <c r="B38" s="12">
        <f t="shared" si="3"/>
        <v>-86.415024831199986</v>
      </c>
      <c r="C38" t="s">
        <v>67</v>
      </c>
      <c r="D38" t="s">
        <v>68</v>
      </c>
      <c r="E38" t="s">
        <v>56</v>
      </c>
      <c r="F38">
        <v>46.089072319673193</v>
      </c>
      <c r="G38">
        <v>9.0794016768992574</v>
      </c>
      <c r="H38">
        <v>6</v>
      </c>
      <c r="I38">
        <v>3</v>
      </c>
      <c r="J38">
        <v>11</v>
      </c>
      <c r="K38">
        <v>2013</v>
      </c>
      <c r="L38">
        <v>1</v>
      </c>
      <c r="M38">
        <v>320</v>
      </c>
      <c r="N38" t="s">
        <v>298</v>
      </c>
      <c r="O38">
        <f t="shared" si="5"/>
        <v>9</v>
      </c>
      <c r="P38" s="15">
        <f t="shared" si="4"/>
        <v>-113.65628103899998</v>
      </c>
    </row>
    <row r="39" spans="1:16" x14ac:dyDescent="0.3">
      <c r="A39" s="8">
        <v>-100.60718159999999</v>
      </c>
      <c r="B39" s="12">
        <f t="shared" si="3"/>
        <v>-77.793430786399995</v>
      </c>
      <c r="C39" t="s">
        <v>69</v>
      </c>
      <c r="D39" t="s">
        <v>70</v>
      </c>
      <c r="E39" t="s">
        <v>56</v>
      </c>
      <c r="F39">
        <v>46.083572582108367</v>
      </c>
      <c r="G39">
        <v>9.0863479252527437</v>
      </c>
      <c r="H39">
        <v>5</v>
      </c>
      <c r="I39">
        <v>3</v>
      </c>
      <c r="J39">
        <v>11</v>
      </c>
      <c r="K39">
        <v>2013</v>
      </c>
      <c r="L39">
        <v>1</v>
      </c>
      <c r="M39" t="s">
        <v>301</v>
      </c>
      <c r="N39" t="s">
        <v>298</v>
      </c>
      <c r="O39">
        <f t="shared" si="5"/>
        <v>8</v>
      </c>
      <c r="P39" s="15">
        <f t="shared" si="4"/>
        <v>-102.879288483</v>
      </c>
    </row>
    <row r="40" spans="1:16" hidden="1" x14ac:dyDescent="0.3">
      <c r="A40" s="8">
        <v>-93.558918000000006</v>
      </c>
      <c r="B40" s="12">
        <f t="shared" si="3"/>
        <v>-70.893180722000011</v>
      </c>
      <c r="C40" t="s">
        <v>77</v>
      </c>
      <c r="D40" t="s">
        <v>78</v>
      </c>
      <c r="E40" t="s">
        <v>56</v>
      </c>
      <c r="F40">
        <v>46.078710195514446</v>
      </c>
      <c r="G40">
        <v>8.8476696655722193</v>
      </c>
      <c r="H40">
        <v>4</v>
      </c>
      <c r="I40">
        <v>5</v>
      </c>
      <c r="J40">
        <v>11</v>
      </c>
      <c r="K40">
        <v>2013</v>
      </c>
      <c r="L40">
        <v>1</v>
      </c>
      <c r="M40">
        <v>266</v>
      </c>
      <c r="N40" t="s">
        <v>298</v>
      </c>
      <c r="O40">
        <f t="shared" si="5"/>
        <v>7</v>
      </c>
      <c r="P40" s="15">
        <f t="shared" si="4"/>
        <v>-94.253975902500017</v>
      </c>
    </row>
    <row r="41" spans="1:16" x14ac:dyDescent="0.3">
      <c r="A41" s="8">
        <v>-99.862714799999992</v>
      </c>
      <c r="B41" s="12">
        <f t="shared" si="3"/>
        <v>-77.064597789199979</v>
      </c>
      <c r="C41" t="s">
        <v>79</v>
      </c>
      <c r="D41" t="s">
        <v>80</v>
      </c>
      <c r="E41" t="s">
        <v>56</v>
      </c>
      <c r="F41">
        <v>46.082340066583669</v>
      </c>
      <c r="G41">
        <v>8.845177515551006</v>
      </c>
      <c r="H41">
        <v>4</v>
      </c>
      <c r="I41">
        <v>5</v>
      </c>
      <c r="J41">
        <v>11</v>
      </c>
      <c r="K41">
        <v>2013</v>
      </c>
      <c r="L41">
        <v>1</v>
      </c>
      <c r="M41">
        <v>302</v>
      </c>
      <c r="N41" t="s">
        <v>298</v>
      </c>
      <c r="O41">
        <f t="shared" si="5"/>
        <v>8</v>
      </c>
      <c r="P41" s="15">
        <f t="shared" si="4"/>
        <v>-101.96824723649998</v>
      </c>
    </row>
    <row r="42" spans="1:16" hidden="1" x14ac:dyDescent="0.3">
      <c r="A42" s="8">
        <v>-85.983035999999998</v>
      </c>
      <c r="B42" s="12">
        <f t="shared" si="3"/>
        <v>-63.476392244000003</v>
      </c>
      <c r="C42" t="s">
        <v>137</v>
      </c>
      <c r="D42" t="s">
        <v>138</v>
      </c>
      <c r="E42" t="s">
        <v>56</v>
      </c>
      <c r="F42">
        <v>46.083126256656847</v>
      </c>
      <c r="G42">
        <v>8.8542482362461818</v>
      </c>
      <c r="H42">
        <v>3</v>
      </c>
      <c r="I42" t="s">
        <v>301</v>
      </c>
      <c r="J42" t="s">
        <v>301</v>
      </c>
      <c r="K42">
        <v>2013</v>
      </c>
      <c r="L42">
        <v>1</v>
      </c>
      <c r="M42">
        <v>359</v>
      </c>
      <c r="N42" t="s">
        <v>298</v>
      </c>
      <c r="O42">
        <f t="shared" si="5"/>
        <v>6</v>
      </c>
      <c r="P42" s="15">
        <f t="shared" si="4"/>
        <v>-84.982990305000001</v>
      </c>
    </row>
    <row r="43" spans="1:16" hidden="1" x14ac:dyDescent="0.3">
      <c r="A43" s="8">
        <v>-116.3721984</v>
      </c>
      <c r="B43" s="12">
        <f t="shared" si="3"/>
        <v>-93.227382233599997</v>
      </c>
      <c r="C43" t="s">
        <v>87</v>
      </c>
      <c r="D43" t="s">
        <v>88</v>
      </c>
      <c r="E43" t="s">
        <v>56</v>
      </c>
      <c r="F43">
        <v>46.116677918601987</v>
      </c>
      <c r="G43">
        <v>8.8331253550394884</v>
      </c>
      <c r="H43">
        <v>4</v>
      </c>
      <c r="I43">
        <v>6</v>
      </c>
      <c r="J43">
        <v>11</v>
      </c>
      <c r="K43">
        <v>2013</v>
      </c>
      <c r="L43">
        <v>1</v>
      </c>
      <c r="M43">
        <v>401</v>
      </c>
      <c r="N43" t="s">
        <v>298</v>
      </c>
      <c r="O43">
        <f t="shared" si="5"/>
        <v>9</v>
      </c>
      <c r="P43" s="15">
        <f t="shared" si="4"/>
        <v>-122.171727792</v>
      </c>
    </row>
    <row r="44" spans="1:16" x14ac:dyDescent="0.3">
      <c r="A44" s="8">
        <v>-104.14029120000001</v>
      </c>
      <c r="B44" s="12">
        <f t="shared" si="3"/>
        <v>-81.252345084799998</v>
      </c>
      <c r="C44" t="s">
        <v>89</v>
      </c>
      <c r="D44" t="s">
        <v>90</v>
      </c>
      <c r="E44" t="s">
        <v>56</v>
      </c>
      <c r="F44">
        <v>46.118460740616882</v>
      </c>
      <c r="G44">
        <v>8.8344646706914265</v>
      </c>
      <c r="H44">
        <v>4</v>
      </c>
      <c r="I44">
        <v>6</v>
      </c>
      <c r="J44">
        <v>11</v>
      </c>
      <c r="K44">
        <v>2013</v>
      </c>
      <c r="L44">
        <v>1</v>
      </c>
      <c r="M44">
        <v>335</v>
      </c>
      <c r="N44" t="s">
        <v>298</v>
      </c>
      <c r="O44">
        <f t="shared" si="5"/>
        <v>8</v>
      </c>
      <c r="P44" s="15">
        <f t="shared" si="4"/>
        <v>-107.20293135600001</v>
      </c>
    </row>
    <row r="45" spans="1:16" hidden="1" x14ac:dyDescent="0.3">
      <c r="A45" s="8">
        <v>-112.4799768</v>
      </c>
      <c r="B45" s="12">
        <f t="shared" si="3"/>
        <v>-89.416897287199987</v>
      </c>
      <c r="C45" t="s">
        <v>103</v>
      </c>
      <c r="D45" t="s">
        <v>104</v>
      </c>
      <c r="E45" t="s">
        <v>56</v>
      </c>
      <c r="F45">
        <v>46.081408395242136</v>
      </c>
      <c r="G45">
        <v>8.8477392845970719</v>
      </c>
      <c r="H45">
        <v>4</v>
      </c>
      <c r="I45">
        <v>10</v>
      </c>
      <c r="J45">
        <v>11</v>
      </c>
      <c r="K45">
        <v>2013</v>
      </c>
      <c r="L45">
        <v>1</v>
      </c>
      <c r="M45">
        <v>327</v>
      </c>
      <c r="N45" t="s">
        <v>298</v>
      </c>
      <c r="O45">
        <f t="shared" si="5"/>
        <v>9</v>
      </c>
      <c r="P45" s="15">
        <f t="shared" si="4"/>
        <v>-117.40862160899998</v>
      </c>
    </row>
    <row r="46" spans="1:16" hidden="1" x14ac:dyDescent="0.3">
      <c r="A46" s="8">
        <v>-95.453924400000005</v>
      </c>
      <c r="B46" s="12">
        <f t="shared" si="3"/>
        <v>-72.748391987600002</v>
      </c>
      <c r="C46" t="s">
        <v>109</v>
      </c>
      <c r="D46" t="s">
        <v>110</v>
      </c>
      <c r="E46" t="s">
        <v>56</v>
      </c>
      <c r="F46">
        <v>46.085840671767741</v>
      </c>
      <c r="G46">
        <v>8.8530256172462316</v>
      </c>
      <c r="H46">
        <v>4</v>
      </c>
      <c r="I46">
        <v>12</v>
      </c>
      <c r="J46">
        <v>11</v>
      </c>
      <c r="K46">
        <v>2013</v>
      </c>
      <c r="L46">
        <v>1</v>
      </c>
      <c r="M46">
        <v>293</v>
      </c>
      <c r="N46" t="s">
        <v>298</v>
      </c>
      <c r="O46">
        <f t="shared" si="5"/>
        <v>7</v>
      </c>
      <c r="P46" s="15">
        <f t="shared" si="4"/>
        <v>-96.572989984500012</v>
      </c>
    </row>
    <row r="47" spans="1:16" hidden="1" x14ac:dyDescent="0.3">
      <c r="A47" s="8">
        <v>-122.55997439999999</v>
      </c>
      <c r="B47" s="12">
        <f t="shared" si="3"/>
        <v>-99.285214937599989</v>
      </c>
      <c r="C47" t="s">
        <v>121</v>
      </c>
      <c r="D47" t="s">
        <v>122</v>
      </c>
      <c r="E47" t="s">
        <v>56</v>
      </c>
      <c r="F47">
        <v>46.127438797939504</v>
      </c>
      <c r="G47">
        <v>8.8359883255270208</v>
      </c>
      <c r="H47">
        <v>4</v>
      </c>
      <c r="I47">
        <v>17</v>
      </c>
      <c r="J47">
        <v>11</v>
      </c>
      <c r="K47">
        <v>2013</v>
      </c>
      <c r="L47">
        <v>1</v>
      </c>
      <c r="M47">
        <v>286</v>
      </c>
      <c r="N47" t="s">
        <v>298</v>
      </c>
      <c r="O47">
        <f t="shared" si="5"/>
        <v>10</v>
      </c>
      <c r="P47" s="15">
        <f t="shared" si="4"/>
        <v>-129.74401867199998</v>
      </c>
    </row>
    <row r="48" spans="1:16" x14ac:dyDescent="0.3">
      <c r="A48" s="8">
        <v>-101.96766359999998</v>
      </c>
      <c r="B48" s="12">
        <f t="shared" si="3"/>
        <v>-79.125342664399966</v>
      </c>
      <c r="C48" t="s">
        <v>83</v>
      </c>
      <c r="D48" t="s">
        <v>84</v>
      </c>
      <c r="E48" t="s">
        <v>56</v>
      </c>
      <c r="F48">
        <v>46.10689363284326</v>
      </c>
      <c r="G48">
        <v>8.9635190305440684</v>
      </c>
      <c r="H48">
        <v>4</v>
      </c>
      <c r="I48">
        <v>6</v>
      </c>
      <c r="J48">
        <v>11</v>
      </c>
      <c r="K48">
        <v>2013</v>
      </c>
      <c r="L48">
        <v>1</v>
      </c>
      <c r="M48">
        <v>272</v>
      </c>
      <c r="N48" t="s">
        <v>298</v>
      </c>
      <c r="O48">
        <f t="shared" si="5"/>
        <v>8</v>
      </c>
      <c r="P48" s="15">
        <f t="shared" si="4"/>
        <v>-104.54417833049996</v>
      </c>
    </row>
    <row r="49" spans="1:16" hidden="1" x14ac:dyDescent="0.3">
      <c r="A49" s="8">
        <v>-96.772970399999991</v>
      </c>
      <c r="B49" s="12">
        <f t="shared" si="3"/>
        <v>-74.039738021599987</v>
      </c>
      <c r="C49" t="s">
        <v>85</v>
      </c>
      <c r="D49" t="s">
        <v>86</v>
      </c>
      <c r="E49" t="s">
        <v>56</v>
      </c>
      <c r="F49">
        <v>46.10689363284326</v>
      </c>
      <c r="G49">
        <v>8.9635190305440684</v>
      </c>
      <c r="H49">
        <v>4</v>
      </c>
      <c r="I49">
        <v>6</v>
      </c>
      <c r="J49">
        <v>11</v>
      </c>
      <c r="K49">
        <v>2013</v>
      </c>
      <c r="L49">
        <v>1</v>
      </c>
      <c r="M49">
        <v>280</v>
      </c>
      <c r="N49" t="s">
        <v>298</v>
      </c>
      <c r="O49">
        <f t="shared" si="5"/>
        <v>7</v>
      </c>
      <c r="P49" s="15">
        <f t="shared" si="4"/>
        <v>-98.187172526999987</v>
      </c>
    </row>
    <row r="50" spans="1:16" x14ac:dyDescent="0.3">
      <c r="A50" s="8">
        <v>-99.705258000000015</v>
      </c>
      <c r="B50" s="12">
        <f t="shared" si="3"/>
        <v>-76.910447582000018</v>
      </c>
      <c r="C50" t="s">
        <v>117</v>
      </c>
      <c r="D50" t="s">
        <v>118</v>
      </c>
      <c r="E50" t="s">
        <v>56</v>
      </c>
      <c r="F50">
        <v>46.100165772981939</v>
      </c>
      <c r="G50">
        <v>8.9620377210266842</v>
      </c>
      <c r="H50">
        <v>5</v>
      </c>
      <c r="I50">
        <v>13</v>
      </c>
      <c r="J50">
        <v>11</v>
      </c>
      <c r="K50">
        <v>2013</v>
      </c>
      <c r="L50">
        <v>1</v>
      </c>
      <c r="M50">
        <v>277</v>
      </c>
      <c r="N50" t="s">
        <v>298</v>
      </c>
      <c r="O50">
        <f t="shared" si="5"/>
        <v>8</v>
      </c>
      <c r="P50" s="15">
        <f t="shared" si="4"/>
        <v>-101.77555947750002</v>
      </c>
    </row>
    <row r="51" spans="1:16" x14ac:dyDescent="0.3">
      <c r="A51" s="8">
        <v>-102.9938952</v>
      </c>
      <c r="B51" s="12">
        <f t="shared" si="3"/>
        <v>-80.130023400799985</v>
      </c>
      <c r="C51" t="s">
        <v>123</v>
      </c>
      <c r="D51" t="s">
        <v>124</v>
      </c>
      <c r="E51" t="s">
        <v>56</v>
      </c>
      <c r="F51">
        <v>46.107061779319338</v>
      </c>
      <c r="G51">
        <v>8.9842201685825014</v>
      </c>
      <c r="H51">
        <v>5</v>
      </c>
      <c r="I51">
        <v>20</v>
      </c>
      <c r="J51">
        <v>11</v>
      </c>
      <c r="K51">
        <v>2013</v>
      </c>
      <c r="L51">
        <v>1</v>
      </c>
      <c r="M51">
        <v>290</v>
      </c>
      <c r="N51" t="s">
        <v>298</v>
      </c>
      <c r="O51">
        <f t="shared" si="5"/>
        <v>8</v>
      </c>
      <c r="P51" s="15">
        <f t="shared" si="4"/>
        <v>-105.80002925099998</v>
      </c>
    </row>
    <row r="52" spans="1:16" x14ac:dyDescent="0.3">
      <c r="A52" s="8">
        <v>-104.37233279999998</v>
      </c>
      <c r="B52" s="12">
        <f t="shared" si="3"/>
        <v>-81.479513811199979</v>
      </c>
      <c r="C52" t="s">
        <v>119</v>
      </c>
      <c r="D52" t="s">
        <v>120</v>
      </c>
      <c r="E52" t="s">
        <v>56</v>
      </c>
      <c r="F52">
        <v>45.991262051129645</v>
      </c>
      <c r="G52">
        <v>8.9977282649809922</v>
      </c>
      <c r="H52">
        <v>5</v>
      </c>
      <c r="I52">
        <v>14</v>
      </c>
      <c r="J52">
        <v>11</v>
      </c>
      <c r="K52">
        <v>2013</v>
      </c>
      <c r="L52">
        <v>1</v>
      </c>
      <c r="M52">
        <v>330</v>
      </c>
      <c r="N52" t="s">
        <v>298</v>
      </c>
      <c r="O52">
        <f t="shared" si="5"/>
        <v>8</v>
      </c>
      <c r="P52" s="15">
        <f t="shared" si="4"/>
        <v>-107.48689226399998</v>
      </c>
    </row>
    <row r="53" spans="1:16" hidden="1" x14ac:dyDescent="0.3">
      <c r="A53" s="8">
        <v>-97.63898279999998</v>
      </c>
      <c r="B53" s="12">
        <f t="shared" si="3"/>
        <v>-74.887564161199975</v>
      </c>
      <c r="C53" t="s">
        <v>59</v>
      </c>
      <c r="D53" t="s">
        <v>60</v>
      </c>
      <c r="E53" t="s">
        <v>11</v>
      </c>
      <c r="F53">
        <v>47.07748052137412</v>
      </c>
      <c r="G53">
        <v>6.885617330954088</v>
      </c>
      <c r="H53">
        <v>4</v>
      </c>
      <c r="I53">
        <v>24</v>
      </c>
      <c r="J53">
        <v>10</v>
      </c>
      <c r="K53">
        <v>2013</v>
      </c>
      <c r="L53">
        <v>1</v>
      </c>
      <c r="M53">
        <v>310</v>
      </c>
      <c r="N53" t="s">
        <v>298</v>
      </c>
      <c r="O53">
        <f t="shared" si="5"/>
        <v>7</v>
      </c>
      <c r="P53" s="15">
        <f t="shared" si="4"/>
        <v>-99.246955201499972</v>
      </c>
    </row>
    <row r="54" spans="1:16" hidden="1" x14ac:dyDescent="0.3">
      <c r="A54" s="8">
        <v>-127.2311928</v>
      </c>
      <c r="B54" s="12">
        <f t="shared" si="3"/>
        <v>-103.8583377512</v>
      </c>
      <c r="C54" t="s">
        <v>97</v>
      </c>
      <c r="D54" t="s">
        <v>98</v>
      </c>
      <c r="E54" t="s">
        <v>11</v>
      </c>
      <c r="F54">
        <v>47.014188523005394</v>
      </c>
      <c r="G54">
        <v>6.8218251561281509</v>
      </c>
      <c r="H54">
        <v>4</v>
      </c>
      <c r="I54">
        <v>9</v>
      </c>
      <c r="J54">
        <v>11</v>
      </c>
      <c r="K54">
        <v>2013</v>
      </c>
      <c r="L54">
        <v>1</v>
      </c>
      <c r="M54">
        <v>400</v>
      </c>
      <c r="N54" t="s">
        <v>298</v>
      </c>
      <c r="O54">
        <f t="shared" si="5"/>
        <v>10</v>
      </c>
      <c r="P54" s="15">
        <f t="shared" si="4"/>
        <v>-135.46042218899998</v>
      </c>
    </row>
    <row r="55" spans="1:16" x14ac:dyDescent="0.3">
      <c r="A55" s="8">
        <v>-100.0464144</v>
      </c>
      <c r="B55" s="12">
        <f t="shared" si="3"/>
        <v>-77.244439697600001</v>
      </c>
      <c r="C55" t="s">
        <v>99</v>
      </c>
      <c r="D55" t="s">
        <v>100</v>
      </c>
      <c r="E55" t="s">
        <v>56</v>
      </c>
      <c r="F55">
        <v>46.21236469940817</v>
      </c>
      <c r="G55">
        <v>8.5621285262921329</v>
      </c>
      <c r="H55">
        <v>5</v>
      </c>
      <c r="I55">
        <v>9</v>
      </c>
      <c r="J55">
        <v>11</v>
      </c>
      <c r="K55">
        <v>2013</v>
      </c>
      <c r="L55">
        <v>1</v>
      </c>
      <c r="M55">
        <v>301</v>
      </c>
      <c r="N55" t="s">
        <v>298</v>
      </c>
      <c r="O55">
        <f t="shared" si="5"/>
        <v>8</v>
      </c>
      <c r="P55" s="15">
        <f t="shared" si="4"/>
        <v>-102.193049622</v>
      </c>
    </row>
    <row r="56" spans="1:16" x14ac:dyDescent="0.3">
      <c r="A56" s="8">
        <v>-99.80470440000002</v>
      </c>
      <c r="B56" s="12">
        <f t="shared" si="3"/>
        <v>-77.007805607600005</v>
      </c>
      <c r="C56" t="s">
        <v>101</v>
      </c>
      <c r="D56" t="s">
        <v>102</v>
      </c>
      <c r="E56" t="s">
        <v>56</v>
      </c>
      <c r="F56">
        <v>46.215114480830515</v>
      </c>
      <c r="G56">
        <v>8.5570012914400948</v>
      </c>
      <c r="H56">
        <v>5</v>
      </c>
      <c r="I56">
        <v>9</v>
      </c>
      <c r="J56">
        <v>11</v>
      </c>
      <c r="K56">
        <v>2013</v>
      </c>
      <c r="L56">
        <v>1</v>
      </c>
      <c r="M56">
        <v>336</v>
      </c>
      <c r="N56" t="s">
        <v>298</v>
      </c>
      <c r="O56">
        <f t="shared" si="5"/>
        <v>8</v>
      </c>
      <c r="P56" s="15">
        <f t="shared" si="4"/>
        <v>-101.89725700950001</v>
      </c>
    </row>
    <row r="57" spans="1:16" hidden="1" x14ac:dyDescent="0.3">
      <c r="A57" s="8">
        <v>-63.519199200000003</v>
      </c>
      <c r="B57" s="12">
        <f t="shared" si="3"/>
        <v>-41.484296016800002</v>
      </c>
      <c r="C57" t="s">
        <v>135</v>
      </c>
      <c r="D57" t="s">
        <v>136</v>
      </c>
      <c r="E57" t="s">
        <v>56</v>
      </c>
      <c r="F57">
        <v>46.221252767970256</v>
      </c>
      <c r="G57">
        <v>8.7203386082872729</v>
      </c>
      <c r="H57">
        <v>6</v>
      </c>
      <c r="I57" t="s">
        <v>301</v>
      </c>
      <c r="J57" t="s">
        <v>301</v>
      </c>
      <c r="K57">
        <v>2013</v>
      </c>
      <c r="L57">
        <v>1</v>
      </c>
      <c r="M57">
        <v>317</v>
      </c>
      <c r="N57" t="s">
        <v>298</v>
      </c>
      <c r="O57">
        <f t="shared" si="5"/>
        <v>4</v>
      </c>
      <c r="P57" s="15">
        <f t="shared" si="4"/>
        <v>-57.492870021000002</v>
      </c>
    </row>
    <row r="58" spans="1:16" x14ac:dyDescent="0.3">
      <c r="A58" s="8">
        <v>-100.105806</v>
      </c>
      <c r="B58" s="12">
        <f t="shared" si="3"/>
        <v>-77.302584074000009</v>
      </c>
      <c r="C58" t="s">
        <v>131</v>
      </c>
      <c r="D58" t="s">
        <v>132</v>
      </c>
      <c r="E58" t="s">
        <v>56</v>
      </c>
      <c r="F58">
        <v>46.201152872008549</v>
      </c>
      <c r="G58">
        <v>8.7307107462457658</v>
      </c>
      <c r="H58">
        <v>6</v>
      </c>
      <c r="I58">
        <v>27</v>
      </c>
      <c r="J58">
        <v>11</v>
      </c>
      <c r="K58">
        <v>2013</v>
      </c>
      <c r="L58">
        <v>1</v>
      </c>
      <c r="M58">
        <v>296</v>
      </c>
      <c r="N58" t="s">
        <v>298</v>
      </c>
      <c r="O58">
        <f t="shared" si="5"/>
        <v>8</v>
      </c>
      <c r="P58" s="15">
        <f t="shared" si="4"/>
        <v>-102.26573009250002</v>
      </c>
    </row>
    <row r="59" spans="1:16" x14ac:dyDescent="0.3">
      <c r="A59" s="8">
        <v>-99.513271199999991</v>
      </c>
      <c r="B59" s="12">
        <f t="shared" si="3"/>
        <v>-76.722492504799988</v>
      </c>
      <c r="C59" t="s">
        <v>71</v>
      </c>
      <c r="D59" t="s">
        <v>72</v>
      </c>
      <c r="E59" t="s">
        <v>56</v>
      </c>
      <c r="F59">
        <v>46.191036448720695</v>
      </c>
      <c r="G59">
        <v>8.6355020223049621</v>
      </c>
      <c r="H59">
        <v>6</v>
      </c>
      <c r="I59">
        <v>5</v>
      </c>
      <c r="J59">
        <v>11</v>
      </c>
      <c r="K59">
        <v>2013</v>
      </c>
      <c r="L59">
        <v>1</v>
      </c>
      <c r="M59">
        <v>296</v>
      </c>
      <c r="N59" t="s">
        <v>298</v>
      </c>
      <c r="O59">
        <f t="shared" si="5"/>
        <v>8</v>
      </c>
      <c r="P59" s="15">
        <f t="shared" si="4"/>
        <v>-101.54061563099999</v>
      </c>
    </row>
    <row r="60" spans="1:16" hidden="1" x14ac:dyDescent="0.3">
      <c r="A60" s="8">
        <v>-112.439922</v>
      </c>
      <c r="B60" s="12">
        <f t="shared" si="3"/>
        <v>-89.377683637999979</v>
      </c>
      <c r="C60" t="s">
        <v>73</v>
      </c>
      <c r="D60" t="s">
        <v>74</v>
      </c>
      <c r="E60" t="s">
        <v>56</v>
      </c>
      <c r="F60">
        <v>46.191036448720695</v>
      </c>
      <c r="G60">
        <v>8.6355020223049621</v>
      </c>
      <c r="H60">
        <v>6</v>
      </c>
      <c r="I60">
        <v>5</v>
      </c>
      <c r="J60">
        <v>11</v>
      </c>
      <c r="K60">
        <v>2013</v>
      </c>
      <c r="L60">
        <v>1</v>
      </c>
      <c r="M60">
        <v>305</v>
      </c>
      <c r="N60" t="s">
        <v>298</v>
      </c>
      <c r="O60">
        <f t="shared" si="5"/>
        <v>9</v>
      </c>
      <c r="P60" s="15">
        <f t="shared" si="4"/>
        <v>-117.35960454749998</v>
      </c>
    </row>
    <row r="61" spans="1:16" hidden="1" x14ac:dyDescent="0.3">
      <c r="A61" s="8">
        <v>-70.539838799999998</v>
      </c>
      <c r="B61" s="12">
        <f t="shared" si="3"/>
        <v>-48.357502185199998</v>
      </c>
      <c r="C61" t="s">
        <v>81</v>
      </c>
      <c r="D61" t="s">
        <v>82</v>
      </c>
      <c r="E61" t="s">
        <v>56</v>
      </c>
      <c r="F61">
        <v>46.220340511130729</v>
      </c>
      <c r="G61">
        <v>8.6233401867747048</v>
      </c>
      <c r="H61">
        <v>6</v>
      </c>
      <c r="I61">
        <v>6</v>
      </c>
      <c r="J61">
        <v>11</v>
      </c>
      <c r="K61">
        <v>2013</v>
      </c>
      <c r="L61">
        <v>1</v>
      </c>
      <c r="M61">
        <v>316</v>
      </c>
      <c r="N61" t="s">
        <v>298</v>
      </c>
      <c r="O61">
        <f t="shared" si="5"/>
        <v>5</v>
      </c>
      <c r="P61" s="15">
        <f t="shared" si="4"/>
        <v>-66.084377731499998</v>
      </c>
    </row>
    <row r="62" spans="1:16" hidden="1" x14ac:dyDescent="0.3">
      <c r="A62" s="8">
        <v>-113.37361319999999</v>
      </c>
      <c r="B62" s="12">
        <f t="shared" si="3"/>
        <v>-90.291767322799984</v>
      </c>
      <c r="C62" t="s">
        <v>75</v>
      </c>
      <c r="D62" t="s">
        <v>76</v>
      </c>
      <c r="E62" t="s">
        <v>56</v>
      </c>
      <c r="F62">
        <v>46.406847530440359</v>
      </c>
      <c r="G62">
        <v>8.9858773531974023</v>
      </c>
      <c r="H62">
        <v>6</v>
      </c>
      <c r="I62">
        <v>5</v>
      </c>
      <c r="J62">
        <v>11</v>
      </c>
      <c r="K62">
        <v>2013</v>
      </c>
      <c r="L62">
        <v>1</v>
      </c>
      <c r="M62">
        <v>326</v>
      </c>
      <c r="N62" t="s">
        <v>298</v>
      </c>
      <c r="O62">
        <f t="shared" si="5"/>
        <v>9</v>
      </c>
      <c r="P62" s="15">
        <f t="shared" si="4"/>
        <v>-118.50220915349998</v>
      </c>
    </row>
    <row r="63" spans="1:16" hidden="1" x14ac:dyDescent="0.3">
      <c r="A63" s="8">
        <v>-121.6911996</v>
      </c>
      <c r="B63" s="12">
        <f t="shared" si="3"/>
        <v>-98.434684408399988</v>
      </c>
      <c r="C63" t="s">
        <v>91</v>
      </c>
      <c r="D63" t="s">
        <v>92</v>
      </c>
      <c r="E63" t="s">
        <v>56</v>
      </c>
      <c r="F63">
        <v>46.19860842346759</v>
      </c>
      <c r="G63">
        <v>8.6391923950353284</v>
      </c>
      <c r="H63">
        <v>6</v>
      </c>
      <c r="I63">
        <v>7</v>
      </c>
      <c r="J63">
        <v>11</v>
      </c>
      <c r="K63">
        <v>2013</v>
      </c>
      <c r="L63">
        <v>1</v>
      </c>
      <c r="M63">
        <v>303</v>
      </c>
      <c r="N63" t="s">
        <v>298</v>
      </c>
      <c r="O63">
        <f t="shared" si="5"/>
        <v>10</v>
      </c>
      <c r="P63" s="15">
        <f t="shared" si="4"/>
        <v>-128.68085551049998</v>
      </c>
    </row>
    <row r="64" spans="1:16" hidden="1" x14ac:dyDescent="0.3">
      <c r="A64" s="8">
        <v>-84.936086399999994</v>
      </c>
      <c r="B64" s="12">
        <f t="shared" si="3"/>
        <v>-62.451428585599992</v>
      </c>
      <c r="C64" t="s">
        <v>93</v>
      </c>
      <c r="D64" t="s">
        <v>94</v>
      </c>
      <c r="E64" t="s">
        <v>11</v>
      </c>
      <c r="F64">
        <v>46.96849871983887</v>
      </c>
      <c r="G64">
        <v>6.6445800741550869</v>
      </c>
      <c r="H64">
        <v>5</v>
      </c>
      <c r="I64">
        <v>9</v>
      </c>
      <c r="J64">
        <v>11</v>
      </c>
      <c r="K64">
        <v>2013</v>
      </c>
      <c r="L64">
        <v>1</v>
      </c>
      <c r="M64">
        <v>389</v>
      </c>
      <c r="N64" t="s">
        <v>298</v>
      </c>
      <c r="O64">
        <f t="shared" si="5"/>
        <v>6</v>
      </c>
      <c r="P64" s="15">
        <f t="shared" si="4"/>
        <v>-83.701785731999991</v>
      </c>
    </row>
    <row r="65" spans="1:16" hidden="1" x14ac:dyDescent="0.3">
      <c r="A65" s="9">
        <v>-89.234355700000009</v>
      </c>
      <c r="B65" s="12">
        <f t="shared" si="3"/>
        <v>-66.659434230300008</v>
      </c>
      <c r="C65" s="4" t="s">
        <v>192</v>
      </c>
      <c r="D65" s="4" t="s">
        <v>193</v>
      </c>
      <c r="E65" s="4" t="s">
        <v>56</v>
      </c>
      <c r="F65" s="5">
        <v>46.146987229315464</v>
      </c>
      <c r="G65" s="5">
        <v>8.9759667200376825</v>
      </c>
      <c r="H65" s="5">
        <v>6</v>
      </c>
      <c r="I65" s="5">
        <v>30</v>
      </c>
      <c r="J65" s="5">
        <v>10</v>
      </c>
      <c r="K65" s="5">
        <v>2014</v>
      </c>
      <c r="L65" s="4">
        <v>1</v>
      </c>
      <c r="M65" s="5">
        <v>320</v>
      </c>
      <c r="N65" t="s">
        <v>298</v>
      </c>
      <c r="O65">
        <f t="shared" si="5"/>
        <v>7</v>
      </c>
      <c r="P65" s="15">
        <f t="shared" si="4"/>
        <v>-88.961792787875012</v>
      </c>
    </row>
    <row r="66" spans="1:16" x14ac:dyDescent="0.3">
      <c r="A66" s="9">
        <v>-100.41852429999997</v>
      </c>
      <c r="B66" s="12">
        <f t="shared" ref="B66:B97" si="6">0.979*A66+20.701</f>
        <v>-77.608735289699979</v>
      </c>
      <c r="C66" s="4" t="s">
        <v>258</v>
      </c>
      <c r="D66" s="4" t="s">
        <v>259</v>
      </c>
      <c r="E66" s="4" t="s">
        <v>56</v>
      </c>
      <c r="F66" s="5">
        <v>46.145448528452469</v>
      </c>
      <c r="G66" s="5">
        <v>8.9733344681738441</v>
      </c>
      <c r="H66" s="5">
        <v>6</v>
      </c>
      <c r="I66" s="5">
        <v>20</v>
      </c>
      <c r="J66" s="5">
        <v>11</v>
      </c>
      <c r="K66" s="5">
        <v>2014</v>
      </c>
      <c r="L66" s="4">
        <v>1</v>
      </c>
      <c r="M66" s="5">
        <v>300</v>
      </c>
      <c r="N66" t="s">
        <v>298</v>
      </c>
      <c r="O66">
        <f t="shared" si="5"/>
        <v>8</v>
      </c>
      <c r="P66" s="15">
        <f t="shared" ref="P66:P97" si="7">-5.6375 + (1.25*B66)</f>
        <v>-102.64841911212498</v>
      </c>
    </row>
    <row r="67" spans="1:16" hidden="1" x14ac:dyDescent="0.3">
      <c r="A67" s="9">
        <v>-92.062773800000002</v>
      </c>
      <c r="B67" s="12">
        <f t="shared" si="6"/>
        <v>-69.428455550199999</v>
      </c>
      <c r="C67" s="4" t="s">
        <v>196</v>
      </c>
      <c r="D67" s="4" t="s">
        <v>197</v>
      </c>
      <c r="E67" s="4" t="s">
        <v>56</v>
      </c>
      <c r="F67" s="5">
        <v>46.09254689766513</v>
      </c>
      <c r="G67" s="5">
        <v>9.0568748920669968</v>
      </c>
      <c r="H67" s="5">
        <v>5</v>
      </c>
      <c r="I67" s="5">
        <v>1</v>
      </c>
      <c r="J67" s="5">
        <v>11</v>
      </c>
      <c r="K67" s="5">
        <v>2014</v>
      </c>
      <c r="L67" s="4">
        <v>1</v>
      </c>
      <c r="M67" s="5">
        <v>360</v>
      </c>
      <c r="N67" t="s">
        <v>298</v>
      </c>
      <c r="O67">
        <f t="shared" si="5"/>
        <v>7</v>
      </c>
      <c r="P67" s="15">
        <f t="shared" si="7"/>
        <v>-92.423069437750001</v>
      </c>
    </row>
    <row r="68" spans="1:16" hidden="1" x14ac:dyDescent="0.3">
      <c r="A68" s="9">
        <v>-117.1878887</v>
      </c>
      <c r="B68" s="12">
        <f t="shared" si="6"/>
        <v>-94.02594303730001</v>
      </c>
      <c r="C68" s="4" t="s">
        <v>211</v>
      </c>
      <c r="D68" s="4" t="s">
        <v>212</v>
      </c>
      <c r="E68" s="4" t="s">
        <v>56</v>
      </c>
      <c r="F68" s="5">
        <v>46.095855023639629</v>
      </c>
      <c r="G68" s="5">
        <v>9.0770189672632267</v>
      </c>
      <c r="H68" s="5">
        <v>5</v>
      </c>
      <c r="I68" s="5">
        <v>8</v>
      </c>
      <c r="J68" s="5">
        <v>11</v>
      </c>
      <c r="K68" s="5">
        <v>2014</v>
      </c>
      <c r="L68" s="4">
        <v>1</v>
      </c>
      <c r="M68" s="5">
        <v>340</v>
      </c>
      <c r="N68" t="s">
        <v>298</v>
      </c>
      <c r="O68">
        <f t="shared" ref="O68:O99" si="8">ROUND(B68/10,0)*-1</f>
        <v>9</v>
      </c>
      <c r="P68" s="15">
        <f t="shared" si="7"/>
        <v>-123.16992879662502</v>
      </c>
    </row>
    <row r="69" spans="1:16" hidden="1" x14ac:dyDescent="0.3">
      <c r="A69" s="9">
        <v>-63.916543600000011</v>
      </c>
      <c r="B69" s="12">
        <f t="shared" si="6"/>
        <v>-41.873296184400012</v>
      </c>
      <c r="C69" s="4" t="s">
        <v>213</v>
      </c>
      <c r="D69" s="4" t="s">
        <v>58</v>
      </c>
      <c r="E69" s="4" t="s">
        <v>11</v>
      </c>
      <c r="F69" s="5">
        <v>47.036705449034429</v>
      </c>
      <c r="G69" s="5">
        <v>6.8583544523944306</v>
      </c>
      <c r="H69" s="5">
        <v>6</v>
      </c>
      <c r="I69" s="5">
        <v>8</v>
      </c>
      <c r="J69" s="5">
        <v>11</v>
      </c>
      <c r="K69" s="5">
        <v>2014</v>
      </c>
      <c r="L69" s="4">
        <v>1</v>
      </c>
      <c r="M69" s="5">
        <v>360</v>
      </c>
      <c r="N69" t="s">
        <v>298</v>
      </c>
      <c r="O69">
        <f t="shared" si="8"/>
        <v>4</v>
      </c>
      <c r="P69" s="15">
        <f t="shared" si="7"/>
        <v>-57.979120230500016</v>
      </c>
    </row>
    <row r="70" spans="1:16" x14ac:dyDescent="0.3">
      <c r="A70" s="9">
        <v>-98.639461600000004</v>
      </c>
      <c r="B70" s="12">
        <f t="shared" si="6"/>
        <v>-75.867032906399999</v>
      </c>
      <c r="C70" s="4" t="s">
        <v>198</v>
      </c>
      <c r="D70" s="4" t="s">
        <v>199</v>
      </c>
      <c r="E70" s="4" t="s">
        <v>56</v>
      </c>
      <c r="F70" s="5">
        <v>46.215523158961631</v>
      </c>
      <c r="G70" s="5">
        <v>8.6592516669348658</v>
      </c>
      <c r="H70" s="5">
        <v>6</v>
      </c>
      <c r="I70" s="5">
        <v>1</v>
      </c>
      <c r="J70" s="5">
        <v>11</v>
      </c>
      <c r="K70" s="5">
        <v>2014</v>
      </c>
      <c r="L70" s="4">
        <v>1</v>
      </c>
      <c r="M70" s="5">
        <v>286</v>
      </c>
      <c r="N70" t="s">
        <v>298</v>
      </c>
      <c r="O70">
        <f t="shared" si="8"/>
        <v>8</v>
      </c>
      <c r="P70" s="15">
        <f t="shared" si="7"/>
        <v>-100.47129113300001</v>
      </c>
    </row>
    <row r="71" spans="1:16" hidden="1" x14ac:dyDescent="0.3">
      <c r="A71" s="9">
        <v>-72.160519599999986</v>
      </c>
      <c r="B71" s="12">
        <f t="shared" si="6"/>
        <v>-49.944148688399984</v>
      </c>
      <c r="C71" s="4" t="s">
        <v>254</v>
      </c>
      <c r="D71" s="4" t="s">
        <v>255</v>
      </c>
      <c r="E71" s="4" t="s">
        <v>56</v>
      </c>
      <c r="F71" s="5">
        <v>46.502243309993077</v>
      </c>
      <c r="G71" s="5">
        <v>8.6419465060513794</v>
      </c>
      <c r="H71" s="5">
        <v>5</v>
      </c>
      <c r="I71" s="5">
        <v>19</v>
      </c>
      <c r="J71" s="5">
        <v>11</v>
      </c>
      <c r="K71" s="5">
        <v>2014</v>
      </c>
      <c r="L71" s="4">
        <v>1</v>
      </c>
      <c r="M71" s="5">
        <v>323</v>
      </c>
      <c r="N71" t="s">
        <v>298</v>
      </c>
      <c r="O71">
        <f t="shared" si="8"/>
        <v>5</v>
      </c>
      <c r="P71" s="15">
        <f t="shared" si="7"/>
        <v>-68.067685860499978</v>
      </c>
    </row>
    <row r="72" spans="1:16" hidden="1" x14ac:dyDescent="0.3">
      <c r="A72" s="9">
        <v>-72.2657284</v>
      </c>
      <c r="B72" s="12">
        <f t="shared" si="6"/>
        <v>-50.047148103600001</v>
      </c>
      <c r="C72" s="4" t="s">
        <v>173</v>
      </c>
      <c r="D72" s="4" t="s">
        <v>174</v>
      </c>
      <c r="E72" s="4" t="s">
        <v>56</v>
      </c>
      <c r="F72" s="5">
        <v>46.219653566621311</v>
      </c>
      <c r="G72" s="5">
        <v>8.6888050542440549</v>
      </c>
      <c r="H72" s="5">
        <v>5</v>
      </c>
      <c r="I72" s="5">
        <v>28</v>
      </c>
      <c r="J72" s="5">
        <v>10</v>
      </c>
      <c r="K72" s="5">
        <v>2014</v>
      </c>
      <c r="L72" s="4">
        <v>1</v>
      </c>
      <c r="M72" s="5">
        <v>326</v>
      </c>
      <c r="N72" t="s">
        <v>298</v>
      </c>
      <c r="O72">
        <f t="shared" si="8"/>
        <v>5</v>
      </c>
      <c r="P72" s="15">
        <f t="shared" si="7"/>
        <v>-68.196435129500003</v>
      </c>
    </row>
    <row r="73" spans="1:16" hidden="1" x14ac:dyDescent="0.3">
      <c r="A73" s="9">
        <v>-79.447174899999993</v>
      </c>
      <c r="B73" s="12">
        <f t="shared" si="6"/>
        <v>-57.07778422709999</v>
      </c>
      <c r="C73" s="4" t="s">
        <v>200</v>
      </c>
      <c r="D73" s="4" t="s">
        <v>201</v>
      </c>
      <c r="E73" s="4" t="s">
        <v>56</v>
      </c>
      <c r="F73" s="5">
        <v>46.219653566621311</v>
      </c>
      <c r="G73" s="5">
        <v>8.6888050542440549</v>
      </c>
      <c r="H73" s="5">
        <v>5</v>
      </c>
      <c r="I73" s="5">
        <v>1</v>
      </c>
      <c r="J73" s="5">
        <v>11</v>
      </c>
      <c r="K73" s="5">
        <v>2014</v>
      </c>
      <c r="L73" s="4">
        <v>1</v>
      </c>
      <c r="M73" s="5">
        <v>314</v>
      </c>
      <c r="N73" t="s">
        <v>298</v>
      </c>
      <c r="O73">
        <f t="shared" si="8"/>
        <v>6</v>
      </c>
      <c r="P73" s="15">
        <f t="shared" si="7"/>
        <v>-76.984730283874995</v>
      </c>
    </row>
    <row r="74" spans="1:16" hidden="1" x14ac:dyDescent="0.3">
      <c r="A74" s="9">
        <v>-113.35766559999999</v>
      </c>
      <c r="B74" s="12">
        <f t="shared" si="6"/>
        <v>-90.276154622399986</v>
      </c>
      <c r="C74" s="4" t="s">
        <v>143</v>
      </c>
      <c r="D74" s="4" t="s">
        <v>144</v>
      </c>
      <c r="E74" s="4" t="s">
        <v>56</v>
      </c>
      <c r="F74" s="5">
        <v>46.507576806869771</v>
      </c>
      <c r="G74" s="5">
        <v>8.6631476300798322</v>
      </c>
      <c r="H74" s="5">
        <v>5</v>
      </c>
      <c r="I74" s="5">
        <v>19</v>
      </c>
      <c r="J74" s="5">
        <v>10</v>
      </c>
      <c r="K74" s="5">
        <v>2014</v>
      </c>
      <c r="L74" s="4">
        <v>1</v>
      </c>
      <c r="M74" s="5">
        <v>347</v>
      </c>
      <c r="N74" t="s">
        <v>298</v>
      </c>
      <c r="O74">
        <f t="shared" si="8"/>
        <v>9</v>
      </c>
      <c r="P74" s="15">
        <f t="shared" si="7"/>
        <v>-118.48269327799999</v>
      </c>
    </row>
    <row r="75" spans="1:16" hidden="1" x14ac:dyDescent="0.3">
      <c r="A75" s="9">
        <v>-94.434060400000021</v>
      </c>
      <c r="B75" s="12">
        <f t="shared" si="6"/>
        <v>-71.749945131600015</v>
      </c>
      <c r="C75" s="4" t="s">
        <v>145</v>
      </c>
      <c r="D75" s="4" t="s">
        <v>146</v>
      </c>
      <c r="E75" s="4" t="s">
        <v>56</v>
      </c>
      <c r="F75" s="5">
        <v>46.505732950498547</v>
      </c>
      <c r="G75" s="5">
        <v>8.6522001449103367</v>
      </c>
      <c r="H75" s="5">
        <v>5</v>
      </c>
      <c r="I75" s="5">
        <v>19</v>
      </c>
      <c r="J75" s="5">
        <v>10</v>
      </c>
      <c r="K75" s="5">
        <v>2014</v>
      </c>
      <c r="L75" s="4">
        <v>1</v>
      </c>
      <c r="M75" s="5">
        <v>353</v>
      </c>
      <c r="N75" t="s">
        <v>298</v>
      </c>
      <c r="O75">
        <f t="shared" si="8"/>
        <v>7</v>
      </c>
      <c r="P75" s="15">
        <f t="shared" si="7"/>
        <v>-95.324931414500028</v>
      </c>
    </row>
    <row r="76" spans="1:16" hidden="1" x14ac:dyDescent="0.3">
      <c r="A76" s="9">
        <v>-120.1706116</v>
      </c>
      <c r="B76" s="12">
        <f t="shared" si="6"/>
        <v>-96.946028756400011</v>
      </c>
      <c r="C76" s="4" t="s">
        <v>147</v>
      </c>
      <c r="D76" s="4" t="s">
        <v>148</v>
      </c>
      <c r="E76" s="4" t="s">
        <v>56</v>
      </c>
      <c r="F76" s="5">
        <v>46.505594653672581</v>
      </c>
      <c r="G76" s="5">
        <v>8.6650833287007618</v>
      </c>
      <c r="H76" s="5">
        <v>5</v>
      </c>
      <c r="I76" s="5">
        <v>19</v>
      </c>
      <c r="J76" s="5">
        <v>10</v>
      </c>
      <c r="K76" s="5">
        <v>2014</v>
      </c>
      <c r="L76" s="4">
        <v>1</v>
      </c>
      <c r="M76" s="5">
        <v>328</v>
      </c>
      <c r="N76" t="s">
        <v>298</v>
      </c>
      <c r="O76">
        <f t="shared" si="8"/>
        <v>10</v>
      </c>
      <c r="P76" s="15">
        <f t="shared" si="7"/>
        <v>-126.82003594550001</v>
      </c>
    </row>
    <row r="77" spans="1:16" hidden="1" x14ac:dyDescent="0.3">
      <c r="A77" s="9">
        <v>-111.49798769999998</v>
      </c>
      <c r="B77" s="12">
        <f t="shared" si="6"/>
        <v>-88.455529958299991</v>
      </c>
      <c r="C77" s="4" t="s">
        <v>149</v>
      </c>
      <c r="D77" s="4" t="s">
        <v>150</v>
      </c>
      <c r="E77" s="4" t="s">
        <v>56</v>
      </c>
      <c r="F77" s="5">
        <v>46.507688948678378</v>
      </c>
      <c r="G77" s="5">
        <v>8.66692890200326</v>
      </c>
      <c r="H77" s="5">
        <v>5</v>
      </c>
      <c r="I77" s="5">
        <v>19</v>
      </c>
      <c r="J77" s="5">
        <v>10</v>
      </c>
      <c r="K77" s="5">
        <v>2014</v>
      </c>
      <c r="L77" s="4">
        <v>1</v>
      </c>
      <c r="M77" s="5">
        <v>335</v>
      </c>
      <c r="N77" t="s">
        <v>298</v>
      </c>
      <c r="O77">
        <f t="shared" si="8"/>
        <v>9</v>
      </c>
      <c r="P77" s="15">
        <f t="shared" si="7"/>
        <v>-116.20691244787498</v>
      </c>
    </row>
    <row r="78" spans="1:16" hidden="1" x14ac:dyDescent="0.3">
      <c r="A78" s="9">
        <v>-122.48827360000001</v>
      </c>
      <c r="B78" s="12">
        <f t="shared" si="6"/>
        <v>-99.215019854399998</v>
      </c>
      <c r="C78" s="4" t="s">
        <v>152</v>
      </c>
      <c r="D78" s="4" t="s">
        <v>153</v>
      </c>
      <c r="E78" s="4" t="s">
        <v>56</v>
      </c>
      <c r="F78" s="5">
        <v>46.210286279550672</v>
      </c>
      <c r="G78" s="5">
        <v>8.6593287177484495</v>
      </c>
      <c r="H78" s="5">
        <v>6</v>
      </c>
      <c r="I78" s="5">
        <v>21</v>
      </c>
      <c r="J78" s="5">
        <v>10</v>
      </c>
      <c r="K78" s="5">
        <v>2014</v>
      </c>
      <c r="L78" s="4">
        <v>1</v>
      </c>
      <c r="M78" s="5">
        <v>303</v>
      </c>
      <c r="N78" t="s">
        <v>298</v>
      </c>
      <c r="O78">
        <f t="shared" si="8"/>
        <v>10</v>
      </c>
      <c r="P78" s="15">
        <f t="shared" si="7"/>
        <v>-129.65627481799999</v>
      </c>
    </row>
    <row r="79" spans="1:16" hidden="1" x14ac:dyDescent="0.3">
      <c r="A79" s="9">
        <v>-40.934949099999983</v>
      </c>
      <c r="B79" s="12">
        <f t="shared" si="6"/>
        <v>-19.374315168899983</v>
      </c>
      <c r="C79" s="4" t="s">
        <v>154</v>
      </c>
      <c r="D79" s="4" t="s">
        <v>155</v>
      </c>
      <c r="E79" s="4" t="s">
        <v>56</v>
      </c>
      <c r="F79" s="5">
        <v>46.219565063737029</v>
      </c>
      <c r="G79" s="5">
        <v>8.6772286623375532</v>
      </c>
      <c r="H79" s="5">
        <v>5</v>
      </c>
      <c r="I79" s="5">
        <v>21</v>
      </c>
      <c r="J79" s="5">
        <v>10</v>
      </c>
      <c r="K79" s="5">
        <v>2014</v>
      </c>
      <c r="L79" s="4">
        <v>1</v>
      </c>
      <c r="M79" s="5">
        <v>339</v>
      </c>
      <c r="N79" t="s">
        <v>298</v>
      </c>
      <c r="O79">
        <f t="shared" si="8"/>
        <v>2</v>
      </c>
      <c r="P79" s="15">
        <f t="shared" si="7"/>
        <v>-29.855393961124978</v>
      </c>
    </row>
    <row r="80" spans="1:16" x14ac:dyDescent="0.3">
      <c r="A80" s="9">
        <v>-103.22437120000001</v>
      </c>
      <c r="B80" s="12">
        <f t="shared" si="6"/>
        <v>-80.355659404800008</v>
      </c>
      <c r="C80" s="4" t="s">
        <v>165</v>
      </c>
      <c r="D80" s="4" t="s">
        <v>166</v>
      </c>
      <c r="E80" s="4" t="s">
        <v>56</v>
      </c>
      <c r="F80" s="5">
        <v>46.215229568284947</v>
      </c>
      <c r="G80" s="5">
        <v>8.6655955508387592</v>
      </c>
      <c r="H80" s="5">
        <v>6</v>
      </c>
      <c r="I80" s="5">
        <v>26</v>
      </c>
      <c r="J80" s="5">
        <v>10</v>
      </c>
      <c r="K80" s="5">
        <v>2014</v>
      </c>
      <c r="L80" s="4">
        <v>1</v>
      </c>
      <c r="M80" s="5">
        <v>299</v>
      </c>
      <c r="N80" t="s">
        <v>298</v>
      </c>
      <c r="O80">
        <f t="shared" si="8"/>
        <v>8</v>
      </c>
      <c r="P80" s="15">
        <f t="shared" si="7"/>
        <v>-106.08207425600001</v>
      </c>
    </row>
    <row r="81" spans="1:16" hidden="1" x14ac:dyDescent="0.3">
      <c r="A81" s="9">
        <v>-93.134624399999979</v>
      </c>
      <c r="B81" s="12">
        <f t="shared" si="6"/>
        <v>-70.477797287599969</v>
      </c>
      <c r="C81" s="4" t="s">
        <v>175</v>
      </c>
      <c r="D81" s="4" t="s">
        <v>176</v>
      </c>
      <c r="E81" s="4" t="s">
        <v>56</v>
      </c>
      <c r="F81" s="5">
        <v>46.215312871047608</v>
      </c>
      <c r="G81" s="5">
        <v>8.7221040081576415</v>
      </c>
      <c r="H81" s="5">
        <v>6</v>
      </c>
      <c r="I81" s="5">
        <v>28</v>
      </c>
      <c r="J81" s="5">
        <v>10</v>
      </c>
      <c r="K81" s="5">
        <v>2014</v>
      </c>
      <c r="L81" s="4">
        <v>1</v>
      </c>
      <c r="M81" s="5">
        <v>420</v>
      </c>
      <c r="N81" t="s">
        <v>298</v>
      </c>
      <c r="O81">
        <f t="shared" si="8"/>
        <v>7</v>
      </c>
      <c r="P81" s="15">
        <f t="shared" si="7"/>
        <v>-93.734746609499965</v>
      </c>
    </row>
    <row r="82" spans="1:16" hidden="1" x14ac:dyDescent="0.3">
      <c r="A82" s="9">
        <v>-87.439212599999991</v>
      </c>
      <c r="B82" s="12">
        <f t="shared" si="6"/>
        <v>-64.901989135399987</v>
      </c>
      <c r="C82" s="4" t="s">
        <v>140</v>
      </c>
      <c r="D82" s="4" t="s">
        <v>78</v>
      </c>
      <c r="E82" s="4" t="s">
        <v>56</v>
      </c>
      <c r="F82" s="5">
        <v>46.083207195475282</v>
      </c>
      <c r="G82" s="5">
        <v>8.8477857012345833</v>
      </c>
      <c r="H82" s="5">
        <v>4</v>
      </c>
      <c r="I82" s="5">
        <v>16</v>
      </c>
      <c r="J82" s="5">
        <v>10</v>
      </c>
      <c r="K82" s="5">
        <v>2014</v>
      </c>
      <c r="L82" s="4">
        <v>1</v>
      </c>
      <c r="M82" s="5">
        <v>326</v>
      </c>
      <c r="N82" t="s">
        <v>298</v>
      </c>
      <c r="O82">
        <f t="shared" si="8"/>
        <v>6</v>
      </c>
      <c r="P82" s="15">
        <f t="shared" si="7"/>
        <v>-86.764986419249979</v>
      </c>
    </row>
    <row r="83" spans="1:16" x14ac:dyDescent="0.3">
      <c r="A83" s="9">
        <v>-98.083322799999991</v>
      </c>
      <c r="B83" s="12">
        <f t="shared" si="6"/>
        <v>-75.322573021199986</v>
      </c>
      <c r="C83" s="4" t="s">
        <v>177</v>
      </c>
      <c r="D83" s="4" t="s">
        <v>178</v>
      </c>
      <c r="E83" s="4" t="s">
        <v>56</v>
      </c>
      <c r="F83" s="5">
        <v>46.118476731385392</v>
      </c>
      <c r="G83" s="5">
        <v>8.8331713216757581</v>
      </c>
      <c r="H83" s="5">
        <v>4</v>
      </c>
      <c r="I83" s="5">
        <v>28</v>
      </c>
      <c r="J83" s="5">
        <v>10</v>
      </c>
      <c r="K83" s="5">
        <v>2014</v>
      </c>
      <c r="L83" s="4">
        <v>1</v>
      </c>
      <c r="M83" s="5">
        <v>317</v>
      </c>
      <c r="N83" t="s">
        <v>298</v>
      </c>
      <c r="O83">
        <f t="shared" si="8"/>
        <v>8</v>
      </c>
      <c r="P83" s="15">
        <f t="shared" si="7"/>
        <v>-99.790716276499992</v>
      </c>
    </row>
    <row r="84" spans="1:16" hidden="1" x14ac:dyDescent="0.3">
      <c r="A84" s="9">
        <v>-89.624244799999985</v>
      </c>
      <c r="B84" s="12">
        <f t="shared" si="6"/>
        <v>-67.041135659199995</v>
      </c>
      <c r="C84" s="4" t="s">
        <v>179</v>
      </c>
      <c r="D84" s="4" t="s">
        <v>180</v>
      </c>
      <c r="E84" s="4" t="s">
        <v>56</v>
      </c>
      <c r="F84" s="5">
        <v>46.118476731385392</v>
      </c>
      <c r="G84" s="5">
        <v>8.8331713216757581</v>
      </c>
      <c r="H84" s="5">
        <v>4</v>
      </c>
      <c r="I84" s="5">
        <v>28</v>
      </c>
      <c r="J84" s="5">
        <v>10</v>
      </c>
      <c r="K84" s="5">
        <v>2014</v>
      </c>
      <c r="L84" s="4">
        <v>1</v>
      </c>
      <c r="M84" s="5">
        <v>341</v>
      </c>
      <c r="N84" t="s">
        <v>298</v>
      </c>
      <c r="O84">
        <f t="shared" si="8"/>
        <v>7</v>
      </c>
      <c r="P84" s="15">
        <f t="shared" si="7"/>
        <v>-89.438919573999996</v>
      </c>
    </row>
    <row r="85" spans="1:16" x14ac:dyDescent="0.3">
      <c r="A85" s="9">
        <v>-106.8882035</v>
      </c>
      <c r="B85" s="12">
        <f t="shared" si="6"/>
        <v>-83.942551226500001</v>
      </c>
      <c r="C85" s="4" t="s">
        <v>181</v>
      </c>
      <c r="D85" s="4" t="s">
        <v>182</v>
      </c>
      <c r="E85" s="4" t="s">
        <v>56</v>
      </c>
      <c r="F85" s="5">
        <v>46.118476731385392</v>
      </c>
      <c r="G85" s="5">
        <v>8.8331713216757581</v>
      </c>
      <c r="H85" s="5">
        <v>4</v>
      </c>
      <c r="I85" s="5">
        <v>28</v>
      </c>
      <c r="J85" s="5">
        <v>10</v>
      </c>
      <c r="K85" s="5">
        <v>2014</v>
      </c>
      <c r="L85" s="4">
        <v>1</v>
      </c>
      <c r="M85" s="5">
        <v>309</v>
      </c>
      <c r="N85" t="s">
        <v>298</v>
      </c>
      <c r="O85">
        <f t="shared" si="8"/>
        <v>8</v>
      </c>
      <c r="P85" s="15">
        <f t="shared" si="7"/>
        <v>-110.565689033125</v>
      </c>
    </row>
    <row r="86" spans="1:16" hidden="1" x14ac:dyDescent="0.3">
      <c r="A86" s="9">
        <v>-97.160263799999996</v>
      </c>
      <c r="B86" s="12">
        <f t="shared" si="6"/>
        <v>-74.418898260199995</v>
      </c>
      <c r="C86" s="4" t="s">
        <v>188</v>
      </c>
      <c r="D86" s="4" t="s">
        <v>189</v>
      </c>
      <c r="E86" s="4" t="s">
        <v>56</v>
      </c>
      <c r="F86" s="5">
        <v>46.089583576715491</v>
      </c>
      <c r="G86" s="5">
        <v>8.8414848842290397</v>
      </c>
      <c r="H86" s="5">
        <v>4</v>
      </c>
      <c r="I86" s="5">
        <v>29</v>
      </c>
      <c r="J86" s="5">
        <v>10</v>
      </c>
      <c r="K86" s="5">
        <v>2014</v>
      </c>
      <c r="L86" s="4">
        <v>1</v>
      </c>
      <c r="M86" s="5">
        <v>305</v>
      </c>
      <c r="N86" t="s">
        <v>298</v>
      </c>
      <c r="O86">
        <f t="shared" si="8"/>
        <v>7</v>
      </c>
      <c r="P86" s="15">
        <f t="shared" si="7"/>
        <v>-98.66112282524999</v>
      </c>
    </row>
    <row r="87" spans="1:16" hidden="1" x14ac:dyDescent="0.3">
      <c r="A87" s="9">
        <v>-112.99141449999996</v>
      </c>
      <c r="B87" s="12">
        <f t="shared" si="6"/>
        <v>-89.917594795499951</v>
      </c>
      <c r="C87" s="4" t="s">
        <v>194</v>
      </c>
      <c r="D87" s="4" t="s">
        <v>195</v>
      </c>
      <c r="E87" s="4" t="s">
        <v>56</v>
      </c>
      <c r="F87" s="5">
        <v>46.128832571377046</v>
      </c>
      <c r="G87" s="5">
        <v>8.8683742427148839</v>
      </c>
      <c r="H87" s="5">
        <v>4</v>
      </c>
      <c r="I87" s="5">
        <v>30</v>
      </c>
      <c r="J87" s="5">
        <v>10</v>
      </c>
      <c r="K87" s="5">
        <v>2014</v>
      </c>
      <c r="L87" s="4">
        <v>1</v>
      </c>
      <c r="M87" s="5">
        <v>302</v>
      </c>
      <c r="N87" t="s">
        <v>298</v>
      </c>
      <c r="O87">
        <f t="shared" si="8"/>
        <v>9</v>
      </c>
      <c r="P87" s="15">
        <f t="shared" si="7"/>
        <v>-118.03449349437494</v>
      </c>
    </row>
    <row r="88" spans="1:16" hidden="1" x14ac:dyDescent="0.3">
      <c r="A88" s="9">
        <v>-120.60045159999996</v>
      </c>
      <c r="B88" s="12">
        <f t="shared" si="6"/>
        <v>-97.366842116399965</v>
      </c>
      <c r="C88" s="4" t="s">
        <v>209</v>
      </c>
      <c r="D88" s="4" t="s">
        <v>210</v>
      </c>
      <c r="E88" s="4" t="s">
        <v>56</v>
      </c>
      <c r="F88" s="5">
        <v>46.120275544461947</v>
      </c>
      <c r="G88" s="5">
        <v>8.8332172914406257</v>
      </c>
      <c r="H88" s="5">
        <v>4</v>
      </c>
      <c r="I88" s="5">
        <v>6</v>
      </c>
      <c r="J88" s="5">
        <v>11</v>
      </c>
      <c r="K88" s="5">
        <v>2014</v>
      </c>
      <c r="L88" s="4">
        <v>1</v>
      </c>
      <c r="M88" s="5">
        <v>312</v>
      </c>
      <c r="N88" t="s">
        <v>298</v>
      </c>
      <c r="O88">
        <f t="shared" si="8"/>
        <v>10</v>
      </c>
      <c r="P88" s="15">
        <f t="shared" si="7"/>
        <v>-127.34605264549997</v>
      </c>
    </row>
    <row r="89" spans="1:16" hidden="1" x14ac:dyDescent="0.3">
      <c r="A89" s="9">
        <v>-88.023357399999981</v>
      </c>
      <c r="B89" s="12">
        <f t="shared" si="6"/>
        <v>-65.473866894599979</v>
      </c>
      <c r="C89" s="4" t="s">
        <v>224</v>
      </c>
      <c r="D89" s="4" t="s">
        <v>225</v>
      </c>
      <c r="E89" s="4" t="s">
        <v>56</v>
      </c>
      <c r="F89" s="5">
        <v>46.091366294647997</v>
      </c>
      <c r="G89" s="5">
        <v>8.8428238063229561</v>
      </c>
      <c r="H89" s="5">
        <v>4</v>
      </c>
      <c r="I89" s="5">
        <v>9</v>
      </c>
      <c r="J89" s="5">
        <v>11</v>
      </c>
      <c r="K89" s="5">
        <v>2014</v>
      </c>
      <c r="L89" s="4">
        <v>1</v>
      </c>
      <c r="M89" s="5">
        <v>329</v>
      </c>
      <c r="N89" t="s">
        <v>298</v>
      </c>
      <c r="O89">
        <f t="shared" si="8"/>
        <v>7</v>
      </c>
      <c r="P89" s="15">
        <f t="shared" si="7"/>
        <v>-87.47983361824997</v>
      </c>
    </row>
    <row r="90" spans="1:16" hidden="1" x14ac:dyDescent="0.3">
      <c r="A90" s="9">
        <v>-110.61708280000002</v>
      </c>
      <c r="B90" s="12">
        <f t="shared" si="6"/>
        <v>-87.593124061200029</v>
      </c>
      <c r="C90" s="4" t="s">
        <v>242</v>
      </c>
      <c r="D90" s="4" t="s">
        <v>243</v>
      </c>
      <c r="E90" s="4" t="s">
        <v>56</v>
      </c>
      <c r="F90" s="5">
        <v>46.128370206884227</v>
      </c>
      <c r="G90" s="5">
        <v>8.833424194098896</v>
      </c>
      <c r="H90" s="5">
        <v>4</v>
      </c>
      <c r="I90" s="5">
        <v>16</v>
      </c>
      <c r="J90" s="5">
        <v>11</v>
      </c>
      <c r="K90" s="5">
        <v>2014</v>
      </c>
      <c r="L90" s="4">
        <v>1</v>
      </c>
      <c r="M90" s="5">
        <v>320</v>
      </c>
      <c r="N90" t="s">
        <v>298</v>
      </c>
      <c r="O90">
        <f t="shared" si="8"/>
        <v>9</v>
      </c>
      <c r="P90" s="15">
        <f t="shared" si="7"/>
        <v>-115.12890507650003</v>
      </c>
    </row>
    <row r="91" spans="1:16" x14ac:dyDescent="0.3">
      <c r="A91" s="9">
        <v>-100.37719330000002</v>
      </c>
      <c r="B91" s="12">
        <f t="shared" si="6"/>
        <v>-77.568272240700026</v>
      </c>
      <c r="C91" s="4" t="s">
        <v>244</v>
      </c>
      <c r="D91" s="4" t="s">
        <v>245</v>
      </c>
      <c r="E91" s="4" t="s">
        <v>56</v>
      </c>
      <c r="F91" s="5">
        <v>46.127326324784995</v>
      </c>
      <c r="G91" s="5">
        <v>8.8450432338610785</v>
      </c>
      <c r="H91" s="5">
        <v>4</v>
      </c>
      <c r="I91" s="5">
        <v>16</v>
      </c>
      <c r="J91" s="5">
        <v>11</v>
      </c>
      <c r="K91" s="5">
        <v>2014</v>
      </c>
      <c r="L91" s="4">
        <v>1</v>
      </c>
      <c r="M91" s="5">
        <v>332</v>
      </c>
      <c r="N91" t="s">
        <v>298</v>
      </c>
      <c r="O91">
        <f t="shared" si="8"/>
        <v>8</v>
      </c>
      <c r="P91" s="15">
        <f t="shared" si="7"/>
        <v>-102.59784030087503</v>
      </c>
    </row>
    <row r="92" spans="1:16" hidden="1" x14ac:dyDescent="0.3">
      <c r="A92" s="9">
        <v>-97.69618909999997</v>
      </c>
      <c r="B92" s="12">
        <f t="shared" si="6"/>
        <v>-74.943569128899981</v>
      </c>
      <c r="C92" s="4" t="s">
        <v>248</v>
      </c>
      <c r="D92" s="4" t="s">
        <v>249</v>
      </c>
      <c r="E92" s="4" t="s">
        <v>56</v>
      </c>
      <c r="F92" s="5">
        <v>46.127518691026708</v>
      </c>
      <c r="G92" s="5">
        <v>8.8295205103013039</v>
      </c>
      <c r="H92" s="5">
        <v>4</v>
      </c>
      <c r="I92" s="5">
        <v>18</v>
      </c>
      <c r="J92" s="5">
        <v>11</v>
      </c>
      <c r="K92" s="5">
        <v>2014</v>
      </c>
      <c r="L92" s="4">
        <v>1</v>
      </c>
      <c r="M92" s="5">
        <v>278</v>
      </c>
      <c r="N92" t="s">
        <v>298</v>
      </c>
      <c r="O92">
        <f t="shared" si="8"/>
        <v>7</v>
      </c>
      <c r="P92" s="15">
        <f t="shared" si="7"/>
        <v>-99.316961411124979</v>
      </c>
    </row>
    <row r="93" spans="1:16" x14ac:dyDescent="0.3">
      <c r="A93" s="9">
        <v>-100.61553539999997</v>
      </c>
      <c r="B93" s="12">
        <f t="shared" si="6"/>
        <v>-77.801609156599966</v>
      </c>
      <c r="C93" s="4" t="s">
        <v>141</v>
      </c>
      <c r="D93" s="4" t="s">
        <v>80</v>
      </c>
      <c r="E93" s="4" t="s">
        <v>56</v>
      </c>
      <c r="F93" s="5">
        <v>46.082340066583669</v>
      </c>
      <c r="G93" s="5">
        <v>8.845177515551006</v>
      </c>
      <c r="H93" s="5">
        <v>4</v>
      </c>
      <c r="I93" s="5">
        <v>16</v>
      </c>
      <c r="J93" s="5">
        <v>10</v>
      </c>
      <c r="K93" s="5">
        <v>2014</v>
      </c>
      <c r="L93" s="4">
        <v>1</v>
      </c>
      <c r="M93" s="5">
        <v>321</v>
      </c>
      <c r="N93" t="s">
        <v>298</v>
      </c>
      <c r="O93">
        <f t="shared" si="8"/>
        <v>8</v>
      </c>
      <c r="P93" s="15">
        <f t="shared" si="7"/>
        <v>-102.88951144574996</v>
      </c>
    </row>
    <row r="94" spans="1:16" hidden="1" x14ac:dyDescent="0.3">
      <c r="A94" s="9">
        <v>-94.696936199999982</v>
      </c>
      <c r="B94" s="12">
        <f t="shared" si="6"/>
        <v>-72.007300539799985</v>
      </c>
      <c r="C94" s="4" t="s">
        <v>142</v>
      </c>
      <c r="D94" s="4" t="s">
        <v>138</v>
      </c>
      <c r="E94" s="4" t="s">
        <v>56</v>
      </c>
      <c r="F94" s="5">
        <v>46.080573476353102</v>
      </c>
      <c r="G94" s="5">
        <v>8.8425462906938357</v>
      </c>
      <c r="H94" s="5">
        <v>4</v>
      </c>
      <c r="I94" s="5">
        <v>16</v>
      </c>
      <c r="J94" s="5">
        <v>10</v>
      </c>
      <c r="K94" s="5">
        <v>2014</v>
      </c>
      <c r="L94" s="4">
        <v>1</v>
      </c>
      <c r="M94" s="5">
        <v>308</v>
      </c>
      <c r="N94" t="s">
        <v>298</v>
      </c>
      <c r="O94">
        <f t="shared" si="8"/>
        <v>7</v>
      </c>
      <c r="P94" s="15">
        <f t="shared" si="7"/>
        <v>-95.646625674749984</v>
      </c>
    </row>
    <row r="95" spans="1:16" hidden="1" x14ac:dyDescent="0.3">
      <c r="A95" s="9">
        <v>-122.78823919999999</v>
      </c>
      <c r="B95" s="12">
        <f t="shared" si="6"/>
        <v>-99.508686176799984</v>
      </c>
      <c r="C95" s="4" t="s">
        <v>151</v>
      </c>
      <c r="D95" s="4" t="s">
        <v>88</v>
      </c>
      <c r="E95" s="4" t="s">
        <v>56</v>
      </c>
      <c r="F95" s="5">
        <v>46.091334077250657</v>
      </c>
      <c r="G95" s="5">
        <v>8.8454092123680699</v>
      </c>
      <c r="H95" s="5">
        <v>4</v>
      </c>
      <c r="I95" s="5">
        <v>19</v>
      </c>
      <c r="J95" s="5">
        <v>10</v>
      </c>
      <c r="K95" s="5">
        <v>2014</v>
      </c>
      <c r="L95" s="4">
        <v>1</v>
      </c>
      <c r="M95" s="5">
        <v>278</v>
      </c>
      <c r="N95" t="s">
        <v>298</v>
      </c>
      <c r="O95">
        <f t="shared" si="8"/>
        <v>10</v>
      </c>
      <c r="P95" s="15">
        <f t="shared" si="7"/>
        <v>-130.02335772099997</v>
      </c>
    </row>
    <row r="96" spans="1:16" x14ac:dyDescent="0.3">
      <c r="A96" s="9">
        <v>-102.113854</v>
      </c>
      <c r="B96" s="12">
        <f t="shared" si="6"/>
        <v>-79.26846306600001</v>
      </c>
      <c r="C96" s="4" t="s">
        <v>158</v>
      </c>
      <c r="D96" s="4" t="s">
        <v>90</v>
      </c>
      <c r="E96" s="4" t="s">
        <v>56</v>
      </c>
      <c r="F96" s="5">
        <v>46.083126256656847</v>
      </c>
      <c r="G96" s="5">
        <v>8.8542482362461818</v>
      </c>
      <c r="H96" s="5">
        <v>4</v>
      </c>
      <c r="I96" s="5">
        <v>25</v>
      </c>
      <c r="J96" s="5">
        <v>10</v>
      </c>
      <c r="K96" s="5">
        <v>2014</v>
      </c>
      <c r="L96" s="4">
        <v>1</v>
      </c>
      <c r="M96" s="5">
        <v>328</v>
      </c>
      <c r="N96" t="s">
        <v>298</v>
      </c>
      <c r="O96">
        <f t="shared" si="8"/>
        <v>8</v>
      </c>
      <c r="P96" s="15">
        <f t="shared" si="7"/>
        <v>-104.72307883250001</v>
      </c>
    </row>
    <row r="97" spans="1:16" x14ac:dyDescent="0.3">
      <c r="A97" s="9">
        <v>-98.154963199999997</v>
      </c>
      <c r="B97" s="12">
        <f t="shared" si="6"/>
        <v>-75.392708972799994</v>
      </c>
      <c r="C97" s="4" t="s">
        <v>167</v>
      </c>
      <c r="D97" s="4" t="s">
        <v>104</v>
      </c>
      <c r="E97" s="4" t="s">
        <v>56</v>
      </c>
      <c r="F97" s="5">
        <v>46.089567490785065</v>
      </c>
      <c r="G97" s="5">
        <v>8.8427775458385689</v>
      </c>
      <c r="H97" s="5">
        <v>4</v>
      </c>
      <c r="I97" s="5">
        <v>26</v>
      </c>
      <c r="J97" s="5">
        <v>10</v>
      </c>
      <c r="K97" s="5">
        <v>2014</v>
      </c>
      <c r="L97" s="4">
        <v>1</v>
      </c>
      <c r="M97" s="5">
        <v>305</v>
      </c>
      <c r="N97" t="s">
        <v>298</v>
      </c>
      <c r="O97">
        <f t="shared" si="8"/>
        <v>8</v>
      </c>
      <c r="P97" s="15">
        <f t="shared" si="7"/>
        <v>-99.878386215999996</v>
      </c>
    </row>
    <row r="98" spans="1:16" hidden="1" x14ac:dyDescent="0.3">
      <c r="A98" s="9">
        <v>-115.42029959999999</v>
      </c>
      <c r="B98" s="12">
        <f t="shared" ref="B98:B129" si="9">0.979*A98+20.701</f>
        <v>-92.295473308399977</v>
      </c>
      <c r="C98" s="4" t="s">
        <v>168</v>
      </c>
      <c r="D98" s="4" t="s">
        <v>110</v>
      </c>
      <c r="E98" s="4" t="s">
        <v>56</v>
      </c>
      <c r="F98" s="5">
        <v>46.077794639267516</v>
      </c>
      <c r="G98" s="5">
        <v>8.8489388416581694</v>
      </c>
      <c r="H98" s="5">
        <v>4</v>
      </c>
      <c r="I98" s="5">
        <v>26</v>
      </c>
      <c r="J98" s="5">
        <v>10</v>
      </c>
      <c r="K98" s="5">
        <v>2014</v>
      </c>
      <c r="L98" s="4">
        <v>1</v>
      </c>
      <c r="M98" s="5">
        <v>323</v>
      </c>
      <c r="N98" t="s">
        <v>298</v>
      </c>
      <c r="O98">
        <f t="shared" si="8"/>
        <v>9</v>
      </c>
      <c r="P98" s="15">
        <f t="shared" ref="P98:P129" si="10">-5.6375 + (1.25*B98)</f>
        <v>-121.00684163549998</v>
      </c>
    </row>
    <row r="99" spans="1:16" hidden="1" x14ac:dyDescent="0.3">
      <c r="A99" s="9">
        <v>-96.296445899999981</v>
      </c>
      <c r="B99" s="12">
        <f t="shared" si="9"/>
        <v>-73.573220536099967</v>
      </c>
      <c r="C99" s="4" t="s">
        <v>183</v>
      </c>
      <c r="D99" s="4" t="s">
        <v>122</v>
      </c>
      <c r="E99" s="4" t="s">
        <v>56</v>
      </c>
      <c r="F99" s="5">
        <v>46.118476731385392</v>
      </c>
      <c r="G99" s="5">
        <v>8.8331713216757581</v>
      </c>
      <c r="H99" s="5">
        <v>4</v>
      </c>
      <c r="I99" s="5">
        <v>28</v>
      </c>
      <c r="J99" s="5">
        <v>10</v>
      </c>
      <c r="K99" s="5">
        <v>2014</v>
      </c>
      <c r="L99" s="4">
        <v>1</v>
      </c>
      <c r="M99" s="5">
        <v>305</v>
      </c>
      <c r="N99" t="s">
        <v>298</v>
      </c>
      <c r="O99">
        <f t="shared" si="8"/>
        <v>7</v>
      </c>
      <c r="P99" s="15">
        <f t="shared" si="10"/>
        <v>-97.604025670124955</v>
      </c>
    </row>
    <row r="100" spans="1:16" hidden="1" x14ac:dyDescent="0.3">
      <c r="A100" s="9">
        <v>-77.260764999999992</v>
      </c>
      <c r="B100" s="12">
        <f t="shared" si="9"/>
        <v>-54.937288934999991</v>
      </c>
      <c r="C100" s="4" t="s">
        <v>184</v>
      </c>
      <c r="D100" s="4" t="s">
        <v>185</v>
      </c>
      <c r="E100" s="4" t="s">
        <v>56</v>
      </c>
      <c r="F100" s="5">
        <v>46.118476731385392</v>
      </c>
      <c r="G100" s="5">
        <v>8.8331713216757581</v>
      </c>
      <c r="H100" s="5">
        <v>4</v>
      </c>
      <c r="I100" s="5">
        <v>28</v>
      </c>
      <c r="J100" s="5">
        <v>10</v>
      </c>
      <c r="K100" s="5">
        <v>2014</v>
      </c>
      <c r="L100" s="4">
        <v>1</v>
      </c>
      <c r="M100" s="5">
        <v>344</v>
      </c>
      <c r="N100" t="s">
        <v>298</v>
      </c>
      <c r="O100">
        <f t="shared" ref="O100:O131" si="11">ROUND(B100/10,0)*-1</f>
        <v>5</v>
      </c>
      <c r="P100" s="15">
        <f t="shared" si="10"/>
        <v>-74.309111168749993</v>
      </c>
    </row>
    <row r="101" spans="1:16" hidden="1" x14ac:dyDescent="0.3">
      <c r="A101" s="9">
        <v>-134.99328349999996</v>
      </c>
      <c r="B101" s="12">
        <f t="shared" si="9"/>
        <v>-111.45742454649996</v>
      </c>
      <c r="C101" s="4" t="s">
        <v>190</v>
      </c>
      <c r="D101" s="4" t="s">
        <v>191</v>
      </c>
      <c r="E101" s="4" t="s">
        <v>56</v>
      </c>
      <c r="F101" s="5">
        <v>46.135146902231604</v>
      </c>
      <c r="G101" s="5">
        <v>8.9364838136958138</v>
      </c>
      <c r="H101" s="5">
        <v>4</v>
      </c>
      <c r="I101" s="5">
        <v>29</v>
      </c>
      <c r="J101" s="5">
        <v>10</v>
      </c>
      <c r="K101" s="5">
        <v>2014</v>
      </c>
      <c r="L101" s="4">
        <v>1</v>
      </c>
      <c r="M101" s="5">
        <v>278</v>
      </c>
      <c r="N101" t="s">
        <v>298</v>
      </c>
      <c r="O101">
        <f t="shared" si="11"/>
        <v>11</v>
      </c>
      <c r="P101" s="15">
        <f t="shared" si="10"/>
        <v>-144.95928068312494</v>
      </c>
    </row>
    <row r="102" spans="1:16" hidden="1" x14ac:dyDescent="0.3">
      <c r="A102" s="9">
        <v>-89.217823299999992</v>
      </c>
      <c r="B102" s="12">
        <f t="shared" si="9"/>
        <v>-66.643249010700004</v>
      </c>
      <c r="C102" s="4" t="s">
        <v>206</v>
      </c>
      <c r="D102" s="4" t="s">
        <v>86</v>
      </c>
      <c r="E102" s="4" t="s">
        <v>56</v>
      </c>
      <c r="F102" s="5">
        <v>46.103400716132391</v>
      </c>
      <c r="G102" s="5">
        <v>8.955660828429723</v>
      </c>
      <c r="H102" s="5">
        <v>5</v>
      </c>
      <c r="I102" s="5">
        <v>4</v>
      </c>
      <c r="J102" s="5">
        <v>11</v>
      </c>
      <c r="K102" s="5">
        <v>2014</v>
      </c>
      <c r="L102" s="4">
        <v>1</v>
      </c>
      <c r="M102" s="5">
        <v>317</v>
      </c>
      <c r="N102" t="s">
        <v>298</v>
      </c>
      <c r="O102">
        <f t="shared" si="11"/>
        <v>7</v>
      </c>
      <c r="P102" s="15">
        <f t="shared" si="10"/>
        <v>-88.941561263375007</v>
      </c>
    </row>
    <row r="103" spans="1:16" hidden="1" x14ac:dyDescent="0.3">
      <c r="A103" s="9">
        <v>-109.89296719999999</v>
      </c>
      <c r="B103" s="12">
        <f t="shared" si="9"/>
        <v>-86.884214888799988</v>
      </c>
      <c r="C103" s="4" t="s">
        <v>214</v>
      </c>
      <c r="D103" s="4" t="s">
        <v>118</v>
      </c>
      <c r="E103" s="4" t="s">
        <v>56</v>
      </c>
      <c r="F103" s="5">
        <v>46.106391444971884</v>
      </c>
      <c r="G103" s="5">
        <v>8.9673855270503964</v>
      </c>
      <c r="H103" s="5">
        <v>5</v>
      </c>
      <c r="I103" s="5">
        <v>8</v>
      </c>
      <c r="J103" s="5">
        <v>11</v>
      </c>
      <c r="K103" s="5">
        <v>2014</v>
      </c>
      <c r="L103" s="4">
        <v>1</v>
      </c>
      <c r="M103" s="5">
        <v>267</v>
      </c>
      <c r="N103" t="s">
        <v>298</v>
      </c>
      <c r="O103">
        <f t="shared" si="11"/>
        <v>9</v>
      </c>
      <c r="P103" s="15">
        <f t="shared" si="10"/>
        <v>-114.24276861099999</v>
      </c>
    </row>
    <row r="104" spans="1:16" hidden="1" x14ac:dyDescent="0.3">
      <c r="A104" s="9">
        <v>-131.2087416</v>
      </c>
      <c r="B104" s="12">
        <f t="shared" si="9"/>
        <v>-107.7523580264</v>
      </c>
      <c r="C104" s="4" t="s">
        <v>215</v>
      </c>
      <c r="D104" s="4" t="s">
        <v>124</v>
      </c>
      <c r="E104" s="4" t="s">
        <v>56</v>
      </c>
      <c r="F104" s="5">
        <v>46.109433858065827</v>
      </c>
      <c r="G104" s="5">
        <v>8.9752322482999816</v>
      </c>
      <c r="H104" s="5">
        <v>4</v>
      </c>
      <c r="I104" s="5">
        <v>8</v>
      </c>
      <c r="J104" s="5">
        <v>11</v>
      </c>
      <c r="K104" s="5">
        <v>2014</v>
      </c>
      <c r="L104" s="4">
        <v>1</v>
      </c>
      <c r="M104" s="5">
        <v>329</v>
      </c>
      <c r="N104" t="s">
        <v>298</v>
      </c>
      <c r="O104">
        <f t="shared" si="11"/>
        <v>11</v>
      </c>
      <c r="P104" s="15">
        <f t="shared" si="10"/>
        <v>-140.32794753299999</v>
      </c>
    </row>
    <row r="105" spans="1:16" hidden="1" x14ac:dyDescent="0.3">
      <c r="A105" s="9">
        <v>-123.35998469999998</v>
      </c>
      <c r="B105" s="12">
        <f t="shared" si="9"/>
        <v>-100.06842502129999</v>
      </c>
      <c r="C105" s="4" t="s">
        <v>232</v>
      </c>
      <c r="D105" s="4" t="s">
        <v>233</v>
      </c>
      <c r="E105" s="4" t="s">
        <v>56</v>
      </c>
      <c r="F105" s="5">
        <v>46.105007307710842</v>
      </c>
      <c r="G105" s="5">
        <v>8.9699337126489773</v>
      </c>
      <c r="H105" s="5">
        <v>5</v>
      </c>
      <c r="I105" s="5">
        <v>11</v>
      </c>
      <c r="J105" s="5">
        <v>11</v>
      </c>
      <c r="K105" s="5">
        <v>2014</v>
      </c>
      <c r="L105" s="4">
        <v>1</v>
      </c>
      <c r="M105" s="5">
        <v>311</v>
      </c>
      <c r="N105" t="s">
        <v>298</v>
      </c>
      <c r="O105">
        <f t="shared" si="11"/>
        <v>10</v>
      </c>
      <c r="P105" s="15">
        <f t="shared" si="10"/>
        <v>-130.72303127662497</v>
      </c>
    </row>
    <row r="106" spans="1:16" hidden="1" x14ac:dyDescent="0.3">
      <c r="A106" s="9">
        <v>-78.161780800000003</v>
      </c>
      <c r="B106" s="12">
        <f t="shared" si="9"/>
        <v>-55.8193834032</v>
      </c>
      <c r="C106" s="4" t="s">
        <v>234</v>
      </c>
      <c r="D106" s="4" t="s">
        <v>235</v>
      </c>
      <c r="E106" s="4" t="s">
        <v>56</v>
      </c>
      <c r="F106" s="5">
        <v>46.09452826140415</v>
      </c>
      <c r="G106" s="5">
        <v>8.946361709420394</v>
      </c>
      <c r="H106" s="5">
        <v>5</v>
      </c>
      <c r="I106" s="5">
        <v>12</v>
      </c>
      <c r="J106" s="5">
        <v>11</v>
      </c>
      <c r="K106" s="5">
        <v>2014</v>
      </c>
      <c r="L106" s="4">
        <v>1</v>
      </c>
      <c r="M106" s="5">
        <v>378</v>
      </c>
      <c r="N106" t="s">
        <v>298</v>
      </c>
      <c r="O106">
        <f t="shared" si="11"/>
        <v>6</v>
      </c>
      <c r="P106" s="15">
        <f t="shared" si="10"/>
        <v>-75.411729254000008</v>
      </c>
    </row>
    <row r="107" spans="1:16" hidden="1" x14ac:dyDescent="0.3">
      <c r="A107" s="9">
        <v>-110.16575179999998</v>
      </c>
      <c r="B107" s="12">
        <f t="shared" si="9"/>
        <v>-87.15127101219997</v>
      </c>
      <c r="C107" s="4" t="s">
        <v>240</v>
      </c>
      <c r="D107" s="4" t="s">
        <v>241</v>
      </c>
      <c r="E107" s="4" t="s">
        <v>56</v>
      </c>
      <c r="F107" s="5">
        <v>46.109451462602898</v>
      </c>
      <c r="G107" s="5">
        <v>8.9739391595707119</v>
      </c>
      <c r="H107" s="5">
        <v>5</v>
      </c>
      <c r="I107" s="5">
        <v>15</v>
      </c>
      <c r="J107" s="5">
        <v>11</v>
      </c>
      <c r="K107" s="5">
        <v>2014</v>
      </c>
      <c r="L107" s="4">
        <v>1</v>
      </c>
      <c r="M107" s="5">
        <v>309</v>
      </c>
      <c r="N107" t="s">
        <v>298</v>
      </c>
      <c r="O107">
        <f t="shared" si="11"/>
        <v>9</v>
      </c>
      <c r="P107" s="15">
        <f t="shared" si="10"/>
        <v>-114.57658876524997</v>
      </c>
    </row>
    <row r="108" spans="1:16" hidden="1" x14ac:dyDescent="0.3">
      <c r="A108" s="9">
        <v>-95.728833500000007</v>
      </c>
      <c r="B108" s="12">
        <f t="shared" si="9"/>
        <v>-73.017527996500007</v>
      </c>
      <c r="C108" s="4" t="s">
        <v>216</v>
      </c>
      <c r="D108" s="4" t="s">
        <v>217</v>
      </c>
      <c r="E108" s="4" t="s">
        <v>56</v>
      </c>
      <c r="F108" s="5">
        <v>46.49810990043256</v>
      </c>
      <c r="G108" s="5">
        <v>8.9250605138170744</v>
      </c>
      <c r="H108" s="5">
        <v>4</v>
      </c>
      <c r="I108" s="5">
        <v>8</v>
      </c>
      <c r="J108" s="5">
        <v>11</v>
      </c>
      <c r="K108" s="5">
        <v>2014</v>
      </c>
      <c r="L108" s="4">
        <v>1</v>
      </c>
      <c r="M108" s="5">
        <v>329</v>
      </c>
      <c r="N108" t="s">
        <v>298</v>
      </c>
      <c r="O108">
        <f t="shared" si="11"/>
        <v>7</v>
      </c>
      <c r="P108" s="15">
        <f t="shared" si="10"/>
        <v>-96.909409995625012</v>
      </c>
    </row>
    <row r="109" spans="1:16" hidden="1" x14ac:dyDescent="0.3">
      <c r="A109" s="9">
        <v>-95.637004000000019</v>
      </c>
      <c r="B109" s="12">
        <f t="shared" si="9"/>
        <v>-72.927626916000008</v>
      </c>
      <c r="C109" s="4" t="s">
        <v>159</v>
      </c>
      <c r="D109" s="4" t="s">
        <v>160</v>
      </c>
      <c r="E109" s="4" t="s">
        <v>56</v>
      </c>
      <c r="F109" s="5">
        <v>46.494991329322943</v>
      </c>
      <c r="G109" s="5">
        <v>8.9316582165871026</v>
      </c>
      <c r="H109" s="5">
        <v>6</v>
      </c>
      <c r="I109" s="5">
        <v>25</v>
      </c>
      <c r="J109" s="5">
        <v>10</v>
      </c>
      <c r="K109" s="5">
        <v>2014</v>
      </c>
      <c r="L109" s="4">
        <v>1</v>
      </c>
      <c r="M109" s="5">
        <v>292</v>
      </c>
      <c r="N109" t="s">
        <v>298</v>
      </c>
      <c r="O109">
        <f t="shared" si="11"/>
        <v>7</v>
      </c>
      <c r="P109" s="15">
        <f t="shared" si="10"/>
        <v>-96.797033645000013</v>
      </c>
    </row>
    <row r="110" spans="1:16" hidden="1" x14ac:dyDescent="0.3">
      <c r="A110" s="9">
        <v>-85.987116799999995</v>
      </c>
      <c r="B110" s="12">
        <f t="shared" si="9"/>
        <v>-63.480387347199986</v>
      </c>
      <c r="C110" s="4" t="s">
        <v>202</v>
      </c>
      <c r="D110" s="4" t="s">
        <v>203</v>
      </c>
      <c r="E110" s="4" t="s">
        <v>56</v>
      </c>
      <c r="F110" s="5">
        <v>46.487488335248038</v>
      </c>
      <c r="G110" s="5">
        <v>8.9274915633626222</v>
      </c>
      <c r="H110" s="5">
        <v>6</v>
      </c>
      <c r="I110" s="5">
        <v>1</v>
      </c>
      <c r="J110" s="5">
        <v>11</v>
      </c>
      <c r="K110" s="5">
        <v>2014</v>
      </c>
      <c r="L110" s="4">
        <v>1</v>
      </c>
      <c r="M110" s="5">
        <v>312</v>
      </c>
      <c r="N110" t="s">
        <v>298</v>
      </c>
      <c r="O110">
        <f t="shared" si="11"/>
        <v>6</v>
      </c>
      <c r="P110" s="15">
        <f t="shared" si="10"/>
        <v>-84.987984183999984</v>
      </c>
    </row>
    <row r="111" spans="1:16" hidden="1" x14ac:dyDescent="0.3">
      <c r="A111" s="9">
        <v>-94.209230399999996</v>
      </c>
      <c r="B111" s="12">
        <f t="shared" si="9"/>
        <v>-71.529836561600007</v>
      </c>
      <c r="C111" s="4" t="s">
        <v>218</v>
      </c>
      <c r="D111" s="4" t="s">
        <v>219</v>
      </c>
      <c r="E111" s="4" t="s">
        <v>56</v>
      </c>
      <c r="F111" s="5">
        <v>46.489154660212861</v>
      </c>
      <c r="G111" s="5">
        <v>8.9266645832496447</v>
      </c>
      <c r="H111" s="5">
        <v>4</v>
      </c>
      <c r="I111" s="5">
        <v>8</v>
      </c>
      <c r="J111" s="5">
        <v>11</v>
      </c>
      <c r="K111" s="5">
        <v>2014</v>
      </c>
      <c r="L111" s="4">
        <v>1</v>
      </c>
      <c r="M111" s="5">
        <v>329</v>
      </c>
      <c r="N111" t="s">
        <v>298</v>
      </c>
      <c r="O111">
        <f t="shared" si="11"/>
        <v>7</v>
      </c>
      <c r="P111" s="15">
        <f t="shared" si="10"/>
        <v>-95.049795702000011</v>
      </c>
    </row>
    <row r="112" spans="1:16" hidden="1" x14ac:dyDescent="0.3">
      <c r="A112" s="9">
        <v>-74.727631599999995</v>
      </c>
      <c r="B112" s="12">
        <f t="shared" si="9"/>
        <v>-52.457351336399988</v>
      </c>
      <c r="C112" s="4" t="s">
        <v>250</v>
      </c>
      <c r="D112" s="4" t="s">
        <v>251</v>
      </c>
      <c r="E112" s="4" t="s">
        <v>56</v>
      </c>
      <c r="F112" s="5">
        <v>46.123132870153256</v>
      </c>
      <c r="G112" s="5">
        <v>8.8203516526896149</v>
      </c>
      <c r="H112" s="5">
        <v>3</v>
      </c>
      <c r="I112" s="5">
        <v>18</v>
      </c>
      <c r="J112" s="5">
        <v>11</v>
      </c>
      <c r="K112" s="5">
        <v>2014</v>
      </c>
      <c r="L112" s="4">
        <v>1</v>
      </c>
      <c r="M112" s="5">
        <v>309</v>
      </c>
      <c r="N112" t="s">
        <v>298</v>
      </c>
      <c r="O112">
        <f t="shared" si="11"/>
        <v>5</v>
      </c>
      <c r="P112" s="15">
        <f t="shared" si="10"/>
        <v>-71.209189170499982</v>
      </c>
    </row>
    <row r="113" spans="1:16" hidden="1" x14ac:dyDescent="0.3">
      <c r="A113" s="9">
        <v>-64.545323200000013</v>
      </c>
      <c r="B113" s="12">
        <f t="shared" si="9"/>
        <v>-42.488871412800009</v>
      </c>
      <c r="C113" s="4" t="s">
        <v>161</v>
      </c>
      <c r="D113" s="4" t="s">
        <v>162</v>
      </c>
      <c r="E113" s="4" t="s">
        <v>11</v>
      </c>
      <c r="F113" s="5">
        <v>47.027344687981973</v>
      </c>
      <c r="G113" s="5">
        <v>6.8127679056047112</v>
      </c>
      <c r="H113" s="5">
        <v>6</v>
      </c>
      <c r="I113" s="5">
        <v>25</v>
      </c>
      <c r="J113" s="5">
        <v>10</v>
      </c>
      <c r="K113" s="5">
        <v>2014</v>
      </c>
      <c r="L113" s="4">
        <v>1</v>
      </c>
      <c r="M113" s="5">
        <v>325</v>
      </c>
      <c r="N113" t="s">
        <v>298</v>
      </c>
      <c r="O113">
        <f t="shared" si="11"/>
        <v>4</v>
      </c>
      <c r="P113" s="15">
        <f t="shared" si="10"/>
        <v>-58.74858926600001</v>
      </c>
    </row>
    <row r="114" spans="1:16" hidden="1" x14ac:dyDescent="0.3">
      <c r="A114" s="9">
        <v>-78.745379200000002</v>
      </c>
      <c r="B114" s="12">
        <f t="shared" si="9"/>
        <v>-56.390726236799999</v>
      </c>
      <c r="C114" s="4" t="s">
        <v>204</v>
      </c>
      <c r="D114" s="4" t="s">
        <v>205</v>
      </c>
      <c r="E114" s="4" t="s">
        <v>11</v>
      </c>
      <c r="F114" s="5">
        <v>47.092066652964199</v>
      </c>
      <c r="G114" s="5">
        <v>6.9214498248237364</v>
      </c>
      <c r="H114" s="5">
        <v>6</v>
      </c>
      <c r="I114" s="5">
        <v>1</v>
      </c>
      <c r="J114" s="5">
        <v>11</v>
      </c>
      <c r="K114" s="5">
        <v>2014</v>
      </c>
      <c r="L114" s="4">
        <v>1</v>
      </c>
      <c r="M114" s="5">
        <v>328</v>
      </c>
      <c r="N114" t="s">
        <v>298</v>
      </c>
      <c r="O114">
        <f t="shared" si="11"/>
        <v>6</v>
      </c>
      <c r="P114" s="15">
        <f t="shared" si="10"/>
        <v>-76.125907796000007</v>
      </c>
    </row>
    <row r="115" spans="1:16" hidden="1" x14ac:dyDescent="0.3">
      <c r="A115" s="9">
        <v>-62.125432000000018</v>
      </c>
      <c r="B115" s="12">
        <f t="shared" si="9"/>
        <v>-40.119797928000018</v>
      </c>
      <c r="C115" s="4" t="s">
        <v>220</v>
      </c>
      <c r="D115" s="4" t="s">
        <v>221</v>
      </c>
      <c r="E115" s="4" t="s">
        <v>11</v>
      </c>
      <c r="F115" s="5">
        <v>47.012114380365432</v>
      </c>
      <c r="G115" s="5">
        <v>6.8076322992849514</v>
      </c>
      <c r="H115" s="5">
        <v>6</v>
      </c>
      <c r="I115" s="5">
        <v>8</v>
      </c>
      <c r="J115" s="5">
        <v>11</v>
      </c>
      <c r="K115" s="5">
        <v>2014</v>
      </c>
      <c r="L115" s="4">
        <v>1</v>
      </c>
      <c r="M115" s="5">
        <v>369</v>
      </c>
      <c r="N115" t="s">
        <v>298</v>
      </c>
      <c r="O115">
        <f t="shared" si="11"/>
        <v>4</v>
      </c>
      <c r="P115" s="15">
        <f t="shared" si="10"/>
        <v>-55.787247410000028</v>
      </c>
    </row>
    <row r="116" spans="1:16" hidden="1" x14ac:dyDescent="0.3">
      <c r="A116" s="9">
        <v>-75.23877760000002</v>
      </c>
      <c r="B116" s="12">
        <f t="shared" si="9"/>
        <v>-52.957763270400015</v>
      </c>
      <c r="C116" s="4" t="s">
        <v>236</v>
      </c>
      <c r="D116" s="4" t="s">
        <v>237</v>
      </c>
      <c r="E116" s="4" t="s">
        <v>11</v>
      </c>
      <c r="F116" s="5">
        <v>47.097159919644028</v>
      </c>
      <c r="G116" s="5">
        <v>7.002158915521278</v>
      </c>
      <c r="H116" s="5">
        <v>6</v>
      </c>
      <c r="I116" s="5">
        <v>14</v>
      </c>
      <c r="J116" s="5">
        <v>11</v>
      </c>
      <c r="K116" s="5">
        <v>2014</v>
      </c>
      <c r="L116" s="4">
        <v>1</v>
      </c>
      <c r="M116" s="5">
        <v>370</v>
      </c>
      <c r="N116" t="s">
        <v>298</v>
      </c>
      <c r="O116">
        <f t="shared" si="11"/>
        <v>5</v>
      </c>
      <c r="P116" s="15">
        <f t="shared" si="10"/>
        <v>-71.834704088000024</v>
      </c>
    </row>
    <row r="117" spans="1:16" hidden="1" x14ac:dyDescent="0.3">
      <c r="A117" s="9">
        <v>-115.47402990000001</v>
      </c>
      <c r="B117" s="12">
        <f t="shared" si="9"/>
        <v>-92.348075272100004</v>
      </c>
      <c r="C117" s="4" t="s">
        <v>238</v>
      </c>
      <c r="D117" s="4" t="s">
        <v>239</v>
      </c>
      <c r="E117" s="4" t="s">
        <v>139</v>
      </c>
      <c r="F117" s="5">
        <v>46.908028500024542</v>
      </c>
      <c r="G117" s="5">
        <v>6.6707802367828473</v>
      </c>
      <c r="H117" s="5">
        <v>3</v>
      </c>
      <c r="I117" s="5">
        <v>14</v>
      </c>
      <c r="J117" s="5">
        <v>11</v>
      </c>
      <c r="K117" s="5">
        <v>2014</v>
      </c>
      <c r="L117" s="4">
        <v>1</v>
      </c>
      <c r="M117" s="5">
        <v>355</v>
      </c>
      <c r="N117" t="s">
        <v>298</v>
      </c>
      <c r="O117">
        <f t="shared" si="11"/>
        <v>9</v>
      </c>
      <c r="P117" s="15">
        <f t="shared" si="10"/>
        <v>-121.07259409012501</v>
      </c>
    </row>
    <row r="118" spans="1:16" x14ac:dyDescent="0.3">
      <c r="A118" s="9">
        <v>-106.05607269999999</v>
      </c>
      <c r="B118" s="12">
        <f t="shared" si="9"/>
        <v>-83.127895173299976</v>
      </c>
      <c r="C118" s="4" t="s">
        <v>169</v>
      </c>
      <c r="D118" s="4" t="s">
        <v>170</v>
      </c>
      <c r="E118" s="4" t="s">
        <v>56</v>
      </c>
      <c r="F118" s="5">
        <v>46.082342993721369</v>
      </c>
      <c r="G118" s="5">
        <v>9.0468752285422642</v>
      </c>
      <c r="H118" s="5">
        <v>5</v>
      </c>
      <c r="I118" s="5">
        <v>26</v>
      </c>
      <c r="J118" s="5">
        <v>10</v>
      </c>
      <c r="K118" s="5">
        <v>2014</v>
      </c>
      <c r="L118" s="4">
        <v>1</v>
      </c>
      <c r="M118" s="5">
        <v>310</v>
      </c>
      <c r="N118" t="s">
        <v>298</v>
      </c>
      <c r="O118">
        <f t="shared" si="11"/>
        <v>8</v>
      </c>
      <c r="P118" s="15">
        <f t="shared" si="10"/>
        <v>-109.54736896662497</v>
      </c>
    </row>
    <row r="119" spans="1:16" hidden="1" x14ac:dyDescent="0.3">
      <c r="A119" s="9">
        <v>-83.815861599999977</v>
      </c>
      <c r="B119" s="12">
        <f t="shared" si="9"/>
        <v>-61.354728506399972</v>
      </c>
      <c r="C119" s="4" t="s">
        <v>207</v>
      </c>
      <c r="D119" s="4" t="s">
        <v>208</v>
      </c>
      <c r="E119" s="4" t="s">
        <v>56</v>
      </c>
      <c r="F119" s="5">
        <v>46.08314999680934</v>
      </c>
      <c r="G119" s="5">
        <v>9.0533639190386701</v>
      </c>
      <c r="H119" s="5">
        <v>5</v>
      </c>
      <c r="I119" s="5">
        <v>5</v>
      </c>
      <c r="J119" s="5">
        <v>11</v>
      </c>
      <c r="K119" s="5">
        <v>2014</v>
      </c>
      <c r="L119" s="4">
        <v>1</v>
      </c>
      <c r="M119" s="5">
        <v>350</v>
      </c>
      <c r="N119" t="s">
        <v>298</v>
      </c>
      <c r="O119">
        <f t="shared" si="11"/>
        <v>6</v>
      </c>
      <c r="P119" s="15">
        <f t="shared" si="10"/>
        <v>-82.330910632999974</v>
      </c>
    </row>
    <row r="120" spans="1:16" x14ac:dyDescent="0.3">
      <c r="A120" s="9">
        <v>-98.610981899999985</v>
      </c>
      <c r="B120" s="12">
        <f t="shared" si="9"/>
        <v>-75.839151280099969</v>
      </c>
      <c r="C120" s="4" t="s">
        <v>246</v>
      </c>
      <c r="D120" s="4" t="s">
        <v>247</v>
      </c>
      <c r="E120" s="4" t="s">
        <v>56</v>
      </c>
      <c r="F120" s="5">
        <v>46.217793519168232</v>
      </c>
      <c r="G120" s="5">
        <v>8.6130847754538014</v>
      </c>
      <c r="H120" s="5">
        <v>5</v>
      </c>
      <c r="I120" s="5">
        <v>16</v>
      </c>
      <c r="J120" s="5">
        <v>11</v>
      </c>
      <c r="K120" s="5">
        <v>2014</v>
      </c>
      <c r="L120" s="4">
        <v>1</v>
      </c>
      <c r="M120" s="5">
        <v>340</v>
      </c>
      <c r="N120" t="s">
        <v>298</v>
      </c>
      <c r="O120">
        <f t="shared" si="11"/>
        <v>8</v>
      </c>
      <c r="P120" s="15">
        <f t="shared" si="10"/>
        <v>-100.43643910012496</v>
      </c>
    </row>
    <row r="121" spans="1:16" x14ac:dyDescent="0.3">
      <c r="A121" s="9">
        <v>-98.035103299999975</v>
      </c>
      <c r="B121" s="12">
        <f t="shared" si="9"/>
        <v>-75.275366130699979</v>
      </c>
      <c r="C121" s="4" t="s">
        <v>252</v>
      </c>
      <c r="D121" s="4" t="s">
        <v>253</v>
      </c>
      <c r="E121" s="4" t="s">
        <v>56</v>
      </c>
      <c r="F121" s="5">
        <v>46.204301233476414</v>
      </c>
      <c r="G121" s="5">
        <v>8.6419222833821934</v>
      </c>
      <c r="H121" s="5">
        <v>6</v>
      </c>
      <c r="I121" s="5">
        <v>18</v>
      </c>
      <c r="J121" s="5">
        <v>11</v>
      </c>
      <c r="K121" s="5">
        <v>2014</v>
      </c>
      <c r="L121" s="4">
        <v>1</v>
      </c>
      <c r="M121" s="5">
        <v>318</v>
      </c>
      <c r="N121" t="s">
        <v>298</v>
      </c>
      <c r="O121">
        <f t="shared" si="11"/>
        <v>8</v>
      </c>
      <c r="P121" s="15">
        <f t="shared" si="10"/>
        <v>-99.731707663374976</v>
      </c>
    </row>
    <row r="122" spans="1:16" hidden="1" x14ac:dyDescent="0.3">
      <c r="A122" s="9">
        <v>-94.736546800000013</v>
      </c>
      <c r="B122" s="12">
        <f t="shared" si="9"/>
        <v>-72.046079317200025</v>
      </c>
      <c r="C122" s="4" t="s">
        <v>256</v>
      </c>
      <c r="D122" s="4" t="s">
        <v>257</v>
      </c>
      <c r="E122" s="4" t="s">
        <v>56</v>
      </c>
      <c r="F122" s="5">
        <v>46.336732521016984</v>
      </c>
      <c r="G122" s="5">
        <v>8.6187592509243824</v>
      </c>
      <c r="H122" s="5">
        <v>6</v>
      </c>
      <c r="I122" s="5">
        <v>19</v>
      </c>
      <c r="J122" s="5">
        <v>11</v>
      </c>
      <c r="K122" s="5">
        <v>2014</v>
      </c>
      <c r="L122" s="4">
        <v>1</v>
      </c>
      <c r="M122" s="5">
        <v>345</v>
      </c>
      <c r="N122" t="s">
        <v>298</v>
      </c>
      <c r="O122">
        <f t="shared" si="11"/>
        <v>7</v>
      </c>
      <c r="P122" s="15">
        <f t="shared" si="10"/>
        <v>-95.695099146500027</v>
      </c>
    </row>
    <row r="123" spans="1:16" hidden="1" x14ac:dyDescent="0.3">
      <c r="A123" s="9">
        <v>-123.06515690000001</v>
      </c>
      <c r="B123" s="12">
        <f t="shared" si="9"/>
        <v>-99.779788605100009</v>
      </c>
      <c r="C123" s="4" t="s">
        <v>163</v>
      </c>
      <c r="D123" s="4" t="s">
        <v>164</v>
      </c>
      <c r="E123" s="4" t="s">
        <v>56</v>
      </c>
      <c r="F123" s="5">
        <v>46.200965426487478</v>
      </c>
      <c r="G123" s="5">
        <v>8.5476284105774472</v>
      </c>
      <c r="H123" s="5">
        <v>5</v>
      </c>
      <c r="I123" s="5">
        <v>25</v>
      </c>
      <c r="J123" s="5">
        <v>10</v>
      </c>
      <c r="K123" s="5">
        <v>2014</v>
      </c>
      <c r="L123" s="4">
        <v>1</v>
      </c>
      <c r="M123" s="5">
        <v>388</v>
      </c>
      <c r="N123" t="s">
        <v>298</v>
      </c>
      <c r="O123">
        <f t="shared" si="11"/>
        <v>10</v>
      </c>
      <c r="P123" s="15">
        <f t="shared" si="10"/>
        <v>-130.36223575637501</v>
      </c>
    </row>
    <row r="124" spans="1:16" hidden="1" x14ac:dyDescent="0.3">
      <c r="A124" s="9">
        <v>-86.425172800000013</v>
      </c>
      <c r="B124" s="12">
        <f t="shared" si="9"/>
        <v>-63.909244171200008</v>
      </c>
      <c r="C124" s="4" t="s">
        <v>226</v>
      </c>
      <c r="D124" s="4" t="s">
        <v>227</v>
      </c>
      <c r="E124" s="4" t="s">
        <v>56</v>
      </c>
      <c r="F124" s="5">
        <v>46.221265691278958</v>
      </c>
      <c r="G124" s="5">
        <v>8.6226215057875883</v>
      </c>
      <c r="H124" s="5">
        <v>6</v>
      </c>
      <c r="I124" s="5">
        <v>9</v>
      </c>
      <c r="J124" s="5">
        <v>11</v>
      </c>
      <c r="K124" s="5">
        <v>2014</v>
      </c>
      <c r="L124" s="4">
        <v>1</v>
      </c>
      <c r="M124" s="5">
        <v>298</v>
      </c>
      <c r="N124" t="s">
        <v>298</v>
      </c>
      <c r="O124">
        <f t="shared" si="11"/>
        <v>6</v>
      </c>
      <c r="P124" s="15">
        <f t="shared" si="10"/>
        <v>-85.524055214000015</v>
      </c>
    </row>
    <row r="125" spans="1:16" hidden="1" x14ac:dyDescent="0.3">
      <c r="A125" s="9">
        <v>-73.717320599999994</v>
      </c>
      <c r="B125" s="12">
        <f t="shared" si="9"/>
        <v>-51.468256867399994</v>
      </c>
      <c r="C125" s="4" t="s">
        <v>156</v>
      </c>
      <c r="D125" s="4" t="s">
        <v>157</v>
      </c>
      <c r="E125" s="4" t="s">
        <v>56</v>
      </c>
      <c r="F125" s="5">
        <v>46.209936405294862</v>
      </c>
      <c r="G125" s="5">
        <v>8.562052534619351</v>
      </c>
      <c r="H125" s="5">
        <v>6</v>
      </c>
      <c r="I125" s="5">
        <v>21</v>
      </c>
      <c r="J125" s="5">
        <v>10</v>
      </c>
      <c r="K125" s="5">
        <v>2014</v>
      </c>
      <c r="L125" s="4">
        <v>1</v>
      </c>
      <c r="M125" s="5">
        <v>281</v>
      </c>
      <c r="N125" t="s">
        <v>298</v>
      </c>
      <c r="O125">
        <f t="shared" si="11"/>
        <v>5</v>
      </c>
      <c r="P125" s="15">
        <f t="shared" si="10"/>
        <v>-69.97282108425</v>
      </c>
    </row>
    <row r="126" spans="1:16" hidden="1" x14ac:dyDescent="0.3">
      <c r="A126" s="9">
        <v>-91.260952399999979</v>
      </c>
      <c r="B126" s="12">
        <f t="shared" si="9"/>
        <v>-68.643472399599972</v>
      </c>
      <c r="C126" s="4" t="s">
        <v>171</v>
      </c>
      <c r="D126" s="4" t="s">
        <v>172</v>
      </c>
      <c r="E126" s="4" t="s">
        <v>56</v>
      </c>
      <c r="F126" s="5">
        <v>46.208087569402025</v>
      </c>
      <c r="G126" s="5">
        <v>8.5470218021675777</v>
      </c>
      <c r="H126" s="5">
        <v>6</v>
      </c>
      <c r="I126" s="5">
        <v>26</v>
      </c>
      <c r="J126" s="5">
        <v>10</v>
      </c>
      <c r="K126" s="5">
        <v>2014</v>
      </c>
      <c r="L126" s="4">
        <v>1</v>
      </c>
      <c r="M126" s="5">
        <v>295</v>
      </c>
      <c r="N126" t="s">
        <v>298</v>
      </c>
      <c r="O126">
        <f t="shared" si="11"/>
        <v>7</v>
      </c>
      <c r="P126" s="15">
        <f t="shared" si="10"/>
        <v>-91.441840499499975</v>
      </c>
    </row>
    <row r="127" spans="1:16" x14ac:dyDescent="0.3">
      <c r="A127" s="9">
        <v>-100.15262819999998</v>
      </c>
      <c r="B127" s="12">
        <f t="shared" si="9"/>
        <v>-77.348423007799965</v>
      </c>
      <c r="C127" s="4" t="s">
        <v>186</v>
      </c>
      <c r="D127" s="4" t="s">
        <v>187</v>
      </c>
      <c r="E127" s="4" t="s">
        <v>56</v>
      </c>
      <c r="F127" s="5">
        <v>46.204610350160721</v>
      </c>
      <c r="G127" s="5">
        <v>8.5493222620374638</v>
      </c>
      <c r="H127" s="5">
        <v>6</v>
      </c>
      <c r="I127" s="5">
        <v>28</v>
      </c>
      <c r="J127" s="5">
        <v>10</v>
      </c>
      <c r="K127" s="5">
        <v>2014</v>
      </c>
      <c r="L127" s="4">
        <v>1</v>
      </c>
      <c r="M127" s="5">
        <v>288</v>
      </c>
      <c r="N127" t="s">
        <v>298</v>
      </c>
      <c r="O127">
        <f t="shared" si="11"/>
        <v>8</v>
      </c>
      <c r="P127" s="15">
        <f t="shared" si="10"/>
        <v>-102.32302875974996</v>
      </c>
    </row>
    <row r="128" spans="1:16" x14ac:dyDescent="0.3">
      <c r="A128" s="9">
        <v>-104.15843800000002</v>
      </c>
      <c r="B128" s="12">
        <f t="shared" si="9"/>
        <v>-81.270110802000005</v>
      </c>
      <c r="C128" s="4" t="s">
        <v>222</v>
      </c>
      <c r="D128" s="4" t="s">
        <v>223</v>
      </c>
      <c r="E128" s="4" t="s">
        <v>56</v>
      </c>
      <c r="F128" s="5">
        <v>46.216993889947702</v>
      </c>
      <c r="G128" s="5">
        <v>8.7293368090346668</v>
      </c>
      <c r="H128" s="5">
        <v>6</v>
      </c>
      <c r="I128" s="5">
        <v>8</v>
      </c>
      <c r="J128" s="5">
        <v>11</v>
      </c>
      <c r="K128" s="5">
        <v>2014</v>
      </c>
      <c r="L128" s="4">
        <v>1</v>
      </c>
      <c r="M128" s="5">
        <v>291</v>
      </c>
      <c r="N128" t="s">
        <v>298</v>
      </c>
      <c r="O128">
        <f t="shared" si="11"/>
        <v>8</v>
      </c>
      <c r="P128" s="15">
        <f t="shared" si="10"/>
        <v>-107.2251385025</v>
      </c>
    </row>
    <row r="129" spans="1:16" hidden="1" x14ac:dyDescent="0.3">
      <c r="A129" s="9">
        <v>-58.980063699999988</v>
      </c>
      <c r="B129" s="12">
        <f t="shared" si="9"/>
        <v>-37.04048236229999</v>
      </c>
      <c r="C129" s="4" t="s">
        <v>228</v>
      </c>
      <c r="D129" s="4" t="s">
        <v>229</v>
      </c>
      <c r="E129" s="4" t="s">
        <v>56</v>
      </c>
      <c r="F129" s="5">
        <v>46.195616819111912</v>
      </c>
      <c r="G129" s="5">
        <v>8.6139671495415442</v>
      </c>
      <c r="H129" s="5">
        <v>5</v>
      </c>
      <c r="I129" s="5">
        <v>9</v>
      </c>
      <c r="J129" s="5">
        <v>11</v>
      </c>
      <c r="K129" s="5">
        <v>2014</v>
      </c>
      <c r="L129" s="4">
        <v>1</v>
      </c>
      <c r="M129" s="5">
        <v>312</v>
      </c>
      <c r="N129" t="s">
        <v>298</v>
      </c>
      <c r="O129">
        <f t="shared" si="11"/>
        <v>4</v>
      </c>
      <c r="P129" s="15">
        <f t="shared" si="10"/>
        <v>-51.938102952874992</v>
      </c>
    </row>
    <row r="130" spans="1:16" hidden="1" x14ac:dyDescent="0.3">
      <c r="A130" s="9">
        <v>-121.47578440000004</v>
      </c>
      <c r="B130" s="12">
        <f t="shared" ref="B130:B153" si="12">0.979*A130+20.701</f>
        <v>-98.223792927600044</v>
      </c>
      <c r="C130" s="4" t="s">
        <v>230</v>
      </c>
      <c r="D130" s="4" t="s">
        <v>231</v>
      </c>
      <c r="E130" s="4" t="s">
        <v>56</v>
      </c>
      <c r="F130" s="5">
        <v>46.195616819111912</v>
      </c>
      <c r="G130" s="5">
        <v>8.6139671495415442</v>
      </c>
      <c r="H130" s="5">
        <v>6</v>
      </c>
      <c r="I130" s="5">
        <v>9</v>
      </c>
      <c r="J130" s="5">
        <v>11</v>
      </c>
      <c r="K130" s="5">
        <v>2014</v>
      </c>
      <c r="L130" s="4">
        <v>1</v>
      </c>
      <c r="M130" s="5">
        <v>292</v>
      </c>
      <c r="N130" t="s">
        <v>298</v>
      </c>
      <c r="O130">
        <f t="shared" si="11"/>
        <v>10</v>
      </c>
      <c r="P130" s="15">
        <f t="shared" ref="P130:P153" si="13">-5.6375 + (1.25*B130)</f>
        <v>-128.41724115950004</v>
      </c>
    </row>
    <row r="131" spans="1:16" x14ac:dyDescent="0.3">
      <c r="A131" s="10">
        <v>-100.26246150000001</v>
      </c>
      <c r="B131" s="12">
        <f t="shared" si="12"/>
        <v>-77.455949808500009</v>
      </c>
      <c r="C131" s="7" t="s">
        <v>275</v>
      </c>
      <c r="D131" s="7" t="s">
        <v>255</v>
      </c>
      <c r="E131" s="7" t="s">
        <v>56</v>
      </c>
      <c r="F131" s="7">
        <v>46.220757820189959</v>
      </c>
      <c r="G131" s="7">
        <v>8.6783963958766197</v>
      </c>
      <c r="H131" s="6">
        <v>6</v>
      </c>
      <c r="I131" s="6">
        <v>17</v>
      </c>
      <c r="J131" s="6">
        <v>10</v>
      </c>
      <c r="K131" s="6">
        <v>2015</v>
      </c>
      <c r="L131" s="7">
        <v>1</v>
      </c>
      <c r="M131" s="6">
        <v>270</v>
      </c>
      <c r="N131" t="s">
        <v>298</v>
      </c>
      <c r="O131">
        <f t="shared" si="11"/>
        <v>8</v>
      </c>
      <c r="P131" s="15">
        <f t="shared" si="13"/>
        <v>-102.45743726062501</v>
      </c>
    </row>
    <row r="132" spans="1:16" hidden="1" x14ac:dyDescent="0.3">
      <c r="A132" s="10">
        <v>-111.12323000000002</v>
      </c>
      <c r="B132" s="12">
        <f t="shared" si="12"/>
        <v>-88.088642170000014</v>
      </c>
      <c r="C132" s="7" t="s">
        <v>271</v>
      </c>
      <c r="D132" s="7" t="s">
        <v>174</v>
      </c>
      <c r="E132" s="7" t="s">
        <v>56</v>
      </c>
      <c r="F132" s="7">
        <v>46.221743780068699</v>
      </c>
      <c r="G132" s="7">
        <v>8.6622167162442096</v>
      </c>
      <c r="H132" s="6">
        <v>6</v>
      </c>
      <c r="I132" s="6">
        <v>22</v>
      </c>
      <c r="J132" s="6">
        <v>11</v>
      </c>
      <c r="K132" s="6">
        <v>2015</v>
      </c>
      <c r="L132" s="7">
        <v>1</v>
      </c>
      <c r="M132" s="6">
        <v>300</v>
      </c>
      <c r="N132" t="s">
        <v>298</v>
      </c>
      <c r="O132">
        <f t="shared" ref="O132:O153" si="14">ROUND(B132/10,0)*-1</f>
        <v>9</v>
      </c>
      <c r="P132" s="15">
        <f t="shared" si="13"/>
        <v>-115.74830271250002</v>
      </c>
    </row>
    <row r="133" spans="1:16" hidden="1" x14ac:dyDescent="0.3">
      <c r="A133" s="10">
        <v>-111.70530600000002</v>
      </c>
      <c r="B133" s="12">
        <f t="shared" si="12"/>
        <v>-88.658494574000031</v>
      </c>
      <c r="C133" s="7" t="s">
        <v>277</v>
      </c>
      <c r="D133" s="7" t="s">
        <v>144</v>
      </c>
      <c r="E133" s="7" t="s">
        <v>56</v>
      </c>
      <c r="F133" s="7">
        <v>46.210990163651317</v>
      </c>
      <c r="G133" s="7">
        <v>8.6830597157492022</v>
      </c>
      <c r="H133" s="6">
        <v>6</v>
      </c>
      <c r="I133" s="6">
        <v>27</v>
      </c>
      <c r="J133" s="6">
        <v>10</v>
      </c>
      <c r="K133" s="6">
        <v>2015</v>
      </c>
      <c r="L133" s="7">
        <v>1</v>
      </c>
      <c r="M133" s="6">
        <v>291</v>
      </c>
      <c r="N133" t="s">
        <v>298</v>
      </c>
      <c r="O133">
        <f t="shared" si="14"/>
        <v>9</v>
      </c>
      <c r="P133" s="15">
        <f t="shared" si="13"/>
        <v>-116.46061821750004</v>
      </c>
    </row>
    <row r="134" spans="1:16" hidden="1" x14ac:dyDescent="0.3">
      <c r="A134" s="10">
        <v>-125.86123200000002</v>
      </c>
      <c r="B134" s="12">
        <f t="shared" si="12"/>
        <v>-102.51714612800001</v>
      </c>
      <c r="C134" s="7" t="s">
        <v>274</v>
      </c>
      <c r="D134" s="7" t="s">
        <v>146</v>
      </c>
      <c r="E134" s="7" t="s">
        <v>56</v>
      </c>
      <c r="F134" s="7">
        <v>46.210121275901251</v>
      </c>
      <c r="G134" s="7">
        <v>8.690050671555273</v>
      </c>
      <c r="H134" s="6">
        <v>6</v>
      </c>
      <c r="I134" s="6">
        <v>27</v>
      </c>
      <c r="J134" s="6">
        <v>10</v>
      </c>
      <c r="K134" s="6">
        <v>2015</v>
      </c>
      <c r="L134" s="7">
        <v>1</v>
      </c>
      <c r="M134" s="6">
        <v>275</v>
      </c>
      <c r="N134" t="s">
        <v>298</v>
      </c>
      <c r="O134">
        <f t="shared" si="14"/>
        <v>10</v>
      </c>
      <c r="P134" s="15">
        <f t="shared" si="13"/>
        <v>-133.78393266</v>
      </c>
    </row>
    <row r="135" spans="1:16" hidden="1" x14ac:dyDescent="0.3">
      <c r="A135" s="10">
        <v>-122.362095</v>
      </c>
      <c r="B135" s="12">
        <f t="shared" si="12"/>
        <v>-99.091491004999995</v>
      </c>
      <c r="C135" s="7" t="s">
        <v>270</v>
      </c>
      <c r="D135" s="7" t="s">
        <v>148</v>
      </c>
      <c r="E135" s="7" t="s">
        <v>56</v>
      </c>
      <c r="F135" s="7">
        <v>46.213937201520828</v>
      </c>
      <c r="G135" s="7">
        <v>8.6899309745113396</v>
      </c>
      <c r="H135" s="6">
        <v>6</v>
      </c>
      <c r="I135" s="6">
        <v>27</v>
      </c>
      <c r="J135" s="6">
        <v>10</v>
      </c>
      <c r="K135" s="6">
        <v>2015</v>
      </c>
      <c r="L135" s="7">
        <v>1</v>
      </c>
      <c r="M135" s="6">
        <v>305</v>
      </c>
      <c r="N135" t="s">
        <v>298</v>
      </c>
      <c r="O135">
        <f t="shared" si="14"/>
        <v>10</v>
      </c>
      <c r="P135" s="15">
        <f t="shared" si="13"/>
        <v>-129.50186375624997</v>
      </c>
    </row>
    <row r="136" spans="1:16" x14ac:dyDescent="0.3">
      <c r="A136" s="10">
        <v>-104.08692130000001</v>
      </c>
      <c r="B136" s="12">
        <f t="shared" si="12"/>
        <v>-81.200095952700025</v>
      </c>
      <c r="C136" s="7" t="s">
        <v>265</v>
      </c>
      <c r="D136" s="7" t="s">
        <v>150</v>
      </c>
      <c r="E136" s="7" t="s">
        <v>56</v>
      </c>
      <c r="F136" s="7">
        <v>46.223231817815332</v>
      </c>
      <c r="G136" s="7">
        <v>8.6808636560290164</v>
      </c>
      <c r="H136" s="6">
        <v>6</v>
      </c>
      <c r="I136" s="6">
        <v>27</v>
      </c>
      <c r="J136" s="6">
        <v>10</v>
      </c>
      <c r="K136" s="6">
        <v>2015</v>
      </c>
      <c r="L136" s="7">
        <v>1</v>
      </c>
      <c r="M136" s="6">
        <v>244</v>
      </c>
      <c r="N136" t="s">
        <v>298</v>
      </c>
      <c r="O136">
        <f t="shared" si="14"/>
        <v>8</v>
      </c>
      <c r="P136" s="15">
        <f t="shared" si="13"/>
        <v>-107.13761994087504</v>
      </c>
    </row>
    <row r="137" spans="1:16" hidden="1" x14ac:dyDescent="0.3">
      <c r="A137" s="10">
        <v>-113.79758599999998</v>
      </c>
      <c r="B137" s="12">
        <f t="shared" si="12"/>
        <v>-90.706836693999975</v>
      </c>
      <c r="C137" s="7" t="s">
        <v>272</v>
      </c>
      <c r="D137" s="7" t="s">
        <v>153</v>
      </c>
      <c r="E137" s="7" t="s">
        <v>56</v>
      </c>
      <c r="F137" s="7">
        <v>46.209382011467255</v>
      </c>
      <c r="G137" s="7">
        <v>8.7206943106502361</v>
      </c>
      <c r="H137" s="6">
        <v>6</v>
      </c>
      <c r="I137" s="6">
        <v>31</v>
      </c>
      <c r="J137" s="6">
        <v>10</v>
      </c>
      <c r="K137" s="6">
        <v>2015</v>
      </c>
      <c r="L137" s="7">
        <v>1</v>
      </c>
      <c r="M137" s="6">
        <v>280</v>
      </c>
      <c r="N137" t="s">
        <v>298</v>
      </c>
      <c r="O137">
        <f t="shared" si="14"/>
        <v>9</v>
      </c>
      <c r="P137" s="15">
        <f t="shared" si="13"/>
        <v>-119.02104586749998</v>
      </c>
    </row>
    <row r="138" spans="1:16" hidden="1" x14ac:dyDescent="0.3">
      <c r="A138" s="10">
        <v>-111.8388265</v>
      </c>
      <c r="B138" s="12">
        <f t="shared" si="12"/>
        <v>-88.789211143499983</v>
      </c>
      <c r="C138" s="7" t="s">
        <v>276</v>
      </c>
      <c r="D138" s="7" t="s">
        <v>155</v>
      </c>
      <c r="E138" s="7" t="s">
        <v>56</v>
      </c>
      <c r="F138" s="7">
        <v>46.216612329306585</v>
      </c>
      <c r="G138" s="7">
        <v>8.6591983102274206</v>
      </c>
      <c r="H138" s="6">
        <v>6</v>
      </c>
      <c r="I138" s="6">
        <v>11</v>
      </c>
      <c r="J138" s="6">
        <v>11</v>
      </c>
      <c r="K138" s="6">
        <v>2015</v>
      </c>
      <c r="L138" s="7">
        <v>1</v>
      </c>
      <c r="M138" s="6">
        <v>271</v>
      </c>
      <c r="N138" t="s">
        <v>298</v>
      </c>
      <c r="O138">
        <f t="shared" si="14"/>
        <v>9</v>
      </c>
      <c r="P138" s="15">
        <f t="shared" si="13"/>
        <v>-116.62401392937498</v>
      </c>
    </row>
    <row r="139" spans="1:16" x14ac:dyDescent="0.3">
      <c r="A139" s="10">
        <v>-105.94878299999998</v>
      </c>
      <c r="B139" s="12">
        <f t="shared" si="12"/>
        <v>-83.022858556999978</v>
      </c>
      <c r="C139" s="7" t="s">
        <v>278</v>
      </c>
      <c r="D139" s="7" t="s">
        <v>166</v>
      </c>
      <c r="E139" s="7" t="s">
        <v>56</v>
      </c>
      <c r="F139" s="7">
        <v>46.216747984509837</v>
      </c>
      <c r="G139" s="7">
        <v>8.6599660182871521</v>
      </c>
      <c r="H139" s="6">
        <v>6</v>
      </c>
      <c r="I139" s="6">
        <v>11</v>
      </c>
      <c r="J139" s="6">
        <v>11</v>
      </c>
      <c r="K139" s="6">
        <v>2015</v>
      </c>
      <c r="L139" s="7">
        <v>1</v>
      </c>
      <c r="M139" s="6">
        <v>295</v>
      </c>
      <c r="N139" t="s">
        <v>298</v>
      </c>
      <c r="O139">
        <f t="shared" si="14"/>
        <v>8</v>
      </c>
      <c r="P139" s="15">
        <f t="shared" si="13"/>
        <v>-109.41607319624997</v>
      </c>
    </row>
    <row r="140" spans="1:16" hidden="1" x14ac:dyDescent="0.3">
      <c r="A140" s="10">
        <v>-112.67023250000001</v>
      </c>
      <c r="B140" s="12">
        <f t="shared" si="12"/>
        <v>-89.603157617500017</v>
      </c>
      <c r="C140" s="7" t="s">
        <v>273</v>
      </c>
      <c r="D140" s="7" t="s">
        <v>176</v>
      </c>
      <c r="E140" s="7" t="s">
        <v>56</v>
      </c>
      <c r="F140" s="7">
        <v>46.197034585730513</v>
      </c>
      <c r="G140" s="7">
        <v>8.7162708578287731</v>
      </c>
      <c r="H140" s="6">
        <v>6</v>
      </c>
      <c r="I140" s="6">
        <v>18</v>
      </c>
      <c r="J140" s="6">
        <v>11</v>
      </c>
      <c r="K140" s="6">
        <v>2015</v>
      </c>
      <c r="L140" s="7">
        <v>1</v>
      </c>
      <c r="M140" s="6">
        <v>289</v>
      </c>
      <c r="N140" t="s">
        <v>298</v>
      </c>
      <c r="O140">
        <f t="shared" si="14"/>
        <v>9</v>
      </c>
      <c r="P140" s="15">
        <f t="shared" si="13"/>
        <v>-117.64144702187502</v>
      </c>
    </row>
    <row r="141" spans="1:16" hidden="1" x14ac:dyDescent="0.3">
      <c r="A141" s="8">
        <v>-53.1146794</v>
      </c>
      <c r="B141" s="12">
        <f t="shared" si="12"/>
        <v>-31.2982711326</v>
      </c>
      <c r="C141" t="s">
        <v>292</v>
      </c>
      <c r="D141" t="s">
        <v>293</v>
      </c>
      <c r="E141" t="s">
        <v>10</v>
      </c>
      <c r="F141">
        <v>46.56396974924283</v>
      </c>
      <c r="G141">
        <v>7.0041107514721723</v>
      </c>
      <c r="H141">
        <v>6</v>
      </c>
      <c r="I141">
        <v>10</v>
      </c>
      <c r="J141">
        <v>6</v>
      </c>
      <c r="K141">
        <v>2015</v>
      </c>
      <c r="L141">
        <v>1</v>
      </c>
      <c r="M141" t="s">
        <v>301</v>
      </c>
      <c r="N141" t="s">
        <v>299</v>
      </c>
      <c r="O141">
        <f t="shared" si="14"/>
        <v>3</v>
      </c>
      <c r="P141" s="15">
        <f t="shared" si="13"/>
        <v>-44.760338915750005</v>
      </c>
    </row>
    <row r="142" spans="1:16" hidden="1" x14ac:dyDescent="0.3">
      <c r="A142" s="8">
        <v>-49.756266000000011</v>
      </c>
      <c r="B142" s="12">
        <f t="shared" si="12"/>
        <v>-28.010384414000008</v>
      </c>
      <c r="C142" t="s">
        <v>294</v>
      </c>
      <c r="D142" t="s">
        <v>295</v>
      </c>
      <c r="E142" t="s">
        <v>10</v>
      </c>
      <c r="F142">
        <v>46.56396974924283</v>
      </c>
      <c r="G142">
        <v>7.0041107514721723</v>
      </c>
      <c r="H142">
        <v>6</v>
      </c>
      <c r="I142">
        <v>10</v>
      </c>
      <c r="J142">
        <v>6</v>
      </c>
      <c r="K142">
        <v>2015</v>
      </c>
      <c r="L142">
        <v>1</v>
      </c>
      <c r="M142" t="s">
        <v>301</v>
      </c>
      <c r="N142" t="s">
        <v>299</v>
      </c>
      <c r="O142">
        <f t="shared" si="14"/>
        <v>3</v>
      </c>
      <c r="P142" s="15">
        <f t="shared" si="13"/>
        <v>-40.650480517500014</v>
      </c>
    </row>
    <row r="143" spans="1:16" x14ac:dyDescent="0.3">
      <c r="A143" s="10">
        <v>-107.74426799999999</v>
      </c>
      <c r="B143" s="12">
        <f t="shared" si="12"/>
        <v>-84.780638371999999</v>
      </c>
      <c r="C143" s="7" t="s">
        <v>283</v>
      </c>
      <c r="D143" s="7" t="s">
        <v>260</v>
      </c>
      <c r="E143" s="7" t="s">
        <v>139</v>
      </c>
      <c r="F143" s="7">
        <v>46.797360281746805</v>
      </c>
      <c r="G143" s="7">
        <v>6.4810142177260692</v>
      </c>
      <c r="H143" s="6">
        <v>5</v>
      </c>
      <c r="I143" s="6">
        <v>20</v>
      </c>
      <c r="J143" s="6">
        <v>10</v>
      </c>
      <c r="K143" s="6">
        <v>2015</v>
      </c>
      <c r="L143" s="7">
        <v>1</v>
      </c>
      <c r="M143" s="6">
        <v>310</v>
      </c>
      <c r="N143" t="s">
        <v>298</v>
      </c>
      <c r="O143">
        <f t="shared" si="14"/>
        <v>8</v>
      </c>
      <c r="P143" s="15">
        <f t="shared" si="13"/>
        <v>-111.613297965</v>
      </c>
    </row>
    <row r="144" spans="1:16" hidden="1" x14ac:dyDescent="0.3">
      <c r="A144" s="10">
        <v>-60.201505600000004</v>
      </c>
      <c r="B144" s="12">
        <f t="shared" si="12"/>
        <v>-38.2362739824</v>
      </c>
      <c r="C144" s="7" t="s">
        <v>281</v>
      </c>
      <c r="D144" s="7" t="s">
        <v>282</v>
      </c>
      <c r="E144" s="7" t="s">
        <v>139</v>
      </c>
      <c r="F144" s="7">
        <v>46.844870645437183</v>
      </c>
      <c r="G144" s="7">
        <v>6.4579195056871423</v>
      </c>
      <c r="H144" s="6">
        <v>5</v>
      </c>
      <c r="I144" s="6">
        <v>22</v>
      </c>
      <c r="J144" s="6">
        <v>10</v>
      </c>
      <c r="K144" s="6">
        <v>2015</v>
      </c>
      <c r="L144" s="7">
        <v>1</v>
      </c>
      <c r="M144" s="6">
        <v>270</v>
      </c>
      <c r="N144" t="s">
        <v>298</v>
      </c>
      <c r="O144">
        <f t="shared" si="14"/>
        <v>4</v>
      </c>
      <c r="P144" s="15">
        <f t="shared" si="13"/>
        <v>-53.432842478000005</v>
      </c>
    </row>
    <row r="145" spans="1:16" hidden="1" x14ac:dyDescent="0.3">
      <c r="A145" s="10">
        <v>-64.954239200000032</v>
      </c>
      <c r="B145" s="12">
        <f t="shared" si="12"/>
        <v>-42.889200176800031</v>
      </c>
      <c r="C145" s="7" t="s">
        <v>284</v>
      </c>
      <c r="D145" s="7" t="s">
        <v>285</v>
      </c>
      <c r="E145" s="7" t="s">
        <v>139</v>
      </c>
      <c r="F145" s="7">
        <v>46.84663269366424</v>
      </c>
      <c r="G145" s="7">
        <v>6.4567335846099247</v>
      </c>
      <c r="H145" s="6">
        <v>4</v>
      </c>
      <c r="I145" s="6">
        <v>30</v>
      </c>
      <c r="J145" s="6">
        <v>10</v>
      </c>
      <c r="K145" s="6">
        <v>2015</v>
      </c>
      <c r="L145" s="7">
        <v>1</v>
      </c>
      <c r="M145" s="6">
        <v>330</v>
      </c>
      <c r="N145" t="s">
        <v>298</v>
      </c>
      <c r="O145">
        <f t="shared" si="14"/>
        <v>4</v>
      </c>
      <c r="P145" s="15">
        <f t="shared" si="13"/>
        <v>-59.249000221000045</v>
      </c>
    </row>
    <row r="146" spans="1:16" hidden="1" x14ac:dyDescent="0.3">
      <c r="A146" s="8">
        <v>-37.821580999999995</v>
      </c>
      <c r="B146" s="12">
        <f t="shared" si="12"/>
        <v>-16.326327798999991</v>
      </c>
      <c r="C146" t="s">
        <v>296</v>
      </c>
      <c r="D146" t="s">
        <v>297</v>
      </c>
      <c r="E146" t="s">
        <v>11</v>
      </c>
      <c r="F146">
        <v>46.955402735449312</v>
      </c>
      <c r="G146">
        <v>6.5073508208417685</v>
      </c>
      <c r="H146">
        <v>6</v>
      </c>
      <c r="I146">
        <v>16</v>
      </c>
      <c r="J146">
        <v>6</v>
      </c>
      <c r="K146">
        <v>2015</v>
      </c>
      <c r="L146">
        <v>1</v>
      </c>
      <c r="M146">
        <v>292</v>
      </c>
      <c r="N146" t="s">
        <v>299</v>
      </c>
      <c r="O146">
        <f t="shared" si="14"/>
        <v>2</v>
      </c>
      <c r="P146" s="15">
        <f t="shared" si="13"/>
        <v>-26.045409748749986</v>
      </c>
    </row>
    <row r="147" spans="1:16" hidden="1" x14ac:dyDescent="0.3">
      <c r="A147" s="8">
        <v>-58.72224159999999</v>
      </c>
      <c r="B147" s="12">
        <f t="shared" si="12"/>
        <v>-36.788074526399988</v>
      </c>
      <c r="C147" t="s">
        <v>286</v>
      </c>
      <c r="D147" t="s">
        <v>287</v>
      </c>
      <c r="E147" t="s">
        <v>11</v>
      </c>
      <c r="F147">
        <v>46.956040000000002</v>
      </c>
      <c r="G147">
        <v>6.4973999999999998</v>
      </c>
      <c r="H147">
        <v>6</v>
      </c>
      <c r="I147">
        <v>24</v>
      </c>
      <c r="J147">
        <v>6</v>
      </c>
      <c r="K147">
        <v>2015</v>
      </c>
      <c r="L147">
        <v>1</v>
      </c>
      <c r="M147">
        <v>262</v>
      </c>
      <c r="N147" t="s">
        <v>299</v>
      </c>
      <c r="O147">
        <f t="shared" si="14"/>
        <v>4</v>
      </c>
      <c r="P147" s="15">
        <f t="shared" si="13"/>
        <v>-51.622593157999987</v>
      </c>
    </row>
    <row r="148" spans="1:16" hidden="1" x14ac:dyDescent="0.3">
      <c r="A148" s="8">
        <v>-55.940033400000004</v>
      </c>
      <c r="B148" s="12">
        <f t="shared" si="12"/>
        <v>-34.064292698599999</v>
      </c>
      <c r="C148" t="s">
        <v>288</v>
      </c>
      <c r="D148" t="s">
        <v>289</v>
      </c>
      <c r="E148" t="s">
        <v>11</v>
      </c>
      <c r="F148">
        <v>46.939315999999998</v>
      </c>
      <c r="G148">
        <v>6.7455800000000004</v>
      </c>
      <c r="H148">
        <v>6</v>
      </c>
      <c r="I148">
        <v>26</v>
      </c>
      <c r="J148">
        <v>6</v>
      </c>
      <c r="K148">
        <v>2015</v>
      </c>
      <c r="L148">
        <v>1</v>
      </c>
      <c r="M148">
        <v>265</v>
      </c>
      <c r="N148" t="s">
        <v>299</v>
      </c>
      <c r="O148">
        <f t="shared" si="14"/>
        <v>3</v>
      </c>
      <c r="P148" s="15">
        <f t="shared" si="13"/>
        <v>-48.217865873250005</v>
      </c>
    </row>
    <row r="149" spans="1:16" hidden="1" x14ac:dyDescent="0.3">
      <c r="A149" s="10">
        <v>-97.742090000000005</v>
      </c>
      <c r="B149" s="12">
        <f t="shared" si="12"/>
        <v>-74.988506110000003</v>
      </c>
      <c r="C149" s="7" t="s">
        <v>279</v>
      </c>
      <c r="D149" s="7" t="s">
        <v>280</v>
      </c>
      <c r="E149" s="7" t="s">
        <v>56</v>
      </c>
      <c r="F149" s="7">
        <v>46.025796262291898</v>
      </c>
      <c r="G149" s="7">
        <v>8.8240005082061259</v>
      </c>
      <c r="H149" s="6">
        <v>5</v>
      </c>
      <c r="I149" s="6">
        <v>20</v>
      </c>
      <c r="J149" s="6">
        <v>10</v>
      </c>
      <c r="K149" s="6">
        <v>2015</v>
      </c>
      <c r="L149" s="7">
        <v>1</v>
      </c>
      <c r="M149" s="7" t="s">
        <v>301</v>
      </c>
      <c r="N149" t="s">
        <v>298</v>
      </c>
      <c r="O149">
        <f t="shared" si="14"/>
        <v>7</v>
      </c>
      <c r="P149" s="15">
        <f t="shared" si="13"/>
        <v>-99.373132637500007</v>
      </c>
    </row>
    <row r="150" spans="1:16" hidden="1" x14ac:dyDescent="0.3">
      <c r="A150" s="10">
        <v>-86.408601899999994</v>
      </c>
      <c r="B150" s="12">
        <f t="shared" si="12"/>
        <v>-63.893021260099992</v>
      </c>
      <c r="C150" s="7" t="s">
        <v>266</v>
      </c>
      <c r="D150" s="7" t="s">
        <v>267</v>
      </c>
      <c r="E150" s="7" t="s">
        <v>11</v>
      </c>
      <c r="F150" s="7">
        <v>47.038520712868653</v>
      </c>
      <c r="G150" s="7">
        <v>6.5618178949674242</v>
      </c>
      <c r="H150" s="6">
        <v>6</v>
      </c>
      <c r="I150" s="6">
        <v>3</v>
      </c>
      <c r="J150" s="6">
        <v>10</v>
      </c>
      <c r="K150" s="6">
        <v>2015</v>
      </c>
      <c r="L150" s="7">
        <v>1</v>
      </c>
      <c r="M150" s="6">
        <v>277</v>
      </c>
      <c r="N150" t="s">
        <v>298</v>
      </c>
      <c r="O150">
        <f t="shared" si="14"/>
        <v>6</v>
      </c>
      <c r="P150" s="15">
        <f t="shared" si="13"/>
        <v>-85.503776575124988</v>
      </c>
    </row>
    <row r="151" spans="1:16" x14ac:dyDescent="0.3">
      <c r="A151" s="10">
        <v>-106.95199000000004</v>
      </c>
      <c r="B151" s="12">
        <f t="shared" si="12"/>
        <v>-84.004998210000025</v>
      </c>
      <c r="C151" s="7" t="s">
        <v>264</v>
      </c>
      <c r="D151" s="7" t="s">
        <v>98</v>
      </c>
      <c r="E151" s="7" t="s">
        <v>11</v>
      </c>
      <c r="F151" s="7">
        <v>47.001506242389141</v>
      </c>
      <c r="G151" s="7">
        <v>6.8055348182749213</v>
      </c>
      <c r="H151" s="6">
        <v>5</v>
      </c>
      <c r="I151" s="6">
        <v>19</v>
      </c>
      <c r="J151" s="6">
        <v>11</v>
      </c>
      <c r="K151" s="6">
        <v>2015</v>
      </c>
      <c r="L151" s="7">
        <v>1</v>
      </c>
      <c r="M151" s="6">
        <v>312</v>
      </c>
      <c r="N151" t="s">
        <v>298</v>
      </c>
      <c r="O151">
        <f t="shared" si="14"/>
        <v>8</v>
      </c>
      <c r="P151" s="15">
        <f t="shared" si="13"/>
        <v>-110.64374776250004</v>
      </c>
    </row>
    <row r="152" spans="1:16" hidden="1" x14ac:dyDescent="0.3">
      <c r="A152" s="8">
        <v>-53.308139600000004</v>
      </c>
      <c r="B152" s="12">
        <f t="shared" si="12"/>
        <v>-31.487668668400005</v>
      </c>
      <c r="C152" t="s">
        <v>290</v>
      </c>
      <c r="D152" t="s">
        <v>291</v>
      </c>
      <c r="E152" t="s">
        <v>10</v>
      </c>
      <c r="F152">
        <v>46.568413195448748</v>
      </c>
      <c r="G152">
        <v>7.0087315666869721</v>
      </c>
      <c r="H152">
        <v>6</v>
      </c>
      <c r="I152">
        <v>19</v>
      </c>
      <c r="J152">
        <v>6</v>
      </c>
      <c r="K152">
        <v>2015</v>
      </c>
      <c r="L152">
        <v>1</v>
      </c>
      <c r="M152" t="s">
        <v>301</v>
      </c>
      <c r="N152" t="s">
        <v>299</v>
      </c>
      <c r="O152">
        <f t="shared" si="14"/>
        <v>3</v>
      </c>
      <c r="P152" s="15">
        <f t="shared" si="13"/>
        <v>-44.997085835500009</v>
      </c>
    </row>
    <row r="153" spans="1:16" hidden="1" x14ac:dyDescent="0.3">
      <c r="A153" s="10">
        <v>-129.09004699999997</v>
      </c>
      <c r="B153" s="12">
        <f t="shared" si="12"/>
        <v>-105.67815601299998</v>
      </c>
      <c r="C153" s="7" t="s">
        <v>268</v>
      </c>
      <c r="D153" s="7" t="s">
        <v>269</v>
      </c>
      <c r="E153" s="7" t="s">
        <v>10</v>
      </c>
      <c r="F153" s="7">
        <v>46.766638038691035</v>
      </c>
      <c r="G153" s="7">
        <v>7.0400235755931613</v>
      </c>
      <c r="H153" s="6">
        <v>5</v>
      </c>
      <c r="I153" s="6">
        <v>4</v>
      </c>
      <c r="J153" s="6">
        <v>11</v>
      </c>
      <c r="K153" s="6">
        <v>2015</v>
      </c>
      <c r="L153" s="7">
        <v>1</v>
      </c>
      <c r="M153" s="6">
        <v>289</v>
      </c>
      <c r="N153" t="s">
        <v>298</v>
      </c>
      <c r="O153">
        <f t="shared" si="14"/>
        <v>11</v>
      </c>
      <c r="P153" s="15">
        <f t="shared" si="13"/>
        <v>-137.73519501624997</v>
      </c>
    </row>
  </sheetData>
  <autoFilter ref="A1:P153" xr:uid="{00000000-0009-0000-0000-000000000000}">
    <filterColumn colId="14">
      <filters>
        <filter val="8"/>
      </filters>
    </filterColumn>
  </autoFilter>
  <sortState xmlns:xlrd2="http://schemas.microsoft.com/office/spreadsheetml/2017/richdata2" ref="A2:Q153">
    <sortCondition ref="C2:C153"/>
  </sortState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Bohnenstengel</dc:creator>
  <cp:lastModifiedBy>Steffen Oppel</cp:lastModifiedBy>
  <dcterms:created xsi:type="dcterms:W3CDTF">2015-04-07T14:22:33Z</dcterms:created>
  <dcterms:modified xsi:type="dcterms:W3CDTF">2025-06-03T14:12:20Z</dcterms:modified>
</cp:coreProperties>
</file>