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11.xml" ContentType="application/vnd.openxmlformats-officedocument.drawing+xml"/>
  <Override PartName="/xl/charts/chartEx8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12.xml" ContentType="application/vnd.openxmlformats-officedocument.drawing+xml"/>
  <Override PartName="/xl/charts/chartEx9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ivotTables/pivotTable7.xml" ContentType="application/vnd.openxmlformats-officedocument.spreadsheetml.pivotTable+xml"/>
  <Override PartName="/xl/drawings/drawing13.xml" ContentType="application/vnd.openxmlformats-officedocument.drawing+xml"/>
  <Override PartName="/xl/charts/chartEx10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vogelwarte-my.sharepoint.com/personal/steffen_oppel_vogelwarte_ch/Documents/Woodcock/data/"/>
    </mc:Choice>
  </mc:AlternateContent>
  <xr:revisionPtr revIDLastSave="19" documentId="8_{3D3A5C93-9928-41B1-9D0B-A02A32A1C34A}" xr6:coauthVersionLast="47" xr6:coauthVersionMax="47" xr10:uidLastSave="{20474256-5DD2-49BA-A3BC-F8D14B23C9B9}"/>
  <bookViews>
    <workbookView xWindow="28680" yWindow="-120" windowWidth="29040" windowHeight="15720" tabRatio="460" xr2:uid="{00000000-000D-0000-FFFF-FFFF00000000}"/>
  </bookViews>
  <sheets>
    <sheet name="Daten_2013-2018" sheetId="1" r:id="rId1"/>
    <sheet name="% par groupes chasse Reg" sheetId="32" r:id="rId2"/>
    <sheet name="boxplot d2Hf juv chasse" sheetId="19" r:id="rId3"/>
    <sheet name="boxplot  d2Hreg adu chasse" sheetId="20" r:id="rId4"/>
    <sheet name="boxplot_dH2_prélèvements_ArcJU" sheetId="17" r:id="rId5"/>
    <sheet name="comparaisons origine d2Hreg juv" sheetId="33" r:id="rId6"/>
    <sheet name="comparaisons saisons d2Hreg adu" sheetId="41" r:id="rId7"/>
    <sheet name="comparaisons saisons d2Hreg ad2" sheetId="42" r:id="rId8"/>
    <sheet name="PC_adultes_dH&amp;dN" sheetId="48" r:id="rId9"/>
    <sheet name="dH&amp;dN juv" sheetId="47" r:id="rId10"/>
    <sheet name="dH&amp;dN adu_2a7" sheetId="43" r:id="rId11"/>
    <sheet name="dN (2)" sheetId="45" r:id="rId12"/>
    <sheet name="dN adu" sheetId="37" r:id="rId13"/>
    <sheet name="dN juv" sheetId="44" r:id="rId14"/>
  </sheets>
  <definedNames>
    <definedName name="_xlnm._FilterDatabase" localSheetId="4" hidden="1">boxplot_dH2_prélèvements_ArcJU!$A$1:$C$161</definedName>
    <definedName name="_xlnm._FilterDatabase" localSheetId="0" hidden="1">'Daten_2013-2018'!$A$1:$AM$1076</definedName>
    <definedName name="_xlnm._FilterDatabase" localSheetId="8" hidden="1">'PC_adultes_dH&amp;dN'!$A$1:$J$307</definedName>
    <definedName name="_xlchart.v1.0" hidden="1">'boxplot d2Hf juv chasse'!$B$1</definedName>
    <definedName name="_xlchart.v1.1" hidden="1">'boxplot d2Hf juv chasse'!$B$2:$B$646</definedName>
    <definedName name="_xlchart.v1.10" hidden="1">'boxplot  d2Hreg adu chasse'!$A$1</definedName>
    <definedName name="_xlchart.v1.11" hidden="1">'boxplot  d2Hreg adu chasse'!$A$2:$A$127</definedName>
    <definedName name="_xlchart.v1.12" hidden="1">'boxplot  d2Hreg adu chasse'!$B$1</definedName>
    <definedName name="_xlchart.v1.13" hidden="1">'boxplot  d2Hreg adu chasse'!$B$2:$B$127</definedName>
    <definedName name="_xlchart.v1.14" hidden="1">'boxplot  d2Hreg adu chasse'!$C$1</definedName>
    <definedName name="_xlchart.v1.15" hidden="1">'boxplot  d2Hreg adu chasse'!$C$2:$C$126</definedName>
    <definedName name="_xlchart.v1.16" hidden="1">boxplot_dH2_prélèvements_ArcJU!$E$2:$F$262</definedName>
    <definedName name="_xlchart.v1.17" hidden="1">boxplot_dH2_prélèvements_ArcJU!$G$1</definedName>
    <definedName name="_xlchart.v1.18" hidden="1">boxplot_dH2_prélèvements_ArcJU!$G$2:$G$262</definedName>
    <definedName name="_xlchart.v1.19" hidden="1">boxplot_dH2_prélèvements_ArcJU!$A$2:$B$161</definedName>
    <definedName name="_xlchart.v1.2" hidden="1">'boxplot d2Hf juv chasse'!$C$1</definedName>
    <definedName name="_xlchart.v1.20" hidden="1">boxplot_dH2_prélèvements_ArcJU!$C$1</definedName>
    <definedName name="_xlchart.v1.21" hidden="1">boxplot_dH2_prélèvements_ArcJU!$C$2:$C$161</definedName>
    <definedName name="_xlchart.v1.22" hidden="1">'comparaisons origine d2Hreg juv'!$H$6</definedName>
    <definedName name="_xlchart.v1.23" hidden="1">'comparaisons origine d2Hreg juv'!$H$7:$H$755</definedName>
    <definedName name="_xlchart.v1.24" hidden="1">'comparaisons origine d2Hreg juv'!$I$6</definedName>
    <definedName name="_xlchart.v1.25" hidden="1">'comparaisons origine d2Hreg juv'!$I$7:$I$755</definedName>
    <definedName name="_xlchart.v1.26" hidden="1">'comparaisons origine d2Hreg juv'!$J$6</definedName>
    <definedName name="_xlchart.v1.27" hidden="1">'comparaisons origine d2Hreg juv'!$J$7:$J$755</definedName>
    <definedName name="_xlchart.v1.28" hidden="1">'comparaisons saisons d2Hreg adu'!$M$7</definedName>
    <definedName name="_xlchart.v1.29" hidden="1">'comparaisons saisons d2Hreg adu'!$M$8:$M$114</definedName>
    <definedName name="_xlchart.v1.3" hidden="1">'boxplot d2Hf juv chasse'!$C$2:$C$646</definedName>
    <definedName name="_xlchart.v1.30" hidden="1">'comparaisons saisons d2Hreg adu'!$N$7</definedName>
    <definedName name="_xlchart.v1.31" hidden="1">'comparaisons saisons d2Hreg adu'!$N$8:$N$114</definedName>
    <definedName name="_xlchart.v1.32" hidden="1">'comparaisons saisons d2Hreg adu'!$O$7</definedName>
    <definedName name="_xlchart.v1.33" hidden="1">'comparaisons saisons d2Hreg adu'!$O$8:$O$114</definedName>
    <definedName name="_xlchart.v1.34" hidden="1">'comparaisons saisons d2Hreg adu'!$Q$7</definedName>
    <definedName name="_xlchart.v1.35" hidden="1">'comparaisons saisons d2Hreg adu'!$Q$8:$Q$114</definedName>
    <definedName name="_xlchart.v1.36" hidden="1">'comparaisons saisons d2Hreg ad2'!$M$7</definedName>
    <definedName name="_xlchart.v1.37" hidden="1">'comparaisons saisons d2Hreg ad2'!$M$8:$M$145</definedName>
    <definedName name="_xlchart.v1.38" hidden="1">'comparaisons saisons d2Hreg ad2'!$N$7</definedName>
    <definedName name="_xlchart.v1.39" hidden="1">'comparaisons saisons d2Hreg ad2'!$N$8:$N$145</definedName>
    <definedName name="_xlchart.v1.4" hidden="1">'boxplot d2Hf juv chasse'!$D$1</definedName>
    <definedName name="_xlchart.v1.40" hidden="1">'comparaisons saisons d2Hreg ad2'!$O$7</definedName>
    <definedName name="_xlchart.v1.41" hidden="1">'comparaisons saisons d2Hreg ad2'!$O$8:$O$145</definedName>
    <definedName name="_xlchart.v1.42" hidden="1">'comparaisons saisons d2Hreg ad2'!$P$7</definedName>
    <definedName name="_xlchart.v1.43" hidden="1">'comparaisons saisons d2Hreg ad2'!$P$8:$P$145</definedName>
    <definedName name="_xlchart.v1.44" hidden="1">'comparaisons saisons d2Hreg ad2'!$Q$7</definedName>
    <definedName name="_xlchart.v1.45" hidden="1">'comparaisons saisons d2Hreg ad2'!$Q$8:$Q$145</definedName>
    <definedName name="_xlchart.v1.46" hidden="1">'dN (2)'!$N$8</definedName>
    <definedName name="_xlchart.v1.47" hidden="1">'dN (2)'!$N$9:$N$1061</definedName>
    <definedName name="_xlchart.v1.48" hidden="1">'dN (2)'!$O$8</definedName>
    <definedName name="_xlchart.v1.49" hidden="1">'dN (2)'!$O$9:$O$1061</definedName>
    <definedName name="_xlchart.v1.5" hidden="1">'boxplot d2Hf juv chasse'!$D$2:$D$646</definedName>
    <definedName name="_xlchart.v1.50" hidden="1">'dN (2)'!$P$8</definedName>
    <definedName name="_xlchart.v1.51" hidden="1">'dN (2)'!$P$9:$P$1061</definedName>
    <definedName name="_xlchart.v1.52" hidden="1">'dN (2)'!$Q$8</definedName>
    <definedName name="_xlchart.v1.53" hidden="1">'dN (2)'!$Q$9:$Q$1061</definedName>
    <definedName name="_xlchart.v1.54" hidden="1">'dN (2)'!$R$8</definedName>
    <definedName name="_xlchart.v1.55" hidden="1">'dN (2)'!$R$9:$R$1061</definedName>
    <definedName name="_xlchart.v1.56" hidden="1">'dN (2)'!$S$8</definedName>
    <definedName name="_xlchart.v1.57" hidden="1">'dN (2)'!$S$9:$S$1061</definedName>
    <definedName name="_xlchart.v1.58" hidden="1">'dN (2)'!$T$8</definedName>
    <definedName name="_xlchart.v1.59" hidden="1">'dN (2)'!$T$9:$T$1061</definedName>
    <definedName name="_xlchart.v1.6" hidden="1">'boxplot d2Hf juv chasse'!$E$1</definedName>
    <definedName name="_xlchart.v1.60" hidden="1">'dN adu'!$N$8</definedName>
    <definedName name="_xlchart.v1.61" hidden="1">'dN adu'!$N$9:$N$355</definedName>
    <definedName name="_xlchart.v1.62" hidden="1">'dN adu'!$O$8</definedName>
    <definedName name="_xlchart.v1.63" hidden="1">'dN adu'!$O$9:$O$355</definedName>
    <definedName name="_xlchart.v1.64" hidden="1">'dN adu'!$P$8</definedName>
    <definedName name="_xlchart.v1.65" hidden="1">'dN adu'!$P$9:$P$355</definedName>
    <definedName name="_xlchart.v1.66" hidden="1">'dN adu'!$Q$8</definedName>
    <definedName name="_xlchart.v1.67" hidden="1">'dN adu'!$Q$9:$Q$355</definedName>
    <definedName name="_xlchart.v1.68" hidden="1">'dN adu'!$R$8</definedName>
    <definedName name="_xlchart.v1.69" hidden="1">'dN adu'!$R$9:$R$355</definedName>
    <definedName name="_xlchart.v1.7" hidden="1">'boxplot d2Hf juv chasse'!$E$2:$E$646</definedName>
    <definedName name="_xlchart.v1.70" hidden="1">'dN juv'!$N$8</definedName>
    <definedName name="_xlchart.v1.71" hidden="1">'dN juv'!$N$9:$N$755</definedName>
    <definedName name="_xlchart.v1.72" hidden="1">'dN juv'!$O$8</definedName>
    <definedName name="_xlchart.v1.73" hidden="1">'dN juv'!$O$9:$O$755</definedName>
    <definedName name="_xlchart.v1.74" hidden="1">'dN juv'!$P$8</definedName>
    <definedName name="_xlchart.v1.75" hidden="1">'dN juv'!$P$9:$P$755</definedName>
    <definedName name="_xlchart.v1.76" hidden="1">'dN juv'!$Q$8</definedName>
    <definedName name="_xlchart.v1.77" hidden="1">'dN juv'!$Q$9:$Q$755</definedName>
    <definedName name="_xlchart.v1.78" hidden="1">'dN juv'!$R$8</definedName>
    <definedName name="_xlchart.v1.79" hidden="1">'dN juv'!$R$9:$R$755</definedName>
    <definedName name="_xlchart.v1.8" hidden="1">'boxplot d2Hf juv chasse'!$F$1</definedName>
    <definedName name="_xlchart.v1.80" hidden="1">'dN juv'!$S$8</definedName>
    <definedName name="_xlchart.v1.81" hidden="1">'dN juv'!$S$9:$S$755</definedName>
    <definedName name="_xlchart.v1.82" hidden="1">'dN juv'!$T$8</definedName>
    <definedName name="_xlchart.v1.83" hidden="1">'dN juv'!$T$9:$T$755</definedName>
    <definedName name="_xlchart.v1.9" hidden="1">'boxplot d2Hf juv chasse'!$F$2:$F$646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59" i="1" l="1"/>
  <c r="Q10" i="32" l="1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B10" i="32"/>
  <c r="P47" i="32" l="1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B47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C43" i="32"/>
  <c r="D43" i="32"/>
  <c r="E43" i="32"/>
  <c r="F43" i="32"/>
  <c r="G43" i="32"/>
  <c r="H43" i="32"/>
  <c r="I43" i="32"/>
  <c r="J43" i="32"/>
  <c r="K43" i="32"/>
  <c r="L43" i="32"/>
  <c r="M43" i="32"/>
  <c r="N43" i="32"/>
  <c r="O43" i="32"/>
  <c r="P43" i="32"/>
  <c r="B43" i="32"/>
  <c r="S47" i="32" l="1"/>
  <c r="S43" i="32"/>
  <c r="S45" i="32"/>
  <c r="AB26" i="32"/>
  <c r="AC26" i="32"/>
  <c r="T43" i="32" l="1"/>
  <c r="AD26" i="32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6" i="1"/>
  <c r="AB487" i="1"/>
  <c r="AB488" i="1"/>
  <c r="AB489" i="1"/>
  <c r="AB490" i="1"/>
  <c r="AB491" i="1"/>
  <c r="AB492" i="1"/>
  <c r="AB493" i="1"/>
  <c r="AB494" i="1"/>
  <c r="AB495" i="1"/>
  <c r="AB496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6" i="1"/>
  <c r="AB607" i="1"/>
  <c r="AB608" i="1"/>
  <c r="AB609" i="1"/>
  <c r="AB610" i="1"/>
  <c r="AB611" i="1"/>
  <c r="AB612" i="1"/>
  <c r="AB613" i="1"/>
  <c r="AB614" i="1"/>
  <c r="AB615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2" i="1"/>
  <c r="I23" i="32"/>
  <c r="E24" i="32" s="1"/>
  <c r="I21" i="32"/>
  <c r="G22" i="32" s="1"/>
  <c r="I19" i="32"/>
  <c r="F20" i="32" s="1"/>
  <c r="I17" i="32"/>
  <c r="E18" i="32" s="1"/>
  <c r="I15" i="32"/>
  <c r="C16" i="32" s="1"/>
  <c r="H16" i="32" l="1"/>
  <c r="D16" i="32"/>
  <c r="F16" i="32"/>
  <c r="B18" i="32"/>
  <c r="F18" i="32"/>
  <c r="C20" i="32"/>
  <c r="G20" i="32"/>
  <c r="H24" i="32"/>
  <c r="D24" i="32"/>
  <c r="D22" i="32"/>
  <c r="H22" i="32"/>
  <c r="D18" i="32"/>
  <c r="H18" i="32"/>
  <c r="E20" i="32"/>
  <c r="B16" i="32"/>
  <c r="E16" i="32"/>
  <c r="C18" i="32"/>
  <c r="G18" i="32"/>
  <c r="D20" i="32"/>
  <c r="H20" i="32"/>
  <c r="G24" i="32"/>
  <c r="C24" i="32"/>
  <c r="E22" i="32"/>
  <c r="F24" i="32"/>
  <c r="B22" i="32"/>
  <c r="F22" i="32"/>
  <c r="G16" i="32"/>
  <c r="B20" i="32"/>
  <c r="B24" i="32"/>
  <c r="C22" i="32"/>
  <c r="R7" i="32" l="1"/>
  <c r="R5" i="32"/>
  <c r="R3" i="32"/>
  <c r="C4" i="32" l="1"/>
  <c r="G4" i="32"/>
  <c r="K4" i="32"/>
  <c r="O4" i="32"/>
  <c r="D4" i="32"/>
  <c r="H4" i="32"/>
  <c r="L4" i="32"/>
  <c r="P4" i="32"/>
  <c r="E4" i="32"/>
  <c r="M4" i="32"/>
  <c r="Q4" i="32"/>
  <c r="I4" i="32"/>
  <c r="F4" i="32"/>
  <c r="J4" i="32"/>
  <c r="N4" i="32"/>
  <c r="B4" i="32"/>
  <c r="C6" i="32"/>
  <c r="G6" i="32"/>
  <c r="K6" i="32"/>
  <c r="O6" i="32"/>
  <c r="D6" i="32"/>
  <c r="H6" i="32"/>
  <c r="L6" i="32"/>
  <c r="P6" i="32"/>
  <c r="E6" i="32"/>
  <c r="Q6" i="32"/>
  <c r="M6" i="32"/>
  <c r="I6" i="32"/>
  <c r="F6" i="32"/>
  <c r="J6" i="32"/>
  <c r="N6" i="32"/>
  <c r="B6" i="32"/>
  <c r="R34" i="32"/>
  <c r="AC25" i="32" s="1"/>
  <c r="R32" i="32"/>
  <c r="R30" i="32"/>
  <c r="B31" i="32" s="1"/>
  <c r="R28" i="32"/>
  <c r="AB23" i="32" s="1"/>
  <c r="AI24" i="32" l="1"/>
  <c r="AI23" i="32"/>
  <c r="AH24" i="32"/>
  <c r="AJ24" i="32" s="1"/>
  <c r="AH23" i="32"/>
  <c r="AC23" i="32"/>
  <c r="AD23" i="32" s="1"/>
  <c r="AB25" i="32"/>
  <c r="AD25" i="32" s="1"/>
  <c r="AB24" i="32"/>
  <c r="AC24" i="32"/>
  <c r="P31" i="32"/>
  <c r="D31" i="32"/>
  <c r="E31" i="32"/>
  <c r="H31" i="32"/>
  <c r="K31" i="32"/>
  <c r="F31" i="32"/>
  <c r="L31" i="32"/>
  <c r="C31" i="32"/>
  <c r="G31" i="32"/>
  <c r="O31" i="32"/>
  <c r="I31" i="32"/>
  <c r="M31" i="32"/>
  <c r="Q31" i="32"/>
  <c r="J31" i="32"/>
  <c r="N31" i="32"/>
  <c r="Q37" i="32"/>
  <c r="Q29" i="32"/>
  <c r="Q33" i="32"/>
  <c r="Q35" i="32"/>
  <c r="Q12" i="32"/>
  <c r="Q8" i="32"/>
  <c r="AF2" i="1"/>
  <c r="AF3" i="1"/>
  <c r="X3" i="1" s="1"/>
  <c r="AA3" i="1" s="1"/>
  <c r="AF4" i="1"/>
  <c r="X4" i="1" s="1"/>
  <c r="AA4" i="1" s="1"/>
  <c r="AF5" i="1"/>
  <c r="X5" i="1" s="1"/>
  <c r="AA5" i="1" s="1"/>
  <c r="AF6" i="1"/>
  <c r="AF7" i="1"/>
  <c r="AF8" i="1"/>
  <c r="X8" i="1" s="1"/>
  <c r="AA8" i="1" s="1"/>
  <c r="AF9" i="1"/>
  <c r="AF10" i="1"/>
  <c r="X10" i="1" s="1"/>
  <c r="AA10" i="1" s="1"/>
  <c r="AF11" i="1"/>
  <c r="X11" i="1" s="1"/>
  <c r="AA11" i="1" s="1"/>
  <c r="AF12" i="1"/>
  <c r="AF13" i="1"/>
  <c r="AF14" i="1"/>
  <c r="AF15" i="1"/>
  <c r="AF16" i="1"/>
  <c r="X16" i="1" s="1"/>
  <c r="AA16" i="1" s="1"/>
  <c r="AF17" i="1"/>
  <c r="AF18" i="1"/>
  <c r="X18" i="1" s="1"/>
  <c r="AA18" i="1" s="1"/>
  <c r="AF19" i="1"/>
  <c r="X19" i="1" s="1"/>
  <c r="AA19" i="1" s="1"/>
  <c r="AF20" i="1"/>
  <c r="X20" i="1" s="1"/>
  <c r="AA20" i="1" s="1"/>
  <c r="AF21" i="1"/>
  <c r="AF22" i="1"/>
  <c r="AF23" i="1"/>
  <c r="X23" i="1" s="1"/>
  <c r="AA23" i="1" s="1"/>
  <c r="AF24" i="1"/>
  <c r="X24" i="1" s="1"/>
  <c r="AA24" i="1" s="1"/>
  <c r="AF25" i="1"/>
  <c r="X25" i="1" s="1"/>
  <c r="AA25" i="1" s="1"/>
  <c r="AF26" i="1"/>
  <c r="AF27" i="1"/>
  <c r="X27" i="1" s="1"/>
  <c r="AA27" i="1" s="1"/>
  <c r="AF28" i="1"/>
  <c r="X28" i="1" s="1"/>
  <c r="AA28" i="1" s="1"/>
  <c r="AF29" i="1"/>
  <c r="X29" i="1" s="1"/>
  <c r="AA29" i="1" s="1"/>
  <c r="AF30" i="1"/>
  <c r="X30" i="1" s="1"/>
  <c r="AA30" i="1" s="1"/>
  <c r="AF31" i="1"/>
  <c r="X31" i="1" s="1"/>
  <c r="AA31" i="1" s="1"/>
  <c r="AF32" i="1"/>
  <c r="X32" i="1" s="1"/>
  <c r="AA32" i="1" s="1"/>
  <c r="AF33" i="1"/>
  <c r="AF34" i="1"/>
  <c r="X34" i="1" s="1"/>
  <c r="AA34" i="1" s="1"/>
  <c r="AF35" i="1"/>
  <c r="X35" i="1" s="1"/>
  <c r="AA35" i="1" s="1"/>
  <c r="AF36" i="1"/>
  <c r="X36" i="1" s="1"/>
  <c r="AA36" i="1" s="1"/>
  <c r="AF37" i="1"/>
  <c r="AF38" i="1"/>
  <c r="X38" i="1" s="1"/>
  <c r="AA38" i="1" s="1"/>
  <c r="AF39" i="1"/>
  <c r="AF40" i="1"/>
  <c r="X40" i="1" s="1"/>
  <c r="AA40" i="1" s="1"/>
  <c r="AF41" i="1"/>
  <c r="X41" i="1" s="1"/>
  <c r="AA41" i="1" s="1"/>
  <c r="AF42" i="1"/>
  <c r="AF43" i="1"/>
  <c r="AF44" i="1"/>
  <c r="X44" i="1" s="1"/>
  <c r="AA44" i="1" s="1"/>
  <c r="AF45" i="1"/>
  <c r="AF46" i="1"/>
  <c r="AF47" i="1"/>
  <c r="AF48" i="1"/>
  <c r="X48" i="1" s="1"/>
  <c r="AA48" i="1" s="1"/>
  <c r="AF49" i="1"/>
  <c r="X49" i="1" s="1"/>
  <c r="AA49" i="1" s="1"/>
  <c r="AF50" i="1"/>
  <c r="AF51" i="1"/>
  <c r="X51" i="1" s="1"/>
  <c r="AA51" i="1" s="1"/>
  <c r="AF52" i="1"/>
  <c r="X52" i="1" s="1"/>
  <c r="AA52" i="1" s="1"/>
  <c r="AF53" i="1"/>
  <c r="X53" i="1" s="1"/>
  <c r="AA53" i="1" s="1"/>
  <c r="AF54" i="1"/>
  <c r="AF55" i="1"/>
  <c r="AF56" i="1"/>
  <c r="X56" i="1" s="1"/>
  <c r="AA56" i="1" s="1"/>
  <c r="AF57" i="1"/>
  <c r="AF58" i="1"/>
  <c r="AF59" i="1"/>
  <c r="AF60" i="1"/>
  <c r="AF61" i="1"/>
  <c r="X61" i="1" s="1"/>
  <c r="AA61" i="1" s="1"/>
  <c r="AF62" i="1"/>
  <c r="X62" i="1" s="1"/>
  <c r="AA62" i="1" s="1"/>
  <c r="AF63" i="1"/>
  <c r="AF64" i="1"/>
  <c r="X64" i="1" s="1"/>
  <c r="AA64" i="1" s="1"/>
  <c r="AF65" i="1"/>
  <c r="X65" i="1" s="1"/>
  <c r="AA65" i="1" s="1"/>
  <c r="AF66" i="1"/>
  <c r="AF67" i="1"/>
  <c r="AF68" i="1"/>
  <c r="X68" i="1" s="1"/>
  <c r="AA68" i="1" s="1"/>
  <c r="AF69" i="1"/>
  <c r="X69" i="1" s="1"/>
  <c r="AA69" i="1" s="1"/>
  <c r="AF70" i="1"/>
  <c r="AF71" i="1"/>
  <c r="AF72" i="1"/>
  <c r="X72" i="1" s="1"/>
  <c r="AA72" i="1" s="1"/>
  <c r="AF73" i="1"/>
  <c r="X73" i="1" s="1"/>
  <c r="AA73" i="1" s="1"/>
  <c r="AF74" i="1"/>
  <c r="AF75" i="1"/>
  <c r="X75" i="1" s="1"/>
  <c r="AA75" i="1" s="1"/>
  <c r="AF76" i="1"/>
  <c r="X76" i="1" s="1"/>
  <c r="AA76" i="1" s="1"/>
  <c r="AF77" i="1"/>
  <c r="X77" i="1" s="1"/>
  <c r="AA77" i="1" s="1"/>
  <c r="AF78" i="1"/>
  <c r="AF79" i="1"/>
  <c r="X79" i="1" s="1"/>
  <c r="AA79" i="1" s="1"/>
  <c r="AF80" i="1"/>
  <c r="X80" i="1" s="1"/>
  <c r="AA80" i="1" s="1"/>
  <c r="AF81" i="1"/>
  <c r="AF82" i="1"/>
  <c r="AF83" i="1"/>
  <c r="X83" i="1" s="1"/>
  <c r="AA83" i="1" s="1"/>
  <c r="AF84" i="1"/>
  <c r="X84" i="1" s="1"/>
  <c r="AA84" i="1" s="1"/>
  <c r="AF85" i="1"/>
  <c r="X85" i="1" s="1"/>
  <c r="AA85" i="1" s="1"/>
  <c r="AF86" i="1"/>
  <c r="AF87" i="1"/>
  <c r="X87" i="1" s="1"/>
  <c r="AA87" i="1" s="1"/>
  <c r="AF88" i="1"/>
  <c r="AF89" i="1"/>
  <c r="X89" i="1" s="1"/>
  <c r="AA89" i="1" s="1"/>
  <c r="AF90" i="1"/>
  <c r="AF91" i="1"/>
  <c r="AF92" i="1"/>
  <c r="AF93" i="1"/>
  <c r="AF94" i="1"/>
  <c r="AF95" i="1"/>
  <c r="X95" i="1" s="1"/>
  <c r="AA95" i="1" s="1"/>
  <c r="AF96" i="1"/>
  <c r="AF97" i="1"/>
  <c r="X97" i="1" s="1"/>
  <c r="AA97" i="1" s="1"/>
  <c r="AF98" i="1"/>
  <c r="X98" i="1" s="1"/>
  <c r="AA98" i="1" s="1"/>
  <c r="AF99" i="1"/>
  <c r="AF100" i="1"/>
  <c r="X100" i="1" s="1"/>
  <c r="AA100" i="1" s="1"/>
  <c r="AF101" i="1"/>
  <c r="X101" i="1" s="1"/>
  <c r="AA101" i="1" s="1"/>
  <c r="AF102" i="1"/>
  <c r="X102" i="1" s="1"/>
  <c r="AA102" i="1" s="1"/>
  <c r="AF103" i="1"/>
  <c r="AF104" i="1"/>
  <c r="X104" i="1" s="1"/>
  <c r="AA104" i="1" s="1"/>
  <c r="AF105" i="1"/>
  <c r="X105" i="1" s="1"/>
  <c r="AA105" i="1" s="1"/>
  <c r="AF106" i="1"/>
  <c r="AF107" i="1"/>
  <c r="AF108" i="1"/>
  <c r="X108" i="1" s="1"/>
  <c r="AA108" i="1" s="1"/>
  <c r="AF109" i="1"/>
  <c r="X109" i="1" s="1"/>
  <c r="AA109" i="1" s="1"/>
  <c r="AF110" i="1"/>
  <c r="AF111" i="1"/>
  <c r="X111" i="1" s="1"/>
  <c r="AA111" i="1" s="1"/>
  <c r="AF112" i="1"/>
  <c r="X112" i="1" s="1"/>
  <c r="AA112" i="1" s="1"/>
  <c r="AF113" i="1"/>
  <c r="X113" i="1" s="1"/>
  <c r="AA113" i="1" s="1"/>
  <c r="AF114" i="1"/>
  <c r="X114" i="1" s="1"/>
  <c r="AA114" i="1" s="1"/>
  <c r="AF115" i="1"/>
  <c r="AF116" i="1"/>
  <c r="AF117" i="1"/>
  <c r="X117" i="1" s="1"/>
  <c r="AA117" i="1" s="1"/>
  <c r="AF118" i="1"/>
  <c r="AF119" i="1"/>
  <c r="AJ119" i="1" s="1"/>
  <c r="AF120" i="1"/>
  <c r="X120" i="1" s="1"/>
  <c r="AA120" i="1" s="1"/>
  <c r="AF121" i="1"/>
  <c r="X121" i="1" s="1"/>
  <c r="AA121" i="1" s="1"/>
  <c r="AF122" i="1"/>
  <c r="X122" i="1" s="1"/>
  <c r="AA122" i="1" s="1"/>
  <c r="AF123" i="1"/>
  <c r="X123" i="1" s="1"/>
  <c r="AA123" i="1" s="1"/>
  <c r="AF124" i="1"/>
  <c r="X124" i="1" s="1"/>
  <c r="AA124" i="1" s="1"/>
  <c r="AF125" i="1"/>
  <c r="AF126" i="1"/>
  <c r="X126" i="1" s="1"/>
  <c r="AA126" i="1" s="1"/>
  <c r="AF127" i="1"/>
  <c r="AF128" i="1"/>
  <c r="AJ128" i="1" s="1"/>
  <c r="AF129" i="1"/>
  <c r="X129" i="1" s="1"/>
  <c r="AA129" i="1" s="1"/>
  <c r="AF130" i="1"/>
  <c r="AF131" i="1"/>
  <c r="AF132" i="1"/>
  <c r="X132" i="1" s="1"/>
  <c r="AA132" i="1" s="1"/>
  <c r="AF133" i="1"/>
  <c r="X133" i="1" s="1"/>
  <c r="AA133" i="1" s="1"/>
  <c r="AF134" i="1"/>
  <c r="AF135" i="1"/>
  <c r="AF136" i="1"/>
  <c r="AF137" i="1"/>
  <c r="X137" i="1" s="1"/>
  <c r="AA137" i="1" s="1"/>
  <c r="AF138" i="1"/>
  <c r="AF139" i="1"/>
  <c r="X139" i="1" s="1"/>
  <c r="AA139" i="1" s="1"/>
  <c r="AF140" i="1"/>
  <c r="AF141" i="1"/>
  <c r="X141" i="1" s="1"/>
  <c r="AA141" i="1" s="1"/>
  <c r="AF142" i="1"/>
  <c r="X142" i="1" s="1"/>
  <c r="AA142" i="1" s="1"/>
  <c r="AF143" i="1"/>
  <c r="AF144" i="1"/>
  <c r="X144" i="1" s="1"/>
  <c r="AA144" i="1" s="1"/>
  <c r="AF145" i="1"/>
  <c r="X145" i="1" s="1"/>
  <c r="AA145" i="1" s="1"/>
  <c r="AF146" i="1"/>
  <c r="AF147" i="1"/>
  <c r="AF148" i="1"/>
  <c r="AF149" i="1"/>
  <c r="X149" i="1" s="1"/>
  <c r="AA149" i="1" s="1"/>
  <c r="AF150" i="1"/>
  <c r="AJ150" i="1" s="1"/>
  <c r="AF151" i="1"/>
  <c r="AF152" i="1"/>
  <c r="X152" i="1" s="1"/>
  <c r="AA152" i="1" s="1"/>
  <c r="AF153" i="1"/>
  <c r="X153" i="1" s="1"/>
  <c r="AA153" i="1" s="1"/>
  <c r="AF154" i="1"/>
  <c r="AF155" i="1"/>
  <c r="X155" i="1" s="1"/>
  <c r="AA155" i="1" s="1"/>
  <c r="AF156" i="1"/>
  <c r="AF157" i="1"/>
  <c r="X157" i="1" s="1"/>
  <c r="AA157" i="1" s="1"/>
  <c r="AF158" i="1"/>
  <c r="AF159" i="1"/>
  <c r="X159" i="1" s="1"/>
  <c r="AA159" i="1" s="1"/>
  <c r="AF160" i="1"/>
  <c r="X160" i="1" s="1"/>
  <c r="AA160" i="1" s="1"/>
  <c r="AF161" i="1"/>
  <c r="X161" i="1" s="1"/>
  <c r="AA161" i="1" s="1"/>
  <c r="AF162" i="1"/>
  <c r="X162" i="1" s="1"/>
  <c r="AA162" i="1" s="1"/>
  <c r="AF163" i="1"/>
  <c r="X163" i="1" s="1"/>
  <c r="AA163" i="1" s="1"/>
  <c r="AF164" i="1"/>
  <c r="X164" i="1" s="1"/>
  <c r="AA164" i="1" s="1"/>
  <c r="AF165" i="1"/>
  <c r="X165" i="1" s="1"/>
  <c r="AA165" i="1" s="1"/>
  <c r="AF166" i="1"/>
  <c r="AF167" i="1"/>
  <c r="X167" i="1" s="1"/>
  <c r="AA167" i="1" s="1"/>
  <c r="AF168" i="1"/>
  <c r="X168" i="1" s="1"/>
  <c r="AA168" i="1" s="1"/>
  <c r="AF169" i="1"/>
  <c r="X169" i="1" s="1"/>
  <c r="AA169" i="1" s="1"/>
  <c r="AF170" i="1"/>
  <c r="AF171" i="1"/>
  <c r="AF172" i="1"/>
  <c r="X172" i="1" s="1"/>
  <c r="AA172" i="1" s="1"/>
  <c r="AF173" i="1"/>
  <c r="X173" i="1" s="1"/>
  <c r="AA173" i="1" s="1"/>
  <c r="AF174" i="1"/>
  <c r="AF175" i="1"/>
  <c r="AF176" i="1"/>
  <c r="X176" i="1" s="1"/>
  <c r="AA176" i="1" s="1"/>
  <c r="AF177" i="1"/>
  <c r="AF178" i="1"/>
  <c r="AF179" i="1"/>
  <c r="X179" i="1" s="1"/>
  <c r="AA179" i="1" s="1"/>
  <c r="AF180" i="1"/>
  <c r="AF181" i="1"/>
  <c r="X181" i="1" s="1"/>
  <c r="AA181" i="1" s="1"/>
  <c r="AF182" i="1"/>
  <c r="X182" i="1" s="1"/>
  <c r="AA182" i="1" s="1"/>
  <c r="AF183" i="1"/>
  <c r="X183" i="1" s="1"/>
  <c r="AA183" i="1" s="1"/>
  <c r="AF184" i="1"/>
  <c r="AF185" i="1"/>
  <c r="X185" i="1" s="1"/>
  <c r="AA185" i="1" s="1"/>
  <c r="AF186" i="1"/>
  <c r="AF187" i="1"/>
  <c r="AF188" i="1"/>
  <c r="X188" i="1" s="1"/>
  <c r="AA188" i="1" s="1"/>
  <c r="AF189" i="1"/>
  <c r="X189" i="1" s="1"/>
  <c r="AA189" i="1" s="1"/>
  <c r="AF190" i="1"/>
  <c r="X190" i="1" s="1"/>
  <c r="AA190" i="1" s="1"/>
  <c r="AI191" i="1"/>
  <c r="AF191" i="1" s="1"/>
  <c r="X191" i="1" s="1"/>
  <c r="AA191" i="1" s="1"/>
  <c r="AI192" i="1"/>
  <c r="AF192" i="1" s="1"/>
  <c r="X192" i="1" s="1"/>
  <c r="AA192" i="1" s="1"/>
  <c r="AI193" i="1"/>
  <c r="AF193" i="1" s="1"/>
  <c r="AI194" i="1"/>
  <c r="AF194" i="1" s="1"/>
  <c r="X194" i="1" s="1"/>
  <c r="AA194" i="1" s="1"/>
  <c r="AI195" i="1"/>
  <c r="AF195" i="1" s="1"/>
  <c r="X195" i="1" s="1"/>
  <c r="AA195" i="1" s="1"/>
  <c r="AI196" i="1"/>
  <c r="AF196" i="1" s="1"/>
  <c r="X196" i="1" s="1"/>
  <c r="AA196" i="1" s="1"/>
  <c r="AI197" i="1"/>
  <c r="AF197" i="1" s="1"/>
  <c r="X197" i="1" s="1"/>
  <c r="AA197" i="1" s="1"/>
  <c r="AI198" i="1"/>
  <c r="AF198" i="1" s="1"/>
  <c r="AI199" i="1"/>
  <c r="AF199" i="1" s="1"/>
  <c r="X199" i="1" s="1"/>
  <c r="AA199" i="1" s="1"/>
  <c r="AI200" i="1"/>
  <c r="AF200" i="1" s="1"/>
  <c r="X200" i="1" s="1"/>
  <c r="AA200" i="1" s="1"/>
  <c r="AI201" i="1"/>
  <c r="AF201" i="1" s="1"/>
  <c r="X201" i="1" s="1"/>
  <c r="AA201" i="1" s="1"/>
  <c r="AI202" i="1"/>
  <c r="AF202" i="1" s="1"/>
  <c r="X202" i="1" s="1"/>
  <c r="AA202" i="1" s="1"/>
  <c r="AI203" i="1"/>
  <c r="AF203" i="1" s="1"/>
  <c r="AI204" i="1"/>
  <c r="AF204" i="1" s="1"/>
  <c r="X204" i="1" s="1"/>
  <c r="AA204" i="1" s="1"/>
  <c r="AI205" i="1"/>
  <c r="AF205" i="1" s="1"/>
  <c r="AI206" i="1"/>
  <c r="AF206" i="1" s="1"/>
  <c r="X206" i="1" s="1"/>
  <c r="AA206" i="1" s="1"/>
  <c r="AI207" i="1"/>
  <c r="AF207" i="1" s="1"/>
  <c r="X207" i="1" s="1"/>
  <c r="AA207" i="1" s="1"/>
  <c r="AI208" i="1"/>
  <c r="AF208" i="1" s="1"/>
  <c r="X208" i="1" s="1"/>
  <c r="AA208" i="1" s="1"/>
  <c r="AI209" i="1"/>
  <c r="AF209" i="1" s="1"/>
  <c r="X209" i="1" s="1"/>
  <c r="AA209" i="1" s="1"/>
  <c r="AI210" i="1"/>
  <c r="AF210" i="1" s="1"/>
  <c r="AI211" i="1"/>
  <c r="AF211" i="1" s="1"/>
  <c r="AI212" i="1"/>
  <c r="AF212" i="1" s="1"/>
  <c r="X212" i="1" s="1"/>
  <c r="AA212" i="1" s="1"/>
  <c r="AI213" i="1"/>
  <c r="AF213" i="1" s="1"/>
  <c r="AI214" i="1"/>
  <c r="AF214" i="1" s="1"/>
  <c r="X214" i="1" s="1"/>
  <c r="AA214" i="1" s="1"/>
  <c r="AI215" i="1"/>
  <c r="AF215" i="1" s="1"/>
  <c r="X215" i="1" s="1"/>
  <c r="AA215" i="1" s="1"/>
  <c r="AI216" i="1"/>
  <c r="AF216" i="1" s="1"/>
  <c r="AI217" i="1"/>
  <c r="AF217" i="1" s="1"/>
  <c r="X217" i="1" s="1"/>
  <c r="AA217" i="1" s="1"/>
  <c r="AI218" i="1"/>
  <c r="AF218" i="1" s="1"/>
  <c r="AI219" i="1"/>
  <c r="AF219" i="1" s="1"/>
  <c r="AI220" i="1"/>
  <c r="AF220" i="1" s="1"/>
  <c r="X220" i="1" s="1"/>
  <c r="AA220" i="1" s="1"/>
  <c r="AI221" i="1"/>
  <c r="AF221" i="1" s="1"/>
  <c r="X221" i="1" s="1"/>
  <c r="AA221" i="1" s="1"/>
  <c r="AI222" i="1"/>
  <c r="AF222" i="1" s="1"/>
  <c r="X222" i="1" s="1"/>
  <c r="AA222" i="1" s="1"/>
  <c r="AI223" i="1"/>
  <c r="AF223" i="1" s="1"/>
  <c r="AI224" i="1"/>
  <c r="AF224" i="1" s="1"/>
  <c r="X224" i="1" s="1"/>
  <c r="AA224" i="1" s="1"/>
  <c r="AI225" i="1"/>
  <c r="AF225" i="1" s="1"/>
  <c r="AI226" i="1"/>
  <c r="AF226" i="1" s="1"/>
  <c r="X226" i="1" s="1"/>
  <c r="AA226" i="1" s="1"/>
  <c r="AI227" i="1"/>
  <c r="AF227" i="1" s="1"/>
  <c r="X227" i="1" s="1"/>
  <c r="AA227" i="1" s="1"/>
  <c r="AI228" i="1"/>
  <c r="AF228" i="1" s="1"/>
  <c r="X228" i="1" s="1"/>
  <c r="AA228" i="1" s="1"/>
  <c r="AI229" i="1"/>
  <c r="AF229" i="1" s="1"/>
  <c r="AI230" i="1"/>
  <c r="AF230" i="1" s="1"/>
  <c r="X230" i="1" s="1"/>
  <c r="AA230" i="1" s="1"/>
  <c r="AI231" i="1"/>
  <c r="AF231" i="1" s="1"/>
  <c r="AI232" i="1"/>
  <c r="AF232" i="1" s="1"/>
  <c r="X232" i="1" s="1"/>
  <c r="AA232" i="1" s="1"/>
  <c r="AI233" i="1"/>
  <c r="AF233" i="1" s="1"/>
  <c r="X233" i="1" s="1"/>
  <c r="AA233" i="1" s="1"/>
  <c r="AI234" i="1"/>
  <c r="AF234" i="1" s="1"/>
  <c r="X234" i="1" s="1"/>
  <c r="AA234" i="1" s="1"/>
  <c r="AI235" i="1"/>
  <c r="AF235" i="1" s="1"/>
  <c r="X235" i="1" s="1"/>
  <c r="AA235" i="1" s="1"/>
  <c r="AI236" i="1"/>
  <c r="AF236" i="1" s="1"/>
  <c r="X236" i="1" s="1"/>
  <c r="AA236" i="1" s="1"/>
  <c r="AI237" i="1"/>
  <c r="AF237" i="1" s="1"/>
  <c r="X237" i="1" s="1"/>
  <c r="AA237" i="1" s="1"/>
  <c r="AI238" i="1"/>
  <c r="AF238" i="1" s="1"/>
  <c r="X238" i="1" s="1"/>
  <c r="AA238" i="1" s="1"/>
  <c r="AI239" i="1"/>
  <c r="AF239" i="1" s="1"/>
  <c r="X239" i="1" s="1"/>
  <c r="AA239" i="1" s="1"/>
  <c r="AI240" i="1"/>
  <c r="AF240" i="1" s="1"/>
  <c r="X240" i="1" s="1"/>
  <c r="AA240" i="1" s="1"/>
  <c r="AI241" i="1"/>
  <c r="AF241" i="1" s="1"/>
  <c r="AI242" i="1"/>
  <c r="AF242" i="1" s="1"/>
  <c r="X242" i="1" s="1"/>
  <c r="AA242" i="1" s="1"/>
  <c r="AI243" i="1"/>
  <c r="AF243" i="1" s="1"/>
  <c r="X243" i="1" s="1"/>
  <c r="AA243" i="1" s="1"/>
  <c r="AI244" i="1"/>
  <c r="AF244" i="1" s="1"/>
  <c r="X244" i="1" s="1"/>
  <c r="AA244" i="1" s="1"/>
  <c r="AI245" i="1"/>
  <c r="AF245" i="1" s="1"/>
  <c r="AI246" i="1"/>
  <c r="AF246" i="1" s="1"/>
  <c r="X246" i="1" s="1"/>
  <c r="AA246" i="1" s="1"/>
  <c r="AI247" i="1"/>
  <c r="AF247" i="1" s="1"/>
  <c r="X247" i="1" s="1"/>
  <c r="AA247" i="1" s="1"/>
  <c r="AI248" i="1"/>
  <c r="AF248" i="1" s="1"/>
  <c r="X248" i="1" s="1"/>
  <c r="AA248" i="1" s="1"/>
  <c r="AI249" i="1"/>
  <c r="AF249" i="1" s="1"/>
  <c r="X249" i="1" s="1"/>
  <c r="AA249" i="1" s="1"/>
  <c r="AI250" i="1"/>
  <c r="AF250" i="1" s="1"/>
  <c r="AI251" i="1"/>
  <c r="AF251" i="1" s="1"/>
  <c r="X251" i="1" s="1"/>
  <c r="AA251" i="1" s="1"/>
  <c r="AI252" i="1"/>
  <c r="AF252" i="1" s="1"/>
  <c r="X252" i="1" s="1"/>
  <c r="AA252" i="1" s="1"/>
  <c r="AI253" i="1"/>
  <c r="AF253" i="1" s="1"/>
  <c r="X253" i="1" s="1"/>
  <c r="AA253" i="1" s="1"/>
  <c r="AI254" i="1"/>
  <c r="AF254" i="1" s="1"/>
  <c r="X254" i="1" s="1"/>
  <c r="AA254" i="1" s="1"/>
  <c r="AI255" i="1"/>
  <c r="AF255" i="1" s="1"/>
  <c r="AI256" i="1"/>
  <c r="AF256" i="1" s="1"/>
  <c r="AI257" i="1"/>
  <c r="AF257" i="1" s="1"/>
  <c r="AI258" i="1"/>
  <c r="AF258" i="1" s="1"/>
  <c r="X258" i="1" s="1"/>
  <c r="AA258" i="1" s="1"/>
  <c r="AI259" i="1"/>
  <c r="AF259" i="1" s="1"/>
  <c r="AI260" i="1"/>
  <c r="AF260" i="1" s="1"/>
  <c r="X260" i="1" s="1"/>
  <c r="AA260" i="1" s="1"/>
  <c r="AI261" i="1"/>
  <c r="AF261" i="1" s="1"/>
  <c r="AI262" i="1"/>
  <c r="AF262" i="1" s="1"/>
  <c r="X262" i="1" s="1"/>
  <c r="AA262" i="1" s="1"/>
  <c r="AI263" i="1"/>
  <c r="AF263" i="1" s="1"/>
  <c r="AI264" i="1"/>
  <c r="AF264" i="1" s="1"/>
  <c r="X264" i="1" s="1"/>
  <c r="AA264" i="1" s="1"/>
  <c r="AI265" i="1"/>
  <c r="AF265" i="1" s="1"/>
  <c r="AI266" i="1"/>
  <c r="AF266" i="1" s="1"/>
  <c r="AI267" i="1"/>
  <c r="AF267" i="1" s="1"/>
  <c r="X267" i="1" s="1"/>
  <c r="AA267" i="1" s="1"/>
  <c r="AI268" i="1"/>
  <c r="AF268" i="1" s="1"/>
  <c r="AI269" i="1"/>
  <c r="AF269" i="1" s="1"/>
  <c r="AI270" i="1"/>
  <c r="AF270" i="1" s="1"/>
  <c r="AI271" i="1"/>
  <c r="AF271" i="1" s="1"/>
  <c r="AI272" i="1"/>
  <c r="AF272" i="1" s="1"/>
  <c r="X272" i="1" s="1"/>
  <c r="AA272" i="1" s="1"/>
  <c r="AI273" i="1"/>
  <c r="AF273" i="1" s="1"/>
  <c r="AI274" i="1"/>
  <c r="AF274" i="1" s="1"/>
  <c r="X274" i="1" s="1"/>
  <c r="AA274" i="1" s="1"/>
  <c r="AI275" i="1"/>
  <c r="AF275" i="1" s="1"/>
  <c r="AI276" i="1"/>
  <c r="AF276" i="1" s="1"/>
  <c r="AI277" i="1"/>
  <c r="AF277" i="1" s="1"/>
  <c r="AI278" i="1"/>
  <c r="AF278" i="1" s="1"/>
  <c r="AI279" i="1"/>
  <c r="AF279" i="1" s="1"/>
  <c r="X279" i="1" s="1"/>
  <c r="AA279" i="1" s="1"/>
  <c r="AI280" i="1"/>
  <c r="AF280" i="1" s="1"/>
  <c r="AI281" i="1"/>
  <c r="AF281" i="1" s="1"/>
  <c r="X281" i="1" s="1"/>
  <c r="AA281" i="1" s="1"/>
  <c r="AI282" i="1"/>
  <c r="AF282" i="1" s="1"/>
  <c r="X282" i="1" s="1"/>
  <c r="AA282" i="1" s="1"/>
  <c r="AI283" i="1"/>
  <c r="AF283" i="1" s="1"/>
  <c r="AI284" i="1"/>
  <c r="AF284" i="1" s="1"/>
  <c r="AI285" i="1"/>
  <c r="AF285" i="1" s="1"/>
  <c r="X285" i="1" s="1"/>
  <c r="AA285" i="1" s="1"/>
  <c r="AI286" i="1"/>
  <c r="AF286" i="1" s="1"/>
  <c r="AI287" i="1"/>
  <c r="AF287" i="1" s="1"/>
  <c r="X287" i="1" s="1"/>
  <c r="AA287" i="1" s="1"/>
  <c r="AI288" i="1"/>
  <c r="AF288" i="1" s="1"/>
  <c r="AI289" i="1"/>
  <c r="AF289" i="1" s="1"/>
  <c r="AI290" i="1"/>
  <c r="AF290" i="1" s="1"/>
  <c r="X290" i="1" s="1"/>
  <c r="AA290" i="1" s="1"/>
  <c r="AI291" i="1"/>
  <c r="AF291" i="1" s="1"/>
  <c r="AI292" i="1"/>
  <c r="AF292" i="1" s="1"/>
  <c r="X292" i="1" s="1"/>
  <c r="AA292" i="1" s="1"/>
  <c r="AI293" i="1"/>
  <c r="AF293" i="1" s="1"/>
  <c r="AI294" i="1"/>
  <c r="AF294" i="1" s="1"/>
  <c r="AI295" i="1"/>
  <c r="AF295" i="1" s="1"/>
  <c r="AI296" i="1"/>
  <c r="AF296" i="1" s="1"/>
  <c r="AI297" i="1"/>
  <c r="AF297" i="1" s="1"/>
  <c r="AI298" i="1"/>
  <c r="AF298" i="1" s="1"/>
  <c r="X298" i="1" s="1"/>
  <c r="AA298" i="1" s="1"/>
  <c r="AI299" i="1"/>
  <c r="AF299" i="1" s="1"/>
  <c r="X299" i="1" s="1"/>
  <c r="AA299" i="1" s="1"/>
  <c r="AI300" i="1"/>
  <c r="AF300" i="1" s="1"/>
  <c r="AI301" i="1"/>
  <c r="AF301" i="1" s="1"/>
  <c r="AI302" i="1"/>
  <c r="AF302" i="1" s="1"/>
  <c r="AI303" i="1"/>
  <c r="AF303" i="1" s="1"/>
  <c r="AI304" i="1"/>
  <c r="AF304" i="1" s="1"/>
  <c r="X304" i="1" s="1"/>
  <c r="AA304" i="1" s="1"/>
  <c r="AI305" i="1"/>
  <c r="AF305" i="1" s="1"/>
  <c r="X305" i="1" s="1"/>
  <c r="AA305" i="1" s="1"/>
  <c r="AI306" i="1"/>
  <c r="AF306" i="1" s="1"/>
  <c r="X306" i="1" s="1"/>
  <c r="AA306" i="1" s="1"/>
  <c r="AI307" i="1"/>
  <c r="AF307" i="1" s="1"/>
  <c r="X307" i="1" s="1"/>
  <c r="AA307" i="1" s="1"/>
  <c r="AI308" i="1"/>
  <c r="AF308" i="1" s="1"/>
  <c r="X308" i="1" s="1"/>
  <c r="AA308" i="1" s="1"/>
  <c r="AF309" i="1"/>
  <c r="X309" i="1" s="1"/>
  <c r="AA309" i="1" s="1"/>
  <c r="AF310" i="1"/>
  <c r="AF311" i="1"/>
  <c r="AF312" i="1"/>
  <c r="X312" i="1" s="1"/>
  <c r="AA312" i="1" s="1"/>
  <c r="AF313" i="1"/>
  <c r="AF314" i="1"/>
  <c r="AF315" i="1"/>
  <c r="AF316" i="1"/>
  <c r="X316" i="1" s="1"/>
  <c r="AA316" i="1" s="1"/>
  <c r="AF317" i="1"/>
  <c r="X317" i="1" s="1"/>
  <c r="AA317" i="1" s="1"/>
  <c r="AF318" i="1"/>
  <c r="AF319" i="1"/>
  <c r="X319" i="1" s="1"/>
  <c r="AA319" i="1" s="1"/>
  <c r="AF320" i="1"/>
  <c r="X320" i="1" s="1"/>
  <c r="AA320" i="1" s="1"/>
  <c r="AF321" i="1"/>
  <c r="X321" i="1" s="1"/>
  <c r="AA321" i="1" s="1"/>
  <c r="AF322" i="1"/>
  <c r="X322" i="1" s="1"/>
  <c r="AA322" i="1" s="1"/>
  <c r="AF323" i="1"/>
  <c r="X323" i="1" s="1"/>
  <c r="AA323" i="1" s="1"/>
  <c r="AF324" i="1"/>
  <c r="X324" i="1" s="1"/>
  <c r="AA324" i="1" s="1"/>
  <c r="AF325" i="1"/>
  <c r="X325" i="1" s="1"/>
  <c r="AA325" i="1" s="1"/>
  <c r="AF326" i="1"/>
  <c r="AF327" i="1"/>
  <c r="AF328" i="1"/>
  <c r="X328" i="1" s="1"/>
  <c r="AA328" i="1" s="1"/>
  <c r="AF329" i="1"/>
  <c r="X329" i="1" s="1"/>
  <c r="AA329" i="1" s="1"/>
  <c r="AF330" i="1"/>
  <c r="AF331" i="1"/>
  <c r="AF332" i="1"/>
  <c r="X332" i="1" s="1"/>
  <c r="AA332" i="1" s="1"/>
  <c r="AF333" i="1"/>
  <c r="AF334" i="1"/>
  <c r="AF335" i="1"/>
  <c r="AF336" i="1"/>
  <c r="AF337" i="1"/>
  <c r="X337" i="1" s="1"/>
  <c r="AA337" i="1" s="1"/>
  <c r="AF338" i="1"/>
  <c r="AF339" i="1"/>
  <c r="AF340" i="1"/>
  <c r="X340" i="1" s="1"/>
  <c r="AA340" i="1" s="1"/>
  <c r="AF341" i="1"/>
  <c r="AF342" i="1"/>
  <c r="X342" i="1" s="1"/>
  <c r="AA342" i="1" s="1"/>
  <c r="AF343" i="1"/>
  <c r="AF344" i="1"/>
  <c r="X344" i="1" s="1"/>
  <c r="AA344" i="1" s="1"/>
  <c r="AF345" i="1"/>
  <c r="X345" i="1" s="1"/>
  <c r="AA345" i="1" s="1"/>
  <c r="AF346" i="1"/>
  <c r="X346" i="1" s="1"/>
  <c r="AA346" i="1" s="1"/>
  <c r="AF347" i="1"/>
  <c r="AF348" i="1"/>
  <c r="X348" i="1" s="1"/>
  <c r="AA348" i="1" s="1"/>
  <c r="AF349" i="1"/>
  <c r="X349" i="1" s="1"/>
  <c r="AA349" i="1" s="1"/>
  <c r="AF350" i="1"/>
  <c r="X350" i="1" s="1"/>
  <c r="AA350" i="1" s="1"/>
  <c r="AF351" i="1"/>
  <c r="AF352" i="1"/>
  <c r="X352" i="1" s="1"/>
  <c r="AA352" i="1" s="1"/>
  <c r="AF353" i="1"/>
  <c r="AF354" i="1"/>
  <c r="X354" i="1" s="1"/>
  <c r="AA354" i="1" s="1"/>
  <c r="AF355" i="1"/>
  <c r="X355" i="1" s="1"/>
  <c r="AA355" i="1" s="1"/>
  <c r="AF356" i="1"/>
  <c r="X356" i="1" s="1"/>
  <c r="AA356" i="1" s="1"/>
  <c r="AF357" i="1"/>
  <c r="AF358" i="1"/>
  <c r="X358" i="1" s="1"/>
  <c r="AA358" i="1" s="1"/>
  <c r="AF359" i="1"/>
  <c r="AF360" i="1"/>
  <c r="X360" i="1" s="1"/>
  <c r="AA360" i="1" s="1"/>
  <c r="AF361" i="1"/>
  <c r="X361" i="1" s="1"/>
  <c r="AA361" i="1" s="1"/>
  <c r="AF362" i="1"/>
  <c r="X362" i="1" s="1"/>
  <c r="AA362" i="1" s="1"/>
  <c r="AF363" i="1"/>
  <c r="X363" i="1" s="1"/>
  <c r="AA363" i="1" s="1"/>
  <c r="AF364" i="1"/>
  <c r="X364" i="1" s="1"/>
  <c r="AA364" i="1" s="1"/>
  <c r="AF365" i="1"/>
  <c r="AF366" i="1"/>
  <c r="X366" i="1" s="1"/>
  <c r="AA366" i="1" s="1"/>
  <c r="AF367" i="1"/>
  <c r="AF368" i="1"/>
  <c r="X368" i="1" s="1"/>
  <c r="AA368" i="1" s="1"/>
  <c r="AF369" i="1"/>
  <c r="AF370" i="1"/>
  <c r="X370" i="1" s="1"/>
  <c r="AA370" i="1" s="1"/>
  <c r="AF371" i="1"/>
  <c r="AF372" i="1"/>
  <c r="X372" i="1" s="1"/>
  <c r="AA372" i="1" s="1"/>
  <c r="AF373" i="1"/>
  <c r="AF374" i="1"/>
  <c r="X374" i="1" s="1"/>
  <c r="AA374" i="1" s="1"/>
  <c r="AF375" i="1"/>
  <c r="X375" i="1" s="1"/>
  <c r="AA375" i="1" s="1"/>
  <c r="AF376" i="1"/>
  <c r="X376" i="1" s="1"/>
  <c r="AA376" i="1" s="1"/>
  <c r="AF377" i="1"/>
  <c r="AF378" i="1"/>
  <c r="X378" i="1" s="1"/>
  <c r="AA378" i="1" s="1"/>
  <c r="AF379" i="1"/>
  <c r="X379" i="1" s="1"/>
  <c r="AA379" i="1" s="1"/>
  <c r="AF380" i="1"/>
  <c r="X380" i="1" s="1"/>
  <c r="AA380" i="1" s="1"/>
  <c r="AF381" i="1"/>
  <c r="X381" i="1" s="1"/>
  <c r="AA381" i="1" s="1"/>
  <c r="AF382" i="1"/>
  <c r="AF383" i="1"/>
  <c r="AF384" i="1"/>
  <c r="X384" i="1" s="1"/>
  <c r="AA384" i="1" s="1"/>
  <c r="AF385" i="1"/>
  <c r="X385" i="1" s="1"/>
  <c r="AA385" i="1" s="1"/>
  <c r="AF386" i="1"/>
  <c r="AF387" i="1"/>
  <c r="AJ387" i="1" s="1"/>
  <c r="AF388" i="1"/>
  <c r="X388" i="1" s="1"/>
  <c r="AA388" i="1" s="1"/>
  <c r="AF389" i="1"/>
  <c r="X389" i="1" s="1"/>
  <c r="AA389" i="1" s="1"/>
  <c r="AF390" i="1"/>
  <c r="AF391" i="1"/>
  <c r="X391" i="1" s="1"/>
  <c r="AA391" i="1" s="1"/>
  <c r="AF392" i="1"/>
  <c r="X392" i="1" s="1"/>
  <c r="AA392" i="1" s="1"/>
  <c r="AF393" i="1"/>
  <c r="X393" i="1" s="1"/>
  <c r="AA393" i="1" s="1"/>
  <c r="AF394" i="1"/>
  <c r="X394" i="1" s="1"/>
  <c r="AA394" i="1" s="1"/>
  <c r="AF395" i="1"/>
  <c r="X395" i="1" s="1"/>
  <c r="AA395" i="1" s="1"/>
  <c r="AF396" i="1"/>
  <c r="X396" i="1" s="1"/>
  <c r="AA396" i="1" s="1"/>
  <c r="AF397" i="1"/>
  <c r="X397" i="1" s="1"/>
  <c r="AA397" i="1" s="1"/>
  <c r="AF398" i="1"/>
  <c r="AF399" i="1"/>
  <c r="X399" i="1" s="1"/>
  <c r="AA399" i="1" s="1"/>
  <c r="AF400" i="1"/>
  <c r="X400" i="1" s="1"/>
  <c r="AA400" i="1" s="1"/>
  <c r="AF401" i="1"/>
  <c r="X401" i="1" s="1"/>
  <c r="AA401" i="1" s="1"/>
  <c r="AF402" i="1"/>
  <c r="AF403" i="1"/>
  <c r="AF404" i="1"/>
  <c r="X404" i="1" s="1"/>
  <c r="AA404" i="1" s="1"/>
  <c r="AF405" i="1"/>
  <c r="X405" i="1" s="1"/>
  <c r="AA405" i="1" s="1"/>
  <c r="AF406" i="1"/>
  <c r="AF407" i="1"/>
  <c r="X407" i="1" s="1"/>
  <c r="AA407" i="1" s="1"/>
  <c r="AF408" i="1"/>
  <c r="X408" i="1" s="1"/>
  <c r="AA408" i="1" s="1"/>
  <c r="AF409" i="1"/>
  <c r="AF410" i="1"/>
  <c r="X410" i="1" s="1"/>
  <c r="AA410" i="1" s="1"/>
  <c r="AF411" i="1"/>
  <c r="X411" i="1" s="1"/>
  <c r="AA411" i="1" s="1"/>
  <c r="AF412" i="1"/>
  <c r="X412" i="1" s="1"/>
  <c r="AA412" i="1" s="1"/>
  <c r="AF413" i="1"/>
  <c r="X413" i="1" s="1"/>
  <c r="AA413" i="1" s="1"/>
  <c r="AF414" i="1"/>
  <c r="X414" i="1" s="1"/>
  <c r="AA414" i="1" s="1"/>
  <c r="AF415" i="1"/>
  <c r="AF416" i="1"/>
  <c r="X416" i="1" s="1"/>
  <c r="AA416" i="1" s="1"/>
  <c r="AF417" i="1"/>
  <c r="X417" i="1" s="1"/>
  <c r="AA417" i="1" s="1"/>
  <c r="AF418" i="1"/>
  <c r="X418" i="1" s="1"/>
  <c r="AA418" i="1" s="1"/>
  <c r="AF419" i="1"/>
  <c r="X419" i="1" s="1"/>
  <c r="AA419" i="1" s="1"/>
  <c r="AF420" i="1"/>
  <c r="X420" i="1" s="1"/>
  <c r="AA420" i="1" s="1"/>
  <c r="AF421" i="1"/>
  <c r="X421" i="1" s="1"/>
  <c r="AA421" i="1" s="1"/>
  <c r="AF422" i="1"/>
  <c r="X422" i="1" s="1"/>
  <c r="AA422" i="1" s="1"/>
  <c r="AF423" i="1"/>
  <c r="X423" i="1" s="1"/>
  <c r="AA423" i="1" s="1"/>
  <c r="AF424" i="1"/>
  <c r="X424" i="1" s="1"/>
  <c r="AA424" i="1" s="1"/>
  <c r="AF425" i="1"/>
  <c r="X425" i="1" s="1"/>
  <c r="AA425" i="1" s="1"/>
  <c r="AF426" i="1"/>
  <c r="X426" i="1" s="1"/>
  <c r="AA426" i="1" s="1"/>
  <c r="AF427" i="1"/>
  <c r="X427" i="1" s="1"/>
  <c r="AA427" i="1" s="1"/>
  <c r="AF428" i="1"/>
  <c r="X428" i="1" s="1"/>
  <c r="AA428" i="1" s="1"/>
  <c r="AF429" i="1"/>
  <c r="X429" i="1" s="1"/>
  <c r="AA429" i="1" s="1"/>
  <c r="AF430" i="1"/>
  <c r="AF431" i="1"/>
  <c r="X431" i="1" s="1"/>
  <c r="AA431" i="1" s="1"/>
  <c r="AF432" i="1"/>
  <c r="X432" i="1" s="1"/>
  <c r="AA432" i="1" s="1"/>
  <c r="AF433" i="1"/>
  <c r="X433" i="1" s="1"/>
  <c r="AA433" i="1" s="1"/>
  <c r="AF434" i="1"/>
  <c r="AF435" i="1"/>
  <c r="AF436" i="1"/>
  <c r="X436" i="1" s="1"/>
  <c r="AA436" i="1" s="1"/>
  <c r="AF437" i="1"/>
  <c r="X437" i="1" s="1"/>
  <c r="AA437" i="1" s="1"/>
  <c r="AF438" i="1"/>
  <c r="AF439" i="1"/>
  <c r="AF440" i="1"/>
  <c r="X440" i="1" s="1"/>
  <c r="AA440" i="1" s="1"/>
  <c r="AF441" i="1"/>
  <c r="X441" i="1" s="1"/>
  <c r="AA441" i="1" s="1"/>
  <c r="AF442" i="1"/>
  <c r="AF443" i="1"/>
  <c r="AF444" i="1"/>
  <c r="X444" i="1" s="1"/>
  <c r="AA444" i="1" s="1"/>
  <c r="AF445" i="1"/>
  <c r="X445" i="1" s="1"/>
  <c r="AA445" i="1" s="1"/>
  <c r="AF446" i="1"/>
  <c r="AF447" i="1"/>
  <c r="AF448" i="1"/>
  <c r="X448" i="1" s="1"/>
  <c r="AA448" i="1" s="1"/>
  <c r="AF449" i="1"/>
  <c r="AF450" i="1"/>
  <c r="AF451" i="1"/>
  <c r="X451" i="1" s="1"/>
  <c r="AA451" i="1" s="1"/>
  <c r="AF452" i="1"/>
  <c r="X452" i="1" s="1"/>
  <c r="AA452" i="1" s="1"/>
  <c r="AF453" i="1"/>
  <c r="X453" i="1" s="1"/>
  <c r="AA453" i="1" s="1"/>
  <c r="AF454" i="1"/>
  <c r="AF455" i="1"/>
  <c r="X455" i="1" s="1"/>
  <c r="AA455" i="1" s="1"/>
  <c r="AF456" i="1"/>
  <c r="X456" i="1" s="1"/>
  <c r="AA456" i="1" s="1"/>
  <c r="AF457" i="1"/>
  <c r="X457" i="1" s="1"/>
  <c r="AA457" i="1" s="1"/>
  <c r="AF458" i="1"/>
  <c r="AF459" i="1"/>
  <c r="AF460" i="1"/>
  <c r="X460" i="1" s="1"/>
  <c r="AA460" i="1" s="1"/>
  <c r="AF461" i="1"/>
  <c r="X461" i="1" s="1"/>
  <c r="AA461" i="1" s="1"/>
  <c r="AF462" i="1"/>
  <c r="X462" i="1" s="1"/>
  <c r="AA462" i="1" s="1"/>
  <c r="AF463" i="1"/>
  <c r="X463" i="1" s="1"/>
  <c r="AA463" i="1" s="1"/>
  <c r="AF464" i="1"/>
  <c r="X464" i="1" s="1"/>
  <c r="AA464" i="1" s="1"/>
  <c r="AF465" i="1"/>
  <c r="X465" i="1" s="1"/>
  <c r="AA465" i="1" s="1"/>
  <c r="AF466" i="1"/>
  <c r="AF467" i="1"/>
  <c r="X467" i="1" s="1"/>
  <c r="AA467" i="1" s="1"/>
  <c r="AF468" i="1"/>
  <c r="X468" i="1" s="1"/>
  <c r="AA468" i="1" s="1"/>
  <c r="AF469" i="1"/>
  <c r="AF470" i="1"/>
  <c r="AF471" i="1"/>
  <c r="AF472" i="1"/>
  <c r="X472" i="1" s="1"/>
  <c r="AA472" i="1" s="1"/>
  <c r="AF473" i="1"/>
  <c r="X473" i="1" s="1"/>
  <c r="AA473" i="1" s="1"/>
  <c r="AF474" i="1"/>
  <c r="AF475" i="1"/>
  <c r="AF476" i="1"/>
  <c r="AF477" i="1"/>
  <c r="X477" i="1" s="1"/>
  <c r="AA477" i="1" s="1"/>
  <c r="AF478" i="1"/>
  <c r="AF479" i="1"/>
  <c r="AF480" i="1"/>
  <c r="AF481" i="1"/>
  <c r="X481" i="1" s="1"/>
  <c r="AA481" i="1" s="1"/>
  <c r="AF482" i="1"/>
  <c r="AF483" i="1"/>
  <c r="AF484" i="1"/>
  <c r="AF485" i="1"/>
  <c r="X485" i="1" s="1"/>
  <c r="AA485" i="1" s="1"/>
  <c r="AF486" i="1"/>
  <c r="AF487" i="1"/>
  <c r="X487" i="1" s="1"/>
  <c r="AA487" i="1" s="1"/>
  <c r="AF488" i="1"/>
  <c r="AF489" i="1"/>
  <c r="X489" i="1" s="1"/>
  <c r="AA489" i="1" s="1"/>
  <c r="AF490" i="1"/>
  <c r="AF491" i="1"/>
  <c r="AF492" i="1"/>
  <c r="X492" i="1" s="1"/>
  <c r="AA492" i="1" s="1"/>
  <c r="AF493" i="1"/>
  <c r="AF494" i="1"/>
  <c r="AF495" i="1"/>
  <c r="X495" i="1" s="1"/>
  <c r="AA495" i="1" s="1"/>
  <c r="AF496" i="1"/>
  <c r="AF497" i="1"/>
  <c r="AF498" i="1"/>
  <c r="AF499" i="1"/>
  <c r="X499" i="1" s="1"/>
  <c r="AA499" i="1" s="1"/>
  <c r="AF500" i="1"/>
  <c r="X500" i="1" s="1"/>
  <c r="AA500" i="1" s="1"/>
  <c r="AF501" i="1"/>
  <c r="AF502" i="1"/>
  <c r="AF503" i="1"/>
  <c r="AF504" i="1"/>
  <c r="X504" i="1" s="1"/>
  <c r="AA504" i="1" s="1"/>
  <c r="AF505" i="1"/>
  <c r="AF506" i="1"/>
  <c r="AF507" i="1"/>
  <c r="X507" i="1" s="1"/>
  <c r="AA507" i="1" s="1"/>
  <c r="AF508" i="1"/>
  <c r="AF509" i="1"/>
  <c r="X509" i="1" s="1"/>
  <c r="AA509" i="1" s="1"/>
  <c r="AF510" i="1"/>
  <c r="AF511" i="1"/>
  <c r="X511" i="1" s="1"/>
  <c r="AA511" i="1" s="1"/>
  <c r="AF512" i="1"/>
  <c r="AF513" i="1"/>
  <c r="AF514" i="1"/>
  <c r="X514" i="1" s="1"/>
  <c r="AA514" i="1" s="1"/>
  <c r="AF515" i="1"/>
  <c r="X515" i="1" s="1"/>
  <c r="AA515" i="1" s="1"/>
  <c r="AF516" i="1"/>
  <c r="X516" i="1" s="1"/>
  <c r="AA516" i="1" s="1"/>
  <c r="AF517" i="1"/>
  <c r="AF518" i="1"/>
  <c r="AF519" i="1"/>
  <c r="AF520" i="1"/>
  <c r="X520" i="1" s="1"/>
  <c r="AA520" i="1" s="1"/>
  <c r="AF521" i="1"/>
  <c r="AF522" i="1"/>
  <c r="AF523" i="1"/>
  <c r="AF524" i="1"/>
  <c r="X524" i="1" s="1"/>
  <c r="AA524" i="1" s="1"/>
  <c r="AF525" i="1"/>
  <c r="AF526" i="1"/>
  <c r="X526" i="1" s="1"/>
  <c r="AA526" i="1" s="1"/>
  <c r="AF527" i="1"/>
  <c r="AF528" i="1"/>
  <c r="X528" i="1" s="1"/>
  <c r="AA528" i="1" s="1"/>
  <c r="AF529" i="1"/>
  <c r="X529" i="1" s="1"/>
  <c r="AA529" i="1" s="1"/>
  <c r="AF530" i="1"/>
  <c r="X530" i="1" s="1"/>
  <c r="AA530" i="1" s="1"/>
  <c r="AF531" i="1"/>
  <c r="X531" i="1" s="1"/>
  <c r="AA531" i="1" s="1"/>
  <c r="AF532" i="1"/>
  <c r="X532" i="1" s="1"/>
  <c r="AA532" i="1" s="1"/>
  <c r="AF533" i="1"/>
  <c r="AF534" i="1"/>
  <c r="AF535" i="1"/>
  <c r="AF536" i="1"/>
  <c r="AF537" i="1"/>
  <c r="X537" i="1" s="1"/>
  <c r="AA537" i="1" s="1"/>
  <c r="AF538" i="1"/>
  <c r="AF539" i="1"/>
  <c r="X539" i="1" s="1"/>
  <c r="AA539" i="1" s="1"/>
  <c r="AF540" i="1"/>
  <c r="X540" i="1" s="1"/>
  <c r="AA540" i="1" s="1"/>
  <c r="AF541" i="1"/>
  <c r="AF542" i="1"/>
  <c r="AF543" i="1"/>
  <c r="AF544" i="1"/>
  <c r="X544" i="1" s="1"/>
  <c r="AA544" i="1" s="1"/>
  <c r="AF545" i="1"/>
  <c r="AF546" i="1"/>
  <c r="X546" i="1" s="1"/>
  <c r="AA546" i="1" s="1"/>
  <c r="AF547" i="1"/>
  <c r="AF548" i="1"/>
  <c r="AF549" i="1"/>
  <c r="X549" i="1" s="1"/>
  <c r="AA549" i="1" s="1"/>
  <c r="AF550" i="1"/>
  <c r="X550" i="1" s="1"/>
  <c r="AA550" i="1" s="1"/>
  <c r="AF551" i="1"/>
  <c r="AF552" i="1"/>
  <c r="AF553" i="1"/>
  <c r="AF554" i="1"/>
  <c r="X554" i="1" s="1"/>
  <c r="AA554" i="1" s="1"/>
  <c r="AF555" i="1"/>
  <c r="AF556" i="1"/>
  <c r="AF557" i="1"/>
  <c r="X557" i="1" s="1"/>
  <c r="AA557" i="1" s="1"/>
  <c r="AF558" i="1"/>
  <c r="AF559" i="1"/>
  <c r="X559" i="1" s="1"/>
  <c r="AA559" i="1" s="1"/>
  <c r="AF560" i="1"/>
  <c r="X560" i="1" s="1"/>
  <c r="AA560" i="1" s="1"/>
  <c r="AF561" i="1"/>
  <c r="AF562" i="1"/>
  <c r="AF563" i="1"/>
  <c r="AF564" i="1"/>
  <c r="AF565" i="1"/>
  <c r="AF566" i="1"/>
  <c r="AF567" i="1"/>
  <c r="X567" i="1" s="1"/>
  <c r="AA567" i="1" s="1"/>
  <c r="AF568" i="1"/>
  <c r="AF569" i="1"/>
  <c r="AF570" i="1"/>
  <c r="X570" i="1" s="1"/>
  <c r="AA570" i="1" s="1"/>
  <c r="AF571" i="1"/>
  <c r="AF572" i="1"/>
  <c r="X572" i="1" s="1"/>
  <c r="AA572" i="1" s="1"/>
  <c r="AF573" i="1"/>
  <c r="X573" i="1" s="1"/>
  <c r="AA573" i="1" s="1"/>
  <c r="AF574" i="1"/>
  <c r="X574" i="1" s="1"/>
  <c r="AA574" i="1" s="1"/>
  <c r="AF575" i="1"/>
  <c r="X575" i="1" s="1"/>
  <c r="AA575" i="1" s="1"/>
  <c r="AF576" i="1"/>
  <c r="X576" i="1" s="1"/>
  <c r="AA576" i="1" s="1"/>
  <c r="AF577" i="1"/>
  <c r="X577" i="1" s="1"/>
  <c r="AA577" i="1" s="1"/>
  <c r="AF578" i="1"/>
  <c r="AF579" i="1"/>
  <c r="X579" i="1" s="1"/>
  <c r="AA579" i="1" s="1"/>
  <c r="AF580" i="1"/>
  <c r="AF581" i="1"/>
  <c r="X581" i="1" s="1"/>
  <c r="AA581" i="1" s="1"/>
  <c r="AF582" i="1"/>
  <c r="AF583" i="1"/>
  <c r="X583" i="1" s="1"/>
  <c r="AA583" i="1" s="1"/>
  <c r="AF584" i="1"/>
  <c r="AF585" i="1"/>
  <c r="X585" i="1" s="1"/>
  <c r="AA585" i="1" s="1"/>
  <c r="AF586" i="1"/>
  <c r="AF587" i="1"/>
  <c r="AF588" i="1"/>
  <c r="AF589" i="1"/>
  <c r="X589" i="1" s="1"/>
  <c r="AA589" i="1" s="1"/>
  <c r="AF590" i="1"/>
  <c r="X590" i="1" s="1"/>
  <c r="AA590" i="1" s="1"/>
  <c r="AF591" i="1"/>
  <c r="AF592" i="1"/>
  <c r="AF593" i="1"/>
  <c r="AF594" i="1"/>
  <c r="X594" i="1" s="1"/>
  <c r="AA594" i="1" s="1"/>
  <c r="AF595" i="1"/>
  <c r="AF596" i="1"/>
  <c r="AF597" i="1"/>
  <c r="X597" i="1" s="1"/>
  <c r="AA597" i="1" s="1"/>
  <c r="AF598" i="1"/>
  <c r="X598" i="1" s="1"/>
  <c r="AA598" i="1" s="1"/>
  <c r="AF599" i="1"/>
  <c r="AF600" i="1"/>
  <c r="AF601" i="1"/>
  <c r="X601" i="1" s="1"/>
  <c r="AA601" i="1" s="1"/>
  <c r="AF602" i="1"/>
  <c r="X602" i="1" s="1"/>
  <c r="AA602" i="1" s="1"/>
  <c r="AF603" i="1"/>
  <c r="AF604" i="1"/>
  <c r="AF605" i="1"/>
  <c r="AF606" i="1"/>
  <c r="AF607" i="1"/>
  <c r="X607" i="1" s="1"/>
  <c r="AA607" i="1" s="1"/>
  <c r="AF608" i="1"/>
  <c r="AJ608" i="1" s="1"/>
  <c r="AF609" i="1"/>
  <c r="X609" i="1" s="1"/>
  <c r="AA609" i="1" s="1"/>
  <c r="AF610" i="1"/>
  <c r="AF611" i="1"/>
  <c r="X611" i="1" s="1"/>
  <c r="AA611" i="1" s="1"/>
  <c r="AF612" i="1"/>
  <c r="AF613" i="1"/>
  <c r="X613" i="1" s="1"/>
  <c r="AA613" i="1" s="1"/>
  <c r="AF614" i="1"/>
  <c r="AF615" i="1"/>
  <c r="X615" i="1" s="1"/>
  <c r="AA615" i="1" s="1"/>
  <c r="AF616" i="1"/>
  <c r="AF617" i="1"/>
  <c r="X617" i="1" s="1"/>
  <c r="AA617" i="1" s="1"/>
  <c r="AF618" i="1"/>
  <c r="AF619" i="1"/>
  <c r="AF620" i="1"/>
  <c r="AF621" i="1"/>
  <c r="X621" i="1" s="1"/>
  <c r="AA621" i="1" s="1"/>
  <c r="AF622" i="1"/>
  <c r="X622" i="1" s="1"/>
  <c r="AA622" i="1" s="1"/>
  <c r="AF623" i="1"/>
  <c r="X623" i="1" s="1"/>
  <c r="AA623" i="1" s="1"/>
  <c r="AF624" i="1"/>
  <c r="AJ624" i="1" s="1"/>
  <c r="AF625" i="1"/>
  <c r="X625" i="1" s="1"/>
  <c r="AA625" i="1" s="1"/>
  <c r="AF626" i="1"/>
  <c r="AF627" i="1"/>
  <c r="AF628" i="1"/>
  <c r="X628" i="1" s="1"/>
  <c r="AA628" i="1" s="1"/>
  <c r="AF629" i="1"/>
  <c r="X629" i="1" s="1"/>
  <c r="AA629" i="1" s="1"/>
  <c r="AF630" i="1"/>
  <c r="X630" i="1" s="1"/>
  <c r="AA630" i="1" s="1"/>
  <c r="AF631" i="1"/>
  <c r="AF632" i="1"/>
  <c r="X632" i="1" s="1"/>
  <c r="AA632" i="1" s="1"/>
  <c r="AF633" i="1"/>
  <c r="X633" i="1" s="1"/>
  <c r="AA633" i="1" s="1"/>
  <c r="AF634" i="1"/>
  <c r="X634" i="1" s="1"/>
  <c r="AA634" i="1" s="1"/>
  <c r="AF635" i="1"/>
  <c r="X635" i="1" s="1"/>
  <c r="AA635" i="1" s="1"/>
  <c r="AF636" i="1"/>
  <c r="X636" i="1" s="1"/>
  <c r="AA636" i="1" s="1"/>
  <c r="AF637" i="1"/>
  <c r="X637" i="1" s="1"/>
  <c r="AA637" i="1" s="1"/>
  <c r="AF638" i="1"/>
  <c r="AF639" i="1"/>
  <c r="AF640" i="1"/>
  <c r="X640" i="1" s="1"/>
  <c r="AA640" i="1" s="1"/>
  <c r="AF641" i="1"/>
  <c r="AF642" i="1"/>
  <c r="AF643" i="1"/>
  <c r="AF644" i="1"/>
  <c r="X644" i="1" s="1"/>
  <c r="AA644" i="1" s="1"/>
  <c r="AF645" i="1"/>
  <c r="X645" i="1" s="1"/>
  <c r="AA645" i="1" s="1"/>
  <c r="AF646" i="1"/>
  <c r="AF647" i="1"/>
  <c r="X647" i="1" s="1"/>
  <c r="AA647" i="1" s="1"/>
  <c r="AF648" i="1"/>
  <c r="X648" i="1" s="1"/>
  <c r="AA648" i="1" s="1"/>
  <c r="AF649" i="1"/>
  <c r="X649" i="1" s="1"/>
  <c r="AA649" i="1" s="1"/>
  <c r="AF650" i="1"/>
  <c r="AF651" i="1"/>
  <c r="X651" i="1" s="1"/>
  <c r="AA651" i="1" s="1"/>
  <c r="AF652" i="1"/>
  <c r="X652" i="1" s="1"/>
  <c r="AA652" i="1" s="1"/>
  <c r="AF653" i="1"/>
  <c r="AF654" i="1"/>
  <c r="AF655" i="1"/>
  <c r="AF656" i="1"/>
  <c r="X656" i="1" s="1"/>
  <c r="AA656" i="1" s="1"/>
  <c r="AF657" i="1"/>
  <c r="X657" i="1" s="1"/>
  <c r="AA657" i="1" s="1"/>
  <c r="AF658" i="1"/>
  <c r="X658" i="1" s="1"/>
  <c r="AA658" i="1" s="1"/>
  <c r="AF659" i="1"/>
  <c r="AF660" i="1"/>
  <c r="X660" i="1" s="1"/>
  <c r="AA660" i="1" s="1"/>
  <c r="AF661" i="1"/>
  <c r="AF662" i="1"/>
  <c r="AF663" i="1"/>
  <c r="AF664" i="1"/>
  <c r="X664" i="1" s="1"/>
  <c r="AA664" i="1" s="1"/>
  <c r="AF665" i="1"/>
  <c r="AF666" i="1"/>
  <c r="X666" i="1" s="1"/>
  <c r="AA666" i="1" s="1"/>
  <c r="AF667" i="1"/>
  <c r="AF668" i="1"/>
  <c r="X668" i="1" s="1"/>
  <c r="AA668" i="1" s="1"/>
  <c r="AF669" i="1"/>
  <c r="AF670" i="1"/>
  <c r="AF671" i="1"/>
  <c r="X671" i="1" s="1"/>
  <c r="AA671" i="1" s="1"/>
  <c r="AF672" i="1"/>
  <c r="AJ672" i="1" s="1"/>
  <c r="AF673" i="1"/>
  <c r="X673" i="1" s="1"/>
  <c r="AA673" i="1" s="1"/>
  <c r="AF674" i="1"/>
  <c r="X674" i="1" s="1"/>
  <c r="AA674" i="1" s="1"/>
  <c r="AF675" i="1"/>
  <c r="AF676" i="1"/>
  <c r="X676" i="1" s="1"/>
  <c r="AA676" i="1" s="1"/>
  <c r="AF677" i="1"/>
  <c r="AF678" i="1"/>
  <c r="AF679" i="1"/>
  <c r="X679" i="1" s="1"/>
  <c r="AA679" i="1" s="1"/>
  <c r="AF680" i="1"/>
  <c r="X680" i="1" s="1"/>
  <c r="AA680" i="1" s="1"/>
  <c r="AF681" i="1"/>
  <c r="X681" i="1" s="1"/>
  <c r="AA681" i="1" s="1"/>
  <c r="AF682" i="1"/>
  <c r="X682" i="1" s="1"/>
  <c r="AA682" i="1" s="1"/>
  <c r="AF683" i="1"/>
  <c r="X683" i="1" s="1"/>
  <c r="AA683" i="1" s="1"/>
  <c r="AF684" i="1"/>
  <c r="AF685" i="1"/>
  <c r="X685" i="1" s="1"/>
  <c r="AA685" i="1" s="1"/>
  <c r="AF686" i="1"/>
  <c r="AF687" i="1"/>
  <c r="X687" i="1" s="1"/>
  <c r="AA687" i="1" s="1"/>
  <c r="AF688" i="1"/>
  <c r="AF689" i="1"/>
  <c r="X689" i="1" s="1"/>
  <c r="AA689" i="1" s="1"/>
  <c r="AF690" i="1"/>
  <c r="AF691" i="1"/>
  <c r="AF692" i="1"/>
  <c r="AF693" i="1"/>
  <c r="X693" i="1" s="1"/>
  <c r="AA693" i="1" s="1"/>
  <c r="AF694" i="1"/>
  <c r="X694" i="1" s="1"/>
  <c r="AA694" i="1" s="1"/>
  <c r="AF695" i="1"/>
  <c r="AF696" i="1"/>
  <c r="X696" i="1" s="1"/>
  <c r="AA696" i="1" s="1"/>
  <c r="AF697" i="1"/>
  <c r="X697" i="1" s="1"/>
  <c r="AA697" i="1" s="1"/>
  <c r="AF698" i="1"/>
  <c r="X698" i="1" s="1"/>
  <c r="AA698" i="1" s="1"/>
  <c r="AF699" i="1"/>
  <c r="AF700" i="1"/>
  <c r="X700" i="1" s="1"/>
  <c r="AA700" i="1" s="1"/>
  <c r="AF701" i="1"/>
  <c r="AF702" i="1"/>
  <c r="X702" i="1" s="1"/>
  <c r="AA702" i="1" s="1"/>
  <c r="AF703" i="1"/>
  <c r="AF704" i="1"/>
  <c r="X704" i="1" s="1"/>
  <c r="AA704" i="1" s="1"/>
  <c r="AF705" i="1"/>
  <c r="AF706" i="1"/>
  <c r="AF707" i="1"/>
  <c r="AF708" i="1"/>
  <c r="X708" i="1" s="1"/>
  <c r="AA708" i="1" s="1"/>
  <c r="AF709" i="1"/>
  <c r="AF710" i="1"/>
  <c r="AF711" i="1"/>
  <c r="AF712" i="1"/>
  <c r="AF713" i="1"/>
  <c r="X713" i="1" s="1"/>
  <c r="AA713" i="1" s="1"/>
  <c r="AF714" i="1"/>
  <c r="AF715" i="1"/>
  <c r="AF716" i="1"/>
  <c r="X716" i="1" s="1"/>
  <c r="AA716" i="1" s="1"/>
  <c r="AF717" i="1"/>
  <c r="AF718" i="1"/>
  <c r="X718" i="1" s="1"/>
  <c r="AA718" i="1" s="1"/>
  <c r="AF719" i="1"/>
  <c r="AF720" i="1"/>
  <c r="AJ720" i="1" s="1"/>
  <c r="AF721" i="1"/>
  <c r="AF722" i="1"/>
  <c r="AF723" i="1"/>
  <c r="X723" i="1" s="1"/>
  <c r="AA723" i="1" s="1"/>
  <c r="AF724" i="1"/>
  <c r="X724" i="1" s="1"/>
  <c r="AA724" i="1" s="1"/>
  <c r="AF725" i="1"/>
  <c r="AF726" i="1"/>
  <c r="X726" i="1" s="1"/>
  <c r="AA726" i="1" s="1"/>
  <c r="AF727" i="1"/>
  <c r="X727" i="1" s="1"/>
  <c r="AA727" i="1" s="1"/>
  <c r="AF728" i="1"/>
  <c r="AF729" i="1"/>
  <c r="X729" i="1" s="1"/>
  <c r="AA729" i="1" s="1"/>
  <c r="AF730" i="1"/>
  <c r="AF731" i="1"/>
  <c r="X731" i="1" s="1"/>
  <c r="AA731" i="1" s="1"/>
  <c r="AF732" i="1"/>
  <c r="X732" i="1" s="1"/>
  <c r="AA732" i="1" s="1"/>
  <c r="AF733" i="1"/>
  <c r="AF734" i="1"/>
  <c r="X734" i="1" s="1"/>
  <c r="AA734" i="1" s="1"/>
  <c r="AF735" i="1"/>
  <c r="X735" i="1" s="1"/>
  <c r="AA735" i="1" s="1"/>
  <c r="AF736" i="1"/>
  <c r="AJ736" i="1" s="1"/>
  <c r="AF737" i="1"/>
  <c r="X737" i="1" s="1"/>
  <c r="AA737" i="1" s="1"/>
  <c r="AF738" i="1"/>
  <c r="AF739" i="1"/>
  <c r="AF740" i="1"/>
  <c r="AF741" i="1"/>
  <c r="X741" i="1" s="1"/>
  <c r="AA741" i="1" s="1"/>
  <c r="AF742" i="1"/>
  <c r="AF743" i="1"/>
  <c r="X743" i="1" s="1"/>
  <c r="AA743" i="1" s="1"/>
  <c r="AF744" i="1"/>
  <c r="AF745" i="1"/>
  <c r="X745" i="1" s="1"/>
  <c r="AA745" i="1" s="1"/>
  <c r="AF746" i="1"/>
  <c r="X746" i="1" s="1"/>
  <c r="AA746" i="1" s="1"/>
  <c r="AF747" i="1"/>
  <c r="AF748" i="1"/>
  <c r="X748" i="1" s="1"/>
  <c r="AA748" i="1" s="1"/>
  <c r="AF749" i="1"/>
  <c r="AF750" i="1"/>
  <c r="AF751" i="1"/>
  <c r="AF752" i="1"/>
  <c r="X752" i="1" s="1"/>
  <c r="AA752" i="1" s="1"/>
  <c r="AF753" i="1"/>
  <c r="AF754" i="1"/>
  <c r="X754" i="1" s="1"/>
  <c r="AA754" i="1" s="1"/>
  <c r="AF755" i="1"/>
  <c r="AF756" i="1"/>
  <c r="X756" i="1" s="1"/>
  <c r="AA756" i="1" s="1"/>
  <c r="AF757" i="1"/>
  <c r="X757" i="1" s="1"/>
  <c r="AA757" i="1" s="1"/>
  <c r="AF758" i="1"/>
  <c r="AF759" i="1"/>
  <c r="AF760" i="1"/>
  <c r="AF761" i="1"/>
  <c r="X761" i="1" s="1"/>
  <c r="AA761" i="1" s="1"/>
  <c r="AF762" i="1"/>
  <c r="AF763" i="1"/>
  <c r="AF764" i="1"/>
  <c r="X764" i="1" s="1"/>
  <c r="AA764" i="1" s="1"/>
  <c r="AF765" i="1"/>
  <c r="X765" i="1" s="1"/>
  <c r="AA765" i="1" s="1"/>
  <c r="AF766" i="1"/>
  <c r="AF767" i="1"/>
  <c r="X767" i="1" s="1"/>
  <c r="AA767" i="1" s="1"/>
  <c r="AF768" i="1"/>
  <c r="AF769" i="1"/>
  <c r="X769" i="1" s="1"/>
  <c r="AA769" i="1" s="1"/>
  <c r="AF770" i="1"/>
  <c r="AJ770" i="1" s="1"/>
  <c r="AF771" i="1"/>
  <c r="AF772" i="1"/>
  <c r="X772" i="1" s="1"/>
  <c r="AA772" i="1" s="1"/>
  <c r="AF773" i="1"/>
  <c r="X773" i="1" s="1"/>
  <c r="AA773" i="1" s="1"/>
  <c r="AF774" i="1"/>
  <c r="X774" i="1" s="1"/>
  <c r="AA774" i="1" s="1"/>
  <c r="AF775" i="1"/>
  <c r="X775" i="1" s="1"/>
  <c r="AA775" i="1" s="1"/>
  <c r="AF776" i="1"/>
  <c r="AJ776" i="1" s="1"/>
  <c r="AF777" i="1"/>
  <c r="AF778" i="1"/>
  <c r="X778" i="1" s="1"/>
  <c r="AA778" i="1" s="1"/>
  <c r="AF779" i="1"/>
  <c r="AF780" i="1"/>
  <c r="AF781" i="1"/>
  <c r="X781" i="1" s="1"/>
  <c r="AA781" i="1" s="1"/>
  <c r="AF782" i="1"/>
  <c r="AF783" i="1"/>
  <c r="X783" i="1" s="1"/>
  <c r="AA783" i="1" s="1"/>
  <c r="AF784" i="1"/>
  <c r="AF785" i="1"/>
  <c r="X785" i="1" s="1"/>
  <c r="AA785" i="1" s="1"/>
  <c r="AF786" i="1"/>
  <c r="X786" i="1" s="1"/>
  <c r="AA786" i="1" s="1"/>
  <c r="AF787" i="1"/>
  <c r="AF788" i="1"/>
  <c r="AF789" i="1"/>
  <c r="X789" i="1" s="1"/>
  <c r="AA789" i="1" s="1"/>
  <c r="AF790" i="1"/>
  <c r="AF791" i="1"/>
  <c r="AF792" i="1"/>
  <c r="X792" i="1" s="1"/>
  <c r="AA792" i="1" s="1"/>
  <c r="AF793" i="1"/>
  <c r="X793" i="1" s="1"/>
  <c r="AA793" i="1" s="1"/>
  <c r="AF794" i="1"/>
  <c r="X794" i="1" s="1"/>
  <c r="AA794" i="1" s="1"/>
  <c r="AF795" i="1"/>
  <c r="X795" i="1" s="1"/>
  <c r="AA795" i="1" s="1"/>
  <c r="AF796" i="1"/>
  <c r="X796" i="1" s="1"/>
  <c r="AA796" i="1" s="1"/>
  <c r="AF797" i="1"/>
  <c r="AF798" i="1"/>
  <c r="AF799" i="1"/>
  <c r="AF800" i="1"/>
  <c r="AF801" i="1"/>
  <c r="X801" i="1" s="1"/>
  <c r="AA801" i="1" s="1"/>
  <c r="AF802" i="1"/>
  <c r="AJ802" i="1" s="1"/>
  <c r="AF803" i="1"/>
  <c r="AF804" i="1"/>
  <c r="X804" i="1" s="1"/>
  <c r="AA804" i="1" s="1"/>
  <c r="AF805" i="1"/>
  <c r="AF806" i="1"/>
  <c r="X806" i="1" s="1"/>
  <c r="AA806" i="1" s="1"/>
  <c r="AF807" i="1"/>
  <c r="X807" i="1" s="1"/>
  <c r="AA807" i="1" s="1"/>
  <c r="AF808" i="1"/>
  <c r="X808" i="1" s="1"/>
  <c r="AA808" i="1" s="1"/>
  <c r="AF809" i="1"/>
  <c r="X809" i="1" s="1"/>
  <c r="AA809" i="1" s="1"/>
  <c r="AF810" i="1"/>
  <c r="AF811" i="1"/>
  <c r="AF812" i="1"/>
  <c r="X812" i="1" s="1"/>
  <c r="AA812" i="1" s="1"/>
  <c r="AF813" i="1"/>
  <c r="X813" i="1" s="1"/>
  <c r="AA813" i="1" s="1"/>
  <c r="AF814" i="1"/>
  <c r="X814" i="1" s="1"/>
  <c r="AA814" i="1" s="1"/>
  <c r="AF815" i="1"/>
  <c r="X815" i="1" s="1"/>
  <c r="AA815" i="1" s="1"/>
  <c r="AF816" i="1"/>
  <c r="AJ816" i="1" s="1"/>
  <c r="AF817" i="1"/>
  <c r="X817" i="1" s="1"/>
  <c r="AA817" i="1" s="1"/>
  <c r="AF818" i="1"/>
  <c r="X818" i="1" s="1"/>
  <c r="AA818" i="1" s="1"/>
  <c r="AF819" i="1"/>
  <c r="AF820" i="1"/>
  <c r="X820" i="1" s="1"/>
  <c r="AA820" i="1" s="1"/>
  <c r="AF821" i="1"/>
  <c r="AF822" i="1"/>
  <c r="X822" i="1" s="1"/>
  <c r="AA822" i="1" s="1"/>
  <c r="AF823" i="1"/>
  <c r="X823" i="1" s="1"/>
  <c r="AA823" i="1" s="1"/>
  <c r="AF824" i="1"/>
  <c r="X824" i="1" s="1"/>
  <c r="AA824" i="1" s="1"/>
  <c r="AF825" i="1"/>
  <c r="X825" i="1" s="1"/>
  <c r="AA825" i="1" s="1"/>
  <c r="AF826" i="1"/>
  <c r="AF827" i="1"/>
  <c r="AF828" i="1"/>
  <c r="X828" i="1" s="1"/>
  <c r="AA828" i="1" s="1"/>
  <c r="AF829" i="1"/>
  <c r="X829" i="1" s="1"/>
  <c r="AA829" i="1" s="1"/>
  <c r="AF830" i="1"/>
  <c r="AF831" i="1"/>
  <c r="X831" i="1" s="1"/>
  <c r="AA831" i="1" s="1"/>
  <c r="AF832" i="1"/>
  <c r="X832" i="1" s="1"/>
  <c r="AA832" i="1" s="1"/>
  <c r="AF833" i="1"/>
  <c r="X833" i="1" s="1"/>
  <c r="AA833" i="1" s="1"/>
  <c r="AF834" i="1"/>
  <c r="AF835" i="1"/>
  <c r="X835" i="1" s="1"/>
  <c r="AA835" i="1" s="1"/>
  <c r="AF836" i="1"/>
  <c r="AF837" i="1"/>
  <c r="AF838" i="1"/>
  <c r="AF839" i="1"/>
  <c r="AF840" i="1"/>
  <c r="AF841" i="1"/>
  <c r="X841" i="1" s="1"/>
  <c r="AA841" i="1" s="1"/>
  <c r="AF842" i="1"/>
  <c r="X842" i="1" s="1"/>
  <c r="AA842" i="1" s="1"/>
  <c r="AF843" i="1"/>
  <c r="AF844" i="1"/>
  <c r="X844" i="1" s="1"/>
  <c r="AA844" i="1" s="1"/>
  <c r="AF845" i="1"/>
  <c r="X845" i="1" s="1"/>
  <c r="AA845" i="1" s="1"/>
  <c r="AF846" i="1"/>
  <c r="AF847" i="1"/>
  <c r="X847" i="1" s="1"/>
  <c r="AA847" i="1" s="1"/>
  <c r="AF848" i="1"/>
  <c r="X848" i="1" s="1"/>
  <c r="AA848" i="1" s="1"/>
  <c r="AF849" i="1"/>
  <c r="AF850" i="1"/>
  <c r="AF851" i="1"/>
  <c r="AF852" i="1"/>
  <c r="AJ852" i="1" s="1"/>
  <c r="AF853" i="1"/>
  <c r="AF854" i="1"/>
  <c r="AF855" i="1"/>
  <c r="AF856" i="1"/>
  <c r="X856" i="1" s="1"/>
  <c r="AA856" i="1" s="1"/>
  <c r="AF857" i="1"/>
  <c r="X857" i="1" s="1"/>
  <c r="AA857" i="1" s="1"/>
  <c r="AF858" i="1"/>
  <c r="AF859" i="1"/>
  <c r="AF860" i="1"/>
  <c r="AJ860" i="1" s="1"/>
  <c r="AF861" i="1"/>
  <c r="AF862" i="1"/>
  <c r="AF863" i="1"/>
  <c r="X863" i="1" s="1"/>
  <c r="AA863" i="1" s="1"/>
  <c r="AF864" i="1"/>
  <c r="AF865" i="1"/>
  <c r="X865" i="1" s="1"/>
  <c r="AA865" i="1" s="1"/>
  <c r="AF866" i="1"/>
  <c r="X866" i="1" s="1"/>
  <c r="AA866" i="1" s="1"/>
  <c r="AF867" i="1"/>
  <c r="AF868" i="1"/>
  <c r="AF869" i="1"/>
  <c r="AF870" i="1"/>
  <c r="X870" i="1" s="1"/>
  <c r="AA870" i="1" s="1"/>
  <c r="AF871" i="1"/>
  <c r="AF872" i="1"/>
  <c r="X872" i="1" s="1"/>
  <c r="AA872" i="1" s="1"/>
  <c r="AF873" i="1"/>
  <c r="X873" i="1" s="1"/>
  <c r="AA873" i="1" s="1"/>
  <c r="AF874" i="1"/>
  <c r="AF875" i="1"/>
  <c r="AF876" i="1"/>
  <c r="X876" i="1" s="1"/>
  <c r="AA876" i="1" s="1"/>
  <c r="AF877" i="1"/>
  <c r="AF878" i="1"/>
  <c r="AF879" i="1"/>
  <c r="X879" i="1" s="1"/>
  <c r="AA879" i="1" s="1"/>
  <c r="AF880" i="1"/>
  <c r="X880" i="1" s="1"/>
  <c r="AA880" i="1" s="1"/>
  <c r="AF881" i="1"/>
  <c r="AF882" i="1"/>
  <c r="X882" i="1" s="1"/>
  <c r="AA882" i="1" s="1"/>
  <c r="AF883" i="1"/>
  <c r="AF884" i="1"/>
  <c r="AJ884" i="1" s="1"/>
  <c r="AF885" i="1"/>
  <c r="X885" i="1" s="1"/>
  <c r="AA885" i="1" s="1"/>
  <c r="AF886" i="1"/>
  <c r="X886" i="1" s="1"/>
  <c r="AA886" i="1" s="1"/>
  <c r="AF887" i="1"/>
  <c r="X887" i="1" s="1"/>
  <c r="AA887" i="1" s="1"/>
  <c r="AF888" i="1"/>
  <c r="X888" i="1" s="1"/>
  <c r="AA888" i="1" s="1"/>
  <c r="AF889" i="1"/>
  <c r="X889" i="1" s="1"/>
  <c r="AA889" i="1" s="1"/>
  <c r="AF890" i="1"/>
  <c r="X890" i="1" s="1"/>
  <c r="AA890" i="1" s="1"/>
  <c r="AF891" i="1"/>
  <c r="AF892" i="1"/>
  <c r="X892" i="1" s="1"/>
  <c r="AA892" i="1" s="1"/>
  <c r="AF893" i="1"/>
  <c r="AF894" i="1"/>
  <c r="AF895" i="1"/>
  <c r="X895" i="1" s="1"/>
  <c r="AA895" i="1" s="1"/>
  <c r="AF896" i="1"/>
  <c r="AF897" i="1"/>
  <c r="AF898" i="1"/>
  <c r="X898" i="1" s="1"/>
  <c r="AA898" i="1" s="1"/>
  <c r="AF899" i="1"/>
  <c r="AF900" i="1"/>
  <c r="X900" i="1" s="1"/>
  <c r="AA900" i="1" s="1"/>
  <c r="AF901" i="1"/>
  <c r="AF902" i="1"/>
  <c r="AF903" i="1"/>
  <c r="X903" i="1" s="1"/>
  <c r="AA903" i="1" s="1"/>
  <c r="AF904" i="1"/>
  <c r="AJ904" i="1" s="1"/>
  <c r="AF905" i="1"/>
  <c r="AF906" i="1"/>
  <c r="X906" i="1" s="1"/>
  <c r="AA906" i="1" s="1"/>
  <c r="AF907" i="1"/>
  <c r="AF908" i="1"/>
  <c r="AF909" i="1"/>
  <c r="AF910" i="1"/>
  <c r="AF911" i="1"/>
  <c r="AF912" i="1"/>
  <c r="X912" i="1" s="1"/>
  <c r="AA912" i="1" s="1"/>
  <c r="AF913" i="1"/>
  <c r="AF914" i="1"/>
  <c r="AF915" i="1"/>
  <c r="AF916" i="1"/>
  <c r="X916" i="1" s="1"/>
  <c r="AA916" i="1" s="1"/>
  <c r="AF917" i="1"/>
  <c r="X917" i="1" s="1"/>
  <c r="AA917" i="1" s="1"/>
  <c r="AF918" i="1"/>
  <c r="AF919" i="1"/>
  <c r="AF920" i="1"/>
  <c r="AF921" i="1"/>
  <c r="X921" i="1" s="1"/>
  <c r="AA921" i="1" s="1"/>
  <c r="AF922" i="1"/>
  <c r="AF923" i="1"/>
  <c r="AF924" i="1"/>
  <c r="AF925" i="1"/>
  <c r="AF926" i="1"/>
  <c r="X926" i="1" s="1"/>
  <c r="AA926" i="1" s="1"/>
  <c r="AF927" i="1"/>
  <c r="AF928" i="1"/>
  <c r="AF929" i="1"/>
  <c r="X929" i="1" s="1"/>
  <c r="AA929" i="1" s="1"/>
  <c r="AF930" i="1"/>
  <c r="AJ930" i="1" s="1"/>
  <c r="AF931" i="1"/>
  <c r="AF932" i="1"/>
  <c r="X932" i="1" s="1"/>
  <c r="AA932" i="1" s="1"/>
  <c r="AF933" i="1"/>
  <c r="AF934" i="1"/>
  <c r="AF935" i="1"/>
  <c r="X935" i="1" s="1"/>
  <c r="AA935" i="1" s="1"/>
  <c r="AF936" i="1"/>
  <c r="AJ936" i="1" s="1"/>
  <c r="AF937" i="1"/>
  <c r="AF938" i="1"/>
  <c r="AF939" i="1"/>
  <c r="X939" i="1" s="1"/>
  <c r="AA939" i="1" s="1"/>
  <c r="AF940" i="1"/>
  <c r="AJ940" i="1" s="1"/>
  <c r="AF941" i="1"/>
  <c r="AF942" i="1"/>
  <c r="AF943" i="1"/>
  <c r="AF944" i="1"/>
  <c r="AJ944" i="1" s="1"/>
  <c r="AF945" i="1"/>
  <c r="X945" i="1" s="1"/>
  <c r="AA945" i="1" s="1"/>
  <c r="AF946" i="1"/>
  <c r="AF947" i="1"/>
  <c r="X947" i="1" s="1"/>
  <c r="AA947" i="1" s="1"/>
  <c r="AF948" i="1"/>
  <c r="X948" i="1" s="1"/>
  <c r="AA948" i="1" s="1"/>
  <c r="AF949" i="1"/>
  <c r="AF950" i="1"/>
  <c r="AF951" i="1"/>
  <c r="X951" i="1" s="1"/>
  <c r="AA951" i="1" s="1"/>
  <c r="AF952" i="1"/>
  <c r="AF953" i="1"/>
  <c r="H495" i="1"/>
  <c r="H878" i="1"/>
  <c r="H433" i="1"/>
  <c r="H547" i="1"/>
  <c r="H777" i="1"/>
  <c r="H718" i="1"/>
  <c r="H706" i="1"/>
  <c r="H421" i="1"/>
  <c r="H70" i="1"/>
  <c r="H493" i="1"/>
  <c r="H815" i="1"/>
  <c r="H770" i="1"/>
  <c r="H906" i="1"/>
  <c r="H322" i="1"/>
  <c r="H691" i="1"/>
  <c r="H48" i="1"/>
  <c r="H651" i="1"/>
  <c r="H756" i="1"/>
  <c r="H430" i="1"/>
  <c r="H23" i="1"/>
  <c r="H907" i="1"/>
  <c r="H571" i="1"/>
  <c r="H320" i="1"/>
  <c r="H52" i="1"/>
  <c r="H791" i="1"/>
  <c r="H503" i="1"/>
  <c r="H628" i="1"/>
  <c r="H809" i="1"/>
  <c r="H638" i="1"/>
  <c r="H798" i="1"/>
  <c r="H441" i="1"/>
  <c r="H860" i="1"/>
  <c r="H758" i="1"/>
  <c r="H522" i="1"/>
  <c r="H445" i="1"/>
  <c r="H806" i="1"/>
  <c r="H115" i="1"/>
  <c r="H381" i="1"/>
  <c r="H331" i="1"/>
  <c r="H139" i="1"/>
  <c r="H873" i="1"/>
  <c r="H817" i="1"/>
  <c r="H453" i="1"/>
  <c r="H374" i="1"/>
  <c r="H824" i="1"/>
  <c r="H579" i="1"/>
  <c r="H488" i="1"/>
  <c r="H581" i="1"/>
  <c r="H905" i="1"/>
  <c r="H399" i="1"/>
  <c r="H130" i="1"/>
  <c r="H757" i="1"/>
  <c r="H329" i="1"/>
  <c r="H55" i="1"/>
  <c r="H803" i="1"/>
  <c r="H188" i="1"/>
  <c r="H508" i="1"/>
  <c r="H119" i="1"/>
  <c r="H411" i="1"/>
  <c r="H856" i="1"/>
  <c r="H562" i="1"/>
  <c r="H373" i="1"/>
  <c r="H457" i="1"/>
  <c r="H868" i="1"/>
  <c r="H735" i="1"/>
  <c r="H759" i="1"/>
  <c r="H900" i="1"/>
  <c r="H733" i="1"/>
  <c r="H871" i="1"/>
  <c r="H755" i="1"/>
  <c r="H617" i="1"/>
  <c r="H541" i="1"/>
  <c r="H57" i="1"/>
  <c r="H336" i="1"/>
  <c r="H22" i="1"/>
  <c r="H879" i="1"/>
  <c r="H570" i="1"/>
  <c r="H684" i="1"/>
  <c r="H818" i="1"/>
  <c r="H355" i="1"/>
  <c r="H470" i="1"/>
  <c r="H833" i="1"/>
  <c r="H754" i="1"/>
  <c r="H395" i="1"/>
  <c r="H632" i="1"/>
  <c r="H674" i="1"/>
  <c r="H475" i="1"/>
  <c r="H375" i="1"/>
  <c r="H370" i="1"/>
  <c r="H546" i="1"/>
  <c r="H745" i="1"/>
  <c r="H527" i="1"/>
  <c r="H613" i="1"/>
  <c r="H564" i="1"/>
  <c r="H543" i="1"/>
  <c r="H912" i="1"/>
  <c r="H639" i="1"/>
  <c r="H504" i="1"/>
  <c r="H58" i="1"/>
  <c r="H114" i="1"/>
  <c r="H31" i="1"/>
  <c r="H662" i="1"/>
  <c r="H730" i="1"/>
  <c r="H670" i="1"/>
  <c r="H550" i="1"/>
  <c r="H64" i="1"/>
  <c r="H449" i="1"/>
  <c r="H828" i="1"/>
  <c r="H444" i="1"/>
  <c r="H438" i="1"/>
  <c r="H182" i="1"/>
  <c r="H360" i="1"/>
  <c r="H588" i="1"/>
  <c r="H738" i="1"/>
  <c r="H383" i="1"/>
  <c r="H782" i="1"/>
  <c r="H436" i="1"/>
  <c r="H883" i="1"/>
  <c r="H33" i="1"/>
  <c r="H631" i="1"/>
  <c r="H126" i="1"/>
  <c r="H4" i="1"/>
  <c r="H120" i="1"/>
  <c r="H46" i="1"/>
  <c r="H765" i="1"/>
  <c r="H71" i="1"/>
  <c r="H345" i="1"/>
  <c r="H314" i="1"/>
  <c r="H466" i="1"/>
  <c r="H469" i="1"/>
  <c r="H746" i="1"/>
  <c r="H9" i="1"/>
  <c r="H729" i="1"/>
  <c r="H448" i="1"/>
  <c r="H405" i="1"/>
  <c r="H392" i="1"/>
  <c r="H812" i="1"/>
  <c r="H47" i="1"/>
  <c r="H790" i="1"/>
  <c r="H397" i="1"/>
  <c r="H845" i="1"/>
  <c r="H97" i="1"/>
  <c r="H66" i="1"/>
  <c r="H698" i="1"/>
  <c r="H768" i="1"/>
  <c r="H81" i="1"/>
  <c r="H464" i="1"/>
  <c r="H589" i="1"/>
  <c r="H793" i="1"/>
  <c r="H121" i="1"/>
  <c r="H123" i="1"/>
  <c r="H844" i="1"/>
  <c r="H610" i="1"/>
  <c r="H148" i="1"/>
  <c r="H944" i="1"/>
  <c r="H850" i="1"/>
  <c r="H434" i="1"/>
  <c r="H535" i="1"/>
  <c r="H747" i="1"/>
  <c r="H661" i="1"/>
  <c r="H849" i="1"/>
  <c r="H389" i="1"/>
  <c r="H801" i="1"/>
  <c r="H669" i="1"/>
  <c r="H410" i="1"/>
  <c r="H590" i="1"/>
  <c r="H750" i="1"/>
  <c r="H715" i="1"/>
  <c r="H697" i="1"/>
  <c r="H3" i="1"/>
  <c r="H324" i="1"/>
  <c r="H769" i="1"/>
  <c r="H624" i="1"/>
  <c r="H153" i="1"/>
  <c r="H378" i="1"/>
  <c r="H358" i="1"/>
  <c r="H520" i="1"/>
  <c r="H340" i="1"/>
  <c r="H500" i="1"/>
  <c r="H702" i="1"/>
  <c r="H384" i="1"/>
  <c r="H491" i="1"/>
  <c r="H103" i="1"/>
  <c r="H719" i="1"/>
  <c r="H134" i="1"/>
  <c r="H109" i="1"/>
  <c r="H893" i="1"/>
  <c r="H102" i="1"/>
  <c r="H573" i="1"/>
  <c r="H672" i="1"/>
  <c r="H323" i="1"/>
  <c r="H483" i="1"/>
  <c r="H557" i="1"/>
  <c r="H1076" i="1"/>
  <c r="H802" i="1"/>
  <c r="H830" i="1"/>
  <c r="H423" i="1"/>
  <c r="H553" i="1"/>
  <c r="H454" i="1"/>
  <c r="H187" i="1"/>
  <c r="H665" i="1"/>
  <c r="H708" i="1"/>
  <c r="H772" i="1"/>
  <c r="H523" i="1"/>
  <c r="H846" i="1"/>
  <c r="H474" i="1"/>
  <c r="H776" i="1"/>
  <c r="H683" i="1"/>
  <c r="H823" i="1"/>
  <c r="H168" i="1"/>
  <c r="H910" i="1"/>
  <c r="H311" i="1"/>
  <c r="H357" i="1"/>
  <c r="H582" i="1"/>
  <c r="H874" i="1"/>
  <c r="H327" i="1"/>
  <c r="H825" i="1"/>
  <c r="H505" i="1"/>
  <c r="H742" i="1"/>
  <c r="H519" i="1"/>
  <c r="H688" i="1"/>
  <c r="H622" i="1"/>
  <c r="H744" i="1"/>
  <c r="H533" i="1"/>
  <c r="H858" i="1"/>
  <c r="H689" i="1"/>
  <c r="H721" i="1"/>
  <c r="H641" i="1"/>
  <c r="H593" i="1"/>
  <c r="H928" i="1"/>
  <c r="H678" i="1"/>
  <c r="H636" i="1"/>
  <c r="H372" i="1"/>
  <c r="H1075" i="1"/>
  <c r="H179" i="1"/>
  <c r="H348" i="1"/>
  <c r="H514" i="1"/>
  <c r="H795" i="1"/>
  <c r="H326" i="1"/>
  <c r="H703" i="1"/>
  <c r="H515" i="1"/>
  <c r="H653" i="1"/>
  <c r="H575" i="1"/>
  <c r="H465" i="1"/>
  <c r="H165" i="1"/>
  <c r="H447" i="1"/>
  <c r="H539" i="1"/>
  <c r="H953" i="1"/>
  <c r="H509" i="1"/>
  <c r="H753" i="1"/>
  <c r="H710" i="1"/>
  <c r="H537" i="1"/>
  <c r="H936" i="1"/>
  <c r="H692" i="1"/>
  <c r="H584" i="1"/>
  <c r="H939" i="1"/>
  <c r="H935" i="1"/>
  <c r="H607" i="1"/>
  <c r="H592" i="1"/>
  <c r="H923" i="1"/>
  <c r="H958" i="1"/>
  <c r="H838" i="1"/>
  <c r="H164" i="1"/>
  <c r="H35" i="1"/>
  <c r="H867" i="1"/>
  <c r="H773" i="1"/>
  <c r="H144" i="1"/>
  <c r="H957" i="1"/>
  <c r="H583" i="1"/>
  <c r="H369" i="1"/>
  <c r="H403" i="1"/>
  <c r="H467" i="1"/>
  <c r="H901" i="1"/>
  <c r="H671" i="1"/>
  <c r="H65" i="1"/>
  <c r="H133" i="1"/>
  <c r="H104" i="1"/>
  <c r="H400" i="1"/>
  <c r="H350" i="1"/>
  <c r="H899" i="1"/>
  <c r="H27" i="1"/>
  <c r="H694" i="1"/>
  <c r="H129" i="1"/>
  <c r="H37" i="1"/>
  <c r="H111" i="1"/>
  <c r="H720" i="1"/>
  <c r="H11" i="1"/>
  <c r="H69" i="1"/>
  <c r="H78" i="1"/>
  <c r="H72" i="1"/>
  <c r="H128" i="1"/>
  <c r="H88" i="1"/>
  <c r="H106" i="1"/>
  <c r="H598" i="1"/>
  <c r="H349" i="1"/>
  <c r="H96" i="1"/>
  <c r="H737" i="1"/>
  <c r="H808" i="1"/>
  <c r="H407" i="1"/>
  <c r="H455" i="1"/>
  <c r="H376" i="1"/>
  <c r="H751" i="1"/>
  <c r="H704" i="1"/>
  <c r="H875" i="1"/>
  <c r="H524" i="1"/>
  <c r="H422" i="1"/>
  <c r="H680" i="1"/>
  <c r="H903" i="1"/>
  <c r="H386" i="1"/>
  <c r="H12" i="1"/>
  <c r="H642" i="1"/>
  <c r="H498" i="1"/>
  <c r="H576" i="1"/>
  <c r="H685" i="1"/>
  <c r="H60" i="1"/>
  <c r="H45" i="1"/>
  <c r="H655" i="1"/>
  <c r="H526" i="1"/>
  <c r="H17" i="1"/>
  <c r="H492" i="1"/>
  <c r="H150" i="1"/>
  <c r="H98" i="1"/>
  <c r="H51" i="1"/>
  <c r="H117" i="1"/>
  <c r="H89" i="1"/>
  <c r="H24" i="1"/>
  <c r="H725" i="1"/>
  <c r="H346" i="1"/>
  <c r="H429" i="1"/>
  <c r="H92" i="1"/>
  <c r="H552" i="1"/>
  <c r="H894" i="1"/>
  <c r="H712" i="1"/>
  <c r="H149" i="1"/>
  <c r="H645" i="1"/>
  <c r="H890" i="1"/>
  <c r="H813" i="1"/>
  <c r="H91" i="1"/>
  <c r="H427" i="1"/>
  <c r="H530" i="1"/>
  <c r="H446" i="1"/>
  <c r="H156" i="1"/>
  <c r="H365" i="1"/>
  <c r="H627" i="1"/>
  <c r="H580" i="1"/>
  <c r="H693" i="1"/>
  <c r="H709" i="1"/>
  <c r="H870" i="1"/>
  <c r="H63" i="1"/>
  <c r="H908" i="1"/>
  <c r="H881" i="1"/>
  <c r="H29" i="1"/>
  <c r="H339" i="1"/>
  <c r="H461" i="1"/>
  <c r="H75" i="1"/>
  <c r="H59" i="1"/>
  <c r="H110" i="1"/>
  <c r="H431" i="1"/>
  <c r="H112" i="1"/>
  <c r="H68" i="1"/>
  <c r="H32" i="1"/>
  <c r="H174" i="1"/>
  <c r="H36" i="1"/>
  <c r="H28" i="1"/>
  <c r="H786" i="1"/>
  <c r="H100" i="1"/>
  <c r="H925" i="1"/>
  <c r="H309" i="1"/>
  <c r="H713" i="1"/>
  <c r="H332" i="1"/>
  <c r="H41" i="1"/>
  <c r="H330" i="1"/>
  <c r="H766" i="1"/>
  <c r="H832" i="1"/>
  <c r="H513" i="1"/>
  <c r="H482" i="1"/>
  <c r="H869" i="1"/>
  <c r="H701" i="1"/>
  <c r="H559" i="1"/>
  <c r="H84" i="1"/>
  <c r="H387" i="1"/>
  <c r="H414" i="1"/>
  <c r="H14" i="1"/>
  <c r="H568" i="1"/>
  <c r="H8" i="1"/>
  <c r="H494" i="1"/>
  <c r="H597" i="1"/>
  <c r="H506" i="1"/>
  <c r="H145" i="1"/>
  <c r="H161" i="1"/>
  <c r="H511" i="1"/>
  <c r="H567" i="1"/>
  <c r="H556" i="1"/>
  <c r="H891" i="1"/>
  <c r="H889" i="1"/>
  <c r="H819" i="1"/>
  <c r="H342" i="1"/>
  <c r="H861" i="1"/>
  <c r="H787" i="1"/>
  <c r="H353" i="1"/>
  <c r="H42" i="1"/>
  <c r="H896" i="1"/>
  <c r="H366" i="1"/>
  <c r="H587" i="1"/>
  <c r="H321" i="1"/>
  <c r="H61" i="1"/>
  <c r="H473" i="1"/>
  <c r="H853" i="1"/>
  <c r="H73" i="1"/>
  <c r="H714" i="1"/>
  <c r="H385" i="1"/>
  <c r="H477" i="1"/>
  <c r="H190" i="1"/>
  <c r="H53" i="1"/>
  <c r="H667" i="1"/>
  <c r="H420" i="1"/>
  <c r="H679" i="1"/>
  <c r="H629" i="1"/>
  <c r="H62" i="1"/>
  <c r="H459" i="1"/>
  <c r="H711" i="1"/>
  <c r="H44" i="1"/>
  <c r="H538" i="1"/>
  <c r="H673" i="1"/>
  <c r="H922" i="1"/>
  <c r="H43" i="1"/>
  <c r="H56" i="1"/>
  <c r="H13" i="1"/>
  <c r="H20" i="1"/>
  <c r="H40" i="1"/>
  <c r="H85" i="1"/>
  <c r="H34" i="1"/>
  <c r="H621" i="1"/>
  <c r="H774" i="1"/>
  <c r="H619" i="1"/>
  <c r="H731" i="1"/>
  <c r="H807" i="1"/>
  <c r="H356" i="1"/>
  <c r="H623" i="1"/>
  <c r="H107" i="1"/>
  <c r="H377" i="1"/>
  <c r="H558" i="1"/>
  <c r="H341" i="1"/>
  <c r="H951" i="1"/>
  <c r="H606" i="1"/>
  <c r="H90" i="1"/>
  <c r="H480" i="1"/>
  <c r="H15" i="1"/>
  <c r="H681" i="1"/>
  <c r="H313" i="1"/>
  <c r="H794" i="1"/>
  <c r="H162" i="1"/>
  <c r="H38" i="1"/>
  <c r="H82" i="1"/>
  <c r="H549" i="1"/>
  <c r="H478" i="1"/>
  <c r="H484" i="1"/>
  <c r="H888" i="1"/>
  <c r="H404" i="1"/>
  <c r="H163" i="1"/>
  <c r="H131" i="1"/>
  <c r="H359" i="1"/>
  <c r="H929" i="1"/>
  <c r="H105" i="1"/>
  <c r="H481" i="1"/>
  <c r="H16" i="1"/>
  <c r="H181" i="1"/>
  <c r="H86" i="1"/>
  <c r="H886" i="1"/>
  <c r="H950" i="1"/>
  <c r="H687" i="1"/>
  <c r="H792" i="1"/>
  <c r="H561" i="1"/>
  <c r="H940" i="1"/>
  <c r="H452" i="1"/>
  <c r="H829" i="1"/>
  <c r="H413" i="1"/>
  <c r="H401" i="1"/>
  <c r="H948" i="1"/>
  <c r="H310" i="1"/>
  <c r="H952" i="1"/>
  <c r="H927" i="1"/>
  <c r="H728" i="1"/>
  <c r="H859" i="1"/>
  <c r="H644" i="1"/>
  <c r="H518" i="1"/>
  <c r="H811" i="1"/>
  <c r="H76" i="1"/>
  <c r="H805" i="1"/>
  <c r="H160" i="1"/>
  <c r="H675" i="1"/>
  <c r="H80" i="1"/>
  <c r="H74" i="1"/>
  <c r="H542" i="1"/>
  <c r="H116" i="1"/>
  <c r="H10" i="1"/>
  <c r="H574" i="1"/>
  <c r="H151" i="1"/>
  <c r="H660" i="1"/>
  <c r="H157" i="1"/>
  <c r="H800" i="1"/>
  <c r="H152" i="1"/>
  <c r="H325" i="1"/>
  <c r="H476" i="1"/>
  <c r="H877" i="1"/>
  <c r="H602" i="1"/>
  <c r="H460" i="1"/>
  <c r="H544" i="1"/>
  <c r="H748" i="1"/>
  <c r="H136" i="1"/>
  <c r="H424" i="1"/>
  <c r="H435" i="1"/>
  <c r="H497" i="1"/>
  <c r="H799" i="1"/>
  <c r="H337" i="1"/>
  <c r="H596" i="1"/>
  <c r="H577" i="1"/>
  <c r="H695" i="1"/>
  <c r="H820" i="1"/>
  <c r="H486" i="1"/>
  <c r="H468" i="1"/>
  <c r="H517" i="1"/>
  <c r="H563" i="1"/>
  <c r="H367" i="1"/>
  <c r="H334" i="1"/>
  <c r="H618" i="1"/>
  <c r="H560" i="1"/>
  <c r="H390" i="1"/>
  <c r="H496" i="1"/>
  <c r="H183" i="1"/>
  <c r="H510" i="1"/>
  <c r="H146" i="1"/>
  <c r="H657" i="1"/>
  <c r="H450" i="1"/>
  <c r="H159" i="1"/>
  <c r="H317" i="1"/>
  <c r="H717" i="1"/>
  <c r="H536" i="1"/>
  <c r="H937" i="1"/>
  <c r="H463" i="1"/>
  <c r="H943" i="1"/>
  <c r="H761" i="1"/>
  <c r="H361" i="1"/>
  <c r="H315" i="1"/>
  <c r="H408" i="1"/>
  <c r="H686" i="1"/>
  <c r="H785" i="1"/>
  <c r="H67" i="1"/>
  <c r="H784" i="1"/>
  <c r="H734" i="1"/>
  <c r="H415" i="1"/>
  <c r="H5" i="1"/>
  <c r="H184" i="1"/>
  <c r="H902" i="1"/>
  <c r="H443" i="1"/>
  <c r="H668" i="1"/>
  <c r="H724" i="1"/>
  <c r="H440" i="1"/>
  <c r="H439" i="1"/>
  <c r="H633" i="1"/>
  <c r="H540" i="1"/>
  <c r="H699" i="1"/>
  <c r="H664" i="1"/>
  <c r="H437" i="1"/>
  <c r="H804" i="1"/>
  <c r="H781" i="1"/>
  <c r="H416" i="1"/>
  <c r="H586" i="1"/>
  <c r="H328" i="1"/>
  <c r="H843" i="1"/>
  <c r="H821" i="1"/>
  <c r="H419" i="1"/>
  <c r="H545" i="1"/>
  <c r="H647" i="1"/>
  <c r="H837" i="1"/>
  <c r="H616" i="1"/>
  <c r="H599" i="1"/>
  <c r="H140" i="1"/>
  <c r="H762" i="1"/>
  <c r="H154" i="1"/>
  <c r="H676" i="1"/>
  <c r="H169" i="1"/>
  <c r="H95" i="1"/>
  <c r="H648" i="1"/>
  <c r="H555" i="1"/>
  <c r="H851" i="1"/>
  <c r="H406" i="1"/>
  <c r="H864" i="1"/>
  <c r="H626" i="1"/>
  <c r="H335" i="1"/>
  <c r="H594" i="1"/>
  <c r="H913" i="1"/>
  <c r="H605" i="1"/>
  <c r="H885" i="1"/>
  <c r="H338" i="1"/>
  <c r="H722" i="1"/>
  <c r="H362" i="1"/>
  <c r="H614" i="1"/>
  <c r="H612" i="1"/>
  <c r="H166" i="1"/>
  <c r="H398" i="1"/>
  <c r="H739" i="1"/>
  <c r="H659" i="1"/>
  <c r="H456" i="1"/>
  <c r="H630" i="1"/>
  <c r="H471" i="1"/>
  <c r="H716" i="1"/>
  <c r="H485" i="1"/>
  <c r="H595" i="1"/>
  <c r="H723" i="1"/>
  <c r="H551" i="1"/>
  <c r="H707" i="1"/>
  <c r="H479" i="1"/>
  <c r="H726" i="1"/>
  <c r="H569" i="1"/>
  <c r="H351" i="1"/>
  <c r="H343" i="1"/>
  <c r="H442" i="1"/>
  <c r="H789" i="1"/>
  <c r="H677" i="1"/>
  <c r="H312" i="1"/>
  <c r="H124" i="1"/>
  <c r="H778" i="1"/>
  <c r="H854" i="1"/>
  <c r="H391" i="1"/>
  <c r="H138" i="1"/>
  <c r="H379" i="1"/>
  <c r="H83" i="1"/>
  <c r="H171" i="1"/>
  <c r="H608" i="1"/>
  <c r="H426" i="1"/>
  <c r="H347" i="1"/>
  <c r="H565" i="1"/>
  <c r="H143" i="1"/>
  <c r="H19" i="1"/>
  <c r="H788" i="1"/>
  <c r="H30" i="1"/>
  <c r="H393" i="1"/>
  <c r="H25" i="1"/>
  <c r="H1074" i="1"/>
  <c r="H167" i="1"/>
  <c r="H178" i="1"/>
  <c r="H142" i="1"/>
  <c r="H122" i="1"/>
  <c r="H108" i="1"/>
  <c r="H1073" i="1"/>
  <c r="H118" i="1"/>
  <c r="H635" i="1"/>
  <c r="H528" i="1"/>
  <c r="H402" i="1"/>
  <c r="H155" i="1"/>
  <c r="H147" i="1"/>
  <c r="H512" i="1"/>
  <c r="H135" i="1"/>
  <c r="H1072" i="1"/>
  <c r="H1071" i="1"/>
  <c r="H572" i="1"/>
  <c r="H578" i="1"/>
  <c r="H319" i="1"/>
  <c r="H941" i="1"/>
  <c r="H682" i="1"/>
  <c r="H600" i="1"/>
  <c r="H663" i="1"/>
  <c r="H696" i="1"/>
  <c r="H93" i="1"/>
  <c r="H771" i="1"/>
  <c r="H764" i="1"/>
  <c r="H841" i="1"/>
  <c r="H609" i="1"/>
  <c r="H396" i="1"/>
  <c r="H884" i="1"/>
  <c r="H412" i="1"/>
  <c r="H176" i="1"/>
  <c r="H611" i="1"/>
  <c r="H920" i="1"/>
  <c r="H876" i="1"/>
  <c r="H848" i="1"/>
  <c r="H87" i="1"/>
  <c r="H947" i="1"/>
  <c r="H173" i="1"/>
  <c r="H177" i="1"/>
  <c r="H862" i="1"/>
  <c r="H54" i="1"/>
  <c r="H827" i="1"/>
  <c r="H646" i="1"/>
  <c r="H428" i="1"/>
  <c r="H834" i="1"/>
  <c r="H2" i="1"/>
  <c r="H451" i="1"/>
  <c r="H866" i="1"/>
  <c r="H1070" i="1"/>
  <c r="H7" i="1"/>
  <c r="H1069" i="1"/>
  <c r="H620" i="1"/>
  <c r="H826" i="1"/>
  <c r="H921" i="1"/>
  <c r="H847" i="1"/>
  <c r="H855" i="1"/>
  <c r="H797" i="1"/>
  <c r="H172" i="1"/>
  <c r="H364" i="1"/>
  <c r="H175" i="1"/>
  <c r="H99" i="1"/>
  <c r="H127" i="1"/>
  <c r="H525" i="1"/>
  <c r="H521" i="1"/>
  <c r="H21" i="1"/>
  <c r="H760" i="1"/>
  <c r="H783" i="1"/>
  <c r="H740" i="1"/>
  <c r="H637" i="1"/>
  <c r="H501" i="1"/>
  <c r="H643" i="1"/>
  <c r="H6" i="1"/>
  <c r="H956" i="1"/>
  <c r="H932" i="1"/>
  <c r="H652" i="1"/>
  <c r="H566" i="1"/>
  <c r="H352" i="1"/>
  <c r="H77" i="1"/>
  <c r="H882" i="1"/>
  <c r="H499" i="1"/>
  <c r="H918" i="1"/>
  <c r="H50" i="1"/>
  <c r="H767" i="1"/>
  <c r="H942" i="1"/>
  <c r="H931" i="1"/>
  <c r="H26" i="1"/>
  <c r="H158" i="1"/>
  <c r="H79" i="1"/>
  <c r="H690" i="1"/>
  <c r="H1068" i="1"/>
  <c r="H591" i="1"/>
  <c r="H529" i="1"/>
  <c r="H432" i="1"/>
  <c r="H371" i="1"/>
  <c r="H857" i="1"/>
  <c r="H872" i="1"/>
  <c r="H316" i="1"/>
  <c r="H137" i="1"/>
  <c r="H924" i="1"/>
  <c r="H354" i="1"/>
  <c r="H752" i="1"/>
  <c r="H816" i="1"/>
  <c r="H814" i="1"/>
  <c r="H926" i="1"/>
  <c r="H934" i="1"/>
  <c r="H625" i="1"/>
  <c r="H425" i="1"/>
  <c r="H604" i="1"/>
  <c r="H344" i="1"/>
  <c r="H736" i="1"/>
  <c r="H835" i="1"/>
  <c r="H94" i="1"/>
  <c r="H839" i="1"/>
  <c r="H1067" i="1"/>
  <c r="H189" i="1"/>
  <c r="H836" i="1"/>
  <c r="H101" i="1"/>
  <c r="H388" i="1"/>
  <c r="H810" i="1"/>
  <c r="H865" i="1"/>
  <c r="H132" i="1"/>
  <c r="H113" i="1"/>
  <c r="H318" i="1"/>
  <c r="H516" i="1"/>
  <c r="H382" i="1"/>
  <c r="H462" i="1"/>
  <c r="H650" i="1"/>
  <c r="H749" i="1"/>
  <c r="H775" i="1"/>
  <c r="H955" i="1"/>
  <c r="H840" i="1"/>
  <c r="H458" i="1"/>
  <c r="H531" i="1"/>
  <c r="H796" i="1"/>
  <c r="H368" i="1"/>
  <c r="H779" i="1"/>
  <c r="H502" i="1"/>
  <c r="H333" i="1"/>
  <c r="H945" i="1"/>
  <c r="H418" i="1"/>
  <c r="H487" i="1"/>
  <c r="H472" i="1"/>
  <c r="H914" i="1"/>
  <c r="H666" i="1"/>
  <c r="H634" i="1"/>
  <c r="H898" i="1"/>
  <c r="H141" i="1"/>
  <c r="H125" i="1"/>
  <c r="H895" i="1"/>
  <c r="H911" i="1"/>
  <c r="H880" i="1"/>
  <c r="H417" i="1"/>
  <c r="H822" i="1"/>
  <c r="H949" i="1"/>
  <c r="H656" i="1"/>
  <c r="H705" i="1"/>
  <c r="H763" i="1"/>
  <c r="H548" i="1"/>
  <c r="H49" i="1"/>
  <c r="H191" i="1"/>
  <c r="H732" i="1"/>
  <c r="H780" i="1"/>
  <c r="H743" i="1"/>
  <c r="H909" i="1"/>
  <c r="H170" i="1"/>
  <c r="H180" i="1"/>
  <c r="H534" i="1"/>
  <c r="H842" i="1"/>
  <c r="H490" i="1"/>
  <c r="H938" i="1"/>
  <c r="H380" i="1"/>
  <c r="H489" i="1"/>
  <c r="H363" i="1"/>
  <c r="H863" i="1"/>
  <c r="H897" i="1"/>
  <c r="H915" i="1"/>
  <c r="H917" i="1"/>
  <c r="H654" i="1"/>
  <c r="H919" i="1"/>
  <c r="H601" i="1"/>
  <c r="H554" i="1"/>
  <c r="H741" i="1"/>
  <c r="H185" i="1"/>
  <c r="H394" i="1"/>
  <c r="H18" i="1"/>
  <c r="H933" i="1"/>
  <c r="H615" i="1"/>
  <c r="H507" i="1"/>
  <c r="H186" i="1"/>
  <c r="H409" i="1"/>
  <c r="H904" i="1"/>
  <c r="H658" i="1"/>
  <c r="H640" i="1"/>
  <c r="H532" i="1"/>
  <c r="H603" i="1"/>
  <c r="H831" i="1"/>
  <c r="H916" i="1"/>
  <c r="H930" i="1"/>
  <c r="H887" i="1"/>
  <c r="H946" i="1"/>
  <c r="H649" i="1"/>
  <c r="H892" i="1"/>
  <c r="H700" i="1"/>
  <c r="H852" i="1"/>
  <c r="H727" i="1"/>
  <c r="H585" i="1"/>
  <c r="H39" i="1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B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L37" i="32"/>
  <c r="M37" i="32"/>
  <c r="N37" i="32"/>
  <c r="O37" i="32"/>
  <c r="P37" i="32"/>
  <c r="L35" i="32"/>
  <c r="M35" i="32"/>
  <c r="N35" i="32"/>
  <c r="O35" i="32"/>
  <c r="P35" i="32"/>
  <c r="B35" i="32"/>
  <c r="C35" i="32"/>
  <c r="D35" i="32"/>
  <c r="E35" i="32"/>
  <c r="F35" i="32"/>
  <c r="G35" i="32"/>
  <c r="H35" i="32"/>
  <c r="I35" i="32"/>
  <c r="J35" i="32"/>
  <c r="K35" i="32"/>
  <c r="C37" i="32"/>
  <c r="D37" i="32"/>
  <c r="E37" i="32"/>
  <c r="F37" i="32"/>
  <c r="G37" i="32"/>
  <c r="H37" i="32"/>
  <c r="I37" i="32"/>
  <c r="J37" i="32"/>
  <c r="K37" i="32"/>
  <c r="B37" i="32"/>
  <c r="C8" i="32"/>
  <c r="D8" i="32"/>
  <c r="E8" i="32"/>
  <c r="F8" i="32"/>
  <c r="G8" i="32"/>
  <c r="H8" i="32"/>
  <c r="I8" i="32"/>
  <c r="J8" i="32"/>
  <c r="K8" i="32"/>
  <c r="L8" i="32"/>
  <c r="M8" i="32"/>
  <c r="N8" i="32"/>
  <c r="O8" i="32"/>
  <c r="P8" i="32"/>
  <c r="B8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B12" i="32"/>
  <c r="AI1066" i="1"/>
  <c r="AF1066" i="1" s="1"/>
  <c r="AJ1066" i="1" s="1"/>
  <c r="AI1065" i="1"/>
  <c r="AF1065" i="1" s="1"/>
  <c r="AJ1065" i="1" s="1"/>
  <c r="AF956" i="1"/>
  <c r="AJ956" i="1" s="1"/>
  <c r="AI1063" i="1"/>
  <c r="AF1063" i="1" s="1"/>
  <c r="X1063" i="1" s="1"/>
  <c r="AA1063" i="1" s="1"/>
  <c r="AI1062" i="1"/>
  <c r="AF1062" i="1" s="1"/>
  <c r="AF954" i="1"/>
  <c r="AJ954" i="1" s="1"/>
  <c r="AF957" i="1"/>
  <c r="AJ957" i="1" s="1"/>
  <c r="AI1061" i="1"/>
  <c r="AF1061" i="1" s="1"/>
  <c r="AJ1061" i="1" s="1"/>
  <c r="AI1060" i="1"/>
  <c r="AF1060" i="1" s="1"/>
  <c r="AJ1060" i="1" s="1"/>
  <c r="AI1059" i="1"/>
  <c r="AF1059" i="1" s="1"/>
  <c r="AJ1059" i="1" s="1"/>
  <c r="AF958" i="1"/>
  <c r="AJ958" i="1" s="1"/>
  <c r="AF955" i="1"/>
  <c r="AJ955" i="1" s="1"/>
  <c r="AI1058" i="1"/>
  <c r="AF1058" i="1" s="1"/>
  <c r="AJ1058" i="1" s="1"/>
  <c r="AI1057" i="1"/>
  <c r="AF1057" i="1" s="1"/>
  <c r="AF1076" i="1"/>
  <c r="AJ1076" i="1" s="1"/>
  <c r="AI1056" i="1"/>
  <c r="AF1056" i="1" s="1"/>
  <c r="AJ1056" i="1" s="1"/>
  <c r="AI1055" i="1"/>
  <c r="AF1055" i="1" s="1"/>
  <c r="AI1054" i="1"/>
  <c r="AF1054" i="1" s="1"/>
  <c r="AI1053" i="1"/>
  <c r="AF1053" i="1" s="1"/>
  <c r="AI1052" i="1"/>
  <c r="AF1052" i="1" s="1"/>
  <c r="X1052" i="1" s="1"/>
  <c r="AA1052" i="1" s="1"/>
  <c r="AI1051" i="1"/>
  <c r="AF1051" i="1" s="1"/>
  <c r="AJ1051" i="1" s="1"/>
  <c r="AI1050" i="1"/>
  <c r="AF1050" i="1" s="1"/>
  <c r="X1050" i="1" s="1"/>
  <c r="AA1050" i="1" s="1"/>
  <c r="AI1049" i="1"/>
  <c r="AF1049" i="1" s="1"/>
  <c r="X1049" i="1" s="1"/>
  <c r="AA1049" i="1" s="1"/>
  <c r="AI1048" i="1"/>
  <c r="AF1048" i="1" s="1"/>
  <c r="X1048" i="1" s="1"/>
  <c r="AA1048" i="1" s="1"/>
  <c r="AI1047" i="1"/>
  <c r="AF1047" i="1" s="1"/>
  <c r="AI1046" i="1"/>
  <c r="AF1046" i="1" s="1"/>
  <c r="AJ1046" i="1" s="1"/>
  <c r="AI1045" i="1"/>
  <c r="AF1045" i="1" s="1"/>
  <c r="AJ1045" i="1" s="1"/>
  <c r="AI1044" i="1"/>
  <c r="AF1044" i="1" s="1"/>
  <c r="AI1043" i="1"/>
  <c r="AF1043" i="1" s="1"/>
  <c r="AF1071" i="1"/>
  <c r="AJ1071" i="1" s="1"/>
  <c r="AI1042" i="1"/>
  <c r="AF1042" i="1" s="1"/>
  <c r="AJ1042" i="1" s="1"/>
  <c r="AI1041" i="1"/>
  <c r="AF1041" i="1" s="1"/>
  <c r="AI1040" i="1"/>
  <c r="AF1040" i="1" s="1"/>
  <c r="X1040" i="1" s="1"/>
  <c r="AA1040" i="1" s="1"/>
  <c r="AI1039" i="1"/>
  <c r="AF1039" i="1" s="1"/>
  <c r="AF1069" i="1"/>
  <c r="AJ1069" i="1" s="1"/>
  <c r="AI1038" i="1"/>
  <c r="AF1038" i="1" s="1"/>
  <c r="AI1037" i="1"/>
  <c r="AF1037" i="1" s="1"/>
  <c r="AJ1037" i="1" s="1"/>
  <c r="AI1036" i="1"/>
  <c r="AF1036" i="1" s="1"/>
  <c r="AI1035" i="1"/>
  <c r="AF1035" i="1" s="1"/>
  <c r="AJ1035" i="1" s="1"/>
  <c r="AI1034" i="1"/>
  <c r="AF1034" i="1" s="1"/>
  <c r="AI1033" i="1"/>
  <c r="AF1033" i="1" s="1"/>
  <c r="AI1032" i="1"/>
  <c r="AF1032" i="1" s="1"/>
  <c r="X1032" i="1" s="1"/>
  <c r="AA1032" i="1" s="1"/>
  <c r="AI1031" i="1"/>
  <c r="AF1031" i="1" s="1"/>
  <c r="AI1030" i="1"/>
  <c r="AF1030" i="1" s="1"/>
  <c r="AJ1030" i="1" s="1"/>
  <c r="AI1029" i="1"/>
  <c r="AF1029" i="1" s="1"/>
  <c r="AJ153" i="1"/>
  <c r="AI1028" i="1"/>
  <c r="AF1028" i="1" s="1"/>
  <c r="AI1027" i="1"/>
  <c r="AF1027" i="1" s="1"/>
  <c r="AJ1027" i="1" s="1"/>
  <c r="AI1026" i="1"/>
  <c r="AF1026" i="1" s="1"/>
  <c r="AJ917" i="1"/>
  <c r="AI1025" i="1"/>
  <c r="AF1025" i="1" s="1"/>
  <c r="AI1024" i="1"/>
  <c r="AF1024" i="1" s="1"/>
  <c r="AI1023" i="1"/>
  <c r="AF1023" i="1" s="1"/>
  <c r="AI1022" i="1"/>
  <c r="AF1022" i="1" s="1"/>
  <c r="AJ1022" i="1" s="1"/>
  <c r="AI1021" i="1"/>
  <c r="AF1021" i="1" s="1"/>
  <c r="AJ1021" i="1" s="1"/>
  <c r="AI1020" i="1"/>
  <c r="AF1020" i="1" s="1"/>
  <c r="AI1019" i="1"/>
  <c r="AF1019" i="1" s="1"/>
  <c r="X1019" i="1" s="1"/>
  <c r="AA1019" i="1" s="1"/>
  <c r="AI1018" i="1"/>
  <c r="AF1018" i="1" s="1"/>
  <c r="AJ1018" i="1" s="1"/>
  <c r="AI1017" i="1"/>
  <c r="AF1017" i="1" s="1"/>
  <c r="AI1016" i="1"/>
  <c r="AF1016" i="1" s="1"/>
  <c r="AI1015" i="1"/>
  <c r="AF1015" i="1" s="1"/>
  <c r="AJ1015" i="1" s="1"/>
  <c r="AI1014" i="1"/>
  <c r="AF1014" i="1" s="1"/>
  <c r="X1014" i="1" s="1"/>
  <c r="AA1014" i="1" s="1"/>
  <c r="AI1013" i="1"/>
  <c r="AF1013" i="1" s="1"/>
  <c r="AJ141" i="1"/>
  <c r="AI1012" i="1"/>
  <c r="AF1012" i="1" s="1"/>
  <c r="AI1011" i="1"/>
  <c r="AF1011" i="1" s="1"/>
  <c r="AJ1011" i="1" s="1"/>
  <c r="AI1010" i="1"/>
  <c r="AF1010" i="1" s="1"/>
  <c r="AJ1010" i="1" s="1"/>
  <c r="AI1009" i="1"/>
  <c r="AF1009" i="1" s="1"/>
  <c r="AI1008" i="1"/>
  <c r="AF1008" i="1" s="1"/>
  <c r="AI1007" i="1"/>
  <c r="AF1007" i="1" s="1"/>
  <c r="AJ1007" i="1" s="1"/>
  <c r="AI1006" i="1"/>
  <c r="AF1006" i="1" s="1"/>
  <c r="AJ1006" i="1" s="1"/>
  <c r="AJ137" i="1"/>
  <c r="AI1005" i="1"/>
  <c r="AF1005" i="1" s="1"/>
  <c r="AJ1005" i="1" s="1"/>
  <c r="AI1004" i="1"/>
  <c r="AF1004" i="1" s="1"/>
  <c r="AI1003" i="1"/>
  <c r="AF1003" i="1" s="1"/>
  <c r="X1003" i="1" s="1"/>
  <c r="AA1003" i="1" s="1"/>
  <c r="AI1002" i="1"/>
  <c r="AF1002" i="1" s="1"/>
  <c r="AJ133" i="1"/>
  <c r="AI1001" i="1"/>
  <c r="AF1001" i="1" s="1"/>
  <c r="AJ1001" i="1" s="1"/>
  <c r="AI1000" i="1"/>
  <c r="AF1000" i="1" s="1"/>
  <c r="AI999" i="1"/>
  <c r="AF999" i="1" s="1"/>
  <c r="AI998" i="1"/>
  <c r="AF998" i="1" s="1"/>
  <c r="AI997" i="1"/>
  <c r="AF997" i="1" s="1"/>
  <c r="X997" i="1" s="1"/>
  <c r="AA997" i="1" s="1"/>
  <c r="AI996" i="1"/>
  <c r="AF996" i="1" s="1"/>
  <c r="AJ996" i="1" s="1"/>
  <c r="AI995" i="1"/>
  <c r="AF995" i="1" s="1"/>
  <c r="AJ995" i="1" s="1"/>
  <c r="AJ117" i="1"/>
  <c r="AF1072" i="1"/>
  <c r="AJ1072" i="1" s="1"/>
  <c r="AI994" i="1"/>
  <c r="AF994" i="1" s="1"/>
  <c r="X994" i="1" s="1"/>
  <c r="AA994" i="1" s="1"/>
  <c r="AI993" i="1"/>
  <c r="AF993" i="1" s="1"/>
  <c r="AI992" i="1"/>
  <c r="AF992" i="1" s="1"/>
  <c r="AJ992" i="1" s="1"/>
  <c r="AI991" i="1"/>
  <c r="AF991" i="1" s="1"/>
  <c r="AI990" i="1"/>
  <c r="AF990" i="1" s="1"/>
  <c r="AJ990" i="1" s="1"/>
  <c r="AI989" i="1"/>
  <c r="AF989" i="1" s="1"/>
  <c r="X989" i="1" s="1"/>
  <c r="AA989" i="1" s="1"/>
  <c r="AF1073" i="1"/>
  <c r="AJ1073" i="1" s="1"/>
  <c r="AI988" i="1"/>
  <c r="AF988" i="1" s="1"/>
  <c r="AJ988" i="1" s="1"/>
  <c r="AJ105" i="1"/>
  <c r="AI987" i="1"/>
  <c r="AF987" i="1" s="1"/>
  <c r="X987" i="1" s="1"/>
  <c r="AA987" i="1" s="1"/>
  <c r="AI986" i="1"/>
  <c r="AF986" i="1" s="1"/>
  <c r="AJ101" i="1"/>
  <c r="AI985" i="1"/>
  <c r="AF985" i="1" s="1"/>
  <c r="AI984" i="1"/>
  <c r="AF984" i="1" s="1"/>
  <c r="AJ765" i="1"/>
  <c r="AI983" i="1"/>
  <c r="AF983" i="1" s="1"/>
  <c r="AJ983" i="1" s="1"/>
  <c r="AJ757" i="1"/>
  <c r="AF1070" i="1"/>
  <c r="AJ1070" i="1" s="1"/>
  <c r="AI982" i="1"/>
  <c r="AF982" i="1" s="1"/>
  <c r="X982" i="1" s="1"/>
  <c r="AA982" i="1" s="1"/>
  <c r="AI981" i="1"/>
  <c r="AF981" i="1" s="1"/>
  <c r="AJ981" i="1" s="1"/>
  <c r="AJ713" i="1"/>
  <c r="AI980" i="1"/>
  <c r="AF980" i="1" s="1"/>
  <c r="AI979" i="1"/>
  <c r="AF979" i="1" s="1"/>
  <c r="X979" i="1" s="1"/>
  <c r="AA979" i="1" s="1"/>
  <c r="AJ685" i="1"/>
  <c r="AI978" i="1"/>
  <c r="AF978" i="1" s="1"/>
  <c r="AJ978" i="1" s="1"/>
  <c r="AI977" i="1"/>
  <c r="AF977" i="1" s="1"/>
  <c r="AJ977" i="1" s="1"/>
  <c r="AJ645" i="1"/>
  <c r="AJ629" i="1"/>
  <c r="AJ65" i="1"/>
  <c r="AI976" i="1"/>
  <c r="AF976" i="1" s="1"/>
  <c r="AF1068" i="1"/>
  <c r="AJ1068" i="1" s="1"/>
  <c r="AJ601" i="1"/>
  <c r="AJ597" i="1"/>
  <c r="AI975" i="1"/>
  <c r="AF975" i="1" s="1"/>
  <c r="AJ975" i="1" s="1"/>
  <c r="AJ585" i="1"/>
  <c r="AI974" i="1"/>
  <c r="AF974" i="1" s="1"/>
  <c r="AJ974" i="1" s="1"/>
  <c r="AJ581" i="1"/>
  <c r="AJ573" i="1"/>
  <c r="AJ557" i="1"/>
  <c r="AI973" i="1"/>
  <c r="AF973" i="1" s="1"/>
  <c r="X973" i="1" s="1"/>
  <c r="AA973" i="1" s="1"/>
  <c r="AJ529" i="1"/>
  <c r="AF1067" i="1"/>
  <c r="AJ1067" i="1" s="1"/>
  <c r="AJ49" i="1"/>
  <c r="AI972" i="1"/>
  <c r="AF972" i="1" s="1"/>
  <c r="AJ972" i="1" s="1"/>
  <c r="AI971" i="1"/>
  <c r="AF971" i="1" s="1"/>
  <c r="X971" i="1" s="1"/>
  <c r="AA971" i="1" s="1"/>
  <c r="AJ489" i="1"/>
  <c r="AJ485" i="1"/>
  <c r="AF1074" i="1"/>
  <c r="AJ1074" i="1" s="1"/>
  <c r="AJ473" i="1"/>
  <c r="AI970" i="1"/>
  <c r="AF970" i="1" s="1"/>
  <c r="X970" i="1" s="1"/>
  <c r="AA970" i="1" s="1"/>
  <c r="AJ457" i="1"/>
  <c r="AJ453" i="1"/>
  <c r="AJ441" i="1"/>
  <c r="AJ429" i="1"/>
  <c r="AJ425" i="1"/>
  <c r="AJ417" i="1"/>
  <c r="AJ413" i="1"/>
  <c r="AJ405" i="1"/>
  <c r="AJ401" i="1"/>
  <c r="AF1075" i="1"/>
  <c r="AJ1075" i="1" s="1"/>
  <c r="AJ321" i="1"/>
  <c r="AJ221" i="1"/>
  <c r="AI966" i="1"/>
  <c r="AF966" i="1" s="1"/>
  <c r="AI965" i="1"/>
  <c r="AF965" i="1" s="1"/>
  <c r="AJ965" i="1" s="1"/>
  <c r="AI964" i="1"/>
  <c r="X964" i="1" s="1"/>
  <c r="AA964" i="1" s="1"/>
  <c r="AI963" i="1"/>
  <c r="X963" i="1" s="1"/>
  <c r="AA963" i="1" s="1"/>
  <c r="AI962" i="1"/>
  <c r="AF962" i="1" s="1"/>
  <c r="X962" i="1" s="1"/>
  <c r="AA962" i="1" s="1"/>
  <c r="AF969" i="1"/>
  <c r="AI961" i="1"/>
  <c r="AF961" i="1" s="1"/>
  <c r="X961" i="1" s="1"/>
  <c r="AA961" i="1" s="1"/>
  <c r="AI960" i="1"/>
  <c r="X960" i="1" s="1"/>
  <c r="AA960" i="1" s="1"/>
  <c r="X959" i="1"/>
  <c r="AA959" i="1" s="1"/>
  <c r="AJ249" i="1"/>
  <c r="AI1064" i="1"/>
  <c r="AF1064" i="1" s="1"/>
  <c r="AJ1064" i="1" s="1"/>
  <c r="AI968" i="1"/>
  <c r="AF968" i="1" s="1"/>
  <c r="AI967" i="1"/>
  <c r="AF967" i="1" s="1"/>
  <c r="AJ129" i="1" l="1"/>
  <c r="AJ929" i="1"/>
  <c r="AJ477" i="1"/>
  <c r="AJ465" i="1"/>
  <c r="AJ61" i="1"/>
  <c r="AJ769" i="1"/>
  <c r="AJ393" i="1"/>
  <c r="AJ549" i="1"/>
  <c r="AJ609" i="1"/>
  <c r="AJ397" i="1"/>
  <c r="AJ621" i="1"/>
  <c r="AJ737" i="1"/>
  <c r="AJ109" i="1"/>
  <c r="AJ945" i="1"/>
  <c r="AJ693" i="1"/>
  <c r="AJ625" i="1"/>
  <c r="AJ789" i="1"/>
  <c r="AJ509" i="1"/>
  <c r="AJ437" i="1"/>
  <c r="AJ329" i="1"/>
  <c r="AJ389" i="1"/>
  <c r="AJ113" i="1"/>
  <c r="AJ281" i="1"/>
  <c r="AJ161" i="1"/>
  <c r="AJ689" i="1"/>
  <c r="AJ157" i="1"/>
  <c r="AJ445" i="1"/>
  <c r="AJ589" i="1"/>
  <c r="AJ637" i="1"/>
  <c r="AJ421" i="1"/>
  <c r="AJ481" i="1"/>
  <c r="AJ188" i="1"/>
  <c r="AJ361" i="1"/>
  <c r="AJ433" i="1"/>
  <c r="AJ577" i="1"/>
  <c r="AJ633" i="1"/>
  <c r="AJ921" i="1"/>
  <c r="AJ745" i="1"/>
  <c r="AJ649" i="1"/>
  <c r="AJ761" i="1"/>
  <c r="AJ681" i="1"/>
  <c r="AJ697" i="1"/>
  <c r="AJ617" i="1"/>
  <c r="AD24" i="32"/>
  <c r="AD27" i="32" s="1"/>
  <c r="AH25" i="32"/>
  <c r="AI25" i="32"/>
  <c r="AI26" i="32"/>
  <c r="AJ23" i="32"/>
  <c r="AH26" i="32"/>
  <c r="AF24" i="32"/>
  <c r="AE24" i="32"/>
  <c r="AE23" i="32"/>
  <c r="AF23" i="32"/>
  <c r="AF25" i="32"/>
  <c r="AF26" i="32"/>
  <c r="AE25" i="32"/>
  <c r="AE26" i="32"/>
  <c r="AJ20" i="1"/>
  <c r="AJ24" i="1"/>
  <c r="AJ28" i="1"/>
  <c r="AJ48" i="1"/>
  <c r="AJ52" i="1"/>
  <c r="AJ64" i="1"/>
  <c r="AJ72" i="1"/>
  <c r="AJ76" i="1"/>
  <c r="AJ160" i="1"/>
  <c r="AJ8" i="1"/>
  <c r="AJ32" i="1"/>
  <c r="AJ40" i="1"/>
  <c r="AJ16" i="1"/>
  <c r="AJ56" i="1"/>
  <c r="AJ36" i="1"/>
  <c r="AJ44" i="1"/>
  <c r="AJ208" i="1"/>
  <c r="AJ68" i="1"/>
  <c r="AJ80" i="1"/>
  <c r="AJ84" i="1"/>
  <c r="AJ164" i="1"/>
  <c r="AJ176" i="1"/>
  <c r="AJ865" i="1"/>
  <c r="AJ526" i="1"/>
  <c r="AJ354" i="1"/>
  <c r="AJ410" i="1"/>
  <c r="AJ574" i="1"/>
  <c r="AJ674" i="1"/>
  <c r="AJ246" i="1"/>
  <c r="AJ554" i="1"/>
  <c r="AJ702" i="1"/>
  <c r="AJ682" i="1"/>
  <c r="AJ726" i="1"/>
  <c r="AJ242" i="1"/>
  <c r="AJ342" i="1"/>
  <c r="AJ462" i="1"/>
  <c r="AJ546" i="1"/>
  <c r="AJ598" i="1"/>
  <c r="AJ634" i="1"/>
  <c r="AJ658" i="1"/>
  <c r="AJ274" i="1"/>
  <c r="AJ370" i="1"/>
  <c r="AJ394" i="1"/>
  <c r="AJ414" i="1"/>
  <c r="AJ426" i="1"/>
  <c r="AJ594" i="1"/>
  <c r="AJ754" i="1"/>
  <c r="AJ234" i="1"/>
  <c r="AJ346" i="1"/>
  <c r="AJ514" i="1"/>
  <c r="AJ602" i="1"/>
  <c r="AJ734" i="1"/>
  <c r="AJ906" i="1"/>
  <c r="AJ190" i="1"/>
  <c r="AJ238" i="1"/>
  <c r="AJ350" i="1"/>
  <c r="AJ422" i="1"/>
  <c r="AJ550" i="1"/>
  <c r="AJ570" i="1"/>
  <c r="AJ590" i="1"/>
  <c r="AJ666" i="1"/>
  <c r="AJ254" i="1"/>
  <c r="AJ235" i="1"/>
  <c r="AJ307" i="1"/>
  <c r="U26" i="32"/>
  <c r="T26" i="32"/>
  <c r="AJ375" i="1"/>
  <c r="AJ206" i="1"/>
  <c r="AJ18" i="1"/>
  <c r="AJ487" i="1"/>
  <c r="AJ507" i="1"/>
  <c r="AJ531" i="1"/>
  <c r="AJ607" i="1"/>
  <c r="AJ579" i="1"/>
  <c r="AJ611" i="1"/>
  <c r="AJ623" i="1"/>
  <c r="AJ647" i="1"/>
  <c r="AJ98" i="1"/>
  <c r="AJ236" i="1"/>
  <c r="AJ455" i="1"/>
  <c r="AJ783" i="1"/>
  <c r="AJ319" i="1"/>
  <c r="AJ10" i="1"/>
  <c r="AJ391" i="1"/>
  <c r="AJ34" i="1"/>
  <c r="AJ539" i="1"/>
  <c r="AJ559" i="1"/>
  <c r="AJ583" i="1"/>
  <c r="AJ194" i="1"/>
  <c r="AJ243" i="1"/>
  <c r="AJ122" i="1"/>
  <c r="AJ912" i="1"/>
  <c r="AJ182" i="1"/>
  <c r="AJ299" i="1"/>
  <c r="AJ232" i="1"/>
  <c r="AJ363" i="1"/>
  <c r="AJ379" i="1"/>
  <c r="AJ399" i="1"/>
  <c r="AJ62" i="1"/>
  <c r="AJ835" i="1"/>
  <c r="AJ239" i="1"/>
  <c r="AJ222" i="1"/>
  <c r="AJ355" i="1"/>
  <c r="AJ463" i="1"/>
  <c r="AJ499" i="1"/>
  <c r="AJ51" i="1"/>
  <c r="AJ679" i="1"/>
  <c r="AJ807" i="1"/>
  <c r="AJ823" i="1"/>
  <c r="AJ847" i="1"/>
  <c r="AJ162" i="1"/>
  <c r="AJ420" i="1"/>
  <c r="AJ444" i="1"/>
  <c r="AJ724" i="1"/>
  <c r="AJ139" i="1"/>
  <c r="AJ948" i="1"/>
  <c r="AJ312" i="1"/>
  <c r="AJ368" i="1"/>
  <c r="AJ752" i="1"/>
  <c r="AJ932" i="1"/>
  <c r="AJ191" i="1"/>
  <c r="AJ652" i="1"/>
  <c r="AJ856" i="1"/>
  <c r="AJ230" i="1"/>
  <c r="AJ308" i="1"/>
  <c r="AJ324" i="1"/>
  <c r="AJ332" i="1"/>
  <c r="AJ352" i="1"/>
  <c r="AJ404" i="1"/>
  <c r="AJ440" i="1"/>
  <c r="AJ87" i="1"/>
  <c r="AJ772" i="1"/>
  <c r="AJ808" i="1"/>
  <c r="AJ876" i="1"/>
  <c r="AJ163" i="1"/>
  <c r="AJ316" i="1"/>
  <c r="AJ344" i="1"/>
  <c r="AJ756" i="1"/>
  <c r="AJ260" i="1"/>
  <c r="AJ848" i="1"/>
  <c r="AJ167" i="1"/>
  <c r="AJ304" i="1"/>
  <c r="AJ328" i="1"/>
  <c r="AJ436" i="1"/>
  <c r="AJ468" i="1"/>
  <c r="AJ540" i="1"/>
  <c r="AJ660" i="1"/>
  <c r="AJ680" i="1"/>
  <c r="AJ75" i="1"/>
  <c r="AJ79" i="1"/>
  <c r="AJ716" i="1"/>
  <c r="AJ796" i="1"/>
  <c r="AJ872" i="1"/>
  <c r="AJ292" i="1"/>
  <c r="AJ320" i="1"/>
  <c r="AJ340" i="1"/>
  <c r="AJ424" i="1"/>
  <c r="AJ35" i="1"/>
  <c r="AJ708" i="1"/>
  <c r="AJ732" i="1"/>
  <c r="AJ748" i="1"/>
  <c r="AJ828" i="1"/>
  <c r="AJ272" i="1"/>
  <c r="X223" i="1"/>
  <c r="AA223" i="1" s="1"/>
  <c r="AJ223" i="1"/>
  <c r="X219" i="1"/>
  <c r="AA219" i="1" s="1"/>
  <c r="AJ219" i="1"/>
  <c r="X211" i="1"/>
  <c r="AA211" i="1" s="1"/>
  <c r="AJ211" i="1"/>
  <c r="X203" i="1"/>
  <c r="AA203" i="1" s="1"/>
  <c r="AJ203" i="1"/>
  <c r="X151" i="1"/>
  <c r="AA151" i="1" s="1"/>
  <c r="AJ151" i="1"/>
  <c r="X147" i="1"/>
  <c r="AA147" i="1" s="1"/>
  <c r="AJ147" i="1"/>
  <c r="X143" i="1"/>
  <c r="AA143" i="1" s="1"/>
  <c r="AJ143" i="1"/>
  <c r="X127" i="1"/>
  <c r="AA127" i="1" s="1"/>
  <c r="AJ127" i="1"/>
  <c r="AJ207" i="1"/>
  <c r="AJ3" i="1"/>
  <c r="AJ27" i="1"/>
  <c r="X811" i="1"/>
  <c r="AA811" i="1" s="1"/>
  <c r="AJ811" i="1"/>
  <c r="X759" i="1"/>
  <c r="AA759" i="1" s="1"/>
  <c r="AJ759" i="1"/>
  <c r="X719" i="1"/>
  <c r="AA719" i="1" s="1"/>
  <c r="AJ719" i="1"/>
  <c r="X667" i="1"/>
  <c r="AA667" i="1" s="1"/>
  <c r="AJ667" i="1"/>
  <c r="X659" i="1"/>
  <c r="AA659" i="1" s="1"/>
  <c r="AJ659" i="1"/>
  <c r="X599" i="1"/>
  <c r="AA599" i="1" s="1"/>
  <c r="AJ599" i="1"/>
  <c r="X591" i="1"/>
  <c r="AA591" i="1" s="1"/>
  <c r="AJ591" i="1"/>
  <c r="X587" i="1"/>
  <c r="AA587" i="1" s="1"/>
  <c r="AJ587" i="1"/>
  <c r="X563" i="1"/>
  <c r="AA563" i="1" s="1"/>
  <c r="AJ563" i="1"/>
  <c r="X535" i="1"/>
  <c r="AA535" i="1" s="1"/>
  <c r="AJ535" i="1"/>
  <c r="X527" i="1"/>
  <c r="AA527" i="1" s="1"/>
  <c r="AJ527" i="1"/>
  <c r="X475" i="1"/>
  <c r="AA475" i="1" s="1"/>
  <c r="AJ475" i="1"/>
  <c r="X90" i="1"/>
  <c r="AA90" i="1" s="1"/>
  <c r="AJ90" i="1"/>
  <c r="X66" i="1"/>
  <c r="AA66" i="1" s="1"/>
  <c r="AJ66" i="1"/>
  <c r="X46" i="1"/>
  <c r="AA46" i="1" s="1"/>
  <c r="AJ46" i="1"/>
  <c r="X42" i="1"/>
  <c r="AA42" i="1" s="1"/>
  <c r="AJ42" i="1"/>
  <c r="X26" i="1"/>
  <c r="AA26" i="1" s="1"/>
  <c r="AJ26" i="1"/>
  <c r="X22" i="1"/>
  <c r="AA22" i="1" s="1"/>
  <c r="AJ22" i="1"/>
  <c r="X14" i="1"/>
  <c r="AA14" i="1" s="1"/>
  <c r="AJ14" i="1"/>
  <c r="X6" i="1"/>
  <c r="AA6" i="1" s="1"/>
  <c r="AJ6" i="1"/>
  <c r="X2" i="1"/>
  <c r="AA2" i="1" s="1"/>
  <c r="AJ2" i="1"/>
  <c r="X99" i="1"/>
  <c r="AA99" i="1" s="1"/>
  <c r="AJ99" i="1"/>
  <c r="X91" i="1"/>
  <c r="AA91" i="1" s="1"/>
  <c r="AJ91" i="1"/>
  <c r="X71" i="1"/>
  <c r="AA71" i="1" s="1"/>
  <c r="AJ71" i="1"/>
  <c r="X59" i="1"/>
  <c r="AA59" i="1" s="1"/>
  <c r="AJ59" i="1"/>
  <c r="X55" i="1"/>
  <c r="AA55" i="1" s="1"/>
  <c r="AJ55" i="1"/>
  <c r="X43" i="1"/>
  <c r="AA43" i="1" s="1"/>
  <c r="AJ43" i="1"/>
  <c r="X39" i="1"/>
  <c r="AA39" i="1" s="1"/>
  <c r="AJ39" i="1"/>
  <c r="X15" i="1"/>
  <c r="AA15" i="1" s="1"/>
  <c r="AJ15" i="1"/>
  <c r="X7" i="1"/>
  <c r="AA7" i="1" s="1"/>
  <c r="AJ7" i="1"/>
  <c r="AJ240" i="1"/>
  <c r="AJ195" i="1"/>
  <c r="AJ179" i="1"/>
  <c r="AJ183" i="1"/>
  <c r="X799" i="1"/>
  <c r="AA799" i="1" s="1"/>
  <c r="AJ799" i="1"/>
  <c r="X763" i="1"/>
  <c r="AA763" i="1" s="1"/>
  <c r="AJ763" i="1"/>
  <c r="X711" i="1"/>
  <c r="AA711" i="1" s="1"/>
  <c r="AJ711" i="1"/>
  <c r="X663" i="1"/>
  <c r="AA663" i="1" s="1"/>
  <c r="AJ663" i="1"/>
  <c r="X655" i="1"/>
  <c r="AA655" i="1" s="1"/>
  <c r="AJ655" i="1"/>
  <c r="X595" i="1"/>
  <c r="AA595" i="1" s="1"/>
  <c r="AJ595" i="1"/>
  <c r="X571" i="1"/>
  <c r="AA571" i="1" s="1"/>
  <c r="AJ571" i="1"/>
  <c r="X547" i="1"/>
  <c r="AA547" i="1" s="1"/>
  <c r="AJ547" i="1"/>
  <c r="X523" i="1"/>
  <c r="AA523" i="1" s="1"/>
  <c r="AJ523" i="1"/>
  <c r="X503" i="1"/>
  <c r="AA503" i="1" s="1"/>
  <c r="AJ503" i="1"/>
  <c r="X491" i="1"/>
  <c r="AA491" i="1" s="1"/>
  <c r="AJ491" i="1"/>
  <c r="X471" i="1"/>
  <c r="AA471" i="1" s="1"/>
  <c r="AJ471" i="1"/>
  <c r="X459" i="1"/>
  <c r="AA459" i="1" s="1"/>
  <c r="AJ459" i="1"/>
  <c r="X447" i="1"/>
  <c r="AA447" i="1" s="1"/>
  <c r="AJ447" i="1"/>
  <c r="X435" i="1"/>
  <c r="AA435" i="1" s="1"/>
  <c r="AJ435" i="1"/>
  <c r="X403" i="1"/>
  <c r="AA403" i="1" s="1"/>
  <c r="AJ403" i="1"/>
  <c r="X371" i="1"/>
  <c r="AA371" i="1" s="1"/>
  <c r="AJ371" i="1"/>
  <c r="X367" i="1"/>
  <c r="AA367" i="1" s="1"/>
  <c r="AJ367" i="1"/>
  <c r="X359" i="1"/>
  <c r="AA359" i="1" s="1"/>
  <c r="AJ359" i="1"/>
  <c r="X351" i="1"/>
  <c r="AA351" i="1" s="1"/>
  <c r="AJ351" i="1"/>
  <c r="X347" i="1"/>
  <c r="AA347" i="1" s="1"/>
  <c r="AJ347" i="1"/>
  <c r="X343" i="1"/>
  <c r="AA343" i="1" s="1"/>
  <c r="AJ343" i="1"/>
  <c r="X339" i="1"/>
  <c r="AA339" i="1" s="1"/>
  <c r="AJ339" i="1"/>
  <c r="X335" i="1"/>
  <c r="AA335" i="1" s="1"/>
  <c r="AJ335" i="1"/>
  <c r="X331" i="1"/>
  <c r="AA331" i="1" s="1"/>
  <c r="AJ331" i="1"/>
  <c r="X327" i="1"/>
  <c r="AA327" i="1" s="1"/>
  <c r="AJ327" i="1"/>
  <c r="X315" i="1"/>
  <c r="AA315" i="1" s="1"/>
  <c r="AJ315" i="1"/>
  <c r="X311" i="1"/>
  <c r="AA311" i="1" s="1"/>
  <c r="AJ311" i="1"/>
  <c r="X303" i="1"/>
  <c r="AA303" i="1" s="1"/>
  <c r="AJ303" i="1"/>
  <c r="X263" i="1"/>
  <c r="AA263" i="1" s="1"/>
  <c r="AJ263" i="1"/>
  <c r="X229" i="1"/>
  <c r="AA229" i="1" s="1"/>
  <c r="AJ229" i="1"/>
  <c r="X218" i="1"/>
  <c r="AA218" i="1" s="1"/>
  <c r="AJ218" i="1"/>
  <c r="X210" i="1"/>
  <c r="AA210" i="1" s="1"/>
  <c r="AJ210" i="1"/>
  <c r="X178" i="1"/>
  <c r="AA178" i="1" s="1"/>
  <c r="AJ178" i="1"/>
  <c r="X170" i="1"/>
  <c r="AA170" i="1" s="1"/>
  <c r="AJ170" i="1"/>
  <c r="X146" i="1"/>
  <c r="AA146" i="1" s="1"/>
  <c r="AJ146" i="1"/>
  <c r="X138" i="1"/>
  <c r="AA138" i="1" s="1"/>
  <c r="AJ138" i="1"/>
  <c r="X134" i="1"/>
  <c r="AA134" i="1" s="1"/>
  <c r="AJ134" i="1"/>
  <c r="X130" i="1"/>
  <c r="AA130" i="1" s="1"/>
  <c r="AJ130" i="1"/>
  <c r="X110" i="1"/>
  <c r="AA110" i="1" s="1"/>
  <c r="AJ110" i="1"/>
  <c r="X1061" i="1"/>
  <c r="AA1061" i="1" s="1"/>
  <c r="AJ227" i="1"/>
  <c r="AJ233" i="1"/>
  <c r="AJ237" i="1"/>
  <c r="AJ244" i="1"/>
  <c r="AJ247" i="1"/>
  <c r="AJ199" i="1"/>
  <c r="AJ215" i="1"/>
  <c r="AJ226" i="1"/>
  <c r="AJ323" i="1"/>
  <c r="AJ31" i="1"/>
  <c r="AJ451" i="1"/>
  <c r="AJ467" i="1"/>
  <c r="AJ495" i="1"/>
  <c r="AJ567" i="1"/>
  <c r="AJ575" i="1"/>
  <c r="AJ671" i="1"/>
  <c r="AJ83" i="1"/>
  <c r="AJ775" i="1"/>
  <c r="AJ111" i="1"/>
  <c r="AJ114" i="1"/>
  <c r="AJ123" i="1"/>
  <c r="AJ126" i="1"/>
  <c r="AJ142" i="1"/>
  <c r="X905" i="1"/>
  <c r="AA905" i="1" s="1"/>
  <c r="AJ905" i="1"/>
  <c r="X897" i="1"/>
  <c r="AA897" i="1" s="1"/>
  <c r="AJ897" i="1"/>
  <c r="X893" i="1"/>
  <c r="AA893" i="1" s="1"/>
  <c r="AJ893" i="1"/>
  <c r="X850" i="1"/>
  <c r="AA850" i="1" s="1"/>
  <c r="AJ850" i="1"/>
  <c r="X738" i="1"/>
  <c r="AA738" i="1" s="1"/>
  <c r="AJ738" i="1"/>
  <c r="X730" i="1"/>
  <c r="AA730" i="1" s="1"/>
  <c r="AJ730" i="1"/>
  <c r="X706" i="1"/>
  <c r="AA706" i="1" s="1"/>
  <c r="AJ706" i="1"/>
  <c r="X690" i="1"/>
  <c r="AA690" i="1" s="1"/>
  <c r="AJ690" i="1"/>
  <c r="X686" i="1"/>
  <c r="AA686" i="1" s="1"/>
  <c r="AJ686" i="1"/>
  <c r="X670" i="1"/>
  <c r="AA670" i="1" s="1"/>
  <c r="AJ670" i="1"/>
  <c r="X642" i="1"/>
  <c r="AA642" i="1" s="1"/>
  <c r="AJ642" i="1"/>
  <c r="X626" i="1"/>
  <c r="AA626" i="1" s="1"/>
  <c r="AJ626" i="1"/>
  <c r="X618" i="1"/>
  <c r="AA618" i="1" s="1"/>
  <c r="AJ618" i="1"/>
  <c r="X610" i="1"/>
  <c r="AA610" i="1" s="1"/>
  <c r="AJ610" i="1"/>
  <c r="X606" i="1"/>
  <c r="AA606" i="1" s="1"/>
  <c r="AJ606" i="1"/>
  <c r="X586" i="1"/>
  <c r="AA586" i="1" s="1"/>
  <c r="AJ586" i="1"/>
  <c r="X582" i="1"/>
  <c r="AA582" i="1" s="1"/>
  <c r="AJ582" i="1"/>
  <c r="X578" i="1"/>
  <c r="AA578" i="1" s="1"/>
  <c r="AJ578" i="1"/>
  <c r="X566" i="1"/>
  <c r="AA566" i="1" s="1"/>
  <c r="AJ566" i="1"/>
  <c r="X542" i="1"/>
  <c r="AA542" i="1" s="1"/>
  <c r="AJ542" i="1"/>
  <c r="X534" i="1"/>
  <c r="AA534" i="1" s="1"/>
  <c r="AJ534" i="1"/>
  <c r="X522" i="1"/>
  <c r="AA522" i="1" s="1"/>
  <c r="AJ522" i="1"/>
  <c r="X510" i="1"/>
  <c r="AA510" i="1" s="1"/>
  <c r="AJ510" i="1"/>
  <c r="X454" i="1"/>
  <c r="AA454" i="1" s="1"/>
  <c r="AJ454" i="1"/>
  <c r="X442" i="1"/>
  <c r="AA442" i="1" s="1"/>
  <c r="AJ442" i="1"/>
  <c r="X438" i="1"/>
  <c r="AA438" i="1" s="1"/>
  <c r="AJ438" i="1"/>
  <c r="X434" i="1"/>
  <c r="AA434" i="1" s="1"/>
  <c r="AJ434" i="1"/>
  <c r="X430" i="1"/>
  <c r="AA430" i="1" s="1"/>
  <c r="AJ430" i="1"/>
  <c r="X406" i="1"/>
  <c r="AA406" i="1" s="1"/>
  <c r="AJ406" i="1"/>
  <c r="X402" i="1"/>
  <c r="AA402" i="1" s="1"/>
  <c r="AJ402" i="1"/>
  <c r="X398" i="1"/>
  <c r="AA398" i="1" s="1"/>
  <c r="AJ398" i="1"/>
  <c r="X386" i="1"/>
  <c r="AA386" i="1" s="1"/>
  <c r="AJ386" i="1"/>
  <c r="X382" i="1"/>
  <c r="AA382" i="1" s="1"/>
  <c r="AJ382" i="1"/>
  <c r="AJ1036" i="1"/>
  <c r="X1036" i="1"/>
  <c r="AA1036" i="1" s="1"/>
  <c r="X924" i="1"/>
  <c r="AA924" i="1" s="1"/>
  <c r="AJ924" i="1"/>
  <c r="X920" i="1"/>
  <c r="AA920" i="1" s="1"/>
  <c r="AJ920" i="1"/>
  <c r="AJ687" i="1"/>
  <c r="AJ731" i="1"/>
  <c r="AJ814" i="1"/>
  <c r="AJ833" i="1"/>
  <c r="AJ845" i="1"/>
  <c r="AJ857" i="1"/>
  <c r="AJ903" i="1"/>
  <c r="AJ683" i="1"/>
  <c r="AJ961" i="1"/>
  <c r="X996" i="1"/>
  <c r="AA996" i="1" s="1"/>
  <c r="AJ794" i="1"/>
  <c r="AJ818" i="1"/>
  <c r="AJ822" i="1"/>
  <c r="AJ829" i="1"/>
  <c r="AJ841" i="1"/>
  <c r="AJ900" i="1"/>
  <c r="X150" i="1"/>
  <c r="AA150" i="1" s="1"/>
  <c r="AJ200" i="1"/>
  <c r="AJ317" i="1"/>
  <c r="AJ325" i="1"/>
  <c r="AJ360" i="1"/>
  <c r="AJ408" i="1"/>
  <c r="AJ428" i="1"/>
  <c r="AJ456" i="1"/>
  <c r="AJ53" i="1"/>
  <c r="AJ628" i="1"/>
  <c r="AJ640" i="1"/>
  <c r="AJ700" i="1"/>
  <c r="AJ723" i="1"/>
  <c r="AJ727" i="1"/>
  <c r="AJ774" i="1"/>
  <c r="AJ793" i="1"/>
  <c r="AJ120" i="1"/>
  <c r="AJ267" i="1"/>
  <c r="AJ882" i="1"/>
  <c r="AJ144" i="1"/>
  <c r="AJ189" i="1"/>
  <c r="AJ196" i="1"/>
  <c r="AJ337" i="1"/>
  <c r="AJ452" i="1"/>
  <c r="AJ472" i="1"/>
  <c r="AJ500" i="1"/>
  <c r="AJ516" i="1"/>
  <c r="AJ544" i="1"/>
  <c r="AJ648" i="1"/>
  <c r="AJ656" i="1"/>
  <c r="AJ668" i="1"/>
  <c r="AJ735" i="1"/>
  <c r="AJ192" i="1"/>
  <c r="AJ165" i="1"/>
  <c r="AJ364" i="1"/>
  <c r="AJ41" i="1"/>
  <c r="AJ532" i="1"/>
  <c r="AJ69" i="1"/>
  <c r="AJ77" i="1"/>
  <c r="AJ778" i="1"/>
  <c r="AJ108" i="1"/>
  <c r="AJ844" i="1"/>
  <c r="AJ279" i="1"/>
  <c r="AJ169" i="1"/>
  <c r="AJ173" i="1"/>
  <c r="AJ181" i="1"/>
  <c r="AF960" i="1"/>
  <c r="AJ960" i="1" s="1"/>
  <c r="X1007" i="1"/>
  <c r="AA1007" i="1" s="1"/>
  <c r="AJ212" i="1"/>
  <c r="AJ309" i="1"/>
  <c r="AJ348" i="1"/>
  <c r="AJ356" i="1"/>
  <c r="AJ412" i="1"/>
  <c r="AJ432" i="1"/>
  <c r="AJ448" i="1"/>
  <c r="AJ460" i="1"/>
  <c r="AJ464" i="1"/>
  <c r="AJ492" i="1"/>
  <c r="AJ520" i="1"/>
  <c r="AJ524" i="1"/>
  <c r="AJ528" i="1"/>
  <c r="AJ632" i="1"/>
  <c r="AJ636" i="1"/>
  <c r="AJ644" i="1"/>
  <c r="AJ696" i="1"/>
  <c r="AJ89" i="1"/>
  <c r="AJ97" i="1"/>
  <c r="AJ100" i="1"/>
  <c r="AJ781" i="1"/>
  <c r="AJ104" i="1"/>
  <c r="AJ112" i="1"/>
  <c r="AJ863" i="1"/>
  <c r="AJ898" i="1"/>
  <c r="AJ155" i="1"/>
  <c r="AJ159" i="1"/>
  <c r="AJ185" i="1"/>
  <c r="X904" i="1"/>
  <c r="AA904" i="1" s="1"/>
  <c r="X119" i="1"/>
  <c r="AA119" i="1" s="1"/>
  <c r="AJ866" i="1"/>
  <c r="AJ895" i="1"/>
  <c r="AJ962" i="1"/>
  <c r="X992" i="1"/>
  <c r="AA992" i="1" s="1"/>
  <c r="AJ887" i="1"/>
  <c r="AJ1050" i="1"/>
  <c r="X936" i="1"/>
  <c r="AA936" i="1" s="1"/>
  <c r="X860" i="1"/>
  <c r="AA860" i="1" s="1"/>
  <c r="X128" i="1"/>
  <c r="AA128" i="1" s="1"/>
  <c r="X884" i="1"/>
  <c r="AA884" i="1" s="1"/>
  <c r="X919" i="1"/>
  <c r="AA919" i="1" s="1"/>
  <c r="AJ919" i="1"/>
  <c r="X836" i="1"/>
  <c r="AA836" i="1" s="1"/>
  <c r="AJ836" i="1"/>
  <c r="X620" i="1"/>
  <c r="AA620" i="1" s="1"/>
  <c r="AJ620" i="1"/>
  <c r="X548" i="1"/>
  <c r="AA548" i="1" s="1"/>
  <c r="AJ548" i="1"/>
  <c r="X78" i="1"/>
  <c r="AA78" i="1" s="1"/>
  <c r="AJ78" i="1"/>
  <c r="X47" i="1"/>
  <c r="AA47" i="1" s="1"/>
  <c r="AJ47" i="1"/>
  <c r="X33" i="1"/>
  <c r="AA33" i="1" s="1"/>
  <c r="AJ33" i="1"/>
  <c r="X21" i="1"/>
  <c r="AA21" i="1" s="1"/>
  <c r="AJ21" i="1"/>
  <c r="X13" i="1"/>
  <c r="AA13" i="1" s="1"/>
  <c r="AJ13" i="1"/>
  <c r="X9" i="1"/>
  <c r="AA9" i="1" s="1"/>
  <c r="AJ9" i="1"/>
  <c r="AJ29" i="1"/>
  <c r="X858" i="1"/>
  <c r="AA858" i="1" s="1"/>
  <c r="AJ858" i="1"/>
  <c r="X854" i="1"/>
  <c r="AA854" i="1" s="1"/>
  <c r="AJ854" i="1"/>
  <c r="X839" i="1"/>
  <c r="AA839" i="1" s="1"/>
  <c r="AJ839" i="1"/>
  <c r="X766" i="1"/>
  <c r="AA766" i="1" s="1"/>
  <c r="AJ766" i="1"/>
  <c r="X755" i="1"/>
  <c r="AA755" i="1" s="1"/>
  <c r="AJ755" i="1"/>
  <c r="X650" i="1"/>
  <c r="AA650" i="1" s="1"/>
  <c r="AJ650" i="1"/>
  <c r="X631" i="1"/>
  <c r="AA631" i="1" s="1"/>
  <c r="AJ631" i="1"/>
  <c r="X377" i="1"/>
  <c r="AA377" i="1" s="1"/>
  <c r="AJ377" i="1"/>
  <c r="X357" i="1"/>
  <c r="AA357" i="1" s="1"/>
  <c r="AJ357" i="1"/>
  <c r="X353" i="1"/>
  <c r="AA353" i="1" s="1"/>
  <c r="AJ353" i="1"/>
  <c r="X341" i="1"/>
  <c r="AA341" i="1" s="1"/>
  <c r="AJ341" i="1"/>
  <c r="X338" i="1"/>
  <c r="AA338" i="1" s="1"/>
  <c r="AJ338" i="1"/>
  <c r="X334" i="1"/>
  <c r="AA334" i="1" s="1"/>
  <c r="AJ334" i="1"/>
  <c r="X330" i="1"/>
  <c r="AA330" i="1" s="1"/>
  <c r="AJ330" i="1"/>
  <c r="X326" i="1"/>
  <c r="AA326" i="1" s="1"/>
  <c r="AJ326" i="1"/>
  <c r="X318" i="1"/>
  <c r="AA318" i="1" s="1"/>
  <c r="AJ318" i="1"/>
  <c r="X314" i="1"/>
  <c r="AA314" i="1" s="1"/>
  <c r="AJ314" i="1"/>
  <c r="X310" i="1"/>
  <c r="AA310" i="1" s="1"/>
  <c r="AJ310" i="1"/>
  <c r="X302" i="1"/>
  <c r="AA302" i="1" s="1"/>
  <c r="AJ302" i="1"/>
  <c r="X284" i="1"/>
  <c r="AA284" i="1" s="1"/>
  <c r="AJ284" i="1"/>
  <c r="X273" i="1"/>
  <c r="AA273" i="1" s="1"/>
  <c r="AJ273" i="1"/>
  <c r="X270" i="1"/>
  <c r="AA270" i="1" s="1"/>
  <c r="AJ270" i="1"/>
  <c r="X216" i="1"/>
  <c r="AA216" i="1" s="1"/>
  <c r="AJ216" i="1"/>
  <c r="X107" i="1"/>
  <c r="AA107" i="1" s="1"/>
  <c r="AJ107" i="1"/>
  <c r="X103" i="1"/>
  <c r="AA103" i="1" s="1"/>
  <c r="AJ103" i="1"/>
  <c r="X88" i="1"/>
  <c r="AA88" i="1" s="1"/>
  <c r="AJ88" i="1"/>
  <c r="X57" i="1"/>
  <c r="AA57" i="1" s="1"/>
  <c r="AJ57" i="1"/>
  <c r="AJ349" i="1"/>
  <c r="AJ25" i="1"/>
  <c r="AJ635" i="1"/>
  <c r="AJ864" i="1"/>
  <c r="X864" i="1"/>
  <c r="AA864" i="1" s="1"/>
  <c r="X788" i="1"/>
  <c r="AA788" i="1" s="1"/>
  <c r="AJ788" i="1"/>
  <c r="X784" i="1"/>
  <c r="AA784" i="1" s="1"/>
  <c r="AJ784" i="1"/>
  <c r="X780" i="1"/>
  <c r="AA780" i="1" s="1"/>
  <c r="AJ780" i="1"/>
  <c r="X692" i="1"/>
  <c r="AA692" i="1" s="1"/>
  <c r="AJ692" i="1"/>
  <c r="X688" i="1"/>
  <c r="AA688" i="1" s="1"/>
  <c r="AJ688" i="1"/>
  <c r="X677" i="1"/>
  <c r="AA677" i="1" s="1"/>
  <c r="AJ677" i="1"/>
  <c r="X653" i="1"/>
  <c r="AA653" i="1" s="1"/>
  <c r="AJ653" i="1"/>
  <c r="X443" i="1"/>
  <c r="AA443" i="1" s="1"/>
  <c r="AJ443" i="1"/>
  <c r="X439" i="1"/>
  <c r="AA439" i="1" s="1"/>
  <c r="AJ439" i="1"/>
  <c r="X415" i="1"/>
  <c r="AA415" i="1" s="1"/>
  <c r="AJ415" i="1"/>
  <c r="X269" i="1"/>
  <c r="AA269" i="1" s="1"/>
  <c r="AJ269" i="1"/>
  <c r="X125" i="1"/>
  <c r="AA125" i="1" s="1"/>
  <c r="AJ125" i="1"/>
  <c r="X118" i="1"/>
  <c r="AA118" i="1" s="1"/>
  <c r="AJ118" i="1"/>
  <c r="X946" i="1"/>
  <c r="AA946" i="1" s="1"/>
  <c r="AJ946" i="1"/>
  <c r="X923" i="1"/>
  <c r="AA923" i="1" s="1"/>
  <c r="AJ923" i="1"/>
  <c r="X911" i="1"/>
  <c r="AA911" i="1" s="1"/>
  <c r="AJ911" i="1"/>
  <c r="X744" i="1"/>
  <c r="AA744" i="1" s="1"/>
  <c r="AJ744" i="1"/>
  <c r="X740" i="1"/>
  <c r="AA740" i="1" s="1"/>
  <c r="AJ740" i="1"/>
  <c r="X721" i="1"/>
  <c r="AA721" i="1" s="1"/>
  <c r="AJ721" i="1"/>
  <c r="X604" i="1"/>
  <c r="AA604" i="1" s="1"/>
  <c r="AJ604" i="1"/>
  <c r="X580" i="1"/>
  <c r="AA580" i="1" s="1"/>
  <c r="AJ580" i="1"/>
  <c r="X568" i="1"/>
  <c r="AA568" i="1" s="1"/>
  <c r="AJ568" i="1"/>
  <c r="X564" i="1"/>
  <c r="AA564" i="1" s="1"/>
  <c r="AJ564" i="1"/>
  <c r="X556" i="1"/>
  <c r="AA556" i="1" s="1"/>
  <c r="AJ556" i="1"/>
  <c r="X552" i="1"/>
  <c r="AA552" i="1" s="1"/>
  <c r="AJ552" i="1"/>
  <c r="X74" i="1"/>
  <c r="AA74" i="1" s="1"/>
  <c r="AJ74" i="1"/>
  <c r="X50" i="1"/>
  <c r="AA50" i="1" s="1"/>
  <c r="AJ50" i="1"/>
  <c r="X37" i="1"/>
  <c r="AA37" i="1" s="1"/>
  <c r="AJ37" i="1"/>
  <c r="X17" i="1"/>
  <c r="AA17" i="1" s="1"/>
  <c r="AJ17" i="1"/>
  <c r="X952" i="1"/>
  <c r="AA952" i="1" s="1"/>
  <c r="AJ952" i="1"/>
  <c r="X762" i="1"/>
  <c r="AA762" i="1" s="1"/>
  <c r="AJ762" i="1"/>
  <c r="X758" i="1"/>
  <c r="AA758" i="1" s="1"/>
  <c r="AJ758" i="1"/>
  <c r="X751" i="1"/>
  <c r="AA751" i="1" s="1"/>
  <c r="AJ751" i="1"/>
  <c r="X639" i="1"/>
  <c r="AA639" i="1" s="1"/>
  <c r="AJ639" i="1"/>
  <c r="X627" i="1"/>
  <c r="AA627" i="1" s="1"/>
  <c r="AJ627" i="1"/>
  <c r="AJ224" i="1"/>
  <c r="AJ322" i="1"/>
  <c r="AJ345" i="1"/>
  <c r="AJ252" i="1"/>
  <c r="AJ201" i="1"/>
  <c r="AJ209" i="1"/>
  <c r="AJ560" i="1"/>
  <c r="AJ657" i="1"/>
  <c r="AJ729" i="1"/>
  <c r="X986" i="1"/>
  <c r="AA986" i="1" s="1"/>
  <c r="AJ986" i="1"/>
  <c r="X1031" i="1"/>
  <c r="AA1031" i="1" s="1"/>
  <c r="AJ1031" i="1"/>
  <c r="X908" i="1"/>
  <c r="AA908" i="1" s="1"/>
  <c r="AJ908" i="1"/>
  <c r="X899" i="1"/>
  <c r="AA899" i="1" s="1"/>
  <c r="AJ899" i="1"/>
  <c r="X810" i="1"/>
  <c r="AA810" i="1" s="1"/>
  <c r="AJ810" i="1"/>
  <c r="X791" i="1"/>
  <c r="AA791" i="1" s="1"/>
  <c r="AJ791" i="1"/>
  <c r="X714" i="1"/>
  <c r="AA714" i="1" s="1"/>
  <c r="AJ714" i="1"/>
  <c r="X710" i="1"/>
  <c r="AA710" i="1" s="1"/>
  <c r="AJ710" i="1"/>
  <c r="X703" i="1"/>
  <c r="AA703" i="1" s="1"/>
  <c r="AJ703" i="1"/>
  <c r="X699" i="1"/>
  <c r="AA699" i="1" s="1"/>
  <c r="AJ699" i="1"/>
  <c r="X695" i="1"/>
  <c r="AA695" i="1" s="1"/>
  <c r="AJ695" i="1"/>
  <c r="X545" i="1"/>
  <c r="AA545" i="1" s="1"/>
  <c r="AJ545" i="1"/>
  <c r="X541" i="1"/>
  <c r="AA541" i="1" s="1"/>
  <c r="AJ541" i="1"/>
  <c r="X521" i="1"/>
  <c r="AA521" i="1" s="1"/>
  <c r="AJ521" i="1"/>
  <c r="X517" i="1"/>
  <c r="AA517" i="1" s="1"/>
  <c r="AJ517" i="1"/>
  <c r="X513" i="1"/>
  <c r="AA513" i="1" s="1"/>
  <c r="AJ513" i="1"/>
  <c r="X506" i="1"/>
  <c r="AA506" i="1" s="1"/>
  <c r="AJ506" i="1"/>
  <c r="X502" i="1"/>
  <c r="AA502" i="1" s="1"/>
  <c r="AJ502" i="1"/>
  <c r="X494" i="1"/>
  <c r="AA494" i="1" s="1"/>
  <c r="AJ494" i="1"/>
  <c r="X490" i="1"/>
  <c r="AA490" i="1" s="1"/>
  <c r="AJ490" i="1"/>
  <c r="X482" i="1"/>
  <c r="AA482" i="1" s="1"/>
  <c r="AJ482" i="1"/>
  <c r="X478" i="1"/>
  <c r="AA478" i="1" s="1"/>
  <c r="AJ478" i="1"/>
  <c r="X474" i="1"/>
  <c r="AA474" i="1" s="1"/>
  <c r="AJ474" i="1"/>
  <c r="X470" i="1"/>
  <c r="AA470" i="1" s="1"/>
  <c r="AJ470" i="1"/>
  <c r="X466" i="1"/>
  <c r="AA466" i="1" s="1"/>
  <c r="AJ466" i="1"/>
  <c r="X450" i="1"/>
  <c r="AA450" i="1" s="1"/>
  <c r="AJ450" i="1"/>
  <c r="X446" i="1"/>
  <c r="AA446" i="1" s="1"/>
  <c r="AJ446" i="1"/>
  <c r="X300" i="1"/>
  <c r="AA300" i="1" s="1"/>
  <c r="AJ300" i="1"/>
  <c r="X289" i="1"/>
  <c r="AA289" i="1" s="1"/>
  <c r="AJ289" i="1"/>
  <c r="X286" i="1"/>
  <c r="AA286" i="1" s="1"/>
  <c r="AJ286" i="1"/>
  <c r="X257" i="1"/>
  <c r="AA257" i="1" s="1"/>
  <c r="AJ257" i="1"/>
  <c r="X184" i="1"/>
  <c r="AA184" i="1" s="1"/>
  <c r="AJ184" i="1"/>
  <c r="X180" i="1"/>
  <c r="AA180" i="1" s="1"/>
  <c r="AJ180" i="1"/>
  <c r="X154" i="1"/>
  <c r="AA154" i="1" s="1"/>
  <c r="AJ154" i="1"/>
  <c r="X67" i="1"/>
  <c r="AA67" i="1" s="1"/>
  <c r="AJ67" i="1"/>
  <c r="X63" i="1"/>
  <c r="AA63" i="1" s="1"/>
  <c r="AJ63" i="1"/>
  <c r="X1056" i="1"/>
  <c r="AA1056" i="1" s="1"/>
  <c r="X1022" i="1"/>
  <c r="AA1022" i="1" s="1"/>
  <c r="AJ809" i="1"/>
  <c r="AJ813" i="1"/>
  <c r="AJ820" i="1"/>
  <c r="AJ831" i="1"/>
  <c r="AJ842" i="1"/>
  <c r="AJ1003" i="1"/>
  <c r="AJ1049" i="1"/>
  <c r="AJ951" i="1"/>
  <c r="AJ5" i="1"/>
  <c r="AJ817" i="1"/>
  <c r="AJ926" i="1"/>
  <c r="AJ1029" i="1"/>
  <c r="X1029" i="1"/>
  <c r="AA1029" i="1" s="1"/>
  <c r="X933" i="1"/>
  <c r="AA933" i="1" s="1"/>
  <c r="AJ933" i="1"/>
  <c r="X881" i="1"/>
  <c r="AA881" i="1" s="1"/>
  <c r="AJ881" i="1"/>
  <c r="X834" i="1"/>
  <c r="AA834" i="1" s="1"/>
  <c r="AJ834" i="1"/>
  <c r="X830" i="1"/>
  <c r="AA830" i="1" s="1"/>
  <c r="AJ830" i="1"/>
  <c r="X819" i="1"/>
  <c r="AA819" i="1" s="1"/>
  <c r="AJ819" i="1"/>
  <c r="X665" i="1"/>
  <c r="AA665" i="1" s="1"/>
  <c r="AJ665" i="1"/>
  <c r="AJ616" i="1"/>
  <c r="X616" i="1"/>
  <c r="AA616" i="1" s="1"/>
  <c r="X241" i="1"/>
  <c r="AA241" i="1" s="1"/>
  <c r="AJ241" i="1"/>
  <c r="X231" i="1"/>
  <c r="AA231" i="1" s="1"/>
  <c r="AJ231" i="1"/>
  <c r="X213" i="1"/>
  <c r="AA213" i="1" s="1"/>
  <c r="AJ213" i="1"/>
  <c r="X158" i="1"/>
  <c r="AA158" i="1" s="1"/>
  <c r="AJ158" i="1"/>
  <c r="X140" i="1"/>
  <c r="AA140" i="1" s="1"/>
  <c r="AJ140" i="1"/>
  <c r="X136" i="1"/>
  <c r="AA136" i="1" s="1"/>
  <c r="AJ136" i="1"/>
  <c r="X96" i="1"/>
  <c r="AA96" i="1" s="1"/>
  <c r="AJ96" i="1"/>
  <c r="X70" i="1"/>
  <c r="AA70" i="1" s="1"/>
  <c r="AJ70" i="1"/>
  <c r="AJ197" i="1"/>
  <c r="AJ1024" i="1"/>
  <c r="X1024" i="1"/>
  <c r="AA1024" i="1" s="1"/>
  <c r="AJ172" i="1"/>
  <c r="X1057" i="1"/>
  <c r="AA1057" i="1" s="1"/>
  <c r="AJ1057" i="1"/>
  <c r="AJ306" i="1"/>
  <c r="X922" i="1"/>
  <c r="AA922" i="1" s="1"/>
  <c r="AJ922" i="1"/>
  <c r="X918" i="1"/>
  <c r="AA918" i="1" s="1"/>
  <c r="AJ918" i="1"/>
  <c r="X907" i="1"/>
  <c r="AA907" i="1" s="1"/>
  <c r="AJ907" i="1"/>
  <c r="X901" i="1"/>
  <c r="AA901" i="1" s="1"/>
  <c r="AJ901" i="1"/>
  <c r="AJ840" i="1"/>
  <c r="X840" i="1"/>
  <c r="AA840" i="1" s="1"/>
  <c r="X826" i="1"/>
  <c r="AA826" i="1" s="1"/>
  <c r="AJ826" i="1"/>
  <c r="X790" i="1"/>
  <c r="AA790" i="1" s="1"/>
  <c r="AJ790" i="1"/>
  <c r="X469" i="1"/>
  <c r="AA469" i="1" s="1"/>
  <c r="AJ469" i="1"/>
  <c r="X449" i="1"/>
  <c r="AA449" i="1" s="1"/>
  <c r="AJ449" i="1"/>
  <c r="X313" i="1"/>
  <c r="AA313" i="1" s="1"/>
  <c r="AJ313" i="1"/>
  <c r="X175" i="1"/>
  <c r="AA175" i="1" s="1"/>
  <c r="AJ175" i="1"/>
  <c r="X106" i="1"/>
  <c r="AA106" i="1" s="1"/>
  <c r="AJ106" i="1"/>
  <c r="X12" i="1"/>
  <c r="AA12" i="1" s="1"/>
  <c r="AJ12" i="1"/>
  <c r="X874" i="1"/>
  <c r="AA874" i="1" s="1"/>
  <c r="AJ874" i="1"/>
  <c r="X777" i="1"/>
  <c r="AA777" i="1" s="1"/>
  <c r="AJ777" i="1"/>
  <c r="X725" i="1"/>
  <c r="AA725" i="1" s="1"/>
  <c r="AJ725" i="1"/>
  <c r="X684" i="1"/>
  <c r="AA684" i="1" s="1"/>
  <c r="AJ684" i="1"/>
  <c r="X661" i="1"/>
  <c r="AA661" i="1" s="1"/>
  <c r="AJ661" i="1"/>
  <c r="X612" i="1"/>
  <c r="AA612" i="1" s="1"/>
  <c r="AJ612" i="1"/>
  <c r="X592" i="1"/>
  <c r="AA592" i="1" s="1"/>
  <c r="AJ592" i="1"/>
  <c r="X588" i="1"/>
  <c r="AA588" i="1" s="1"/>
  <c r="AJ588" i="1"/>
  <c r="X584" i="1"/>
  <c r="AA584" i="1" s="1"/>
  <c r="AJ584" i="1"/>
  <c r="X277" i="1"/>
  <c r="AA277" i="1" s="1"/>
  <c r="AJ277" i="1"/>
  <c r="X245" i="1"/>
  <c r="AA245" i="1" s="1"/>
  <c r="AJ245" i="1"/>
  <c r="X193" i="1"/>
  <c r="AA193" i="1" s="1"/>
  <c r="AJ193" i="1"/>
  <c r="X92" i="1"/>
  <c r="AA92" i="1" s="1"/>
  <c r="AJ92" i="1"/>
  <c r="AJ220" i="1"/>
  <c r="AJ419" i="1"/>
  <c r="AJ431" i="1"/>
  <c r="AJ228" i="1"/>
  <c r="AJ572" i="1"/>
  <c r="AJ576" i="1"/>
  <c r="AJ987" i="1"/>
  <c r="AJ892" i="1"/>
  <c r="X1016" i="1"/>
  <c r="AA1016" i="1" s="1"/>
  <c r="AJ1016" i="1"/>
  <c r="AJ928" i="1"/>
  <c r="X928" i="1"/>
  <c r="AA928" i="1" s="1"/>
  <c r="X913" i="1"/>
  <c r="AA913" i="1" s="1"/>
  <c r="AJ913" i="1"/>
  <c r="X909" i="1"/>
  <c r="AA909" i="1" s="1"/>
  <c r="AJ909" i="1"/>
  <c r="X868" i="1"/>
  <c r="AA868" i="1" s="1"/>
  <c r="AJ868" i="1"/>
  <c r="X862" i="1"/>
  <c r="AA862" i="1" s="1"/>
  <c r="AJ862" i="1"/>
  <c r="X852" i="1"/>
  <c r="AA852" i="1" s="1"/>
  <c r="X849" i="1"/>
  <c r="AA849" i="1" s="1"/>
  <c r="AJ849" i="1"/>
  <c r="AJ800" i="1"/>
  <c r="X800" i="1"/>
  <c r="AA800" i="1" s="1"/>
  <c r="X760" i="1"/>
  <c r="AA760" i="1" s="1"/>
  <c r="AJ760" i="1"/>
  <c r="X753" i="1"/>
  <c r="AA753" i="1" s="1"/>
  <c r="AJ753" i="1"/>
  <c r="X749" i="1"/>
  <c r="AA749" i="1" s="1"/>
  <c r="AJ749" i="1"/>
  <c r="X712" i="1"/>
  <c r="AA712" i="1" s="1"/>
  <c r="AJ712" i="1"/>
  <c r="X705" i="1"/>
  <c r="AA705" i="1" s="1"/>
  <c r="AJ705" i="1"/>
  <c r="X701" i="1"/>
  <c r="AA701" i="1" s="1"/>
  <c r="AJ701" i="1"/>
  <c r="X641" i="1"/>
  <c r="AA641" i="1" s="1"/>
  <c r="AJ641" i="1"/>
  <c r="X519" i="1"/>
  <c r="AA519" i="1" s="1"/>
  <c r="AJ519" i="1"/>
  <c r="X496" i="1"/>
  <c r="AA496" i="1" s="1"/>
  <c r="AJ496" i="1"/>
  <c r="X488" i="1"/>
  <c r="AA488" i="1" s="1"/>
  <c r="AJ488" i="1"/>
  <c r="X484" i="1"/>
  <c r="AA484" i="1" s="1"/>
  <c r="AJ484" i="1"/>
  <c r="X480" i="1"/>
  <c r="AA480" i="1" s="1"/>
  <c r="AJ480" i="1"/>
  <c r="X476" i="1"/>
  <c r="AA476" i="1" s="1"/>
  <c r="AJ476" i="1"/>
  <c r="X336" i="1"/>
  <c r="AA336" i="1" s="1"/>
  <c r="AJ336" i="1"/>
  <c r="X294" i="1"/>
  <c r="AA294" i="1" s="1"/>
  <c r="AJ294" i="1"/>
  <c r="X259" i="1"/>
  <c r="AA259" i="1" s="1"/>
  <c r="AJ259" i="1"/>
  <c r="X256" i="1"/>
  <c r="AA256" i="1" s="1"/>
  <c r="AJ256" i="1"/>
  <c r="X156" i="1"/>
  <c r="AA156" i="1" s="1"/>
  <c r="AJ156" i="1"/>
  <c r="X116" i="1"/>
  <c r="AA116" i="1" s="1"/>
  <c r="AJ116" i="1"/>
  <c r="X45" i="1"/>
  <c r="AA45" i="1" s="1"/>
  <c r="AJ45" i="1"/>
  <c r="X940" i="1"/>
  <c r="AA940" i="1" s="1"/>
  <c r="X937" i="1"/>
  <c r="AA937" i="1" s="1"/>
  <c r="AJ937" i="1"/>
  <c r="X930" i="1"/>
  <c r="AA930" i="1" s="1"/>
  <c r="X927" i="1"/>
  <c r="AA927" i="1" s="1"/>
  <c r="AJ927" i="1"/>
  <c r="X878" i="1"/>
  <c r="AA878" i="1" s="1"/>
  <c r="AJ878" i="1"/>
  <c r="X875" i="1"/>
  <c r="AA875" i="1" s="1"/>
  <c r="AJ875" i="1"/>
  <c r="X871" i="1"/>
  <c r="AA871" i="1" s="1"/>
  <c r="AJ871" i="1"/>
  <c r="X855" i="1"/>
  <c r="AA855" i="1" s="1"/>
  <c r="AJ855" i="1"/>
  <c r="X802" i="1"/>
  <c r="AA802" i="1" s="1"/>
  <c r="X771" i="1"/>
  <c r="AA771" i="1" s="1"/>
  <c r="AJ771" i="1"/>
  <c r="X722" i="1"/>
  <c r="AA722" i="1" s="1"/>
  <c r="AJ722" i="1"/>
  <c r="X565" i="1"/>
  <c r="AA565" i="1" s="1"/>
  <c r="AJ565" i="1"/>
  <c r="X561" i="1"/>
  <c r="AA561" i="1" s="1"/>
  <c r="AJ561" i="1"/>
  <c r="X553" i="1"/>
  <c r="AA553" i="1" s="1"/>
  <c r="AJ553" i="1"/>
  <c r="X538" i="1"/>
  <c r="AA538" i="1" s="1"/>
  <c r="AJ538" i="1"/>
  <c r="X271" i="1"/>
  <c r="AA271" i="1" s="1"/>
  <c r="AJ271" i="1"/>
  <c r="X268" i="1"/>
  <c r="AA268" i="1" s="1"/>
  <c r="AJ268" i="1"/>
  <c r="X265" i="1"/>
  <c r="AA265" i="1" s="1"/>
  <c r="AJ265" i="1"/>
  <c r="X198" i="1"/>
  <c r="AA198" i="1" s="1"/>
  <c r="AJ198" i="1"/>
  <c r="X187" i="1"/>
  <c r="AA187" i="1" s="1"/>
  <c r="AJ187" i="1"/>
  <c r="X86" i="1"/>
  <c r="AA86" i="1" s="1"/>
  <c r="AJ86" i="1"/>
  <c r="X776" i="1"/>
  <c r="AA776" i="1" s="1"/>
  <c r="X770" i="1"/>
  <c r="AA770" i="1" s="1"/>
  <c r="X387" i="1"/>
  <c r="AA387" i="1" s="1"/>
  <c r="AJ971" i="1"/>
  <c r="AJ973" i="1"/>
  <c r="AJ994" i="1"/>
  <c r="AJ985" i="1"/>
  <c r="X985" i="1"/>
  <c r="AA985" i="1" s="1"/>
  <c r="X938" i="1"/>
  <c r="AA938" i="1" s="1"/>
  <c r="AJ938" i="1"/>
  <c r="X288" i="1"/>
  <c r="AA288" i="1" s="1"/>
  <c r="AJ288" i="1"/>
  <c r="X283" i="1"/>
  <c r="AA283" i="1" s="1"/>
  <c r="AJ283" i="1"/>
  <c r="X965" i="1"/>
  <c r="AA965" i="1" s="1"/>
  <c r="AJ251" i="1"/>
  <c r="AJ381" i="1"/>
  <c r="AJ388" i="1"/>
  <c r="AJ396" i="1"/>
  <c r="AJ504" i="1"/>
  <c r="AJ253" i="1"/>
  <c r="AJ694" i="1"/>
  <c r="AJ718" i="1"/>
  <c r="AJ743" i="1"/>
  <c r="AJ746" i="1"/>
  <c r="AJ767" i="1"/>
  <c r="AJ786" i="1"/>
  <c r="AJ832" i="1"/>
  <c r="AJ870" i="1"/>
  <c r="X1023" i="1"/>
  <c r="AA1023" i="1" s="1"/>
  <c r="AJ1023" i="1"/>
  <c r="AJ149" i="1"/>
  <c r="AJ935" i="1"/>
  <c r="AJ896" i="1"/>
  <c r="X896" i="1"/>
  <c r="AA896" i="1" s="1"/>
  <c r="X296" i="1"/>
  <c r="AA296" i="1" s="1"/>
  <c r="AJ296" i="1"/>
  <c r="X174" i="1"/>
  <c r="AA174" i="1" s="1"/>
  <c r="AJ174" i="1"/>
  <c r="X171" i="1"/>
  <c r="AA171" i="1" s="1"/>
  <c r="AJ171" i="1"/>
  <c r="X981" i="1"/>
  <c r="AA981" i="1" s="1"/>
  <c r="X1011" i="1"/>
  <c r="AA1011" i="1" s="1"/>
  <c r="AJ204" i="1"/>
  <c r="AJ217" i="1"/>
  <c r="AJ11" i="1"/>
  <c r="AJ374" i="1"/>
  <c r="AJ23" i="1"/>
  <c r="AJ392" i="1"/>
  <c r="AJ400" i="1"/>
  <c r="AJ407" i="1"/>
  <c r="AJ30" i="1"/>
  <c r="AJ38" i="1"/>
  <c r="AJ515" i="1"/>
  <c r="AJ651" i="1"/>
  <c r="AJ664" i="1"/>
  <c r="AJ673" i="1"/>
  <c r="AJ764" i="1"/>
  <c r="AJ792" i="1"/>
  <c r="AJ795" i="1"/>
  <c r="AJ121" i="1"/>
  <c r="AJ890" i="1"/>
  <c r="AJ285" i="1"/>
  <c r="AJ947" i="1"/>
  <c r="X953" i="1"/>
  <c r="AA953" i="1" s="1"/>
  <c r="AJ953" i="1"/>
  <c r="X949" i="1"/>
  <c r="AA949" i="1" s="1"/>
  <c r="AJ949" i="1"/>
  <c r="X943" i="1"/>
  <c r="AA943" i="1" s="1"/>
  <c r="AJ943" i="1"/>
  <c r="X914" i="1"/>
  <c r="AA914" i="1" s="1"/>
  <c r="AJ914" i="1"/>
  <c r="X301" i="1"/>
  <c r="AA301" i="1" s="1"/>
  <c r="AJ301" i="1"/>
  <c r="X275" i="1"/>
  <c r="AA275" i="1" s="1"/>
  <c r="AJ275" i="1"/>
  <c r="X291" i="1"/>
  <c r="AA291" i="1" s="1"/>
  <c r="AJ291" i="1"/>
  <c r="AJ873" i="1"/>
  <c r="X1038" i="1"/>
  <c r="AA1038" i="1" s="1"/>
  <c r="AJ1038" i="1"/>
  <c r="AJ530" i="1"/>
  <c r="AJ537" i="1"/>
  <c r="AJ676" i="1"/>
  <c r="AJ704" i="1"/>
  <c r="AJ95" i="1"/>
  <c r="AJ773" i="1"/>
  <c r="AJ102" i="1"/>
  <c r="AJ812" i="1"/>
  <c r="AJ124" i="1"/>
  <c r="AJ262" i="1"/>
  <c r="AJ264" i="1"/>
  <c r="AJ879" i="1"/>
  <c r="AJ880" i="1"/>
  <c r="AJ885" i="1"/>
  <c r="AJ916" i="1"/>
  <c r="AF964" i="1"/>
  <c r="AJ964" i="1" s="1"/>
  <c r="X1060" i="1"/>
  <c r="AA1060" i="1" s="1"/>
  <c r="X977" i="1"/>
  <c r="AA977" i="1" s="1"/>
  <c r="X1030" i="1"/>
  <c r="AA1030" i="1" s="1"/>
  <c r="AJ202" i="1"/>
  <c r="AF963" i="1"/>
  <c r="AJ963" i="1" s="1"/>
  <c r="AJ214" i="1"/>
  <c r="AJ4" i="1"/>
  <c r="AJ19" i="1"/>
  <c r="AJ378" i="1"/>
  <c r="AJ385" i="1"/>
  <c r="AJ411" i="1"/>
  <c r="AJ418" i="1"/>
  <c r="AJ511" i="1"/>
  <c r="AJ615" i="1"/>
  <c r="AJ630" i="1"/>
  <c r="AJ73" i="1"/>
  <c r="AJ698" i="1"/>
  <c r="AJ85" i="1"/>
  <c r="AJ785" i="1"/>
  <c r="AJ801" i="1"/>
  <c r="AJ804" i="1"/>
  <c r="AJ815" i="1"/>
  <c r="AJ825" i="1"/>
  <c r="AJ886" i="1"/>
  <c r="AJ889" i="1"/>
  <c r="AJ145" i="1"/>
  <c r="AJ152" i="1"/>
  <c r="AJ168" i="1"/>
  <c r="AJ1052" i="1"/>
  <c r="AJ768" i="1"/>
  <c r="X768" i="1"/>
  <c r="AA768" i="1" s="1"/>
  <c r="X278" i="1"/>
  <c r="AA278" i="1" s="1"/>
  <c r="AJ278" i="1"/>
  <c r="X736" i="1"/>
  <c r="AA736" i="1" s="1"/>
  <c r="X672" i="1"/>
  <c r="AA672" i="1" s="1"/>
  <c r="X608" i="1"/>
  <c r="AA608" i="1" s="1"/>
  <c r="AJ998" i="1"/>
  <c r="X998" i="1"/>
  <c r="AA998" i="1" s="1"/>
  <c r="X925" i="1"/>
  <c r="AA925" i="1" s="1"/>
  <c r="AJ925" i="1"/>
  <c r="X803" i="1"/>
  <c r="AA803" i="1" s="1"/>
  <c r="AJ803" i="1"/>
  <c r="X797" i="1"/>
  <c r="AA797" i="1" s="1"/>
  <c r="AJ797" i="1"/>
  <c r="X739" i="1"/>
  <c r="AA739" i="1" s="1"/>
  <c r="AJ739" i="1"/>
  <c r="X678" i="1"/>
  <c r="AA678" i="1" s="1"/>
  <c r="AJ678" i="1"/>
  <c r="X675" i="1"/>
  <c r="AA675" i="1" s="1"/>
  <c r="AJ675" i="1"/>
  <c r="X373" i="1"/>
  <c r="AA373" i="1" s="1"/>
  <c r="AJ373" i="1"/>
  <c r="X250" i="1"/>
  <c r="AA250" i="1" s="1"/>
  <c r="AJ250" i="1"/>
  <c r="X54" i="1"/>
  <c r="AA54" i="1" s="1"/>
  <c r="AJ54" i="1"/>
  <c r="X1058" i="1"/>
  <c r="AA1058" i="1" s="1"/>
  <c r="AJ366" i="1"/>
  <c r="AJ395" i="1"/>
  <c r="X1013" i="1"/>
  <c r="AA1013" i="1" s="1"/>
  <c r="AJ1013" i="1"/>
  <c r="AJ298" i="1"/>
  <c r="X931" i="1"/>
  <c r="AA931" i="1" s="1"/>
  <c r="AJ931" i="1"/>
  <c r="X742" i="1"/>
  <c r="AA742" i="1" s="1"/>
  <c r="AJ742" i="1"/>
  <c r="X1062" i="1"/>
  <c r="AA1062" i="1" s="1"/>
  <c r="AJ1062" i="1"/>
  <c r="X869" i="1"/>
  <c r="AA869" i="1" s="1"/>
  <c r="AJ869" i="1"/>
  <c r="AJ372" i="1"/>
  <c r="X1000" i="1"/>
  <c r="AA1000" i="1" s="1"/>
  <c r="AJ1000" i="1"/>
  <c r="X1028" i="1"/>
  <c r="AA1028" i="1" s="1"/>
  <c r="AJ1028" i="1"/>
  <c r="X902" i="1"/>
  <c r="AA902" i="1" s="1"/>
  <c r="AJ902" i="1"/>
  <c r="X838" i="1"/>
  <c r="AA838" i="1" s="1"/>
  <c r="AJ838" i="1"/>
  <c r="X707" i="1"/>
  <c r="AA707" i="1" s="1"/>
  <c r="AJ707" i="1"/>
  <c r="X646" i="1"/>
  <c r="AA646" i="1" s="1"/>
  <c r="AJ646" i="1"/>
  <c r="X643" i="1"/>
  <c r="AA643" i="1" s="1"/>
  <c r="AJ643" i="1"/>
  <c r="X512" i="1"/>
  <c r="AA512" i="1" s="1"/>
  <c r="AJ512" i="1"/>
  <c r="X508" i="1"/>
  <c r="AA508" i="1" s="1"/>
  <c r="AJ508" i="1"/>
  <c r="X505" i="1"/>
  <c r="AA505" i="1" s="1"/>
  <c r="AJ505" i="1"/>
  <c r="X501" i="1"/>
  <c r="AA501" i="1" s="1"/>
  <c r="AJ501" i="1"/>
  <c r="X498" i="1"/>
  <c r="AA498" i="1" s="1"/>
  <c r="AJ498" i="1"/>
  <c r="X486" i="1"/>
  <c r="AA486" i="1" s="1"/>
  <c r="AJ486" i="1"/>
  <c r="X225" i="1"/>
  <c r="AA225" i="1" s="1"/>
  <c r="AJ225" i="1"/>
  <c r="X1039" i="1"/>
  <c r="AA1039" i="1" s="1"/>
  <c r="AJ1039" i="1"/>
  <c r="X934" i="1"/>
  <c r="AA934" i="1" s="1"/>
  <c r="AJ934" i="1"/>
  <c r="X867" i="1"/>
  <c r="AA867" i="1" s="1"/>
  <c r="AJ867" i="1"/>
  <c r="X861" i="1"/>
  <c r="AA861" i="1" s="1"/>
  <c r="AJ861" i="1"/>
  <c r="X733" i="1"/>
  <c r="AA733" i="1" s="1"/>
  <c r="AJ733" i="1"/>
  <c r="X669" i="1"/>
  <c r="AA669" i="1" s="1"/>
  <c r="AJ669" i="1"/>
  <c r="X614" i="1"/>
  <c r="AA614" i="1" s="1"/>
  <c r="AJ614" i="1"/>
  <c r="X605" i="1"/>
  <c r="AA605" i="1" s="1"/>
  <c r="AJ605" i="1"/>
  <c r="X293" i="1"/>
  <c r="AA293" i="1" s="1"/>
  <c r="AJ293" i="1"/>
  <c r="X266" i="1"/>
  <c r="AA266" i="1" s="1"/>
  <c r="AJ266" i="1"/>
  <c r="X261" i="1"/>
  <c r="AA261" i="1" s="1"/>
  <c r="AJ261" i="1"/>
  <c r="X255" i="1"/>
  <c r="AA255" i="1" s="1"/>
  <c r="AJ255" i="1"/>
  <c r="X60" i="1"/>
  <c r="AA60" i="1" s="1"/>
  <c r="AJ60" i="1"/>
  <c r="X1004" i="1"/>
  <c r="AA1004" i="1" s="1"/>
  <c r="AJ1004" i="1"/>
  <c r="AJ290" i="1"/>
  <c r="X942" i="1"/>
  <c r="AA942" i="1" s="1"/>
  <c r="AJ942" i="1"/>
  <c r="X805" i="1"/>
  <c r="AA805" i="1" s="1"/>
  <c r="AJ805" i="1"/>
  <c r="X750" i="1"/>
  <c r="AA750" i="1" s="1"/>
  <c r="AJ750" i="1"/>
  <c r="X747" i="1"/>
  <c r="AA747" i="1" s="1"/>
  <c r="AJ747" i="1"/>
  <c r="X619" i="1"/>
  <c r="AA619" i="1" s="1"/>
  <c r="AJ619" i="1"/>
  <c r="AJ483" i="1"/>
  <c r="X483" i="1"/>
  <c r="AA483" i="1" s="1"/>
  <c r="X479" i="1"/>
  <c r="AA479" i="1" s="1"/>
  <c r="AJ479" i="1"/>
  <c r="X409" i="1"/>
  <c r="AA409" i="1" s="1"/>
  <c r="AJ409" i="1"/>
  <c r="X390" i="1"/>
  <c r="AA390" i="1" s="1"/>
  <c r="AJ390" i="1"/>
  <c r="X383" i="1"/>
  <c r="AA383" i="1" s="1"/>
  <c r="AJ383" i="1"/>
  <c r="X369" i="1"/>
  <c r="AA369" i="1" s="1"/>
  <c r="AJ369" i="1"/>
  <c r="X365" i="1"/>
  <c r="AA365" i="1" s="1"/>
  <c r="AJ365" i="1"/>
  <c r="X297" i="1"/>
  <c r="AA297" i="1" s="1"/>
  <c r="AJ297" i="1"/>
  <c r="X295" i="1"/>
  <c r="AA295" i="1" s="1"/>
  <c r="AJ295" i="1"/>
  <c r="X177" i="1"/>
  <c r="AA177" i="1" s="1"/>
  <c r="AJ177" i="1"/>
  <c r="X148" i="1"/>
  <c r="AA148" i="1" s="1"/>
  <c r="AJ148" i="1"/>
  <c r="X135" i="1"/>
  <c r="AA135" i="1" s="1"/>
  <c r="AJ135" i="1"/>
  <c r="X131" i="1"/>
  <c r="AA131" i="1" s="1"/>
  <c r="AJ131" i="1"/>
  <c r="X94" i="1"/>
  <c r="AA94" i="1" s="1"/>
  <c r="AJ94" i="1"/>
  <c r="X82" i="1"/>
  <c r="AA82" i="1" s="1"/>
  <c r="AJ82" i="1"/>
  <c r="AF959" i="1"/>
  <c r="AJ959" i="1" s="1"/>
  <c r="X1045" i="1"/>
  <c r="AA1045" i="1" s="1"/>
  <c r="X1021" i="1"/>
  <c r="AA1021" i="1" s="1"/>
  <c r="X1006" i="1"/>
  <c r="AA1006" i="1" s="1"/>
  <c r="X972" i="1"/>
  <c r="AA972" i="1" s="1"/>
  <c r="AJ358" i="1"/>
  <c r="AJ362" i="1"/>
  <c r="AJ384" i="1"/>
  <c r="AJ613" i="1"/>
  <c r="AJ622" i="1"/>
  <c r="AJ282" i="1"/>
  <c r="AJ939" i="1"/>
  <c r="AJ287" i="1"/>
  <c r="X983" i="1"/>
  <c r="AA983" i="1" s="1"/>
  <c r="AJ248" i="1"/>
  <c r="AJ376" i="1"/>
  <c r="AJ380" i="1"/>
  <c r="AJ416" i="1"/>
  <c r="AJ423" i="1"/>
  <c r="AJ427" i="1"/>
  <c r="AJ461" i="1"/>
  <c r="X980" i="1"/>
  <c r="AA980" i="1" s="1"/>
  <c r="AJ980" i="1"/>
  <c r="AJ741" i="1"/>
  <c r="AJ258" i="1"/>
  <c r="AJ806" i="1"/>
  <c r="AJ824" i="1"/>
  <c r="X993" i="1"/>
  <c r="AA993" i="1" s="1"/>
  <c r="AJ993" i="1"/>
  <c r="AJ132" i="1"/>
  <c r="AJ888" i="1"/>
  <c r="AJ305" i="1"/>
  <c r="X910" i="1"/>
  <c r="AA910" i="1" s="1"/>
  <c r="AJ910" i="1"/>
  <c r="X846" i="1"/>
  <c r="AA846" i="1" s="1"/>
  <c r="AJ846" i="1"/>
  <c r="X843" i="1"/>
  <c r="AA843" i="1" s="1"/>
  <c r="AJ843" i="1"/>
  <c r="X837" i="1"/>
  <c r="AA837" i="1" s="1"/>
  <c r="AJ837" i="1"/>
  <c r="X782" i="1"/>
  <c r="AA782" i="1" s="1"/>
  <c r="AJ782" i="1"/>
  <c r="X779" i="1"/>
  <c r="AA779" i="1" s="1"/>
  <c r="AJ779" i="1"/>
  <c r="X728" i="1"/>
  <c r="AA728" i="1" s="1"/>
  <c r="AJ728" i="1"/>
  <c r="X715" i="1"/>
  <c r="AA715" i="1" s="1"/>
  <c r="AJ715" i="1"/>
  <c r="X709" i="1"/>
  <c r="AA709" i="1" s="1"/>
  <c r="AJ709" i="1"/>
  <c r="X654" i="1"/>
  <c r="AA654" i="1" s="1"/>
  <c r="AJ654" i="1"/>
  <c r="X600" i="1"/>
  <c r="AA600" i="1" s="1"/>
  <c r="AJ600" i="1"/>
  <c r="X596" i="1"/>
  <c r="AA596" i="1" s="1"/>
  <c r="AJ596" i="1"/>
  <c r="X593" i="1"/>
  <c r="AA593" i="1" s="1"/>
  <c r="AJ593" i="1"/>
  <c r="X555" i="1"/>
  <c r="AA555" i="1" s="1"/>
  <c r="AJ555" i="1"/>
  <c r="X551" i="1"/>
  <c r="AA551" i="1" s="1"/>
  <c r="AJ551" i="1"/>
  <c r="X533" i="1"/>
  <c r="AA533" i="1" s="1"/>
  <c r="AJ533" i="1"/>
  <c r="X518" i="1"/>
  <c r="AA518" i="1" s="1"/>
  <c r="AJ518" i="1"/>
  <c r="X497" i="1"/>
  <c r="AA497" i="1" s="1"/>
  <c r="AJ497" i="1"/>
  <c r="X493" i="1"/>
  <c r="AA493" i="1" s="1"/>
  <c r="AJ493" i="1"/>
  <c r="X333" i="1"/>
  <c r="AA333" i="1" s="1"/>
  <c r="AJ333" i="1"/>
  <c r="AJ280" i="1"/>
  <c r="X280" i="1"/>
  <c r="AA280" i="1" s="1"/>
  <c r="X205" i="1"/>
  <c r="AA205" i="1" s="1"/>
  <c r="AJ205" i="1"/>
  <c r="X186" i="1"/>
  <c r="AA186" i="1" s="1"/>
  <c r="AJ186" i="1"/>
  <c r="X950" i="1"/>
  <c r="AA950" i="1" s="1"/>
  <c r="AJ950" i="1"/>
  <c r="X944" i="1"/>
  <c r="AA944" i="1" s="1"/>
  <c r="X941" i="1"/>
  <c r="AA941" i="1" s="1"/>
  <c r="AJ941" i="1"/>
  <c r="X915" i="1"/>
  <c r="AA915" i="1" s="1"/>
  <c r="AJ915" i="1"/>
  <c r="X883" i="1"/>
  <c r="AA883" i="1" s="1"/>
  <c r="AJ883" i="1"/>
  <c r="X877" i="1"/>
  <c r="AA877" i="1" s="1"/>
  <c r="AJ877" i="1"/>
  <c r="X851" i="1"/>
  <c r="AA851" i="1" s="1"/>
  <c r="AJ851" i="1"/>
  <c r="X816" i="1"/>
  <c r="AA816" i="1" s="1"/>
  <c r="X787" i="1"/>
  <c r="AA787" i="1" s="1"/>
  <c r="AJ787" i="1"/>
  <c r="X720" i="1"/>
  <c r="AA720" i="1" s="1"/>
  <c r="X717" i="1"/>
  <c r="AA717" i="1" s="1"/>
  <c r="AJ717" i="1"/>
  <c r="X691" i="1"/>
  <c r="AA691" i="1" s="1"/>
  <c r="AJ691" i="1"/>
  <c r="X662" i="1"/>
  <c r="AA662" i="1" s="1"/>
  <c r="AJ662" i="1"/>
  <c r="X624" i="1"/>
  <c r="AA624" i="1" s="1"/>
  <c r="X569" i="1"/>
  <c r="AA569" i="1" s="1"/>
  <c r="AJ569" i="1"/>
  <c r="X562" i="1"/>
  <c r="AA562" i="1" s="1"/>
  <c r="AJ562" i="1"/>
  <c r="X558" i="1"/>
  <c r="AA558" i="1" s="1"/>
  <c r="AJ558" i="1"/>
  <c r="X543" i="1"/>
  <c r="AA543" i="1" s="1"/>
  <c r="AJ543" i="1"/>
  <c r="X536" i="1"/>
  <c r="AA536" i="1" s="1"/>
  <c r="AJ536" i="1"/>
  <c r="X525" i="1"/>
  <c r="AA525" i="1" s="1"/>
  <c r="AJ525" i="1"/>
  <c r="X276" i="1"/>
  <c r="AA276" i="1" s="1"/>
  <c r="AJ276" i="1"/>
  <c r="X166" i="1"/>
  <c r="AA166" i="1" s="1"/>
  <c r="AJ166" i="1"/>
  <c r="X93" i="1"/>
  <c r="AA93" i="1" s="1"/>
  <c r="AJ93" i="1"/>
  <c r="X81" i="1"/>
  <c r="AA81" i="1" s="1"/>
  <c r="AJ81" i="1"/>
  <c r="X894" i="1"/>
  <c r="AA894" i="1" s="1"/>
  <c r="AJ894" i="1"/>
  <c r="X891" i="1"/>
  <c r="AA891" i="1" s="1"/>
  <c r="AJ891" i="1"/>
  <c r="X859" i="1"/>
  <c r="AA859" i="1" s="1"/>
  <c r="AJ859" i="1"/>
  <c r="X853" i="1"/>
  <c r="AA853" i="1" s="1"/>
  <c r="AJ853" i="1"/>
  <c r="X827" i="1"/>
  <c r="AA827" i="1" s="1"/>
  <c r="AJ827" i="1"/>
  <c r="X821" i="1"/>
  <c r="AA821" i="1" s="1"/>
  <c r="AJ821" i="1"/>
  <c r="X798" i="1"/>
  <c r="AA798" i="1" s="1"/>
  <c r="AJ798" i="1"/>
  <c r="X638" i="1"/>
  <c r="AA638" i="1" s="1"/>
  <c r="AJ638" i="1"/>
  <c r="X603" i="1"/>
  <c r="AA603" i="1" s="1"/>
  <c r="AJ603" i="1"/>
  <c r="X458" i="1"/>
  <c r="AA458" i="1" s="1"/>
  <c r="AJ458" i="1"/>
  <c r="X115" i="1"/>
  <c r="AA115" i="1" s="1"/>
  <c r="AJ115" i="1"/>
  <c r="X58" i="1"/>
  <c r="AA58" i="1" s="1"/>
  <c r="AJ58" i="1"/>
  <c r="AJ1041" i="1"/>
  <c r="X1041" i="1"/>
  <c r="AA1041" i="1" s="1"/>
  <c r="AJ976" i="1"/>
  <c r="X976" i="1"/>
  <c r="AA976" i="1" s="1"/>
  <c r="AJ1034" i="1"/>
  <c r="X1034" i="1"/>
  <c r="AA1034" i="1" s="1"/>
  <c r="AJ967" i="1"/>
  <c r="X967" i="1"/>
  <c r="AA967" i="1" s="1"/>
  <c r="AJ991" i="1"/>
  <c r="X991" i="1"/>
  <c r="AA991" i="1" s="1"/>
  <c r="AJ1017" i="1"/>
  <c r="X1017" i="1"/>
  <c r="AA1017" i="1" s="1"/>
  <c r="AJ1026" i="1"/>
  <c r="X1026" i="1"/>
  <c r="AA1026" i="1" s="1"/>
  <c r="AJ1047" i="1"/>
  <c r="X1047" i="1"/>
  <c r="AA1047" i="1" s="1"/>
  <c r="AJ1002" i="1"/>
  <c r="X1002" i="1"/>
  <c r="AA1002" i="1" s="1"/>
  <c r="AJ984" i="1"/>
  <c r="X984" i="1"/>
  <c r="AA984" i="1" s="1"/>
  <c r="AJ1053" i="1"/>
  <c r="X1053" i="1"/>
  <c r="AA1053" i="1" s="1"/>
  <c r="AJ1008" i="1"/>
  <c r="X1008" i="1"/>
  <c r="AA1008" i="1" s="1"/>
  <c r="AJ1043" i="1"/>
  <c r="X1043" i="1"/>
  <c r="AA1043" i="1" s="1"/>
  <c r="AJ968" i="1"/>
  <c r="X968" i="1"/>
  <c r="AA968" i="1" s="1"/>
  <c r="AJ966" i="1"/>
  <c r="X966" i="1"/>
  <c r="AA966" i="1" s="1"/>
  <c r="X1051" i="1"/>
  <c r="AA1051" i="1" s="1"/>
  <c r="X1018" i="1"/>
  <c r="AA1018" i="1" s="1"/>
  <c r="X1001" i="1"/>
  <c r="AA1001" i="1" s="1"/>
  <c r="X988" i="1"/>
  <c r="AA988" i="1" s="1"/>
  <c r="X974" i="1"/>
  <c r="AA974" i="1" s="1"/>
  <c r="X1037" i="1"/>
  <c r="AA1037" i="1" s="1"/>
  <c r="X1059" i="1"/>
  <c r="AA1059" i="1" s="1"/>
  <c r="X1046" i="1"/>
  <c r="AA1046" i="1" s="1"/>
  <c r="X1035" i="1"/>
  <c r="AA1035" i="1" s="1"/>
  <c r="X1027" i="1"/>
  <c r="AA1027" i="1" s="1"/>
  <c r="X1010" i="1"/>
  <c r="AA1010" i="1" s="1"/>
  <c r="X995" i="1"/>
  <c r="AA995" i="1" s="1"/>
  <c r="X978" i="1"/>
  <c r="AA978" i="1" s="1"/>
  <c r="X1042" i="1"/>
  <c r="AA1042" i="1" s="1"/>
  <c r="X1015" i="1"/>
  <c r="AA1015" i="1" s="1"/>
  <c r="X1005" i="1"/>
  <c r="AA1005" i="1" s="1"/>
  <c r="X990" i="1"/>
  <c r="AA990" i="1" s="1"/>
  <c r="X975" i="1"/>
  <c r="AA975" i="1" s="1"/>
  <c r="AJ970" i="1"/>
  <c r="AJ979" i="1"/>
  <c r="AJ997" i="1"/>
  <c r="AJ1009" i="1"/>
  <c r="X1009" i="1"/>
  <c r="AA1009" i="1" s="1"/>
  <c r="AJ1019" i="1"/>
  <c r="AJ1020" i="1"/>
  <c r="X1020" i="1"/>
  <c r="AA1020" i="1" s="1"/>
  <c r="AJ1055" i="1"/>
  <c r="X1055" i="1"/>
  <c r="AA1055" i="1" s="1"/>
  <c r="AJ1063" i="1"/>
  <c r="AJ1054" i="1"/>
  <c r="X1054" i="1"/>
  <c r="AA1054" i="1" s="1"/>
  <c r="AJ982" i="1"/>
  <c r="AJ989" i="1"/>
  <c r="AJ999" i="1"/>
  <c r="X999" i="1"/>
  <c r="AA999" i="1" s="1"/>
  <c r="AJ1012" i="1"/>
  <c r="X1012" i="1"/>
  <c r="AA1012" i="1" s="1"/>
  <c r="AJ1014" i="1"/>
  <c r="AJ1025" i="1"/>
  <c r="X1025" i="1"/>
  <c r="AA1025" i="1" s="1"/>
  <c r="AJ1032" i="1"/>
  <c r="AJ1033" i="1"/>
  <c r="X1033" i="1"/>
  <c r="AA1033" i="1" s="1"/>
  <c r="AJ1040" i="1"/>
  <c r="AJ1044" i="1"/>
  <c r="X1044" i="1"/>
  <c r="AA1044" i="1" s="1"/>
  <c r="AJ1048" i="1"/>
  <c r="AG25" i="32" l="1"/>
  <c r="AG24" i="32"/>
  <c r="AJ26" i="32"/>
  <c r="AJ25" i="32"/>
  <c r="AJ27" i="32" s="1"/>
  <c r="AG26" i="32"/>
  <c r="AG23" i="32"/>
  <c r="AG27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tc={6C079C5A-11C8-4DA3-A026-FA7CA3D03725}</author>
  </authors>
  <commentList>
    <comment ref="H1" authorId="0" shapeId="0" xr:uid="{6C079C5A-11C8-4DA3-A026-FA7CA3D03725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de prélèvement:
Jgd: hunting
Mamjja: spring and sommer catch
Son: automn catch</t>
      </text>
    </comment>
  </commentList>
</comments>
</file>

<file path=xl/sharedStrings.xml><?xml version="1.0" encoding="utf-8"?>
<sst xmlns="http://schemas.openxmlformats.org/spreadsheetml/2006/main" count="23150" uniqueCount="2869">
  <si>
    <t>ID</t>
  </si>
  <si>
    <t>NO</t>
  </si>
  <si>
    <t>KANTON</t>
  </si>
  <si>
    <t>PR</t>
  </si>
  <si>
    <t>ADULTE</t>
  </si>
  <si>
    <t>JUVENIL</t>
  </si>
  <si>
    <t>GEWICHT</t>
  </si>
  <si>
    <t>BEMERKUNGEN</t>
  </si>
  <si>
    <t>dH_scaled</t>
  </si>
  <si>
    <t>reg_dH</t>
  </si>
  <si>
    <t>dC</t>
  </si>
  <si>
    <t>dN</t>
  </si>
  <si>
    <t>ANKEFR-1</t>
  </si>
  <si>
    <t>NE</t>
  </si>
  <si>
    <t>Buttes</t>
  </si>
  <si>
    <t>Abschuss</t>
  </si>
  <si>
    <t>NA</t>
  </si>
  <si>
    <t>ANKEFR-2</t>
  </si>
  <si>
    <t>ANKEFR-3</t>
  </si>
  <si>
    <t>Les Verrières</t>
  </si>
  <si>
    <t>ANKEFR-4</t>
  </si>
  <si>
    <t>La Brévine</t>
  </si>
  <si>
    <t>La Paroisse</t>
  </si>
  <si>
    <t>ANKEFR-5</t>
  </si>
  <si>
    <t>Le Pâquier</t>
  </si>
  <si>
    <t>Cernier</t>
  </si>
  <si>
    <t>Les Geneveys-sur-Coffrane</t>
  </si>
  <si>
    <t>Grande Racine</t>
  </si>
  <si>
    <t>Le Gurnigel</t>
  </si>
  <si>
    <t>Les Ponts-de-Martel</t>
  </si>
  <si>
    <t>FR</t>
  </si>
  <si>
    <t>Riaz</t>
  </si>
  <si>
    <t>BLANDA3</t>
  </si>
  <si>
    <t>BLANDA4</t>
  </si>
  <si>
    <t>Gibloux</t>
  </si>
  <si>
    <t>Les Paccots</t>
  </si>
  <si>
    <t>DENEPA1</t>
  </si>
  <si>
    <t>Sâles</t>
  </si>
  <si>
    <t>DENEPA2</t>
  </si>
  <si>
    <t>Vaulruz</t>
  </si>
  <si>
    <t>DENEPA4</t>
  </si>
  <si>
    <t>Mézières</t>
  </si>
  <si>
    <t>Siviriez</t>
  </si>
  <si>
    <t>Cerniat</t>
  </si>
  <si>
    <t>MEISTHE1</t>
  </si>
  <si>
    <t>La Chaux-de-Fonds</t>
  </si>
  <si>
    <t>Le Maillard</t>
  </si>
  <si>
    <t>Brot-Plamboz</t>
  </si>
  <si>
    <t>Couvet</t>
  </si>
  <si>
    <t>Mont Brenin</t>
  </si>
  <si>
    <t>MEISTHE2</t>
  </si>
  <si>
    <t>MEISTHE3</t>
  </si>
  <si>
    <t>MEISTHE4</t>
  </si>
  <si>
    <t>MEISTHE5</t>
  </si>
  <si>
    <t>Fontaine</t>
  </si>
  <si>
    <t>Saint-Sulpice</t>
  </si>
  <si>
    <t>Place Jeanin</t>
  </si>
  <si>
    <t>MEISTHE7</t>
  </si>
  <si>
    <t>Boveresse</t>
  </si>
  <si>
    <t>Thomasset</t>
  </si>
  <si>
    <t>Grande-Racine</t>
  </si>
  <si>
    <t>SAVALU1</t>
  </si>
  <si>
    <t>Les Verraux</t>
  </si>
  <si>
    <t>SAVALU2</t>
  </si>
  <si>
    <t>Marsens</t>
  </si>
  <si>
    <t>Les Planchettes</t>
  </si>
  <si>
    <t>Rochefort</t>
  </si>
  <si>
    <t>Les Pradières</t>
  </si>
  <si>
    <t>Châtonnaye</t>
  </si>
  <si>
    <t>Hauterive</t>
  </si>
  <si>
    <t>2013ANARGI-1</t>
  </si>
  <si>
    <t>ANARGI-1</t>
  </si>
  <si>
    <t>TI</t>
  </si>
  <si>
    <t>Sonvico</t>
  </si>
  <si>
    <t>Usin</t>
  </si>
  <si>
    <t>2013ANARTA-1</t>
  </si>
  <si>
    <t>ANARTA-1</t>
  </si>
  <si>
    <t>Certara</t>
  </si>
  <si>
    <t>Piancabella</t>
  </si>
  <si>
    <t>2013ANARTA-2</t>
  </si>
  <si>
    <t>ANARTA-2</t>
  </si>
  <si>
    <t>Fontàn da Magen</t>
  </si>
  <si>
    <t>2013ANKEFR1</t>
  </si>
  <si>
    <t>ANKEFR1</t>
  </si>
  <si>
    <t>Les Bayards</t>
  </si>
  <si>
    <t>Chincul</t>
  </si>
  <si>
    <t>2013ANKEFR-3</t>
  </si>
  <si>
    <t>Coeudres</t>
  </si>
  <si>
    <t>2013ANKEFR-4</t>
  </si>
  <si>
    <t>Econduits</t>
  </si>
  <si>
    <t>2013ANKEFR-5</t>
  </si>
  <si>
    <t>La Place Jeanin</t>
  </si>
  <si>
    <t>2013BARBTH-1</t>
  </si>
  <si>
    <t>BARBTH-1</t>
  </si>
  <si>
    <t>Tête de Ran</t>
  </si>
  <si>
    <t>2013BARBTH-2</t>
  </si>
  <si>
    <t>BARBTH-2</t>
  </si>
  <si>
    <t>Vue-des-Alpes Mont d Amin</t>
  </si>
  <si>
    <t>2013BARBTH-3</t>
  </si>
  <si>
    <t>BARBTH-3</t>
  </si>
  <si>
    <t>2013BLANDA3</t>
  </si>
  <si>
    <t>La Verrerie</t>
  </si>
  <si>
    <t>2013BLANDA4</t>
  </si>
  <si>
    <t>Auboranges</t>
  </si>
  <si>
    <t>2013CAVALLICO-1</t>
  </si>
  <si>
    <t>CAVALLICO-1</t>
  </si>
  <si>
    <t>Pedemonte</t>
  </si>
  <si>
    <t>Nebi</t>
  </si>
  <si>
    <t>2013CAVALLICO-2</t>
  </si>
  <si>
    <t>CAVALLICO-2</t>
  </si>
  <si>
    <t>Chilasco</t>
  </si>
  <si>
    <t>2013CAVALLICO-3</t>
  </si>
  <si>
    <t>CAVALLICO-3</t>
  </si>
  <si>
    <t>Isorno</t>
  </si>
  <si>
    <t>Cortone</t>
  </si>
  <si>
    <t>2013CAVALLICO-4</t>
  </si>
  <si>
    <t>CAVALLICO-4</t>
  </si>
  <si>
    <t>Salmone Sotto</t>
  </si>
  <si>
    <t>2013CAVALLICO-5</t>
  </si>
  <si>
    <t>CAVALLICO-5</t>
  </si>
  <si>
    <t>Pizzo Salmone</t>
  </si>
  <si>
    <t>2013CAVALLICO-6</t>
  </si>
  <si>
    <t>CAVALLICO-6</t>
  </si>
  <si>
    <t>Selva Piana</t>
  </si>
  <si>
    <t>2013CAVALLICO-7</t>
  </si>
  <si>
    <t>CAVALLICO-7</t>
  </si>
  <si>
    <t>Locarno</t>
  </si>
  <si>
    <t>Vatagne</t>
  </si>
  <si>
    <t>2013CAVALLICO-8</t>
  </si>
  <si>
    <t>CAVALLICO-8</t>
  </si>
  <si>
    <t>Lodano</t>
  </si>
  <si>
    <t>Chipa</t>
  </si>
  <si>
    <t>2013CAVALLICO-9</t>
  </si>
  <si>
    <t>CAVALLICO-9</t>
  </si>
  <si>
    <t>Riale Nocca</t>
  </si>
  <si>
    <t>2013DENEPA10</t>
  </si>
  <si>
    <t>DENEPA10</t>
  </si>
  <si>
    <t>2013DENEPA4</t>
  </si>
  <si>
    <t>2013FONTER-1</t>
  </si>
  <si>
    <t>FONTER-1</t>
  </si>
  <si>
    <t>Bogno</t>
  </si>
  <si>
    <t>Alpe Cottino</t>
  </si>
  <si>
    <t>2013FONTER-2</t>
  </si>
  <si>
    <t>FONTER-2</t>
  </si>
  <si>
    <t>Cugnolo Corto</t>
  </si>
  <si>
    <t>2013GARIJE-1</t>
  </si>
  <si>
    <t>GARIJE-1</t>
  </si>
  <si>
    <t>Fleurier</t>
  </si>
  <si>
    <t>Forêt de la Font</t>
  </si>
  <si>
    <t>2013GARIJE-2</t>
  </si>
  <si>
    <t>GARIJE-2</t>
  </si>
  <si>
    <t>La Côte-aux-Fées</t>
  </si>
  <si>
    <t>Grotte aux Fées</t>
  </si>
  <si>
    <t>2013GNOSDA-1</t>
  </si>
  <si>
    <t>GNOSDA-1</t>
  </si>
  <si>
    <t>Gambarogno</t>
  </si>
  <si>
    <t>Carnasciolo</t>
  </si>
  <si>
    <t>2013GNOSDA-2</t>
  </si>
  <si>
    <t>GNOSDA-2</t>
  </si>
  <si>
    <t>Chignorascio</t>
  </si>
  <si>
    <t>2013GNOSDA-3</t>
  </si>
  <si>
    <t>GNOSDA-3</t>
  </si>
  <si>
    <t>Busen</t>
  </si>
  <si>
    <t>2013GNOSDA-4</t>
  </si>
  <si>
    <t>GNOSDA-4</t>
  </si>
  <si>
    <t>Lierna</t>
  </si>
  <si>
    <t>2013GNOSDA-5</t>
  </si>
  <si>
    <t>GNOSDA-5</t>
  </si>
  <si>
    <t>2013GNOSDA-6</t>
  </si>
  <si>
    <t>GNOSDA-6</t>
  </si>
  <si>
    <t>Galbarogno</t>
  </si>
  <si>
    <t>Chirognascio</t>
  </si>
  <si>
    <t>2013GNOSDA-7</t>
  </si>
  <si>
    <t>GNOSDA-7</t>
  </si>
  <si>
    <t>Alpe Vecchio</t>
  </si>
  <si>
    <t>2013GNOSDA-8</t>
  </si>
  <si>
    <t>GNOSDA-8</t>
  </si>
  <si>
    <t>Dovascio</t>
  </si>
  <si>
    <t>2013GRUBLO-1</t>
  </si>
  <si>
    <t>GRUBLO-1</t>
  </si>
  <si>
    <t>Gola di Lago</t>
  </si>
  <si>
    <t>Buzzasca</t>
  </si>
  <si>
    <t>2013GRUBLO-2</t>
  </si>
  <si>
    <t>GRUBLO-2</t>
  </si>
  <si>
    <t>2013GRUBLO-3</t>
  </si>
  <si>
    <t>GRUBLO-3</t>
  </si>
  <si>
    <t>Rancscea</t>
  </si>
  <si>
    <t>2013GRUBLO-4</t>
  </si>
  <si>
    <t>GRUBLO-4</t>
  </si>
  <si>
    <t>2013MEISTHE1</t>
  </si>
  <si>
    <t>La Gauteraine</t>
  </si>
  <si>
    <t>2013MEISTHE2</t>
  </si>
  <si>
    <t>Grand Somartel</t>
  </si>
  <si>
    <t>2013MEISTHE3</t>
  </si>
  <si>
    <t>Chaux d Amin</t>
  </si>
  <si>
    <t>2013MEISTHE4</t>
  </si>
  <si>
    <t>La Glacière</t>
  </si>
  <si>
    <t>2013MEISTHE5</t>
  </si>
  <si>
    <t>Jogne</t>
  </si>
  <si>
    <t>2013MEISTHE6</t>
  </si>
  <si>
    <t>MEISTHE6</t>
  </si>
  <si>
    <t>Grandes Pradières</t>
  </si>
  <si>
    <t>2013MEISTHE7</t>
  </si>
  <si>
    <t>Crêt du Vent</t>
  </si>
  <si>
    <t>2013MEISTHE8</t>
  </si>
  <si>
    <t>MEISTHE8</t>
  </si>
  <si>
    <t>Les Jordans</t>
  </si>
  <si>
    <t>2013MEISTHE9</t>
  </si>
  <si>
    <t>MEISTHE9</t>
  </si>
  <si>
    <t>Gorgier</t>
  </si>
  <si>
    <t>Bois du Devens</t>
  </si>
  <si>
    <t>2013MOLTRE-1</t>
  </si>
  <si>
    <t>MOLTRE-1</t>
  </si>
  <si>
    <t>Arogno</t>
  </si>
  <si>
    <t>Grumo</t>
  </si>
  <si>
    <t>2013PENA_JA1</t>
  </si>
  <si>
    <t>PENA_JA1</t>
  </si>
  <si>
    <t>2013PFISED-1</t>
  </si>
  <si>
    <t>PFISED-1</t>
  </si>
  <si>
    <t>Mont d Amin</t>
  </si>
  <si>
    <t>2013PFISED-2</t>
  </si>
  <si>
    <t>PFISED-2</t>
  </si>
  <si>
    <t>Les Genevez-s-Coffrane</t>
  </si>
  <si>
    <t>Grande Motte</t>
  </si>
  <si>
    <t>2013ROSARE-1</t>
  </si>
  <si>
    <t>ROSARE-1</t>
  </si>
  <si>
    <t>Comologno</t>
  </si>
  <si>
    <t>Fontana Della Vertüra</t>
  </si>
  <si>
    <t>2013ROSARE-2</t>
  </si>
  <si>
    <t>ROSARE-2</t>
  </si>
  <si>
    <t>Spruga</t>
  </si>
  <si>
    <t>Gannone</t>
  </si>
  <si>
    <t>2013ROSSIGI-11</t>
  </si>
  <si>
    <t>ROSSIGI-11</t>
  </si>
  <si>
    <t>Maggia</t>
  </si>
  <si>
    <t>Monte Cavoo</t>
  </si>
  <si>
    <t>2013ROSSIGI-12</t>
  </si>
  <si>
    <t>ROSSIGI-12</t>
  </si>
  <si>
    <t>Verscio</t>
  </si>
  <si>
    <t>Barigh</t>
  </si>
  <si>
    <t>2013ROSSIGI-2</t>
  </si>
  <si>
    <t>ROSSIGI-2</t>
  </si>
  <si>
    <t>Mosogno</t>
  </si>
  <si>
    <t>Monte dei Büra</t>
  </si>
  <si>
    <t>2013ROSSIGI-3</t>
  </si>
  <si>
    <t>ROSSIGI-3</t>
  </si>
  <si>
    <t>Rosogno</t>
  </si>
  <si>
    <t>2013ROSSIGI-4</t>
  </si>
  <si>
    <t>ROSSIGI-4</t>
  </si>
  <si>
    <t>Gresso</t>
  </si>
  <si>
    <t>Monte Quiello</t>
  </si>
  <si>
    <t>2013ROSSIGI-5</t>
  </si>
  <si>
    <t>ROSSIGI-5</t>
  </si>
  <si>
    <t>Monte Motto</t>
  </si>
  <si>
    <t>2013ROSSIGI-6</t>
  </si>
  <si>
    <t>ROSSIGI-6</t>
  </si>
  <si>
    <t>Frashina</t>
  </si>
  <si>
    <t>2013SAVABR-1</t>
  </si>
  <si>
    <t>SAVABR-1</t>
  </si>
  <si>
    <t>Onnens</t>
  </si>
  <si>
    <t>2013SAVABR-2</t>
  </si>
  <si>
    <t>SAVABR-2</t>
  </si>
  <si>
    <t>2013SAVABR-3</t>
  </si>
  <si>
    <t>SAVABR-3</t>
  </si>
  <si>
    <t>Noréaz</t>
  </si>
  <si>
    <t>Piamont</t>
  </si>
  <si>
    <t>2013SAVABR-4</t>
  </si>
  <si>
    <t>SAVABR-4</t>
  </si>
  <si>
    <t>Ecuvillens</t>
  </si>
  <si>
    <t>Bois Cornard</t>
  </si>
  <si>
    <t>2013SAVALU1</t>
  </si>
  <si>
    <t>Maules</t>
  </si>
  <si>
    <t>Etangs de Maules</t>
  </si>
  <si>
    <t>2013SAVALU2</t>
  </si>
  <si>
    <t>2013ULRIVI-1</t>
  </si>
  <si>
    <t>ULRIVI-1</t>
  </si>
  <si>
    <t>Somartel</t>
  </si>
  <si>
    <t>2013ULRIVI-2</t>
  </si>
  <si>
    <t>ULRIVI-2</t>
  </si>
  <si>
    <t>La Sagne</t>
  </si>
  <si>
    <t>Mare de Sommartel</t>
  </si>
  <si>
    <t>2013ULRIVI-3</t>
  </si>
  <si>
    <t>ULRIVI-3</t>
  </si>
  <si>
    <t>La Brévines</t>
  </si>
  <si>
    <t>2013YERLMI-3</t>
  </si>
  <si>
    <t>YERLMI-3</t>
  </si>
  <si>
    <t>La Brillaz</t>
  </si>
  <si>
    <t>Pré-Blanc</t>
  </si>
  <si>
    <t>2013YERLMI-4</t>
  </si>
  <si>
    <t>YERLMI-4</t>
  </si>
  <si>
    <t>2013ZUEBAR-2</t>
  </si>
  <si>
    <t>ZUEBAR-2</t>
  </si>
  <si>
    <t>Les Bothey</t>
  </si>
  <si>
    <t>2013ZUEBAR-4</t>
  </si>
  <si>
    <t>ZUEBAR-4</t>
  </si>
  <si>
    <t>Le Réservoir</t>
  </si>
  <si>
    <t>2014ALBEFA-1</t>
  </si>
  <si>
    <t>ALBEFA-1</t>
  </si>
  <si>
    <t>Cadenazzo</t>
  </si>
  <si>
    <t>Calmagnone</t>
  </si>
  <si>
    <t>2014ALBEFA-2</t>
  </si>
  <si>
    <t>ALBEFA-2</t>
  </si>
  <si>
    <t>Corte</t>
  </si>
  <si>
    <t>2014ANARGI-1</t>
  </si>
  <si>
    <t>2014ANARGI-2</t>
  </si>
  <si>
    <t>ANARGI-2</t>
  </si>
  <si>
    <t>2014ANARGI-3</t>
  </si>
  <si>
    <t>ANARGI-3</t>
  </si>
  <si>
    <t>Campaccio</t>
  </si>
  <si>
    <t>2014ANARGI-4</t>
  </si>
  <si>
    <t>ANARGI-4</t>
  </si>
  <si>
    <t>Gozzo</t>
  </si>
  <si>
    <t>Pastura</t>
  </si>
  <si>
    <t>2014ANKEFR1</t>
  </si>
  <si>
    <t>2014ANKEFR2</t>
  </si>
  <si>
    <t>ANKEFR2</t>
  </si>
  <si>
    <t>Fontenettes</t>
  </si>
  <si>
    <t>2014ANKEFR-3</t>
  </si>
  <si>
    <t>Montagne de Buttes, Mont Barré</t>
  </si>
  <si>
    <t>2014ANKEFR-4</t>
  </si>
  <si>
    <t>Montagne de Buttes, Les Fourneaux</t>
  </si>
  <si>
    <t>2014ANKEFR-5</t>
  </si>
  <si>
    <t>2014BARBTH-1</t>
  </si>
  <si>
    <t>Malvilliers</t>
  </si>
  <si>
    <t>Les Crétets</t>
  </si>
  <si>
    <t>2014BLANDA-1</t>
  </si>
  <si>
    <t>BLANDA-1</t>
  </si>
  <si>
    <t>Monts de Riaz</t>
  </si>
  <si>
    <t>2014BLANDA-2</t>
  </si>
  <si>
    <t>BLANDA-2</t>
  </si>
  <si>
    <t>Romanens</t>
  </si>
  <si>
    <t>CAVACO.11</t>
  </si>
  <si>
    <t>Ledrima</t>
  </si>
  <si>
    <t>2014CAVACO-1</t>
  </si>
  <si>
    <t>CAVACO-1</t>
  </si>
  <si>
    <t>Ambri</t>
  </si>
  <si>
    <t>Gassina di lago</t>
  </si>
  <si>
    <t>2014CAVACO-10</t>
  </si>
  <si>
    <t>CAVACO-10</t>
  </si>
  <si>
    <t>Larasit</t>
  </si>
  <si>
    <t>2014CAVACO-12</t>
  </si>
  <si>
    <t>CAVACO-12</t>
  </si>
  <si>
    <t>Cortasiello</t>
  </si>
  <si>
    <t>2014CAVACO-2</t>
  </si>
  <si>
    <t>CAVACO-2</t>
  </si>
  <si>
    <t>Giof</t>
  </si>
  <si>
    <t>2014CAVACO-3</t>
  </si>
  <si>
    <t>CAVACO-3</t>
  </si>
  <si>
    <t>2014CAVACO-4</t>
  </si>
  <si>
    <t>CAVACO-4</t>
  </si>
  <si>
    <t>Piantoi</t>
  </si>
  <si>
    <t>2014CAVACO-5</t>
  </si>
  <si>
    <t>CAVACO-5</t>
  </si>
  <si>
    <t>2014CAVACO-6</t>
  </si>
  <si>
    <t>CAVACO-6</t>
  </si>
  <si>
    <t>Iasco</t>
  </si>
  <si>
    <t>2014CAVACO-7</t>
  </si>
  <si>
    <t>CAVACO-7</t>
  </si>
  <si>
    <t>Pizzone</t>
  </si>
  <si>
    <t>2014CAVACO-8</t>
  </si>
  <si>
    <t>CAVACO-8</t>
  </si>
  <si>
    <t>Sella</t>
  </si>
  <si>
    <t>2014CAVACO-9</t>
  </si>
  <si>
    <t>CAVACO-9</t>
  </si>
  <si>
    <t>Capoli</t>
  </si>
  <si>
    <t>2014DUCHPA-2</t>
  </si>
  <si>
    <t>DUCHPA-2</t>
  </si>
  <si>
    <t>Châtel-St-Denis</t>
  </si>
  <si>
    <t>Les Paccots, [Niremont]</t>
  </si>
  <si>
    <t>2014DUMAPI1</t>
  </si>
  <si>
    <t>DUMAPI1</t>
  </si>
  <si>
    <t>La Crebillette</t>
  </si>
  <si>
    <t>2014DUMAPI2</t>
  </si>
  <si>
    <t>DUMAPI2</t>
  </si>
  <si>
    <t>Vuisternens-devant-Romont</t>
  </si>
  <si>
    <t>Bois de Lieffrens</t>
  </si>
  <si>
    <t>2014DUMAPI-3</t>
  </si>
  <si>
    <t>DUMAPI-3</t>
  </si>
  <si>
    <t>Le Flon</t>
  </si>
  <si>
    <t>Bouloz</t>
  </si>
  <si>
    <t>2014DUMAPI5</t>
  </si>
  <si>
    <t>DUMAPI5</t>
  </si>
  <si>
    <t>Bois de Ban</t>
  </si>
  <si>
    <t>2014GARIJE01</t>
  </si>
  <si>
    <t>GARIJE01</t>
  </si>
  <si>
    <t>VD</t>
  </si>
  <si>
    <t>Bullet</t>
  </si>
  <si>
    <t>Grandsonne</t>
  </si>
  <si>
    <t>2014GARIJE02</t>
  </si>
  <si>
    <t>GARIJE02</t>
  </si>
  <si>
    <t>2014GARIJE03</t>
  </si>
  <si>
    <t>GARIJE03</t>
  </si>
  <si>
    <t>Ste-Croix</t>
  </si>
  <si>
    <t>Prise Bornand</t>
  </si>
  <si>
    <t>2014GARIJE04</t>
  </si>
  <si>
    <t>GARIJE04</t>
  </si>
  <si>
    <t>2014GNOSDA-1</t>
  </si>
  <si>
    <t>V. dell Asino</t>
  </si>
  <si>
    <t>2014GNOSDA-10</t>
  </si>
  <si>
    <t>GNOSDA-10</t>
  </si>
  <si>
    <t>Alpe Lierna</t>
  </si>
  <si>
    <t>2014GNOSDA-11</t>
  </si>
  <si>
    <t>GNOSDA-11</t>
  </si>
  <si>
    <t>2014GNOSDA-12</t>
  </si>
  <si>
    <t>GNOSDA-12</t>
  </si>
  <si>
    <t>2014GNOSDA-13</t>
  </si>
  <si>
    <t>GNOSDA-13</t>
  </si>
  <si>
    <t>Dianche</t>
  </si>
  <si>
    <t>2014GNOSDA-14</t>
  </si>
  <si>
    <t>GNOSDA-14</t>
  </si>
  <si>
    <t>Cimetta</t>
  </si>
  <si>
    <t>2014GNOSDA-15</t>
  </si>
  <si>
    <t>GNOSDA-15</t>
  </si>
  <si>
    <t>2014GNOSDA-16</t>
  </si>
  <si>
    <t>GNOSDA-16</t>
  </si>
  <si>
    <t>Monti Sciaga</t>
  </si>
  <si>
    <t>2014GNOSDA-17</t>
  </si>
  <si>
    <t>GNOSDA-17</t>
  </si>
  <si>
    <t>Monti di Piazzogna</t>
  </si>
  <si>
    <t>2014GNOSDA-18</t>
  </si>
  <si>
    <t>GNOSDA-18</t>
  </si>
  <si>
    <t>2014GNOSDA-19</t>
  </si>
  <si>
    <t>GNOSDA-19</t>
  </si>
  <si>
    <t>2014GNOSDA-2</t>
  </si>
  <si>
    <t>2014GNOSDA-3</t>
  </si>
  <si>
    <t>2014GNOSDA-4</t>
  </si>
  <si>
    <t>2014GNOSDA-5</t>
  </si>
  <si>
    <t>2014GNOSDA-6</t>
  </si>
  <si>
    <t>Pianche</t>
  </si>
  <si>
    <t>2014GNOSDA-7</t>
  </si>
  <si>
    <t>2014GNOSDA-8</t>
  </si>
  <si>
    <t>Alpe Montoia</t>
  </si>
  <si>
    <t>2014GNOSDA-9</t>
  </si>
  <si>
    <t>GNOSDA-9</t>
  </si>
  <si>
    <t>2014GRUBLO-1</t>
  </si>
  <si>
    <t>Monte Ceneri</t>
  </si>
  <si>
    <t>Alpe di Grumo</t>
  </si>
  <si>
    <t>2014GRUBLO-2</t>
  </si>
  <si>
    <t>Alpe St. Maria</t>
  </si>
  <si>
    <t>2014GRUBLO-3</t>
  </si>
  <si>
    <t>2014GRUBLO-4</t>
  </si>
  <si>
    <t>Medeglia</t>
  </si>
  <si>
    <t>Cugnolo</t>
  </si>
  <si>
    <t>2014GRUBLO-5</t>
  </si>
  <si>
    <t>GRUBLO-5</t>
  </si>
  <si>
    <t>2014GRUBLO-6</t>
  </si>
  <si>
    <t>GRUBLO-6</t>
  </si>
  <si>
    <t>Monti di Bena</t>
  </si>
  <si>
    <t>2014GRUBLO-7</t>
  </si>
  <si>
    <t>GRUBLO-7</t>
  </si>
  <si>
    <t>2014HAUKCL-1</t>
  </si>
  <si>
    <t>HAUKCL-1</t>
  </si>
  <si>
    <t>Blenio</t>
  </si>
  <si>
    <t>2014HAUKCL-2</t>
  </si>
  <si>
    <t>HAUKCL-2</t>
  </si>
  <si>
    <t>Largario</t>
  </si>
  <si>
    <t>2014HAUKCL-3</t>
  </si>
  <si>
    <t>HAUKCL-3</t>
  </si>
  <si>
    <t>Aquarossa</t>
  </si>
  <si>
    <t>2014HAUKCL-4</t>
  </si>
  <si>
    <t>HAUKCL-4</t>
  </si>
  <si>
    <t>2014HAUKCL-5</t>
  </si>
  <si>
    <t>HAUKCL-5</t>
  </si>
  <si>
    <t>Magadino</t>
  </si>
  <si>
    <t>2014JOSEDA-1</t>
  </si>
  <si>
    <t>JOSEDA-1</t>
  </si>
  <si>
    <t>Baulmes</t>
  </si>
  <si>
    <t>Fond du pâturage de la Limasse</t>
  </si>
  <si>
    <t>2014JOSEDA-2</t>
  </si>
  <si>
    <t>JOSEDA-2</t>
  </si>
  <si>
    <t>Le Corbet</t>
  </si>
  <si>
    <t>2014JOSEDA3</t>
  </si>
  <si>
    <t>JOSEDA3</t>
  </si>
  <si>
    <t>Soquêtre</t>
  </si>
  <si>
    <t>2014MEISHE1</t>
  </si>
  <si>
    <t>MEISHE1</t>
  </si>
  <si>
    <t>La Gautereine</t>
  </si>
  <si>
    <t>2014MEISHE2</t>
  </si>
  <si>
    <t>MEISHE2</t>
  </si>
  <si>
    <t>2014MEISHE3</t>
  </si>
  <si>
    <t>MEISHE3</t>
  </si>
  <si>
    <t>2014MEISHE4</t>
  </si>
  <si>
    <t>MEISHE4</t>
  </si>
  <si>
    <t>2014MEISHE5</t>
  </si>
  <si>
    <t>MEISHE5</t>
  </si>
  <si>
    <t>2014MEISHE6</t>
  </si>
  <si>
    <t>MEISHE6</t>
  </si>
  <si>
    <t>Lignières</t>
  </si>
  <si>
    <t>Chuffort</t>
  </si>
  <si>
    <t>2014MEISHE7</t>
  </si>
  <si>
    <t>MEISHE7</t>
  </si>
  <si>
    <t>2014MEISHE8</t>
  </si>
  <si>
    <t>MEISHE8</t>
  </si>
  <si>
    <t>La Rotte</t>
  </si>
  <si>
    <t>2014MEISHE9</t>
  </si>
  <si>
    <t>MEISHE9</t>
  </si>
  <si>
    <t>Combe-aux-Fées</t>
  </si>
  <si>
    <t>No1 VIKTOR ULR.</t>
  </si>
  <si>
    <t>Bois de l Halle</t>
  </si>
  <si>
    <t>No2 VIKTOR ULR.</t>
  </si>
  <si>
    <t>No3 VIKTOR ULR.</t>
  </si>
  <si>
    <t>2014No4ROSSAL</t>
  </si>
  <si>
    <t>No4ROSSAL</t>
  </si>
  <si>
    <t>Longirod</t>
  </si>
  <si>
    <t>Les Echadex</t>
  </si>
  <si>
    <t>2014No5ROSSAL</t>
  </si>
  <si>
    <t>No5ROSSAL</t>
  </si>
  <si>
    <t>2014No6ROSSAL</t>
  </si>
  <si>
    <t>No6ROSSAL</t>
  </si>
  <si>
    <t>St-Cergues</t>
  </si>
  <si>
    <t>La Givrine</t>
  </si>
  <si>
    <t>2014PENAJA1</t>
  </si>
  <si>
    <t>PENAJA1</t>
  </si>
  <si>
    <t>La Grande Racine</t>
  </si>
  <si>
    <t>2014PENAJA2</t>
  </si>
  <si>
    <t>PENAJA2</t>
  </si>
  <si>
    <t>Montperreux</t>
  </si>
  <si>
    <t>2014PENAJA3</t>
  </si>
  <si>
    <t>PENAJA3</t>
  </si>
  <si>
    <t>Val-de-Ruz</t>
  </si>
  <si>
    <t>La Petite Berthière</t>
  </si>
  <si>
    <t>2014PENAJA4</t>
  </si>
  <si>
    <t>PENAJA4</t>
  </si>
  <si>
    <t>Les Arêtes</t>
  </si>
  <si>
    <t>2014PENAJA5</t>
  </si>
  <si>
    <t>PENAJA5</t>
  </si>
  <si>
    <t>2014PFISEP-1</t>
  </si>
  <si>
    <t>PFISEP-1</t>
  </si>
  <si>
    <t>Combe-d Amin</t>
  </si>
  <si>
    <t>2014PFISEP-2</t>
  </si>
  <si>
    <t>PFISEP-2</t>
  </si>
  <si>
    <t>2014PFISEP-3</t>
  </si>
  <si>
    <t>PFISEP-3</t>
  </si>
  <si>
    <t>Combe d Amin</t>
  </si>
  <si>
    <t>2014PFISEP-4</t>
  </si>
  <si>
    <t>PFISEP-4</t>
  </si>
  <si>
    <t>Mont-Racine</t>
  </si>
  <si>
    <t>2014PILLJE-1</t>
  </si>
  <si>
    <t>PILLJE-1</t>
  </si>
  <si>
    <t>Provence</t>
  </si>
  <si>
    <t>Vers chez Sulpy</t>
  </si>
  <si>
    <t>2014PILLJE-2</t>
  </si>
  <si>
    <t>PILLJE-2</t>
  </si>
  <si>
    <t>Ballens</t>
  </si>
  <si>
    <t>Les Tailles</t>
  </si>
  <si>
    <t>2014POSIAN-1</t>
  </si>
  <si>
    <t>POSIAN-1</t>
  </si>
  <si>
    <t>2014POSIAN-2</t>
  </si>
  <si>
    <t>POSIAN-2</t>
  </si>
  <si>
    <t>Chaux-d Amin</t>
  </si>
  <si>
    <t>2014POSIAN-3</t>
  </si>
  <si>
    <t>POSIAN-3</t>
  </si>
  <si>
    <t>Fontainemelon</t>
  </si>
  <si>
    <t>La Vue-des-Alpes</t>
  </si>
  <si>
    <t>2014POSIAN-4</t>
  </si>
  <si>
    <t>POSIAN-4</t>
  </si>
  <si>
    <t>2014ROCHCH-1</t>
  </si>
  <si>
    <t>ROCHCH-1</t>
  </si>
  <si>
    <t>Le Lieu</t>
  </si>
  <si>
    <t>Forêt du Risoux, Chalet de la Muratte</t>
  </si>
  <si>
    <t>2014ROCHCH-2</t>
  </si>
  <si>
    <t>ROCHCH-2</t>
  </si>
  <si>
    <t>Forêt du Risoux, Le Chalottet</t>
  </si>
  <si>
    <t>2014ROCHCH-3</t>
  </si>
  <si>
    <t>ROCHCH-3</t>
  </si>
  <si>
    <t>Forêt du Risoux</t>
  </si>
  <si>
    <t>2014ROCHCH-4</t>
  </si>
  <si>
    <t>ROCHCH-4</t>
  </si>
  <si>
    <t>2014ROCHCH-5</t>
  </si>
  <si>
    <t>ROCHCH-5</t>
  </si>
  <si>
    <t>2014ROCHCH-6</t>
  </si>
  <si>
    <t>ROCHCH-6</t>
  </si>
  <si>
    <t>2014ROSAOR-1</t>
  </si>
  <si>
    <t>ROSAOR-1</t>
  </si>
  <si>
    <t>Cimadera</t>
  </si>
  <si>
    <t>Gardada</t>
  </si>
  <si>
    <t>2014ROSAOR-2</t>
  </si>
  <si>
    <t>ROSAOR-2</t>
  </si>
  <si>
    <t>ROSS.GI10</t>
  </si>
  <si>
    <t>Onserrone</t>
  </si>
  <si>
    <t>Monte Pombino</t>
  </si>
  <si>
    <t>ROSS.GI-11</t>
  </si>
  <si>
    <t>Monte Piei</t>
  </si>
  <si>
    <t>ROSS.GI-12</t>
  </si>
  <si>
    <t>Bignasco</t>
  </si>
  <si>
    <t>Madomna dit Monte</t>
  </si>
  <si>
    <t>ROSS.GI-2</t>
  </si>
  <si>
    <t>Plan Drol</t>
  </si>
  <si>
    <t>ROSS.GI6</t>
  </si>
  <si>
    <t>Monte Mohto</t>
  </si>
  <si>
    <t>2014ROSSEGI-1</t>
  </si>
  <si>
    <t>ROSSEGI-1</t>
  </si>
  <si>
    <t>Fontana Vertüra</t>
  </si>
  <si>
    <t>2014ROSSGI-3</t>
  </si>
  <si>
    <t>ROSSGI-3</t>
  </si>
  <si>
    <t>Funtanit</t>
  </si>
  <si>
    <t>2014ROSSGI-4</t>
  </si>
  <si>
    <t>ROSSGI-4</t>
  </si>
  <si>
    <t>Piaton</t>
  </si>
  <si>
    <t>2014ROSS-GI5</t>
  </si>
  <si>
    <t>ROSS-GI5</t>
  </si>
  <si>
    <t>Forcola-Dunzio</t>
  </si>
  <si>
    <t>2014ROSS-GI7</t>
  </si>
  <si>
    <t>ROSS-GI7</t>
  </si>
  <si>
    <t>Monte Burit</t>
  </si>
  <si>
    <t>2014ROSS-GI8</t>
  </si>
  <si>
    <t>ROSS-GI8</t>
  </si>
  <si>
    <t>2014SAVABR-1</t>
  </si>
  <si>
    <t>Maules, [Le Dévin Dessus]</t>
  </si>
  <si>
    <t>2014SAVAJE-1</t>
  </si>
  <si>
    <t>SAVAJE-1</t>
  </si>
  <si>
    <t>Sorens</t>
  </si>
  <si>
    <t>Prary</t>
  </si>
  <si>
    <t>Savalu-1.</t>
  </si>
  <si>
    <t>Tourbières</t>
  </si>
  <si>
    <t>2014Savalu-2</t>
  </si>
  <si>
    <t>Savalu-2</t>
  </si>
  <si>
    <t>Les Communs</t>
  </si>
  <si>
    <t>Savalu-3.</t>
  </si>
  <si>
    <t>Petit Prarys</t>
  </si>
  <si>
    <t>Savalu-4.</t>
  </si>
  <si>
    <t>Bois d Onnens</t>
  </si>
  <si>
    <t>2014Savalu-5</t>
  </si>
  <si>
    <t>Savalu-5</t>
  </si>
  <si>
    <t>Mauborget</t>
  </si>
  <si>
    <t>2014YERMI002</t>
  </si>
  <si>
    <t>YERMI002</t>
  </si>
  <si>
    <t>Hauteville</t>
  </si>
  <si>
    <t>Le Saut</t>
  </si>
  <si>
    <t>2014YERMI003</t>
  </si>
  <si>
    <t>YERMI003</t>
  </si>
  <si>
    <t>Les Fornys</t>
  </si>
  <si>
    <t>2014YERMI-005</t>
  </si>
  <si>
    <t>YERMI-005</t>
  </si>
  <si>
    <t>Plaffein</t>
  </si>
  <si>
    <t>Gurli/Schwyberg</t>
  </si>
  <si>
    <t>2014YERMI-009</t>
  </si>
  <si>
    <t>YERMI-009</t>
  </si>
  <si>
    <t>Treyevaux</t>
  </si>
  <si>
    <t>La Combert</t>
  </si>
  <si>
    <t>2014YERMI-10</t>
  </si>
  <si>
    <t>YERMI-10</t>
  </si>
  <si>
    <t>Villarimboud</t>
  </si>
  <si>
    <t>Au Bois</t>
  </si>
  <si>
    <t>2014YERMI-11</t>
  </si>
  <si>
    <t>YERMI-11</t>
  </si>
  <si>
    <t>Chatônnaye</t>
  </si>
  <si>
    <t>Les Esserts</t>
  </si>
  <si>
    <t>2015ALBEFE-1</t>
  </si>
  <si>
    <t>ALBEFE-1</t>
  </si>
  <si>
    <t>Fontanacce</t>
  </si>
  <si>
    <t>2015ALBEFE-2</t>
  </si>
  <si>
    <t>ALBEFE-2</t>
  </si>
  <si>
    <t>2015ANARGI-1</t>
  </si>
  <si>
    <t>Ova</t>
  </si>
  <si>
    <t>2015ANARGI-10</t>
  </si>
  <si>
    <t>ANARGI-10</t>
  </si>
  <si>
    <t>Colla</t>
  </si>
  <si>
    <t>Crana</t>
  </si>
  <si>
    <t>2015ANARGI-2</t>
  </si>
  <si>
    <t>2015ANARGI-3</t>
  </si>
  <si>
    <t>Treció</t>
  </si>
  <si>
    <t>2015ANARGI-4</t>
  </si>
  <si>
    <t>2015ANARGI-5</t>
  </si>
  <si>
    <t>ANARGI-5</t>
  </si>
  <si>
    <t>Arla</t>
  </si>
  <si>
    <t>2015ANARGI-6</t>
  </si>
  <si>
    <t>ANARGI-6</t>
  </si>
  <si>
    <t>Fanghi</t>
  </si>
  <si>
    <t>2015ANARGI-7</t>
  </si>
  <si>
    <t>ANARGI-7</t>
  </si>
  <si>
    <t>2015ANARGI-8</t>
  </si>
  <si>
    <t>ANARGI-8</t>
  </si>
  <si>
    <t>Mator dei Falchetti</t>
  </si>
  <si>
    <t>2015ANARGI-9</t>
  </si>
  <si>
    <t>ANARGI-9</t>
  </si>
  <si>
    <t>Prato bello</t>
  </si>
  <si>
    <t>2015ANKEFR-1</t>
  </si>
  <si>
    <t>Chez le Gras</t>
  </si>
  <si>
    <t>2015ANKEFR-2</t>
  </si>
  <si>
    <t>Chez Antoine</t>
  </si>
  <si>
    <t>2015ANKEFR-3</t>
  </si>
  <si>
    <t>2015BARBTH-1</t>
  </si>
  <si>
    <t>2015BarbTh-2</t>
  </si>
  <si>
    <t>BarbTh-2</t>
  </si>
  <si>
    <t>Les Grandes Pradières</t>
  </si>
  <si>
    <t>2015BarbTh-3</t>
  </si>
  <si>
    <t>BarbTh-3</t>
  </si>
  <si>
    <t>2015BarbTh-4</t>
  </si>
  <si>
    <t>BarbTh-4</t>
  </si>
  <si>
    <t>2015BarbTh-5</t>
  </si>
  <si>
    <t>BarbTh-5</t>
  </si>
  <si>
    <t>2015BELLEN-1</t>
  </si>
  <si>
    <t>BELLEN-1</t>
  </si>
  <si>
    <t>Monteceneri</t>
  </si>
  <si>
    <t>Alpe Foppa</t>
  </si>
  <si>
    <t>2015BELLEN-2</t>
  </si>
  <si>
    <t>BELLEN-2</t>
  </si>
  <si>
    <t>Nagra</t>
  </si>
  <si>
    <t>2015BELLIEN-3</t>
  </si>
  <si>
    <t>BELLIEN-3</t>
  </si>
  <si>
    <t>Tornago</t>
  </si>
  <si>
    <t>2015BIANCHIRO-1</t>
  </si>
  <si>
    <t>BIANCHIRO-1</t>
  </si>
  <si>
    <t>Prato Leventina</t>
  </si>
  <si>
    <t>Boscobello</t>
  </si>
  <si>
    <t>2015BIANCHIRO-2</t>
  </si>
  <si>
    <t>BIANCHIRO-2</t>
  </si>
  <si>
    <t>Airolo</t>
  </si>
  <si>
    <t>Albinasca</t>
  </si>
  <si>
    <t>2015BIANCHIRO-3</t>
  </si>
  <si>
    <t>BIANCHIRO-3</t>
  </si>
  <si>
    <t>Osco</t>
  </si>
  <si>
    <t>Seira</t>
  </si>
  <si>
    <t>2015BIANCHIRO-4</t>
  </si>
  <si>
    <t>BIANCHIRO-4</t>
  </si>
  <si>
    <t>Bruzzella</t>
  </si>
  <si>
    <t>Loasa</t>
  </si>
  <si>
    <t>2015BIANCHIRO-5</t>
  </si>
  <si>
    <t>BIANCHIRO-5</t>
  </si>
  <si>
    <t>Roccolo</t>
  </si>
  <si>
    <t>2015CAVACO-1</t>
  </si>
  <si>
    <t>Coste del Gerbi</t>
  </si>
  <si>
    <t>2015CAVACO-10</t>
  </si>
  <si>
    <t>Cortasiell</t>
  </si>
  <si>
    <t>2015CAVACO-2</t>
  </si>
  <si>
    <t>Urbiel</t>
  </si>
  <si>
    <t>2015CAVACO-3</t>
  </si>
  <si>
    <t>Bolla</t>
  </si>
  <si>
    <t>2015CAVACO-4</t>
  </si>
  <si>
    <t>Colagno</t>
  </si>
  <si>
    <t>2015CAVACO-5</t>
  </si>
  <si>
    <t>Campo</t>
  </si>
  <si>
    <t>2015CAVACO-6</t>
  </si>
  <si>
    <t>2015CAVACO-7</t>
  </si>
  <si>
    <t>2015CAVACO-8</t>
  </si>
  <si>
    <t>2015CAVACO-9</t>
  </si>
  <si>
    <t>Vii</t>
  </si>
  <si>
    <t>2015CAVALLIMA01</t>
  </si>
  <si>
    <t>CAVALLIMA01</t>
  </si>
  <si>
    <t>Calagno</t>
  </si>
  <si>
    <t>2015CAVALLIMA10</t>
  </si>
  <si>
    <t>CAVALLIMA10</t>
  </si>
  <si>
    <t>2015CAVALLIMA2</t>
  </si>
  <si>
    <t>CAVALLIMA2</t>
  </si>
  <si>
    <t>2015CAVALLIMA3</t>
  </si>
  <si>
    <t>CAVALLIMA3</t>
  </si>
  <si>
    <t>Pedesegn</t>
  </si>
  <si>
    <t>2015CavalliMa4</t>
  </si>
  <si>
    <t>CavalliMa4</t>
  </si>
  <si>
    <t>Moghegno</t>
  </si>
  <si>
    <t>2015CavalliMa5</t>
  </si>
  <si>
    <t>CavalliMa5</t>
  </si>
  <si>
    <t>Campei</t>
  </si>
  <si>
    <t>2015CavalliMa6</t>
  </si>
  <si>
    <t>CavalliMa6</t>
  </si>
  <si>
    <t>2015CAVALLIMA7</t>
  </si>
  <si>
    <t>CAVALLIMA7</t>
  </si>
  <si>
    <t>Aurigeno</t>
  </si>
  <si>
    <t>Gacina</t>
  </si>
  <si>
    <t>2015CAVALLIMA8</t>
  </si>
  <si>
    <t>CAVALLIMA8</t>
  </si>
  <si>
    <t>2015CAVALLIMA9</t>
  </si>
  <si>
    <t>CAVALLIMA9</t>
  </si>
  <si>
    <t>Valle della Garina</t>
  </si>
  <si>
    <t>2015CORDJP-1</t>
  </si>
  <si>
    <t>CORDJP-1</t>
  </si>
  <si>
    <t>Le Chenit</t>
  </si>
  <si>
    <t>Bas-du-Chenit</t>
  </si>
  <si>
    <t>2015CORDJP-2</t>
  </si>
  <si>
    <t>CORDJP-2</t>
  </si>
  <si>
    <t>Vaulion</t>
  </si>
  <si>
    <t>Sagnettaz</t>
  </si>
  <si>
    <t>2015CORDJP-3</t>
  </si>
  <si>
    <t>CORDJP-3</t>
  </si>
  <si>
    <t>Esserts</t>
  </si>
  <si>
    <t>2015CRETYC-1</t>
  </si>
  <si>
    <t>CRETYC-1</t>
  </si>
  <si>
    <t>VS</t>
  </si>
  <si>
    <t>Hérémence</t>
  </si>
  <si>
    <t>Povisse</t>
  </si>
  <si>
    <t>2015DENEPA1</t>
  </si>
  <si>
    <t>2015DENEPA10</t>
  </si>
  <si>
    <t>Delorida</t>
  </si>
  <si>
    <t>2015DENEPA11</t>
  </si>
  <si>
    <t>DENEPA11</t>
  </si>
  <si>
    <t>Les Fours</t>
  </si>
  <si>
    <t>2015DENEPA2</t>
  </si>
  <si>
    <t>Sâle</t>
  </si>
  <si>
    <t>2015DENEPA4</t>
  </si>
  <si>
    <t>2015DENEPA5</t>
  </si>
  <si>
    <t>DENEPA5</t>
  </si>
  <si>
    <t>2015DENEPA7</t>
  </si>
  <si>
    <t>DENEPA7</t>
  </si>
  <si>
    <t>Cergny</t>
  </si>
  <si>
    <t>2015DENEPA8</t>
  </si>
  <si>
    <t>DENEPA8</t>
  </si>
  <si>
    <t>Chalet Neuf</t>
  </si>
  <si>
    <t>2015Devise-1</t>
  </si>
  <si>
    <t>Devise-1</t>
  </si>
  <si>
    <t>Mugena</t>
  </si>
  <si>
    <t>Predascio</t>
  </si>
  <si>
    <t>2015Devise-10</t>
  </si>
  <si>
    <t>Devise-10</t>
  </si>
  <si>
    <t>Arosio</t>
  </si>
  <si>
    <t>Piové</t>
  </si>
  <si>
    <t>2015Devise-2</t>
  </si>
  <si>
    <t>Devise-2</t>
  </si>
  <si>
    <t>2015Devise-3</t>
  </si>
  <si>
    <t>Devise-3</t>
  </si>
  <si>
    <t>2015Devise-4</t>
  </si>
  <si>
    <t>Devise-4</t>
  </si>
  <si>
    <t>2015Devise-5</t>
  </si>
  <si>
    <t>Devise-5</t>
  </si>
  <si>
    <t>2015Devise-6</t>
  </si>
  <si>
    <t>Devise-6</t>
  </si>
  <si>
    <t>Prato Grande</t>
  </si>
  <si>
    <t>2015Devise-7</t>
  </si>
  <si>
    <t>Devise-7</t>
  </si>
  <si>
    <t>2015Devise-8</t>
  </si>
  <si>
    <t>Devise-8</t>
  </si>
  <si>
    <t>2015Devise-9</t>
  </si>
  <si>
    <t>Devise-9</t>
  </si>
  <si>
    <t>2015DUCHPA-1</t>
  </si>
  <si>
    <t>DUCHPA-1</t>
  </si>
  <si>
    <t>Grand Niremont</t>
  </si>
  <si>
    <t>2015DUCHPA-10</t>
  </si>
  <si>
    <t>DUCHPA-10</t>
  </si>
  <si>
    <t>Brunisried</t>
  </si>
  <si>
    <t>Wirts Ilam</t>
  </si>
  <si>
    <t>2015DUCHPA-2</t>
  </si>
  <si>
    <t>2015DUCHPA-3</t>
  </si>
  <si>
    <t>DUCHPA-3</t>
  </si>
  <si>
    <t>La Tossaire</t>
  </si>
  <si>
    <t>2015DUCHPA-5</t>
  </si>
  <si>
    <t>DUCHPA-5</t>
  </si>
  <si>
    <t>Sommentier</t>
  </si>
  <si>
    <t>Bois de Chanez</t>
  </si>
  <si>
    <t>2015DUCHPA-9</t>
  </si>
  <si>
    <t>DUCHPA-9</t>
  </si>
  <si>
    <t>Rechtalten</t>
  </si>
  <si>
    <t>Schweni</t>
  </si>
  <si>
    <t>2015Dumapi-1</t>
  </si>
  <si>
    <t>Dumapi-1</t>
  </si>
  <si>
    <t>2015Dumapi-2</t>
  </si>
  <si>
    <t>Dumapi-2</t>
  </si>
  <si>
    <t>2015FISCIV-1</t>
  </si>
  <si>
    <t>FISCIV-1</t>
  </si>
  <si>
    <t>Centovalli</t>
  </si>
  <si>
    <t>Costa</t>
  </si>
  <si>
    <t>2015FISCIV10</t>
  </si>
  <si>
    <t>FISCIV10</t>
  </si>
  <si>
    <t>2015FISCIV11</t>
  </si>
  <si>
    <t>FISCIV11</t>
  </si>
  <si>
    <t>Comino</t>
  </si>
  <si>
    <t>2015FISCIV12</t>
  </si>
  <si>
    <t>FISCIV12</t>
  </si>
  <si>
    <t>2015FISCIV13</t>
  </si>
  <si>
    <t>FISCIV13</t>
  </si>
  <si>
    <t>2015FISCIV14</t>
  </si>
  <si>
    <t>FISCIV14</t>
  </si>
  <si>
    <t>2015FISCIV15</t>
  </si>
  <si>
    <t>FISCIV15</t>
  </si>
  <si>
    <t>2015FISCIV16</t>
  </si>
  <si>
    <t>FISCIV16</t>
  </si>
  <si>
    <t>2015FISCIV17</t>
  </si>
  <si>
    <t>FISCIV17</t>
  </si>
  <si>
    <t>2015FISCIV18</t>
  </si>
  <si>
    <t>FISCIV18</t>
  </si>
  <si>
    <t>2015FISCIV19</t>
  </si>
  <si>
    <t>FISCIV19</t>
  </si>
  <si>
    <t>Calascio</t>
  </si>
  <si>
    <t>2015FISCIV-2</t>
  </si>
  <si>
    <t>FISCIV-2</t>
  </si>
  <si>
    <t>2015FISCIV20</t>
  </si>
  <si>
    <t>FISCIV20</t>
  </si>
  <si>
    <t>2015FISCIV-3</t>
  </si>
  <si>
    <t>FISCIV-3</t>
  </si>
  <si>
    <t>2015FISCIV-4</t>
  </si>
  <si>
    <t>FISCIV-4</t>
  </si>
  <si>
    <t>2015FISCIV-5</t>
  </si>
  <si>
    <t>FISCIV-5</t>
  </si>
  <si>
    <t>Metri</t>
  </si>
  <si>
    <t>2015FISCIV-6</t>
  </si>
  <si>
    <t>FISCIV-6</t>
  </si>
  <si>
    <t>Romo</t>
  </si>
  <si>
    <t>2015FISCIV-7</t>
  </si>
  <si>
    <t>FISCIV-7</t>
  </si>
  <si>
    <t>2015FISCIV-8</t>
  </si>
  <si>
    <t>FISCIV-8</t>
  </si>
  <si>
    <t>Rasa</t>
  </si>
  <si>
    <t>2015FISCIV9</t>
  </si>
  <si>
    <t>FISCIV9</t>
  </si>
  <si>
    <t>2015FONTER-1</t>
  </si>
  <si>
    <t>Valle Saslina</t>
  </si>
  <si>
    <t>2015FONTER-2</t>
  </si>
  <si>
    <t>Tagliate</t>
  </si>
  <si>
    <t>2015Fvui-1</t>
  </si>
  <si>
    <t>Fvui-1</t>
  </si>
  <si>
    <t>Mont-la-Ville</t>
  </si>
  <si>
    <t>Mollendruz</t>
  </si>
  <si>
    <t>2015Fvui-2</t>
  </si>
  <si>
    <t>Fvui-2</t>
  </si>
  <si>
    <t>Mauraz</t>
  </si>
  <si>
    <t>Taillis</t>
  </si>
  <si>
    <t>2015Fvui-3</t>
  </si>
  <si>
    <t>Fvui-3</t>
  </si>
  <si>
    <t>2015GARIGR-1</t>
  </si>
  <si>
    <t>GARIGR-1</t>
  </si>
  <si>
    <t>La Planée</t>
  </si>
  <si>
    <t>2015GARIGR-2</t>
  </si>
  <si>
    <t>GARIGR-2</t>
  </si>
  <si>
    <t>Mont Châtin</t>
  </si>
  <si>
    <t>2015GARIGR-3</t>
  </si>
  <si>
    <t>GARIGR-3</t>
  </si>
  <si>
    <t>St-Sulpice</t>
  </si>
  <si>
    <t>La Corbière</t>
  </si>
  <si>
    <t>2015GARIJE-1</t>
  </si>
  <si>
    <t>Haut de la Grandsonnaz</t>
  </si>
  <si>
    <t>2015GARIJE-2</t>
  </si>
  <si>
    <t>Bois des Envers</t>
  </si>
  <si>
    <t>2015Garije-3</t>
  </si>
  <si>
    <t>Garije-3</t>
  </si>
  <si>
    <t>Les Rochats</t>
  </si>
  <si>
    <t>2015Garije-4</t>
  </si>
  <si>
    <t>Garije-4</t>
  </si>
  <si>
    <t>2015Garije-5</t>
  </si>
  <si>
    <t>Garije-5</t>
  </si>
  <si>
    <t>Haut des Econduits</t>
  </si>
  <si>
    <t>2015GIAMGI-1</t>
  </si>
  <si>
    <t>GIAMGI-1</t>
  </si>
  <si>
    <t>Alto Malcantone</t>
  </si>
  <si>
    <t>Fescoggia</t>
  </si>
  <si>
    <t>2015GIAMGI10</t>
  </si>
  <si>
    <t>GIAMGI10</t>
  </si>
  <si>
    <t>Vezio-Cassinello</t>
  </si>
  <si>
    <t>2015GIAMGI-2</t>
  </si>
  <si>
    <t>GIAMGI-2</t>
  </si>
  <si>
    <t>Sassa-Vezio</t>
  </si>
  <si>
    <t>2015GIAMGI-3</t>
  </si>
  <si>
    <t>GIAMGI-3</t>
  </si>
  <si>
    <t>Breno-Cassinelle</t>
  </si>
  <si>
    <t>2015GIAMGI-4</t>
  </si>
  <si>
    <t>GIAMGI-4</t>
  </si>
  <si>
    <t>2015GIAMGI-5</t>
  </si>
  <si>
    <t>GIAMGI-5</t>
  </si>
  <si>
    <t>2015GIAMGI-6</t>
  </si>
  <si>
    <t>GIAMGI-6</t>
  </si>
  <si>
    <t>Fescoggia-Firinescio</t>
  </si>
  <si>
    <t>2015GIAMGI-7</t>
  </si>
  <si>
    <t>GIAMGI-7</t>
  </si>
  <si>
    <t>Trogiano</t>
  </si>
  <si>
    <t>2015GIAMGI8</t>
  </si>
  <si>
    <t>GIAMGI8</t>
  </si>
  <si>
    <t>Fescoggia-Vezio</t>
  </si>
  <si>
    <t>2015GIAMGI9</t>
  </si>
  <si>
    <t>GIAMGI9</t>
  </si>
  <si>
    <t>2015GNOSDA-1</t>
  </si>
  <si>
    <t>Gamborogno</t>
  </si>
  <si>
    <t>2015GNOSDA-10</t>
  </si>
  <si>
    <t>Alpe Heggia</t>
  </si>
  <si>
    <t>2015GNOSDA-11</t>
  </si>
  <si>
    <t>2015GNOSDA-12</t>
  </si>
  <si>
    <t>Monte Sciaga</t>
  </si>
  <si>
    <t>2015GNOSDA-13</t>
  </si>
  <si>
    <t>Brumo</t>
  </si>
  <si>
    <t>2015GNOSDA-2</t>
  </si>
  <si>
    <t>2015GNOSDA-3</t>
  </si>
  <si>
    <t>2015GNOSDA-4</t>
  </si>
  <si>
    <t>Cedullo</t>
  </si>
  <si>
    <t>2015GNOSDA-5</t>
  </si>
  <si>
    <t>Pianca Lunga</t>
  </si>
  <si>
    <t>2015GNOSDA-6</t>
  </si>
  <si>
    <t>2015GNOSDA-7</t>
  </si>
  <si>
    <t>2015GNOSDA-8</t>
  </si>
  <si>
    <t>2015GNOSDA-9</t>
  </si>
  <si>
    <t>2015GREJE01</t>
  </si>
  <si>
    <t>GREJE01</t>
  </si>
  <si>
    <t>Gruyère</t>
  </si>
  <si>
    <t>La Trême, entre Joux derrière et les Vilieux</t>
  </si>
  <si>
    <t>Fang</t>
  </si>
  <si>
    <t>2015GREJE02</t>
  </si>
  <si>
    <t>GREJE02</t>
  </si>
  <si>
    <t>2015GRUBLO-1</t>
  </si>
  <si>
    <t>Tesserete</t>
  </si>
  <si>
    <t>Gola di lago - Altari</t>
  </si>
  <si>
    <t>2015GRUBLO-2</t>
  </si>
  <si>
    <t>Pian Bello - Gola di Lago</t>
  </si>
  <si>
    <t>2015GRUBLO-3</t>
  </si>
  <si>
    <t>2015GRUBLO-4</t>
  </si>
  <si>
    <t>Ranscea - Gola di Lago</t>
  </si>
  <si>
    <t>2015GRUBLO-5</t>
  </si>
  <si>
    <t>Bigorio</t>
  </si>
  <si>
    <t>Monti di Brena</t>
  </si>
  <si>
    <t>2015GRUBLO-6</t>
  </si>
  <si>
    <t>Cugnolo - Medeglia</t>
  </si>
  <si>
    <t>2015GRUBLO-7</t>
  </si>
  <si>
    <t>Gola du Lago</t>
  </si>
  <si>
    <t>2015JOSEDA-1</t>
  </si>
  <si>
    <t>Haut de la Râpe</t>
  </si>
  <si>
    <t>2015JOSEDA2</t>
  </si>
  <si>
    <t>JOSEDA2</t>
  </si>
  <si>
    <t>2015JOSEDA3</t>
  </si>
  <si>
    <t>Mont du Cerf</t>
  </si>
  <si>
    <t>2015JOSEDA-4</t>
  </si>
  <si>
    <t>JOSEDA-4</t>
  </si>
  <si>
    <t>La Limasse</t>
  </si>
  <si>
    <t>2015JOSEDA-5</t>
  </si>
  <si>
    <t>JOSEDA-5</t>
  </si>
  <si>
    <t>2015K112951</t>
  </si>
  <si>
    <t>K112951</t>
  </si>
  <si>
    <t>La Chaille</t>
  </si>
  <si>
    <t>2015K112952</t>
  </si>
  <si>
    <t>K112952</t>
  </si>
  <si>
    <t>Bois de Vaux</t>
  </si>
  <si>
    <t>2015K112953</t>
  </si>
  <si>
    <t>K112953</t>
  </si>
  <si>
    <t>Le Croza</t>
  </si>
  <si>
    <t>2015K112954</t>
  </si>
  <si>
    <t>K112954</t>
  </si>
  <si>
    <t>2015K112955</t>
  </si>
  <si>
    <t>K112955</t>
  </si>
  <si>
    <t>2015K112956</t>
  </si>
  <si>
    <t>K112956</t>
  </si>
  <si>
    <t>2015K112957</t>
  </si>
  <si>
    <t>K112957</t>
  </si>
  <si>
    <t>2015K112959</t>
  </si>
  <si>
    <t>K112959</t>
  </si>
  <si>
    <t>2015K112960</t>
  </si>
  <si>
    <t>K112960</t>
  </si>
  <si>
    <t>2015K112961</t>
  </si>
  <si>
    <t>K112961</t>
  </si>
  <si>
    <t>2015K112962</t>
  </si>
  <si>
    <t>K112962</t>
  </si>
  <si>
    <t>2015LiechJP-1</t>
  </si>
  <si>
    <t>LiechJP-1</t>
  </si>
  <si>
    <t>Montrichier</t>
  </si>
  <si>
    <t>Pré Anselme</t>
  </si>
  <si>
    <t>2015LiechJP-2</t>
  </si>
  <si>
    <t>LiechJP-2</t>
  </si>
  <si>
    <t>Mollens</t>
  </si>
  <si>
    <t>Mont Tendre</t>
  </si>
  <si>
    <t>2015MARCRE-1</t>
  </si>
  <si>
    <t>MARCRE-1</t>
  </si>
  <si>
    <t>Tamblina</t>
  </si>
  <si>
    <t>2015MARCRE-2</t>
  </si>
  <si>
    <t>MARCRE-2</t>
  </si>
  <si>
    <t>Bedretto</t>
  </si>
  <si>
    <t>Carniscio</t>
  </si>
  <si>
    <t>2015MARCRE-3</t>
  </si>
  <si>
    <t>MARCRE-3</t>
  </si>
  <si>
    <t>Closs di Dentro</t>
  </si>
  <si>
    <t>2015MEISHE-1</t>
  </si>
  <si>
    <t>MEISHE-1</t>
  </si>
  <si>
    <t>Grand Sommartel</t>
  </si>
  <si>
    <t>2015MEISHE-10</t>
  </si>
  <si>
    <t>MEISHE-10</t>
  </si>
  <si>
    <t>Val-de-Travers</t>
  </si>
  <si>
    <t>Les Charbonnières</t>
  </si>
  <si>
    <t>2015MEISHE-11</t>
  </si>
  <si>
    <t>MEISHE-11</t>
  </si>
  <si>
    <t>Prise Fège</t>
  </si>
  <si>
    <t>2015MEISHE-12</t>
  </si>
  <si>
    <t>MEISHE-12</t>
  </si>
  <si>
    <t>2015MEISHE-13</t>
  </si>
  <si>
    <t>MEISHE-13</t>
  </si>
  <si>
    <t>Cucheroux-Dessous</t>
  </si>
  <si>
    <t>2015MEISHE-14</t>
  </si>
  <si>
    <t>MEISHE-14</t>
  </si>
  <si>
    <t>Prés-Devant</t>
  </si>
  <si>
    <t>2015MEISHE-2</t>
  </si>
  <si>
    <t>MEISHE-2</t>
  </si>
  <si>
    <t>Les Bans</t>
  </si>
  <si>
    <t>2015MEISHE-3</t>
  </si>
  <si>
    <t>MEISHE-3</t>
  </si>
  <si>
    <t>Mont Racine</t>
  </si>
  <si>
    <t>2015MEISHE-4</t>
  </si>
  <si>
    <t>MEISHE-4</t>
  </si>
  <si>
    <t>2015MEISHE-5</t>
  </si>
  <si>
    <t>MEISHE-5</t>
  </si>
  <si>
    <t>2015MEISHE-6</t>
  </si>
  <si>
    <t>MEISHE-6</t>
  </si>
  <si>
    <t>Crêt Rond</t>
  </si>
  <si>
    <t>2015MEISHE-7</t>
  </si>
  <si>
    <t>MEISHE-7</t>
  </si>
  <si>
    <t>Chez le Brandt</t>
  </si>
  <si>
    <t>2015MEISHE-8</t>
  </si>
  <si>
    <t>MEISHE-8</t>
  </si>
  <si>
    <t>La Charbonnière</t>
  </si>
  <si>
    <t>2015MEISHE-9</t>
  </si>
  <si>
    <t>MEISHE-9</t>
  </si>
  <si>
    <t>Grande Charbonnière</t>
  </si>
  <si>
    <t>2015MENGOMA-1</t>
  </si>
  <si>
    <t>MENGOMA-1</t>
  </si>
  <si>
    <t>Greciano</t>
  </si>
  <si>
    <t>Monti Garetto</t>
  </si>
  <si>
    <t>2015MORAMA-1</t>
  </si>
  <si>
    <t>MORAMA-1</t>
  </si>
  <si>
    <t>Novaggio</t>
  </si>
  <si>
    <t>Forcora</t>
  </si>
  <si>
    <t>2015MORAMA-10</t>
  </si>
  <si>
    <t>MORAMA-10</t>
  </si>
  <si>
    <t>2015MORAMA-2</t>
  </si>
  <si>
    <t>MORAMA-2</t>
  </si>
  <si>
    <t>2015MOrAMA-3</t>
  </si>
  <si>
    <t>MOrAMA-3</t>
  </si>
  <si>
    <t>Pian Pilpit</t>
  </si>
  <si>
    <t>2015MORAMA-4</t>
  </si>
  <si>
    <t>MORAMA-4</t>
  </si>
  <si>
    <t>Breno</t>
  </si>
  <si>
    <t>Fontana tamaritt</t>
  </si>
  <si>
    <t>2015MORAMA-5</t>
  </si>
  <si>
    <t>MORAMA-5</t>
  </si>
  <si>
    <t>2015MORAMA-6</t>
  </si>
  <si>
    <t>MORAMA-6</t>
  </si>
  <si>
    <t>Astano</t>
  </si>
  <si>
    <t>Bergen</t>
  </si>
  <si>
    <t>2015MORAMA-7</t>
  </si>
  <si>
    <t>MORAMA-7</t>
  </si>
  <si>
    <t>2015MORAMA-8</t>
  </si>
  <si>
    <t>MORAMA-8</t>
  </si>
  <si>
    <t>2015MORAMA-9</t>
  </si>
  <si>
    <t>MORAMA-9</t>
  </si>
  <si>
    <t>2015PENAJA-1</t>
  </si>
  <si>
    <t>PENAJA-1</t>
  </si>
  <si>
    <t>Les Quignets</t>
  </si>
  <si>
    <t>2015PENAJA-2</t>
  </si>
  <si>
    <t>PENAJA-2</t>
  </si>
  <si>
    <t>2015PENAJA-3</t>
  </si>
  <si>
    <t>PENAJA-3</t>
  </si>
  <si>
    <t>La Vy Neuve</t>
  </si>
  <si>
    <t>2015PFISED-1</t>
  </si>
  <si>
    <t>Combe Racine</t>
  </si>
  <si>
    <t>2015PFISED-2</t>
  </si>
  <si>
    <t>Grande Sagneule</t>
  </si>
  <si>
    <t>2015PillJL-1</t>
  </si>
  <si>
    <t>PillJL-1</t>
  </si>
  <si>
    <t>St-Georges</t>
  </si>
  <si>
    <t>Mont Bally</t>
  </si>
  <si>
    <t>2015PillJL-2</t>
  </si>
  <si>
    <t>PillJL-2</t>
  </si>
  <si>
    <t>2015PillJL-3</t>
  </si>
  <si>
    <t>PillJL-3</t>
  </si>
  <si>
    <t>La Grandsonnaz</t>
  </si>
  <si>
    <t>2015PRETFA-1</t>
  </si>
  <si>
    <t>PRETFA-1</t>
  </si>
  <si>
    <t>Le Locle</t>
  </si>
  <si>
    <t>Ferme Modèle</t>
  </si>
  <si>
    <t>2015PRETFA-2</t>
  </si>
  <si>
    <t>PRETFA-2</t>
  </si>
  <si>
    <t>2015PRIOJE-2</t>
  </si>
  <si>
    <t>PRIOJE-2</t>
  </si>
  <si>
    <t>Premier</t>
  </si>
  <si>
    <t>Sur Grati</t>
  </si>
  <si>
    <t>2015PRIOJE-4</t>
  </si>
  <si>
    <t>PRIOJE-4</t>
  </si>
  <si>
    <t>Pampigny</t>
  </si>
  <si>
    <t>La Bouennaz</t>
  </si>
  <si>
    <t>2015PRIOJE-5</t>
  </si>
  <si>
    <t>PRIOJE-5</t>
  </si>
  <si>
    <t>2015PRIOJE-6</t>
  </si>
  <si>
    <t>PRIOJE-6</t>
  </si>
  <si>
    <t>Montherod</t>
  </si>
  <si>
    <t>Bois Masson</t>
  </si>
  <si>
    <t>2015PURASA-1</t>
  </si>
  <si>
    <t>PURASA-1</t>
  </si>
  <si>
    <t>Prato Grasso</t>
  </si>
  <si>
    <t>2015PURASA-12</t>
  </si>
  <si>
    <t>PURASA-12</t>
  </si>
  <si>
    <t>2015PURASA-13</t>
  </si>
  <si>
    <t>PURASA-13</t>
  </si>
  <si>
    <t>2015PURASA-2</t>
  </si>
  <si>
    <t>PURASA-2</t>
  </si>
  <si>
    <t>2015PURASA-3</t>
  </si>
  <si>
    <t>PURASA-3</t>
  </si>
  <si>
    <t>2015PURASA-4</t>
  </si>
  <si>
    <t>PURASA-4</t>
  </si>
  <si>
    <t>2015PURASA-5</t>
  </si>
  <si>
    <t>PURASA-5</t>
  </si>
  <si>
    <t>2015PURASA-6</t>
  </si>
  <si>
    <t>PURASA-6</t>
  </si>
  <si>
    <t>2015PURASA-7</t>
  </si>
  <si>
    <t>PURASA-7</t>
  </si>
  <si>
    <t>2015PURASA-8</t>
  </si>
  <si>
    <t>PURASA-8</t>
  </si>
  <si>
    <t>2015PURASA-9</t>
  </si>
  <si>
    <t>PURASA-9</t>
  </si>
  <si>
    <t>2015REZZONICOMA1</t>
  </si>
  <si>
    <t>REZZONICOMA1</t>
  </si>
  <si>
    <t>Lugano</t>
  </si>
  <si>
    <t>Alpe Bolla</t>
  </si>
  <si>
    <t>2015REZZONICORO-05</t>
  </si>
  <si>
    <t>REZZONICORO-05</t>
  </si>
  <si>
    <t>Ronco</t>
  </si>
  <si>
    <t>2015REZZONICORO-1</t>
  </si>
  <si>
    <t>REZZONICORO-1</t>
  </si>
  <si>
    <t>2015REZZONICORO-10</t>
  </si>
  <si>
    <t>REZZONICORO-10</t>
  </si>
  <si>
    <t>Paradiso</t>
  </si>
  <si>
    <t>2015REZZONICORO-11</t>
  </si>
  <si>
    <t>REZZONICORO-11</t>
  </si>
  <si>
    <t>Monda</t>
  </si>
  <si>
    <t>2015REZZONICORO-12</t>
  </si>
  <si>
    <t>REZZONICORO-12</t>
  </si>
  <si>
    <t>Poccolo</t>
  </si>
  <si>
    <t>2015REZZONICORO-13</t>
  </si>
  <si>
    <t>REZZONICORO-13</t>
  </si>
  <si>
    <t>Val Rema</t>
  </si>
  <si>
    <t>2015REZZONICORO-14</t>
  </si>
  <si>
    <t>REZZONICORO-14</t>
  </si>
  <si>
    <t>2015REZZONICORO-15</t>
  </si>
  <si>
    <t>REZZONICORO-15</t>
  </si>
  <si>
    <t>Alpe del Corno</t>
  </si>
  <si>
    <t>2015REZZONICORO-16</t>
  </si>
  <si>
    <t>REZZONICORO-16</t>
  </si>
  <si>
    <t>2015REZZONICORO-17</t>
  </si>
  <si>
    <t>REZZONICORO-17</t>
  </si>
  <si>
    <t>Cureggia</t>
  </si>
  <si>
    <t>2015REZZONICORO-18</t>
  </si>
  <si>
    <t>REZZONICORO-18</t>
  </si>
  <si>
    <t>Cabbio</t>
  </si>
  <si>
    <t>Fume Breggia</t>
  </si>
  <si>
    <t>2015REZZONICORO-19</t>
  </si>
  <si>
    <t>REZZONICORO-19</t>
  </si>
  <si>
    <t>Soragno</t>
  </si>
  <si>
    <t>2015REZZONICORO-2</t>
  </si>
  <si>
    <t>REZZONICORO-2</t>
  </si>
  <si>
    <t>Lurenzin</t>
  </si>
  <si>
    <t>2015REZZONICORO-3</t>
  </si>
  <si>
    <t>REZZONICORO-3</t>
  </si>
  <si>
    <t>Crus</t>
  </si>
  <si>
    <t>2015REZZONICORO-4</t>
  </si>
  <si>
    <t>REZZONICORO-4</t>
  </si>
  <si>
    <t>Amar</t>
  </si>
  <si>
    <t>2015REZZONICORO-6</t>
  </si>
  <si>
    <t>REZZONICORO-6</t>
  </si>
  <si>
    <t>Fume Ticino</t>
  </si>
  <si>
    <t>2015REZZONICORO-7</t>
  </si>
  <si>
    <t>REZZONICORO-7</t>
  </si>
  <si>
    <t>2015REZZONICORO-8</t>
  </si>
  <si>
    <t>REZZONICORO-8</t>
  </si>
  <si>
    <t>2015REZZONICORO-9</t>
  </si>
  <si>
    <t>REZZONICORO-9</t>
  </si>
  <si>
    <t>2015RICHAD_8</t>
  </si>
  <si>
    <t>RICHAD_8</t>
  </si>
  <si>
    <t>Torricella</t>
  </si>
  <si>
    <t>Monti di Torricella</t>
  </si>
  <si>
    <t>2015RICHAD-1</t>
  </si>
  <si>
    <t>RICHAD-1</t>
  </si>
  <si>
    <t>Isone</t>
  </si>
  <si>
    <t>Caneggio, Corte di mezzo</t>
  </si>
  <si>
    <t>2015RICHAD-10</t>
  </si>
  <si>
    <t>RICHAD-10</t>
  </si>
  <si>
    <t>Monti di Stairino, Fontanelle</t>
  </si>
  <si>
    <t>2015RICHAD-2</t>
  </si>
  <si>
    <t>RICHAD-2</t>
  </si>
  <si>
    <t>Rivera, Monte di Spina</t>
  </si>
  <si>
    <t>2015RICHAD-3</t>
  </si>
  <si>
    <t>RICHAD-3</t>
  </si>
  <si>
    <t>Rivera, Sasso di Spina</t>
  </si>
  <si>
    <t>2015RICHAD-4</t>
  </si>
  <si>
    <t>RICHAD-4</t>
  </si>
  <si>
    <t>2015RICHAD-5</t>
  </si>
  <si>
    <t>RICHAD-5</t>
  </si>
  <si>
    <t>Fontanelle</t>
  </si>
  <si>
    <t>2015RICHAD-6</t>
  </si>
  <si>
    <t>RICHAD-6</t>
  </si>
  <si>
    <t>2015RICHAD-7</t>
  </si>
  <si>
    <t>RICHAD-7</t>
  </si>
  <si>
    <t>2015RICHAD-9</t>
  </si>
  <si>
    <t>RICHAD-9</t>
  </si>
  <si>
    <t>Monti di Sigirino</t>
  </si>
  <si>
    <t>2015RIMEYA01</t>
  </si>
  <si>
    <t>RIMEYA01</t>
  </si>
  <si>
    <t>La Trême, Riau d Enfer</t>
  </si>
  <si>
    <t>2015Roch-1</t>
  </si>
  <si>
    <t>Roch-1</t>
  </si>
  <si>
    <t>Petit Risoud</t>
  </si>
  <si>
    <t>2015Roch-2</t>
  </si>
  <si>
    <t>Roch-2</t>
  </si>
  <si>
    <t>2015Roch-3</t>
  </si>
  <si>
    <t>Roch-3</t>
  </si>
  <si>
    <t>2015ROSAOR-1</t>
  </si>
  <si>
    <t>Gardana</t>
  </si>
  <si>
    <t>2015ROSAOR-10</t>
  </si>
  <si>
    <t>ROSAOR-10</t>
  </si>
  <si>
    <t>Curtina</t>
  </si>
  <si>
    <t>Moncecco</t>
  </si>
  <si>
    <t>2015ROSAOR-2</t>
  </si>
  <si>
    <t>Signôra</t>
  </si>
  <si>
    <t>Costa dei Badairoli</t>
  </si>
  <si>
    <t>2015ROSAOR-3</t>
  </si>
  <si>
    <t>ROSAOR-3</t>
  </si>
  <si>
    <t>Pezza</t>
  </si>
  <si>
    <t>2015ROSAOR-4</t>
  </si>
  <si>
    <t>ROSAOR-4</t>
  </si>
  <si>
    <t>2015ROSAOR-5</t>
  </si>
  <si>
    <t>ROSAOR-5</t>
  </si>
  <si>
    <t>Le Spine</t>
  </si>
  <si>
    <t>2015ROSAOR-6</t>
  </si>
  <si>
    <t>ROSAOR-6</t>
  </si>
  <si>
    <t>2015ROSAOR-7</t>
  </si>
  <si>
    <t>ROSAOR-7</t>
  </si>
  <si>
    <t>Lavinone</t>
  </si>
  <si>
    <t>2015ROSAOR-8</t>
  </si>
  <si>
    <t>ROSAOR-8</t>
  </si>
  <si>
    <t>2015ROSAOR-9</t>
  </si>
  <si>
    <t>ROSAOR-9</t>
  </si>
  <si>
    <t>Volpera</t>
  </si>
  <si>
    <t>Ross.Gi.8</t>
  </si>
  <si>
    <t>Onsernone</t>
  </si>
  <si>
    <t>Monte Calcima</t>
  </si>
  <si>
    <t>2015ROSSAL-1</t>
  </si>
  <si>
    <t>ROSSAL-1</t>
  </si>
  <si>
    <t>La Rippe</t>
  </si>
  <si>
    <t>Vandôme</t>
  </si>
  <si>
    <t>2015ROSS-GI-10</t>
  </si>
  <si>
    <t>ROSS-GI-10</t>
  </si>
  <si>
    <t>Monte Buritt</t>
  </si>
  <si>
    <t>2015ROSS-GI14</t>
  </si>
  <si>
    <t>ROSS-GI14</t>
  </si>
  <si>
    <t>Monte Riane</t>
  </si>
  <si>
    <t>2015ROSS-GI15</t>
  </si>
  <si>
    <t>ROSS-GI15</t>
  </si>
  <si>
    <t>Monte Frascheine</t>
  </si>
  <si>
    <t>2015ROSS-GI18</t>
  </si>
  <si>
    <t>ROSS-GI18</t>
  </si>
  <si>
    <t>2015ROSS-Gi19</t>
  </si>
  <si>
    <t>ROSS-Gi19</t>
  </si>
  <si>
    <t>2015ROSS-GI20</t>
  </si>
  <si>
    <t>ROSS-GI20</t>
  </si>
  <si>
    <t>2015ROSS-Gi9</t>
  </si>
  <si>
    <t>ROSS-Gi9</t>
  </si>
  <si>
    <t>2015Rothmi/3</t>
  </si>
  <si>
    <t>Rothmi/3</t>
  </si>
  <si>
    <t>Combenoire</t>
  </si>
  <si>
    <t>2015Rothmi/4</t>
  </si>
  <si>
    <t>Rothmi/4</t>
  </si>
  <si>
    <t>Monod</t>
  </si>
  <si>
    <t>2015RothMi-1</t>
  </si>
  <si>
    <t>RothMi-1</t>
  </si>
  <si>
    <t>Bière</t>
  </si>
  <si>
    <t>Marchairuz</t>
  </si>
  <si>
    <t>2015Rothmi-2</t>
  </si>
  <si>
    <t>Rothmi-2</t>
  </si>
  <si>
    <t>Poteau</t>
  </si>
  <si>
    <t>2015Rothmi-5</t>
  </si>
  <si>
    <t>Rothmi-5</t>
  </si>
  <si>
    <t>Fermens</t>
  </si>
  <si>
    <t>2015Rothmi-6</t>
  </si>
  <si>
    <t>Rothmi-6</t>
  </si>
  <si>
    <t>2015SAVAAD-1</t>
  </si>
  <si>
    <t>SAVAAD-1</t>
  </si>
  <si>
    <t>Joux de Pra Filleux</t>
  </si>
  <si>
    <t>2015SAVAAD-2</t>
  </si>
  <si>
    <t>SAVAAD-2</t>
  </si>
  <si>
    <t>Les Sudains</t>
  </si>
  <si>
    <t>2015SAVABR-10</t>
  </si>
  <si>
    <t>SAVABR-10</t>
  </si>
  <si>
    <t>Praz Novi</t>
  </si>
  <si>
    <t>2015SAVABR-12</t>
  </si>
  <si>
    <t>SAVABR-12</t>
  </si>
  <si>
    <t>Brillons</t>
  </si>
  <si>
    <t>2015SAVABR-14</t>
  </si>
  <si>
    <t>SAVABR-14</t>
  </si>
  <si>
    <t>2015SAVABR-3</t>
  </si>
  <si>
    <t>2015SAVAJE-1</t>
  </si>
  <si>
    <t>Petits Praty</t>
  </si>
  <si>
    <t>2015SAVAJE-2</t>
  </si>
  <si>
    <t>SAVAJE-2</t>
  </si>
  <si>
    <t>Les Possessions</t>
  </si>
  <si>
    <t>2015SAVALU-1</t>
  </si>
  <si>
    <t>SAVALU-1</t>
  </si>
  <si>
    <t>Montborget</t>
  </si>
  <si>
    <t>2015SAVALU-2</t>
  </si>
  <si>
    <t>SAVALU-2</t>
  </si>
  <si>
    <t>2015SAVALU-3</t>
  </si>
  <si>
    <t>SAVALU-3</t>
  </si>
  <si>
    <t>2015SAVALU-4</t>
  </si>
  <si>
    <t>SAVALU-4</t>
  </si>
  <si>
    <t>Lieffrens</t>
  </si>
  <si>
    <t>Bois du Chaney</t>
  </si>
  <si>
    <t>2015SAVALU-5</t>
  </si>
  <si>
    <t>SAVALU-5</t>
  </si>
  <si>
    <t>Le Dévin</t>
  </si>
  <si>
    <t>2015TANTMA-1</t>
  </si>
  <si>
    <t>TANTMA-1</t>
  </si>
  <si>
    <t>Capriasca</t>
  </si>
  <si>
    <t>Bedolascia</t>
  </si>
  <si>
    <t>2015TANTMA-2</t>
  </si>
  <si>
    <t>TANTMA-2</t>
  </si>
  <si>
    <t>2015TANTMA-3</t>
  </si>
  <si>
    <t>TANTMA-3</t>
  </si>
  <si>
    <t>2015TANTST1</t>
  </si>
  <si>
    <t>TANTST1</t>
  </si>
  <si>
    <t>Cima Bue</t>
  </si>
  <si>
    <t>2015TANTST2</t>
  </si>
  <si>
    <t>TANTST2</t>
  </si>
  <si>
    <t>Costa Bue</t>
  </si>
  <si>
    <t>2015TANTST3</t>
  </si>
  <si>
    <t>TANTST3</t>
  </si>
  <si>
    <t>Alpe di Arogno</t>
  </si>
  <si>
    <t>2015UELTYV-1</t>
  </si>
  <si>
    <t>UELTYV-1</t>
  </si>
  <si>
    <t>La Sauge</t>
  </si>
  <si>
    <t>2015UELTYV-2</t>
  </si>
  <si>
    <t>UELTYV-2</t>
  </si>
  <si>
    <t>Buclards</t>
  </si>
  <si>
    <t>2015YERLMI-3</t>
  </si>
  <si>
    <t>La Folliaz</t>
  </si>
  <si>
    <t>2015YERLMI-4</t>
  </si>
  <si>
    <t>2015YERLMI-5</t>
  </si>
  <si>
    <t>YERLMI-5</t>
  </si>
  <si>
    <t>2015YERLMI-7</t>
  </si>
  <si>
    <t>YERLMI-7</t>
  </si>
  <si>
    <t>2015YERLMI-8</t>
  </si>
  <si>
    <t>YERLMI-8</t>
  </si>
  <si>
    <t>Lentigny</t>
  </si>
  <si>
    <t>2016ALTIAN-1</t>
  </si>
  <si>
    <t>ALTIAN-1</t>
  </si>
  <si>
    <t>Prato</t>
  </si>
  <si>
    <t>Garolgé</t>
  </si>
  <si>
    <t>2016ALTIAN-2</t>
  </si>
  <si>
    <t>ALTIAN-2</t>
  </si>
  <si>
    <t>Casoréi</t>
  </si>
  <si>
    <t>2016ANARGI-1</t>
  </si>
  <si>
    <t>2016ANARGI-2</t>
  </si>
  <si>
    <t>Fié</t>
  </si>
  <si>
    <t>2016ANARGI-3</t>
  </si>
  <si>
    <t>2016ANARGI-4</t>
  </si>
  <si>
    <t>Pain</t>
  </si>
  <si>
    <t>2016ANARGI-6</t>
  </si>
  <si>
    <t>Cadrigna</t>
  </si>
  <si>
    <t>Alpe cottino</t>
  </si>
  <si>
    <t>2016ANARGI-7</t>
  </si>
  <si>
    <t>Val Saslina</t>
  </si>
  <si>
    <t>2016ANKEFR-1</t>
  </si>
  <si>
    <t>Les Econduits</t>
  </si>
  <si>
    <t>2016ANKEFR-2</t>
  </si>
  <si>
    <t>Le Baillod</t>
  </si>
  <si>
    <t>2016ANKEFR-3</t>
  </si>
  <si>
    <t>Les Coeudres</t>
  </si>
  <si>
    <t>2016BARBTH-1</t>
  </si>
  <si>
    <t>2016BELLEN-1</t>
  </si>
  <si>
    <t>2016BELLEN-2</t>
  </si>
  <si>
    <t>2016BELLEN-3</t>
  </si>
  <si>
    <t>BELLEN-3</t>
  </si>
  <si>
    <t>Piano di Mora</t>
  </si>
  <si>
    <t>2016BELLEN-4</t>
  </si>
  <si>
    <t>BELLEN-4</t>
  </si>
  <si>
    <t>Monti di Spina</t>
  </si>
  <si>
    <t>2016BIANRO-1</t>
  </si>
  <si>
    <t>BIANRO-1</t>
  </si>
  <si>
    <t>Cioss di Sopra</t>
  </si>
  <si>
    <t>2016BIANRO-2</t>
  </si>
  <si>
    <t>BIANRO-2</t>
  </si>
  <si>
    <t>2016BIANRO-3</t>
  </si>
  <si>
    <t>BIANRO-3</t>
  </si>
  <si>
    <t>Fontana</t>
  </si>
  <si>
    <t>Bombel</t>
  </si>
  <si>
    <t>2016BIANRO-4</t>
  </si>
  <si>
    <t>BIANRO-4</t>
  </si>
  <si>
    <t>Trenta Valli</t>
  </si>
  <si>
    <t>2016BIANRO-5</t>
  </si>
  <si>
    <t>BIANRO-5</t>
  </si>
  <si>
    <t>Roncaccio</t>
  </si>
  <si>
    <t>2016BIANRO-6</t>
  </si>
  <si>
    <t>BIANRO-6</t>
  </si>
  <si>
    <t>2016BIANRO-7</t>
  </si>
  <si>
    <t>BIANRO-7</t>
  </si>
  <si>
    <t>Cana zora</t>
  </si>
  <si>
    <t>2016BIANRO-8</t>
  </si>
  <si>
    <t>BIANRO-8</t>
  </si>
  <si>
    <t>Bruzella</t>
  </si>
  <si>
    <t>Alpe Nuovo</t>
  </si>
  <si>
    <t>2016BIGNCA-1</t>
  </si>
  <si>
    <t>BIGNCA-1</t>
  </si>
  <si>
    <t>2016BIGNCA-2</t>
  </si>
  <si>
    <t>BIGNCA-2</t>
  </si>
  <si>
    <t>Val salina</t>
  </si>
  <si>
    <t>2016BIGNCA-3</t>
  </si>
  <si>
    <t>BIGNCA-3</t>
  </si>
  <si>
    <t>Bascomuni</t>
  </si>
  <si>
    <t>2016BOIAOR-1</t>
  </si>
  <si>
    <t>BOIAOR-1</t>
  </si>
  <si>
    <t>Pianturin</t>
  </si>
  <si>
    <t>2016Buchmi1</t>
  </si>
  <si>
    <t>Buchmi1</t>
  </si>
  <si>
    <t>JU</t>
  </si>
  <si>
    <t>Rebeuvelier</t>
  </si>
  <si>
    <t>Prés des Auges</t>
  </si>
  <si>
    <t>2016Buchmi2</t>
  </si>
  <si>
    <t>Buchmi2</t>
  </si>
  <si>
    <t>2016Buchmi3</t>
  </si>
  <si>
    <t>Buchmi3</t>
  </si>
  <si>
    <t>Gitzi</t>
  </si>
  <si>
    <t>2016Buchmi4</t>
  </si>
  <si>
    <t>Buchmi4</t>
  </si>
  <si>
    <t>2016Buchmi5</t>
  </si>
  <si>
    <t>Buchmi5</t>
  </si>
  <si>
    <t>Les Enfers</t>
  </si>
  <si>
    <t>Les Tourbières des Enfers</t>
  </si>
  <si>
    <t>2016Buchmi6</t>
  </si>
  <si>
    <t>Buchmi6</t>
  </si>
  <si>
    <t>2016Buchmi7</t>
  </si>
  <si>
    <t>Buchmi7</t>
  </si>
  <si>
    <t>2016BURIMA-2</t>
  </si>
  <si>
    <t>BURIMA-2</t>
  </si>
  <si>
    <t>Mt Dana</t>
  </si>
  <si>
    <t>2016BURMA-7</t>
  </si>
  <si>
    <t>BURMA-7</t>
  </si>
  <si>
    <t>Pairolo</t>
  </si>
  <si>
    <t>2016CAVACO-1</t>
  </si>
  <si>
    <t>Mte la Böta</t>
  </si>
  <si>
    <t>2016CAVACO-10</t>
  </si>
  <si>
    <t>2016CAVACO-2</t>
  </si>
  <si>
    <t>2016CAVACO-3</t>
  </si>
  <si>
    <t>Garina</t>
  </si>
  <si>
    <t>2016CAVACO-4</t>
  </si>
  <si>
    <t>Sassello</t>
  </si>
  <si>
    <t>2016CAVACO-5</t>
  </si>
  <si>
    <t>Redemonte</t>
  </si>
  <si>
    <t>2016CAVACO-6</t>
  </si>
  <si>
    <t>Bola</t>
  </si>
  <si>
    <t>2016CAVACO-7</t>
  </si>
  <si>
    <t>2016CAVACO-8</t>
  </si>
  <si>
    <t>Garna</t>
  </si>
  <si>
    <t>2016CAVACO-9</t>
  </si>
  <si>
    <t>Passo Gavina</t>
  </si>
  <si>
    <t>2016CAVAMA-1</t>
  </si>
  <si>
    <t>CAVAMA-1</t>
  </si>
  <si>
    <t>Lampo</t>
  </si>
  <si>
    <t>2016CAVAMA-10</t>
  </si>
  <si>
    <t>CAVAMA-10</t>
  </si>
  <si>
    <t>Berzona</t>
  </si>
  <si>
    <t>Aiasco</t>
  </si>
  <si>
    <t>2016CAVAMA-2</t>
  </si>
  <si>
    <t>CAVAMA-2</t>
  </si>
  <si>
    <t>2016CAVAMA-3</t>
  </si>
  <si>
    <t>CAVAMA-3</t>
  </si>
  <si>
    <t>2016CAVAMA-4</t>
  </si>
  <si>
    <t>CAVAMA-4</t>
  </si>
  <si>
    <t>Peccia</t>
  </si>
  <si>
    <t>2016CAVAMA-5</t>
  </si>
  <si>
    <t>CAVAMA-5</t>
  </si>
  <si>
    <t>Mugnèedi sotto</t>
  </si>
  <si>
    <t>2016CAVAMA-6</t>
  </si>
  <si>
    <t>CAVAMA-6</t>
  </si>
  <si>
    <t>Cropp</t>
  </si>
  <si>
    <t>2016CAVAMA-7</t>
  </si>
  <si>
    <t>CAVAMA-7</t>
  </si>
  <si>
    <t>Marena</t>
  </si>
  <si>
    <t>2016CAVAMA-8</t>
  </si>
  <si>
    <t>CAVAMA-8</t>
  </si>
  <si>
    <t>Loco</t>
  </si>
  <si>
    <t>Gerbi</t>
  </si>
  <si>
    <t>2016CAVAMA-9</t>
  </si>
  <si>
    <t>CAVAMA-9</t>
  </si>
  <si>
    <t>2016CRETFH1-1</t>
  </si>
  <si>
    <t>CRETFH1-1</t>
  </si>
  <si>
    <t>Ayent</t>
  </si>
  <si>
    <t>Serin</t>
  </si>
  <si>
    <t>2016CRETTH-2</t>
  </si>
  <si>
    <t>CRETTH-2</t>
  </si>
  <si>
    <t>St-Maurice</t>
  </si>
  <si>
    <t>Bois-Noir</t>
  </si>
  <si>
    <t>2016CRETYC-2</t>
  </si>
  <si>
    <t>CRETYC-2</t>
  </si>
  <si>
    <t>Vionnaz</t>
  </si>
  <si>
    <t>L Avançon</t>
  </si>
  <si>
    <t>2016CRETYC-3</t>
  </si>
  <si>
    <t>CRETYC-3</t>
  </si>
  <si>
    <t>Billens-Hennens</t>
  </si>
  <si>
    <t>Hennens</t>
  </si>
  <si>
    <t>2016DENEPA-1</t>
  </si>
  <si>
    <t>DENEPA-1</t>
  </si>
  <si>
    <t>Les Monts</t>
  </si>
  <si>
    <t>2016DENEPA-10</t>
  </si>
  <si>
    <t>DENEPA-10</t>
  </si>
  <si>
    <t>2016DENEPA-11</t>
  </si>
  <si>
    <t>DENEPA-11</t>
  </si>
  <si>
    <t>Défénant</t>
  </si>
  <si>
    <t>2016DENEPA-3</t>
  </si>
  <si>
    <t>DENEPA-3</t>
  </si>
  <si>
    <t>Vuadens</t>
  </si>
  <si>
    <t>DENEPA-9</t>
  </si>
  <si>
    <t>Les Bugnons</t>
  </si>
  <si>
    <t>2016DENEPA-5</t>
  </si>
  <si>
    <t>DENEPA-5</t>
  </si>
  <si>
    <t>2016DEVISE-11</t>
  </si>
  <si>
    <t>DEVISE-11</t>
  </si>
  <si>
    <t>Pianca Birora</t>
  </si>
  <si>
    <t>2016DEVISE-2</t>
  </si>
  <si>
    <t>DEVISE-2</t>
  </si>
  <si>
    <t>Piavée</t>
  </si>
  <si>
    <t>2016DEVISE-3</t>
  </si>
  <si>
    <t>DEVISE-3</t>
  </si>
  <si>
    <t>2016DEVISE-4</t>
  </si>
  <si>
    <t>DEVISE-4</t>
  </si>
  <si>
    <t>Böscio-Triem</t>
  </si>
  <si>
    <t>2016DEVISE-5</t>
  </si>
  <si>
    <t>DEVISE-5</t>
  </si>
  <si>
    <t>2016DEVISE-7</t>
  </si>
  <si>
    <t>DEVISE-7</t>
  </si>
  <si>
    <t>2016DUCHPA-1</t>
  </si>
  <si>
    <t>Rechthalten</t>
  </si>
  <si>
    <t>Bucha</t>
  </si>
  <si>
    <t>2016FISCIV-06</t>
  </si>
  <si>
    <t>FISCIV-06</t>
  </si>
  <si>
    <t>2016FISCIV-09</t>
  </si>
  <si>
    <t>FISCIV-09</t>
  </si>
  <si>
    <t>2016FISCIV-1</t>
  </si>
  <si>
    <t>Italia RE</t>
  </si>
  <si>
    <t>Alpino</t>
  </si>
  <si>
    <t>2016FISCIV-10</t>
  </si>
  <si>
    <t>FISCIV-10</t>
  </si>
  <si>
    <t>2016FISCIV-11</t>
  </si>
  <si>
    <t>FISCIV-11</t>
  </si>
  <si>
    <t>2016FISCIV-12</t>
  </si>
  <si>
    <t>FISCIV-12</t>
  </si>
  <si>
    <t>2016FISCIV-13</t>
  </si>
  <si>
    <t>FISCIV-13</t>
  </si>
  <si>
    <t>2016FISCIV-14</t>
  </si>
  <si>
    <t>FISCIV-14</t>
  </si>
  <si>
    <t>2016FISCIV-15</t>
  </si>
  <si>
    <t>FISCIV-15</t>
  </si>
  <si>
    <t>2016FISCIV-16</t>
  </si>
  <si>
    <t>FISCIV-16</t>
  </si>
  <si>
    <t>2016FISCIV-17</t>
  </si>
  <si>
    <t>FISCIV-17</t>
  </si>
  <si>
    <t>2016FiSCIV-18</t>
  </si>
  <si>
    <t>FiSCIV-18</t>
  </si>
  <si>
    <t>2016FISCIV-19</t>
  </si>
  <si>
    <t>FISCIV-19</t>
  </si>
  <si>
    <t>2016FISCIV-2</t>
  </si>
  <si>
    <t>Centorelli</t>
  </si>
  <si>
    <t>Vaiarisc</t>
  </si>
  <si>
    <t>2016FISCIV-20</t>
  </si>
  <si>
    <t>FISCIV-20</t>
  </si>
  <si>
    <t>2016FISCIV-3</t>
  </si>
  <si>
    <t>2016FISCIV-4</t>
  </si>
  <si>
    <t>Salmone</t>
  </si>
  <si>
    <t>2016FISCIV-5</t>
  </si>
  <si>
    <t>2016FISCIV-7</t>
  </si>
  <si>
    <t>2016FISCIV-8</t>
  </si>
  <si>
    <t>2016GIAMGI-1</t>
  </si>
  <si>
    <t>2016GIAMGI-10</t>
  </si>
  <si>
    <t>GIAMGI-10</t>
  </si>
  <si>
    <t>2016GIAMGI-11</t>
  </si>
  <si>
    <t>GIAMGI-11</t>
  </si>
  <si>
    <t>2016GIAMGI-12</t>
  </si>
  <si>
    <t>GIAMGI-12</t>
  </si>
  <si>
    <t>2016GIAMGI-13</t>
  </si>
  <si>
    <t>GIAMGI-13</t>
  </si>
  <si>
    <t>2016GIAMGI-14</t>
  </si>
  <si>
    <t>GIAMGI-14</t>
  </si>
  <si>
    <t>2016GIAMGI-15</t>
  </si>
  <si>
    <t>GIAMGI-15</t>
  </si>
  <si>
    <t>2016GIAMGI-16</t>
  </si>
  <si>
    <t>GIAMGI-16</t>
  </si>
  <si>
    <t>2016GIAMGI-17</t>
  </si>
  <si>
    <t>GIAMGI-17</t>
  </si>
  <si>
    <t>2016GIAMGI-18</t>
  </si>
  <si>
    <t>GIAMGI-18</t>
  </si>
  <si>
    <t>2016GIAMGI-19</t>
  </si>
  <si>
    <t>GIAMGI-19</t>
  </si>
  <si>
    <t>??</t>
  </si>
  <si>
    <t>2016GIAMGI-2</t>
  </si>
  <si>
    <t>2016GIAMGI-20</t>
  </si>
  <si>
    <t>GIAMGI-20</t>
  </si>
  <si>
    <t>Curio</t>
  </si>
  <si>
    <t>2016GIAMGI-3</t>
  </si>
  <si>
    <t>2016GIAMGI-4</t>
  </si>
  <si>
    <t>2016GIAMGI-5</t>
  </si>
  <si>
    <t>2016GIAMGI-6</t>
  </si>
  <si>
    <t>2016GIAMGI-7</t>
  </si>
  <si>
    <t>2016GIAMGI-8</t>
  </si>
  <si>
    <t>GIAMGI-8</t>
  </si>
  <si>
    <t>2016GIAMGI-9</t>
  </si>
  <si>
    <t>GIAMGI-9</t>
  </si>
  <si>
    <t>2016GNASDA-11</t>
  </si>
  <si>
    <t>GNASDA-11</t>
  </si>
  <si>
    <t>Neggia</t>
  </si>
  <si>
    <t>2016GNOSDA-1</t>
  </si>
  <si>
    <t>2016GNOSDA-10</t>
  </si>
  <si>
    <t>2016GNOSDA-12</t>
  </si>
  <si>
    <t>Piano Lunga</t>
  </si>
  <si>
    <t>2016GNOSDA-13</t>
  </si>
  <si>
    <t>Mt Vairano</t>
  </si>
  <si>
    <t>2016GNOSDA-14</t>
  </si>
  <si>
    <t>Sanbarsciolo</t>
  </si>
  <si>
    <t>2016GNOSDA-15</t>
  </si>
  <si>
    <t>2016GNOSDA-2</t>
  </si>
  <si>
    <t>2016GNOSDA-3</t>
  </si>
  <si>
    <t>2016GNOSDA-4</t>
  </si>
  <si>
    <t>2016GNOSDA-5</t>
  </si>
  <si>
    <t>2016GNOSDA-6</t>
  </si>
  <si>
    <t>2016GNOSDA-7</t>
  </si>
  <si>
    <t>Liernaa</t>
  </si>
  <si>
    <t>2016GNOSDA-8</t>
  </si>
  <si>
    <t>2016GNOSDA-9</t>
  </si>
  <si>
    <t>2016GRUBLO-1</t>
  </si>
  <si>
    <t>Tessebete</t>
  </si>
  <si>
    <t>Piancone</t>
  </si>
  <si>
    <t>2016GRUBLO-2</t>
  </si>
  <si>
    <t>2016GRUBLO-3</t>
  </si>
  <si>
    <t>2016GRUBLO-4</t>
  </si>
  <si>
    <t>2016GRUBLO-5</t>
  </si>
  <si>
    <t>Vaglio</t>
  </si>
  <si>
    <t>Stinché</t>
  </si>
  <si>
    <t>2016GRUBLO-6</t>
  </si>
  <si>
    <t>Di Lugaggia</t>
  </si>
  <si>
    <t>2016GRUBLO-7</t>
  </si>
  <si>
    <t>2016K112979</t>
  </si>
  <si>
    <t>K112979</t>
  </si>
  <si>
    <t>les Verrieres</t>
  </si>
  <si>
    <t>le crêt rond</t>
  </si>
  <si>
    <t>Fang, considéré comme indigène sur la fait que la mue est bloquée et qu il a été bagué par J-L. Zimmermann</t>
  </si>
  <si>
    <t>2017K112985</t>
  </si>
  <si>
    <t>K112985</t>
  </si>
  <si>
    <t>2017K115155</t>
  </si>
  <si>
    <t>K115155</t>
  </si>
  <si>
    <t>Les Placettes</t>
  </si>
  <si>
    <t>2017K115162</t>
  </si>
  <si>
    <t>K115162</t>
  </si>
  <si>
    <t>Ville du Pont</t>
  </si>
  <si>
    <t>Les Jeannirons</t>
  </si>
  <si>
    <t>2017K115164</t>
  </si>
  <si>
    <t>K115164</t>
  </si>
  <si>
    <t>Derrière Chincul</t>
  </si>
  <si>
    <t>2017K115185</t>
  </si>
  <si>
    <t>K115185</t>
  </si>
  <si>
    <t>La Chaux-du-Milieu</t>
  </si>
  <si>
    <t>Plans Dernier</t>
  </si>
  <si>
    <t>2017K115186</t>
  </si>
  <si>
    <t>K115186</t>
  </si>
  <si>
    <t>2016K115187</t>
  </si>
  <si>
    <t>K115187</t>
  </si>
  <si>
    <t>signal des français</t>
  </si>
  <si>
    <t>2016K115188</t>
  </si>
  <si>
    <t>K115188</t>
  </si>
  <si>
    <t>2016K115189</t>
  </si>
  <si>
    <t>K115189</t>
  </si>
  <si>
    <t>La-Chaux-du-Milieu</t>
  </si>
  <si>
    <t>la Rocheta</t>
  </si>
  <si>
    <t>2016K115190</t>
  </si>
  <si>
    <t>K115190</t>
  </si>
  <si>
    <t>2016K115191</t>
  </si>
  <si>
    <t>K115191</t>
  </si>
  <si>
    <t>2016K115192</t>
  </si>
  <si>
    <t>K115192</t>
  </si>
  <si>
    <t>2016K115194</t>
  </si>
  <si>
    <t>K115194</t>
  </si>
  <si>
    <t>la ronde noire</t>
  </si>
  <si>
    <t>2016K115195</t>
  </si>
  <si>
    <t>K115195</t>
  </si>
  <si>
    <t>2016K115196</t>
  </si>
  <si>
    <t>K115196</t>
  </si>
  <si>
    <t>2016K115197</t>
  </si>
  <si>
    <t>K115197</t>
  </si>
  <si>
    <t>2016K115198</t>
  </si>
  <si>
    <t>K115198</t>
  </si>
  <si>
    <t>2016K115199</t>
  </si>
  <si>
    <t>K115199</t>
  </si>
  <si>
    <t>le pussin</t>
  </si>
  <si>
    <t>2016K115200</t>
  </si>
  <si>
    <t>K115200</t>
  </si>
  <si>
    <t>2017K116301</t>
  </si>
  <si>
    <t>K116301</t>
  </si>
  <si>
    <t>Bois Landry</t>
  </si>
  <si>
    <t>2017K116302</t>
  </si>
  <si>
    <t>K116302</t>
  </si>
  <si>
    <t>2017K116303</t>
  </si>
  <si>
    <t>K116303</t>
  </si>
  <si>
    <t>2017K116304</t>
  </si>
  <si>
    <t>K116304</t>
  </si>
  <si>
    <t>Bois des Loges</t>
  </si>
  <si>
    <t>2017K116305</t>
  </si>
  <si>
    <t>K116305</t>
  </si>
  <si>
    <t>Montagnette du Terreau</t>
  </si>
  <si>
    <t>2017K116306</t>
  </si>
  <si>
    <t>K116306</t>
  </si>
  <si>
    <t>2017K116308</t>
  </si>
  <si>
    <t>K116308</t>
  </si>
  <si>
    <t>La Grande Robella</t>
  </si>
  <si>
    <t>2017K116309</t>
  </si>
  <si>
    <t>K116309</t>
  </si>
  <si>
    <t>2017K116310</t>
  </si>
  <si>
    <t>K116310</t>
  </si>
  <si>
    <t>2017K116311</t>
  </si>
  <si>
    <t>K116311</t>
  </si>
  <si>
    <t>2017K116312_A</t>
  </si>
  <si>
    <t>K116312_A</t>
  </si>
  <si>
    <t>Pierre Marquée</t>
  </si>
  <si>
    <t>2017K116312_B</t>
  </si>
  <si>
    <t>K116312_B</t>
  </si>
  <si>
    <t>La Baume</t>
  </si>
  <si>
    <t>2017K116313</t>
  </si>
  <si>
    <t>K116313</t>
  </si>
  <si>
    <t>2017K116314</t>
  </si>
  <si>
    <t>K116314</t>
  </si>
  <si>
    <t>Bois de La Loge</t>
  </si>
  <si>
    <t>2017K116315</t>
  </si>
  <si>
    <t>K116315</t>
  </si>
  <si>
    <t>La Brevine</t>
  </si>
  <si>
    <t>Facteur</t>
  </si>
  <si>
    <t>2017K116316</t>
  </si>
  <si>
    <t>K116316</t>
  </si>
  <si>
    <t>La Grande Joux</t>
  </si>
  <si>
    <t>2017K116318</t>
  </si>
  <si>
    <t>K116318</t>
  </si>
  <si>
    <t>Petite Fies</t>
  </si>
  <si>
    <t>2017K116319</t>
  </si>
  <si>
    <t>K116319</t>
  </si>
  <si>
    <t>2017K116320</t>
  </si>
  <si>
    <t>K116320</t>
  </si>
  <si>
    <t>Joux Sus Les Planches</t>
  </si>
  <si>
    <t>2017K116321</t>
  </si>
  <si>
    <t>K116321</t>
  </si>
  <si>
    <t>Prés Cretegny</t>
  </si>
  <si>
    <t>2017K116322</t>
  </si>
  <si>
    <t>K116322</t>
  </si>
  <si>
    <t>La Rocheta</t>
  </si>
  <si>
    <t>2017K116323</t>
  </si>
  <si>
    <t>K116323</t>
  </si>
  <si>
    <t>2017K116324</t>
  </si>
  <si>
    <t>K116324</t>
  </si>
  <si>
    <t>2017K116325</t>
  </si>
  <si>
    <t>K116325</t>
  </si>
  <si>
    <t>Les Cernets</t>
  </si>
  <si>
    <t>2017K116326</t>
  </si>
  <si>
    <t>K116326</t>
  </si>
  <si>
    <t>Le Chasseron</t>
  </si>
  <si>
    <t>2017K116327</t>
  </si>
  <si>
    <t>K116327</t>
  </si>
  <si>
    <t>2017K116328</t>
  </si>
  <si>
    <t>K116328</t>
  </si>
  <si>
    <t>Le Pussin</t>
  </si>
  <si>
    <t>2017K116329</t>
  </si>
  <si>
    <t>K116329</t>
  </si>
  <si>
    <t>2017K116330</t>
  </si>
  <si>
    <t>K116330</t>
  </si>
  <si>
    <t>2017K116331</t>
  </si>
  <si>
    <t>K116331</t>
  </si>
  <si>
    <t>2017K116332</t>
  </si>
  <si>
    <t>K116332</t>
  </si>
  <si>
    <t>2017K116333</t>
  </si>
  <si>
    <t>K116333</t>
  </si>
  <si>
    <t>2017K116334</t>
  </si>
  <si>
    <t>K116334</t>
  </si>
  <si>
    <t>2017K116335</t>
  </si>
  <si>
    <t>K116335</t>
  </si>
  <si>
    <t>2017K116336</t>
  </si>
  <si>
    <t>K116336</t>
  </si>
  <si>
    <t>Signal des Francais</t>
  </si>
  <si>
    <t>2017K116337</t>
  </si>
  <si>
    <t>K116337</t>
  </si>
  <si>
    <t>2017K116338</t>
  </si>
  <si>
    <t>K116338</t>
  </si>
  <si>
    <t>Chantemerle</t>
  </si>
  <si>
    <t>2017K116339</t>
  </si>
  <si>
    <t>K116339</t>
  </si>
  <si>
    <t>2016LIMOMA-1</t>
  </si>
  <si>
    <t>LIMOMA-1</t>
  </si>
  <si>
    <t>2016MEISHE 1</t>
  </si>
  <si>
    <t>MEISHE 1</t>
  </si>
  <si>
    <t>2016MEISHE 5</t>
  </si>
  <si>
    <t>MEISHE 5</t>
  </si>
  <si>
    <t>Combe Vuillier</t>
  </si>
  <si>
    <t>2016MEISHE 6</t>
  </si>
  <si>
    <t>MEISHE 6</t>
  </si>
  <si>
    <t>Valangin</t>
  </si>
  <si>
    <t>Forêt de Bussy</t>
  </si>
  <si>
    <t>2016MEISHE 7</t>
  </si>
  <si>
    <t>MEISHE 7</t>
  </si>
  <si>
    <t>Saint-Aubin-Sauge</t>
  </si>
  <si>
    <t>Les Râpes</t>
  </si>
  <si>
    <t>2016MEISHE 8</t>
  </si>
  <si>
    <t>MEISHE 8</t>
  </si>
  <si>
    <t>Le Côtard</t>
  </si>
  <si>
    <t>2016MEISHE-10</t>
  </si>
  <si>
    <t>Rochers bruns</t>
  </si>
  <si>
    <t>2016MEISHE-11</t>
  </si>
  <si>
    <t>Maison Blanche</t>
  </si>
  <si>
    <t>2016MEISHE-12</t>
  </si>
  <si>
    <t>La Combe</t>
  </si>
  <si>
    <t>2016MEISHE-2</t>
  </si>
  <si>
    <t>2016MEISHE-3</t>
  </si>
  <si>
    <t>2016MEISHE-4</t>
  </si>
  <si>
    <t>Creux Moine</t>
  </si>
  <si>
    <t>2016MEISHE-9</t>
  </si>
  <si>
    <t>2016MORAMA-1</t>
  </si>
  <si>
    <t>Forcole</t>
  </si>
  <si>
    <t>2016MORAMA-2</t>
  </si>
  <si>
    <t>Cima Piencie</t>
  </si>
  <si>
    <t>2016MORAMA-3</t>
  </si>
  <si>
    <t>MORAMA-3</t>
  </si>
  <si>
    <t>Miglieglia</t>
  </si>
  <si>
    <t>Arasio</t>
  </si>
  <si>
    <t>2016MORAMA-4</t>
  </si>
  <si>
    <t>Sasso Galline</t>
  </si>
  <si>
    <t>2016MORAMA-5</t>
  </si>
  <si>
    <t>2016MORAMA-6</t>
  </si>
  <si>
    <t>2016MORAMA-7</t>
  </si>
  <si>
    <t>2016PRETFA-1</t>
  </si>
  <si>
    <t>Combe Jeanneret</t>
  </si>
  <si>
    <t>2016PRETFA-2</t>
  </si>
  <si>
    <t>Belle-Roche</t>
  </si>
  <si>
    <t>2016PRETFA-3</t>
  </si>
  <si>
    <t>PRETFA-3</t>
  </si>
  <si>
    <t>Les Cottards</t>
  </si>
  <si>
    <t>2016PRETFA-4</t>
  </si>
  <si>
    <t>PRETFA-4</t>
  </si>
  <si>
    <t>Les Siméons</t>
  </si>
  <si>
    <t>2016PURASA-10</t>
  </si>
  <si>
    <t>PURASA-10</t>
  </si>
  <si>
    <t>Robasano</t>
  </si>
  <si>
    <t>2016PURASA-11</t>
  </si>
  <si>
    <t>PURASA-11</t>
  </si>
  <si>
    <t>2016PURASA-12</t>
  </si>
  <si>
    <t>2016PURASA-13</t>
  </si>
  <si>
    <t>2016PURASA-14</t>
  </si>
  <si>
    <t>PURASA-14</t>
  </si>
  <si>
    <t>2016PURASA-16</t>
  </si>
  <si>
    <t>PURASA-16</t>
  </si>
  <si>
    <t>2016PURASA-17</t>
  </si>
  <si>
    <t>PURASA-17</t>
  </si>
  <si>
    <t>2016PURASA-19</t>
  </si>
  <si>
    <t>PURASA-19</t>
  </si>
  <si>
    <t>2016PURASA-21</t>
  </si>
  <si>
    <t>PURASA-21</t>
  </si>
  <si>
    <t>2016PURASA-22</t>
  </si>
  <si>
    <t>PURASA-22</t>
  </si>
  <si>
    <t>Robasacco</t>
  </si>
  <si>
    <t>2016PURASA-24</t>
  </si>
  <si>
    <t>PURASA-24</t>
  </si>
  <si>
    <t>2016PURASA-5</t>
  </si>
  <si>
    <t>2016PURASA-6</t>
  </si>
  <si>
    <t>2016PURASA-8</t>
  </si>
  <si>
    <t>2016PURASA-9</t>
  </si>
  <si>
    <t>2016REZZMA-1</t>
  </si>
  <si>
    <t>REZZMA-1</t>
  </si>
  <si>
    <t>Villa Luganese</t>
  </si>
  <si>
    <t>Canon</t>
  </si>
  <si>
    <t>2016REZZRO-1</t>
  </si>
  <si>
    <t>REZZRO-1</t>
  </si>
  <si>
    <t>Gerora</t>
  </si>
  <si>
    <t>2016REZZRO-10</t>
  </si>
  <si>
    <t>REZZRO-10</t>
  </si>
  <si>
    <t>Monte Pré</t>
  </si>
  <si>
    <t>2016REZZRO-11</t>
  </si>
  <si>
    <t>REZZRO-11</t>
  </si>
  <si>
    <t>Carbonera</t>
  </si>
  <si>
    <t>2016REZZRO-12</t>
  </si>
  <si>
    <t>REZZRO-12</t>
  </si>
  <si>
    <t>Brewgano</t>
  </si>
  <si>
    <t>2016REZZRO-13</t>
  </si>
  <si>
    <t>REZZRO-13</t>
  </si>
  <si>
    <t>2016REZZRO-2</t>
  </si>
  <si>
    <t>REZZRO-2</t>
  </si>
  <si>
    <t>Cabbbio</t>
  </si>
  <si>
    <t>2016REZZRO-3</t>
  </si>
  <si>
    <t>REZZRO-3</t>
  </si>
  <si>
    <t>Cadro</t>
  </si>
  <si>
    <t>Pian di Scagn</t>
  </si>
  <si>
    <t>2016REZZRO-4</t>
  </si>
  <si>
    <t>REZZRO-4</t>
  </si>
  <si>
    <t>2016REZZRO-5</t>
  </si>
  <si>
    <t>REZZRO-5</t>
  </si>
  <si>
    <t>2016REZZRO-6</t>
  </si>
  <si>
    <t>REZZRO-6</t>
  </si>
  <si>
    <t>Creda</t>
  </si>
  <si>
    <t>2016REZZRO-7</t>
  </si>
  <si>
    <t>REZZRO-7</t>
  </si>
  <si>
    <t>Crotta</t>
  </si>
  <si>
    <t>2016REZZRO-8</t>
  </si>
  <si>
    <t>REZZRO-8</t>
  </si>
  <si>
    <t>2016REZZRO-9</t>
  </si>
  <si>
    <t>REZZRO-9</t>
  </si>
  <si>
    <t>2016RICHAD-1</t>
  </si>
  <si>
    <t>2016RICHAD-10</t>
  </si>
  <si>
    <t>Böscion</t>
  </si>
  <si>
    <t>2016RICHAD-2</t>
  </si>
  <si>
    <t>Torricella-tavenne</t>
  </si>
  <si>
    <t>Mt. Di Torricella</t>
  </si>
  <si>
    <t>2016RICHAD-3</t>
  </si>
  <si>
    <t>Alborello</t>
  </si>
  <si>
    <t>2016RICHAD-4</t>
  </si>
  <si>
    <t>Mt Fornè</t>
  </si>
  <si>
    <t>2016RICHAD-5</t>
  </si>
  <si>
    <t>Mt. Di Spina</t>
  </si>
  <si>
    <t>2016RICHAD-6</t>
  </si>
  <si>
    <t>Pianone</t>
  </si>
  <si>
    <t>2016RICHAD-7</t>
  </si>
  <si>
    <t>Buiè</t>
  </si>
  <si>
    <t>2016RICHAD-8</t>
  </si>
  <si>
    <t>RICHAD-8</t>
  </si>
  <si>
    <t>Spina</t>
  </si>
  <si>
    <t>2016RICHAD-9</t>
  </si>
  <si>
    <t>2016ROSAOR-1</t>
  </si>
  <si>
    <t>2016ROSAOR-2</t>
  </si>
  <si>
    <t>Val di Cozzo</t>
  </si>
  <si>
    <t>2016ROSAOR-3</t>
  </si>
  <si>
    <t>Cucco</t>
  </si>
  <si>
    <t>2016ROSARE-1</t>
  </si>
  <si>
    <t>Carena</t>
  </si>
  <si>
    <t>Bassa di carena</t>
  </si>
  <si>
    <t>2016ROSARE-2</t>
  </si>
  <si>
    <t>Alpe Croveggia</t>
  </si>
  <si>
    <t>2016SAVABR-7</t>
  </si>
  <si>
    <t>SAVABR-7</t>
  </si>
  <si>
    <t>2016SAVALU-1</t>
  </si>
  <si>
    <t xml:space="preserve">Les possessions </t>
  </si>
  <si>
    <t>2016SAVALU-2</t>
  </si>
  <si>
    <t>Neyruz</t>
  </si>
  <si>
    <t>2016SAVALU-3</t>
  </si>
  <si>
    <t>2016SAVALU-4</t>
  </si>
  <si>
    <t>2016SAVARBR-1</t>
  </si>
  <si>
    <t>SAVARBR-1</t>
  </si>
  <si>
    <t>2016SAVARBR-10</t>
  </si>
  <si>
    <t>SAVARBR-10</t>
  </si>
  <si>
    <t>2016SAVARBR-2</t>
  </si>
  <si>
    <t>SAVARBR-2</t>
  </si>
  <si>
    <t>2016SAVARBR-3</t>
  </si>
  <si>
    <t>SAVARBR-3</t>
  </si>
  <si>
    <t>2016SAVARBR-5</t>
  </si>
  <si>
    <t>SAVARBR-5</t>
  </si>
  <si>
    <t>2016SAVARBR-6</t>
  </si>
  <si>
    <t>SAVARBR-6</t>
  </si>
  <si>
    <t>2016SAVARBR-9</t>
  </si>
  <si>
    <t>SAVARBR-9</t>
  </si>
  <si>
    <t>2016TANTASTE-1</t>
  </si>
  <si>
    <t>TANTASTE-1</t>
  </si>
  <si>
    <t>Alpe Arogno</t>
  </si>
  <si>
    <t>2016TANTASTE-2</t>
  </si>
  <si>
    <t>TANTASTE-2</t>
  </si>
  <si>
    <t>Albagnoni</t>
  </si>
  <si>
    <t>2016TANTASTE-3</t>
  </si>
  <si>
    <t>TANTASTE-3</t>
  </si>
  <si>
    <t>Bouee</t>
  </si>
  <si>
    <t>2016TANTASTE-4</t>
  </si>
  <si>
    <t>TANTASTE-4</t>
  </si>
  <si>
    <t>2016TANTASTE-5</t>
  </si>
  <si>
    <t>TANTASTE-5</t>
  </si>
  <si>
    <t>2016TANTMA-1</t>
  </si>
  <si>
    <t>2016TANTMA-2</t>
  </si>
  <si>
    <t>Lelgio</t>
  </si>
  <si>
    <t>2016TANTMA-3</t>
  </si>
  <si>
    <t>Scampo</t>
  </si>
  <si>
    <t>2016TARAAL-1</t>
  </si>
  <si>
    <t>TARAAL-1</t>
  </si>
  <si>
    <t>Quninto</t>
  </si>
  <si>
    <t>Giuvett</t>
  </si>
  <si>
    <t>2016TARAAL-2</t>
  </si>
  <si>
    <t>TARAAL-2</t>
  </si>
  <si>
    <t>2016YERLMI-1</t>
  </si>
  <si>
    <t>YERLMI-1</t>
  </si>
  <si>
    <t>Chatonnaye</t>
  </si>
  <si>
    <t>2017ANARGI-1</t>
  </si>
  <si>
    <t>Signora</t>
  </si>
  <si>
    <t>2017ANARGI-2</t>
  </si>
  <si>
    <t>Costa del Badairoli</t>
  </si>
  <si>
    <t>2017ANARGI-3</t>
  </si>
  <si>
    <t>Gimadera</t>
  </si>
  <si>
    <t>2017ANARGI-4</t>
  </si>
  <si>
    <t>Cugno da ra mardel</t>
  </si>
  <si>
    <t>2017BIGNCA-1</t>
  </si>
  <si>
    <t>Mugnai</t>
  </si>
  <si>
    <t>2017CISTAR-1</t>
  </si>
  <si>
    <t>CISTAR-1</t>
  </si>
  <si>
    <t>Vezio</t>
  </si>
  <si>
    <t>Alpe Firinescio</t>
  </si>
  <si>
    <t>2017CISTAR-2</t>
  </si>
  <si>
    <t>CISTAR-2</t>
  </si>
  <si>
    <t>Alpe Conansuq</t>
  </si>
  <si>
    <t>2017CISTAR-3</t>
  </si>
  <si>
    <t>CISTAR-3</t>
  </si>
  <si>
    <t>Alpe Mageno</t>
  </si>
  <si>
    <t>2017CISTAR-4</t>
  </si>
  <si>
    <t>CISTAR-4</t>
  </si>
  <si>
    <t>2017CISTAR-5</t>
  </si>
  <si>
    <t>CISTAR-5</t>
  </si>
  <si>
    <t>Aranno</t>
  </si>
  <si>
    <t>Sotto il Paese (Verso ponte vello)</t>
  </si>
  <si>
    <t>2017CORDJC-2</t>
  </si>
  <si>
    <t>CORDJC-2</t>
  </si>
  <si>
    <t>2017CORDJP-1</t>
  </si>
  <si>
    <t>2017CORDJP-3</t>
  </si>
  <si>
    <t>2017CREYVO-1</t>
  </si>
  <si>
    <t>CREYVO-1</t>
  </si>
  <si>
    <t>Icogne</t>
  </si>
  <si>
    <t>2017CREYVO-2</t>
  </si>
  <si>
    <t>CREYVO-2</t>
  </si>
  <si>
    <t>Le Tsijiri</t>
  </si>
  <si>
    <t>2017DENEPA-1</t>
  </si>
  <si>
    <t>Etang</t>
  </si>
  <si>
    <t>2017DENEPA-2</t>
  </si>
  <si>
    <t>DENEPA-2</t>
  </si>
  <si>
    <t>Chalet-neuf</t>
  </si>
  <si>
    <t>2017DENEPA-3</t>
  </si>
  <si>
    <t>2017DENEPA-4</t>
  </si>
  <si>
    <t>DENEPA-4</t>
  </si>
  <si>
    <t>Chatelard</t>
  </si>
  <si>
    <t>Derbali</t>
  </si>
  <si>
    <t>2017DENEPA-5</t>
  </si>
  <si>
    <t>Villarlod</t>
  </si>
  <si>
    <t>Le Vemau</t>
  </si>
  <si>
    <t>2017DENEPA-6</t>
  </si>
  <si>
    <t>DENEPA-6</t>
  </si>
  <si>
    <t>2017DUCHPA-1</t>
  </si>
  <si>
    <t>Giffers</t>
  </si>
  <si>
    <t>Guglera</t>
  </si>
  <si>
    <t>2017DUCHPA-2</t>
  </si>
  <si>
    <t>Brünisried</t>
  </si>
  <si>
    <t>Buechechäppeli</t>
  </si>
  <si>
    <t>2017DUCHPA-3</t>
  </si>
  <si>
    <t>2017DUCHPA-4</t>
  </si>
  <si>
    <t>DUCHPA-4</t>
  </si>
  <si>
    <t>Autigny</t>
  </si>
  <si>
    <t>Grand Champs</t>
  </si>
  <si>
    <t>2017DUCHPA-5</t>
  </si>
  <si>
    <t>2017DUCHPA-6</t>
  </si>
  <si>
    <t>DUCHPA-6</t>
  </si>
  <si>
    <t>Avry-sur-Matran</t>
  </si>
  <si>
    <t>Verdilloud</t>
  </si>
  <si>
    <t>2017ESPOMA-1</t>
  </si>
  <si>
    <t>ESPOMA-1</t>
  </si>
  <si>
    <t>Pranaccio</t>
  </si>
  <si>
    <t>2017ESPOMA-2</t>
  </si>
  <si>
    <t>ESPOMA-2</t>
  </si>
  <si>
    <t>Brono</t>
  </si>
  <si>
    <t>2017ESPOMA-3</t>
  </si>
  <si>
    <t>ESPOMA-3</t>
  </si>
  <si>
    <t>Forcatelle</t>
  </si>
  <si>
    <t>2017ESPOMA-4</t>
  </si>
  <si>
    <t>ESPOMA-4</t>
  </si>
  <si>
    <t>2017GARICJC-1</t>
  </si>
  <si>
    <t>GARICJC-1</t>
  </si>
  <si>
    <t>2017GARIJC-2</t>
  </si>
  <si>
    <t>GARIJC-2</t>
  </si>
  <si>
    <t>2017GARIJC-3</t>
  </si>
  <si>
    <t>GARIJC-3</t>
  </si>
  <si>
    <t>2017GARIJC-4</t>
  </si>
  <si>
    <t>GARIJC-4</t>
  </si>
  <si>
    <t>2017GARIJC-6</t>
  </si>
  <si>
    <t>GARIJC-6</t>
  </si>
  <si>
    <t>2017GARJC-5</t>
  </si>
  <si>
    <t>GARJC-5</t>
  </si>
  <si>
    <t>2017GNOSDA-1</t>
  </si>
  <si>
    <t>2017GNOSDA-2</t>
  </si>
  <si>
    <t>A. Neggia</t>
  </si>
  <si>
    <t>2017GNOSDA-3</t>
  </si>
  <si>
    <t>Olivone</t>
  </si>
  <si>
    <t>Piana</t>
  </si>
  <si>
    <t>2017GNOSDA-4</t>
  </si>
  <si>
    <t>Arbedo</t>
  </si>
  <si>
    <t>Gesero</t>
  </si>
  <si>
    <t>2017GNOSDA-5</t>
  </si>
  <si>
    <t>Monte Gambarogno</t>
  </si>
  <si>
    <t>2017GNOSDA-6</t>
  </si>
  <si>
    <t>2017JOSEDA-1</t>
  </si>
  <si>
    <t>2017JOSEDA-2</t>
  </si>
  <si>
    <t>2017JOSEDA-3</t>
  </si>
  <si>
    <t>JOSEDA-3</t>
  </si>
  <si>
    <t>2017JOSEDA-4</t>
  </si>
  <si>
    <t>2017JOSEDA-5</t>
  </si>
  <si>
    <t>2017K116340</t>
  </si>
  <si>
    <t>K116340</t>
  </si>
  <si>
    <t>2017K116341</t>
  </si>
  <si>
    <t>K116341</t>
  </si>
  <si>
    <t>2017K116342</t>
  </si>
  <si>
    <t>K116342</t>
  </si>
  <si>
    <t>2017K116343</t>
  </si>
  <si>
    <t>K116343</t>
  </si>
  <si>
    <t>2017K116344</t>
  </si>
  <si>
    <t>K116344</t>
  </si>
  <si>
    <t>2017K116345</t>
  </si>
  <si>
    <t>K116345</t>
  </si>
  <si>
    <t>2017K116346</t>
  </si>
  <si>
    <t>K116346</t>
  </si>
  <si>
    <t>2017K116347</t>
  </si>
  <si>
    <t>K116347</t>
  </si>
  <si>
    <t>2017K116348</t>
  </si>
  <si>
    <t>K116348</t>
  </si>
  <si>
    <t>2017K116349</t>
  </si>
  <si>
    <t>K116349</t>
  </si>
  <si>
    <t>2017K116350</t>
  </si>
  <si>
    <t>K116350</t>
  </si>
  <si>
    <t>2016K118451</t>
  </si>
  <si>
    <t>K118451</t>
  </si>
  <si>
    <t>2016K118452</t>
  </si>
  <si>
    <t>K118452</t>
  </si>
  <si>
    <t>le corp de garde</t>
  </si>
  <si>
    <t>2016K118453</t>
  </si>
  <si>
    <t>K118453</t>
  </si>
  <si>
    <t>pres cretegny</t>
  </si>
  <si>
    <t>2016K118454</t>
  </si>
  <si>
    <t>K118454</t>
  </si>
  <si>
    <t>2016K118455</t>
  </si>
  <si>
    <t>K118455</t>
  </si>
  <si>
    <t>2017K118455</t>
  </si>
  <si>
    <t>2016K118456</t>
  </si>
  <si>
    <t>K118456</t>
  </si>
  <si>
    <t>2016K118457</t>
  </si>
  <si>
    <t>K118457</t>
  </si>
  <si>
    <t>buttes</t>
  </si>
  <si>
    <t>le signal</t>
  </si>
  <si>
    <t>2016K118458</t>
  </si>
  <si>
    <t>K118458</t>
  </si>
  <si>
    <t>2016K118459</t>
  </si>
  <si>
    <t>K118459</t>
  </si>
  <si>
    <t>cret aux moines</t>
  </si>
  <si>
    <t>2016K118460</t>
  </si>
  <si>
    <t>K118460</t>
  </si>
  <si>
    <t>le soliat</t>
  </si>
  <si>
    <t>2016K118461</t>
  </si>
  <si>
    <t>K118461</t>
  </si>
  <si>
    <t>2016K118462</t>
  </si>
  <si>
    <t>K118462</t>
  </si>
  <si>
    <t>2016K118463</t>
  </si>
  <si>
    <t>K118463</t>
  </si>
  <si>
    <t>2016K118464</t>
  </si>
  <si>
    <t>K118464</t>
  </si>
  <si>
    <t>2016K118465</t>
  </si>
  <si>
    <t>K118465</t>
  </si>
  <si>
    <t>2016K118466</t>
  </si>
  <si>
    <t>K118466</t>
  </si>
  <si>
    <t>2016K118467</t>
  </si>
  <si>
    <t>K118467</t>
  </si>
  <si>
    <t>bellevue</t>
  </si>
  <si>
    <t>2016K118468</t>
  </si>
  <si>
    <t>K118468</t>
  </si>
  <si>
    <t>2016K118469</t>
  </si>
  <si>
    <t>K118469</t>
  </si>
  <si>
    <t>2016K118470</t>
  </si>
  <si>
    <t>K118470</t>
  </si>
  <si>
    <t>2016K118471</t>
  </si>
  <si>
    <t>K118471</t>
  </si>
  <si>
    <t>2016K118472</t>
  </si>
  <si>
    <t>K118472</t>
  </si>
  <si>
    <t>la bolene</t>
  </si>
  <si>
    <t>2016K118473</t>
  </si>
  <si>
    <t>K118473</t>
  </si>
  <si>
    <t>2016K118474</t>
  </si>
  <si>
    <t>K118474</t>
  </si>
  <si>
    <t>2016K118475</t>
  </si>
  <si>
    <t>K118475</t>
  </si>
  <si>
    <t>2016K118476</t>
  </si>
  <si>
    <t>K118476</t>
  </si>
  <si>
    <t>2016K118477</t>
  </si>
  <si>
    <t>K118477</t>
  </si>
  <si>
    <t>2016K118478</t>
  </si>
  <si>
    <t>K118478</t>
  </si>
  <si>
    <t>2016K118479</t>
  </si>
  <si>
    <t>K118479</t>
  </si>
  <si>
    <t>2016K118480</t>
  </si>
  <si>
    <t>K118480</t>
  </si>
  <si>
    <t>2016K118481</t>
  </si>
  <si>
    <t>K118481</t>
  </si>
  <si>
    <t>2016K118482</t>
  </si>
  <si>
    <t>K118482</t>
  </si>
  <si>
    <t>2016K118483</t>
  </si>
  <si>
    <t>K118483</t>
  </si>
  <si>
    <t>2016K118484</t>
  </si>
  <si>
    <t>K118484</t>
  </si>
  <si>
    <t>2016K118485</t>
  </si>
  <si>
    <t>K118485</t>
  </si>
  <si>
    <t>2016K118486</t>
  </si>
  <si>
    <t>K118486</t>
  </si>
  <si>
    <t>2016K118487</t>
  </si>
  <si>
    <t>K118487</t>
  </si>
  <si>
    <t>2016K118488</t>
  </si>
  <si>
    <t>K118488</t>
  </si>
  <si>
    <t>2016K118489</t>
  </si>
  <si>
    <t>K118489</t>
  </si>
  <si>
    <t>2016K118494</t>
  </si>
  <si>
    <t>K118494</t>
  </si>
  <si>
    <t>2016K118495</t>
  </si>
  <si>
    <t>K118495</t>
  </si>
  <si>
    <t>2016K118496</t>
  </si>
  <si>
    <t>K118496</t>
  </si>
  <si>
    <t>2016K118497</t>
  </si>
  <si>
    <t>K118497</t>
  </si>
  <si>
    <t>les  Ponts-de-Martel</t>
  </si>
  <si>
    <t>Haut de joux</t>
  </si>
  <si>
    <t>2016K118498</t>
  </si>
  <si>
    <t>K118498</t>
  </si>
  <si>
    <t>2017K118499</t>
  </si>
  <si>
    <t>K118499</t>
  </si>
  <si>
    <t>2017K118500</t>
  </si>
  <si>
    <t>K118500</t>
  </si>
  <si>
    <t>Les Ponts de Martel</t>
  </si>
  <si>
    <t>Plan Calame</t>
  </si>
  <si>
    <t>2017K121951</t>
  </si>
  <si>
    <t>K121951</t>
  </si>
  <si>
    <t>2017K121952</t>
  </si>
  <si>
    <t>K121952</t>
  </si>
  <si>
    <t>2017K121953</t>
  </si>
  <si>
    <t>K121953</t>
  </si>
  <si>
    <t>2017K121954</t>
  </si>
  <si>
    <t>K121954</t>
  </si>
  <si>
    <t>2017K121955</t>
  </si>
  <si>
    <t>K121955</t>
  </si>
  <si>
    <t>2017K121956</t>
  </si>
  <si>
    <t>K121956</t>
  </si>
  <si>
    <t>2017K121957</t>
  </si>
  <si>
    <t>K121957</t>
  </si>
  <si>
    <t>2017K121958</t>
  </si>
  <si>
    <t>K121958</t>
  </si>
  <si>
    <t>2017K121959</t>
  </si>
  <si>
    <t>K121959</t>
  </si>
  <si>
    <t>2017K121960</t>
  </si>
  <si>
    <t>K121960</t>
  </si>
  <si>
    <t>2017K121961</t>
  </si>
  <si>
    <t>K121961</t>
  </si>
  <si>
    <t>Crêt aux Moines</t>
  </si>
  <si>
    <t>2017K121962</t>
  </si>
  <si>
    <t>K121962</t>
  </si>
  <si>
    <t>Soliat</t>
  </si>
  <si>
    <t>2017K121963</t>
  </si>
  <si>
    <t>K121963</t>
  </si>
  <si>
    <t>2017K121964</t>
  </si>
  <si>
    <t>K121964</t>
  </si>
  <si>
    <t>2017K121965</t>
  </si>
  <si>
    <t>K121965</t>
  </si>
  <si>
    <t>Bellevue</t>
  </si>
  <si>
    <t>2017K121966</t>
  </si>
  <si>
    <t>K121966</t>
  </si>
  <si>
    <t>2017K121967</t>
  </si>
  <si>
    <t>K121967</t>
  </si>
  <si>
    <t>2017K121968</t>
  </si>
  <si>
    <t>K121968</t>
  </si>
  <si>
    <t>2017K121969</t>
  </si>
  <si>
    <t>K121969</t>
  </si>
  <si>
    <t>2017K121970</t>
  </si>
  <si>
    <t>K121970</t>
  </si>
  <si>
    <t>Le Corp de Garde</t>
  </si>
  <si>
    <t>2017K121971</t>
  </si>
  <si>
    <t>K121971</t>
  </si>
  <si>
    <t>2017K121972</t>
  </si>
  <si>
    <t>K121972</t>
  </si>
  <si>
    <t>Le Crêt Rond</t>
  </si>
  <si>
    <t>2017K121973</t>
  </si>
  <si>
    <t>K121973</t>
  </si>
  <si>
    <t>2017K121974</t>
  </si>
  <si>
    <t>K121974</t>
  </si>
  <si>
    <t>2017K121975</t>
  </si>
  <si>
    <t>K121975</t>
  </si>
  <si>
    <t>Les Coeubles</t>
  </si>
  <si>
    <t>2017K121976</t>
  </si>
  <si>
    <t>K121976</t>
  </si>
  <si>
    <t>2017K121977</t>
  </si>
  <si>
    <t>K121977</t>
  </si>
  <si>
    <t>2017K121978</t>
  </si>
  <si>
    <t>K121978</t>
  </si>
  <si>
    <t>2017K121979</t>
  </si>
  <si>
    <t>K121979</t>
  </si>
  <si>
    <t>2017K121980</t>
  </si>
  <si>
    <t>K121980</t>
  </si>
  <si>
    <t>2017K121981</t>
  </si>
  <si>
    <t>K121981</t>
  </si>
  <si>
    <t>2017K121982</t>
  </si>
  <si>
    <t>K121982</t>
  </si>
  <si>
    <t>2017K121983</t>
  </si>
  <si>
    <t>K121983</t>
  </si>
  <si>
    <t>2017K121985</t>
  </si>
  <si>
    <t>K121985</t>
  </si>
  <si>
    <t>2017K121986</t>
  </si>
  <si>
    <t>K121986</t>
  </si>
  <si>
    <t>2017K121988</t>
  </si>
  <si>
    <t>K121988</t>
  </si>
  <si>
    <t>2017K121989</t>
  </si>
  <si>
    <t>K121989</t>
  </si>
  <si>
    <t>2017K121990</t>
  </si>
  <si>
    <t>K121990</t>
  </si>
  <si>
    <t>2017K121991</t>
  </si>
  <si>
    <t>K121991</t>
  </si>
  <si>
    <t>2017K121992</t>
  </si>
  <si>
    <t>K121992</t>
  </si>
  <si>
    <t>2017K121993</t>
  </si>
  <si>
    <t>K121993</t>
  </si>
  <si>
    <t>Mouron</t>
  </si>
  <si>
    <t>2017K121994</t>
  </si>
  <si>
    <t>K121994</t>
  </si>
  <si>
    <t>2017K121995</t>
  </si>
  <si>
    <t>K121995</t>
  </si>
  <si>
    <t>2017K121996</t>
  </si>
  <si>
    <t>K121996</t>
  </si>
  <si>
    <t>La Bolene</t>
  </si>
  <si>
    <t>2017K121997</t>
  </si>
  <si>
    <t>K121997</t>
  </si>
  <si>
    <t>2017K121998</t>
  </si>
  <si>
    <t>K121998</t>
  </si>
  <si>
    <t>2017K121999</t>
  </si>
  <si>
    <t>K121999</t>
  </si>
  <si>
    <t>2017K122000</t>
  </si>
  <si>
    <t>K122000</t>
  </si>
  <si>
    <t>2017K122001</t>
  </si>
  <si>
    <t>K122001</t>
  </si>
  <si>
    <t>2017K122002</t>
  </si>
  <si>
    <t>K122002</t>
  </si>
  <si>
    <t>2017K122003</t>
  </si>
  <si>
    <t>K122003</t>
  </si>
  <si>
    <t>2017K122004</t>
  </si>
  <si>
    <t>K122004</t>
  </si>
  <si>
    <t>2017K122005</t>
  </si>
  <si>
    <t>K122005</t>
  </si>
  <si>
    <t>Les Cernets Dessus</t>
  </si>
  <si>
    <t>2017K122006</t>
  </si>
  <si>
    <t>K122006</t>
  </si>
  <si>
    <t>2017K122007</t>
  </si>
  <si>
    <t>K122007</t>
  </si>
  <si>
    <t>2017K122008</t>
  </si>
  <si>
    <t>K122008</t>
  </si>
  <si>
    <t>Les Cernets Dessous</t>
  </si>
  <si>
    <t>2017K122009</t>
  </si>
  <si>
    <t>K122009</t>
  </si>
  <si>
    <t>2017K122010</t>
  </si>
  <si>
    <t>K122010</t>
  </si>
  <si>
    <t>2017K122011</t>
  </si>
  <si>
    <t>K122011</t>
  </si>
  <si>
    <t>2017K122012</t>
  </si>
  <si>
    <t>K122012</t>
  </si>
  <si>
    <t>2017K122013</t>
  </si>
  <si>
    <t>K122013</t>
  </si>
  <si>
    <t>Hauts des Joux</t>
  </si>
  <si>
    <t>2017K122014</t>
  </si>
  <si>
    <t>K122014</t>
  </si>
  <si>
    <t>2017K122016</t>
  </si>
  <si>
    <t>K122016</t>
  </si>
  <si>
    <t>2017K122017</t>
  </si>
  <si>
    <t>K122017</t>
  </si>
  <si>
    <t>2017K122018</t>
  </si>
  <si>
    <t>K122018</t>
  </si>
  <si>
    <t>2017K73992</t>
  </si>
  <si>
    <t>K73992</t>
  </si>
  <si>
    <t>2017MEISHE-1</t>
  </si>
  <si>
    <t>Val de Ruz</t>
  </si>
  <si>
    <t>Pré à l Ours</t>
  </si>
  <si>
    <t>2017MEISHE-10</t>
  </si>
  <si>
    <t>Val de Travers</t>
  </si>
  <si>
    <t>Crêt des Allemand</t>
  </si>
  <si>
    <t>2017MEISHE-11</t>
  </si>
  <si>
    <t>La Rasereule</t>
  </si>
  <si>
    <t>2017MEISHE-12</t>
  </si>
  <si>
    <t>Bois de l halle</t>
  </si>
  <si>
    <t>2017MEISHE-13</t>
  </si>
  <si>
    <t>2017MEISHE-14</t>
  </si>
  <si>
    <t>Vers chez le Brandt</t>
  </si>
  <si>
    <t>2017MEISHE-2</t>
  </si>
  <si>
    <t>Grand Vy</t>
  </si>
  <si>
    <t>2017MEISHE-3</t>
  </si>
  <si>
    <t>2017MEISHE-4</t>
  </si>
  <si>
    <t>La Rolle</t>
  </si>
  <si>
    <t>2017MEISHE-5</t>
  </si>
  <si>
    <t>2017MEISHE-6</t>
  </si>
  <si>
    <t>Grande Combe</t>
  </si>
  <si>
    <t>2017MEISHE-7</t>
  </si>
  <si>
    <t>2017MEISHE-8</t>
  </si>
  <si>
    <t>Brot Plamboj</t>
  </si>
  <si>
    <t>Forêt de Plamboj</t>
  </si>
  <si>
    <t>2017MEISHE-9</t>
  </si>
  <si>
    <t>2017MESSJO-1</t>
  </si>
  <si>
    <t>MESSJO-1</t>
  </si>
  <si>
    <t>Bourrignon</t>
  </si>
  <si>
    <t>Les Ordons</t>
  </si>
  <si>
    <t>2017MESSJO-2</t>
  </si>
  <si>
    <t>MESSJO-2</t>
  </si>
  <si>
    <t>Chétion</t>
  </si>
  <si>
    <t>2017MESSJO-3</t>
  </si>
  <si>
    <t>MESSJO-3</t>
  </si>
  <si>
    <t>Montfaucon</t>
  </si>
  <si>
    <t>Plain-de-saigne</t>
  </si>
  <si>
    <t>2017MESSJO-4</t>
  </si>
  <si>
    <t>MESSJO-4</t>
  </si>
  <si>
    <t>2017MESSJO-5</t>
  </si>
  <si>
    <t>MESSJO-5</t>
  </si>
  <si>
    <t>2017MESSJO-6</t>
  </si>
  <si>
    <t>MESSJO-6</t>
  </si>
  <si>
    <t>2017PEDRAN-1</t>
  </si>
  <si>
    <t>PEDRAN-1</t>
  </si>
  <si>
    <t>All acqua</t>
  </si>
  <si>
    <t>2017PEDRAN-2</t>
  </si>
  <si>
    <t>PEDRAN-2</t>
  </si>
  <si>
    <t>Bellinzona</t>
  </si>
  <si>
    <t>2017PEDRAN-4</t>
  </si>
  <si>
    <t>PEDRAN-4</t>
  </si>
  <si>
    <t>Gademario</t>
  </si>
  <si>
    <t>2017PEDRAN-7</t>
  </si>
  <si>
    <t>PEDRAN-7</t>
  </si>
  <si>
    <t>Bioggio</t>
  </si>
  <si>
    <t>Stavei</t>
  </si>
  <si>
    <t>2017PEDRAN-8</t>
  </si>
  <si>
    <t>PEDRAN-8</t>
  </si>
  <si>
    <t>Origlio/Taverne</t>
  </si>
  <si>
    <t>Sanzeno/Bangale</t>
  </si>
  <si>
    <t>2017PEDRAN-9</t>
  </si>
  <si>
    <t>PEDRAN-9</t>
  </si>
  <si>
    <t>2017PENAJA-1</t>
  </si>
  <si>
    <t>La Gateraine</t>
  </si>
  <si>
    <t>2017PENAJA-2</t>
  </si>
  <si>
    <t>2017PENAJA-3</t>
  </si>
  <si>
    <t>2017PENAJA-4</t>
  </si>
  <si>
    <t>PENAJA-4</t>
  </si>
  <si>
    <t>Grande-Motte</t>
  </si>
  <si>
    <t>2017PRETFA-1</t>
  </si>
  <si>
    <t>2017PRETFA-2</t>
  </si>
  <si>
    <t>2017PRETFA-3</t>
  </si>
  <si>
    <t>Les Cottards dessus</t>
  </si>
  <si>
    <t>2017PRETFA-4</t>
  </si>
  <si>
    <t>Les Simeons</t>
  </si>
  <si>
    <t>2017PRETFA-5</t>
  </si>
  <si>
    <t>PRETFA-5</t>
  </si>
  <si>
    <t>Le locle</t>
  </si>
  <si>
    <t>2017PURASA-1</t>
  </si>
  <si>
    <t>Rubasacco</t>
  </si>
  <si>
    <t>2017PURASA-10</t>
  </si>
  <si>
    <t>2017PURASA-11</t>
  </si>
  <si>
    <t>2017PURASA-12</t>
  </si>
  <si>
    <t>2017PURASA-13</t>
  </si>
  <si>
    <t>2017PURASA-15</t>
  </si>
  <si>
    <t>PURASA-15</t>
  </si>
  <si>
    <t>2017PURASA-2</t>
  </si>
  <si>
    <t>2017PURASA-3</t>
  </si>
  <si>
    <t>2017PURASA-4</t>
  </si>
  <si>
    <t>2017PURASA-5</t>
  </si>
  <si>
    <t>2017PURASA-6</t>
  </si>
  <si>
    <t>2017PURASA-7</t>
  </si>
  <si>
    <t>2017RAMAA-1</t>
  </si>
  <si>
    <t>RAMAA-1</t>
  </si>
  <si>
    <t>2017ROCHCL-1</t>
  </si>
  <si>
    <t>ROCHCL-1</t>
  </si>
  <si>
    <t>2017ROCHCL-2</t>
  </si>
  <si>
    <t>ROCHCL-2</t>
  </si>
  <si>
    <t>2017ROCHCL-3</t>
  </si>
  <si>
    <t>ROCHCL-3</t>
  </si>
  <si>
    <t>2017ROSAOR-1</t>
  </si>
  <si>
    <t>2017ROSAOR-2</t>
  </si>
  <si>
    <t>Cimanera</t>
  </si>
  <si>
    <t>Cugnoli Corti</t>
  </si>
  <si>
    <t>2017ROSAOR-3</t>
  </si>
  <si>
    <t>Volpèra</t>
  </si>
  <si>
    <t>2017ROSARE-1</t>
  </si>
  <si>
    <t>Bearetto</t>
  </si>
  <si>
    <t>Tre Croci</t>
  </si>
  <si>
    <t>2017ROSARE-2</t>
  </si>
  <si>
    <t>2017ROSARE-3</t>
  </si>
  <si>
    <t>ROSARE-3</t>
  </si>
  <si>
    <t>Carnisc</t>
  </si>
  <si>
    <t>2017ROSSAL-1</t>
  </si>
  <si>
    <t>2017ROTHMI-1</t>
  </si>
  <si>
    <t>ROTHMI-1</t>
  </si>
  <si>
    <t>2017ROTHMI-2</t>
  </si>
  <si>
    <t>ROTHMI-2</t>
  </si>
  <si>
    <t>2017ROVEGA-1</t>
  </si>
  <si>
    <t>ROVEGA-1</t>
  </si>
  <si>
    <t>2017SAVABR-1</t>
  </si>
  <si>
    <t>2017SAVABR-2</t>
  </si>
  <si>
    <t>2017SAVABR-3</t>
  </si>
  <si>
    <t>2017SAVAJE-1</t>
  </si>
  <si>
    <t>2017SAVALU-1</t>
  </si>
  <si>
    <t>Commune de Maules</t>
  </si>
  <si>
    <t>2017SAVALU-2</t>
  </si>
  <si>
    <t>2017TANTMA-2</t>
  </si>
  <si>
    <t>Daura</t>
  </si>
  <si>
    <t>2017TANTMA-3</t>
  </si>
  <si>
    <t>Matro du Stinche</t>
  </si>
  <si>
    <t>2017TANTMAN-1</t>
  </si>
  <si>
    <t>TANTMAN-1</t>
  </si>
  <si>
    <t>Pian Passamonte</t>
  </si>
  <si>
    <t>ULRICHV.1</t>
  </si>
  <si>
    <t>La Chatagne</t>
  </si>
  <si>
    <t>2017VUILFR-1</t>
  </si>
  <si>
    <t>VUILFR-1</t>
  </si>
  <si>
    <t>2017VUILFR-2</t>
  </si>
  <si>
    <t>VUILFR-2</t>
  </si>
  <si>
    <t>Apples</t>
  </si>
  <si>
    <t>Les Bougeries</t>
  </si>
  <si>
    <t>2017VUILFR-3</t>
  </si>
  <si>
    <t>VUILFR-3</t>
  </si>
  <si>
    <t>2017VUILFR-4</t>
  </si>
  <si>
    <t>VUILFR-4</t>
  </si>
  <si>
    <t>2017VUILFR-5</t>
  </si>
  <si>
    <t>VUILFR-5</t>
  </si>
  <si>
    <t>Long Champs</t>
  </si>
  <si>
    <t>2017YERLMI-1</t>
  </si>
  <si>
    <t>Farvagny</t>
  </si>
  <si>
    <t>Posat</t>
  </si>
  <si>
    <t>2017YERLMI-2</t>
  </si>
  <si>
    <t>YERLMI-2</t>
  </si>
  <si>
    <t>2017YERLMI-3</t>
  </si>
  <si>
    <t>Vuisternens / Romont</t>
  </si>
  <si>
    <t>2017YERLMI-4</t>
  </si>
  <si>
    <t>Léchelles</t>
  </si>
  <si>
    <t>2017YERLMI-5</t>
  </si>
  <si>
    <t>Montagny</t>
  </si>
  <si>
    <t>2017YERLMI-6</t>
  </si>
  <si>
    <t>YERLMI-6</t>
  </si>
  <si>
    <t>Salvenach / Morat</t>
  </si>
  <si>
    <t>K122046</t>
  </si>
  <si>
    <t>K122045</t>
  </si>
  <si>
    <t>K122044</t>
  </si>
  <si>
    <t>K122043</t>
  </si>
  <si>
    <t>K122042</t>
  </si>
  <si>
    <t>K122041</t>
  </si>
  <si>
    <t>K122040</t>
  </si>
  <si>
    <t>K122039</t>
  </si>
  <si>
    <t>K122038</t>
  </si>
  <si>
    <t>K122037</t>
  </si>
  <si>
    <t>K122036</t>
  </si>
  <si>
    <t>K122034</t>
  </si>
  <si>
    <t>K115157</t>
  </si>
  <si>
    <t>K122033</t>
  </si>
  <si>
    <t>Sainte-Croix</t>
  </si>
  <si>
    <t>K122032</t>
  </si>
  <si>
    <t>K122031</t>
  </si>
  <si>
    <t>K122030</t>
  </si>
  <si>
    <t>K122029</t>
  </si>
  <si>
    <t>K122028</t>
  </si>
  <si>
    <t>K122027</t>
  </si>
  <si>
    <t>K122026</t>
  </si>
  <si>
    <t>K122025</t>
  </si>
  <si>
    <t>K122024</t>
  </si>
  <si>
    <t>K122023</t>
  </si>
  <si>
    <t>K122022</t>
  </si>
  <si>
    <t>K122021</t>
  </si>
  <si>
    <t>K122020</t>
  </si>
  <si>
    <t>K122019</t>
  </si>
  <si>
    <t>Chassagne saint denis</t>
  </si>
  <si>
    <t>2018K122046</t>
  </si>
  <si>
    <t>2018K122045</t>
  </si>
  <si>
    <t>2018K122044</t>
  </si>
  <si>
    <t>2018K122043</t>
  </si>
  <si>
    <t>2018K122042</t>
  </si>
  <si>
    <t>2018K122041</t>
  </si>
  <si>
    <t>2018K122040</t>
  </si>
  <si>
    <t>2018K122039</t>
  </si>
  <si>
    <t>2018K122038</t>
  </si>
  <si>
    <t>2018K122037</t>
  </si>
  <si>
    <t>2018K122036</t>
  </si>
  <si>
    <t>2018K112959</t>
  </si>
  <si>
    <t>2018K122034</t>
  </si>
  <si>
    <t>2018K115157</t>
  </si>
  <si>
    <t>2018K122033</t>
  </si>
  <si>
    <t>2018K122032</t>
  </si>
  <si>
    <t>2018K122031</t>
  </si>
  <si>
    <t>2018K122030</t>
  </si>
  <si>
    <t>2018K122029</t>
  </si>
  <si>
    <t>2018K122028</t>
  </si>
  <si>
    <t>2018K122027</t>
  </si>
  <si>
    <t>2018K122026</t>
  </si>
  <si>
    <t>2018K122025</t>
  </si>
  <si>
    <t>2018K122024</t>
  </si>
  <si>
    <t>2018K122023</t>
  </si>
  <si>
    <t>2018K122022</t>
  </si>
  <si>
    <t>2018K122021</t>
  </si>
  <si>
    <t>2018K122020</t>
  </si>
  <si>
    <t>2018K122019</t>
  </si>
  <si>
    <t>2018K118500</t>
  </si>
  <si>
    <t>2018K115155</t>
  </si>
  <si>
    <t>Cul Blanc</t>
  </si>
  <si>
    <t>Petites îles</t>
  </si>
  <si>
    <t>Bois du Pré Guillaume</t>
  </si>
  <si>
    <t>Cernil Ladame</t>
  </si>
  <si>
    <t>Grand Suvagnier</t>
  </si>
  <si>
    <t>Le Cernu</t>
  </si>
  <si>
    <t>La Vy Jaccard</t>
  </si>
  <si>
    <t>Saigne de Crève-Cœur</t>
  </si>
  <si>
    <t>Le Facteur</t>
  </si>
  <si>
    <t>Grande Forêt</t>
  </si>
  <si>
    <t>Grosse Prise</t>
  </si>
  <si>
    <t>Abschuss, indigène</t>
  </si>
  <si>
    <t>Abschuss, altitude 957m</t>
  </si>
  <si>
    <t>Abschuss, altitude 852m</t>
  </si>
  <si>
    <t>Abschuss, altitude 878m</t>
  </si>
  <si>
    <t>Abschuss, altitude 870m</t>
  </si>
  <si>
    <t>Abschuss, altitude 970m</t>
  </si>
  <si>
    <t>Abschuss, bague K112995</t>
  </si>
  <si>
    <t>Abschuss, Plume gauche diparue suite au coup de fusil</t>
  </si>
  <si>
    <t>Abschuss, Daniel Demontrond</t>
  </si>
  <si>
    <t>Abschuss, femelle</t>
  </si>
  <si>
    <t>MYINDEX_dH (report Woodcock 2016)</t>
  </si>
  <si>
    <t>Fang / Prélevé à la chasse en Russie au printemps 2018</t>
  </si>
  <si>
    <t>Fang, Küken</t>
  </si>
  <si>
    <t>2016DENEPA-9</t>
  </si>
  <si>
    <t>2016ANARGI-5</t>
  </si>
  <si>
    <t>GEMEINDE</t>
  </si>
  <si>
    <t>LOKALITAET</t>
  </si>
  <si>
    <t>TAG</t>
  </si>
  <si>
    <t>MONAT</t>
  </si>
  <si>
    <t>JAHR</t>
  </si>
  <si>
    <t>JAGDT</t>
  </si>
  <si>
    <t>FANG_MARZ</t>
  </si>
  <si>
    <t>FANG_SOMMER</t>
  </si>
  <si>
    <t>FANG_HERBST</t>
  </si>
  <si>
    <t>UNBEKANNT</t>
  </si>
  <si>
    <t>SCHWEIZ</t>
  </si>
  <si>
    <t>dH</t>
  </si>
  <si>
    <t>Total</t>
  </si>
  <si>
    <t>Étiquettes de colonnes</t>
  </si>
  <si>
    <t>Total général</t>
  </si>
  <si>
    <t>Nombre de ID</t>
  </si>
  <si>
    <t>Prélèvement des juvéniles à la chasse</t>
  </si>
  <si>
    <t>Prélèvement des adultes à la chasse</t>
  </si>
  <si>
    <t>DATE</t>
  </si>
  <si>
    <t>ORIGINE</t>
  </si>
  <si>
    <t>Europe centrale</t>
  </si>
  <si>
    <t>Sud de la Fennoscandinavie, Pays baltes et ouest de la Russie</t>
  </si>
  <si>
    <t>Ouest de la France, Espagne ou Italie</t>
  </si>
  <si>
    <t>Nord de la Fennoscandinavie et Russie</t>
  </si>
  <si>
    <t>Suisse</t>
  </si>
  <si>
    <t>bc</t>
  </si>
  <si>
    <t>dH_correct</t>
  </si>
  <si>
    <t>dH_reg</t>
  </si>
  <si>
    <t>AGE</t>
  </si>
  <si>
    <t>Juvénile</t>
  </si>
  <si>
    <t>Chasse</t>
  </si>
  <si>
    <t>Comparaison adultes</t>
  </si>
  <si>
    <t>Comparaison juvéniles</t>
  </si>
  <si>
    <t>Mann-Whitney U</t>
  </si>
  <si>
    <t>Test  U de Mann-Whitney</t>
  </si>
  <si>
    <t>p-value avec correction de Bonferroni</t>
  </si>
  <si>
    <t>Kruskal-Wallis test for equal medians</t>
  </si>
  <si>
    <t>H (chi2):</t>
  </si>
  <si>
    <t>Hc (tie corrected):</t>
  </si>
  <si>
    <t>p (same):</t>
  </si>
  <si>
    <t>There is a significant difference between sample medians</t>
  </si>
  <si>
    <t>2014CAVACO_11</t>
  </si>
  <si>
    <t>2014No1 VIKTOR ULR_</t>
  </si>
  <si>
    <t>2014No2 VIKTOR ULR_</t>
  </si>
  <si>
    <t>2014No3 VIKTOR ULR_</t>
  </si>
  <si>
    <t>2014ROSS_GI10</t>
  </si>
  <si>
    <t>2014ROSS_GI-11</t>
  </si>
  <si>
    <t>2014ROSS_GI-12</t>
  </si>
  <si>
    <t>2014ROSS_GI-2</t>
  </si>
  <si>
    <t>2014ROSS_GI6</t>
  </si>
  <si>
    <t>2014Savalu-1_</t>
  </si>
  <si>
    <t>2014Savalu-3_</t>
  </si>
  <si>
    <t>2014Savalu-4_</t>
  </si>
  <si>
    <t>2015Ross_Gi_8</t>
  </si>
  <si>
    <t>2017ULRICHV_1</t>
  </si>
  <si>
    <t>Russie</t>
  </si>
  <si>
    <t>MYINDEX_dH_2019_voigt</t>
  </si>
  <si>
    <t>PROVENANCE_voigt</t>
  </si>
  <si>
    <t>Adulte</t>
  </si>
  <si>
    <t>Oural</t>
  </si>
  <si>
    <t>Ouest de la France &amp; bassin méditerrannéen</t>
  </si>
  <si>
    <t>MYINDEX_dH_2019_reg</t>
  </si>
  <si>
    <t>Étiquettes de lignes</t>
  </si>
  <si>
    <t>regiobio6</t>
  </si>
  <si>
    <t>Jura</t>
  </si>
  <si>
    <t>Plateau</t>
  </si>
  <si>
    <t>versant nord des Alpes</t>
  </si>
  <si>
    <t>Valais central</t>
  </si>
  <si>
    <t>Versant sud des Alpes</t>
  </si>
  <si>
    <t>PROVENANCE_2019_reg</t>
  </si>
  <si>
    <t>(Plusieurs éléments)</t>
  </si>
  <si>
    <t>Max de dH_reg</t>
  </si>
  <si>
    <t>Somme de dN</t>
  </si>
  <si>
    <t>Arc jurassien</t>
  </si>
  <si>
    <t>TYPE_PRELE</t>
  </si>
  <si>
    <t>jgd</t>
  </si>
  <si>
    <t>son</t>
  </si>
  <si>
    <t>mamjja</t>
  </si>
  <si>
    <t>sp</t>
  </si>
  <si>
    <t>ScoRus</t>
  </si>
  <si>
    <t>(Tous)</t>
  </si>
  <si>
    <t>C. printemps</t>
  </si>
  <si>
    <t>Alpes centrales et sud</t>
  </si>
  <si>
    <t>Jura [N=157]</t>
  </si>
  <si>
    <t>Plateau [=96]</t>
  </si>
  <si>
    <t>Versant sud des Alpes [N=372]</t>
  </si>
  <si>
    <t>Alpes centrales [N=4]</t>
  </si>
  <si>
    <t>Versant nord des Alpes [N=16]</t>
  </si>
  <si>
    <t>U</t>
  </si>
  <si>
    <t>p-value</t>
  </si>
  <si>
    <t>Versant nord des Alpes</t>
  </si>
  <si>
    <t>Jura [N=46]</t>
  </si>
  <si>
    <t>Plateau [N=17]</t>
  </si>
  <si>
    <t>Versant sud des Alpes [N=125]</t>
  </si>
  <si>
    <t>Alpes centrales et versant sud des Alpes</t>
  </si>
  <si>
    <t>Total suisse</t>
  </si>
  <si>
    <t>Groupe isotopique</t>
  </si>
  <si>
    <t>Alpes</t>
  </si>
  <si>
    <t>migrateurs orientaux</t>
  </si>
  <si>
    <t>Moyenne</t>
  </si>
  <si>
    <t>écart-type</t>
  </si>
  <si>
    <t>Somme de dH_reg</t>
  </si>
  <si>
    <t>C. printemps - été [N=10]</t>
  </si>
  <si>
    <t>C. automne [N=94]</t>
  </si>
  <si>
    <t>Chasse [N=645]</t>
  </si>
  <si>
    <t>Indigène [N=8]</t>
  </si>
  <si>
    <t>Chasse [N=221]</t>
  </si>
  <si>
    <t>Capture automne indét. [N=58]</t>
  </si>
  <si>
    <t>Captures indét. [N=21]</t>
  </si>
  <si>
    <t>Indigènes [N=59]</t>
  </si>
  <si>
    <t>Chasse Jura [N=12]</t>
  </si>
  <si>
    <t>Chasse versant sud des Alpes [N=10]</t>
  </si>
  <si>
    <t>Indigènes [N=61]</t>
  </si>
  <si>
    <t>Captures indét. [N=35]</t>
  </si>
  <si>
    <t>Chasse Jura [N=15]</t>
  </si>
  <si>
    <t>Chasse Plateau [N=7]</t>
  </si>
  <si>
    <t>Chasse versant sud des Alpes [N=20]</t>
  </si>
  <si>
    <t>indigènes</t>
  </si>
  <si>
    <t>C. indét.</t>
  </si>
  <si>
    <t>Indigènes [N=60]</t>
  </si>
  <si>
    <t>Captures indét. [N=57]</t>
  </si>
  <si>
    <t>Chasse Jura [N=46]</t>
  </si>
  <si>
    <t>Chasse Plateau [N=17]</t>
  </si>
  <si>
    <t>Chasse versant sud des Alpes [N=124]</t>
  </si>
  <si>
    <t>MYINDEX_dN</t>
  </si>
  <si>
    <t>Captures indét. [N=96]</t>
  </si>
  <si>
    <t>Indigènes [N=12]</t>
  </si>
  <si>
    <t>Chasse Jura [N=161]</t>
  </si>
  <si>
    <t>Chasse Plateau [N=91]</t>
  </si>
  <si>
    <t>Nord des Alpes [N=11]</t>
  </si>
  <si>
    <t>Valais [N=4]</t>
  </si>
  <si>
    <t>Chasse versant sud des Alpes [N=374]</t>
  </si>
  <si>
    <t>Indigènes [N=72]</t>
  </si>
  <si>
    <t>Captures indét. [N=153]</t>
  </si>
  <si>
    <t>Chasse Jura [N=206]</t>
  </si>
  <si>
    <t>Chasse Plateau [N=107]</t>
  </si>
  <si>
    <t>chasse</t>
  </si>
  <si>
    <t>suisse</t>
  </si>
  <si>
    <t>capt automne</t>
  </si>
  <si>
    <t>capt</t>
  </si>
  <si>
    <t>PC 2</t>
  </si>
  <si>
    <t>PC 1</t>
  </si>
  <si>
    <t>% variance</t>
  </si>
  <si>
    <t>Eigenvalue</t>
  </si>
  <si>
    <t>PC</t>
  </si>
  <si>
    <t>Loading</t>
  </si>
  <si>
    <t>Scores</t>
  </si>
  <si>
    <t>Groupe</t>
  </si>
  <si>
    <t>Analyse en composantes principales</t>
  </si>
  <si>
    <t>C. automne [N=150]</t>
  </si>
  <si>
    <t>Chasse [N=203]</t>
  </si>
  <si>
    <t>Arc Ju</t>
  </si>
  <si>
    <t>V. sud Alpes</t>
  </si>
  <si>
    <t>CH</t>
  </si>
  <si>
    <t>min</t>
  </si>
  <si>
    <t>max</t>
  </si>
  <si>
    <t>Juvéniles</t>
  </si>
  <si>
    <t>moy</t>
  </si>
  <si>
    <t>Adultes</t>
  </si>
  <si>
    <t>C. printemps-été [N=10]</t>
  </si>
  <si>
    <t>Chasse [N=157]</t>
  </si>
  <si>
    <t>C. automne [N=56]</t>
  </si>
  <si>
    <t>C. printemps-été [N=58]</t>
  </si>
  <si>
    <t>Chasse [N=46]</t>
  </si>
  <si>
    <t>Jura [203]</t>
  </si>
  <si>
    <t>Plateau [113]</t>
  </si>
  <si>
    <t>Alpes [519]</t>
  </si>
  <si>
    <t>Classe isotopique</t>
  </si>
  <si>
    <t>total bécasses chassées</t>
  </si>
  <si>
    <t>Chasse Versant Nord des Alpes [N=12]</t>
  </si>
  <si>
    <t>Chasse Valais [N=5]</t>
  </si>
  <si>
    <t>Chasse versant sud des Alpes [N=498]</t>
  </si>
  <si>
    <t>Mann-Whitney avec  Bonferroni</t>
  </si>
  <si>
    <t xml:space="preserve">Indigènes </t>
  </si>
  <si>
    <t xml:space="preserve">Captures indét. </t>
  </si>
  <si>
    <t xml:space="preserve">Chasse Jura </t>
  </si>
  <si>
    <t xml:space="preserve">Chasse Plateau </t>
  </si>
  <si>
    <t xml:space="preserve">Chasse Versant Nord des Alpes </t>
  </si>
  <si>
    <t xml:space="preserve">Chasse versant sud des Alpes </t>
  </si>
  <si>
    <t>N.S.</t>
  </si>
  <si>
    <t>&lt;0.001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</si>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</sst>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%"/>
    <numFmt numFmtId="166" formatCode="0.0000"/>
    <numFmt numFmtId="167" formatCode="0.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0" fontId="10" fillId="6" borderId="5" xfId="10"/>
    <xf numFmtId="2" fontId="9" fillId="5" borderId="4" xfId="9" applyNumberFormat="1"/>
    <xf numFmtId="0" fontId="4" fillId="0" borderId="2" xfId="3"/>
    <xf numFmtId="0" fontId="4" fillId="6" borderId="2" xfId="3" applyFill="1"/>
    <xf numFmtId="0" fontId="4" fillId="0" borderId="2" xfId="3" applyFill="1"/>
    <xf numFmtId="0" fontId="0" fillId="0" borderId="0" xfId="0" pivotButton="1"/>
    <xf numFmtId="14" fontId="0" fillId="0" borderId="0" xfId="0" applyNumberFormat="1"/>
    <xf numFmtId="14" fontId="4" fillId="0" borderId="2" xfId="3" applyNumberFormat="1" applyFill="1"/>
    <xf numFmtId="11" fontId="0" fillId="0" borderId="0" xfId="0" applyNumberFormat="1"/>
    <xf numFmtId="0" fontId="18" fillId="0" borderId="0" xfId="0" applyFont="1"/>
    <xf numFmtId="165" fontId="0" fillId="0" borderId="0" xfId="42" applyNumberFormat="1" applyFont="1"/>
    <xf numFmtId="0" fontId="4" fillId="6" borderId="2" xfId="3" applyFill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/>
    <xf numFmtId="0" fontId="20" fillId="0" borderId="0" xfId="0" applyFont="1"/>
    <xf numFmtId="165" fontId="19" fillId="0" borderId="0" xfId="42" applyNumberFormat="1" applyFont="1"/>
    <xf numFmtId="0" fontId="0" fillId="0" borderId="0" xfId="0" applyAlignment="1">
      <alignment horizontal="center"/>
    </xf>
    <xf numFmtId="0" fontId="19" fillId="0" borderId="0" xfId="42" applyNumberFormat="1" applyFont="1"/>
    <xf numFmtId="9" fontId="19" fillId="0" borderId="0" xfId="42" applyFont="1"/>
    <xf numFmtId="2" fontId="9" fillId="0" borderId="4" xfId="9" applyNumberFormat="1" applyFill="1"/>
    <xf numFmtId="0" fontId="9" fillId="0" borderId="4" xfId="9" applyFill="1"/>
    <xf numFmtId="0" fontId="0" fillId="0" borderId="0" xfId="0" applyAlignment="1">
      <alignment horizontal="center" vertical="center"/>
    </xf>
    <xf numFmtId="0" fontId="6" fillId="2" borderId="0" xfId="6"/>
    <xf numFmtId="0" fontId="21" fillId="2" borderId="0" xfId="6" applyFont="1"/>
    <xf numFmtId="165" fontId="21" fillId="2" borderId="0" xfId="6" applyNumberFormat="1" applyFont="1"/>
    <xf numFmtId="165" fontId="1" fillId="0" borderId="0" xfId="42" applyNumberFormat="1" applyFont="1"/>
    <xf numFmtId="0" fontId="21" fillId="2" borderId="0" xfId="6" applyNumberFormat="1" applyFont="1"/>
    <xf numFmtId="0" fontId="22" fillId="0" borderId="0" xfId="0" applyFont="1"/>
    <xf numFmtId="165" fontId="22" fillId="0" borderId="0" xfId="42" applyNumberFormat="1" applyFont="1"/>
    <xf numFmtId="0" fontId="22" fillId="0" borderId="0" xfId="42" applyNumberFormat="1" applyFont="1"/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42" applyNumberFormat="1" applyFont="1"/>
    <xf numFmtId="0" fontId="1" fillId="0" borderId="0" xfId="42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5" fontId="6" fillId="2" borderId="0" xfId="6" applyNumberFormat="1"/>
    <xf numFmtId="167" fontId="0" fillId="0" borderId="0" xfId="0" applyNumberFormat="1"/>
    <xf numFmtId="165" fontId="0" fillId="0" borderId="0" xfId="0" applyNumberFormat="1"/>
    <xf numFmtId="165" fontId="0" fillId="0" borderId="0" xfId="42" applyNumberFormat="1" applyFont="1" applyAlignment="1">
      <alignment horizontal="center"/>
    </xf>
    <xf numFmtId="0" fontId="16" fillId="0" borderId="0" xfId="0" applyFont="1" applyAlignment="1">
      <alignment horizontal="center"/>
    </xf>
    <xf numFmtId="165" fontId="16" fillId="0" borderId="0" xfId="42" applyNumberFormat="1" applyFont="1" applyAlignment="1">
      <alignment horizontal="center"/>
    </xf>
    <xf numFmtId="0" fontId="0" fillId="0" borderId="0" xfId="42" applyNumberFormat="1" applyFont="1" applyAlignment="1">
      <alignment horizontal="center"/>
    </xf>
    <xf numFmtId="0" fontId="16" fillId="0" borderId="0" xfId="42" applyNumberFormat="1" applyFont="1" applyAlignment="1">
      <alignment horizontal="center"/>
    </xf>
    <xf numFmtId="0" fontId="23" fillId="0" borderId="0" xfId="0" applyFont="1"/>
    <xf numFmtId="11" fontId="23" fillId="0" borderId="0" xfId="0" applyNumberFormat="1" applyFont="1"/>
    <xf numFmtId="0" fontId="6" fillId="2" borderId="2" xfId="6" applyBorder="1"/>
    <xf numFmtId="0" fontId="6" fillId="2" borderId="4" xfId="6" applyBorder="1"/>
    <xf numFmtId="0" fontId="4" fillId="33" borderId="2" xfId="3" applyFill="1"/>
    <xf numFmtId="0" fontId="9" fillId="33" borderId="4" xfId="9" applyFill="1"/>
    <xf numFmtId="0" fontId="0" fillId="33" borderId="0" xfId="0" applyFill="1"/>
    <xf numFmtId="164" fontId="6" fillId="2" borderId="0" xfId="6" applyNumberFormat="1"/>
    <xf numFmtId="0" fontId="4" fillId="34" borderId="2" xfId="3" applyFill="1"/>
    <xf numFmtId="0" fontId="0" fillId="34" borderId="0" xfId="0" applyFill="1"/>
    <xf numFmtId="2" fontId="4" fillId="34" borderId="2" xfId="3" applyNumberFormat="1" applyFill="1"/>
    <xf numFmtId="0" fontId="4" fillId="34" borderId="2" xfId="3" applyFill="1" applyAlignment="1">
      <alignment horizontal="left"/>
    </xf>
    <xf numFmtId="2" fontId="0" fillId="34" borderId="0" xfId="0" applyNumberFormat="1" applyFill="1"/>
    <xf numFmtId="2" fontId="0" fillId="34" borderId="0" xfId="0" applyNumberFormat="1" applyFill="1" applyAlignment="1">
      <alignment horizontal="right"/>
    </xf>
    <xf numFmtId="0" fontId="0" fillId="34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3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'dH&amp;dN juv'!$E$1</c:f>
              <c:strCache>
                <c:ptCount val="1"/>
                <c:pt idx="0">
                  <c:v>chasse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'dH&amp;dN juv'!$D$2:$D$521</c:f>
              <c:numCache>
                <c:formatCode>General</c:formatCode>
                <c:ptCount val="520"/>
                <c:pt idx="0">
                  <c:v>-74.114874999999984</c:v>
                </c:pt>
                <c:pt idx="1">
                  <c:v>-69.633125000000007</c:v>
                </c:pt>
                <c:pt idx="2">
                  <c:v>-63.888749999999995</c:v>
                </c:pt>
                <c:pt idx="3">
                  <c:v>-62.000500000000009</c:v>
                </c:pt>
                <c:pt idx="4">
                  <c:v>-61.238374999999998</c:v>
                </c:pt>
                <c:pt idx="5">
                  <c:v>-55.562250000000013</c:v>
                </c:pt>
                <c:pt idx="6">
                  <c:v>-52.512242243750002</c:v>
                </c:pt>
                <c:pt idx="7">
                  <c:v>-52.218000000000025</c:v>
                </c:pt>
                <c:pt idx="8">
                  <c:v>-50.932625000000009</c:v>
                </c:pt>
                <c:pt idx="9">
                  <c:v>-38.98277458750001</c:v>
                </c:pt>
                <c:pt idx="10">
                  <c:v>-74.962500000000006</c:v>
                </c:pt>
                <c:pt idx="11">
                  <c:v>-74.950000000000017</c:v>
                </c:pt>
                <c:pt idx="12">
                  <c:v>-74.887499999999989</c:v>
                </c:pt>
                <c:pt idx="13">
                  <c:v>-74.824999999999989</c:v>
                </c:pt>
                <c:pt idx="14">
                  <c:v>-74.810810000000004</c:v>
                </c:pt>
                <c:pt idx="15">
                  <c:v>-74.807071500000006</c:v>
                </c:pt>
                <c:pt idx="16">
                  <c:v>-74.724999999999994</c:v>
                </c:pt>
                <c:pt idx="17">
                  <c:v>-74.552245499999998</c:v>
                </c:pt>
                <c:pt idx="18">
                  <c:v>-74.537499999999994</c:v>
                </c:pt>
                <c:pt idx="19">
                  <c:v>-74.525701125000012</c:v>
                </c:pt>
                <c:pt idx="20">
                  <c:v>-74.476274500000017</c:v>
                </c:pt>
                <c:pt idx="21">
                  <c:v>-74.453568000000018</c:v>
                </c:pt>
                <c:pt idx="22">
                  <c:v>-74.433680624999994</c:v>
                </c:pt>
                <c:pt idx="23">
                  <c:v>-74.322751000000011</c:v>
                </c:pt>
                <c:pt idx="24">
                  <c:v>-74.249639624999986</c:v>
                </c:pt>
                <c:pt idx="25">
                  <c:v>-74.16217850000001</c:v>
                </c:pt>
                <c:pt idx="26">
                  <c:v>-74.0625</c:v>
                </c:pt>
                <c:pt idx="27">
                  <c:v>-74.049999999999983</c:v>
                </c:pt>
                <c:pt idx="28">
                  <c:v>-73.867115499999983</c:v>
                </c:pt>
                <c:pt idx="29">
                  <c:v>-73.787499999999994</c:v>
                </c:pt>
                <c:pt idx="30">
                  <c:v>-73.787499999999994</c:v>
                </c:pt>
                <c:pt idx="31">
                  <c:v>-73.674999999999983</c:v>
                </c:pt>
                <c:pt idx="32">
                  <c:v>-73.650000000000006</c:v>
                </c:pt>
                <c:pt idx="33">
                  <c:v>-73.599999999999994</c:v>
                </c:pt>
                <c:pt idx="34">
                  <c:v>-73.489610874999983</c:v>
                </c:pt>
                <c:pt idx="35">
                  <c:v>-73.433842499999997</c:v>
                </c:pt>
                <c:pt idx="36">
                  <c:v>-73.400000000000006</c:v>
                </c:pt>
                <c:pt idx="37">
                  <c:v>-73.387500000000017</c:v>
                </c:pt>
                <c:pt idx="38">
                  <c:v>-73.375</c:v>
                </c:pt>
                <c:pt idx="39">
                  <c:v>-73.322356124999999</c:v>
                </c:pt>
                <c:pt idx="40">
                  <c:v>-73.199999999999989</c:v>
                </c:pt>
                <c:pt idx="41">
                  <c:v>-73.171938000000011</c:v>
                </c:pt>
                <c:pt idx="42">
                  <c:v>-73.141852999999998</c:v>
                </c:pt>
                <c:pt idx="43">
                  <c:v>-73.099999999999994</c:v>
                </c:pt>
                <c:pt idx="44">
                  <c:v>-73.025000000000006</c:v>
                </c:pt>
                <c:pt idx="45">
                  <c:v>-72.912499999999994</c:v>
                </c:pt>
                <c:pt idx="46">
                  <c:v>-72.837500000000006</c:v>
                </c:pt>
                <c:pt idx="47">
                  <c:v>-72.737499999999983</c:v>
                </c:pt>
                <c:pt idx="48">
                  <c:v>-72.737499999999983</c:v>
                </c:pt>
                <c:pt idx="49">
                  <c:v>-72.724999999999994</c:v>
                </c:pt>
                <c:pt idx="50">
                  <c:v>-72.675000000000011</c:v>
                </c:pt>
                <c:pt idx="51">
                  <c:v>-72.657207</c:v>
                </c:pt>
                <c:pt idx="52">
                  <c:v>-72.559536250000008</c:v>
                </c:pt>
                <c:pt idx="53">
                  <c:v>-72.503019749999993</c:v>
                </c:pt>
                <c:pt idx="54">
                  <c:v>-72.450000000000017</c:v>
                </c:pt>
                <c:pt idx="55">
                  <c:v>-72.332972000000012</c:v>
                </c:pt>
                <c:pt idx="56">
                  <c:v>-72.09965200000002</c:v>
                </c:pt>
                <c:pt idx="57">
                  <c:v>-72.08352124999999</c:v>
                </c:pt>
                <c:pt idx="58">
                  <c:v>-72.074999999999989</c:v>
                </c:pt>
                <c:pt idx="59">
                  <c:v>-71.875</c:v>
                </c:pt>
                <c:pt idx="60">
                  <c:v>-71.850032499999998</c:v>
                </c:pt>
                <c:pt idx="61">
                  <c:v>-71.788962499999997</c:v>
                </c:pt>
                <c:pt idx="62">
                  <c:v>-71.72969362500001</c:v>
                </c:pt>
                <c:pt idx="63">
                  <c:v>-71.675000000000011</c:v>
                </c:pt>
                <c:pt idx="64">
                  <c:v>-71.575000000000017</c:v>
                </c:pt>
                <c:pt idx="65">
                  <c:v>-71.575000000000017</c:v>
                </c:pt>
                <c:pt idx="66">
                  <c:v>-71.548536374999998</c:v>
                </c:pt>
                <c:pt idx="67">
                  <c:v>-71.483715750000016</c:v>
                </c:pt>
                <c:pt idx="68">
                  <c:v>-71.362500000000011</c:v>
                </c:pt>
                <c:pt idx="69">
                  <c:v>-71.256077500000004</c:v>
                </c:pt>
                <c:pt idx="70">
                  <c:v>-71.241277125000011</c:v>
                </c:pt>
                <c:pt idx="71">
                  <c:v>-71.200000000000017</c:v>
                </c:pt>
                <c:pt idx="72">
                  <c:v>-71.108260000000001</c:v>
                </c:pt>
                <c:pt idx="73">
                  <c:v>-70.974999999999994</c:v>
                </c:pt>
                <c:pt idx="74">
                  <c:v>-70.959407374999984</c:v>
                </c:pt>
                <c:pt idx="75">
                  <c:v>-70.9375</c:v>
                </c:pt>
                <c:pt idx="76">
                  <c:v>-70.912499999999994</c:v>
                </c:pt>
                <c:pt idx="77">
                  <c:v>-70.778350500000016</c:v>
                </c:pt>
                <c:pt idx="78">
                  <c:v>-70.675000000000011</c:v>
                </c:pt>
                <c:pt idx="79">
                  <c:v>-70.662499999999994</c:v>
                </c:pt>
                <c:pt idx="80">
                  <c:v>-70.549999999999983</c:v>
                </c:pt>
                <c:pt idx="81">
                  <c:v>-70.537499999999994</c:v>
                </c:pt>
                <c:pt idx="82">
                  <c:v>-70.394822000000005</c:v>
                </c:pt>
                <c:pt idx="83">
                  <c:v>-70.325000000000017</c:v>
                </c:pt>
                <c:pt idx="84">
                  <c:v>-70.301606249999992</c:v>
                </c:pt>
                <c:pt idx="85">
                  <c:v>-70.287499999999994</c:v>
                </c:pt>
                <c:pt idx="86">
                  <c:v>-70.137499999999989</c:v>
                </c:pt>
                <c:pt idx="87">
                  <c:v>-70.074999999999989</c:v>
                </c:pt>
                <c:pt idx="88">
                  <c:v>-70.0625</c:v>
                </c:pt>
                <c:pt idx="89">
                  <c:v>-70.018157000000002</c:v>
                </c:pt>
                <c:pt idx="90">
                  <c:v>-69.924999999999983</c:v>
                </c:pt>
                <c:pt idx="91">
                  <c:v>-69.88751400000001</c:v>
                </c:pt>
                <c:pt idx="92">
                  <c:v>-69.8125</c:v>
                </c:pt>
                <c:pt idx="93">
                  <c:v>-69.625368000000009</c:v>
                </c:pt>
                <c:pt idx="94">
                  <c:v>-69.612499999999983</c:v>
                </c:pt>
                <c:pt idx="95">
                  <c:v>-69.362499999999983</c:v>
                </c:pt>
                <c:pt idx="96">
                  <c:v>-69.351716500000009</c:v>
                </c:pt>
                <c:pt idx="97">
                  <c:v>-69.121266375000005</c:v>
                </c:pt>
                <c:pt idx="98">
                  <c:v>-69.112500000000011</c:v>
                </c:pt>
                <c:pt idx="99">
                  <c:v>-69.0625</c:v>
                </c:pt>
                <c:pt idx="100">
                  <c:v>-69.049999999999983</c:v>
                </c:pt>
                <c:pt idx="101">
                  <c:v>-68.98500525</c:v>
                </c:pt>
                <c:pt idx="102">
                  <c:v>-68.962500000000006</c:v>
                </c:pt>
                <c:pt idx="103">
                  <c:v>-68.950195250000007</c:v>
                </c:pt>
                <c:pt idx="104">
                  <c:v>-68.9375</c:v>
                </c:pt>
                <c:pt idx="105">
                  <c:v>-68.849999999999994</c:v>
                </c:pt>
                <c:pt idx="106">
                  <c:v>-68.737376500000011</c:v>
                </c:pt>
                <c:pt idx="107">
                  <c:v>-68.700000000000017</c:v>
                </c:pt>
                <c:pt idx="108">
                  <c:v>-68.6875</c:v>
                </c:pt>
                <c:pt idx="109">
                  <c:v>-68.683532624999998</c:v>
                </c:pt>
                <c:pt idx="110">
                  <c:v>-68.677090499999991</c:v>
                </c:pt>
                <c:pt idx="111">
                  <c:v>-68.600856499999992</c:v>
                </c:pt>
                <c:pt idx="112">
                  <c:v>-68.599999999999994</c:v>
                </c:pt>
                <c:pt idx="113">
                  <c:v>-68.598360500000013</c:v>
                </c:pt>
                <c:pt idx="114">
                  <c:v>-68.564789499999989</c:v>
                </c:pt>
                <c:pt idx="115">
                  <c:v>-68.549172249999998</c:v>
                </c:pt>
                <c:pt idx="116">
                  <c:v>-68.527477000000005</c:v>
                </c:pt>
                <c:pt idx="117">
                  <c:v>-68.526241249999998</c:v>
                </c:pt>
                <c:pt idx="118">
                  <c:v>-68.512499999999989</c:v>
                </c:pt>
                <c:pt idx="119">
                  <c:v>-68.480662125000009</c:v>
                </c:pt>
                <c:pt idx="120">
                  <c:v>-68.390294624999996</c:v>
                </c:pt>
                <c:pt idx="121">
                  <c:v>-68.375</c:v>
                </c:pt>
                <c:pt idx="122">
                  <c:v>-68.337500000000006</c:v>
                </c:pt>
                <c:pt idx="123">
                  <c:v>-68.287499999999994</c:v>
                </c:pt>
                <c:pt idx="124">
                  <c:v>-68.25</c:v>
                </c:pt>
                <c:pt idx="125">
                  <c:v>-68.25</c:v>
                </c:pt>
                <c:pt idx="126">
                  <c:v>-68.220884000000012</c:v>
                </c:pt>
                <c:pt idx="127">
                  <c:v>-68.112499999999983</c:v>
                </c:pt>
                <c:pt idx="128">
                  <c:v>-68.087500000000006</c:v>
                </c:pt>
                <c:pt idx="129">
                  <c:v>-68.049999999999983</c:v>
                </c:pt>
                <c:pt idx="130">
                  <c:v>-68</c:v>
                </c:pt>
                <c:pt idx="131">
                  <c:v>-67.843597125000002</c:v>
                </c:pt>
                <c:pt idx="132">
                  <c:v>-67.825000000000017</c:v>
                </c:pt>
                <c:pt idx="133">
                  <c:v>-67.812598000000008</c:v>
                </c:pt>
                <c:pt idx="134">
                  <c:v>-67.762500000000017</c:v>
                </c:pt>
                <c:pt idx="135">
                  <c:v>-67.737499999999983</c:v>
                </c:pt>
                <c:pt idx="136">
                  <c:v>-67.724999999999994</c:v>
                </c:pt>
                <c:pt idx="137">
                  <c:v>-67.699999999999989</c:v>
                </c:pt>
                <c:pt idx="138">
                  <c:v>-67.699999999999989</c:v>
                </c:pt>
                <c:pt idx="139">
                  <c:v>-67.699824500000005</c:v>
                </c:pt>
                <c:pt idx="140">
                  <c:v>-67.67537387500002</c:v>
                </c:pt>
                <c:pt idx="141">
                  <c:v>-67.675000000000011</c:v>
                </c:pt>
                <c:pt idx="142">
                  <c:v>-67.612500000000011</c:v>
                </c:pt>
                <c:pt idx="143">
                  <c:v>-67.599999999999994</c:v>
                </c:pt>
                <c:pt idx="144">
                  <c:v>-67.537499999999994</c:v>
                </c:pt>
                <c:pt idx="145">
                  <c:v>-67.512737874999999</c:v>
                </c:pt>
                <c:pt idx="146">
                  <c:v>-67.5</c:v>
                </c:pt>
                <c:pt idx="147">
                  <c:v>-67.5</c:v>
                </c:pt>
                <c:pt idx="148">
                  <c:v>-67.499184874999997</c:v>
                </c:pt>
                <c:pt idx="149">
                  <c:v>-67.324999999999989</c:v>
                </c:pt>
                <c:pt idx="150">
                  <c:v>-67.240154999999987</c:v>
                </c:pt>
                <c:pt idx="151">
                  <c:v>-67.052574749999991</c:v>
                </c:pt>
                <c:pt idx="152">
                  <c:v>-67.008691999999996</c:v>
                </c:pt>
                <c:pt idx="153">
                  <c:v>-66.962500000000006</c:v>
                </c:pt>
                <c:pt idx="154">
                  <c:v>-66.9375</c:v>
                </c:pt>
                <c:pt idx="155">
                  <c:v>-66.862499999999983</c:v>
                </c:pt>
                <c:pt idx="156">
                  <c:v>-66.724999999999994</c:v>
                </c:pt>
                <c:pt idx="157">
                  <c:v>-66.721542874999983</c:v>
                </c:pt>
                <c:pt idx="158">
                  <c:v>-66.604686874999999</c:v>
                </c:pt>
                <c:pt idx="159">
                  <c:v>-66.599999999999994</c:v>
                </c:pt>
                <c:pt idx="160">
                  <c:v>-66.587500000000006</c:v>
                </c:pt>
                <c:pt idx="161">
                  <c:v>-66.587500000000006</c:v>
                </c:pt>
                <c:pt idx="162">
                  <c:v>-66.572779999999995</c:v>
                </c:pt>
                <c:pt idx="163">
                  <c:v>-66.525000000000006</c:v>
                </c:pt>
                <c:pt idx="164">
                  <c:v>-66.518926499999992</c:v>
                </c:pt>
                <c:pt idx="165">
                  <c:v>-66.5</c:v>
                </c:pt>
                <c:pt idx="166">
                  <c:v>-66.316685624999991</c:v>
                </c:pt>
                <c:pt idx="167">
                  <c:v>-66.262500000000017</c:v>
                </c:pt>
                <c:pt idx="168">
                  <c:v>-66.112500000000011</c:v>
                </c:pt>
                <c:pt idx="169">
                  <c:v>-66.037499999999994</c:v>
                </c:pt>
                <c:pt idx="170">
                  <c:v>-66.031501125000005</c:v>
                </c:pt>
                <c:pt idx="171">
                  <c:v>-66.025000000000006</c:v>
                </c:pt>
                <c:pt idx="172">
                  <c:v>-66.011743124999981</c:v>
                </c:pt>
                <c:pt idx="173">
                  <c:v>-65.887500000000017</c:v>
                </c:pt>
                <c:pt idx="174">
                  <c:v>-65.863560124999992</c:v>
                </c:pt>
                <c:pt idx="175">
                  <c:v>-65.8125</c:v>
                </c:pt>
                <c:pt idx="176">
                  <c:v>-65.715642000000003</c:v>
                </c:pt>
                <c:pt idx="177">
                  <c:v>-65.680057000000005</c:v>
                </c:pt>
                <c:pt idx="178">
                  <c:v>-65.662499999999994</c:v>
                </c:pt>
                <c:pt idx="179">
                  <c:v>-65.594988374999986</c:v>
                </c:pt>
                <c:pt idx="180">
                  <c:v>-65.51379799999998</c:v>
                </c:pt>
                <c:pt idx="181">
                  <c:v>-65.438676749999985</c:v>
                </c:pt>
                <c:pt idx="182">
                  <c:v>-65.369669750000014</c:v>
                </c:pt>
                <c:pt idx="183">
                  <c:v>-65.349999999999994</c:v>
                </c:pt>
                <c:pt idx="184">
                  <c:v>-65.342563750000011</c:v>
                </c:pt>
                <c:pt idx="185">
                  <c:v>-65.298778999999996</c:v>
                </c:pt>
                <c:pt idx="186">
                  <c:v>-65.169084999999995</c:v>
                </c:pt>
                <c:pt idx="187">
                  <c:v>-64.962500000000006</c:v>
                </c:pt>
                <c:pt idx="188">
                  <c:v>-64.912499999999994</c:v>
                </c:pt>
                <c:pt idx="189">
                  <c:v>-64.87329112499998</c:v>
                </c:pt>
                <c:pt idx="190">
                  <c:v>-64.801611750000006</c:v>
                </c:pt>
                <c:pt idx="191">
                  <c:v>-64.737500000000011</c:v>
                </c:pt>
                <c:pt idx="192">
                  <c:v>-64.729057124999997</c:v>
                </c:pt>
                <c:pt idx="193">
                  <c:v>-64.712500000000006</c:v>
                </c:pt>
                <c:pt idx="194">
                  <c:v>-64.637500000000017</c:v>
                </c:pt>
                <c:pt idx="195">
                  <c:v>-64.537499999999994</c:v>
                </c:pt>
                <c:pt idx="196">
                  <c:v>-64.51037599999998</c:v>
                </c:pt>
                <c:pt idx="197">
                  <c:v>-64.421638000000002</c:v>
                </c:pt>
                <c:pt idx="198">
                  <c:v>-64.415877375000008</c:v>
                </c:pt>
                <c:pt idx="199">
                  <c:v>-64.325877749999989</c:v>
                </c:pt>
                <c:pt idx="200">
                  <c:v>-64.3125</c:v>
                </c:pt>
                <c:pt idx="201">
                  <c:v>-64.287499999999994</c:v>
                </c:pt>
                <c:pt idx="202">
                  <c:v>-64.275000000000006</c:v>
                </c:pt>
                <c:pt idx="203">
                  <c:v>-64.215970625000011</c:v>
                </c:pt>
                <c:pt idx="204">
                  <c:v>-64.212500000000006</c:v>
                </c:pt>
                <c:pt idx="205">
                  <c:v>-64.083091749999994</c:v>
                </c:pt>
                <c:pt idx="206">
                  <c:v>-63.977099000000003</c:v>
                </c:pt>
                <c:pt idx="207">
                  <c:v>-63.975000000000001</c:v>
                </c:pt>
                <c:pt idx="208">
                  <c:v>-63.949999999999996</c:v>
                </c:pt>
                <c:pt idx="209">
                  <c:v>-63.860204375000002</c:v>
                </c:pt>
                <c:pt idx="210">
                  <c:v>-63.822352124999988</c:v>
                </c:pt>
                <c:pt idx="211">
                  <c:v>-63.774999999999999</c:v>
                </c:pt>
                <c:pt idx="212">
                  <c:v>-63.754396500000006</c:v>
                </c:pt>
                <c:pt idx="213">
                  <c:v>-63.637499999999996</c:v>
                </c:pt>
                <c:pt idx="214">
                  <c:v>-63.587500000000013</c:v>
                </c:pt>
                <c:pt idx="215">
                  <c:v>-63.5590695</c:v>
                </c:pt>
                <c:pt idx="216">
                  <c:v>-63.531274500000002</c:v>
                </c:pt>
                <c:pt idx="217">
                  <c:v>-63.525000000000013</c:v>
                </c:pt>
                <c:pt idx="218">
                  <c:v>-63.487500000000004</c:v>
                </c:pt>
                <c:pt idx="219">
                  <c:v>-63.462499999999999</c:v>
                </c:pt>
                <c:pt idx="220">
                  <c:v>-63.448531999999993</c:v>
                </c:pt>
                <c:pt idx="221">
                  <c:v>-63.381605499999999</c:v>
                </c:pt>
                <c:pt idx="222">
                  <c:v>-63.375000000000007</c:v>
                </c:pt>
                <c:pt idx="223">
                  <c:v>-63.199999999999996</c:v>
                </c:pt>
                <c:pt idx="224">
                  <c:v>-63.169067000000005</c:v>
                </c:pt>
                <c:pt idx="225">
                  <c:v>-63.1</c:v>
                </c:pt>
                <c:pt idx="226">
                  <c:v>-62.975000000000001</c:v>
                </c:pt>
                <c:pt idx="227">
                  <c:v>-62.874999999999993</c:v>
                </c:pt>
                <c:pt idx="228">
                  <c:v>-62.855071000000002</c:v>
                </c:pt>
                <c:pt idx="229">
                  <c:v>-62.813235124999999</c:v>
                </c:pt>
                <c:pt idx="230">
                  <c:v>-62.79999999999999</c:v>
                </c:pt>
                <c:pt idx="231">
                  <c:v>-62.687500000000007</c:v>
                </c:pt>
                <c:pt idx="232">
                  <c:v>-62.612500000000004</c:v>
                </c:pt>
                <c:pt idx="233">
                  <c:v>-62.612500000000004</c:v>
                </c:pt>
                <c:pt idx="234">
                  <c:v>-62.612500000000004</c:v>
                </c:pt>
                <c:pt idx="235">
                  <c:v>-62.6</c:v>
                </c:pt>
                <c:pt idx="236">
                  <c:v>-62.425033000000006</c:v>
                </c:pt>
                <c:pt idx="237">
                  <c:v>-62.341414500000006</c:v>
                </c:pt>
                <c:pt idx="238">
                  <c:v>-62.312499999999993</c:v>
                </c:pt>
                <c:pt idx="239">
                  <c:v>-62.125000000000007</c:v>
                </c:pt>
                <c:pt idx="240">
                  <c:v>-62.11249999999999</c:v>
                </c:pt>
                <c:pt idx="241">
                  <c:v>-61.987500000000004</c:v>
                </c:pt>
                <c:pt idx="242">
                  <c:v>-61.937499999999993</c:v>
                </c:pt>
                <c:pt idx="243">
                  <c:v>-61.930596000000001</c:v>
                </c:pt>
                <c:pt idx="244">
                  <c:v>-61.927207750000001</c:v>
                </c:pt>
                <c:pt idx="245">
                  <c:v>-61.908503250000003</c:v>
                </c:pt>
                <c:pt idx="246">
                  <c:v>-61.9</c:v>
                </c:pt>
                <c:pt idx="247">
                  <c:v>-61.82500000000001</c:v>
                </c:pt>
                <c:pt idx="248">
                  <c:v>-61.7782695</c:v>
                </c:pt>
                <c:pt idx="249">
                  <c:v>-61.699999999999996</c:v>
                </c:pt>
                <c:pt idx="250">
                  <c:v>-61.612747500000005</c:v>
                </c:pt>
                <c:pt idx="251">
                  <c:v>-61.429421499999997</c:v>
                </c:pt>
                <c:pt idx="252">
                  <c:v>-61.380005375000003</c:v>
                </c:pt>
                <c:pt idx="253">
                  <c:v>-61.337500000000013</c:v>
                </c:pt>
                <c:pt idx="254">
                  <c:v>-61.250000000000007</c:v>
                </c:pt>
                <c:pt idx="255">
                  <c:v>-61.193651624999994</c:v>
                </c:pt>
                <c:pt idx="256">
                  <c:v>-61.074999999999996</c:v>
                </c:pt>
                <c:pt idx="257">
                  <c:v>-61.072472249999997</c:v>
                </c:pt>
                <c:pt idx="258">
                  <c:v>-61.050000000000004</c:v>
                </c:pt>
                <c:pt idx="259">
                  <c:v>-61.037500000000001</c:v>
                </c:pt>
                <c:pt idx="260">
                  <c:v>-60.912500000000001</c:v>
                </c:pt>
                <c:pt idx="261">
                  <c:v>-60.85</c:v>
                </c:pt>
                <c:pt idx="262">
                  <c:v>-60.819216500000003</c:v>
                </c:pt>
                <c:pt idx="263">
                  <c:v>-60.752663000000005</c:v>
                </c:pt>
                <c:pt idx="264">
                  <c:v>-60.639672749999995</c:v>
                </c:pt>
                <c:pt idx="265">
                  <c:v>-60.57500000000001</c:v>
                </c:pt>
                <c:pt idx="266">
                  <c:v>-60.337499999999999</c:v>
                </c:pt>
                <c:pt idx="267">
                  <c:v>-60.274999999999999</c:v>
                </c:pt>
                <c:pt idx="268">
                  <c:v>-60.23749999999999</c:v>
                </c:pt>
                <c:pt idx="269">
                  <c:v>-60.212499999999999</c:v>
                </c:pt>
                <c:pt idx="270">
                  <c:v>-60.199999999999996</c:v>
                </c:pt>
                <c:pt idx="271">
                  <c:v>-59.860163500000006</c:v>
                </c:pt>
                <c:pt idx="272">
                  <c:v>-59.798881874999999</c:v>
                </c:pt>
                <c:pt idx="273">
                  <c:v>-59.74225387500001</c:v>
                </c:pt>
                <c:pt idx="274">
                  <c:v>-59.61249999999999</c:v>
                </c:pt>
                <c:pt idx="275">
                  <c:v>-59.512499999999996</c:v>
                </c:pt>
                <c:pt idx="276">
                  <c:v>-59.512499999999996</c:v>
                </c:pt>
                <c:pt idx="277">
                  <c:v>-59.449999999999996</c:v>
                </c:pt>
                <c:pt idx="278">
                  <c:v>-59.439369499999991</c:v>
                </c:pt>
                <c:pt idx="279">
                  <c:v>-59.402821499999995</c:v>
                </c:pt>
                <c:pt idx="280">
                  <c:v>-59.398946625000001</c:v>
                </c:pt>
                <c:pt idx="281">
                  <c:v>-59.137499999999996</c:v>
                </c:pt>
                <c:pt idx="282">
                  <c:v>-59.104183999999997</c:v>
                </c:pt>
                <c:pt idx="283">
                  <c:v>-59.093944999999998</c:v>
                </c:pt>
                <c:pt idx="284">
                  <c:v>-59.05641275</c:v>
                </c:pt>
                <c:pt idx="285">
                  <c:v>-59.000780999999996</c:v>
                </c:pt>
                <c:pt idx="286">
                  <c:v>-58.884559250000002</c:v>
                </c:pt>
                <c:pt idx="287">
                  <c:v>-58.824999999999996</c:v>
                </c:pt>
                <c:pt idx="288">
                  <c:v>-58.64961125</c:v>
                </c:pt>
                <c:pt idx="289">
                  <c:v>-58.42499999999999</c:v>
                </c:pt>
                <c:pt idx="290">
                  <c:v>-58.384092500000001</c:v>
                </c:pt>
                <c:pt idx="291">
                  <c:v>-58.375000000000007</c:v>
                </c:pt>
                <c:pt idx="292">
                  <c:v>-58.085190749999988</c:v>
                </c:pt>
                <c:pt idx="293">
                  <c:v>-57.900000000000013</c:v>
                </c:pt>
                <c:pt idx="294">
                  <c:v>-57.789373875000003</c:v>
                </c:pt>
                <c:pt idx="295">
                  <c:v>-57.750929499999991</c:v>
                </c:pt>
                <c:pt idx="296">
                  <c:v>-57.698336999999988</c:v>
                </c:pt>
                <c:pt idx="297">
                  <c:v>-57.605494875000012</c:v>
                </c:pt>
                <c:pt idx="298">
                  <c:v>-57.524999999999999</c:v>
                </c:pt>
                <c:pt idx="299">
                  <c:v>-57.42499999999999</c:v>
                </c:pt>
                <c:pt idx="300">
                  <c:v>-57.312499999999993</c:v>
                </c:pt>
                <c:pt idx="301">
                  <c:v>-57.09048087499999</c:v>
                </c:pt>
                <c:pt idx="302">
                  <c:v>-56.949999999999996</c:v>
                </c:pt>
                <c:pt idx="303">
                  <c:v>-56.943091999999986</c:v>
                </c:pt>
                <c:pt idx="304">
                  <c:v>-56.837499999999999</c:v>
                </c:pt>
                <c:pt idx="305">
                  <c:v>-56.79999999999999</c:v>
                </c:pt>
                <c:pt idx="306">
                  <c:v>-56.79999999999999</c:v>
                </c:pt>
                <c:pt idx="307">
                  <c:v>-56.758666124999998</c:v>
                </c:pt>
                <c:pt idx="308">
                  <c:v>-56.54999999999999</c:v>
                </c:pt>
                <c:pt idx="309">
                  <c:v>-56.400000000000013</c:v>
                </c:pt>
                <c:pt idx="310">
                  <c:v>-56.35</c:v>
                </c:pt>
                <c:pt idx="311">
                  <c:v>-55.95000000000001</c:v>
                </c:pt>
                <c:pt idx="312">
                  <c:v>-55.837499999999999</c:v>
                </c:pt>
                <c:pt idx="313">
                  <c:v>-55.787500000000001</c:v>
                </c:pt>
                <c:pt idx="314">
                  <c:v>-55.749999999999993</c:v>
                </c:pt>
                <c:pt idx="315">
                  <c:v>-55.724462999999993</c:v>
                </c:pt>
                <c:pt idx="316">
                  <c:v>-55.587499999999999</c:v>
                </c:pt>
                <c:pt idx="317">
                  <c:v>-55.556027750000005</c:v>
                </c:pt>
                <c:pt idx="318">
                  <c:v>-55.387499999999996</c:v>
                </c:pt>
                <c:pt idx="319">
                  <c:v>-55.29999999999999</c:v>
                </c:pt>
                <c:pt idx="320">
                  <c:v>-55.037500000000001</c:v>
                </c:pt>
                <c:pt idx="321">
                  <c:v>-55.01250000000001</c:v>
                </c:pt>
                <c:pt idx="322">
                  <c:v>-54.465232125000007</c:v>
                </c:pt>
                <c:pt idx="323">
                  <c:v>-54.32500000000001</c:v>
                </c:pt>
                <c:pt idx="324">
                  <c:v>-54.304196250000011</c:v>
                </c:pt>
                <c:pt idx="325">
                  <c:v>-54.225000000000001</c:v>
                </c:pt>
                <c:pt idx="326">
                  <c:v>-53.962499999999999</c:v>
                </c:pt>
                <c:pt idx="327">
                  <c:v>-53.694579000000012</c:v>
                </c:pt>
                <c:pt idx="328">
                  <c:v>-53.66215549999999</c:v>
                </c:pt>
                <c:pt idx="329">
                  <c:v>-53.612500000000004</c:v>
                </c:pt>
                <c:pt idx="330">
                  <c:v>-53.143600250000013</c:v>
                </c:pt>
                <c:pt idx="331">
                  <c:v>-52.927428000000013</c:v>
                </c:pt>
                <c:pt idx="332">
                  <c:v>-52.687500000000007</c:v>
                </c:pt>
                <c:pt idx="333">
                  <c:v>-52.675000000000004</c:v>
                </c:pt>
                <c:pt idx="334">
                  <c:v>-52.574999999999996</c:v>
                </c:pt>
                <c:pt idx="335">
                  <c:v>-52.550000000000004</c:v>
                </c:pt>
                <c:pt idx="336">
                  <c:v>-52.524999999999999</c:v>
                </c:pt>
                <c:pt idx="337">
                  <c:v>-52.250365750000007</c:v>
                </c:pt>
                <c:pt idx="338">
                  <c:v>-52.223576000000001</c:v>
                </c:pt>
                <c:pt idx="339">
                  <c:v>-51.936438000000003</c:v>
                </c:pt>
                <c:pt idx="340">
                  <c:v>-51.81850475000001</c:v>
                </c:pt>
                <c:pt idx="341">
                  <c:v>-51.664608750000006</c:v>
                </c:pt>
                <c:pt idx="342">
                  <c:v>-51.4437055</c:v>
                </c:pt>
                <c:pt idx="343">
                  <c:v>-51.387499999999996</c:v>
                </c:pt>
                <c:pt idx="344">
                  <c:v>-50.88750000000001</c:v>
                </c:pt>
                <c:pt idx="345">
                  <c:v>-50.554360875000008</c:v>
                </c:pt>
                <c:pt idx="346">
                  <c:v>-49.844715000000001</c:v>
                </c:pt>
                <c:pt idx="347">
                  <c:v>-49.682072250000012</c:v>
                </c:pt>
                <c:pt idx="348">
                  <c:v>-49.537500000000001</c:v>
                </c:pt>
                <c:pt idx="349">
                  <c:v>-49.449999999999996</c:v>
                </c:pt>
                <c:pt idx="350">
                  <c:v>-49.425000000000004</c:v>
                </c:pt>
                <c:pt idx="351">
                  <c:v>-48.714509499999998</c:v>
                </c:pt>
                <c:pt idx="352">
                  <c:v>-48.512499999999996</c:v>
                </c:pt>
                <c:pt idx="353">
                  <c:v>-48.437500000000007</c:v>
                </c:pt>
                <c:pt idx="354">
                  <c:v>-48.262499999999996</c:v>
                </c:pt>
                <c:pt idx="355">
                  <c:v>-48.221211375000003</c:v>
                </c:pt>
                <c:pt idx="356">
                  <c:v>-48.175260999999999</c:v>
                </c:pt>
                <c:pt idx="357">
                  <c:v>-48.085386249999992</c:v>
                </c:pt>
                <c:pt idx="358">
                  <c:v>-47.855180749999995</c:v>
                </c:pt>
                <c:pt idx="359">
                  <c:v>-47.725357874999993</c:v>
                </c:pt>
                <c:pt idx="360">
                  <c:v>-47.660550625000006</c:v>
                </c:pt>
                <c:pt idx="361">
                  <c:v>-47.5397745</c:v>
                </c:pt>
                <c:pt idx="362">
                  <c:v>-47.512499999999996</c:v>
                </c:pt>
                <c:pt idx="363">
                  <c:v>-47.462499999999999</c:v>
                </c:pt>
                <c:pt idx="364">
                  <c:v>-47.449999999999996</c:v>
                </c:pt>
                <c:pt idx="365">
                  <c:v>-47.087499999999999</c:v>
                </c:pt>
                <c:pt idx="366">
                  <c:v>-46.949999999999996</c:v>
                </c:pt>
                <c:pt idx="367">
                  <c:v>-46.871518875</c:v>
                </c:pt>
                <c:pt idx="368">
                  <c:v>-46.65</c:v>
                </c:pt>
                <c:pt idx="369">
                  <c:v>-46.489532250000003</c:v>
                </c:pt>
                <c:pt idx="370">
                  <c:v>-46.375000000000007</c:v>
                </c:pt>
                <c:pt idx="371">
                  <c:v>-45.773006000000002</c:v>
                </c:pt>
                <c:pt idx="372">
                  <c:v>-45.65</c:v>
                </c:pt>
                <c:pt idx="373">
                  <c:v>-45.529474499999999</c:v>
                </c:pt>
                <c:pt idx="374">
                  <c:v>-45.487500000000004</c:v>
                </c:pt>
                <c:pt idx="375">
                  <c:v>-44.92499999999999</c:v>
                </c:pt>
                <c:pt idx="376">
                  <c:v>-44.912500000000001</c:v>
                </c:pt>
                <c:pt idx="377">
                  <c:v>-44.525000000000013</c:v>
                </c:pt>
                <c:pt idx="378">
                  <c:v>-44.525000000000013</c:v>
                </c:pt>
                <c:pt idx="379">
                  <c:v>-44.500000000000007</c:v>
                </c:pt>
                <c:pt idx="380">
                  <c:v>-44.203600999999999</c:v>
                </c:pt>
                <c:pt idx="381">
                  <c:v>-43.886470625000008</c:v>
                </c:pt>
                <c:pt idx="382">
                  <c:v>-43.776128500000006</c:v>
                </c:pt>
                <c:pt idx="383">
                  <c:v>-43.687500000000007</c:v>
                </c:pt>
                <c:pt idx="384">
                  <c:v>-43.63750000000001</c:v>
                </c:pt>
                <c:pt idx="385">
                  <c:v>-43.631587875000001</c:v>
                </c:pt>
                <c:pt idx="386">
                  <c:v>-43.437500000000007</c:v>
                </c:pt>
                <c:pt idx="387">
                  <c:v>-42.925000000000004</c:v>
                </c:pt>
                <c:pt idx="388">
                  <c:v>-42.366652875000007</c:v>
                </c:pt>
                <c:pt idx="389">
                  <c:v>-41.329012499999997</c:v>
                </c:pt>
                <c:pt idx="390">
                  <c:v>-40.842344250000004</c:v>
                </c:pt>
                <c:pt idx="391">
                  <c:v>-40.583539499999993</c:v>
                </c:pt>
                <c:pt idx="392">
                  <c:v>-40.300000000000004</c:v>
                </c:pt>
                <c:pt idx="393">
                  <c:v>-40.250000000000007</c:v>
                </c:pt>
                <c:pt idx="394">
                  <c:v>-40.212499999999999</c:v>
                </c:pt>
                <c:pt idx="395">
                  <c:v>-39.024999999999999</c:v>
                </c:pt>
                <c:pt idx="396">
                  <c:v>-38.863387499999995</c:v>
                </c:pt>
                <c:pt idx="397">
                  <c:v>-38.800000000000004</c:v>
                </c:pt>
                <c:pt idx="398">
                  <c:v>-38.387499999999996</c:v>
                </c:pt>
                <c:pt idx="399">
                  <c:v>-37.712499999999999</c:v>
                </c:pt>
                <c:pt idx="400">
                  <c:v>-37.287500000000001</c:v>
                </c:pt>
                <c:pt idx="401">
                  <c:v>-37.009187500000003</c:v>
                </c:pt>
                <c:pt idx="402">
                  <c:v>-36.550000000000004</c:v>
                </c:pt>
                <c:pt idx="403">
                  <c:v>-36.087676499999993</c:v>
                </c:pt>
                <c:pt idx="404">
                  <c:v>-35.687401000000001</c:v>
                </c:pt>
                <c:pt idx="405">
                  <c:v>-35.448034</c:v>
                </c:pt>
                <c:pt idx="406">
                  <c:v>-35.162500000000001</c:v>
                </c:pt>
                <c:pt idx="407">
                  <c:v>-34.88750000000001</c:v>
                </c:pt>
                <c:pt idx="408">
                  <c:v>-34.874999999999993</c:v>
                </c:pt>
                <c:pt idx="409">
                  <c:v>-34.537500000000001</c:v>
                </c:pt>
                <c:pt idx="410">
                  <c:v>-34.500000000000007</c:v>
                </c:pt>
                <c:pt idx="411">
                  <c:v>-34.061771749999998</c:v>
                </c:pt>
                <c:pt idx="412">
                  <c:v>-33.824999999999996</c:v>
                </c:pt>
                <c:pt idx="413">
                  <c:v>-33.125</c:v>
                </c:pt>
                <c:pt idx="414">
                  <c:v>-32.574970874999998</c:v>
                </c:pt>
                <c:pt idx="415">
                  <c:v>-31.472535999999998</c:v>
                </c:pt>
                <c:pt idx="416">
                  <c:v>-31.15</c:v>
                </c:pt>
                <c:pt idx="417">
                  <c:v>-31.051323750000002</c:v>
                </c:pt>
                <c:pt idx="418">
                  <c:v>-30.912500000000001</c:v>
                </c:pt>
                <c:pt idx="419">
                  <c:v>-30.825000000000003</c:v>
                </c:pt>
                <c:pt idx="420">
                  <c:v>-28.300000000000004</c:v>
                </c:pt>
                <c:pt idx="421">
                  <c:v>-26.769421999999999</c:v>
                </c:pt>
                <c:pt idx="422">
                  <c:v>-25.792159999999999</c:v>
                </c:pt>
                <c:pt idx="423">
                  <c:v>-25.212499999999999</c:v>
                </c:pt>
                <c:pt idx="424">
                  <c:v>-24.550000000000004</c:v>
                </c:pt>
                <c:pt idx="425">
                  <c:v>-23.35</c:v>
                </c:pt>
                <c:pt idx="426">
                  <c:v>-18.947088749999999</c:v>
                </c:pt>
                <c:pt idx="427">
                  <c:v>-17.0625</c:v>
                </c:pt>
                <c:pt idx="428">
                  <c:v>-16.799999999999997</c:v>
                </c:pt>
                <c:pt idx="429">
                  <c:v>-16.174999999999997</c:v>
                </c:pt>
                <c:pt idx="430">
                  <c:v>-15.612500000000004</c:v>
                </c:pt>
                <c:pt idx="431">
                  <c:v>-12.487500000000004</c:v>
                </c:pt>
                <c:pt idx="432">
                  <c:v>-77.120460082499989</c:v>
                </c:pt>
                <c:pt idx="433">
                  <c:v>-76.925954862499992</c:v>
                </c:pt>
                <c:pt idx="434">
                  <c:v>-75.858995787500021</c:v>
                </c:pt>
                <c:pt idx="435">
                  <c:v>-75.293043582500019</c:v>
                </c:pt>
                <c:pt idx="436">
                  <c:v>-74.16830747000003</c:v>
                </c:pt>
                <c:pt idx="437">
                  <c:v>-74.13535113750001</c:v>
                </c:pt>
                <c:pt idx="438">
                  <c:v>-72.759417260000021</c:v>
                </c:pt>
                <c:pt idx="439">
                  <c:v>-72.195769630000001</c:v>
                </c:pt>
                <c:pt idx="440">
                  <c:v>-72.041137880000008</c:v>
                </c:pt>
                <c:pt idx="441">
                  <c:v>-71.622085837500009</c:v>
                </c:pt>
                <c:pt idx="442">
                  <c:v>-71.561463912500017</c:v>
                </c:pt>
                <c:pt idx="443">
                  <c:v>-68.952759632500005</c:v>
                </c:pt>
                <c:pt idx="444">
                  <c:v>-68.091799646249996</c:v>
                </c:pt>
                <c:pt idx="445">
                  <c:v>-67.450121222500002</c:v>
                </c:pt>
                <c:pt idx="446">
                  <c:v>-66.445014847500005</c:v>
                </c:pt>
                <c:pt idx="447">
                  <c:v>-65.945554294999994</c:v>
                </c:pt>
                <c:pt idx="448">
                  <c:v>-65.926998485000013</c:v>
                </c:pt>
                <c:pt idx="449">
                  <c:v>-65.877892154999984</c:v>
                </c:pt>
                <c:pt idx="450">
                  <c:v>-63.995647927499995</c:v>
                </c:pt>
                <c:pt idx="451">
                  <c:v>-63.973999482500012</c:v>
                </c:pt>
                <c:pt idx="452">
                  <c:v>-62.916318312500017</c:v>
                </c:pt>
                <c:pt idx="453">
                  <c:v>-61.191635124999998</c:v>
                </c:pt>
                <c:pt idx="454">
                  <c:v>-61.037542550000005</c:v>
                </c:pt>
                <c:pt idx="455">
                  <c:v>-60.969504579999999</c:v>
                </c:pt>
                <c:pt idx="456">
                  <c:v>-60.96903775000002</c:v>
                </c:pt>
                <c:pt idx="457">
                  <c:v>-60.725186415000003</c:v>
                </c:pt>
                <c:pt idx="458">
                  <c:v>-60.112101215000003</c:v>
                </c:pt>
                <c:pt idx="459">
                  <c:v>-60.015426682499999</c:v>
                </c:pt>
                <c:pt idx="460">
                  <c:v>-59.985828250000004</c:v>
                </c:pt>
                <c:pt idx="461">
                  <c:v>-59.695338960000022</c:v>
                </c:pt>
                <c:pt idx="462">
                  <c:v>-59.660208410000003</c:v>
                </c:pt>
                <c:pt idx="463">
                  <c:v>-58.320662702499995</c:v>
                </c:pt>
                <c:pt idx="464">
                  <c:v>-58.042402220000007</c:v>
                </c:pt>
                <c:pt idx="465">
                  <c:v>-57.694404115000005</c:v>
                </c:pt>
                <c:pt idx="466">
                  <c:v>-57.601195772500013</c:v>
                </c:pt>
                <c:pt idx="467">
                  <c:v>-56.737233582500018</c:v>
                </c:pt>
                <c:pt idx="468">
                  <c:v>-56.098479330000011</c:v>
                </c:pt>
                <c:pt idx="469">
                  <c:v>-54.811928837500012</c:v>
                </c:pt>
                <c:pt idx="470">
                  <c:v>-54.485795302500016</c:v>
                </c:pt>
                <c:pt idx="471">
                  <c:v>-54.417701139999998</c:v>
                </c:pt>
                <c:pt idx="472">
                  <c:v>-54.349719362500004</c:v>
                </c:pt>
                <c:pt idx="473">
                  <c:v>-54.280639897500016</c:v>
                </c:pt>
                <c:pt idx="474">
                  <c:v>-54.179984115000003</c:v>
                </c:pt>
                <c:pt idx="475">
                  <c:v>-54.106947514999995</c:v>
                </c:pt>
                <c:pt idx="476">
                  <c:v>-53.494416960000002</c:v>
                </c:pt>
                <c:pt idx="477">
                  <c:v>-53.457494165000007</c:v>
                </c:pt>
                <c:pt idx="478">
                  <c:v>-53.353890892500011</c:v>
                </c:pt>
                <c:pt idx="479">
                  <c:v>-52.869893515000008</c:v>
                </c:pt>
                <c:pt idx="480">
                  <c:v>-52.295673049999998</c:v>
                </c:pt>
                <c:pt idx="481">
                  <c:v>-51.305451203750003</c:v>
                </c:pt>
                <c:pt idx="482">
                  <c:v>-50.701685199999993</c:v>
                </c:pt>
                <c:pt idx="483">
                  <c:v>-50.470615270000003</c:v>
                </c:pt>
                <c:pt idx="484">
                  <c:v>-49.273822400000007</c:v>
                </c:pt>
                <c:pt idx="485">
                  <c:v>-49.234501072500002</c:v>
                </c:pt>
                <c:pt idx="486">
                  <c:v>-48.968308555</c:v>
                </c:pt>
                <c:pt idx="487">
                  <c:v>-48.851075757500006</c:v>
                </c:pt>
                <c:pt idx="488">
                  <c:v>-48.062546880000006</c:v>
                </c:pt>
                <c:pt idx="489">
                  <c:v>-47.981137938750003</c:v>
                </c:pt>
                <c:pt idx="490">
                  <c:v>-47.949503836249995</c:v>
                </c:pt>
                <c:pt idx="491">
                  <c:v>-47.906489842500001</c:v>
                </c:pt>
                <c:pt idx="492">
                  <c:v>-46.909005855000011</c:v>
                </c:pt>
                <c:pt idx="493">
                  <c:v>-44.834492050000001</c:v>
                </c:pt>
                <c:pt idx="494">
                  <c:v>-44.293538227500001</c:v>
                </c:pt>
                <c:pt idx="495">
                  <c:v>-44.063615352500001</c:v>
                </c:pt>
                <c:pt idx="496">
                  <c:v>-43.930632047500005</c:v>
                </c:pt>
                <c:pt idx="497">
                  <c:v>-43.732703407500004</c:v>
                </c:pt>
                <c:pt idx="498">
                  <c:v>-41.807857985000005</c:v>
                </c:pt>
                <c:pt idx="499">
                  <c:v>-40.666274587500006</c:v>
                </c:pt>
                <c:pt idx="500">
                  <c:v>-39.731826755000007</c:v>
                </c:pt>
                <c:pt idx="501">
                  <c:v>-39.339045274999997</c:v>
                </c:pt>
                <c:pt idx="502">
                  <c:v>-38.592927174999993</c:v>
                </c:pt>
                <c:pt idx="503">
                  <c:v>-37.97757198</c:v>
                </c:pt>
                <c:pt idx="504">
                  <c:v>-36.838744290000001</c:v>
                </c:pt>
                <c:pt idx="505">
                  <c:v>-36.282545692500001</c:v>
                </c:pt>
                <c:pt idx="506">
                  <c:v>-33.335017245000003</c:v>
                </c:pt>
                <c:pt idx="507">
                  <c:v>-32.68426487</c:v>
                </c:pt>
                <c:pt idx="508">
                  <c:v>-32.127526870000004</c:v>
                </c:pt>
                <c:pt idx="509">
                  <c:v>-31.731274650000003</c:v>
                </c:pt>
                <c:pt idx="510">
                  <c:v>-29.938845830000005</c:v>
                </c:pt>
                <c:pt idx="511">
                  <c:v>-29.846169723750002</c:v>
                </c:pt>
                <c:pt idx="512">
                  <c:v>-24.938453615</c:v>
                </c:pt>
                <c:pt idx="513">
                  <c:v>-23.893925585000012</c:v>
                </c:pt>
                <c:pt idx="514">
                  <c:v>-19.939516035000004</c:v>
                </c:pt>
                <c:pt idx="515">
                  <c:v>-19.69162282125</c:v>
                </c:pt>
                <c:pt idx="516">
                  <c:v>-19.395412588749998</c:v>
                </c:pt>
                <c:pt idx="517">
                  <c:v>-15.436639475000007</c:v>
                </c:pt>
                <c:pt idx="518">
                  <c:v>-14.067943396249994</c:v>
                </c:pt>
              </c:numCache>
            </c:numRef>
          </c:xVal>
          <c:yVal>
            <c:numRef>
              <c:f>'dH&amp;dN juv'!$E$2:$E$521</c:f>
              <c:numCache>
                <c:formatCode>General</c:formatCode>
                <c:ptCount val="520"/>
                <c:pt idx="10">
                  <c:v>6.1575288090000004</c:v>
                </c:pt>
                <c:pt idx="11">
                  <c:v>3.8466605340000002</c:v>
                </c:pt>
                <c:pt idx="12">
                  <c:v>4.2834954779999999</c:v>
                </c:pt>
                <c:pt idx="13">
                  <c:v>5.4492899039999996</c:v>
                </c:pt>
                <c:pt idx="14">
                  <c:v>6.86</c:v>
                </c:pt>
                <c:pt idx="15">
                  <c:v>8.24</c:v>
                </c:pt>
                <c:pt idx="16">
                  <c:v>8.4124316369999992</c:v>
                </c:pt>
                <c:pt idx="17">
                  <c:v>3.58</c:v>
                </c:pt>
                <c:pt idx="18">
                  <c:v>3.8710326269999999</c:v>
                </c:pt>
                <c:pt idx="19">
                  <c:v>7.92</c:v>
                </c:pt>
                <c:pt idx="20">
                  <c:v>5.7324705959999998</c:v>
                </c:pt>
                <c:pt idx="21">
                  <c:v>7.11</c:v>
                </c:pt>
                <c:pt idx="22">
                  <c:v>7.66</c:v>
                </c:pt>
                <c:pt idx="23">
                  <c:v>10.26</c:v>
                </c:pt>
                <c:pt idx="24">
                  <c:v>6.79</c:v>
                </c:pt>
                <c:pt idx="25">
                  <c:v>5.15</c:v>
                </c:pt>
                <c:pt idx="26">
                  <c:v>2.0945182710000001</c:v>
                </c:pt>
                <c:pt idx="27">
                  <c:v>6.5984804869999998</c:v>
                </c:pt>
                <c:pt idx="28">
                  <c:v>4.4800000000000004</c:v>
                </c:pt>
                <c:pt idx="29">
                  <c:v>6.4983951089999996</c:v>
                </c:pt>
                <c:pt idx="30">
                  <c:v>4.8986809850000004</c:v>
                </c:pt>
                <c:pt idx="31">
                  <c:v>5.9053070239999998</c:v>
                </c:pt>
                <c:pt idx="32">
                  <c:v>3.9089561320000001</c:v>
                </c:pt>
                <c:pt idx="33">
                  <c:v>4.1124055869999996</c:v>
                </c:pt>
                <c:pt idx="34">
                  <c:v>6.44</c:v>
                </c:pt>
                <c:pt idx="35">
                  <c:v>4.6100000000000003</c:v>
                </c:pt>
                <c:pt idx="36">
                  <c:v>7.2520396729999996</c:v>
                </c:pt>
                <c:pt idx="37">
                  <c:v>5.7103306700000003</c:v>
                </c:pt>
                <c:pt idx="38">
                  <c:v>3.4225468210000001</c:v>
                </c:pt>
                <c:pt idx="39">
                  <c:v>6.97</c:v>
                </c:pt>
                <c:pt idx="40">
                  <c:v>3.7908441449999999</c:v>
                </c:pt>
                <c:pt idx="41">
                  <c:v>7.66</c:v>
                </c:pt>
                <c:pt idx="42">
                  <c:v>4.4400000000000004</c:v>
                </c:pt>
                <c:pt idx="43">
                  <c:v>5.3107569200000002</c:v>
                </c:pt>
                <c:pt idx="44">
                  <c:v>6.1105903169999998</c:v>
                </c:pt>
                <c:pt idx="45">
                  <c:v>6.7305649059999997</c:v>
                </c:pt>
                <c:pt idx="46">
                  <c:v>5.9908380079999999</c:v>
                </c:pt>
                <c:pt idx="47">
                  <c:v>4.28199752</c:v>
                </c:pt>
                <c:pt idx="48">
                  <c:v>4.4308366399999999</c:v>
                </c:pt>
                <c:pt idx="49">
                  <c:v>5.588437206</c:v>
                </c:pt>
                <c:pt idx="50">
                  <c:v>4.2139024129999996</c:v>
                </c:pt>
                <c:pt idx="51">
                  <c:v>7.27</c:v>
                </c:pt>
                <c:pt idx="52">
                  <c:v>7.97</c:v>
                </c:pt>
                <c:pt idx="53">
                  <c:v>6.65</c:v>
                </c:pt>
                <c:pt idx="54">
                  <c:v>4.0277481269999997</c:v>
                </c:pt>
                <c:pt idx="55">
                  <c:v>5.93</c:v>
                </c:pt>
                <c:pt idx="56">
                  <c:v>5.6464658249999999</c:v>
                </c:pt>
                <c:pt idx="57">
                  <c:v>6.5498429930000004</c:v>
                </c:pt>
                <c:pt idx="58">
                  <c:v>7.2794638330000003</c:v>
                </c:pt>
                <c:pt idx="59">
                  <c:v>7.3975176219999996</c:v>
                </c:pt>
                <c:pt idx="60">
                  <c:v>4.33</c:v>
                </c:pt>
                <c:pt idx="61">
                  <c:v>5.5284481730000001</c:v>
                </c:pt>
                <c:pt idx="62">
                  <c:v>9</c:v>
                </c:pt>
                <c:pt idx="63">
                  <c:v>4.8752136559999997</c:v>
                </c:pt>
                <c:pt idx="64">
                  <c:v>4.8121593779999996</c:v>
                </c:pt>
                <c:pt idx="65">
                  <c:v>4.6291487790000003</c:v>
                </c:pt>
                <c:pt idx="66">
                  <c:v>8.4768643539999999</c:v>
                </c:pt>
                <c:pt idx="67">
                  <c:v>7.79</c:v>
                </c:pt>
                <c:pt idx="68">
                  <c:v>4.2572328800000001</c:v>
                </c:pt>
                <c:pt idx="69">
                  <c:v>4.51</c:v>
                </c:pt>
                <c:pt idx="70">
                  <c:v>3.93</c:v>
                </c:pt>
                <c:pt idx="71">
                  <c:v>8.8315914969999998</c:v>
                </c:pt>
                <c:pt idx="72">
                  <c:v>6.2458319260000001</c:v>
                </c:pt>
                <c:pt idx="73">
                  <c:v>7.7614681299999999</c:v>
                </c:pt>
                <c:pt idx="74">
                  <c:v>5.39</c:v>
                </c:pt>
                <c:pt idx="75">
                  <c:v>7.6255582730000002</c:v>
                </c:pt>
                <c:pt idx="76">
                  <c:v>4.8755664679999997</c:v>
                </c:pt>
                <c:pt idx="77">
                  <c:v>7.36</c:v>
                </c:pt>
                <c:pt idx="78">
                  <c:v>5.1336446750000002</c:v>
                </c:pt>
                <c:pt idx="79">
                  <c:v>6.156201727</c:v>
                </c:pt>
                <c:pt idx="80">
                  <c:v>7.6439117999999997</c:v>
                </c:pt>
                <c:pt idx="81">
                  <c:v>2.872987578</c:v>
                </c:pt>
                <c:pt idx="82">
                  <c:v>6.6764693030000002</c:v>
                </c:pt>
                <c:pt idx="83">
                  <c:v>0</c:v>
                </c:pt>
                <c:pt idx="84">
                  <c:v>6.76</c:v>
                </c:pt>
                <c:pt idx="85">
                  <c:v>3.9245630650000001</c:v>
                </c:pt>
                <c:pt idx="86">
                  <c:v>5.5383834839999997</c:v>
                </c:pt>
                <c:pt idx="87">
                  <c:v>8.0738753039999995</c:v>
                </c:pt>
                <c:pt idx="88">
                  <c:v>4.3856015810000004</c:v>
                </c:pt>
                <c:pt idx="89">
                  <c:v>5.4933990130000003</c:v>
                </c:pt>
                <c:pt idx="90">
                  <c:v>5.0935032119999999</c:v>
                </c:pt>
                <c:pt idx="91">
                  <c:v>8.07</c:v>
                </c:pt>
                <c:pt idx="92">
                  <c:v>4.1153342579999999</c:v>
                </c:pt>
                <c:pt idx="93">
                  <c:v>7.5331980180000002</c:v>
                </c:pt>
                <c:pt idx="94">
                  <c:v>0</c:v>
                </c:pt>
                <c:pt idx="95">
                  <c:v>2.317942435</c:v>
                </c:pt>
                <c:pt idx="96">
                  <c:v>4.8099999999999996</c:v>
                </c:pt>
                <c:pt idx="97">
                  <c:v>5.03</c:v>
                </c:pt>
                <c:pt idx="98">
                  <c:v>4.230405448</c:v>
                </c:pt>
                <c:pt idx="99">
                  <c:v>8.8438989180000007</c:v>
                </c:pt>
                <c:pt idx="100">
                  <c:v>6.1469806570000003</c:v>
                </c:pt>
                <c:pt idx="101">
                  <c:v>5.24</c:v>
                </c:pt>
                <c:pt idx="102">
                  <c:v>5.1349042999999996</c:v>
                </c:pt>
                <c:pt idx="103">
                  <c:v>1.55</c:v>
                </c:pt>
                <c:pt idx="104">
                  <c:v>4.8688173519999998</c:v>
                </c:pt>
                <c:pt idx="105">
                  <c:v>3.9994609560000001</c:v>
                </c:pt>
                <c:pt idx="106">
                  <c:v>5.38</c:v>
                </c:pt>
                <c:pt idx="107">
                  <c:v>5.6361808890000002</c:v>
                </c:pt>
                <c:pt idx="108">
                  <c:v>7.7058101160000003</c:v>
                </c:pt>
                <c:pt idx="109">
                  <c:v>4.4628602700000002</c:v>
                </c:pt>
                <c:pt idx="110">
                  <c:v>6.07</c:v>
                </c:pt>
                <c:pt idx="111">
                  <c:v>6.24</c:v>
                </c:pt>
                <c:pt idx="112">
                  <c:v>4.379715461</c:v>
                </c:pt>
                <c:pt idx="113">
                  <c:v>4.1500000000000004</c:v>
                </c:pt>
                <c:pt idx="114">
                  <c:v>2.09</c:v>
                </c:pt>
                <c:pt idx="115">
                  <c:v>4.24</c:v>
                </c:pt>
                <c:pt idx="116">
                  <c:v>7.12</c:v>
                </c:pt>
                <c:pt idx="117">
                  <c:v>4</c:v>
                </c:pt>
                <c:pt idx="118">
                  <c:v>5.8259069879999998</c:v>
                </c:pt>
                <c:pt idx="119">
                  <c:v>5.61</c:v>
                </c:pt>
                <c:pt idx="120">
                  <c:v>14.86</c:v>
                </c:pt>
                <c:pt idx="121">
                  <c:v>4.1164420819999998</c:v>
                </c:pt>
                <c:pt idx="122">
                  <c:v>5.617299848</c:v>
                </c:pt>
                <c:pt idx="123">
                  <c:v>4.8131399889999997</c:v>
                </c:pt>
                <c:pt idx="124">
                  <c:v>3.6856636429999998</c:v>
                </c:pt>
                <c:pt idx="125">
                  <c:v>6.3993178049999999</c:v>
                </c:pt>
                <c:pt idx="126">
                  <c:v>7.1919720040000001</c:v>
                </c:pt>
                <c:pt idx="127">
                  <c:v>5.0772408249999996</c:v>
                </c:pt>
                <c:pt idx="128">
                  <c:v>4.6084822760000002</c:v>
                </c:pt>
                <c:pt idx="129">
                  <c:v>9.4546056459999992</c:v>
                </c:pt>
                <c:pt idx="130">
                  <c:v>4.6594792079999996</c:v>
                </c:pt>
                <c:pt idx="131">
                  <c:v>7.26</c:v>
                </c:pt>
                <c:pt idx="132">
                  <c:v>5.7384713749999996</c:v>
                </c:pt>
                <c:pt idx="133">
                  <c:v>6.07</c:v>
                </c:pt>
                <c:pt idx="134">
                  <c:v>8.3990171500000006</c:v>
                </c:pt>
                <c:pt idx="135">
                  <c:v>5.8449120849999998</c:v>
                </c:pt>
                <c:pt idx="136">
                  <c:v>5.2781259159999996</c:v>
                </c:pt>
                <c:pt idx="137">
                  <c:v>4.7065184760000003</c:v>
                </c:pt>
                <c:pt idx="138">
                  <c:v>7.9569574410000001</c:v>
                </c:pt>
                <c:pt idx="139">
                  <c:v>8.16</c:v>
                </c:pt>
                <c:pt idx="140">
                  <c:v>1.76</c:v>
                </c:pt>
                <c:pt idx="141">
                  <c:v>6.1629435580000003</c:v>
                </c:pt>
                <c:pt idx="142">
                  <c:v>4.7865454959999996</c:v>
                </c:pt>
                <c:pt idx="143">
                  <c:v>7.542489711</c:v>
                </c:pt>
                <c:pt idx="144">
                  <c:v>6.0682074530000003</c:v>
                </c:pt>
                <c:pt idx="145">
                  <c:v>4.13</c:v>
                </c:pt>
                <c:pt idx="146">
                  <c:v>5.6042188250000002</c:v>
                </c:pt>
                <c:pt idx="147">
                  <c:v>7.2568986689999999</c:v>
                </c:pt>
                <c:pt idx="148">
                  <c:v>6.94</c:v>
                </c:pt>
                <c:pt idx="149">
                  <c:v>5.3918595820000004</c:v>
                </c:pt>
                <c:pt idx="150">
                  <c:v>3.86</c:v>
                </c:pt>
                <c:pt idx="151">
                  <c:v>8.01</c:v>
                </c:pt>
                <c:pt idx="152">
                  <c:v>7.09</c:v>
                </c:pt>
                <c:pt idx="153">
                  <c:v>7.5658294890000004</c:v>
                </c:pt>
                <c:pt idx="154">
                  <c:v>8.259712232</c:v>
                </c:pt>
                <c:pt idx="155">
                  <c:v>5.9527155970000001</c:v>
                </c:pt>
                <c:pt idx="156">
                  <c:v>5.3046593949999998</c:v>
                </c:pt>
                <c:pt idx="157">
                  <c:v>5.53</c:v>
                </c:pt>
                <c:pt idx="158">
                  <c:v>9.58</c:v>
                </c:pt>
                <c:pt idx="159">
                  <c:v>3.3966480020000001</c:v>
                </c:pt>
                <c:pt idx="160">
                  <c:v>4.4258503400000002</c:v>
                </c:pt>
                <c:pt idx="161">
                  <c:v>6.7400721319999999</c:v>
                </c:pt>
                <c:pt idx="162">
                  <c:v>6.3994302440000004</c:v>
                </c:pt>
                <c:pt idx="163">
                  <c:v>4.2071453480000001</c:v>
                </c:pt>
                <c:pt idx="164">
                  <c:v>1.59</c:v>
                </c:pt>
                <c:pt idx="165">
                  <c:v>4.8850943579999999</c:v>
                </c:pt>
                <c:pt idx="166">
                  <c:v>4.1900000000000004</c:v>
                </c:pt>
                <c:pt idx="167">
                  <c:v>4.3176607819999999</c:v>
                </c:pt>
                <c:pt idx="168">
                  <c:v>8.5253865520000005</c:v>
                </c:pt>
                <c:pt idx="169">
                  <c:v>5.2344030349999997</c:v>
                </c:pt>
                <c:pt idx="170">
                  <c:v>5.1100000000000003</c:v>
                </c:pt>
                <c:pt idx="171">
                  <c:v>8.5218273240000002</c:v>
                </c:pt>
                <c:pt idx="172">
                  <c:v>7.97</c:v>
                </c:pt>
                <c:pt idx="173">
                  <c:v>5.0833498390000003</c:v>
                </c:pt>
                <c:pt idx="174">
                  <c:v>7.676698902</c:v>
                </c:pt>
                <c:pt idx="175">
                  <c:v>7.0992954099999999</c:v>
                </c:pt>
                <c:pt idx="176">
                  <c:v>6.2033232380000003</c:v>
                </c:pt>
                <c:pt idx="177">
                  <c:v>6.4244729820000002</c:v>
                </c:pt>
                <c:pt idx="178">
                  <c:v>1.9093675530000001</c:v>
                </c:pt>
                <c:pt idx="179">
                  <c:v>5.81</c:v>
                </c:pt>
                <c:pt idx="180">
                  <c:v>6.15</c:v>
                </c:pt>
                <c:pt idx="181">
                  <c:v>2.89</c:v>
                </c:pt>
                <c:pt idx="182">
                  <c:v>6.47</c:v>
                </c:pt>
                <c:pt idx="183">
                  <c:v>3.948775355</c:v>
                </c:pt>
                <c:pt idx="184">
                  <c:v>6.3</c:v>
                </c:pt>
                <c:pt idx="185">
                  <c:v>4.79</c:v>
                </c:pt>
                <c:pt idx="186">
                  <c:v>5.97</c:v>
                </c:pt>
                <c:pt idx="187">
                  <c:v>5.7458810219999998</c:v>
                </c:pt>
                <c:pt idx="188">
                  <c:v>3.7377188330000002</c:v>
                </c:pt>
                <c:pt idx="189">
                  <c:v>6.96</c:v>
                </c:pt>
                <c:pt idx="190">
                  <c:v>6.04</c:v>
                </c:pt>
                <c:pt idx="191">
                  <c:v>5.548889258</c:v>
                </c:pt>
                <c:pt idx="192">
                  <c:v>5.58</c:v>
                </c:pt>
                <c:pt idx="193">
                  <c:v>4.1034937109999996</c:v>
                </c:pt>
                <c:pt idx="194">
                  <c:v>5.7660586900000004</c:v>
                </c:pt>
                <c:pt idx="195">
                  <c:v>4.515502991</c:v>
                </c:pt>
                <c:pt idx="196">
                  <c:v>6.03</c:v>
                </c:pt>
                <c:pt idx="197">
                  <c:v>7.18</c:v>
                </c:pt>
                <c:pt idx="198">
                  <c:v>6.12</c:v>
                </c:pt>
                <c:pt idx="199">
                  <c:v>3.9188431449999999</c:v>
                </c:pt>
                <c:pt idx="200">
                  <c:v>5.3700300009999999</c:v>
                </c:pt>
                <c:pt idx="201">
                  <c:v>5.1445727290000001</c:v>
                </c:pt>
                <c:pt idx="202">
                  <c:v>2.922561001</c:v>
                </c:pt>
                <c:pt idx="203">
                  <c:v>2.35</c:v>
                </c:pt>
                <c:pt idx="204">
                  <c:v>6.0193783420000004</c:v>
                </c:pt>
                <c:pt idx="205">
                  <c:v>8.2072744239999995</c:v>
                </c:pt>
                <c:pt idx="206">
                  <c:v>3.54</c:v>
                </c:pt>
                <c:pt idx="207">
                  <c:v>6.5283767529999999</c:v>
                </c:pt>
                <c:pt idx="208">
                  <c:v>7.4653630150000003</c:v>
                </c:pt>
                <c:pt idx="209">
                  <c:v>5.83</c:v>
                </c:pt>
                <c:pt idx="210">
                  <c:v>7.7719955619999999</c:v>
                </c:pt>
                <c:pt idx="211">
                  <c:v>7.8015503500000003</c:v>
                </c:pt>
                <c:pt idx="212">
                  <c:v>5.15</c:v>
                </c:pt>
                <c:pt idx="213">
                  <c:v>4.0708941650000003</c:v>
                </c:pt>
                <c:pt idx="214">
                  <c:v>2.8765267209999998</c:v>
                </c:pt>
                <c:pt idx="215">
                  <c:v>3.7097121980000001</c:v>
                </c:pt>
                <c:pt idx="216">
                  <c:v>5.7858879239999998</c:v>
                </c:pt>
                <c:pt idx="217">
                  <c:v>6.1037358299999998</c:v>
                </c:pt>
                <c:pt idx="218">
                  <c:v>3.7441635230000001</c:v>
                </c:pt>
                <c:pt idx="219">
                  <c:v>5.0462848190000003</c:v>
                </c:pt>
                <c:pt idx="220">
                  <c:v>6.94</c:v>
                </c:pt>
                <c:pt idx="221">
                  <c:v>5.1604925460000004</c:v>
                </c:pt>
                <c:pt idx="222">
                  <c:v>6.846395223</c:v>
                </c:pt>
                <c:pt idx="223">
                  <c:v>6.4519132680000002</c:v>
                </c:pt>
                <c:pt idx="224">
                  <c:v>3.83</c:v>
                </c:pt>
                <c:pt idx="225">
                  <c:v>7.2879859309999997</c:v>
                </c:pt>
                <c:pt idx="226">
                  <c:v>0</c:v>
                </c:pt>
                <c:pt idx="227">
                  <c:v>6.0350240069999996</c:v>
                </c:pt>
                <c:pt idx="228">
                  <c:v>4.7300000000000004</c:v>
                </c:pt>
                <c:pt idx="229">
                  <c:v>5.47</c:v>
                </c:pt>
                <c:pt idx="230">
                  <c:v>4.8131155190000001</c:v>
                </c:pt>
                <c:pt idx="231">
                  <c:v>5.8382261010000001</c:v>
                </c:pt>
                <c:pt idx="232">
                  <c:v>3.8442051319999999</c:v>
                </c:pt>
                <c:pt idx="233">
                  <c:v>6.7644265079999997</c:v>
                </c:pt>
                <c:pt idx="234">
                  <c:v>8.0410906050000008</c:v>
                </c:pt>
                <c:pt idx="235">
                  <c:v>5.1767454129999999</c:v>
                </c:pt>
                <c:pt idx="236">
                  <c:v>5.01</c:v>
                </c:pt>
                <c:pt idx="237">
                  <c:v>5.79</c:v>
                </c:pt>
                <c:pt idx="238">
                  <c:v>7.2537320149999998</c:v>
                </c:pt>
                <c:pt idx="239">
                  <c:v>4.7383537110000002</c:v>
                </c:pt>
                <c:pt idx="240">
                  <c:v>0</c:v>
                </c:pt>
                <c:pt idx="241">
                  <c:v>4.322283315</c:v>
                </c:pt>
                <c:pt idx="242">
                  <c:v>6.5896696109999997</c:v>
                </c:pt>
                <c:pt idx="243">
                  <c:v>5.36</c:v>
                </c:pt>
                <c:pt idx="244">
                  <c:v>4.16</c:v>
                </c:pt>
                <c:pt idx="245">
                  <c:v>7.09</c:v>
                </c:pt>
                <c:pt idx="246">
                  <c:v>5.15136314</c:v>
                </c:pt>
                <c:pt idx="247">
                  <c:v>3.7625710840000002</c:v>
                </c:pt>
                <c:pt idx="248">
                  <c:v>4.75</c:v>
                </c:pt>
                <c:pt idx="249">
                  <c:v>4.9925662529999997</c:v>
                </c:pt>
                <c:pt idx="250">
                  <c:v>6.38</c:v>
                </c:pt>
                <c:pt idx="251">
                  <c:v>7.2778163569999998</c:v>
                </c:pt>
                <c:pt idx="252">
                  <c:v>3.39</c:v>
                </c:pt>
                <c:pt idx="253">
                  <c:v>4.246373889</c:v>
                </c:pt>
                <c:pt idx="254">
                  <c:v>4.4785697989999997</c:v>
                </c:pt>
                <c:pt idx="255">
                  <c:v>8.0399999999999991</c:v>
                </c:pt>
                <c:pt idx="256">
                  <c:v>5.1865954820000004</c:v>
                </c:pt>
                <c:pt idx="257">
                  <c:v>10.83</c:v>
                </c:pt>
                <c:pt idx="258">
                  <c:v>9.0827475179999997</c:v>
                </c:pt>
                <c:pt idx="259">
                  <c:v>4.6983978000000004</c:v>
                </c:pt>
                <c:pt idx="260">
                  <c:v>3.945912544</c:v>
                </c:pt>
                <c:pt idx="261">
                  <c:v>8.0739581870000006</c:v>
                </c:pt>
                <c:pt idx="262">
                  <c:v>6.12</c:v>
                </c:pt>
                <c:pt idx="263">
                  <c:v>5.58</c:v>
                </c:pt>
                <c:pt idx="264">
                  <c:v>5.48</c:v>
                </c:pt>
                <c:pt idx="265">
                  <c:v>6.0101096390000004</c:v>
                </c:pt>
                <c:pt idx="266">
                  <c:v>5.860929574</c:v>
                </c:pt>
                <c:pt idx="267">
                  <c:v>5.330528932</c:v>
                </c:pt>
                <c:pt idx="268">
                  <c:v>7.9386607079999996</c:v>
                </c:pt>
                <c:pt idx="269">
                  <c:v>4.9942213019999997</c:v>
                </c:pt>
                <c:pt idx="270">
                  <c:v>4.8248623640000003</c:v>
                </c:pt>
                <c:pt idx="271">
                  <c:v>-1.76</c:v>
                </c:pt>
                <c:pt idx="272">
                  <c:v>6.32</c:v>
                </c:pt>
                <c:pt idx="273">
                  <c:v>4.1500000000000004</c:v>
                </c:pt>
                <c:pt idx="274">
                  <c:v>5.9628827610000004</c:v>
                </c:pt>
                <c:pt idx="275">
                  <c:v>5.7749290369999997</c:v>
                </c:pt>
                <c:pt idx="276">
                  <c:v>4.1762939799999996</c:v>
                </c:pt>
                <c:pt idx="277">
                  <c:v>0</c:v>
                </c:pt>
                <c:pt idx="278">
                  <c:v>2.9757540730000001</c:v>
                </c:pt>
                <c:pt idx="279">
                  <c:v>6.84</c:v>
                </c:pt>
                <c:pt idx="280">
                  <c:v>6.21</c:v>
                </c:pt>
                <c:pt idx="281">
                  <c:v>2.4463352700000001</c:v>
                </c:pt>
                <c:pt idx="282">
                  <c:v>5.73</c:v>
                </c:pt>
                <c:pt idx="283">
                  <c:v>9.51</c:v>
                </c:pt>
                <c:pt idx="284">
                  <c:v>1.9317109560000001</c:v>
                </c:pt>
                <c:pt idx="285">
                  <c:v>8.1999999999999993</c:v>
                </c:pt>
                <c:pt idx="286">
                  <c:v>1.26</c:v>
                </c:pt>
                <c:pt idx="287">
                  <c:v>2.5315689880000001</c:v>
                </c:pt>
                <c:pt idx="288">
                  <c:v>2.2027457859999999</c:v>
                </c:pt>
                <c:pt idx="289">
                  <c:v>10.89504812</c:v>
                </c:pt>
                <c:pt idx="290">
                  <c:v>5.6689400120000002</c:v>
                </c:pt>
                <c:pt idx="291">
                  <c:v>6.1634281870000001</c:v>
                </c:pt>
                <c:pt idx="292">
                  <c:v>2.78</c:v>
                </c:pt>
                <c:pt idx="293">
                  <c:v>-1.258331195</c:v>
                </c:pt>
                <c:pt idx="294">
                  <c:v>10.35901451</c:v>
                </c:pt>
                <c:pt idx="295">
                  <c:v>3.24</c:v>
                </c:pt>
                <c:pt idx="296">
                  <c:v>4.9000000000000004</c:v>
                </c:pt>
                <c:pt idx="297">
                  <c:v>1.06</c:v>
                </c:pt>
                <c:pt idx="298">
                  <c:v>1.322790006</c:v>
                </c:pt>
                <c:pt idx="299">
                  <c:v>5.7995827579999997</c:v>
                </c:pt>
                <c:pt idx="300">
                  <c:v>1.168013886</c:v>
                </c:pt>
                <c:pt idx="301">
                  <c:v>4.58</c:v>
                </c:pt>
                <c:pt idx="302">
                  <c:v>4.4847655980000001</c:v>
                </c:pt>
                <c:pt idx="303">
                  <c:v>7.31</c:v>
                </c:pt>
                <c:pt idx="304">
                  <c:v>6.0756205960000003</c:v>
                </c:pt>
                <c:pt idx="305">
                  <c:v>5.8003834210000003</c:v>
                </c:pt>
                <c:pt idx="306">
                  <c:v>3.9561567200000001</c:v>
                </c:pt>
                <c:pt idx="307">
                  <c:v>5.24</c:v>
                </c:pt>
                <c:pt idx="308">
                  <c:v>6.4380572340000004</c:v>
                </c:pt>
                <c:pt idx="309">
                  <c:v>3.1352992230000001</c:v>
                </c:pt>
                <c:pt idx="310">
                  <c:v>4.764547254</c:v>
                </c:pt>
                <c:pt idx="311">
                  <c:v>0.37729802800000001</c:v>
                </c:pt>
                <c:pt idx="312">
                  <c:v>0.61832394099999999</c:v>
                </c:pt>
                <c:pt idx="313">
                  <c:v>5.1072790489999997</c:v>
                </c:pt>
                <c:pt idx="314">
                  <c:v>3.2442603160000001</c:v>
                </c:pt>
                <c:pt idx="315">
                  <c:v>1.9911728580000001</c:v>
                </c:pt>
                <c:pt idx="316">
                  <c:v>5.1687043819999996</c:v>
                </c:pt>
                <c:pt idx="317">
                  <c:v>6.0310133510000004</c:v>
                </c:pt>
                <c:pt idx="318">
                  <c:v>6.0800078160000002</c:v>
                </c:pt>
                <c:pt idx="319">
                  <c:v>0.111754046</c:v>
                </c:pt>
                <c:pt idx="320">
                  <c:v>1.7512861669999999</c:v>
                </c:pt>
                <c:pt idx="321">
                  <c:v>4.5743700990000002</c:v>
                </c:pt>
                <c:pt idx="322">
                  <c:v>8.2100000000000009</c:v>
                </c:pt>
                <c:pt idx="323">
                  <c:v>7.5041806329999998</c:v>
                </c:pt>
                <c:pt idx="324">
                  <c:v>6.89</c:v>
                </c:pt>
                <c:pt idx="325">
                  <c:v>1.949211655</c:v>
                </c:pt>
                <c:pt idx="326">
                  <c:v>4.7742457500000004</c:v>
                </c:pt>
                <c:pt idx="327">
                  <c:v>7.13</c:v>
                </c:pt>
                <c:pt idx="328">
                  <c:v>-1.53</c:v>
                </c:pt>
                <c:pt idx="329">
                  <c:v>0.467414779</c:v>
                </c:pt>
                <c:pt idx="330">
                  <c:v>3.5387406850000001</c:v>
                </c:pt>
                <c:pt idx="331">
                  <c:v>7.96</c:v>
                </c:pt>
                <c:pt idx="332">
                  <c:v>1.796711046</c:v>
                </c:pt>
                <c:pt idx="333">
                  <c:v>6.0893230389999999</c:v>
                </c:pt>
                <c:pt idx="334">
                  <c:v>2.5792410480000001</c:v>
                </c:pt>
                <c:pt idx="335">
                  <c:v>6.6044703440000001</c:v>
                </c:pt>
                <c:pt idx="336">
                  <c:v>7.9635402119999998</c:v>
                </c:pt>
                <c:pt idx="337">
                  <c:v>2.25</c:v>
                </c:pt>
                <c:pt idx="338">
                  <c:v>-0.2</c:v>
                </c:pt>
                <c:pt idx="339">
                  <c:v>5.7</c:v>
                </c:pt>
                <c:pt idx="340">
                  <c:v>4.3163154549999998</c:v>
                </c:pt>
                <c:pt idx="341">
                  <c:v>-0.46485831999999999</c:v>
                </c:pt>
                <c:pt idx="342">
                  <c:v>5.16</c:v>
                </c:pt>
                <c:pt idx="343">
                  <c:v>-0.81580938400000003</c:v>
                </c:pt>
                <c:pt idx="344">
                  <c:v>3.2468357640000001</c:v>
                </c:pt>
                <c:pt idx="345">
                  <c:v>1.75</c:v>
                </c:pt>
                <c:pt idx="346">
                  <c:v>8.09</c:v>
                </c:pt>
                <c:pt idx="347">
                  <c:v>5.21</c:v>
                </c:pt>
                <c:pt idx="348">
                  <c:v>5.401063486</c:v>
                </c:pt>
                <c:pt idx="349">
                  <c:v>2.897333508</c:v>
                </c:pt>
                <c:pt idx="350">
                  <c:v>5.072076161</c:v>
                </c:pt>
                <c:pt idx="351">
                  <c:v>7.6493825000000001E-2</c:v>
                </c:pt>
                <c:pt idx="352">
                  <c:v>7.1451345750000002</c:v>
                </c:pt>
                <c:pt idx="353">
                  <c:v>6.106018154</c:v>
                </c:pt>
                <c:pt idx="354">
                  <c:v>6.4322336260000004</c:v>
                </c:pt>
                <c:pt idx="355">
                  <c:v>1.4538079669999999</c:v>
                </c:pt>
                <c:pt idx="356">
                  <c:v>3.752539466</c:v>
                </c:pt>
                <c:pt idx="357">
                  <c:v>7.2953639150000003</c:v>
                </c:pt>
                <c:pt idx="358">
                  <c:v>-0.91725109500000002</c:v>
                </c:pt>
                <c:pt idx="359">
                  <c:v>5.41</c:v>
                </c:pt>
                <c:pt idx="360">
                  <c:v>-1.3268812729999999</c:v>
                </c:pt>
                <c:pt idx="361">
                  <c:v>0.56348616100000004</c:v>
                </c:pt>
                <c:pt idx="362">
                  <c:v>-0.16115733600000001</c:v>
                </c:pt>
                <c:pt idx="363">
                  <c:v>-2.895262486</c:v>
                </c:pt>
                <c:pt idx="364">
                  <c:v>1.547400069</c:v>
                </c:pt>
                <c:pt idx="365">
                  <c:v>1.433289115</c:v>
                </c:pt>
                <c:pt idx="366">
                  <c:v>-0.34689896599999998</c:v>
                </c:pt>
                <c:pt idx="367">
                  <c:v>5.64</c:v>
                </c:pt>
                <c:pt idx="368">
                  <c:v>4.8262735890000004</c:v>
                </c:pt>
                <c:pt idx="369">
                  <c:v>2.21</c:v>
                </c:pt>
                <c:pt idx="370">
                  <c:v>6.5694843069999997</c:v>
                </c:pt>
                <c:pt idx="371">
                  <c:v>3.52</c:v>
                </c:pt>
                <c:pt idx="372">
                  <c:v>-2.4557819830000001</c:v>
                </c:pt>
                <c:pt idx="373">
                  <c:v>-0.92919099999999999</c:v>
                </c:pt>
                <c:pt idx="374">
                  <c:v>3.2952063969999998</c:v>
                </c:pt>
                <c:pt idx="375">
                  <c:v>0.40681997800000003</c:v>
                </c:pt>
                <c:pt idx="376">
                  <c:v>-5.6964437999999999E-2</c:v>
                </c:pt>
                <c:pt idx="377">
                  <c:v>0.91960012700000004</c:v>
                </c:pt>
                <c:pt idx="378">
                  <c:v>0.90360723799999998</c:v>
                </c:pt>
                <c:pt idx="379">
                  <c:v>2.7737799769999998</c:v>
                </c:pt>
                <c:pt idx="380">
                  <c:v>4.9877749109999998</c:v>
                </c:pt>
                <c:pt idx="381">
                  <c:v>-0.73</c:v>
                </c:pt>
                <c:pt idx="382">
                  <c:v>-0.122695718</c:v>
                </c:pt>
                <c:pt idx="383">
                  <c:v>5.0049874790000004</c:v>
                </c:pt>
                <c:pt idx="384">
                  <c:v>0.81650156399999996</c:v>
                </c:pt>
                <c:pt idx="385">
                  <c:v>5.27</c:v>
                </c:pt>
                <c:pt idx="386">
                  <c:v>5.7892292049999998</c:v>
                </c:pt>
                <c:pt idx="387">
                  <c:v>4.0697583960000001</c:v>
                </c:pt>
                <c:pt idx="388">
                  <c:v>5.846348087</c:v>
                </c:pt>
                <c:pt idx="389">
                  <c:v>1.733371789</c:v>
                </c:pt>
                <c:pt idx="390">
                  <c:v>3.9924647470000001</c:v>
                </c:pt>
                <c:pt idx="391">
                  <c:v>6.63</c:v>
                </c:pt>
                <c:pt idx="392">
                  <c:v>3.5513198770000001</c:v>
                </c:pt>
                <c:pt idx="393">
                  <c:v>1.5997057779999999</c:v>
                </c:pt>
                <c:pt idx="394">
                  <c:v>5.067095804</c:v>
                </c:pt>
                <c:pt idx="395">
                  <c:v>0.53595062599999999</c:v>
                </c:pt>
                <c:pt idx="396">
                  <c:v>-0.84</c:v>
                </c:pt>
                <c:pt idx="397">
                  <c:v>6.6429678399999998</c:v>
                </c:pt>
                <c:pt idx="398">
                  <c:v>6.8856542919999999</c:v>
                </c:pt>
                <c:pt idx="399">
                  <c:v>6.1196805550000004</c:v>
                </c:pt>
                <c:pt idx="400">
                  <c:v>6.6186021530000003</c:v>
                </c:pt>
                <c:pt idx="401">
                  <c:v>5.5599126349999999</c:v>
                </c:pt>
                <c:pt idx="402">
                  <c:v>4.1106608509999996</c:v>
                </c:pt>
                <c:pt idx="403">
                  <c:v>2.79</c:v>
                </c:pt>
                <c:pt idx="404">
                  <c:v>8.1565766830000008</c:v>
                </c:pt>
                <c:pt idx="405">
                  <c:v>5.67</c:v>
                </c:pt>
                <c:pt idx="406">
                  <c:v>6.509839586</c:v>
                </c:pt>
                <c:pt idx="407">
                  <c:v>6.6481148829999999</c:v>
                </c:pt>
                <c:pt idx="408">
                  <c:v>3.7017147690000001</c:v>
                </c:pt>
                <c:pt idx="409">
                  <c:v>6.9645427370000004</c:v>
                </c:pt>
                <c:pt idx="410">
                  <c:v>5.344649457</c:v>
                </c:pt>
                <c:pt idx="411">
                  <c:v>1.0004153469999999</c:v>
                </c:pt>
                <c:pt idx="412">
                  <c:v>5.8582856139999997</c:v>
                </c:pt>
                <c:pt idx="413">
                  <c:v>5.5379307840000003</c:v>
                </c:pt>
                <c:pt idx="414">
                  <c:v>6.34</c:v>
                </c:pt>
                <c:pt idx="415">
                  <c:v>6.23</c:v>
                </c:pt>
                <c:pt idx="416">
                  <c:v>6.4770186030000003</c:v>
                </c:pt>
                <c:pt idx="417">
                  <c:v>3.73</c:v>
                </c:pt>
                <c:pt idx="418">
                  <c:v>-0.47793729800000001</c:v>
                </c:pt>
                <c:pt idx="419">
                  <c:v>4.464710288</c:v>
                </c:pt>
                <c:pt idx="420">
                  <c:v>4.9823085220000003</c:v>
                </c:pt>
                <c:pt idx="421">
                  <c:v>5.18</c:v>
                </c:pt>
                <c:pt idx="422">
                  <c:v>6.977617306</c:v>
                </c:pt>
                <c:pt idx="423">
                  <c:v>5.1503156480000003</c:v>
                </c:pt>
                <c:pt idx="424">
                  <c:v>3.393167032</c:v>
                </c:pt>
                <c:pt idx="425">
                  <c:v>4.9566857960000004</c:v>
                </c:pt>
                <c:pt idx="426">
                  <c:v>6.19</c:v>
                </c:pt>
                <c:pt idx="427">
                  <c:v>5.5760675280000003</c:v>
                </c:pt>
                <c:pt idx="428">
                  <c:v>3.800112435</c:v>
                </c:pt>
                <c:pt idx="429">
                  <c:v>2.1625607549999999</c:v>
                </c:pt>
                <c:pt idx="430">
                  <c:v>6.3810811520000001</c:v>
                </c:pt>
                <c:pt idx="431">
                  <c:v>10.207648839999999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1-EA4B-82D7-572FBE83A5B2}"/>
            </c:ext>
          </c:extLst>
        </c:ser>
        <c:ser>
          <c:idx val="1"/>
          <c:order val="1"/>
          <c:tx>
            <c:strRef>
              <c:f>'dH&amp;dN juv'!$F$1</c:f>
              <c:strCache>
                <c:ptCount val="1"/>
                <c:pt idx="0">
                  <c:v>suisse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'dH&amp;dN juv'!$D$2:$D$521</c:f>
              <c:numCache>
                <c:formatCode>General</c:formatCode>
                <c:ptCount val="520"/>
                <c:pt idx="0">
                  <c:v>-74.114874999999984</c:v>
                </c:pt>
                <c:pt idx="1">
                  <c:v>-69.633125000000007</c:v>
                </c:pt>
                <c:pt idx="2">
                  <c:v>-63.888749999999995</c:v>
                </c:pt>
                <c:pt idx="3">
                  <c:v>-62.000500000000009</c:v>
                </c:pt>
                <c:pt idx="4">
                  <c:v>-61.238374999999998</c:v>
                </c:pt>
                <c:pt idx="5">
                  <c:v>-55.562250000000013</c:v>
                </c:pt>
                <c:pt idx="6">
                  <c:v>-52.512242243750002</c:v>
                </c:pt>
                <c:pt idx="7">
                  <c:v>-52.218000000000025</c:v>
                </c:pt>
                <c:pt idx="8">
                  <c:v>-50.932625000000009</c:v>
                </c:pt>
                <c:pt idx="9">
                  <c:v>-38.98277458750001</c:v>
                </c:pt>
                <c:pt idx="10">
                  <c:v>-74.962500000000006</c:v>
                </c:pt>
                <c:pt idx="11">
                  <c:v>-74.950000000000017</c:v>
                </c:pt>
                <c:pt idx="12">
                  <c:v>-74.887499999999989</c:v>
                </c:pt>
                <c:pt idx="13">
                  <c:v>-74.824999999999989</c:v>
                </c:pt>
                <c:pt idx="14">
                  <c:v>-74.810810000000004</c:v>
                </c:pt>
                <c:pt idx="15">
                  <c:v>-74.807071500000006</c:v>
                </c:pt>
                <c:pt idx="16">
                  <c:v>-74.724999999999994</c:v>
                </c:pt>
                <c:pt idx="17">
                  <c:v>-74.552245499999998</c:v>
                </c:pt>
                <c:pt idx="18">
                  <c:v>-74.537499999999994</c:v>
                </c:pt>
                <c:pt idx="19">
                  <c:v>-74.525701125000012</c:v>
                </c:pt>
                <c:pt idx="20">
                  <c:v>-74.476274500000017</c:v>
                </c:pt>
                <c:pt idx="21">
                  <c:v>-74.453568000000018</c:v>
                </c:pt>
                <c:pt idx="22">
                  <c:v>-74.433680624999994</c:v>
                </c:pt>
                <c:pt idx="23">
                  <c:v>-74.322751000000011</c:v>
                </c:pt>
                <c:pt idx="24">
                  <c:v>-74.249639624999986</c:v>
                </c:pt>
                <c:pt idx="25">
                  <c:v>-74.16217850000001</c:v>
                </c:pt>
                <c:pt idx="26">
                  <c:v>-74.0625</c:v>
                </c:pt>
                <c:pt idx="27">
                  <c:v>-74.049999999999983</c:v>
                </c:pt>
                <c:pt idx="28">
                  <c:v>-73.867115499999983</c:v>
                </c:pt>
                <c:pt idx="29">
                  <c:v>-73.787499999999994</c:v>
                </c:pt>
                <c:pt idx="30">
                  <c:v>-73.787499999999994</c:v>
                </c:pt>
                <c:pt idx="31">
                  <c:v>-73.674999999999983</c:v>
                </c:pt>
                <c:pt idx="32">
                  <c:v>-73.650000000000006</c:v>
                </c:pt>
                <c:pt idx="33">
                  <c:v>-73.599999999999994</c:v>
                </c:pt>
                <c:pt idx="34">
                  <c:v>-73.489610874999983</c:v>
                </c:pt>
                <c:pt idx="35">
                  <c:v>-73.433842499999997</c:v>
                </c:pt>
                <c:pt idx="36">
                  <c:v>-73.400000000000006</c:v>
                </c:pt>
                <c:pt idx="37">
                  <c:v>-73.387500000000017</c:v>
                </c:pt>
                <c:pt idx="38">
                  <c:v>-73.375</c:v>
                </c:pt>
                <c:pt idx="39">
                  <c:v>-73.322356124999999</c:v>
                </c:pt>
                <c:pt idx="40">
                  <c:v>-73.199999999999989</c:v>
                </c:pt>
                <c:pt idx="41">
                  <c:v>-73.171938000000011</c:v>
                </c:pt>
                <c:pt idx="42">
                  <c:v>-73.141852999999998</c:v>
                </c:pt>
                <c:pt idx="43">
                  <c:v>-73.099999999999994</c:v>
                </c:pt>
                <c:pt idx="44">
                  <c:v>-73.025000000000006</c:v>
                </c:pt>
                <c:pt idx="45">
                  <c:v>-72.912499999999994</c:v>
                </c:pt>
                <c:pt idx="46">
                  <c:v>-72.837500000000006</c:v>
                </c:pt>
                <c:pt idx="47">
                  <c:v>-72.737499999999983</c:v>
                </c:pt>
                <c:pt idx="48">
                  <c:v>-72.737499999999983</c:v>
                </c:pt>
                <c:pt idx="49">
                  <c:v>-72.724999999999994</c:v>
                </c:pt>
                <c:pt idx="50">
                  <c:v>-72.675000000000011</c:v>
                </c:pt>
                <c:pt idx="51">
                  <c:v>-72.657207</c:v>
                </c:pt>
                <c:pt idx="52">
                  <c:v>-72.559536250000008</c:v>
                </c:pt>
                <c:pt idx="53">
                  <c:v>-72.503019749999993</c:v>
                </c:pt>
                <c:pt idx="54">
                  <c:v>-72.450000000000017</c:v>
                </c:pt>
                <c:pt idx="55">
                  <c:v>-72.332972000000012</c:v>
                </c:pt>
                <c:pt idx="56">
                  <c:v>-72.09965200000002</c:v>
                </c:pt>
                <c:pt idx="57">
                  <c:v>-72.08352124999999</c:v>
                </c:pt>
                <c:pt idx="58">
                  <c:v>-72.074999999999989</c:v>
                </c:pt>
                <c:pt idx="59">
                  <c:v>-71.875</c:v>
                </c:pt>
                <c:pt idx="60">
                  <c:v>-71.850032499999998</c:v>
                </c:pt>
                <c:pt idx="61">
                  <c:v>-71.788962499999997</c:v>
                </c:pt>
                <c:pt idx="62">
                  <c:v>-71.72969362500001</c:v>
                </c:pt>
                <c:pt idx="63">
                  <c:v>-71.675000000000011</c:v>
                </c:pt>
                <c:pt idx="64">
                  <c:v>-71.575000000000017</c:v>
                </c:pt>
                <c:pt idx="65">
                  <c:v>-71.575000000000017</c:v>
                </c:pt>
                <c:pt idx="66">
                  <c:v>-71.548536374999998</c:v>
                </c:pt>
                <c:pt idx="67">
                  <c:v>-71.483715750000016</c:v>
                </c:pt>
                <c:pt idx="68">
                  <c:v>-71.362500000000011</c:v>
                </c:pt>
                <c:pt idx="69">
                  <c:v>-71.256077500000004</c:v>
                </c:pt>
                <c:pt idx="70">
                  <c:v>-71.241277125000011</c:v>
                </c:pt>
                <c:pt idx="71">
                  <c:v>-71.200000000000017</c:v>
                </c:pt>
                <c:pt idx="72">
                  <c:v>-71.108260000000001</c:v>
                </c:pt>
                <c:pt idx="73">
                  <c:v>-70.974999999999994</c:v>
                </c:pt>
                <c:pt idx="74">
                  <c:v>-70.959407374999984</c:v>
                </c:pt>
                <c:pt idx="75">
                  <c:v>-70.9375</c:v>
                </c:pt>
                <c:pt idx="76">
                  <c:v>-70.912499999999994</c:v>
                </c:pt>
                <c:pt idx="77">
                  <c:v>-70.778350500000016</c:v>
                </c:pt>
                <c:pt idx="78">
                  <c:v>-70.675000000000011</c:v>
                </c:pt>
                <c:pt idx="79">
                  <c:v>-70.662499999999994</c:v>
                </c:pt>
                <c:pt idx="80">
                  <c:v>-70.549999999999983</c:v>
                </c:pt>
                <c:pt idx="81">
                  <c:v>-70.537499999999994</c:v>
                </c:pt>
                <c:pt idx="82">
                  <c:v>-70.394822000000005</c:v>
                </c:pt>
                <c:pt idx="83">
                  <c:v>-70.325000000000017</c:v>
                </c:pt>
                <c:pt idx="84">
                  <c:v>-70.301606249999992</c:v>
                </c:pt>
                <c:pt idx="85">
                  <c:v>-70.287499999999994</c:v>
                </c:pt>
                <c:pt idx="86">
                  <c:v>-70.137499999999989</c:v>
                </c:pt>
                <c:pt idx="87">
                  <c:v>-70.074999999999989</c:v>
                </c:pt>
                <c:pt idx="88">
                  <c:v>-70.0625</c:v>
                </c:pt>
                <c:pt idx="89">
                  <c:v>-70.018157000000002</c:v>
                </c:pt>
                <c:pt idx="90">
                  <c:v>-69.924999999999983</c:v>
                </c:pt>
                <c:pt idx="91">
                  <c:v>-69.88751400000001</c:v>
                </c:pt>
                <c:pt idx="92">
                  <c:v>-69.8125</c:v>
                </c:pt>
                <c:pt idx="93">
                  <c:v>-69.625368000000009</c:v>
                </c:pt>
                <c:pt idx="94">
                  <c:v>-69.612499999999983</c:v>
                </c:pt>
                <c:pt idx="95">
                  <c:v>-69.362499999999983</c:v>
                </c:pt>
                <c:pt idx="96">
                  <c:v>-69.351716500000009</c:v>
                </c:pt>
                <c:pt idx="97">
                  <c:v>-69.121266375000005</c:v>
                </c:pt>
                <c:pt idx="98">
                  <c:v>-69.112500000000011</c:v>
                </c:pt>
                <c:pt idx="99">
                  <c:v>-69.0625</c:v>
                </c:pt>
                <c:pt idx="100">
                  <c:v>-69.049999999999983</c:v>
                </c:pt>
                <c:pt idx="101">
                  <c:v>-68.98500525</c:v>
                </c:pt>
                <c:pt idx="102">
                  <c:v>-68.962500000000006</c:v>
                </c:pt>
                <c:pt idx="103">
                  <c:v>-68.950195250000007</c:v>
                </c:pt>
                <c:pt idx="104">
                  <c:v>-68.9375</c:v>
                </c:pt>
                <c:pt idx="105">
                  <c:v>-68.849999999999994</c:v>
                </c:pt>
                <c:pt idx="106">
                  <c:v>-68.737376500000011</c:v>
                </c:pt>
                <c:pt idx="107">
                  <c:v>-68.700000000000017</c:v>
                </c:pt>
                <c:pt idx="108">
                  <c:v>-68.6875</c:v>
                </c:pt>
                <c:pt idx="109">
                  <c:v>-68.683532624999998</c:v>
                </c:pt>
                <c:pt idx="110">
                  <c:v>-68.677090499999991</c:v>
                </c:pt>
                <c:pt idx="111">
                  <c:v>-68.600856499999992</c:v>
                </c:pt>
                <c:pt idx="112">
                  <c:v>-68.599999999999994</c:v>
                </c:pt>
                <c:pt idx="113">
                  <c:v>-68.598360500000013</c:v>
                </c:pt>
                <c:pt idx="114">
                  <c:v>-68.564789499999989</c:v>
                </c:pt>
                <c:pt idx="115">
                  <c:v>-68.549172249999998</c:v>
                </c:pt>
                <c:pt idx="116">
                  <c:v>-68.527477000000005</c:v>
                </c:pt>
                <c:pt idx="117">
                  <c:v>-68.526241249999998</c:v>
                </c:pt>
                <c:pt idx="118">
                  <c:v>-68.512499999999989</c:v>
                </c:pt>
                <c:pt idx="119">
                  <c:v>-68.480662125000009</c:v>
                </c:pt>
                <c:pt idx="120">
                  <c:v>-68.390294624999996</c:v>
                </c:pt>
                <c:pt idx="121">
                  <c:v>-68.375</c:v>
                </c:pt>
                <c:pt idx="122">
                  <c:v>-68.337500000000006</c:v>
                </c:pt>
                <c:pt idx="123">
                  <c:v>-68.287499999999994</c:v>
                </c:pt>
                <c:pt idx="124">
                  <c:v>-68.25</c:v>
                </c:pt>
                <c:pt idx="125">
                  <c:v>-68.25</c:v>
                </c:pt>
                <c:pt idx="126">
                  <c:v>-68.220884000000012</c:v>
                </c:pt>
                <c:pt idx="127">
                  <c:v>-68.112499999999983</c:v>
                </c:pt>
                <c:pt idx="128">
                  <c:v>-68.087500000000006</c:v>
                </c:pt>
                <c:pt idx="129">
                  <c:v>-68.049999999999983</c:v>
                </c:pt>
                <c:pt idx="130">
                  <c:v>-68</c:v>
                </c:pt>
                <c:pt idx="131">
                  <c:v>-67.843597125000002</c:v>
                </c:pt>
                <c:pt idx="132">
                  <c:v>-67.825000000000017</c:v>
                </c:pt>
                <c:pt idx="133">
                  <c:v>-67.812598000000008</c:v>
                </c:pt>
                <c:pt idx="134">
                  <c:v>-67.762500000000017</c:v>
                </c:pt>
                <c:pt idx="135">
                  <c:v>-67.737499999999983</c:v>
                </c:pt>
                <c:pt idx="136">
                  <c:v>-67.724999999999994</c:v>
                </c:pt>
                <c:pt idx="137">
                  <c:v>-67.699999999999989</c:v>
                </c:pt>
                <c:pt idx="138">
                  <c:v>-67.699999999999989</c:v>
                </c:pt>
                <c:pt idx="139">
                  <c:v>-67.699824500000005</c:v>
                </c:pt>
                <c:pt idx="140">
                  <c:v>-67.67537387500002</c:v>
                </c:pt>
                <c:pt idx="141">
                  <c:v>-67.675000000000011</c:v>
                </c:pt>
                <c:pt idx="142">
                  <c:v>-67.612500000000011</c:v>
                </c:pt>
                <c:pt idx="143">
                  <c:v>-67.599999999999994</c:v>
                </c:pt>
                <c:pt idx="144">
                  <c:v>-67.537499999999994</c:v>
                </c:pt>
                <c:pt idx="145">
                  <c:v>-67.512737874999999</c:v>
                </c:pt>
                <c:pt idx="146">
                  <c:v>-67.5</c:v>
                </c:pt>
                <c:pt idx="147">
                  <c:v>-67.5</c:v>
                </c:pt>
                <c:pt idx="148">
                  <c:v>-67.499184874999997</c:v>
                </c:pt>
                <c:pt idx="149">
                  <c:v>-67.324999999999989</c:v>
                </c:pt>
                <c:pt idx="150">
                  <c:v>-67.240154999999987</c:v>
                </c:pt>
                <c:pt idx="151">
                  <c:v>-67.052574749999991</c:v>
                </c:pt>
                <c:pt idx="152">
                  <c:v>-67.008691999999996</c:v>
                </c:pt>
                <c:pt idx="153">
                  <c:v>-66.962500000000006</c:v>
                </c:pt>
                <c:pt idx="154">
                  <c:v>-66.9375</c:v>
                </c:pt>
                <c:pt idx="155">
                  <c:v>-66.862499999999983</c:v>
                </c:pt>
                <c:pt idx="156">
                  <c:v>-66.724999999999994</c:v>
                </c:pt>
                <c:pt idx="157">
                  <c:v>-66.721542874999983</c:v>
                </c:pt>
                <c:pt idx="158">
                  <c:v>-66.604686874999999</c:v>
                </c:pt>
                <c:pt idx="159">
                  <c:v>-66.599999999999994</c:v>
                </c:pt>
                <c:pt idx="160">
                  <c:v>-66.587500000000006</c:v>
                </c:pt>
                <c:pt idx="161">
                  <c:v>-66.587500000000006</c:v>
                </c:pt>
                <c:pt idx="162">
                  <c:v>-66.572779999999995</c:v>
                </c:pt>
                <c:pt idx="163">
                  <c:v>-66.525000000000006</c:v>
                </c:pt>
                <c:pt idx="164">
                  <c:v>-66.518926499999992</c:v>
                </c:pt>
                <c:pt idx="165">
                  <c:v>-66.5</c:v>
                </c:pt>
                <c:pt idx="166">
                  <c:v>-66.316685624999991</c:v>
                </c:pt>
                <c:pt idx="167">
                  <c:v>-66.262500000000017</c:v>
                </c:pt>
                <c:pt idx="168">
                  <c:v>-66.112500000000011</c:v>
                </c:pt>
                <c:pt idx="169">
                  <c:v>-66.037499999999994</c:v>
                </c:pt>
                <c:pt idx="170">
                  <c:v>-66.031501125000005</c:v>
                </c:pt>
                <c:pt idx="171">
                  <c:v>-66.025000000000006</c:v>
                </c:pt>
                <c:pt idx="172">
                  <c:v>-66.011743124999981</c:v>
                </c:pt>
                <c:pt idx="173">
                  <c:v>-65.887500000000017</c:v>
                </c:pt>
                <c:pt idx="174">
                  <c:v>-65.863560124999992</c:v>
                </c:pt>
                <c:pt idx="175">
                  <c:v>-65.8125</c:v>
                </c:pt>
                <c:pt idx="176">
                  <c:v>-65.715642000000003</c:v>
                </c:pt>
                <c:pt idx="177">
                  <c:v>-65.680057000000005</c:v>
                </c:pt>
                <c:pt idx="178">
                  <c:v>-65.662499999999994</c:v>
                </c:pt>
                <c:pt idx="179">
                  <c:v>-65.594988374999986</c:v>
                </c:pt>
                <c:pt idx="180">
                  <c:v>-65.51379799999998</c:v>
                </c:pt>
                <c:pt idx="181">
                  <c:v>-65.438676749999985</c:v>
                </c:pt>
                <c:pt idx="182">
                  <c:v>-65.369669750000014</c:v>
                </c:pt>
                <c:pt idx="183">
                  <c:v>-65.349999999999994</c:v>
                </c:pt>
                <c:pt idx="184">
                  <c:v>-65.342563750000011</c:v>
                </c:pt>
                <c:pt idx="185">
                  <c:v>-65.298778999999996</c:v>
                </c:pt>
                <c:pt idx="186">
                  <c:v>-65.169084999999995</c:v>
                </c:pt>
                <c:pt idx="187">
                  <c:v>-64.962500000000006</c:v>
                </c:pt>
                <c:pt idx="188">
                  <c:v>-64.912499999999994</c:v>
                </c:pt>
                <c:pt idx="189">
                  <c:v>-64.87329112499998</c:v>
                </c:pt>
                <c:pt idx="190">
                  <c:v>-64.801611750000006</c:v>
                </c:pt>
                <c:pt idx="191">
                  <c:v>-64.737500000000011</c:v>
                </c:pt>
                <c:pt idx="192">
                  <c:v>-64.729057124999997</c:v>
                </c:pt>
                <c:pt idx="193">
                  <c:v>-64.712500000000006</c:v>
                </c:pt>
                <c:pt idx="194">
                  <c:v>-64.637500000000017</c:v>
                </c:pt>
                <c:pt idx="195">
                  <c:v>-64.537499999999994</c:v>
                </c:pt>
                <c:pt idx="196">
                  <c:v>-64.51037599999998</c:v>
                </c:pt>
                <c:pt idx="197">
                  <c:v>-64.421638000000002</c:v>
                </c:pt>
                <c:pt idx="198">
                  <c:v>-64.415877375000008</c:v>
                </c:pt>
                <c:pt idx="199">
                  <c:v>-64.325877749999989</c:v>
                </c:pt>
                <c:pt idx="200">
                  <c:v>-64.3125</c:v>
                </c:pt>
                <c:pt idx="201">
                  <c:v>-64.287499999999994</c:v>
                </c:pt>
                <c:pt idx="202">
                  <c:v>-64.275000000000006</c:v>
                </c:pt>
                <c:pt idx="203">
                  <c:v>-64.215970625000011</c:v>
                </c:pt>
                <c:pt idx="204">
                  <c:v>-64.212500000000006</c:v>
                </c:pt>
                <c:pt idx="205">
                  <c:v>-64.083091749999994</c:v>
                </c:pt>
                <c:pt idx="206">
                  <c:v>-63.977099000000003</c:v>
                </c:pt>
                <c:pt idx="207">
                  <c:v>-63.975000000000001</c:v>
                </c:pt>
                <c:pt idx="208">
                  <c:v>-63.949999999999996</c:v>
                </c:pt>
                <c:pt idx="209">
                  <c:v>-63.860204375000002</c:v>
                </c:pt>
                <c:pt idx="210">
                  <c:v>-63.822352124999988</c:v>
                </c:pt>
                <c:pt idx="211">
                  <c:v>-63.774999999999999</c:v>
                </c:pt>
                <c:pt idx="212">
                  <c:v>-63.754396500000006</c:v>
                </c:pt>
                <c:pt idx="213">
                  <c:v>-63.637499999999996</c:v>
                </c:pt>
                <c:pt idx="214">
                  <c:v>-63.587500000000013</c:v>
                </c:pt>
                <c:pt idx="215">
                  <c:v>-63.5590695</c:v>
                </c:pt>
                <c:pt idx="216">
                  <c:v>-63.531274500000002</c:v>
                </c:pt>
                <c:pt idx="217">
                  <c:v>-63.525000000000013</c:v>
                </c:pt>
                <c:pt idx="218">
                  <c:v>-63.487500000000004</c:v>
                </c:pt>
                <c:pt idx="219">
                  <c:v>-63.462499999999999</c:v>
                </c:pt>
                <c:pt idx="220">
                  <c:v>-63.448531999999993</c:v>
                </c:pt>
                <c:pt idx="221">
                  <c:v>-63.381605499999999</c:v>
                </c:pt>
                <c:pt idx="222">
                  <c:v>-63.375000000000007</c:v>
                </c:pt>
                <c:pt idx="223">
                  <c:v>-63.199999999999996</c:v>
                </c:pt>
                <c:pt idx="224">
                  <c:v>-63.169067000000005</c:v>
                </c:pt>
                <c:pt idx="225">
                  <c:v>-63.1</c:v>
                </c:pt>
                <c:pt idx="226">
                  <c:v>-62.975000000000001</c:v>
                </c:pt>
                <c:pt idx="227">
                  <c:v>-62.874999999999993</c:v>
                </c:pt>
                <c:pt idx="228">
                  <c:v>-62.855071000000002</c:v>
                </c:pt>
                <c:pt idx="229">
                  <c:v>-62.813235124999999</c:v>
                </c:pt>
                <c:pt idx="230">
                  <c:v>-62.79999999999999</c:v>
                </c:pt>
                <c:pt idx="231">
                  <c:v>-62.687500000000007</c:v>
                </c:pt>
                <c:pt idx="232">
                  <c:v>-62.612500000000004</c:v>
                </c:pt>
                <c:pt idx="233">
                  <c:v>-62.612500000000004</c:v>
                </c:pt>
                <c:pt idx="234">
                  <c:v>-62.612500000000004</c:v>
                </c:pt>
                <c:pt idx="235">
                  <c:v>-62.6</c:v>
                </c:pt>
                <c:pt idx="236">
                  <c:v>-62.425033000000006</c:v>
                </c:pt>
                <c:pt idx="237">
                  <c:v>-62.341414500000006</c:v>
                </c:pt>
                <c:pt idx="238">
                  <c:v>-62.312499999999993</c:v>
                </c:pt>
                <c:pt idx="239">
                  <c:v>-62.125000000000007</c:v>
                </c:pt>
                <c:pt idx="240">
                  <c:v>-62.11249999999999</c:v>
                </c:pt>
                <c:pt idx="241">
                  <c:v>-61.987500000000004</c:v>
                </c:pt>
                <c:pt idx="242">
                  <c:v>-61.937499999999993</c:v>
                </c:pt>
                <c:pt idx="243">
                  <c:v>-61.930596000000001</c:v>
                </c:pt>
                <c:pt idx="244">
                  <c:v>-61.927207750000001</c:v>
                </c:pt>
                <c:pt idx="245">
                  <c:v>-61.908503250000003</c:v>
                </c:pt>
                <c:pt idx="246">
                  <c:v>-61.9</c:v>
                </c:pt>
                <c:pt idx="247">
                  <c:v>-61.82500000000001</c:v>
                </c:pt>
                <c:pt idx="248">
                  <c:v>-61.7782695</c:v>
                </c:pt>
                <c:pt idx="249">
                  <c:v>-61.699999999999996</c:v>
                </c:pt>
                <c:pt idx="250">
                  <c:v>-61.612747500000005</c:v>
                </c:pt>
                <c:pt idx="251">
                  <c:v>-61.429421499999997</c:v>
                </c:pt>
                <c:pt idx="252">
                  <c:v>-61.380005375000003</c:v>
                </c:pt>
                <c:pt idx="253">
                  <c:v>-61.337500000000013</c:v>
                </c:pt>
                <c:pt idx="254">
                  <c:v>-61.250000000000007</c:v>
                </c:pt>
                <c:pt idx="255">
                  <c:v>-61.193651624999994</c:v>
                </c:pt>
                <c:pt idx="256">
                  <c:v>-61.074999999999996</c:v>
                </c:pt>
                <c:pt idx="257">
                  <c:v>-61.072472249999997</c:v>
                </c:pt>
                <c:pt idx="258">
                  <c:v>-61.050000000000004</c:v>
                </c:pt>
                <c:pt idx="259">
                  <c:v>-61.037500000000001</c:v>
                </c:pt>
                <c:pt idx="260">
                  <c:v>-60.912500000000001</c:v>
                </c:pt>
                <c:pt idx="261">
                  <c:v>-60.85</c:v>
                </c:pt>
                <c:pt idx="262">
                  <c:v>-60.819216500000003</c:v>
                </c:pt>
                <c:pt idx="263">
                  <c:v>-60.752663000000005</c:v>
                </c:pt>
                <c:pt idx="264">
                  <c:v>-60.639672749999995</c:v>
                </c:pt>
                <c:pt idx="265">
                  <c:v>-60.57500000000001</c:v>
                </c:pt>
                <c:pt idx="266">
                  <c:v>-60.337499999999999</c:v>
                </c:pt>
                <c:pt idx="267">
                  <c:v>-60.274999999999999</c:v>
                </c:pt>
                <c:pt idx="268">
                  <c:v>-60.23749999999999</c:v>
                </c:pt>
                <c:pt idx="269">
                  <c:v>-60.212499999999999</c:v>
                </c:pt>
                <c:pt idx="270">
                  <c:v>-60.199999999999996</c:v>
                </c:pt>
                <c:pt idx="271">
                  <c:v>-59.860163500000006</c:v>
                </c:pt>
                <c:pt idx="272">
                  <c:v>-59.798881874999999</c:v>
                </c:pt>
                <c:pt idx="273">
                  <c:v>-59.74225387500001</c:v>
                </c:pt>
                <c:pt idx="274">
                  <c:v>-59.61249999999999</c:v>
                </c:pt>
                <c:pt idx="275">
                  <c:v>-59.512499999999996</c:v>
                </c:pt>
                <c:pt idx="276">
                  <c:v>-59.512499999999996</c:v>
                </c:pt>
                <c:pt idx="277">
                  <c:v>-59.449999999999996</c:v>
                </c:pt>
                <c:pt idx="278">
                  <c:v>-59.439369499999991</c:v>
                </c:pt>
                <c:pt idx="279">
                  <c:v>-59.402821499999995</c:v>
                </c:pt>
                <c:pt idx="280">
                  <c:v>-59.398946625000001</c:v>
                </c:pt>
                <c:pt idx="281">
                  <c:v>-59.137499999999996</c:v>
                </c:pt>
                <c:pt idx="282">
                  <c:v>-59.104183999999997</c:v>
                </c:pt>
                <c:pt idx="283">
                  <c:v>-59.093944999999998</c:v>
                </c:pt>
                <c:pt idx="284">
                  <c:v>-59.05641275</c:v>
                </c:pt>
                <c:pt idx="285">
                  <c:v>-59.000780999999996</c:v>
                </c:pt>
                <c:pt idx="286">
                  <c:v>-58.884559250000002</c:v>
                </c:pt>
                <c:pt idx="287">
                  <c:v>-58.824999999999996</c:v>
                </c:pt>
                <c:pt idx="288">
                  <c:v>-58.64961125</c:v>
                </c:pt>
                <c:pt idx="289">
                  <c:v>-58.42499999999999</c:v>
                </c:pt>
                <c:pt idx="290">
                  <c:v>-58.384092500000001</c:v>
                </c:pt>
                <c:pt idx="291">
                  <c:v>-58.375000000000007</c:v>
                </c:pt>
                <c:pt idx="292">
                  <c:v>-58.085190749999988</c:v>
                </c:pt>
                <c:pt idx="293">
                  <c:v>-57.900000000000013</c:v>
                </c:pt>
                <c:pt idx="294">
                  <c:v>-57.789373875000003</c:v>
                </c:pt>
                <c:pt idx="295">
                  <c:v>-57.750929499999991</c:v>
                </c:pt>
                <c:pt idx="296">
                  <c:v>-57.698336999999988</c:v>
                </c:pt>
                <c:pt idx="297">
                  <c:v>-57.605494875000012</c:v>
                </c:pt>
                <c:pt idx="298">
                  <c:v>-57.524999999999999</c:v>
                </c:pt>
                <c:pt idx="299">
                  <c:v>-57.42499999999999</c:v>
                </c:pt>
                <c:pt idx="300">
                  <c:v>-57.312499999999993</c:v>
                </c:pt>
                <c:pt idx="301">
                  <c:v>-57.09048087499999</c:v>
                </c:pt>
                <c:pt idx="302">
                  <c:v>-56.949999999999996</c:v>
                </c:pt>
                <c:pt idx="303">
                  <c:v>-56.943091999999986</c:v>
                </c:pt>
                <c:pt idx="304">
                  <c:v>-56.837499999999999</c:v>
                </c:pt>
                <c:pt idx="305">
                  <c:v>-56.79999999999999</c:v>
                </c:pt>
                <c:pt idx="306">
                  <c:v>-56.79999999999999</c:v>
                </c:pt>
                <c:pt idx="307">
                  <c:v>-56.758666124999998</c:v>
                </c:pt>
                <c:pt idx="308">
                  <c:v>-56.54999999999999</c:v>
                </c:pt>
                <c:pt idx="309">
                  <c:v>-56.400000000000013</c:v>
                </c:pt>
                <c:pt idx="310">
                  <c:v>-56.35</c:v>
                </c:pt>
                <c:pt idx="311">
                  <c:v>-55.95000000000001</c:v>
                </c:pt>
                <c:pt idx="312">
                  <c:v>-55.837499999999999</c:v>
                </c:pt>
                <c:pt idx="313">
                  <c:v>-55.787500000000001</c:v>
                </c:pt>
                <c:pt idx="314">
                  <c:v>-55.749999999999993</c:v>
                </c:pt>
                <c:pt idx="315">
                  <c:v>-55.724462999999993</c:v>
                </c:pt>
                <c:pt idx="316">
                  <c:v>-55.587499999999999</c:v>
                </c:pt>
                <c:pt idx="317">
                  <c:v>-55.556027750000005</c:v>
                </c:pt>
                <c:pt idx="318">
                  <c:v>-55.387499999999996</c:v>
                </c:pt>
                <c:pt idx="319">
                  <c:v>-55.29999999999999</c:v>
                </c:pt>
                <c:pt idx="320">
                  <c:v>-55.037500000000001</c:v>
                </c:pt>
                <c:pt idx="321">
                  <c:v>-55.01250000000001</c:v>
                </c:pt>
                <c:pt idx="322">
                  <c:v>-54.465232125000007</c:v>
                </c:pt>
                <c:pt idx="323">
                  <c:v>-54.32500000000001</c:v>
                </c:pt>
                <c:pt idx="324">
                  <c:v>-54.304196250000011</c:v>
                </c:pt>
                <c:pt idx="325">
                  <c:v>-54.225000000000001</c:v>
                </c:pt>
                <c:pt idx="326">
                  <c:v>-53.962499999999999</c:v>
                </c:pt>
                <c:pt idx="327">
                  <c:v>-53.694579000000012</c:v>
                </c:pt>
                <c:pt idx="328">
                  <c:v>-53.66215549999999</c:v>
                </c:pt>
                <c:pt idx="329">
                  <c:v>-53.612500000000004</c:v>
                </c:pt>
                <c:pt idx="330">
                  <c:v>-53.143600250000013</c:v>
                </c:pt>
                <c:pt idx="331">
                  <c:v>-52.927428000000013</c:v>
                </c:pt>
                <c:pt idx="332">
                  <c:v>-52.687500000000007</c:v>
                </c:pt>
                <c:pt idx="333">
                  <c:v>-52.675000000000004</c:v>
                </c:pt>
                <c:pt idx="334">
                  <c:v>-52.574999999999996</c:v>
                </c:pt>
                <c:pt idx="335">
                  <c:v>-52.550000000000004</c:v>
                </c:pt>
                <c:pt idx="336">
                  <c:v>-52.524999999999999</c:v>
                </c:pt>
                <c:pt idx="337">
                  <c:v>-52.250365750000007</c:v>
                </c:pt>
                <c:pt idx="338">
                  <c:v>-52.223576000000001</c:v>
                </c:pt>
                <c:pt idx="339">
                  <c:v>-51.936438000000003</c:v>
                </c:pt>
                <c:pt idx="340">
                  <c:v>-51.81850475000001</c:v>
                </c:pt>
                <c:pt idx="341">
                  <c:v>-51.664608750000006</c:v>
                </c:pt>
                <c:pt idx="342">
                  <c:v>-51.4437055</c:v>
                </c:pt>
                <c:pt idx="343">
                  <c:v>-51.387499999999996</c:v>
                </c:pt>
                <c:pt idx="344">
                  <c:v>-50.88750000000001</c:v>
                </c:pt>
                <c:pt idx="345">
                  <c:v>-50.554360875000008</c:v>
                </c:pt>
                <c:pt idx="346">
                  <c:v>-49.844715000000001</c:v>
                </c:pt>
                <c:pt idx="347">
                  <c:v>-49.682072250000012</c:v>
                </c:pt>
                <c:pt idx="348">
                  <c:v>-49.537500000000001</c:v>
                </c:pt>
                <c:pt idx="349">
                  <c:v>-49.449999999999996</c:v>
                </c:pt>
                <c:pt idx="350">
                  <c:v>-49.425000000000004</c:v>
                </c:pt>
                <c:pt idx="351">
                  <c:v>-48.714509499999998</c:v>
                </c:pt>
                <c:pt idx="352">
                  <c:v>-48.512499999999996</c:v>
                </c:pt>
                <c:pt idx="353">
                  <c:v>-48.437500000000007</c:v>
                </c:pt>
                <c:pt idx="354">
                  <c:v>-48.262499999999996</c:v>
                </c:pt>
                <c:pt idx="355">
                  <c:v>-48.221211375000003</c:v>
                </c:pt>
                <c:pt idx="356">
                  <c:v>-48.175260999999999</c:v>
                </c:pt>
                <c:pt idx="357">
                  <c:v>-48.085386249999992</c:v>
                </c:pt>
                <c:pt idx="358">
                  <c:v>-47.855180749999995</c:v>
                </c:pt>
                <c:pt idx="359">
                  <c:v>-47.725357874999993</c:v>
                </c:pt>
                <c:pt idx="360">
                  <c:v>-47.660550625000006</c:v>
                </c:pt>
                <c:pt idx="361">
                  <c:v>-47.5397745</c:v>
                </c:pt>
                <c:pt idx="362">
                  <c:v>-47.512499999999996</c:v>
                </c:pt>
                <c:pt idx="363">
                  <c:v>-47.462499999999999</c:v>
                </c:pt>
                <c:pt idx="364">
                  <c:v>-47.449999999999996</c:v>
                </c:pt>
                <c:pt idx="365">
                  <c:v>-47.087499999999999</c:v>
                </c:pt>
                <c:pt idx="366">
                  <c:v>-46.949999999999996</c:v>
                </c:pt>
                <c:pt idx="367">
                  <c:v>-46.871518875</c:v>
                </c:pt>
                <c:pt idx="368">
                  <c:v>-46.65</c:v>
                </c:pt>
                <c:pt idx="369">
                  <c:v>-46.489532250000003</c:v>
                </c:pt>
                <c:pt idx="370">
                  <c:v>-46.375000000000007</c:v>
                </c:pt>
                <c:pt idx="371">
                  <c:v>-45.773006000000002</c:v>
                </c:pt>
                <c:pt idx="372">
                  <c:v>-45.65</c:v>
                </c:pt>
                <c:pt idx="373">
                  <c:v>-45.529474499999999</c:v>
                </c:pt>
                <c:pt idx="374">
                  <c:v>-45.487500000000004</c:v>
                </c:pt>
                <c:pt idx="375">
                  <c:v>-44.92499999999999</c:v>
                </c:pt>
                <c:pt idx="376">
                  <c:v>-44.912500000000001</c:v>
                </c:pt>
                <c:pt idx="377">
                  <c:v>-44.525000000000013</c:v>
                </c:pt>
                <c:pt idx="378">
                  <c:v>-44.525000000000013</c:v>
                </c:pt>
                <c:pt idx="379">
                  <c:v>-44.500000000000007</c:v>
                </c:pt>
                <c:pt idx="380">
                  <c:v>-44.203600999999999</c:v>
                </c:pt>
                <c:pt idx="381">
                  <c:v>-43.886470625000008</c:v>
                </c:pt>
                <c:pt idx="382">
                  <c:v>-43.776128500000006</c:v>
                </c:pt>
                <c:pt idx="383">
                  <c:v>-43.687500000000007</c:v>
                </c:pt>
                <c:pt idx="384">
                  <c:v>-43.63750000000001</c:v>
                </c:pt>
                <c:pt idx="385">
                  <c:v>-43.631587875000001</c:v>
                </c:pt>
                <c:pt idx="386">
                  <c:v>-43.437500000000007</c:v>
                </c:pt>
                <c:pt idx="387">
                  <c:v>-42.925000000000004</c:v>
                </c:pt>
                <c:pt idx="388">
                  <c:v>-42.366652875000007</c:v>
                </c:pt>
                <c:pt idx="389">
                  <c:v>-41.329012499999997</c:v>
                </c:pt>
                <c:pt idx="390">
                  <c:v>-40.842344250000004</c:v>
                </c:pt>
                <c:pt idx="391">
                  <c:v>-40.583539499999993</c:v>
                </c:pt>
                <c:pt idx="392">
                  <c:v>-40.300000000000004</c:v>
                </c:pt>
                <c:pt idx="393">
                  <c:v>-40.250000000000007</c:v>
                </c:pt>
                <c:pt idx="394">
                  <c:v>-40.212499999999999</c:v>
                </c:pt>
                <c:pt idx="395">
                  <c:v>-39.024999999999999</c:v>
                </c:pt>
                <c:pt idx="396">
                  <c:v>-38.863387499999995</c:v>
                </c:pt>
                <c:pt idx="397">
                  <c:v>-38.800000000000004</c:v>
                </c:pt>
                <c:pt idx="398">
                  <c:v>-38.387499999999996</c:v>
                </c:pt>
                <c:pt idx="399">
                  <c:v>-37.712499999999999</c:v>
                </c:pt>
                <c:pt idx="400">
                  <c:v>-37.287500000000001</c:v>
                </c:pt>
                <c:pt idx="401">
                  <c:v>-37.009187500000003</c:v>
                </c:pt>
                <c:pt idx="402">
                  <c:v>-36.550000000000004</c:v>
                </c:pt>
                <c:pt idx="403">
                  <c:v>-36.087676499999993</c:v>
                </c:pt>
                <c:pt idx="404">
                  <c:v>-35.687401000000001</c:v>
                </c:pt>
                <c:pt idx="405">
                  <c:v>-35.448034</c:v>
                </c:pt>
                <c:pt idx="406">
                  <c:v>-35.162500000000001</c:v>
                </c:pt>
                <c:pt idx="407">
                  <c:v>-34.88750000000001</c:v>
                </c:pt>
                <c:pt idx="408">
                  <c:v>-34.874999999999993</c:v>
                </c:pt>
                <c:pt idx="409">
                  <c:v>-34.537500000000001</c:v>
                </c:pt>
                <c:pt idx="410">
                  <c:v>-34.500000000000007</c:v>
                </c:pt>
                <c:pt idx="411">
                  <c:v>-34.061771749999998</c:v>
                </c:pt>
                <c:pt idx="412">
                  <c:v>-33.824999999999996</c:v>
                </c:pt>
                <c:pt idx="413">
                  <c:v>-33.125</c:v>
                </c:pt>
                <c:pt idx="414">
                  <c:v>-32.574970874999998</c:v>
                </c:pt>
                <c:pt idx="415">
                  <c:v>-31.472535999999998</c:v>
                </c:pt>
                <c:pt idx="416">
                  <c:v>-31.15</c:v>
                </c:pt>
                <c:pt idx="417">
                  <c:v>-31.051323750000002</c:v>
                </c:pt>
                <c:pt idx="418">
                  <c:v>-30.912500000000001</c:v>
                </c:pt>
                <c:pt idx="419">
                  <c:v>-30.825000000000003</c:v>
                </c:pt>
                <c:pt idx="420">
                  <c:v>-28.300000000000004</c:v>
                </c:pt>
                <c:pt idx="421">
                  <c:v>-26.769421999999999</c:v>
                </c:pt>
                <c:pt idx="422">
                  <c:v>-25.792159999999999</c:v>
                </c:pt>
                <c:pt idx="423">
                  <c:v>-25.212499999999999</c:v>
                </c:pt>
                <c:pt idx="424">
                  <c:v>-24.550000000000004</c:v>
                </c:pt>
                <c:pt idx="425">
                  <c:v>-23.35</c:v>
                </c:pt>
                <c:pt idx="426">
                  <c:v>-18.947088749999999</c:v>
                </c:pt>
                <c:pt idx="427">
                  <c:v>-17.0625</c:v>
                </c:pt>
                <c:pt idx="428">
                  <c:v>-16.799999999999997</c:v>
                </c:pt>
                <c:pt idx="429">
                  <c:v>-16.174999999999997</c:v>
                </c:pt>
                <c:pt idx="430">
                  <c:v>-15.612500000000004</c:v>
                </c:pt>
                <c:pt idx="431">
                  <c:v>-12.487500000000004</c:v>
                </c:pt>
                <c:pt idx="432">
                  <c:v>-77.120460082499989</c:v>
                </c:pt>
                <c:pt idx="433">
                  <c:v>-76.925954862499992</c:v>
                </c:pt>
                <c:pt idx="434">
                  <c:v>-75.858995787500021</c:v>
                </c:pt>
                <c:pt idx="435">
                  <c:v>-75.293043582500019</c:v>
                </c:pt>
                <c:pt idx="436">
                  <c:v>-74.16830747000003</c:v>
                </c:pt>
                <c:pt idx="437">
                  <c:v>-74.13535113750001</c:v>
                </c:pt>
                <c:pt idx="438">
                  <c:v>-72.759417260000021</c:v>
                </c:pt>
                <c:pt idx="439">
                  <c:v>-72.195769630000001</c:v>
                </c:pt>
                <c:pt idx="440">
                  <c:v>-72.041137880000008</c:v>
                </c:pt>
                <c:pt idx="441">
                  <c:v>-71.622085837500009</c:v>
                </c:pt>
                <c:pt idx="442">
                  <c:v>-71.561463912500017</c:v>
                </c:pt>
                <c:pt idx="443">
                  <c:v>-68.952759632500005</c:v>
                </c:pt>
                <c:pt idx="444">
                  <c:v>-68.091799646249996</c:v>
                </c:pt>
                <c:pt idx="445">
                  <c:v>-67.450121222500002</c:v>
                </c:pt>
                <c:pt idx="446">
                  <c:v>-66.445014847500005</c:v>
                </c:pt>
                <c:pt idx="447">
                  <c:v>-65.945554294999994</c:v>
                </c:pt>
                <c:pt idx="448">
                  <c:v>-65.926998485000013</c:v>
                </c:pt>
                <c:pt idx="449">
                  <c:v>-65.877892154999984</c:v>
                </c:pt>
                <c:pt idx="450">
                  <c:v>-63.995647927499995</c:v>
                </c:pt>
                <c:pt idx="451">
                  <c:v>-63.973999482500012</c:v>
                </c:pt>
                <c:pt idx="452">
                  <c:v>-62.916318312500017</c:v>
                </c:pt>
                <c:pt idx="453">
                  <c:v>-61.191635124999998</c:v>
                </c:pt>
                <c:pt idx="454">
                  <c:v>-61.037542550000005</c:v>
                </c:pt>
                <c:pt idx="455">
                  <c:v>-60.969504579999999</c:v>
                </c:pt>
                <c:pt idx="456">
                  <c:v>-60.96903775000002</c:v>
                </c:pt>
                <c:pt idx="457">
                  <c:v>-60.725186415000003</c:v>
                </c:pt>
                <c:pt idx="458">
                  <c:v>-60.112101215000003</c:v>
                </c:pt>
                <c:pt idx="459">
                  <c:v>-60.015426682499999</c:v>
                </c:pt>
                <c:pt idx="460">
                  <c:v>-59.985828250000004</c:v>
                </c:pt>
                <c:pt idx="461">
                  <c:v>-59.695338960000022</c:v>
                </c:pt>
                <c:pt idx="462">
                  <c:v>-59.660208410000003</c:v>
                </c:pt>
                <c:pt idx="463">
                  <c:v>-58.320662702499995</c:v>
                </c:pt>
                <c:pt idx="464">
                  <c:v>-58.042402220000007</c:v>
                </c:pt>
                <c:pt idx="465">
                  <c:v>-57.694404115000005</c:v>
                </c:pt>
                <c:pt idx="466">
                  <c:v>-57.601195772500013</c:v>
                </c:pt>
                <c:pt idx="467">
                  <c:v>-56.737233582500018</c:v>
                </c:pt>
                <c:pt idx="468">
                  <c:v>-56.098479330000011</c:v>
                </c:pt>
                <c:pt idx="469">
                  <c:v>-54.811928837500012</c:v>
                </c:pt>
                <c:pt idx="470">
                  <c:v>-54.485795302500016</c:v>
                </c:pt>
                <c:pt idx="471">
                  <c:v>-54.417701139999998</c:v>
                </c:pt>
                <c:pt idx="472">
                  <c:v>-54.349719362500004</c:v>
                </c:pt>
                <c:pt idx="473">
                  <c:v>-54.280639897500016</c:v>
                </c:pt>
                <c:pt idx="474">
                  <c:v>-54.179984115000003</c:v>
                </c:pt>
                <c:pt idx="475">
                  <c:v>-54.106947514999995</c:v>
                </c:pt>
                <c:pt idx="476">
                  <c:v>-53.494416960000002</c:v>
                </c:pt>
                <c:pt idx="477">
                  <c:v>-53.457494165000007</c:v>
                </c:pt>
                <c:pt idx="478">
                  <c:v>-53.353890892500011</c:v>
                </c:pt>
                <c:pt idx="479">
                  <c:v>-52.869893515000008</c:v>
                </c:pt>
                <c:pt idx="480">
                  <c:v>-52.295673049999998</c:v>
                </c:pt>
                <c:pt idx="481">
                  <c:v>-51.305451203750003</c:v>
                </c:pt>
                <c:pt idx="482">
                  <c:v>-50.701685199999993</c:v>
                </c:pt>
                <c:pt idx="483">
                  <c:v>-50.470615270000003</c:v>
                </c:pt>
                <c:pt idx="484">
                  <c:v>-49.273822400000007</c:v>
                </c:pt>
                <c:pt idx="485">
                  <c:v>-49.234501072500002</c:v>
                </c:pt>
                <c:pt idx="486">
                  <c:v>-48.968308555</c:v>
                </c:pt>
                <c:pt idx="487">
                  <c:v>-48.851075757500006</c:v>
                </c:pt>
                <c:pt idx="488">
                  <c:v>-48.062546880000006</c:v>
                </c:pt>
                <c:pt idx="489">
                  <c:v>-47.981137938750003</c:v>
                </c:pt>
                <c:pt idx="490">
                  <c:v>-47.949503836249995</c:v>
                </c:pt>
                <c:pt idx="491">
                  <c:v>-47.906489842500001</c:v>
                </c:pt>
                <c:pt idx="492">
                  <c:v>-46.909005855000011</c:v>
                </c:pt>
                <c:pt idx="493">
                  <c:v>-44.834492050000001</c:v>
                </c:pt>
                <c:pt idx="494">
                  <c:v>-44.293538227500001</c:v>
                </c:pt>
                <c:pt idx="495">
                  <c:v>-44.063615352500001</c:v>
                </c:pt>
                <c:pt idx="496">
                  <c:v>-43.930632047500005</c:v>
                </c:pt>
                <c:pt idx="497">
                  <c:v>-43.732703407500004</c:v>
                </c:pt>
                <c:pt idx="498">
                  <c:v>-41.807857985000005</c:v>
                </c:pt>
                <c:pt idx="499">
                  <c:v>-40.666274587500006</c:v>
                </c:pt>
                <c:pt idx="500">
                  <c:v>-39.731826755000007</c:v>
                </c:pt>
                <c:pt idx="501">
                  <c:v>-39.339045274999997</c:v>
                </c:pt>
                <c:pt idx="502">
                  <c:v>-38.592927174999993</c:v>
                </c:pt>
                <c:pt idx="503">
                  <c:v>-37.97757198</c:v>
                </c:pt>
                <c:pt idx="504">
                  <c:v>-36.838744290000001</c:v>
                </c:pt>
                <c:pt idx="505">
                  <c:v>-36.282545692500001</c:v>
                </c:pt>
                <c:pt idx="506">
                  <c:v>-33.335017245000003</c:v>
                </c:pt>
                <c:pt idx="507">
                  <c:v>-32.68426487</c:v>
                </c:pt>
                <c:pt idx="508">
                  <c:v>-32.127526870000004</c:v>
                </c:pt>
                <c:pt idx="509">
                  <c:v>-31.731274650000003</c:v>
                </c:pt>
                <c:pt idx="510">
                  <c:v>-29.938845830000005</c:v>
                </c:pt>
                <c:pt idx="511">
                  <c:v>-29.846169723750002</c:v>
                </c:pt>
                <c:pt idx="512">
                  <c:v>-24.938453615</c:v>
                </c:pt>
                <c:pt idx="513">
                  <c:v>-23.893925585000012</c:v>
                </c:pt>
                <c:pt idx="514">
                  <c:v>-19.939516035000004</c:v>
                </c:pt>
                <c:pt idx="515">
                  <c:v>-19.69162282125</c:v>
                </c:pt>
                <c:pt idx="516">
                  <c:v>-19.395412588749998</c:v>
                </c:pt>
                <c:pt idx="517">
                  <c:v>-15.436639475000007</c:v>
                </c:pt>
                <c:pt idx="518">
                  <c:v>-14.067943396249994</c:v>
                </c:pt>
              </c:numCache>
            </c:numRef>
          </c:xVal>
          <c:yVal>
            <c:numRef>
              <c:f>'dH&amp;dN juv'!$F$2:$F$521</c:f>
              <c:numCache>
                <c:formatCode>General</c:formatCode>
                <c:ptCount val="520"/>
                <c:pt idx="0">
                  <c:v>0.176476419</c:v>
                </c:pt>
                <c:pt idx="1">
                  <c:v>0.51143717899999996</c:v>
                </c:pt>
                <c:pt idx="2">
                  <c:v>1.854481058</c:v>
                </c:pt>
                <c:pt idx="3">
                  <c:v>2.2954539820000002</c:v>
                </c:pt>
                <c:pt idx="4">
                  <c:v>0.38490365300000001</c:v>
                </c:pt>
                <c:pt idx="5">
                  <c:v>0.33502243999999998</c:v>
                </c:pt>
                <c:pt idx="6">
                  <c:v>1.1908353991891509</c:v>
                </c:pt>
                <c:pt idx="7">
                  <c:v>1.827059424</c:v>
                </c:pt>
                <c:pt idx="8">
                  <c:v>1.4804567340000001</c:v>
                </c:pt>
                <c:pt idx="9">
                  <c:v>1.6787719117740334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31-EA4B-82D7-572FBE83A5B2}"/>
            </c:ext>
          </c:extLst>
        </c:ser>
        <c:ser>
          <c:idx val="2"/>
          <c:order val="2"/>
          <c:tx>
            <c:strRef>
              <c:f>'dH&amp;dN juv'!$G$1</c:f>
              <c:strCache>
                <c:ptCount val="1"/>
                <c:pt idx="0">
                  <c:v>capt automne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'dH&amp;dN juv'!$D$2:$D$521</c:f>
              <c:numCache>
                <c:formatCode>General</c:formatCode>
                <c:ptCount val="520"/>
                <c:pt idx="0">
                  <c:v>-74.114874999999984</c:v>
                </c:pt>
                <c:pt idx="1">
                  <c:v>-69.633125000000007</c:v>
                </c:pt>
                <c:pt idx="2">
                  <c:v>-63.888749999999995</c:v>
                </c:pt>
                <c:pt idx="3">
                  <c:v>-62.000500000000009</c:v>
                </c:pt>
                <c:pt idx="4">
                  <c:v>-61.238374999999998</c:v>
                </c:pt>
                <c:pt idx="5">
                  <c:v>-55.562250000000013</c:v>
                </c:pt>
                <c:pt idx="6">
                  <c:v>-52.512242243750002</c:v>
                </c:pt>
                <c:pt idx="7">
                  <c:v>-52.218000000000025</c:v>
                </c:pt>
                <c:pt idx="8">
                  <c:v>-50.932625000000009</c:v>
                </c:pt>
                <c:pt idx="9">
                  <c:v>-38.98277458750001</c:v>
                </c:pt>
                <c:pt idx="10">
                  <c:v>-74.962500000000006</c:v>
                </c:pt>
                <c:pt idx="11">
                  <c:v>-74.950000000000017</c:v>
                </c:pt>
                <c:pt idx="12">
                  <c:v>-74.887499999999989</c:v>
                </c:pt>
                <c:pt idx="13">
                  <c:v>-74.824999999999989</c:v>
                </c:pt>
                <c:pt idx="14">
                  <c:v>-74.810810000000004</c:v>
                </c:pt>
                <c:pt idx="15">
                  <c:v>-74.807071500000006</c:v>
                </c:pt>
                <c:pt idx="16">
                  <c:v>-74.724999999999994</c:v>
                </c:pt>
                <c:pt idx="17">
                  <c:v>-74.552245499999998</c:v>
                </c:pt>
                <c:pt idx="18">
                  <c:v>-74.537499999999994</c:v>
                </c:pt>
                <c:pt idx="19">
                  <c:v>-74.525701125000012</c:v>
                </c:pt>
                <c:pt idx="20">
                  <c:v>-74.476274500000017</c:v>
                </c:pt>
                <c:pt idx="21">
                  <c:v>-74.453568000000018</c:v>
                </c:pt>
                <c:pt idx="22">
                  <c:v>-74.433680624999994</c:v>
                </c:pt>
                <c:pt idx="23">
                  <c:v>-74.322751000000011</c:v>
                </c:pt>
                <c:pt idx="24">
                  <c:v>-74.249639624999986</c:v>
                </c:pt>
                <c:pt idx="25">
                  <c:v>-74.16217850000001</c:v>
                </c:pt>
                <c:pt idx="26">
                  <c:v>-74.0625</c:v>
                </c:pt>
                <c:pt idx="27">
                  <c:v>-74.049999999999983</c:v>
                </c:pt>
                <c:pt idx="28">
                  <c:v>-73.867115499999983</c:v>
                </c:pt>
                <c:pt idx="29">
                  <c:v>-73.787499999999994</c:v>
                </c:pt>
                <c:pt idx="30">
                  <c:v>-73.787499999999994</c:v>
                </c:pt>
                <c:pt idx="31">
                  <c:v>-73.674999999999983</c:v>
                </c:pt>
                <c:pt idx="32">
                  <c:v>-73.650000000000006</c:v>
                </c:pt>
                <c:pt idx="33">
                  <c:v>-73.599999999999994</c:v>
                </c:pt>
                <c:pt idx="34">
                  <c:v>-73.489610874999983</c:v>
                </c:pt>
                <c:pt idx="35">
                  <c:v>-73.433842499999997</c:v>
                </c:pt>
                <c:pt idx="36">
                  <c:v>-73.400000000000006</c:v>
                </c:pt>
                <c:pt idx="37">
                  <c:v>-73.387500000000017</c:v>
                </c:pt>
                <c:pt idx="38">
                  <c:v>-73.375</c:v>
                </c:pt>
                <c:pt idx="39">
                  <c:v>-73.322356124999999</c:v>
                </c:pt>
                <c:pt idx="40">
                  <c:v>-73.199999999999989</c:v>
                </c:pt>
                <c:pt idx="41">
                  <c:v>-73.171938000000011</c:v>
                </c:pt>
                <c:pt idx="42">
                  <c:v>-73.141852999999998</c:v>
                </c:pt>
                <c:pt idx="43">
                  <c:v>-73.099999999999994</c:v>
                </c:pt>
                <c:pt idx="44">
                  <c:v>-73.025000000000006</c:v>
                </c:pt>
                <c:pt idx="45">
                  <c:v>-72.912499999999994</c:v>
                </c:pt>
                <c:pt idx="46">
                  <c:v>-72.837500000000006</c:v>
                </c:pt>
                <c:pt idx="47">
                  <c:v>-72.737499999999983</c:v>
                </c:pt>
                <c:pt idx="48">
                  <c:v>-72.737499999999983</c:v>
                </c:pt>
                <c:pt idx="49">
                  <c:v>-72.724999999999994</c:v>
                </c:pt>
                <c:pt idx="50">
                  <c:v>-72.675000000000011</c:v>
                </c:pt>
                <c:pt idx="51">
                  <c:v>-72.657207</c:v>
                </c:pt>
                <c:pt idx="52">
                  <c:v>-72.559536250000008</c:v>
                </c:pt>
                <c:pt idx="53">
                  <c:v>-72.503019749999993</c:v>
                </c:pt>
                <c:pt idx="54">
                  <c:v>-72.450000000000017</c:v>
                </c:pt>
                <c:pt idx="55">
                  <c:v>-72.332972000000012</c:v>
                </c:pt>
                <c:pt idx="56">
                  <c:v>-72.09965200000002</c:v>
                </c:pt>
                <c:pt idx="57">
                  <c:v>-72.08352124999999</c:v>
                </c:pt>
                <c:pt idx="58">
                  <c:v>-72.074999999999989</c:v>
                </c:pt>
                <c:pt idx="59">
                  <c:v>-71.875</c:v>
                </c:pt>
                <c:pt idx="60">
                  <c:v>-71.850032499999998</c:v>
                </c:pt>
                <c:pt idx="61">
                  <c:v>-71.788962499999997</c:v>
                </c:pt>
                <c:pt idx="62">
                  <c:v>-71.72969362500001</c:v>
                </c:pt>
                <c:pt idx="63">
                  <c:v>-71.675000000000011</c:v>
                </c:pt>
                <c:pt idx="64">
                  <c:v>-71.575000000000017</c:v>
                </c:pt>
                <c:pt idx="65">
                  <c:v>-71.575000000000017</c:v>
                </c:pt>
                <c:pt idx="66">
                  <c:v>-71.548536374999998</c:v>
                </c:pt>
                <c:pt idx="67">
                  <c:v>-71.483715750000016</c:v>
                </c:pt>
                <c:pt idx="68">
                  <c:v>-71.362500000000011</c:v>
                </c:pt>
                <c:pt idx="69">
                  <c:v>-71.256077500000004</c:v>
                </c:pt>
                <c:pt idx="70">
                  <c:v>-71.241277125000011</c:v>
                </c:pt>
                <c:pt idx="71">
                  <c:v>-71.200000000000017</c:v>
                </c:pt>
                <c:pt idx="72">
                  <c:v>-71.108260000000001</c:v>
                </c:pt>
                <c:pt idx="73">
                  <c:v>-70.974999999999994</c:v>
                </c:pt>
                <c:pt idx="74">
                  <c:v>-70.959407374999984</c:v>
                </c:pt>
                <c:pt idx="75">
                  <c:v>-70.9375</c:v>
                </c:pt>
                <c:pt idx="76">
                  <c:v>-70.912499999999994</c:v>
                </c:pt>
                <c:pt idx="77">
                  <c:v>-70.778350500000016</c:v>
                </c:pt>
                <c:pt idx="78">
                  <c:v>-70.675000000000011</c:v>
                </c:pt>
                <c:pt idx="79">
                  <c:v>-70.662499999999994</c:v>
                </c:pt>
                <c:pt idx="80">
                  <c:v>-70.549999999999983</c:v>
                </c:pt>
                <c:pt idx="81">
                  <c:v>-70.537499999999994</c:v>
                </c:pt>
                <c:pt idx="82">
                  <c:v>-70.394822000000005</c:v>
                </c:pt>
                <c:pt idx="83">
                  <c:v>-70.325000000000017</c:v>
                </c:pt>
                <c:pt idx="84">
                  <c:v>-70.301606249999992</c:v>
                </c:pt>
                <c:pt idx="85">
                  <c:v>-70.287499999999994</c:v>
                </c:pt>
                <c:pt idx="86">
                  <c:v>-70.137499999999989</c:v>
                </c:pt>
                <c:pt idx="87">
                  <c:v>-70.074999999999989</c:v>
                </c:pt>
                <c:pt idx="88">
                  <c:v>-70.0625</c:v>
                </c:pt>
                <c:pt idx="89">
                  <c:v>-70.018157000000002</c:v>
                </c:pt>
                <c:pt idx="90">
                  <c:v>-69.924999999999983</c:v>
                </c:pt>
                <c:pt idx="91">
                  <c:v>-69.88751400000001</c:v>
                </c:pt>
                <c:pt idx="92">
                  <c:v>-69.8125</c:v>
                </c:pt>
                <c:pt idx="93">
                  <c:v>-69.625368000000009</c:v>
                </c:pt>
                <c:pt idx="94">
                  <c:v>-69.612499999999983</c:v>
                </c:pt>
                <c:pt idx="95">
                  <c:v>-69.362499999999983</c:v>
                </c:pt>
                <c:pt idx="96">
                  <c:v>-69.351716500000009</c:v>
                </c:pt>
                <c:pt idx="97">
                  <c:v>-69.121266375000005</c:v>
                </c:pt>
                <c:pt idx="98">
                  <c:v>-69.112500000000011</c:v>
                </c:pt>
                <c:pt idx="99">
                  <c:v>-69.0625</c:v>
                </c:pt>
                <c:pt idx="100">
                  <c:v>-69.049999999999983</c:v>
                </c:pt>
                <c:pt idx="101">
                  <c:v>-68.98500525</c:v>
                </c:pt>
                <c:pt idx="102">
                  <c:v>-68.962500000000006</c:v>
                </c:pt>
                <c:pt idx="103">
                  <c:v>-68.950195250000007</c:v>
                </c:pt>
                <c:pt idx="104">
                  <c:v>-68.9375</c:v>
                </c:pt>
                <c:pt idx="105">
                  <c:v>-68.849999999999994</c:v>
                </c:pt>
                <c:pt idx="106">
                  <c:v>-68.737376500000011</c:v>
                </c:pt>
                <c:pt idx="107">
                  <c:v>-68.700000000000017</c:v>
                </c:pt>
                <c:pt idx="108">
                  <c:v>-68.6875</c:v>
                </c:pt>
                <c:pt idx="109">
                  <c:v>-68.683532624999998</c:v>
                </c:pt>
                <c:pt idx="110">
                  <c:v>-68.677090499999991</c:v>
                </c:pt>
                <c:pt idx="111">
                  <c:v>-68.600856499999992</c:v>
                </c:pt>
                <c:pt idx="112">
                  <c:v>-68.599999999999994</c:v>
                </c:pt>
                <c:pt idx="113">
                  <c:v>-68.598360500000013</c:v>
                </c:pt>
                <c:pt idx="114">
                  <c:v>-68.564789499999989</c:v>
                </c:pt>
                <c:pt idx="115">
                  <c:v>-68.549172249999998</c:v>
                </c:pt>
                <c:pt idx="116">
                  <c:v>-68.527477000000005</c:v>
                </c:pt>
                <c:pt idx="117">
                  <c:v>-68.526241249999998</c:v>
                </c:pt>
                <c:pt idx="118">
                  <c:v>-68.512499999999989</c:v>
                </c:pt>
                <c:pt idx="119">
                  <c:v>-68.480662125000009</c:v>
                </c:pt>
                <c:pt idx="120">
                  <c:v>-68.390294624999996</c:v>
                </c:pt>
                <c:pt idx="121">
                  <c:v>-68.375</c:v>
                </c:pt>
                <c:pt idx="122">
                  <c:v>-68.337500000000006</c:v>
                </c:pt>
                <c:pt idx="123">
                  <c:v>-68.287499999999994</c:v>
                </c:pt>
                <c:pt idx="124">
                  <c:v>-68.25</c:v>
                </c:pt>
                <c:pt idx="125">
                  <c:v>-68.25</c:v>
                </c:pt>
                <c:pt idx="126">
                  <c:v>-68.220884000000012</c:v>
                </c:pt>
                <c:pt idx="127">
                  <c:v>-68.112499999999983</c:v>
                </c:pt>
                <c:pt idx="128">
                  <c:v>-68.087500000000006</c:v>
                </c:pt>
                <c:pt idx="129">
                  <c:v>-68.049999999999983</c:v>
                </c:pt>
                <c:pt idx="130">
                  <c:v>-68</c:v>
                </c:pt>
                <c:pt idx="131">
                  <c:v>-67.843597125000002</c:v>
                </c:pt>
                <c:pt idx="132">
                  <c:v>-67.825000000000017</c:v>
                </c:pt>
                <c:pt idx="133">
                  <c:v>-67.812598000000008</c:v>
                </c:pt>
                <c:pt idx="134">
                  <c:v>-67.762500000000017</c:v>
                </c:pt>
                <c:pt idx="135">
                  <c:v>-67.737499999999983</c:v>
                </c:pt>
                <c:pt idx="136">
                  <c:v>-67.724999999999994</c:v>
                </c:pt>
                <c:pt idx="137">
                  <c:v>-67.699999999999989</c:v>
                </c:pt>
                <c:pt idx="138">
                  <c:v>-67.699999999999989</c:v>
                </c:pt>
                <c:pt idx="139">
                  <c:v>-67.699824500000005</c:v>
                </c:pt>
                <c:pt idx="140">
                  <c:v>-67.67537387500002</c:v>
                </c:pt>
                <c:pt idx="141">
                  <c:v>-67.675000000000011</c:v>
                </c:pt>
                <c:pt idx="142">
                  <c:v>-67.612500000000011</c:v>
                </c:pt>
                <c:pt idx="143">
                  <c:v>-67.599999999999994</c:v>
                </c:pt>
                <c:pt idx="144">
                  <c:v>-67.537499999999994</c:v>
                </c:pt>
                <c:pt idx="145">
                  <c:v>-67.512737874999999</c:v>
                </c:pt>
                <c:pt idx="146">
                  <c:v>-67.5</c:v>
                </c:pt>
                <c:pt idx="147">
                  <c:v>-67.5</c:v>
                </c:pt>
                <c:pt idx="148">
                  <c:v>-67.499184874999997</c:v>
                </c:pt>
                <c:pt idx="149">
                  <c:v>-67.324999999999989</c:v>
                </c:pt>
                <c:pt idx="150">
                  <c:v>-67.240154999999987</c:v>
                </c:pt>
                <c:pt idx="151">
                  <c:v>-67.052574749999991</c:v>
                </c:pt>
                <c:pt idx="152">
                  <c:v>-67.008691999999996</c:v>
                </c:pt>
                <c:pt idx="153">
                  <c:v>-66.962500000000006</c:v>
                </c:pt>
                <c:pt idx="154">
                  <c:v>-66.9375</c:v>
                </c:pt>
                <c:pt idx="155">
                  <c:v>-66.862499999999983</c:v>
                </c:pt>
                <c:pt idx="156">
                  <c:v>-66.724999999999994</c:v>
                </c:pt>
                <c:pt idx="157">
                  <c:v>-66.721542874999983</c:v>
                </c:pt>
                <c:pt idx="158">
                  <c:v>-66.604686874999999</c:v>
                </c:pt>
                <c:pt idx="159">
                  <c:v>-66.599999999999994</c:v>
                </c:pt>
                <c:pt idx="160">
                  <c:v>-66.587500000000006</c:v>
                </c:pt>
                <c:pt idx="161">
                  <c:v>-66.587500000000006</c:v>
                </c:pt>
                <c:pt idx="162">
                  <c:v>-66.572779999999995</c:v>
                </c:pt>
                <c:pt idx="163">
                  <c:v>-66.525000000000006</c:v>
                </c:pt>
                <c:pt idx="164">
                  <c:v>-66.518926499999992</c:v>
                </c:pt>
                <c:pt idx="165">
                  <c:v>-66.5</c:v>
                </c:pt>
                <c:pt idx="166">
                  <c:v>-66.316685624999991</c:v>
                </c:pt>
                <c:pt idx="167">
                  <c:v>-66.262500000000017</c:v>
                </c:pt>
                <c:pt idx="168">
                  <c:v>-66.112500000000011</c:v>
                </c:pt>
                <c:pt idx="169">
                  <c:v>-66.037499999999994</c:v>
                </c:pt>
                <c:pt idx="170">
                  <c:v>-66.031501125000005</c:v>
                </c:pt>
                <c:pt idx="171">
                  <c:v>-66.025000000000006</c:v>
                </c:pt>
                <c:pt idx="172">
                  <c:v>-66.011743124999981</c:v>
                </c:pt>
                <c:pt idx="173">
                  <c:v>-65.887500000000017</c:v>
                </c:pt>
                <c:pt idx="174">
                  <c:v>-65.863560124999992</c:v>
                </c:pt>
                <c:pt idx="175">
                  <c:v>-65.8125</c:v>
                </c:pt>
                <c:pt idx="176">
                  <c:v>-65.715642000000003</c:v>
                </c:pt>
                <c:pt idx="177">
                  <c:v>-65.680057000000005</c:v>
                </c:pt>
                <c:pt idx="178">
                  <c:v>-65.662499999999994</c:v>
                </c:pt>
                <c:pt idx="179">
                  <c:v>-65.594988374999986</c:v>
                </c:pt>
                <c:pt idx="180">
                  <c:v>-65.51379799999998</c:v>
                </c:pt>
                <c:pt idx="181">
                  <c:v>-65.438676749999985</c:v>
                </c:pt>
                <c:pt idx="182">
                  <c:v>-65.369669750000014</c:v>
                </c:pt>
                <c:pt idx="183">
                  <c:v>-65.349999999999994</c:v>
                </c:pt>
                <c:pt idx="184">
                  <c:v>-65.342563750000011</c:v>
                </c:pt>
                <c:pt idx="185">
                  <c:v>-65.298778999999996</c:v>
                </c:pt>
                <c:pt idx="186">
                  <c:v>-65.169084999999995</c:v>
                </c:pt>
                <c:pt idx="187">
                  <c:v>-64.962500000000006</c:v>
                </c:pt>
                <c:pt idx="188">
                  <c:v>-64.912499999999994</c:v>
                </c:pt>
                <c:pt idx="189">
                  <c:v>-64.87329112499998</c:v>
                </c:pt>
                <c:pt idx="190">
                  <c:v>-64.801611750000006</c:v>
                </c:pt>
                <c:pt idx="191">
                  <c:v>-64.737500000000011</c:v>
                </c:pt>
                <c:pt idx="192">
                  <c:v>-64.729057124999997</c:v>
                </c:pt>
                <c:pt idx="193">
                  <c:v>-64.712500000000006</c:v>
                </c:pt>
                <c:pt idx="194">
                  <c:v>-64.637500000000017</c:v>
                </c:pt>
                <c:pt idx="195">
                  <c:v>-64.537499999999994</c:v>
                </c:pt>
                <c:pt idx="196">
                  <c:v>-64.51037599999998</c:v>
                </c:pt>
                <c:pt idx="197">
                  <c:v>-64.421638000000002</c:v>
                </c:pt>
                <c:pt idx="198">
                  <c:v>-64.415877375000008</c:v>
                </c:pt>
                <c:pt idx="199">
                  <c:v>-64.325877749999989</c:v>
                </c:pt>
                <c:pt idx="200">
                  <c:v>-64.3125</c:v>
                </c:pt>
                <c:pt idx="201">
                  <c:v>-64.287499999999994</c:v>
                </c:pt>
                <c:pt idx="202">
                  <c:v>-64.275000000000006</c:v>
                </c:pt>
                <c:pt idx="203">
                  <c:v>-64.215970625000011</c:v>
                </c:pt>
                <c:pt idx="204">
                  <c:v>-64.212500000000006</c:v>
                </c:pt>
                <c:pt idx="205">
                  <c:v>-64.083091749999994</c:v>
                </c:pt>
                <c:pt idx="206">
                  <c:v>-63.977099000000003</c:v>
                </c:pt>
                <c:pt idx="207">
                  <c:v>-63.975000000000001</c:v>
                </c:pt>
                <c:pt idx="208">
                  <c:v>-63.949999999999996</c:v>
                </c:pt>
                <c:pt idx="209">
                  <c:v>-63.860204375000002</c:v>
                </c:pt>
                <c:pt idx="210">
                  <c:v>-63.822352124999988</c:v>
                </c:pt>
                <c:pt idx="211">
                  <c:v>-63.774999999999999</c:v>
                </c:pt>
                <c:pt idx="212">
                  <c:v>-63.754396500000006</c:v>
                </c:pt>
                <c:pt idx="213">
                  <c:v>-63.637499999999996</c:v>
                </c:pt>
                <c:pt idx="214">
                  <c:v>-63.587500000000013</c:v>
                </c:pt>
                <c:pt idx="215">
                  <c:v>-63.5590695</c:v>
                </c:pt>
                <c:pt idx="216">
                  <c:v>-63.531274500000002</c:v>
                </c:pt>
                <c:pt idx="217">
                  <c:v>-63.525000000000013</c:v>
                </c:pt>
                <c:pt idx="218">
                  <c:v>-63.487500000000004</c:v>
                </c:pt>
                <c:pt idx="219">
                  <c:v>-63.462499999999999</c:v>
                </c:pt>
                <c:pt idx="220">
                  <c:v>-63.448531999999993</c:v>
                </c:pt>
                <c:pt idx="221">
                  <c:v>-63.381605499999999</c:v>
                </c:pt>
                <c:pt idx="222">
                  <c:v>-63.375000000000007</c:v>
                </c:pt>
                <c:pt idx="223">
                  <c:v>-63.199999999999996</c:v>
                </c:pt>
                <c:pt idx="224">
                  <c:v>-63.169067000000005</c:v>
                </c:pt>
                <c:pt idx="225">
                  <c:v>-63.1</c:v>
                </c:pt>
                <c:pt idx="226">
                  <c:v>-62.975000000000001</c:v>
                </c:pt>
                <c:pt idx="227">
                  <c:v>-62.874999999999993</c:v>
                </c:pt>
                <c:pt idx="228">
                  <c:v>-62.855071000000002</c:v>
                </c:pt>
                <c:pt idx="229">
                  <c:v>-62.813235124999999</c:v>
                </c:pt>
                <c:pt idx="230">
                  <c:v>-62.79999999999999</c:v>
                </c:pt>
                <c:pt idx="231">
                  <c:v>-62.687500000000007</c:v>
                </c:pt>
                <c:pt idx="232">
                  <c:v>-62.612500000000004</c:v>
                </c:pt>
                <c:pt idx="233">
                  <c:v>-62.612500000000004</c:v>
                </c:pt>
                <c:pt idx="234">
                  <c:v>-62.612500000000004</c:v>
                </c:pt>
                <c:pt idx="235">
                  <c:v>-62.6</c:v>
                </c:pt>
                <c:pt idx="236">
                  <c:v>-62.425033000000006</c:v>
                </c:pt>
                <c:pt idx="237">
                  <c:v>-62.341414500000006</c:v>
                </c:pt>
                <c:pt idx="238">
                  <c:v>-62.312499999999993</c:v>
                </c:pt>
                <c:pt idx="239">
                  <c:v>-62.125000000000007</c:v>
                </c:pt>
                <c:pt idx="240">
                  <c:v>-62.11249999999999</c:v>
                </c:pt>
                <c:pt idx="241">
                  <c:v>-61.987500000000004</c:v>
                </c:pt>
                <c:pt idx="242">
                  <c:v>-61.937499999999993</c:v>
                </c:pt>
                <c:pt idx="243">
                  <c:v>-61.930596000000001</c:v>
                </c:pt>
                <c:pt idx="244">
                  <c:v>-61.927207750000001</c:v>
                </c:pt>
                <c:pt idx="245">
                  <c:v>-61.908503250000003</c:v>
                </c:pt>
                <c:pt idx="246">
                  <c:v>-61.9</c:v>
                </c:pt>
                <c:pt idx="247">
                  <c:v>-61.82500000000001</c:v>
                </c:pt>
                <c:pt idx="248">
                  <c:v>-61.7782695</c:v>
                </c:pt>
                <c:pt idx="249">
                  <c:v>-61.699999999999996</c:v>
                </c:pt>
                <c:pt idx="250">
                  <c:v>-61.612747500000005</c:v>
                </c:pt>
                <c:pt idx="251">
                  <c:v>-61.429421499999997</c:v>
                </c:pt>
                <c:pt idx="252">
                  <c:v>-61.380005375000003</c:v>
                </c:pt>
                <c:pt idx="253">
                  <c:v>-61.337500000000013</c:v>
                </c:pt>
                <c:pt idx="254">
                  <c:v>-61.250000000000007</c:v>
                </c:pt>
                <c:pt idx="255">
                  <c:v>-61.193651624999994</c:v>
                </c:pt>
                <c:pt idx="256">
                  <c:v>-61.074999999999996</c:v>
                </c:pt>
                <c:pt idx="257">
                  <c:v>-61.072472249999997</c:v>
                </c:pt>
                <c:pt idx="258">
                  <c:v>-61.050000000000004</c:v>
                </c:pt>
                <c:pt idx="259">
                  <c:v>-61.037500000000001</c:v>
                </c:pt>
                <c:pt idx="260">
                  <c:v>-60.912500000000001</c:v>
                </c:pt>
                <c:pt idx="261">
                  <c:v>-60.85</c:v>
                </c:pt>
                <c:pt idx="262">
                  <c:v>-60.819216500000003</c:v>
                </c:pt>
                <c:pt idx="263">
                  <c:v>-60.752663000000005</c:v>
                </c:pt>
                <c:pt idx="264">
                  <c:v>-60.639672749999995</c:v>
                </c:pt>
                <c:pt idx="265">
                  <c:v>-60.57500000000001</c:v>
                </c:pt>
                <c:pt idx="266">
                  <c:v>-60.337499999999999</c:v>
                </c:pt>
                <c:pt idx="267">
                  <c:v>-60.274999999999999</c:v>
                </c:pt>
                <c:pt idx="268">
                  <c:v>-60.23749999999999</c:v>
                </c:pt>
                <c:pt idx="269">
                  <c:v>-60.212499999999999</c:v>
                </c:pt>
                <c:pt idx="270">
                  <c:v>-60.199999999999996</c:v>
                </c:pt>
                <c:pt idx="271">
                  <c:v>-59.860163500000006</c:v>
                </c:pt>
                <c:pt idx="272">
                  <c:v>-59.798881874999999</c:v>
                </c:pt>
                <c:pt idx="273">
                  <c:v>-59.74225387500001</c:v>
                </c:pt>
                <c:pt idx="274">
                  <c:v>-59.61249999999999</c:v>
                </c:pt>
                <c:pt idx="275">
                  <c:v>-59.512499999999996</c:v>
                </c:pt>
                <c:pt idx="276">
                  <c:v>-59.512499999999996</c:v>
                </c:pt>
                <c:pt idx="277">
                  <c:v>-59.449999999999996</c:v>
                </c:pt>
                <c:pt idx="278">
                  <c:v>-59.439369499999991</c:v>
                </c:pt>
                <c:pt idx="279">
                  <c:v>-59.402821499999995</c:v>
                </c:pt>
                <c:pt idx="280">
                  <c:v>-59.398946625000001</c:v>
                </c:pt>
                <c:pt idx="281">
                  <c:v>-59.137499999999996</c:v>
                </c:pt>
                <c:pt idx="282">
                  <c:v>-59.104183999999997</c:v>
                </c:pt>
                <c:pt idx="283">
                  <c:v>-59.093944999999998</c:v>
                </c:pt>
                <c:pt idx="284">
                  <c:v>-59.05641275</c:v>
                </c:pt>
                <c:pt idx="285">
                  <c:v>-59.000780999999996</c:v>
                </c:pt>
                <c:pt idx="286">
                  <c:v>-58.884559250000002</c:v>
                </c:pt>
                <c:pt idx="287">
                  <c:v>-58.824999999999996</c:v>
                </c:pt>
                <c:pt idx="288">
                  <c:v>-58.64961125</c:v>
                </c:pt>
                <c:pt idx="289">
                  <c:v>-58.42499999999999</c:v>
                </c:pt>
                <c:pt idx="290">
                  <c:v>-58.384092500000001</c:v>
                </c:pt>
                <c:pt idx="291">
                  <c:v>-58.375000000000007</c:v>
                </c:pt>
                <c:pt idx="292">
                  <c:v>-58.085190749999988</c:v>
                </c:pt>
                <c:pt idx="293">
                  <c:v>-57.900000000000013</c:v>
                </c:pt>
                <c:pt idx="294">
                  <c:v>-57.789373875000003</c:v>
                </c:pt>
                <c:pt idx="295">
                  <c:v>-57.750929499999991</c:v>
                </c:pt>
                <c:pt idx="296">
                  <c:v>-57.698336999999988</c:v>
                </c:pt>
                <c:pt idx="297">
                  <c:v>-57.605494875000012</c:v>
                </c:pt>
                <c:pt idx="298">
                  <c:v>-57.524999999999999</c:v>
                </c:pt>
                <c:pt idx="299">
                  <c:v>-57.42499999999999</c:v>
                </c:pt>
                <c:pt idx="300">
                  <c:v>-57.312499999999993</c:v>
                </c:pt>
                <c:pt idx="301">
                  <c:v>-57.09048087499999</c:v>
                </c:pt>
                <c:pt idx="302">
                  <c:v>-56.949999999999996</c:v>
                </c:pt>
                <c:pt idx="303">
                  <c:v>-56.943091999999986</c:v>
                </c:pt>
                <c:pt idx="304">
                  <c:v>-56.837499999999999</c:v>
                </c:pt>
                <c:pt idx="305">
                  <c:v>-56.79999999999999</c:v>
                </c:pt>
                <c:pt idx="306">
                  <c:v>-56.79999999999999</c:v>
                </c:pt>
                <c:pt idx="307">
                  <c:v>-56.758666124999998</c:v>
                </c:pt>
                <c:pt idx="308">
                  <c:v>-56.54999999999999</c:v>
                </c:pt>
                <c:pt idx="309">
                  <c:v>-56.400000000000013</c:v>
                </c:pt>
                <c:pt idx="310">
                  <c:v>-56.35</c:v>
                </c:pt>
                <c:pt idx="311">
                  <c:v>-55.95000000000001</c:v>
                </c:pt>
                <c:pt idx="312">
                  <c:v>-55.837499999999999</c:v>
                </c:pt>
                <c:pt idx="313">
                  <c:v>-55.787500000000001</c:v>
                </c:pt>
                <c:pt idx="314">
                  <c:v>-55.749999999999993</c:v>
                </c:pt>
                <c:pt idx="315">
                  <c:v>-55.724462999999993</c:v>
                </c:pt>
                <c:pt idx="316">
                  <c:v>-55.587499999999999</c:v>
                </c:pt>
                <c:pt idx="317">
                  <c:v>-55.556027750000005</c:v>
                </c:pt>
                <c:pt idx="318">
                  <c:v>-55.387499999999996</c:v>
                </c:pt>
                <c:pt idx="319">
                  <c:v>-55.29999999999999</c:v>
                </c:pt>
                <c:pt idx="320">
                  <c:v>-55.037500000000001</c:v>
                </c:pt>
                <c:pt idx="321">
                  <c:v>-55.01250000000001</c:v>
                </c:pt>
                <c:pt idx="322">
                  <c:v>-54.465232125000007</c:v>
                </c:pt>
                <c:pt idx="323">
                  <c:v>-54.32500000000001</c:v>
                </c:pt>
                <c:pt idx="324">
                  <c:v>-54.304196250000011</c:v>
                </c:pt>
                <c:pt idx="325">
                  <c:v>-54.225000000000001</c:v>
                </c:pt>
                <c:pt idx="326">
                  <c:v>-53.962499999999999</c:v>
                </c:pt>
                <c:pt idx="327">
                  <c:v>-53.694579000000012</c:v>
                </c:pt>
                <c:pt idx="328">
                  <c:v>-53.66215549999999</c:v>
                </c:pt>
                <c:pt idx="329">
                  <c:v>-53.612500000000004</c:v>
                </c:pt>
                <c:pt idx="330">
                  <c:v>-53.143600250000013</c:v>
                </c:pt>
                <c:pt idx="331">
                  <c:v>-52.927428000000013</c:v>
                </c:pt>
                <c:pt idx="332">
                  <c:v>-52.687500000000007</c:v>
                </c:pt>
                <c:pt idx="333">
                  <c:v>-52.675000000000004</c:v>
                </c:pt>
                <c:pt idx="334">
                  <c:v>-52.574999999999996</c:v>
                </c:pt>
                <c:pt idx="335">
                  <c:v>-52.550000000000004</c:v>
                </c:pt>
                <c:pt idx="336">
                  <c:v>-52.524999999999999</c:v>
                </c:pt>
                <c:pt idx="337">
                  <c:v>-52.250365750000007</c:v>
                </c:pt>
                <c:pt idx="338">
                  <c:v>-52.223576000000001</c:v>
                </c:pt>
                <c:pt idx="339">
                  <c:v>-51.936438000000003</c:v>
                </c:pt>
                <c:pt idx="340">
                  <c:v>-51.81850475000001</c:v>
                </c:pt>
                <c:pt idx="341">
                  <c:v>-51.664608750000006</c:v>
                </c:pt>
                <c:pt idx="342">
                  <c:v>-51.4437055</c:v>
                </c:pt>
                <c:pt idx="343">
                  <c:v>-51.387499999999996</c:v>
                </c:pt>
                <c:pt idx="344">
                  <c:v>-50.88750000000001</c:v>
                </c:pt>
                <c:pt idx="345">
                  <c:v>-50.554360875000008</c:v>
                </c:pt>
                <c:pt idx="346">
                  <c:v>-49.844715000000001</c:v>
                </c:pt>
                <c:pt idx="347">
                  <c:v>-49.682072250000012</c:v>
                </c:pt>
                <c:pt idx="348">
                  <c:v>-49.537500000000001</c:v>
                </c:pt>
                <c:pt idx="349">
                  <c:v>-49.449999999999996</c:v>
                </c:pt>
                <c:pt idx="350">
                  <c:v>-49.425000000000004</c:v>
                </c:pt>
                <c:pt idx="351">
                  <c:v>-48.714509499999998</c:v>
                </c:pt>
                <c:pt idx="352">
                  <c:v>-48.512499999999996</c:v>
                </c:pt>
                <c:pt idx="353">
                  <c:v>-48.437500000000007</c:v>
                </c:pt>
                <c:pt idx="354">
                  <c:v>-48.262499999999996</c:v>
                </c:pt>
                <c:pt idx="355">
                  <c:v>-48.221211375000003</c:v>
                </c:pt>
                <c:pt idx="356">
                  <c:v>-48.175260999999999</c:v>
                </c:pt>
                <c:pt idx="357">
                  <c:v>-48.085386249999992</c:v>
                </c:pt>
                <c:pt idx="358">
                  <c:v>-47.855180749999995</c:v>
                </c:pt>
                <c:pt idx="359">
                  <c:v>-47.725357874999993</c:v>
                </c:pt>
                <c:pt idx="360">
                  <c:v>-47.660550625000006</c:v>
                </c:pt>
                <c:pt idx="361">
                  <c:v>-47.5397745</c:v>
                </c:pt>
                <c:pt idx="362">
                  <c:v>-47.512499999999996</c:v>
                </c:pt>
                <c:pt idx="363">
                  <c:v>-47.462499999999999</c:v>
                </c:pt>
                <c:pt idx="364">
                  <c:v>-47.449999999999996</c:v>
                </c:pt>
                <c:pt idx="365">
                  <c:v>-47.087499999999999</c:v>
                </c:pt>
                <c:pt idx="366">
                  <c:v>-46.949999999999996</c:v>
                </c:pt>
                <c:pt idx="367">
                  <c:v>-46.871518875</c:v>
                </c:pt>
                <c:pt idx="368">
                  <c:v>-46.65</c:v>
                </c:pt>
                <c:pt idx="369">
                  <c:v>-46.489532250000003</c:v>
                </c:pt>
                <c:pt idx="370">
                  <c:v>-46.375000000000007</c:v>
                </c:pt>
                <c:pt idx="371">
                  <c:v>-45.773006000000002</c:v>
                </c:pt>
                <c:pt idx="372">
                  <c:v>-45.65</c:v>
                </c:pt>
                <c:pt idx="373">
                  <c:v>-45.529474499999999</c:v>
                </c:pt>
                <c:pt idx="374">
                  <c:v>-45.487500000000004</c:v>
                </c:pt>
                <c:pt idx="375">
                  <c:v>-44.92499999999999</c:v>
                </c:pt>
                <c:pt idx="376">
                  <c:v>-44.912500000000001</c:v>
                </c:pt>
                <c:pt idx="377">
                  <c:v>-44.525000000000013</c:v>
                </c:pt>
                <c:pt idx="378">
                  <c:v>-44.525000000000013</c:v>
                </c:pt>
                <c:pt idx="379">
                  <c:v>-44.500000000000007</c:v>
                </c:pt>
                <c:pt idx="380">
                  <c:v>-44.203600999999999</c:v>
                </c:pt>
                <c:pt idx="381">
                  <c:v>-43.886470625000008</c:v>
                </c:pt>
                <c:pt idx="382">
                  <c:v>-43.776128500000006</c:v>
                </c:pt>
                <c:pt idx="383">
                  <c:v>-43.687500000000007</c:v>
                </c:pt>
                <c:pt idx="384">
                  <c:v>-43.63750000000001</c:v>
                </c:pt>
                <c:pt idx="385">
                  <c:v>-43.631587875000001</c:v>
                </c:pt>
                <c:pt idx="386">
                  <c:v>-43.437500000000007</c:v>
                </c:pt>
                <c:pt idx="387">
                  <c:v>-42.925000000000004</c:v>
                </c:pt>
                <c:pt idx="388">
                  <c:v>-42.366652875000007</c:v>
                </c:pt>
                <c:pt idx="389">
                  <c:v>-41.329012499999997</c:v>
                </c:pt>
                <c:pt idx="390">
                  <c:v>-40.842344250000004</c:v>
                </c:pt>
                <c:pt idx="391">
                  <c:v>-40.583539499999993</c:v>
                </c:pt>
                <c:pt idx="392">
                  <c:v>-40.300000000000004</c:v>
                </c:pt>
                <c:pt idx="393">
                  <c:v>-40.250000000000007</c:v>
                </c:pt>
                <c:pt idx="394">
                  <c:v>-40.212499999999999</c:v>
                </c:pt>
                <c:pt idx="395">
                  <c:v>-39.024999999999999</c:v>
                </c:pt>
                <c:pt idx="396">
                  <c:v>-38.863387499999995</c:v>
                </c:pt>
                <c:pt idx="397">
                  <c:v>-38.800000000000004</c:v>
                </c:pt>
                <c:pt idx="398">
                  <c:v>-38.387499999999996</c:v>
                </c:pt>
                <c:pt idx="399">
                  <c:v>-37.712499999999999</c:v>
                </c:pt>
                <c:pt idx="400">
                  <c:v>-37.287500000000001</c:v>
                </c:pt>
                <c:pt idx="401">
                  <c:v>-37.009187500000003</c:v>
                </c:pt>
                <c:pt idx="402">
                  <c:v>-36.550000000000004</c:v>
                </c:pt>
                <c:pt idx="403">
                  <c:v>-36.087676499999993</c:v>
                </c:pt>
                <c:pt idx="404">
                  <c:v>-35.687401000000001</c:v>
                </c:pt>
                <c:pt idx="405">
                  <c:v>-35.448034</c:v>
                </c:pt>
                <c:pt idx="406">
                  <c:v>-35.162500000000001</c:v>
                </c:pt>
                <c:pt idx="407">
                  <c:v>-34.88750000000001</c:v>
                </c:pt>
                <c:pt idx="408">
                  <c:v>-34.874999999999993</c:v>
                </c:pt>
                <c:pt idx="409">
                  <c:v>-34.537500000000001</c:v>
                </c:pt>
                <c:pt idx="410">
                  <c:v>-34.500000000000007</c:v>
                </c:pt>
                <c:pt idx="411">
                  <c:v>-34.061771749999998</c:v>
                </c:pt>
                <c:pt idx="412">
                  <c:v>-33.824999999999996</c:v>
                </c:pt>
                <c:pt idx="413">
                  <c:v>-33.125</c:v>
                </c:pt>
                <c:pt idx="414">
                  <c:v>-32.574970874999998</c:v>
                </c:pt>
                <c:pt idx="415">
                  <c:v>-31.472535999999998</c:v>
                </c:pt>
                <c:pt idx="416">
                  <c:v>-31.15</c:v>
                </c:pt>
                <c:pt idx="417">
                  <c:v>-31.051323750000002</c:v>
                </c:pt>
                <c:pt idx="418">
                  <c:v>-30.912500000000001</c:v>
                </c:pt>
                <c:pt idx="419">
                  <c:v>-30.825000000000003</c:v>
                </c:pt>
                <c:pt idx="420">
                  <c:v>-28.300000000000004</c:v>
                </c:pt>
                <c:pt idx="421">
                  <c:v>-26.769421999999999</c:v>
                </c:pt>
                <c:pt idx="422">
                  <c:v>-25.792159999999999</c:v>
                </c:pt>
                <c:pt idx="423">
                  <c:v>-25.212499999999999</c:v>
                </c:pt>
                <c:pt idx="424">
                  <c:v>-24.550000000000004</c:v>
                </c:pt>
                <c:pt idx="425">
                  <c:v>-23.35</c:v>
                </c:pt>
                <c:pt idx="426">
                  <c:v>-18.947088749999999</c:v>
                </c:pt>
                <c:pt idx="427">
                  <c:v>-17.0625</c:v>
                </c:pt>
                <c:pt idx="428">
                  <c:v>-16.799999999999997</c:v>
                </c:pt>
                <c:pt idx="429">
                  <c:v>-16.174999999999997</c:v>
                </c:pt>
                <c:pt idx="430">
                  <c:v>-15.612500000000004</c:v>
                </c:pt>
                <c:pt idx="431">
                  <c:v>-12.487500000000004</c:v>
                </c:pt>
                <c:pt idx="432">
                  <c:v>-77.120460082499989</c:v>
                </c:pt>
                <c:pt idx="433">
                  <c:v>-76.925954862499992</c:v>
                </c:pt>
                <c:pt idx="434">
                  <c:v>-75.858995787500021</c:v>
                </c:pt>
                <c:pt idx="435">
                  <c:v>-75.293043582500019</c:v>
                </c:pt>
                <c:pt idx="436">
                  <c:v>-74.16830747000003</c:v>
                </c:pt>
                <c:pt idx="437">
                  <c:v>-74.13535113750001</c:v>
                </c:pt>
                <c:pt idx="438">
                  <c:v>-72.759417260000021</c:v>
                </c:pt>
                <c:pt idx="439">
                  <c:v>-72.195769630000001</c:v>
                </c:pt>
                <c:pt idx="440">
                  <c:v>-72.041137880000008</c:v>
                </c:pt>
                <c:pt idx="441">
                  <c:v>-71.622085837500009</c:v>
                </c:pt>
                <c:pt idx="442">
                  <c:v>-71.561463912500017</c:v>
                </c:pt>
                <c:pt idx="443">
                  <c:v>-68.952759632500005</c:v>
                </c:pt>
                <c:pt idx="444">
                  <c:v>-68.091799646249996</c:v>
                </c:pt>
                <c:pt idx="445">
                  <c:v>-67.450121222500002</c:v>
                </c:pt>
                <c:pt idx="446">
                  <c:v>-66.445014847500005</c:v>
                </c:pt>
                <c:pt idx="447">
                  <c:v>-65.945554294999994</c:v>
                </c:pt>
                <c:pt idx="448">
                  <c:v>-65.926998485000013</c:v>
                </c:pt>
                <c:pt idx="449">
                  <c:v>-65.877892154999984</c:v>
                </c:pt>
                <c:pt idx="450">
                  <c:v>-63.995647927499995</c:v>
                </c:pt>
                <c:pt idx="451">
                  <c:v>-63.973999482500012</c:v>
                </c:pt>
                <c:pt idx="452">
                  <c:v>-62.916318312500017</c:v>
                </c:pt>
                <c:pt idx="453">
                  <c:v>-61.191635124999998</c:v>
                </c:pt>
                <c:pt idx="454">
                  <c:v>-61.037542550000005</c:v>
                </c:pt>
                <c:pt idx="455">
                  <c:v>-60.969504579999999</c:v>
                </c:pt>
                <c:pt idx="456">
                  <c:v>-60.96903775000002</c:v>
                </c:pt>
                <c:pt idx="457">
                  <c:v>-60.725186415000003</c:v>
                </c:pt>
                <c:pt idx="458">
                  <c:v>-60.112101215000003</c:v>
                </c:pt>
                <c:pt idx="459">
                  <c:v>-60.015426682499999</c:v>
                </c:pt>
                <c:pt idx="460">
                  <c:v>-59.985828250000004</c:v>
                </c:pt>
                <c:pt idx="461">
                  <c:v>-59.695338960000022</c:v>
                </c:pt>
                <c:pt idx="462">
                  <c:v>-59.660208410000003</c:v>
                </c:pt>
                <c:pt idx="463">
                  <c:v>-58.320662702499995</c:v>
                </c:pt>
                <c:pt idx="464">
                  <c:v>-58.042402220000007</c:v>
                </c:pt>
                <c:pt idx="465">
                  <c:v>-57.694404115000005</c:v>
                </c:pt>
                <c:pt idx="466">
                  <c:v>-57.601195772500013</c:v>
                </c:pt>
                <c:pt idx="467">
                  <c:v>-56.737233582500018</c:v>
                </c:pt>
                <c:pt idx="468">
                  <c:v>-56.098479330000011</c:v>
                </c:pt>
                <c:pt idx="469">
                  <c:v>-54.811928837500012</c:v>
                </c:pt>
                <c:pt idx="470">
                  <c:v>-54.485795302500016</c:v>
                </c:pt>
                <c:pt idx="471">
                  <c:v>-54.417701139999998</c:v>
                </c:pt>
                <c:pt idx="472">
                  <c:v>-54.349719362500004</c:v>
                </c:pt>
                <c:pt idx="473">
                  <c:v>-54.280639897500016</c:v>
                </c:pt>
                <c:pt idx="474">
                  <c:v>-54.179984115000003</c:v>
                </c:pt>
                <c:pt idx="475">
                  <c:v>-54.106947514999995</c:v>
                </c:pt>
                <c:pt idx="476">
                  <c:v>-53.494416960000002</c:v>
                </c:pt>
                <c:pt idx="477">
                  <c:v>-53.457494165000007</c:v>
                </c:pt>
                <c:pt idx="478">
                  <c:v>-53.353890892500011</c:v>
                </c:pt>
                <c:pt idx="479">
                  <c:v>-52.869893515000008</c:v>
                </c:pt>
                <c:pt idx="480">
                  <c:v>-52.295673049999998</c:v>
                </c:pt>
                <c:pt idx="481">
                  <c:v>-51.305451203750003</c:v>
                </c:pt>
                <c:pt idx="482">
                  <c:v>-50.701685199999993</c:v>
                </c:pt>
                <c:pt idx="483">
                  <c:v>-50.470615270000003</c:v>
                </c:pt>
                <c:pt idx="484">
                  <c:v>-49.273822400000007</c:v>
                </c:pt>
                <c:pt idx="485">
                  <c:v>-49.234501072500002</c:v>
                </c:pt>
                <c:pt idx="486">
                  <c:v>-48.968308555</c:v>
                </c:pt>
                <c:pt idx="487">
                  <c:v>-48.851075757500006</c:v>
                </c:pt>
                <c:pt idx="488">
                  <c:v>-48.062546880000006</c:v>
                </c:pt>
                <c:pt idx="489">
                  <c:v>-47.981137938750003</c:v>
                </c:pt>
                <c:pt idx="490">
                  <c:v>-47.949503836249995</c:v>
                </c:pt>
                <c:pt idx="491">
                  <c:v>-47.906489842500001</c:v>
                </c:pt>
                <c:pt idx="492">
                  <c:v>-46.909005855000011</c:v>
                </c:pt>
                <c:pt idx="493">
                  <c:v>-44.834492050000001</c:v>
                </c:pt>
                <c:pt idx="494">
                  <c:v>-44.293538227500001</c:v>
                </c:pt>
                <c:pt idx="495">
                  <c:v>-44.063615352500001</c:v>
                </c:pt>
                <c:pt idx="496">
                  <c:v>-43.930632047500005</c:v>
                </c:pt>
                <c:pt idx="497">
                  <c:v>-43.732703407500004</c:v>
                </c:pt>
                <c:pt idx="498">
                  <c:v>-41.807857985000005</c:v>
                </c:pt>
                <c:pt idx="499">
                  <c:v>-40.666274587500006</c:v>
                </c:pt>
                <c:pt idx="500">
                  <c:v>-39.731826755000007</c:v>
                </c:pt>
                <c:pt idx="501">
                  <c:v>-39.339045274999997</c:v>
                </c:pt>
                <c:pt idx="502">
                  <c:v>-38.592927174999993</c:v>
                </c:pt>
                <c:pt idx="503">
                  <c:v>-37.97757198</c:v>
                </c:pt>
                <c:pt idx="504">
                  <c:v>-36.838744290000001</c:v>
                </c:pt>
                <c:pt idx="505">
                  <c:v>-36.282545692500001</c:v>
                </c:pt>
                <c:pt idx="506">
                  <c:v>-33.335017245000003</c:v>
                </c:pt>
                <c:pt idx="507">
                  <c:v>-32.68426487</c:v>
                </c:pt>
                <c:pt idx="508">
                  <c:v>-32.127526870000004</c:v>
                </c:pt>
                <c:pt idx="509">
                  <c:v>-31.731274650000003</c:v>
                </c:pt>
                <c:pt idx="510">
                  <c:v>-29.938845830000005</c:v>
                </c:pt>
                <c:pt idx="511">
                  <c:v>-29.846169723750002</c:v>
                </c:pt>
                <c:pt idx="512">
                  <c:v>-24.938453615</c:v>
                </c:pt>
                <c:pt idx="513">
                  <c:v>-23.893925585000012</c:v>
                </c:pt>
                <c:pt idx="514">
                  <c:v>-19.939516035000004</c:v>
                </c:pt>
                <c:pt idx="515">
                  <c:v>-19.69162282125</c:v>
                </c:pt>
                <c:pt idx="516">
                  <c:v>-19.395412588749998</c:v>
                </c:pt>
                <c:pt idx="517">
                  <c:v>-15.436639475000007</c:v>
                </c:pt>
                <c:pt idx="518">
                  <c:v>-14.067943396249994</c:v>
                </c:pt>
              </c:numCache>
            </c:numRef>
          </c:xVal>
          <c:yVal>
            <c:numRef>
              <c:f>'dH&amp;dN juv'!$G$2:$G$521</c:f>
              <c:numCache>
                <c:formatCode>General</c:formatCode>
                <c:ptCount val="520"/>
                <c:pt idx="432">
                  <c:v>6.5984784019999996</c:v>
                </c:pt>
                <c:pt idx="433">
                  <c:v>7.07</c:v>
                </c:pt>
                <c:pt idx="434">
                  <c:v>5.39</c:v>
                </c:pt>
                <c:pt idx="435">
                  <c:v>9.56</c:v>
                </c:pt>
                <c:pt idx="436">
                  <c:v>7.2065769839999998</c:v>
                </c:pt>
                <c:pt idx="437">
                  <c:v>4.3391124400000001</c:v>
                </c:pt>
                <c:pt idx="438">
                  <c:v>2.9108217700000001</c:v>
                </c:pt>
                <c:pt idx="439">
                  <c:v>6.92</c:v>
                </c:pt>
                <c:pt idx="440">
                  <c:v>5.13</c:v>
                </c:pt>
                <c:pt idx="441">
                  <c:v>7.76</c:v>
                </c:pt>
                <c:pt idx="442">
                  <c:v>6.3888282790000002</c:v>
                </c:pt>
                <c:pt idx="443">
                  <c:v>6.4573177370000003</c:v>
                </c:pt>
                <c:pt idx="444">
                  <c:v>6.2189635689999996</c:v>
                </c:pt>
                <c:pt idx="445">
                  <c:v>5.25</c:v>
                </c:pt>
                <c:pt idx="446">
                  <c:v>5.68</c:v>
                </c:pt>
                <c:pt idx="447">
                  <c:v>4.3600000000000003</c:v>
                </c:pt>
                <c:pt idx="448">
                  <c:v>5.89</c:v>
                </c:pt>
                <c:pt idx="449">
                  <c:v>6.4167942839999998</c:v>
                </c:pt>
                <c:pt idx="450">
                  <c:v>8.42</c:v>
                </c:pt>
                <c:pt idx="451">
                  <c:v>6.02</c:v>
                </c:pt>
                <c:pt idx="452">
                  <c:v>5.0599999999999996</c:v>
                </c:pt>
                <c:pt idx="453">
                  <c:v>6.7974347110000002</c:v>
                </c:pt>
                <c:pt idx="454">
                  <c:v>7.1</c:v>
                </c:pt>
                <c:pt idx="455">
                  <c:v>5.14</c:v>
                </c:pt>
                <c:pt idx="456">
                  <c:v>6.5312558430000003</c:v>
                </c:pt>
                <c:pt idx="457">
                  <c:v>2.75</c:v>
                </c:pt>
                <c:pt idx="458">
                  <c:v>5.5919840189999999</c:v>
                </c:pt>
                <c:pt idx="459">
                  <c:v>8.77</c:v>
                </c:pt>
                <c:pt idx="460">
                  <c:v>5.4664398790000002</c:v>
                </c:pt>
                <c:pt idx="461">
                  <c:v>4.59</c:v>
                </c:pt>
                <c:pt idx="462">
                  <c:v>-2.0447229469999999</c:v>
                </c:pt>
                <c:pt idx="463">
                  <c:v>6.65</c:v>
                </c:pt>
                <c:pt idx="464">
                  <c:v>7.21</c:v>
                </c:pt>
                <c:pt idx="465">
                  <c:v>6.27</c:v>
                </c:pt>
                <c:pt idx="466">
                  <c:v>9.4985162150000004</c:v>
                </c:pt>
                <c:pt idx="467">
                  <c:v>6.86</c:v>
                </c:pt>
                <c:pt idx="468">
                  <c:v>3.3765352310000001</c:v>
                </c:pt>
                <c:pt idx="469">
                  <c:v>6.3167777620000001</c:v>
                </c:pt>
                <c:pt idx="470">
                  <c:v>9.16</c:v>
                </c:pt>
                <c:pt idx="471">
                  <c:v>3.2054728350000001</c:v>
                </c:pt>
                <c:pt idx="472">
                  <c:v>3.92</c:v>
                </c:pt>
                <c:pt idx="473">
                  <c:v>4.4177687639999998</c:v>
                </c:pt>
                <c:pt idx="474">
                  <c:v>5.0156221590000003</c:v>
                </c:pt>
                <c:pt idx="475">
                  <c:v>8</c:v>
                </c:pt>
                <c:pt idx="476">
                  <c:v>3.9466699350000001</c:v>
                </c:pt>
                <c:pt idx="477">
                  <c:v>9.19</c:v>
                </c:pt>
                <c:pt idx="478">
                  <c:v>5.43</c:v>
                </c:pt>
                <c:pt idx="479">
                  <c:v>4.05</c:v>
                </c:pt>
                <c:pt idx="480">
                  <c:v>7.1330110549999999</c:v>
                </c:pt>
                <c:pt idx="481">
                  <c:v>5.4245378830000002</c:v>
                </c:pt>
                <c:pt idx="482">
                  <c:v>4.7867650050000004</c:v>
                </c:pt>
                <c:pt idx="483">
                  <c:v>5.2436956700000001</c:v>
                </c:pt>
                <c:pt idx="484">
                  <c:v>7.2220788010000003</c:v>
                </c:pt>
                <c:pt idx="485">
                  <c:v>5.29</c:v>
                </c:pt>
                <c:pt idx="486">
                  <c:v>-1.2188266489999999</c:v>
                </c:pt>
                <c:pt idx="487">
                  <c:v>4.1836923280000002</c:v>
                </c:pt>
                <c:pt idx="488">
                  <c:v>5.372867243</c:v>
                </c:pt>
                <c:pt idx="489">
                  <c:v>6.9397719420000001</c:v>
                </c:pt>
                <c:pt idx="490">
                  <c:v>4.4551010150000003</c:v>
                </c:pt>
                <c:pt idx="491">
                  <c:v>10.365879319999999</c:v>
                </c:pt>
                <c:pt idx="492">
                  <c:v>1.9905319109999999</c:v>
                </c:pt>
                <c:pt idx="493">
                  <c:v>1.6365028129999999</c:v>
                </c:pt>
                <c:pt idx="494">
                  <c:v>5.9534398639999999</c:v>
                </c:pt>
                <c:pt idx="495">
                  <c:v>6.02</c:v>
                </c:pt>
                <c:pt idx="496">
                  <c:v>8.31</c:v>
                </c:pt>
                <c:pt idx="497">
                  <c:v>4.96</c:v>
                </c:pt>
                <c:pt idx="498">
                  <c:v>4.6741738919999998</c:v>
                </c:pt>
                <c:pt idx="499">
                  <c:v>7.2391474010000003</c:v>
                </c:pt>
                <c:pt idx="500">
                  <c:v>-0.17496372299999999</c:v>
                </c:pt>
                <c:pt idx="501">
                  <c:v>4.7682935710000001</c:v>
                </c:pt>
                <c:pt idx="502">
                  <c:v>5.6599003440000004</c:v>
                </c:pt>
                <c:pt idx="503">
                  <c:v>4.1919834649999999</c:v>
                </c:pt>
                <c:pt idx="504">
                  <c:v>6.2343631159999999</c:v>
                </c:pt>
                <c:pt idx="505">
                  <c:v>4.55</c:v>
                </c:pt>
                <c:pt idx="506">
                  <c:v>8.01</c:v>
                </c:pt>
                <c:pt idx="507">
                  <c:v>4.24</c:v>
                </c:pt>
                <c:pt idx="508">
                  <c:v>7.1613572760000004</c:v>
                </c:pt>
                <c:pt idx="509">
                  <c:v>5.9508671089999998</c:v>
                </c:pt>
                <c:pt idx="510">
                  <c:v>0.80374987600000003</c:v>
                </c:pt>
                <c:pt idx="511">
                  <c:v>4.5339866860000004</c:v>
                </c:pt>
                <c:pt idx="512">
                  <c:v>0.36959094199999998</c:v>
                </c:pt>
                <c:pt idx="513">
                  <c:v>0.69313988800000004</c:v>
                </c:pt>
                <c:pt idx="514">
                  <c:v>1.91</c:v>
                </c:pt>
                <c:pt idx="515">
                  <c:v>-1.4201788950000001</c:v>
                </c:pt>
                <c:pt idx="516">
                  <c:v>3.9501788630000001</c:v>
                </c:pt>
                <c:pt idx="517">
                  <c:v>-1</c:v>
                </c:pt>
                <c:pt idx="518">
                  <c:v>3.5821031269999999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31-EA4B-82D7-572FBE83A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216111"/>
        <c:axId val="469775999"/>
      </c:scatterChart>
      <c:valAx>
        <c:axId val="47121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9775999"/>
        <c:crosses val="autoZero"/>
        <c:crossBetween val="midCat"/>
      </c:valAx>
      <c:valAx>
        <c:axId val="46977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1216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'dH&amp;dN juv'!$L$1</c:f>
              <c:strCache>
                <c:ptCount val="1"/>
                <c:pt idx="0">
                  <c:v>suisse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'dH&amp;dN juv'!$K$2:$K$659</c:f>
              <c:numCache>
                <c:formatCode>General</c:formatCode>
                <c:ptCount val="658"/>
                <c:pt idx="0">
                  <c:v>-26.812774867499996</c:v>
                </c:pt>
                <c:pt idx="1">
                  <c:v>-74.546977150000018</c:v>
                </c:pt>
                <c:pt idx="2">
                  <c:v>-68.117596187500013</c:v>
                </c:pt>
                <c:pt idx="3">
                  <c:v>-64.296228757500003</c:v>
                </c:pt>
                <c:pt idx="4">
                  <c:v>-62.75497965000001</c:v>
                </c:pt>
                <c:pt idx="5">
                  <c:v>-62.111904437500002</c:v>
                </c:pt>
                <c:pt idx="6">
                  <c:v>-57.434869150000004</c:v>
                </c:pt>
                <c:pt idx="7">
                  <c:v>-55.889569012500019</c:v>
                </c:pt>
                <c:pt idx="8">
                  <c:v>-54.803359665000009</c:v>
                </c:pt>
                <c:pt idx="9">
                  <c:v>-53.400909075000008</c:v>
                </c:pt>
                <c:pt idx="10">
                  <c:v>-53.293540117500001</c:v>
                </c:pt>
                <c:pt idx="11">
                  <c:v>-52.549250000000001</c:v>
                </c:pt>
                <c:pt idx="12">
                  <c:v>-52.327288837500006</c:v>
                </c:pt>
                <c:pt idx="13">
                  <c:v>-50.941043550000003</c:v>
                </c:pt>
                <c:pt idx="14">
                  <c:v>-50.326762750000007</c:v>
                </c:pt>
                <c:pt idx="15">
                  <c:v>-50.113075432499997</c:v>
                </c:pt>
                <c:pt idx="16">
                  <c:v>-49.614500000000007</c:v>
                </c:pt>
                <c:pt idx="17">
                  <c:v>-48.19049157500001</c:v>
                </c:pt>
                <c:pt idx="18">
                  <c:v>-48.163068324999998</c:v>
                </c:pt>
                <c:pt idx="19">
                  <c:v>-47.377653975000001</c:v>
                </c:pt>
                <c:pt idx="20">
                  <c:v>-46.918052775000007</c:v>
                </c:pt>
                <c:pt idx="21">
                  <c:v>-46.851749999999996</c:v>
                </c:pt>
                <c:pt idx="22">
                  <c:v>-46.647500000000001</c:v>
                </c:pt>
                <c:pt idx="23">
                  <c:v>-45.568366087500003</c:v>
                </c:pt>
                <c:pt idx="24">
                  <c:v>-43.110750000000003</c:v>
                </c:pt>
                <c:pt idx="25">
                  <c:v>-42.193026800000005</c:v>
                </c:pt>
                <c:pt idx="26">
                  <c:v>-42.057281712500007</c:v>
                </c:pt>
                <c:pt idx="27">
                  <c:v>-41.400765022499996</c:v>
                </c:pt>
                <c:pt idx="28">
                  <c:v>-41.394625267500004</c:v>
                </c:pt>
                <c:pt idx="29">
                  <c:v>-40.753306175000006</c:v>
                </c:pt>
                <c:pt idx="30">
                  <c:v>-40.431652200000002</c:v>
                </c:pt>
                <c:pt idx="31">
                  <c:v>-40.407773225000007</c:v>
                </c:pt>
                <c:pt idx="32">
                  <c:v>-39.964426132500002</c:v>
                </c:pt>
                <c:pt idx="33">
                  <c:v>-39.815431025000002</c:v>
                </c:pt>
                <c:pt idx="34">
                  <c:v>-39.613659975000004</c:v>
                </c:pt>
                <c:pt idx="35">
                  <c:v>-39.594249990000002</c:v>
                </c:pt>
                <c:pt idx="36">
                  <c:v>-37.934696272500005</c:v>
                </c:pt>
                <c:pt idx="37">
                  <c:v>-36.180865485000005</c:v>
                </c:pt>
                <c:pt idx="38">
                  <c:v>-35.716412272500001</c:v>
                </c:pt>
                <c:pt idx="39">
                  <c:v>-34.894203252499999</c:v>
                </c:pt>
                <c:pt idx="40">
                  <c:v>-34.544881035000003</c:v>
                </c:pt>
                <c:pt idx="41">
                  <c:v>-33.670045282500006</c:v>
                </c:pt>
                <c:pt idx="42">
                  <c:v>-33.202314287500002</c:v>
                </c:pt>
                <c:pt idx="43">
                  <c:v>-32.651106962499995</c:v>
                </c:pt>
                <c:pt idx="44">
                  <c:v>-32.598336824999997</c:v>
                </c:pt>
                <c:pt idx="45">
                  <c:v>-32.411169112499998</c:v>
                </c:pt>
                <c:pt idx="46">
                  <c:v>-32.077961037500003</c:v>
                </c:pt>
                <c:pt idx="47">
                  <c:v>-30.630996202499997</c:v>
                </c:pt>
                <c:pt idx="48">
                  <c:v>-30.554749999999995</c:v>
                </c:pt>
                <c:pt idx="49">
                  <c:v>-30.551857174999999</c:v>
                </c:pt>
                <c:pt idx="50">
                  <c:v>-29.100380242500002</c:v>
                </c:pt>
                <c:pt idx="51">
                  <c:v>-28.900977525000002</c:v>
                </c:pt>
                <c:pt idx="52">
                  <c:v>-28.282388017499997</c:v>
                </c:pt>
                <c:pt idx="53">
                  <c:v>-27.939940425</c:v>
                </c:pt>
                <c:pt idx="54">
                  <c:v>-27.682014062499999</c:v>
                </c:pt>
                <c:pt idx="55">
                  <c:v>-26.927848349999994</c:v>
                </c:pt>
                <c:pt idx="56">
                  <c:v>-25.732220987500003</c:v>
                </c:pt>
                <c:pt idx="57">
                  <c:v>-25.078176474999996</c:v>
                </c:pt>
                <c:pt idx="58">
                  <c:v>-24.049157664999999</c:v>
                </c:pt>
                <c:pt idx="59">
                  <c:v>-74.114874999999984</c:v>
                </c:pt>
                <c:pt idx="60">
                  <c:v>-69.633125000000007</c:v>
                </c:pt>
                <c:pt idx="61">
                  <c:v>-63.888749999999995</c:v>
                </c:pt>
                <c:pt idx="62">
                  <c:v>-62.000500000000009</c:v>
                </c:pt>
                <c:pt idx="63">
                  <c:v>-61.238374999999998</c:v>
                </c:pt>
                <c:pt idx="64">
                  <c:v>-55.562250000000013</c:v>
                </c:pt>
                <c:pt idx="65">
                  <c:v>-52.512242243750002</c:v>
                </c:pt>
                <c:pt idx="66">
                  <c:v>-52.218000000000025</c:v>
                </c:pt>
                <c:pt idx="67">
                  <c:v>-50.932625000000009</c:v>
                </c:pt>
                <c:pt idx="68">
                  <c:v>-38.98277458750001</c:v>
                </c:pt>
                <c:pt idx="69">
                  <c:v>-40.116933157500007</c:v>
                </c:pt>
                <c:pt idx="70">
                  <c:v>-31.044151597500001</c:v>
                </c:pt>
                <c:pt idx="71">
                  <c:v>-74.674144499999997</c:v>
                </c:pt>
                <c:pt idx="72">
                  <c:v>-74.3125</c:v>
                </c:pt>
                <c:pt idx="73">
                  <c:v>-73.840697500000005</c:v>
                </c:pt>
                <c:pt idx="74">
                  <c:v>-73.642634999999999</c:v>
                </c:pt>
                <c:pt idx="75">
                  <c:v>-73.014245750000001</c:v>
                </c:pt>
                <c:pt idx="76">
                  <c:v>-72.028892999999997</c:v>
                </c:pt>
                <c:pt idx="77">
                  <c:v>-71.837500000000006</c:v>
                </c:pt>
                <c:pt idx="78">
                  <c:v>-71.212500000000006</c:v>
                </c:pt>
                <c:pt idx="79">
                  <c:v>-71.129618000000008</c:v>
                </c:pt>
                <c:pt idx="80">
                  <c:v>-70.734265250000007</c:v>
                </c:pt>
                <c:pt idx="81">
                  <c:v>-70.633115000000004</c:v>
                </c:pt>
                <c:pt idx="82">
                  <c:v>-69.975000000000009</c:v>
                </c:pt>
                <c:pt idx="83">
                  <c:v>-68.2</c:v>
                </c:pt>
                <c:pt idx="84">
                  <c:v>-68.0625</c:v>
                </c:pt>
                <c:pt idx="85">
                  <c:v>-66.087500000000006</c:v>
                </c:pt>
                <c:pt idx="86">
                  <c:v>-64.74261525</c:v>
                </c:pt>
                <c:pt idx="87">
                  <c:v>-64.431995499999999</c:v>
                </c:pt>
                <c:pt idx="88">
                  <c:v>-63.505791250000001</c:v>
                </c:pt>
                <c:pt idx="89">
                  <c:v>-63.307039250000003</c:v>
                </c:pt>
                <c:pt idx="90">
                  <c:v>-60.296180249999999</c:v>
                </c:pt>
                <c:pt idx="91">
                  <c:v>-59.880514000000005</c:v>
                </c:pt>
                <c:pt idx="92">
                  <c:v>-59.25</c:v>
                </c:pt>
                <c:pt idx="93">
                  <c:v>-59.113617750000003</c:v>
                </c:pt>
                <c:pt idx="94">
                  <c:v>-58.750000000000007</c:v>
                </c:pt>
                <c:pt idx="95">
                  <c:v>-57.975000000000001</c:v>
                </c:pt>
                <c:pt idx="96">
                  <c:v>-57.487499999999997</c:v>
                </c:pt>
                <c:pt idx="97">
                  <c:v>-55.787500000000001</c:v>
                </c:pt>
                <c:pt idx="98">
                  <c:v>-55.162500000000001</c:v>
                </c:pt>
                <c:pt idx="99">
                  <c:v>-54.712499999999999</c:v>
                </c:pt>
                <c:pt idx="100">
                  <c:v>-53.967247999999998</c:v>
                </c:pt>
                <c:pt idx="101">
                  <c:v>-53.598146249999999</c:v>
                </c:pt>
                <c:pt idx="102">
                  <c:v>-53.437500000000007</c:v>
                </c:pt>
                <c:pt idx="103">
                  <c:v>-51.9375</c:v>
                </c:pt>
                <c:pt idx="104">
                  <c:v>-51.889034500000001</c:v>
                </c:pt>
                <c:pt idx="105">
                  <c:v>-51.858783000000003</c:v>
                </c:pt>
                <c:pt idx="106">
                  <c:v>-51.550561999999999</c:v>
                </c:pt>
                <c:pt idx="107">
                  <c:v>-50.099338000000003</c:v>
                </c:pt>
                <c:pt idx="108">
                  <c:v>-49.760336750000008</c:v>
                </c:pt>
                <c:pt idx="109">
                  <c:v>-39.336625500000004</c:v>
                </c:pt>
                <c:pt idx="110">
                  <c:v>-37.864625000000004</c:v>
                </c:pt>
                <c:pt idx="111">
                  <c:v>-37.17081975</c:v>
                </c:pt>
                <c:pt idx="112">
                  <c:v>-29.85</c:v>
                </c:pt>
                <c:pt idx="113">
                  <c:v>-74.962500000000006</c:v>
                </c:pt>
                <c:pt idx="114">
                  <c:v>-74.950000000000017</c:v>
                </c:pt>
                <c:pt idx="115">
                  <c:v>-74.887499999999989</c:v>
                </c:pt>
                <c:pt idx="116">
                  <c:v>-74.824999999999989</c:v>
                </c:pt>
                <c:pt idx="117">
                  <c:v>-74.810810000000004</c:v>
                </c:pt>
                <c:pt idx="118">
                  <c:v>-74.807071500000006</c:v>
                </c:pt>
                <c:pt idx="119">
                  <c:v>-74.724999999999994</c:v>
                </c:pt>
                <c:pt idx="120">
                  <c:v>-74.552245499999998</c:v>
                </c:pt>
                <c:pt idx="121">
                  <c:v>-74.537499999999994</c:v>
                </c:pt>
                <c:pt idx="122">
                  <c:v>-74.525701125000012</c:v>
                </c:pt>
                <c:pt idx="123">
                  <c:v>-74.476274500000017</c:v>
                </c:pt>
                <c:pt idx="124">
                  <c:v>-74.453568000000018</c:v>
                </c:pt>
                <c:pt idx="125">
                  <c:v>-74.433680624999994</c:v>
                </c:pt>
                <c:pt idx="126">
                  <c:v>-74.322751000000011</c:v>
                </c:pt>
                <c:pt idx="127">
                  <c:v>-74.249639624999986</c:v>
                </c:pt>
                <c:pt idx="128">
                  <c:v>-74.16217850000001</c:v>
                </c:pt>
                <c:pt idx="129">
                  <c:v>-74.0625</c:v>
                </c:pt>
                <c:pt idx="130">
                  <c:v>-74.049999999999983</c:v>
                </c:pt>
                <c:pt idx="131">
                  <c:v>-73.867115499999983</c:v>
                </c:pt>
                <c:pt idx="132">
                  <c:v>-73.787499999999994</c:v>
                </c:pt>
                <c:pt idx="133">
                  <c:v>-73.787499999999994</c:v>
                </c:pt>
                <c:pt idx="134">
                  <c:v>-73.674999999999983</c:v>
                </c:pt>
                <c:pt idx="135">
                  <c:v>-73.650000000000006</c:v>
                </c:pt>
                <c:pt idx="136">
                  <c:v>-73.599999999999994</c:v>
                </c:pt>
                <c:pt idx="137">
                  <c:v>-73.489610874999983</c:v>
                </c:pt>
                <c:pt idx="138">
                  <c:v>-73.433842499999997</c:v>
                </c:pt>
                <c:pt idx="139">
                  <c:v>-73.400000000000006</c:v>
                </c:pt>
                <c:pt idx="140">
                  <c:v>-73.387500000000017</c:v>
                </c:pt>
                <c:pt idx="141">
                  <c:v>-73.375</c:v>
                </c:pt>
                <c:pt idx="142">
                  <c:v>-73.322356124999999</c:v>
                </c:pt>
                <c:pt idx="143">
                  <c:v>-73.199999999999989</c:v>
                </c:pt>
                <c:pt idx="144">
                  <c:v>-73.171938000000011</c:v>
                </c:pt>
                <c:pt idx="145">
                  <c:v>-73.141852999999998</c:v>
                </c:pt>
                <c:pt idx="146">
                  <c:v>-73.099999999999994</c:v>
                </c:pt>
                <c:pt idx="147">
                  <c:v>-73.025000000000006</c:v>
                </c:pt>
                <c:pt idx="148">
                  <c:v>-72.912499999999994</c:v>
                </c:pt>
                <c:pt idx="149">
                  <c:v>-72.837500000000006</c:v>
                </c:pt>
                <c:pt idx="150">
                  <c:v>-72.737499999999983</c:v>
                </c:pt>
                <c:pt idx="151">
                  <c:v>-72.737499999999983</c:v>
                </c:pt>
                <c:pt idx="152">
                  <c:v>-72.724999999999994</c:v>
                </c:pt>
                <c:pt idx="153">
                  <c:v>-72.675000000000011</c:v>
                </c:pt>
                <c:pt idx="154">
                  <c:v>-72.657207</c:v>
                </c:pt>
                <c:pt idx="155">
                  <c:v>-72.559536250000008</c:v>
                </c:pt>
                <c:pt idx="156">
                  <c:v>-72.503019749999993</c:v>
                </c:pt>
                <c:pt idx="157">
                  <c:v>-72.450000000000017</c:v>
                </c:pt>
                <c:pt idx="158">
                  <c:v>-72.332972000000012</c:v>
                </c:pt>
                <c:pt idx="159">
                  <c:v>-72.09965200000002</c:v>
                </c:pt>
                <c:pt idx="160">
                  <c:v>-72.08352124999999</c:v>
                </c:pt>
                <c:pt idx="161">
                  <c:v>-72.074999999999989</c:v>
                </c:pt>
                <c:pt idx="162">
                  <c:v>-71.875</c:v>
                </c:pt>
                <c:pt idx="163">
                  <c:v>-71.850032499999998</c:v>
                </c:pt>
                <c:pt idx="164">
                  <c:v>-71.788962499999997</c:v>
                </c:pt>
                <c:pt idx="165">
                  <c:v>-71.72969362500001</c:v>
                </c:pt>
                <c:pt idx="166">
                  <c:v>-71.675000000000011</c:v>
                </c:pt>
                <c:pt idx="167">
                  <c:v>-71.575000000000017</c:v>
                </c:pt>
                <c:pt idx="168">
                  <c:v>-71.575000000000017</c:v>
                </c:pt>
                <c:pt idx="169">
                  <c:v>-71.548536374999998</c:v>
                </c:pt>
                <c:pt idx="170">
                  <c:v>-71.483715750000016</c:v>
                </c:pt>
                <c:pt idx="171">
                  <c:v>-71.362500000000011</c:v>
                </c:pt>
                <c:pt idx="172">
                  <c:v>-71.256077500000004</c:v>
                </c:pt>
                <c:pt idx="173">
                  <c:v>-71.241277125000011</c:v>
                </c:pt>
                <c:pt idx="174">
                  <c:v>-71.200000000000017</c:v>
                </c:pt>
                <c:pt idx="175">
                  <c:v>-71.108260000000001</c:v>
                </c:pt>
                <c:pt idx="176">
                  <c:v>-70.974999999999994</c:v>
                </c:pt>
                <c:pt idx="177">
                  <c:v>-70.959407374999984</c:v>
                </c:pt>
                <c:pt idx="178">
                  <c:v>-70.9375</c:v>
                </c:pt>
                <c:pt idx="179">
                  <c:v>-70.912499999999994</c:v>
                </c:pt>
                <c:pt idx="180">
                  <c:v>-70.778350500000016</c:v>
                </c:pt>
                <c:pt idx="181">
                  <c:v>-70.675000000000011</c:v>
                </c:pt>
                <c:pt idx="182">
                  <c:v>-70.662499999999994</c:v>
                </c:pt>
                <c:pt idx="183">
                  <c:v>-70.549999999999983</c:v>
                </c:pt>
                <c:pt idx="184">
                  <c:v>-70.537499999999994</c:v>
                </c:pt>
                <c:pt idx="185">
                  <c:v>-70.394822000000005</c:v>
                </c:pt>
                <c:pt idx="186">
                  <c:v>-70.325000000000017</c:v>
                </c:pt>
                <c:pt idx="187">
                  <c:v>-70.301606249999992</c:v>
                </c:pt>
                <c:pt idx="188">
                  <c:v>-70.287499999999994</c:v>
                </c:pt>
                <c:pt idx="189">
                  <c:v>-70.137499999999989</c:v>
                </c:pt>
                <c:pt idx="190">
                  <c:v>-70.074999999999989</c:v>
                </c:pt>
                <c:pt idx="191">
                  <c:v>-70.0625</c:v>
                </c:pt>
                <c:pt idx="192">
                  <c:v>-70.018157000000002</c:v>
                </c:pt>
                <c:pt idx="193">
                  <c:v>-69.924999999999983</c:v>
                </c:pt>
                <c:pt idx="194">
                  <c:v>-69.88751400000001</c:v>
                </c:pt>
                <c:pt idx="195">
                  <c:v>-69.8125</c:v>
                </c:pt>
                <c:pt idx="196">
                  <c:v>-69.625368000000009</c:v>
                </c:pt>
                <c:pt idx="197">
                  <c:v>-69.612499999999983</c:v>
                </c:pt>
                <c:pt idx="198">
                  <c:v>-69.362499999999983</c:v>
                </c:pt>
                <c:pt idx="199">
                  <c:v>-69.351716500000009</c:v>
                </c:pt>
                <c:pt idx="200">
                  <c:v>-69.121266375000005</c:v>
                </c:pt>
                <c:pt idx="201">
                  <c:v>-69.112500000000011</c:v>
                </c:pt>
                <c:pt idx="202">
                  <c:v>-69.0625</c:v>
                </c:pt>
                <c:pt idx="203">
                  <c:v>-69.049999999999983</c:v>
                </c:pt>
                <c:pt idx="204">
                  <c:v>-68.98500525</c:v>
                </c:pt>
                <c:pt idx="205">
                  <c:v>-68.962500000000006</c:v>
                </c:pt>
                <c:pt idx="206">
                  <c:v>-68.950195250000007</c:v>
                </c:pt>
                <c:pt idx="207">
                  <c:v>-68.9375</c:v>
                </c:pt>
                <c:pt idx="208">
                  <c:v>-68.849999999999994</c:v>
                </c:pt>
                <c:pt idx="209">
                  <c:v>-68.737376500000011</c:v>
                </c:pt>
                <c:pt idx="210">
                  <c:v>-68.700000000000017</c:v>
                </c:pt>
                <c:pt idx="211">
                  <c:v>-68.6875</c:v>
                </c:pt>
                <c:pt idx="212">
                  <c:v>-68.683532624999998</c:v>
                </c:pt>
                <c:pt idx="213">
                  <c:v>-68.677090499999991</c:v>
                </c:pt>
                <c:pt idx="214">
                  <c:v>-68.600856499999992</c:v>
                </c:pt>
                <c:pt idx="215">
                  <c:v>-68.599999999999994</c:v>
                </c:pt>
                <c:pt idx="216">
                  <c:v>-68.598360500000013</c:v>
                </c:pt>
                <c:pt idx="217">
                  <c:v>-68.564789499999989</c:v>
                </c:pt>
                <c:pt idx="218">
                  <c:v>-68.549172249999998</c:v>
                </c:pt>
                <c:pt idx="219">
                  <c:v>-68.527477000000005</c:v>
                </c:pt>
                <c:pt idx="220">
                  <c:v>-68.526241249999998</c:v>
                </c:pt>
                <c:pt idx="221">
                  <c:v>-68.512499999999989</c:v>
                </c:pt>
                <c:pt idx="222">
                  <c:v>-68.480662125000009</c:v>
                </c:pt>
                <c:pt idx="223">
                  <c:v>-68.390294624999996</c:v>
                </c:pt>
                <c:pt idx="224">
                  <c:v>-68.375</c:v>
                </c:pt>
                <c:pt idx="225">
                  <c:v>-68.337500000000006</c:v>
                </c:pt>
                <c:pt idx="226">
                  <c:v>-68.287499999999994</c:v>
                </c:pt>
                <c:pt idx="227">
                  <c:v>-68.25</c:v>
                </c:pt>
                <c:pt idx="228">
                  <c:v>-68.25</c:v>
                </c:pt>
                <c:pt idx="229">
                  <c:v>-68.220884000000012</c:v>
                </c:pt>
                <c:pt idx="230">
                  <c:v>-68.112499999999983</c:v>
                </c:pt>
                <c:pt idx="231">
                  <c:v>-68.087500000000006</c:v>
                </c:pt>
                <c:pt idx="232">
                  <c:v>-68.049999999999983</c:v>
                </c:pt>
                <c:pt idx="233">
                  <c:v>-68</c:v>
                </c:pt>
                <c:pt idx="234">
                  <c:v>-67.843597125000002</c:v>
                </c:pt>
                <c:pt idx="235">
                  <c:v>-67.825000000000017</c:v>
                </c:pt>
                <c:pt idx="236">
                  <c:v>-67.812598000000008</c:v>
                </c:pt>
                <c:pt idx="237">
                  <c:v>-67.762500000000017</c:v>
                </c:pt>
                <c:pt idx="238">
                  <c:v>-67.737499999999983</c:v>
                </c:pt>
                <c:pt idx="239">
                  <c:v>-67.724999999999994</c:v>
                </c:pt>
                <c:pt idx="240">
                  <c:v>-67.699999999999989</c:v>
                </c:pt>
                <c:pt idx="241">
                  <c:v>-67.699999999999989</c:v>
                </c:pt>
                <c:pt idx="242">
                  <c:v>-67.699824500000005</c:v>
                </c:pt>
                <c:pt idx="243">
                  <c:v>-67.67537387500002</c:v>
                </c:pt>
                <c:pt idx="244">
                  <c:v>-67.675000000000011</c:v>
                </c:pt>
                <c:pt idx="245">
                  <c:v>-67.612500000000011</c:v>
                </c:pt>
                <c:pt idx="246">
                  <c:v>-67.599999999999994</c:v>
                </c:pt>
                <c:pt idx="247">
                  <c:v>-67.537499999999994</c:v>
                </c:pt>
                <c:pt idx="248">
                  <c:v>-67.512737874999999</c:v>
                </c:pt>
                <c:pt idx="249">
                  <c:v>-67.5</c:v>
                </c:pt>
                <c:pt idx="250">
                  <c:v>-67.5</c:v>
                </c:pt>
                <c:pt idx="251">
                  <c:v>-67.499184874999997</c:v>
                </c:pt>
                <c:pt idx="252">
                  <c:v>-67.324999999999989</c:v>
                </c:pt>
                <c:pt idx="253">
                  <c:v>-67.240154999999987</c:v>
                </c:pt>
                <c:pt idx="254">
                  <c:v>-67.052574749999991</c:v>
                </c:pt>
                <c:pt idx="255">
                  <c:v>-67.008691999999996</c:v>
                </c:pt>
                <c:pt idx="256">
                  <c:v>-66.962500000000006</c:v>
                </c:pt>
                <c:pt idx="257">
                  <c:v>-66.9375</c:v>
                </c:pt>
                <c:pt idx="258">
                  <c:v>-66.862499999999983</c:v>
                </c:pt>
                <c:pt idx="259">
                  <c:v>-66.724999999999994</c:v>
                </c:pt>
                <c:pt idx="260">
                  <c:v>-66.721542874999983</c:v>
                </c:pt>
                <c:pt idx="261">
                  <c:v>-66.604686874999999</c:v>
                </c:pt>
                <c:pt idx="262">
                  <c:v>-66.599999999999994</c:v>
                </c:pt>
                <c:pt idx="263">
                  <c:v>-66.587500000000006</c:v>
                </c:pt>
                <c:pt idx="264">
                  <c:v>-66.587500000000006</c:v>
                </c:pt>
                <c:pt idx="265">
                  <c:v>-66.572779999999995</c:v>
                </c:pt>
                <c:pt idx="266">
                  <c:v>-66.525000000000006</c:v>
                </c:pt>
                <c:pt idx="267">
                  <c:v>-66.518926499999992</c:v>
                </c:pt>
                <c:pt idx="268">
                  <c:v>-66.5</c:v>
                </c:pt>
                <c:pt idx="269">
                  <c:v>-66.316685624999991</c:v>
                </c:pt>
                <c:pt idx="270">
                  <c:v>-66.262500000000017</c:v>
                </c:pt>
                <c:pt idx="271">
                  <c:v>-66.112500000000011</c:v>
                </c:pt>
                <c:pt idx="272">
                  <c:v>-66.037499999999994</c:v>
                </c:pt>
                <c:pt idx="273">
                  <c:v>-66.031501125000005</c:v>
                </c:pt>
                <c:pt idx="274">
                  <c:v>-66.025000000000006</c:v>
                </c:pt>
                <c:pt idx="275">
                  <c:v>-66.011743124999981</c:v>
                </c:pt>
                <c:pt idx="276">
                  <c:v>-65.887500000000017</c:v>
                </c:pt>
                <c:pt idx="277">
                  <c:v>-65.863560124999992</c:v>
                </c:pt>
                <c:pt idx="278">
                  <c:v>-65.8125</c:v>
                </c:pt>
                <c:pt idx="279">
                  <c:v>-65.715642000000003</c:v>
                </c:pt>
                <c:pt idx="280">
                  <c:v>-65.680057000000005</c:v>
                </c:pt>
                <c:pt idx="281">
                  <c:v>-65.662499999999994</c:v>
                </c:pt>
                <c:pt idx="282">
                  <c:v>-65.594988374999986</c:v>
                </c:pt>
                <c:pt idx="283">
                  <c:v>-65.51379799999998</c:v>
                </c:pt>
                <c:pt idx="284">
                  <c:v>-65.438676749999985</c:v>
                </c:pt>
                <c:pt idx="285">
                  <c:v>-65.369669750000014</c:v>
                </c:pt>
                <c:pt idx="286">
                  <c:v>-65.349999999999994</c:v>
                </c:pt>
                <c:pt idx="287">
                  <c:v>-65.342563750000011</c:v>
                </c:pt>
                <c:pt idx="288">
                  <c:v>-65.298778999999996</c:v>
                </c:pt>
                <c:pt idx="289">
                  <c:v>-65.169084999999995</c:v>
                </c:pt>
                <c:pt idx="290">
                  <c:v>-64.962500000000006</c:v>
                </c:pt>
                <c:pt idx="291">
                  <c:v>-64.912499999999994</c:v>
                </c:pt>
                <c:pt idx="292">
                  <c:v>-64.87329112499998</c:v>
                </c:pt>
                <c:pt idx="293">
                  <c:v>-64.801611750000006</c:v>
                </c:pt>
                <c:pt idx="294">
                  <c:v>-64.737500000000011</c:v>
                </c:pt>
                <c:pt idx="295">
                  <c:v>-64.729057124999997</c:v>
                </c:pt>
                <c:pt idx="296">
                  <c:v>-64.712500000000006</c:v>
                </c:pt>
                <c:pt idx="297">
                  <c:v>-64.637500000000017</c:v>
                </c:pt>
                <c:pt idx="298">
                  <c:v>-64.537499999999994</c:v>
                </c:pt>
                <c:pt idx="299">
                  <c:v>-64.51037599999998</c:v>
                </c:pt>
                <c:pt idx="300">
                  <c:v>-64.421638000000002</c:v>
                </c:pt>
                <c:pt idx="301">
                  <c:v>-64.415877375000008</c:v>
                </c:pt>
                <c:pt idx="302">
                  <c:v>-64.325877749999989</c:v>
                </c:pt>
                <c:pt idx="303">
                  <c:v>-64.3125</c:v>
                </c:pt>
                <c:pt idx="304">
                  <c:v>-64.287499999999994</c:v>
                </c:pt>
                <c:pt idx="305">
                  <c:v>-64.275000000000006</c:v>
                </c:pt>
                <c:pt idx="306">
                  <c:v>-64.215970625000011</c:v>
                </c:pt>
                <c:pt idx="307">
                  <c:v>-64.212500000000006</c:v>
                </c:pt>
                <c:pt idx="308">
                  <c:v>-64.083091749999994</c:v>
                </c:pt>
                <c:pt idx="309">
                  <c:v>-63.977099000000003</c:v>
                </c:pt>
                <c:pt idx="310">
                  <c:v>-63.975000000000001</c:v>
                </c:pt>
                <c:pt idx="311">
                  <c:v>-63.949999999999996</c:v>
                </c:pt>
                <c:pt idx="312">
                  <c:v>-63.860204375000002</c:v>
                </c:pt>
                <c:pt idx="313">
                  <c:v>-63.822352124999988</c:v>
                </c:pt>
                <c:pt idx="314">
                  <c:v>-63.774999999999999</c:v>
                </c:pt>
                <c:pt idx="315">
                  <c:v>-63.754396500000006</c:v>
                </c:pt>
                <c:pt idx="316">
                  <c:v>-63.637499999999996</c:v>
                </c:pt>
                <c:pt idx="317">
                  <c:v>-63.587500000000013</c:v>
                </c:pt>
                <c:pt idx="318">
                  <c:v>-63.5590695</c:v>
                </c:pt>
                <c:pt idx="319">
                  <c:v>-63.531274500000002</c:v>
                </c:pt>
                <c:pt idx="320">
                  <c:v>-63.525000000000013</c:v>
                </c:pt>
                <c:pt idx="321">
                  <c:v>-63.487500000000004</c:v>
                </c:pt>
                <c:pt idx="322">
                  <c:v>-63.462499999999999</c:v>
                </c:pt>
                <c:pt idx="323">
                  <c:v>-63.448531999999993</c:v>
                </c:pt>
                <c:pt idx="324">
                  <c:v>-63.381605499999999</c:v>
                </c:pt>
                <c:pt idx="325">
                  <c:v>-63.375000000000007</c:v>
                </c:pt>
                <c:pt idx="326">
                  <c:v>-63.199999999999996</c:v>
                </c:pt>
                <c:pt idx="327">
                  <c:v>-63.169067000000005</c:v>
                </c:pt>
                <c:pt idx="328">
                  <c:v>-63.1</c:v>
                </c:pt>
                <c:pt idx="329">
                  <c:v>-62.975000000000001</c:v>
                </c:pt>
                <c:pt idx="330">
                  <c:v>-62.874999999999993</c:v>
                </c:pt>
                <c:pt idx="331">
                  <c:v>-62.855071000000002</c:v>
                </c:pt>
                <c:pt idx="332">
                  <c:v>-62.813235124999999</c:v>
                </c:pt>
                <c:pt idx="333">
                  <c:v>-62.79999999999999</c:v>
                </c:pt>
                <c:pt idx="334">
                  <c:v>-62.687500000000007</c:v>
                </c:pt>
                <c:pt idx="335">
                  <c:v>-62.612500000000004</c:v>
                </c:pt>
                <c:pt idx="336">
                  <c:v>-62.612500000000004</c:v>
                </c:pt>
                <c:pt idx="337">
                  <c:v>-62.612500000000004</c:v>
                </c:pt>
                <c:pt idx="338">
                  <c:v>-62.6</c:v>
                </c:pt>
                <c:pt idx="339">
                  <c:v>-62.425033000000006</c:v>
                </c:pt>
                <c:pt idx="340">
                  <c:v>-62.341414500000006</c:v>
                </c:pt>
                <c:pt idx="341">
                  <c:v>-62.312499999999993</c:v>
                </c:pt>
                <c:pt idx="342">
                  <c:v>-62.125000000000007</c:v>
                </c:pt>
                <c:pt idx="343">
                  <c:v>-62.11249999999999</c:v>
                </c:pt>
                <c:pt idx="344">
                  <c:v>-61.987500000000004</c:v>
                </c:pt>
                <c:pt idx="345">
                  <c:v>-61.937499999999993</c:v>
                </c:pt>
                <c:pt idx="346">
                  <c:v>-61.930596000000001</c:v>
                </c:pt>
                <c:pt idx="347">
                  <c:v>-61.927207750000001</c:v>
                </c:pt>
                <c:pt idx="348">
                  <c:v>-61.908503250000003</c:v>
                </c:pt>
                <c:pt idx="349">
                  <c:v>-61.9</c:v>
                </c:pt>
                <c:pt idx="350">
                  <c:v>-61.82500000000001</c:v>
                </c:pt>
                <c:pt idx="351">
                  <c:v>-61.7782695</c:v>
                </c:pt>
                <c:pt idx="352">
                  <c:v>-61.699999999999996</c:v>
                </c:pt>
                <c:pt idx="353">
                  <c:v>-61.612747500000005</c:v>
                </c:pt>
                <c:pt idx="354">
                  <c:v>-61.429421499999997</c:v>
                </c:pt>
                <c:pt idx="355">
                  <c:v>-61.380005375000003</c:v>
                </c:pt>
                <c:pt idx="356">
                  <c:v>-61.337500000000013</c:v>
                </c:pt>
                <c:pt idx="357">
                  <c:v>-61.250000000000007</c:v>
                </c:pt>
                <c:pt idx="358">
                  <c:v>-61.193651624999994</c:v>
                </c:pt>
                <c:pt idx="359">
                  <c:v>-61.074999999999996</c:v>
                </c:pt>
                <c:pt idx="360">
                  <c:v>-61.072472249999997</c:v>
                </c:pt>
                <c:pt idx="361">
                  <c:v>-61.050000000000004</c:v>
                </c:pt>
                <c:pt idx="362">
                  <c:v>-61.037500000000001</c:v>
                </c:pt>
                <c:pt idx="363">
                  <c:v>-60.912500000000001</c:v>
                </c:pt>
                <c:pt idx="364">
                  <c:v>-60.85</c:v>
                </c:pt>
                <c:pt idx="365">
                  <c:v>-60.819216500000003</c:v>
                </c:pt>
                <c:pt idx="366">
                  <c:v>-60.752663000000005</c:v>
                </c:pt>
                <c:pt idx="367">
                  <c:v>-60.639672749999995</c:v>
                </c:pt>
                <c:pt idx="368">
                  <c:v>-60.57500000000001</c:v>
                </c:pt>
                <c:pt idx="369">
                  <c:v>-60.337499999999999</c:v>
                </c:pt>
                <c:pt idx="370">
                  <c:v>-60.274999999999999</c:v>
                </c:pt>
                <c:pt idx="371">
                  <c:v>-60.23749999999999</c:v>
                </c:pt>
                <c:pt idx="372">
                  <c:v>-60.212499999999999</c:v>
                </c:pt>
                <c:pt idx="373">
                  <c:v>-60.199999999999996</c:v>
                </c:pt>
                <c:pt idx="374">
                  <c:v>-59.860163500000006</c:v>
                </c:pt>
                <c:pt idx="375">
                  <c:v>-59.798881874999999</c:v>
                </c:pt>
                <c:pt idx="376">
                  <c:v>-59.74225387500001</c:v>
                </c:pt>
                <c:pt idx="377">
                  <c:v>-59.61249999999999</c:v>
                </c:pt>
                <c:pt idx="378">
                  <c:v>-59.512499999999996</c:v>
                </c:pt>
                <c:pt idx="379">
                  <c:v>-59.512499999999996</c:v>
                </c:pt>
                <c:pt idx="380">
                  <c:v>-59.449999999999996</c:v>
                </c:pt>
                <c:pt idx="381">
                  <c:v>-59.439369499999991</c:v>
                </c:pt>
                <c:pt idx="382">
                  <c:v>-59.402821499999995</c:v>
                </c:pt>
                <c:pt idx="383">
                  <c:v>-59.398946625000001</c:v>
                </c:pt>
                <c:pt idx="384">
                  <c:v>-59.137499999999996</c:v>
                </c:pt>
                <c:pt idx="385">
                  <c:v>-59.104183999999997</c:v>
                </c:pt>
                <c:pt idx="386">
                  <c:v>-59.093944999999998</c:v>
                </c:pt>
                <c:pt idx="387">
                  <c:v>-59.05641275</c:v>
                </c:pt>
                <c:pt idx="388">
                  <c:v>-59.000780999999996</c:v>
                </c:pt>
                <c:pt idx="389">
                  <c:v>-58.884559250000002</c:v>
                </c:pt>
                <c:pt idx="390">
                  <c:v>-58.824999999999996</c:v>
                </c:pt>
                <c:pt idx="391">
                  <c:v>-58.64961125</c:v>
                </c:pt>
                <c:pt idx="392">
                  <c:v>-58.42499999999999</c:v>
                </c:pt>
                <c:pt idx="393">
                  <c:v>-58.384092500000001</c:v>
                </c:pt>
                <c:pt idx="394">
                  <c:v>-58.375000000000007</c:v>
                </c:pt>
                <c:pt idx="395">
                  <c:v>-58.085190749999988</c:v>
                </c:pt>
                <c:pt idx="396">
                  <c:v>-57.900000000000013</c:v>
                </c:pt>
                <c:pt idx="397">
                  <c:v>-57.789373875000003</c:v>
                </c:pt>
                <c:pt idx="398">
                  <c:v>-57.750929499999991</c:v>
                </c:pt>
                <c:pt idx="399">
                  <c:v>-57.698336999999988</c:v>
                </c:pt>
                <c:pt idx="400">
                  <c:v>-57.605494875000012</c:v>
                </c:pt>
                <c:pt idx="401">
                  <c:v>-57.524999999999999</c:v>
                </c:pt>
                <c:pt idx="402">
                  <c:v>-57.42499999999999</c:v>
                </c:pt>
                <c:pt idx="403">
                  <c:v>-57.312499999999993</c:v>
                </c:pt>
                <c:pt idx="404">
                  <c:v>-57.09048087499999</c:v>
                </c:pt>
                <c:pt idx="405">
                  <c:v>-56.949999999999996</c:v>
                </c:pt>
                <c:pt idx="406">
                  <c:v>-56.943091999999986</c:v>
                </c:pt>
                <c:pt idx="407">
                  <c:v>-56.837499999999999</c:v>
                </c:pt>
                <c:pt idx="408">
                  <c:v>-56.79999999999999</c:v>
                </c:pt>
                <c:pt idx="409">
                  <c:v>-56.79999999999999</c:v>
                </c:pt>
                <c:pt idx="410">
                  <c:v>-56.758666124999998</c:v>
                </c:pt>
                <c:pt idx="411">
                  <c:v>-56.54999999999999</c:v>
                </c:pt>
                <c:pt idx="412">
                  <c:v>-56.400000000000013</c:v>
                </c:pt>
                <c:pt idx="413">
                  <c:v>-56.35</c:v>
                </c:pt>
                <c:pt idx="414">
                  <c:v>-55.95000000000001</c:v>
                </c:pt>
                <c:pt idx="415">
                  <c:v>-55.837499999999999</c:v>
                </c:pt>
                <c:pt idx="416">
                  <c:v>-55.787500000000001</c:v>
                </c:pt>
                <c:pt idx="417">
                  <c:v>-55.749999999999993</c:v>
                </c:pt>
                <c:pt idx="418">
                  <c:v>-55.724462999999993</c:v>
                </c:pt>
                <c:pt idx="419">
                  <c:v>-55.587499999999999</c:v>
                </c:pt>
                <c:pt idx="420">
                  <c:v>-55.556027750000005</c:v>
                </c:pt>
                <c:pt idx="421">
                  <c:v>-55.387499999999996</c:v>
                </c:pt>
                <c:pt idx="422">
                  <c:v>-55.29999999999999</c:v>
                </c:pt>
                <c:pt idx="423">
                  <c:v>-55.037500000000001</c:v>
                </c:pt>
                <c:pt idx="424">
                  <c:v>-55.01250000000001</c:v>
                </c:pt>
                <c:pt idx="425">
                  <c:v>-54.465232125000007</c:v>
                </c:pt>
                <c:pt idx="426">
                  <c:v>-54.32500000000001</c:v>
                </c:pt>
                <c:pt idx="427">
                  <c:v>-54.304196250000011</c:v>
                </c:pt>
                <c:pt idx="428">
                  <c:v>-54.225000000000001</c:v>
                </c:pt>
                <c:pt idx="429">
                  <c:v>-53.962499999999999</c:v>
                </c:pt>
                <c:pt idx="430">
                  <c:v>-53.694579000000012</c:v>
                </c:pt>
                <c:pt idx="431">
                  <c:v>-53.66215549999999</c:v>
                </c:pt>
                <c:pt idx="432">
                  <c:v>-53.612500000000004</c:v>
                </c:pt>
                <c:pt idx="433">
                  <c:v>-53.143600250000013</c:v>
                </c:pt>
                <c:pt idx="434">
                  <c:v>-52.927428000000013</c:v>
                </c:pt>
                <c:pt idx="435">
                  <c:v>-52.687500000000007</c:v>
                </c:pt>
                <c:pt idx="436">
                  <c:v>-52.675000000000004</c:v>
                </c:pt>
                <c:pt idx="437">
                  <c:v>-52.574999999999996</c:v>
                </c:pt>
                <c:pt idx="438">
                  <c:v>-52.550000000000004</c:v>
                </c:pt>
                <c:pt idx="439">
                  <c:v>-52.524999999999999</c:v>
                </c:pt>
                <c:pt idx="440">
                  <c:v>-52.250365750000007</c:v>
                </c:pt>
                <c:pt idx="441">
                  <c:v>-52.223576000000001</c:v>
                </c:pt>
                <c:pt idx="442">
                  <c:v>-51.936438000000003</c:v>
                </c:pt>
                <c:pt idx="443">
                  <c:v>-51.81850475000001</c:v>
                </c:pt>
                <c:pt idx="444">
                  <c:v>-51.664608750000006</c:v>
                </c:pt>
                <c:pt idx="445">
                  <c:v>-51.4437055</c:v>
                </c:pt>
                <c:pt idx="446">
                  <c:v>-51.387499999999996</c:v>
                </c:pt>
                <c:pt idx="447">
                  <c:v>-50.88750000000001</c:v>
                </c:pt>
                <c:pt idx="448">
                  <c:v>-50.554360875000008</c:v>
                </c:pt>
                <c:pt idx="449">
                  <c:v>-49.844715000000001</c:v>
                </c:pt>
                <c:pt idx="450">
                  <c:v>-49.682072250000012</c:v>
                </c:pt>
                <c:pt idx="451">
                  <c:v>-49.537500000000001</c:v>
                </c:pt>
                <c:pt idx="452">
                  <c:v>-49.449999999999996</c:v>
                </c:pt>
                <c:pt idx="453">
                  <c:v>-49.425000000000004</c:v>
                </c:pt>
                <c:pt idx="454">
                  <c:v>-48.714509499999998</c:v>
                </c:pt>
                <c:pt idx="455">
                  <c:v>-48.512499999999996</c:v>
                </c:pt>
                <c:pt idx="456">
                  <c:v>-48.437500000000007</c:v>
                </c:pt>
                <c:pt idx="457">
                  <c:v>-48.262499999999996</c:v>
                </c:pt>
                <c:pt idx="458">
                  <c:v>-48.221211375000003</c:v>
                </c:pt>
                <c:pt idx="459">
                  <c:v>-48.175260999999999</c:v>
                </c:pt>
                <c:pt idx="460">
                  <c:v>-48.085386249999992</c:v>
                </c:pt>
                <c:pt idx="461">
                  <c:v>-47.855180749999995</c:v>
                </c:pt>
                <c:pt idx="462">
                  <c:v>-47.725357874999993</c:v>
                </c:pt>
                <c:pt idx="463">
                  <c:v>-47.660550625000006</c:v>
                </c:pt>
                <c:pt idx="464">
                  <c:v>-47.5397745</c:v>
                </c:pt>
                <c:pt idx="465">
                  <c:v>-47.512499999999996</c:v>
                </c:pt>
                <c:pt idx="466">
                  <c:v>-47.462499999999999</c:v>
                </c:pt>
                <c:pt idx="467">
                  <c:v>-47.449999999999996</c:v>
                </c:pt>
                <c:pt idx="468">
                  <c:v>-47.087499999999999</c:v>
                </c:pt>
                <c:pt idx="469">
                  <c:v>-46.949999999999996</c:v>
                </c:pt>
                <c:pt idx="470">
                  <c:v>-46.871518875</c:v>
                </c:pt>
                <c:pt idx="471">
                  <c:v>-46.65</c:v>
                </c:pt>
                <c:pt idx="472">
                  <c:v>-46.489532250000003</c:v>
                </c:pt>
                <c:pt idx="473">
                  <c:v>-46.375000000000007</c:v>
                </c:pt>
                <c:pt idx="474">
                  <c:v>-45.773006000000002</c:v>
                </c:pt>
                <c:pt idx="475">
                  <c:v>-45.65</c:v>
                </c:pt>
                <c:pt idx="476">
                  <c:v>-45.529474499999999</c:v>
                </c:pt>
                <c:pt idx="477">
                  <c:v>-45.487500000000004</c:v>
                </c:pt>
                <c:pt idx="478">
                  <c:v>-44.92499999999999</c:v>
                </c:pt>
                <c:pt idx="479">
                  <c:v>-44.912500000000001</c:v>
                </c:pt>
                <c:pt idx="480">
                  <c:v>-44.525000000000013</c:v>
                </c:pt>
                <c:pt idx="481">
                  <c:v>-44.525000000000013</c:v>
                </c:pt>
                <c:pt idx="482">
                  <c:v>-44.500000000000007</c:v>
                </c:pt>
                <c:pt idx="483">
                  <c:v>-44.203600999999999</c:v>
                </c:pt>
                <c:pt idx="484">
                  <c:v>-43.886470625000008</c:v>
                </c:pt>
                <c:pt idx="485">
                  <c:v>-43.776128500000006</c:v>
                </c:pt>
                <c:pt idx="486">
                  <c:v>-43.687500000000007</c:v>
                </c:pt>
                <c:pt idx="487">
                  <c:v>-43.63750000000001</c:v>
                </c:pt>
                <c:pt idx="488">
                  <c:v>-43.631587875000001</c:v>
                </c:pt>
                <c:pt idx="489">
                  <c:v>-43.437500000000007</c:v>
                </c:pt>
                <c:pt idx="490">
                  <c:v>-42.925000000000004</c:v>
                </c:pt>
                <c:pt idx="491">
                  <c:v>-42.366652875000007</c:v>
                </c:pt>
                <c:pt idx="492">
                  <c:v>-41.329012499999997</c:v>
                </c:pt>
                <c:pt idx="493">
                  <c:v>-40.842344250000004</c:v>
                </c:pt>
                <c:pt idx="494">
                  <c:v>-40.583539499999993</c:v>
                </c:pt>
                <c:pt idx="495">
                  <c:v>-40.300000000000004</c:v>
                </c:pt>
                <c:pt idx="496">
                  <c:v>-40.250000000000007</c:v>
                </c:pt>
                <c:pt idx="497">
                  <c:v>-40.212499999999999</c:v>
                </c:pt>
                <c:pt idx="498">
                  <c:v>-39.024999999999999</c:v>
                </c:pt>
                <c:pt idx="499">
                  <c:v>-38.863387499999995</c:v>
                </c:pt>
                <c:pt idx="500">
                  <c:v>-38.800000000000004</c:v>
                </c:pt>
                <c:pt idx="501">
                  <c:v>-38.387499999999996</c:v>
                </c:pt>
                <c:pt idx="502">
                  <c:v>-37.712499999999999</c:v>
                </c:pt>
                <c:pt idx="503">
                  <c:v>-37.287500000000001</c:v>
                </c:pt>
                <c:pt idx="504">
                  <c:v>-37.009187500000003</c:v>
                </c:pt>
                <c:pt idx="505">
                  <c:v>-36.550000000000004</c:v>
                </c:pt>
                <c:pt idx="506">
                  <c:v>-36.087676499999993</c:v>
                </c:pt>
                <c:pt idx="507">
                  <c:v>-35.687401000000001</c:v>
                </c:pt>
                <c:pt idx="508">
                  <c:v>-35.448034</c:v>
                </c:pt>
                <c:pt idx="509">
                  <c:v>-35.162500000000001</c:v>
                </c:pt>
                <c:pt idx="510">
                  <c:v>-34.88750000000001</c:v>
                </c:pt>
                <c:pt idx="511">
                  <c:v>-34.874999999999993</c:v>
                </c:pt>
                <c:pt idx="512">
                  <c:v>-34.537500000000001</c:v>
                </c:pt>
                <c:pt idx="513">
                  <c:v>-34.500000000000007</c:v>
                </c:pt>
                <c:pt idx="514">
                  <c:v>-34.061771749999998</c:v>
                </c:pt>
                <c:pt idx="515">
                  <c:v>-33.824999999999996</c:v>
                </c:pt>
                <c:pt idx="516">
                  <c:v>-33.125</c:v>
                </c:pt>
                <c:pt idx="517">
                  <c:v>-32.574970874999998</c:v>
                </c:pt>
                <c:pt idx="518">
                  <c:v>-31.472535999999998</c:v>
                </c:pt>
                <c:pt idx="519">
                  <c:v>-31.15</c:v>
                </c:pt>
                <c:pt idx="520">
                  <c:v>-31.051323750000002</c:v>
                </c:pt>
                <c:pt idx="521">
                  <c:v>-30.912500000000001</c:v>
                </c:pt>
                <c:pt idx="522">
                  <c:v>-30.825000000000003</c:v>
                </c:pt>
                <c:pt idx="523">
                  <c:v>-28.300000000000004</c:v>
                </c:pt>
                <c:pt idx="524">
                  <c:v>-26.769421999999999</c:v>
                </c:pt>
                <c:pt idx="525">
                  <c:v>-25.792159999999999</c:v>
                </c:pt>
                <c:pt idx="526">
                  <c:v>-25.212499999999999</c:v>
                </c:pt>
                <c:pt idx="527">
                  <c:v>-24.550000000000004</c:v>
                </c:pt>
                <c:pt idx="528">
                  <c:v>-23.35</c:v>
                </c:pt>
                <c:pt idx="529">
                  <c:v>-18.947088749999999</c:v>
                </c:pt>
                <c:pt idx="530">
                  <c:v>-17.0625</c:v>
                </c:pt>
                <c:pt idx="531">
                  <c:v>-16.799999999999997</c:v>
                </c:pt>
                <c:pt idx="532">
                  <c:v>-16.174999999999997</c:v>
                </c:pt>
                <c:pt idx="533">
                  <c:v>-15.612500000000004</c:v>
                </c:pt>
                <c:pt idx="534">
                  <c:v>-12.487500000000004</c:v>
                </c:pt>
                <c:pt idx="535">
                  <c:v>-73.763801917500004</c:v>
                </c:pt>
                <c:pt idx="536">
                  <c:v>-70.735145400000007</c:v>
                </c:pt>
                <c:pt idx="537">
                  <c:v>-74.861131280000009</c:v>
                </c:pt>
                <c:pt idx="538">
                  <c:v>-74.443255667499997</c:v>
                </c:pt>
                <c:pt idx="539">
                  <c:v>-74.005879877500007</c:v>
                </c:pt>
                <c:pt idx="540">
                  <c:v>-73.333406425000007</c:v>
                </c:pt>
                <c:pt idx="541">
                  <c:v>-72.533239205000001</c:v>
                </c:pt>
                <c:pt idx="542">
                  <c:v>-72.080425340000005</c:v>
                </c:pt>
                <c:pt idx="543">
                  <c:v>-71.544705969999995</c:v>
                </c:pt>
                <c:pt idx="544">
                  <c:v>-71.003055180000004</c:v>
                </c:pt>
                <c:pt idx="545">
                  <c:v>-69.559342112500005</c:v>
                </c:pt>
                <c:pt idx="546">
                  <c:v>-66.805007320000001</c:v>
                </c:pt>
                <c:pt idx="547">
                  <c:v>-65.138989089999995</c:v>
                </c:pt>
                <c:pt idx="548">
                  <c:v>-65.062998629999996</c:v>
                </c:pt>
                <c:pt idx="549">
                  <c:v>-64.630900014999995</c:v>
                </c:pt>
                <c:pt idx="550">
                  <c:v>-64.455507422500006</c:v>
                </c:pt>
                <c:pt idx="551">
                  <c:v>-62.794700577499995</c:v>
                </c:pt>
                <c:pt idx="552">
                  <c:v>-62.671889459999996</c:v>
                </c:pt>
                <c:pt idx="553">
                  <c:v>-60.978943877500001</c:v>
                </c:pt>
                <c:pt idx="554">
                  <c:v>-60.391046695</c:v>
                </c:pt>
                <c:pt idx="555">
                  <c:v>-57.613010840000001</c:v>
                </c:pt>
                <c:pt idx="556">
                  <c:v>-57.316151095000002</c:v>
                </c:pt>
                <c:pt idx="557">
                  <c:v>-52.556722539999996</c:v>
                </c:pt>
                <c:pt idx="558">
                  <c:v>-51.923955825</c:v>
                </c:pt>
                <c:pt idx="559">
                  <c:v>-51.558553864999993</c:v>
                </c:pt>
                <c:pt idx="560">
                  <c:v>-48.019215265000007</c:v>
                </c:pt>
                <c:pt idx="561">
                  <c:v>-47.279769635000001</c:v>
                </c:pt>
                <c:pt idx="562">
                  <c:v>-44.321822855000001</c:v>
                </c:pt>
                <c:pt idx="563">
                  <c:v>-43.942034815000007</c:v>
                </c:pt>
                <c:pt idx="564">
                  <c:v>-43.676117439999999</c:v>
                </c:pt>
                <c:pt idx="565">
                  <c:v>-42.990986400000004</c:v>
                </c:pt>
                <c:pt idx="566">
                  <c:v>-42.357925995000002</c:v>
                </c:pt>
                <c:pt idx="567">
                  <c:v>-38.068849069999999</c:v>
                </c:pt>
                <c:pt idx="568">
                  <c:v>-37.865720725000003</c:v>
                </c:pt>
                <c:pt idx="569">
                  <c:v>-34.964931049999997</c:v>
                </c:pt>
                <c:pt idx="570">
                  <c:v>-77.120460082499989</c:v>
                </c:pt>
                <c:pt idx="571">
                  <c:v>-76.925954862499992</c:v>
                </c:pt>
                <c:pt idx="572">
                  <c:v>-75.858995787500021</c:v>
                </c:pt>
                <c:pt idx="573">
                  <c:v>-75.293043582500019</c:v>
                </c:pt>
                <c:pt idx="574">
                  <c:v>-74.16830747000003</c:v>
                </c:pt>
                <c:pt idx="575">
                  <c:v>-74.13535113750001</c:v>
                </c:pt>
                <c:pt idx="576">
                  <c:v>-72.759417260000021</c:v>
                </c:pt>
                <c:pt idx="577">
                  <c:v>-72.195769630000001</c:v>
                </c:pt>
                <c:pt idx="578">
                  <c:v>-72.041137880000008</c:v>
                </c:pt>
                <c:pt idx="579">
                  <c:v>-71.622085837500009</c:v>
                </c:pt>
                <c:pt idx="580">
                  <c:v>-71.561463912500017</c:v>
                </c:pt>
                <c:pt idx="581">
                  <c:v>-68.952759632500005</c:v>
                </c:pt>
                <c:pt idx="582">
                  <c:v>-68.091799646249996</c:v>
                </c:pt>
                <c:pt idx="583">
                  <c:v>-67.450121222500002</c:v>
                </c:pt>
                <c:pt idx="584">
                  <c:v>-66.445014847500005</c:v>
                </c:pt>
                <c:pt idx="585">
                  <c:v>-65.945554294999994</c:v>
                </c:pt>
                <c:pt idx="586">
                  <c:v>-65.926998485000013</c:v>
                </c:pt>
                <c:pt idx="587">
                  <c:v>-65.877892154999984</c:v>
                </c:pt>
                <c:pt idx="588">
                  <c:v>-63.995647927499995</c:v>
                </c:pt>
                <c:pt idx="589">
                  <c:v>-63.973999482500012</c:v>
                </c:pt>
                <c:pt idx="590">
                  <c:v>-62.916318312500017</c:v>
                </c:pt>
                <c:pt idx="591">
                  <c:v>-61.191635124999998</c:v>
                </c:pt>
                <c:pt idx="592">
                  <c:v>-61.037542550000005</c:v>
                </c:pt>
                <c:pt idx="593">
                  <c:v>-60.969504579999999</c:v>
                </c:pt>
                <c:pt idx="594">
                  <c:v>-60.96903775000002</c:v>
                </c:pt>
                <c:pt idx="595">
                  <c:v>-60.725186415000003</c:v>
                </c:pt>
                <c:pt idx="596">
                  <c:v>-60.112101215000003</c:v>
                </c:pt>
                <c:pt idx="597">
                  <c:v>-60.015426682499999</c:v>
                </c:pt>
                <c:pt idx="598">
                  <c:v>-59.985828250000004</c:v>
                </c:pt>
                <c:pt idx="599">
                  <c:v>-59.695338960000022</c:v>
                </c:pt>
                <c:pt idx="600">
                  <c:v>-59.660208410000003</c:v>
                </c:pt>
                <c:pt idx="601">
                  <c:v>-58.320662702499995</c:v>
                </c:pt>
                <c:pt idx="602">
                  <c:v>-58.042402220000007</c:v>
                </c:pt>
                <c:pt idx="603">
                  <c:v>-57.694404115000005</c:v>
                </c:pt>
                <c:pt idx="604">
                  <c:v>-57.601195772500013</c:v>
                </c:pt>
                <c:pt idx="605">
                  <c:v>-56.737233582500018</c:v>
                </c:pt>
                <c:pt idx="606">
                  <c:v>-56.098479330000011</c:v>
                </c:pt>
                <c:pt idx="607">
                  <c:v>-54.811928837500012</c:v>
                </c:pt>
                <c:pt idx="608">
                  <c:v>-54.485795302500016</c:v>
                </c:pt>
                <c:pt idx="609">
                  <c:v>-54.417701139999998</c:v>
                </c:pt>
                <c:pt idx="610">
                  <c:v>-54.349719362500004</c:v>
                </c:pt>
                <c:pt idx="611">
                  <c:v>-54.280639897500016</c:v>
                </c:pt>
                <c:pt idx="612">
                  <c:v>-54.179984115000003</c:v>
                </c:pt>
                <c:pt idx="613">
                  <c:v>-54.106947514999995</c:v>
                </c:pt>
                <c:pt idx="614">
                  <c:v>-53.494416960000002</c:v>
                </c:pt>
                <c:pt idx="615">
                  <c:v>-53.457494165000007</c:v>
                </c:pt>
                <c:pt idx="616">
                  <c:v>-53.353890892500011</c:v>
                </c:pt>
                <c:pt idx="617">
                  <c:v>-52.869893515000008</c:v>
                </c:pt>
                <c:pt idx="618">
                  <c:v>-52.295673049999998</c:v>
                </c:pt>
                <c:pt idx="619">
                  <c:v>-51.305451203750003</c:v>
                </c:pt>
                <c:pt idx="620">
                  <c:v>-50.701685199999993</c:v>
                </c:pt>
                <c:pt idx="621">
                  <c:v>-50.470615270000003</c:v>
                </c:pt>
                <c:pt idx="622">
                  <c:v>-49.273822400000007</c:v>
                </c:pt>
                <c:pt idx="623">
                  <c:v>-49.234501072500002</c:v>
                </c:pt>
                <c:pt idx="624">
                  <c:v>-48.968308555</c:v>
                </c:pt>
                <c:pt idx="625">
                  <c:v>-48.851075757500006</c:v>
                </c:pt>
                <c:pt idx="626">
                  <c:v>-48.062546880000006</c:v>
                </c:pt>
                <c:pt idx="627">
                  <c:v>-47.981137938750003</c:v>
                </c:pt>
                <c:pt idx="628">
                  <c:v>-47.949503836249995</c:v>
                </c:pt>
                <c:pt idx="629">
                  <c:v>-47.906489842500001</c:v>
                </c:pt>
                <c:pt idx="630">
                  <c:v>-46.909005855000011</c:v>
                </c:pt>
                <c:pt idx="631">
                  <c:v>-44.834492050000001</c:v>
                </c:pt>
                <c:pt idx="632">
                  <c:v>-44.293538227500001</c:v>
                </c:pt>
                <c:pt idx="633">
                  <c:v>-44.063615352500001</c:v>
                </c:pt>
                <c:pt idx="634">
                  <c:v>-43.930632047500005</c:v>
                </c:pt>
                <c:pt idx="635">
                  <c:v>-43.732703407500004</c:v>
                </c:pt>
                <c:pt idx="636">
                  <c:v>-41.807857985000005</c:v>
                </c:pt>
                <c:pt idx="637">
                  <c:v>-40.666274587500006</c:v>
                </c:pt>
                <c:pt idx="638">
                  <c:v>-39.731826755000007</c:v>
                </c:pt>
                <c:pt idx="639">
                  <c:v>-39.339045274999997</c:v>
                </c:pt>
                <c:pt idx="640">
                  <c:v>-38.592927174999993</c:v>
                </c:pt>
                <c:pt idx="641">
                  <c:v>-37.97757198</c:v>
                </c:pt>
                <c:pt idx="642">
                  <c:v>-36.838744290000001</c:v>
                </c:pt>
                <c:pt idx="643">
                  <c:v>-36.282545692500001</c:v>
                </c:pt>
                <c:pt idx="644">
                  <c:v>-33.335017245000003</c:v>
                </c:pt>
                <c:pt idx="645">
                  <c:v>-32.68426487</c:v>
                </c:pt>
                <c:pt idx="646">
                  <c:v>-32.127526870000004</c:v>
                </c:pt>
                <c:pt idx="647">
                  <c:v>-31.731274650000003</c:v>
                </c:pt>
                <c:pt idx="648">
                  <c:v>-29.938845830000005</c:v>
                </c:pt>
                <c:pt idx="649">
                  <c:v>-29.846169723750002</c:v>
                </c:pt>
                <c:pt idx="650">
                  <c:v>-24.938453615</c:v>
                </c:pt>
                <c:pt idx="651">
                  <c:v>-23.893925585000012</c:v>
                </c:pt>
                <c:pt idx="652">
                  <c:v>-19.939516035000004</c:v>
                </c:pt>
                <c:pt idx="653">
                  <c:v>-19.69162282125</c:v>
                </c:pt>
                <c:pt idx="654">
                  <c:v>-19.395412588749998</c:v>
                </c:pt>
                <c:pt idx="655">
                  <c:v>-15.436639475000007</c:v>
                </c:pt>
                <c:pt idx="656">
                  <c:v>-14.067943396249994</c:v>
                </c:pt>
              </c:numCache>
            </c:numRef>
          </c:xVal>
          <c:yVal>
            <c:numRef>
              <c:f>'dH&amp;dN juv'!$L$2:$L$659</c:f>
              <c:numCache>
                <c:formatCode>General</c:formatCode>
                <c:ptCount val="658"/>
                <c:pt idx="0">
                  <c:v>-1.2541429799999999</c:v>
                </c:pt>
                <c:pt idx="1">
                  <c:v>-0.78862924886818908</c:v>
                </c:pt>
                <c:pt idx="2">
                  <c:v>6.7388229332522256</c:v>
                </c:pt>
                <c:pt idx="3">
                  <c:v>-1.2004385360000001</c:v>
                </c:pt>
                <c:pt idx="4">
                  <c:v>-0.63101091745464055</c:v>
                </c:pt>
                <c:pt idx="5">
                  <c:v>1.2578462762450267</c:v>
                </c:pt>
                <c:pt idx="6">
                  <c:v>-1.1351922241528278</c:v>
                </c:pt>
                <c:pt idx="7">
                  <c:v>1.3105372472643015</c:v>
                </c:pt>
                <c:pt idx="8">
                  <c:v>-1.6715452049999999</c:v>
                </c:pt>
                <c:pt idx="9">
                  <c:v>-5.8946983736034131E-2</c:v>
                </c:pt>
                <c:pt idx="10">
                  <c:v>-1.0430805439999999</c:v>
                </c:pt>
                <c:pt idx="11">
                  <c:v>0.60270095999999995</c:v>
                </c:pt>
                <c:pt idx="12">
                  <c:v>0.26806939995990509</c:v>
                </c:pt>
                <c:pt idx="13">
                  <c:v>-0.16429921586171181</c:v>
                </c:pt>
                <c:pt idx="14">
                  <c:v>2.3573002094732995</c:v>
                </c:pt>
                <c:pt idx="15">
                  <c:v>0.73120513499999995</c:v>
                </c:pt>
                <c:pt idx="16">
                  <c:v>-1.2849384619999999</c:v>
                </c:pt>
                <c:pt idx="17">
                  <c:v>-1.3106764455763671</c:v>
                </c:pt>
                <c:pt idx="18">
                  <c:v>-0.3724813647843539</c:v>
                </c:pt>
                <c:pt idx="19">
                  <c:v>-0.67011379999999998</c:v>
                </c:pt>
                <c:pt idx="20">
                  <c:v>1.5747509275122344</c:v>
                </c:pt>
                <c:pt idx="21">
                  <c:v>2.0857327219999999</c:v>
                </c:pt>
                <c:pt idx="22">
                  <c:v>3.0885518529999998</c:v>
                </c:pt>
                <c:pt idx="23">
                  <c:v>2.6561990980000001</c:v>
                </c:pt>
                <c:pt idx="24">
                  <c:v>1.887067598</c:v>
                </c:pt>
                <c:pt idx="25">
                  <c:v>2.0479478071630148</c:v>
                </c:pt>
                <c:pt idx="26">
                  <c:v>-0.37463331092662133</c:v>
                </c:pt>
                <c:pt idx="27">
                  <c:v>-1.1691658789999999</c:v>
                </c:pt>
                <c:pt idx="28">
                  <c:v>0.39691395899999998</c:v>
                </c:pt>
                <c:pt idx="29">
                  <c:v>2.5328247165417843</c:v>
                </c:pt>
                <c:pt idx="30">
                  <c:v>-1.3365580610000001</c:v>
                </c:pt>
                <c:pt idx="31">
                  <c:v>0.65172609636182832</c:v>
                </c:pt>
                <c:pt idx="32">
                  <c:v>-0.79126873200000003</c:v>
                </c:pt>
                <c:pt idx="33">
                  <c:v>4.303145512077255</c:v>
                </c:pt>
                <c:pt idx="34">
                  <c:v>-0.81615113100000003</c:v>
                </c:pt>
                <c:pt idx="35">
                  <c:v>-1.3236157209999999</c:v>
                </c:pt>
                <c:pt idx="36">
                  <c:v>-0.47035755200000001</c:v>
                </c:pt>
                <c:pt idx="37">
                  <c:v>0.100789875</c:v>
                </c:pt>
                <c:pt idx="38">
                  <c:v>-0.92334619100000004</c:v>
                </c:pt>
                <c:pt idx="39">
                  <c:v>-0.27530228699999998</c:v>
                </c:pt>
                <c:pt idx="40">
                  <c:v>4.1568201020000002</c:v>
                </c:pt>
                <c:pt idx="41">
                  <c:v>1.0884486019999999</c:v>
                </c:pt>
                <c:pt idx="42">
                  <c:v>0.12422535017686376</c:v>
                </c:pt>
                <c:pt idx="43">
                  <c:v>2.0368459365255687</c:v>
                </c:pt>
                <c:pt idx="44">
                  <c:v>-1.413145592</c:v>
                </c:pt>
                <c:pt idx="45">
                  <c:v>0.43389958299999998</c:v>
                </c:pt>
                <c:pt idx="46">
                  <c:v>1.4755743795724348</c:v>
                </c:pt>
                <c:pt idx="47">
                  <c:v>9.886901E-3</c:v>
                </c:pt>
                <c:pt idx="48">
                  <c:v>2.2135804690000001</c:v>
                </c:pt>
                <c:pt idx="49">
                  <c:v>0.6062469160672852</c:v>
                </c:pt>
                <c:pt idx="50">
                  <c:v>-0.76427224599999999</c:v>
                </c:pt>
                <c:pt idx="51">
                  <c:v>4.3163520451468553</c:v>
                </c:pt>
                <c:pt idx="52">
                  <c:v>-1.5456571690000001</c:v>
                </c:pt>
                <c:pt idx="53">
                  <c:v>1.1488561859999999</c:v>
                </c:pt>
                <c:pt idx="54">
                  <c:v>1.3894092580109372</c:v>
                </c:pt>
                <c:pt idx="55">
                  <c:v>3.5803873999999999E-2</c:v>
                </c:pt>
                <c:pt idx="56">
                  <c:v>1.5919531131477958</c:v>
                </c:pt>
                <c:pt idx="57">
                  <c:v>2.7406756114669628</c:v>
                </c:pt>
                <c:pt idx="58">
                  <c:v>-1.1691658789999999</c:v>
                </c:pt>
                <c:pt idx="59">
                  <c:v>0.176476419</c:v>
                </c:pt>
                <c:pt idx="60">
                  <c:v>0.51143717899999996</c:v>
                </c:pt>
                <c:pt idx="61">
                  <c:v>1.854481058</c:v>
                </c:pt>
                <c:pt idx="62">
                  <c:v>2.2954539820000002</c:v>
                </c:pt>
                <c:pt idx="63">
                  <c:v>0.38490365300000001</c:v>
                </c:pt>
                <c:pt idx="64">
                  <c:v>0.33502243999999998</c:v>
                </c:pt>
                <c:pt idx="65">
                  <c:v>1.1908353991891509</c:v>
                </c:pt>
                <c:pt idx="66">
                  <c:v>1.827059424</c:v>
                </c:pt>
                <c:pt idx="67">
                  <c:v>1.4804567340000001</c:v>
                </c:pt>
                <c:pt idx="68">
                  <c:v>1.6787719117740334</c:v>
                </c:pt>
                <c:pt idx="69">
                  <c:v>-1.2479256569999999</c:v>
                </c:pt>
                <c:pt idx="70">
                  <c:v>1.180864336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9-9344-875D-9E94569C2A03}"/>
            </c:ext>
          </c:extLst>
        </c:ser>
        <c:ser>
          <c:idx val="1"/>
          <c:order val="1"/>
          <c:tx>
            <c:strRef>
              <c:f>'dH&amp;dN juv'!$M$1</c:f>
              <c:strCache>
                <c:ptCount val="1"/>
                <c:pt idx="0">
                  <c:v>chasse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'dH&amp;dN juv'!$K$2:$K$659</c:f>
              <c:numCache>
                <c:formatCode>General</c:formatCode>
                <c:ptCount val="658"/>
                <c:pt idx="0">
                  <c:v>-26.812774867499996</c:v>
                </c:pt>
                <c:pt idx="1">
                  <c:v>-74.546977150000018</c:v>
                </c:pt>
                <c:pt idx="2">
                  <c:v>-68.117596187500013</c:v>
                </c:pt>
                <c:pt idx="3">
                  <c:v>-64.296228757500003</c:v>
                </c:pt>
                <c:pt idx="4">
                  <c:v>-62.75497965000001</c:v>
                </c:pt>
                <c:pt idx="5">
                  <c:v>-62.111904437500002</c:v>
                </c:pt>
                <c:pt idx="6">
                  <c:v>-57.434869150000004</c:v>
                </c:pt>
                <c:pt idx="7">
                  <c:v>-55.889569012500019</c:v>
                </c:pt>
                <c:pt idx="8">
                  <c:v>-54.803359665000009</c:v>
                </c:pt>
                <c:pt idx="9">
                  <c:v>-53.400909075000008</c:v>
                </c:pt>
                <c:pt idx="10">
                  <c:v>-53.293540117500001</c:v>
                </c:pt>
                <c:pt idx="11">
                  <c:v>-52.549250000000001</c:v>
                </c:pt>
                <c:pt idx="12">
                  <c:v>-52.327288837500006</c:v>
                </c:pt>
                <c:pt idx="13">
                  <c:v>-50.941043550000003</c:v>
                </c:pt>
                <c:pt idx="14">
                  <c:v>-50.326762750000007</c:v>
                </c:pt>
                <c:pt idx="15">
                  <c:v>-50.113075432499997</c:v>
                </c:pt>
                <c:pt idx="16">
                  <c:v>-49.614500000000007</c:v>
                </c:pt>
                <c:pt idx="17">
                  <c:v>-48.19049157500001</c:v>
                </c:pt>
                <c:pt idx="18">
                  <c:v>-48.163068324999998</c:v>
                </c:pt>
                <c:pt idx="19">
                  <c:v>-47.377653975000001</c:v>
                </c:pt>
                <c:pt idx="20">
                  <c:v>-46.918052775000007</c:v>
                </c:pt>
                <c:pt idx="21">
                  <c:v>-46.851749999999996</c:v>
                </c:pt>
                <c:pt idx="22">
                  <c:v>-46.647500000000001</c:v>
                </c:pt>
                <c:pt idx="23">
                  <c:v>-45.568366087500003</c:v>
                </c:pt>
                <c:pt idx="24">
                  <c:v>-43.110750000000003</c:v>
                </c:pt>
                <c:pt idx="25">
                  <c:v>-42.193026800000005</c:v>
                </c:pt>
                <c:pt idx="26">
                  <c:v>-42.057281712500007</c:v>
                </c:pt>
                <c:pt idx="27">
                  <c:v>-41.400765022499996</c:v>
                </c:pt>
                <c:pt idx="28">
                  <c:v>-41.394625267500004</c:v>
                </c:pt>
                <c:pt idx="29">
                  <c:v>-40.753306175000006</c:v>
                </c:pt>
                <c:pt idx="30">
                  <c:v>-40.431652200000002</c:v>
                </c:pt>
                <c:pt idx="31">
                  <c:v>-40.407773225000007</c:v>
                </c:pt>
                <c:pt idx="32">
                  <c:v>-39.964426132500002</c:v>
                </c:pt>
                <c:pt idx="33">
                  <c:v>-39.815431025000002</c:v>
                </c:pt>
                <c:pt idx="34">
                  <c:v>-39.613659975000004</c:v>
                </c:pt>
                <c:pt idx="35">
                  <c:v>-39.594249990000002</c:v>
                </c:pt>
                <c:pt idx="36">
                  <c:v>-37.934696272500005</c:v>
                </c:pt>
                <c:pt idx="37">
                  <c:v>-36.180865485000005</c:v>
                </c:pt>
                <c:pt idx="38">
                  <c:v>-35.716412272500001</c:v>
                </c:pt>
                <c:pt idx="39">
                  <c:v>-34.894203252499999</c:v>
                </c:pt>
                <c:pt idx="40">
                  <c:v>-34.544881035000003</c:v>
                </c:pt>
                <c:pt idx="41">
                  <c:v>-33.670045282500006</c:v>
                </c:pt>
                <c:pt idx="42">
                  <c:v>-33.202314287500002</c:v>
                </c:pt>
                <c:pt idx="43">
                  <c:v>-32.651106962499995</c:v>
                </c:pt>
                <c:pt idx="44">
                  <c:v>-32.598336824999997</c:v>
                </c:pt>
                <c:pt idx="45">
                  <c:v>-32.411169112499998</c:v>
                </c:pt>
                <c:pt idx="46">
                  <c:v>-32.077961037500003</c:v>
                </c:pt>
                <c:pt idx="47">
                  <c:v>-30.630996202499997</c:v>
                </c:pt>
                <c:pt idx="48">
                  <c:v>-30.554749999999995</c:v>
                </c:pt>
                <c:pt idx="49">
                  <c:v>-30.551857174999999</c:v>
                </c:pt>
                <c:pt idx="50">
                  <c:v>-29.100380242500002</c:v>
                </c:pt>
                <c:pt idx="51">
                  <c:v>-28.900977525000002</c:v>
                </c:pt>
                <c:pt idx="52">
                  <c:v>-28.282388017499997</c:v>
                </c:pt>
                <c:pt idx="53">
                  <c:v>-27.939940425</c:v>
                </c:pt>
                <c:pt idx="54">
                  <c:v>-27.682014062499999</c:v>
                </c:pt>
                <c:pt idx="55">
                  <c:v>-26.927848349999994</c:v>
                </c:pt>
                <c:pt idx="56">
                  <c:v>-25.732220987500003</c:v>
                </c:pt>
                <c:pt idx="57">
                  <c:v>-25.078176474999996</c:v>
                </c:pt>
                <c:pt idx="58">
                  <c:v>-24.049157664999999</c:v>
                </c:pt>
                <c:pt idx="59">
                  <c:v>-74.114874999999984</c:v>
                </c:pt>
                <c:pt idx="60">
                  <c:v>-69.633125000000007</c:v>
                </c:pt>
                <c:pt idx="61">
                  <c:v>-63.888749999999995</c:v>
                </c:pt>
                <c:pt idx="62">
                  <c:v>-62.000500000000009</c:v>
                </c:pt>
                <c:pt idx="63">
                  <c:v>-61.238374999999998</c:v>
                </c:pt>
                <c:pt idx="64">
                  <c:v>-55.562250000000013</c:v>
                </c:pt>
                <c:pt idx="65">
                  <c:v>-52.512242243750002</c:v>
                </c:pt>
                <c:pt idx="66">
                  <c:v>-52.218000000000025</c:v>
                </c:pt>
                <c:pt idx="67">
                  <c:v>-50.932625000000009</c:v>
                </c:pt>
                <c:pt idx="68">
                  <c:v>-38.98277458750001</c:v>
                </c:pt>
                <c:pt idx="69">
                  <c:v>-40.116933157500007</c:v>
                </c:pt>
                <c:pt idx="70">
                  <c:v>-31.044151597500001</c:v>
                </c:pt>
                <c:pt idx="71">
                  <c:v>-74.674144499999997</c:v>
                </c:pt>
                <c:pt idx="72">
                  <c:v>-74.3125</c:v>
                </c:pt>
                <c:pt idx="73">
                  <c:v>-73.840697500000005</c:v>
                </c:pt>
                <c:pt idx="74">
                  <c:v>-73.642634999999999</c:v>
                </c:pt>
                <c:pt idx="75">
                  <c:v>-73.014245750000001</c:v>
                </c:pt>
                <c:pt idx="76">
                  <c:v>-72.028892999999997</c:v>
                </c:pt>
                <c:pt idx="77">
                  <c:v>-71.837500000000006</c:v>
                </c:pt>
                <c:pt idx="78">
                  <c:v>-71.212500000000006</c:v>
                </c:pt>
                <c:pt idx="79">
                  <c:v>-71.129618000000008</c:v>
                </c:pt>
                <c:pt idx="80">
                  <c:v>-70.734265250000007</c:v>
                </c:pt>
                <c:pt idx="81">
                  <c:v>-70.633115000000004</c:v>
                </c:pt>
                <c:pt idx="82">
                  <c:v>-69.975000000000009</c:v>
                </c:pt>
                <c:pt idx="83">
                  <c:v>-68.2</c:v>
                </c:pt>
                <c:pt idx="84">
                  <c:v>-68.0625</c:v>
                </c:pt>
                <c:pt idx="85">
                  <c:v>-66.087500000000006</c:v>
                </c:pt>
                <c:pt idx="86">
                  <c:v>-64.74261525</c:v>
                </c:pt>
                <c:pt idx="87">
                  <c:v>-64.431995499999999</c:v>
                </c:pt>
                <c:pt idx="88">
                  <c:v>-63.505791250000001</c:v>
                </c:pt>
                <c:pt idx="89">
                  <c:v>-63.307039250000003</c:v>
                </c:pt>
                <c:pt idx="90">
                  <c:v>-60.296180249999999</c:v>
                </c:pt>
                <c:pt idx="91">
                  <c:v>-59.880514000000005</c:v>
                </c:pt>
                <c:pt idx="92">
                  <c:v>-59.25</c:v>
                </c:pt>
                <c:pt idx="93">
                  <c:v>-59.113617750000003</c:v>
                </c:pt>
                <c:pt idx="94">
                  <c:v>-58.750000000000007</c:v>
                </c:pt>
                <c:pt idx="95">
                  <c:v>-57.975000000000001</c:v>
                </c:pt>
                <c:pt idx="96">
                  <c:v>-57.487499999999997</c:v>
                </c:pt>
                <c:pt idx="97">
                  <c:v>-55.787500000000001</c:v>
                </c:pt>
                <c:pt idx="98">
                  <c:v>-55.162500000000001</c:v>
                </c:pt>
                <c:pt idx="99">
                  <c:v>-54.712499999999999</c:v>
                </c:pt>
                <c:pt idx="100">
                  <c:v>-53.967247999999998</c:v>
                </c:pt>
                <c:pt idx="101">
                  <c:v>-53.598146249999999</c:v>
                </c:pt>
                <c:pt idx="102">
                  <c:v>-53.437500000000007</c:v>
                </c:pt>
                <c:pt idx="103">
                  <c:v>-51.9375</c:v>
                </c:pt>
                <c:pt idx="104">
                  <c:v>-51.889034500000001</c:v>
                </c:pt>
                <c:pt idx="105">
                  <c:v>-51.858783000000003</c:v>
                </c:pt>
                <c:pt idx="106">
                  <c:v>-51.550561999999999</c:v>
                </c:pt>
                <c:pt idx="107">
                  <c:v>-50.099338000000003</c:v>
                </c:pt>
                <c:pt idx="108">
                  <c:v>-49.760336750000008</c:v>
                </c:pt>
                <c:pt idx="109">
                  <c:v>-39.336625500000004</c:v>
                </c:pt>
                <c:pt idx="110">
                  <c:v>-37.864625000000004</c:v>
                </c:pt>
                <c:pt idx="111">
                  <c:v>-37.17081975</c:v>
                </c:pt>
                <c:pt idx="112">
                  <c:v>-29.85</c:v>
                </c:pt>
                <c:pt idx="113">
                  <c:v>-74.962500000000006</c:v>
                </c:pt>
                <c:pt idx="114">
                  <c:v>-74.950000000000017</c:v>
                </c:pt>
                <c:pt idx="115">
                  <c:v>-74.887499999999989</c:v>
                </c:pt>
                <c:pt idx="116">
                  <c:v>-74.824999999999989</c:v>
                </c:pt>
                <c:pt idx="117">
                  <c:v>-74.810810000000004</c:v>
                </c:pt>
                <c:pt idx="118">
                  <c:v>-74.807071500000006</c:v>
                </c:pt>
                <c:pt idx="119">
                  <c:v>-74.724999999999994</c:v>
                </c:pt>
                <c:pt idx="120">
                  <c:v>-74.552245499999998</c:v>
                </c:pt>
                <c:pt idx="121">
                  <c:v>-74.537499999999994</c:v>
                </c:pt>
                <c:pt idx="122">
                  <c:v>-74.525701125000012</c:v>
                </c:pt>
                <c:pt idx="123">
                  <c:v>-74.476274500000017</c:v>
                </c:pt>
                <c:pt idx="124">
                  <c:v>-74.453568000000018</c:v>
                </c:pt>
                <c:pt idx="125">
                  <c:v>-74.433680624999994</c:v>
                </c:pt>
                <c:pt idx="126">
                  <c:v>-74.322751000000011</c:v>
                </c:pt>
                <c:pt idx="127">
                  <c:v>-74.249639624999986</c:v>
                </c:pt>
                <c:pt idx="128">
                  <c:v>-74.16217850000001</c:v>
                </c:pt>
                <c:pt idx="129">
                  <c:v>-74.0625</c:v>
                </c:pt>
                <c:pt idx="130">
                  <c:v>-74.049999999999983</c:v>
                </c:pt>
                <c:pt idx="131">
                  <c:v>-73.867115499999983</c:v>
                </c:pt>
                <c:pt idx="132">
                  <c:v>-73.787499999999994</c:v>
                </c:pt>
                <c:pt idx="133">
                  <c:v>-73.787499999999994</c:v>
                </c:pt>
                <c:pt idx="134">
                  <c:v>-73.674999999999983</c:v>
                </c:pt>
                <c:pt idx="135">
                  <c:v>-73.650000000000006</c:v>
                </c:pt>
                <c:pt idx="136">
                  <c:v>-73.599999999999994</c:v>
                </c:pt>
                <c:pt idx="137">
                  <c:v>-73.489610874999983</c:v>
                </c:pt>
                <c:pt idx="138">
                  <c:v>-73.433842499999997</c:v>
                </c:pt>
                <c:pt idx="139">
                  <c:v>-73.400000000000006</c:v>
                </c:pt>
                <c:pt idx="140">
                  <c:v>-73.387500000000017</c:v>
                </c:pt>
                <c:pt idx="141">
                  <c:v>-73.375</c:v>
                </c:pt>
                <c:pt idx="142">
                  <c:v>-73.322356124999999</c:v>
                </c:pt>
                <c:pt idx="143">
                  <c:v>-73.199999999999989</c:v>
                </c:pt>
                <c:pt idx="144">
                  <c:v>-73.171938000000011</c:v>
                </c:pt>
                <c:pt idx="145">
                  <c:v>-73.141852999999998</c:v>
                </c:pt>
                <c:pt idx="146">
                  <c:v>-73.099999999999994</c:v>
                </c:pt>
                <c:pt idx="147">
                  <c:v>-73.025000000000006</c:v>
                </c:pt>
                <c:pt idx="148">
                  <c:v>-72.912499999999994</c:v>
                </c:pt>
                <c:pt idx="149">
                  <c:v>-72.837500000000006</c:v>
                </c:pt>
                <c:pt idx="150">
                  <c:v>-72.737499999999983</c:v>
                </c:pt>
                <c:pt idx="151">
                  <c:v>-72.737499999999983</c:v>
                </c:pt>
                <c:pt idx="152">
                  <c:v>-72.724999999999994</c:v>
                </c:pt>
                <c:pt idx="153">
                  <c:v>-72.675000000000011</c:v>
                </c:pt>
                <c:pt idx="154">
                  <c:v>-72.657207</c:v>
                </c:pt>
                <c:pt idx="155">
                  <c:v>-72.559536250000008</c:v>
                </c:pt>
                <c:pt idx="156">
                  <c:v>-72.503019749999993</c:v>
                </c:pt>
                <c:pt idx="157">
                  <c:v>-72.450000000000017</c:v>
                </c:pt>
                <c:pt idx="158">
                  <c:v>-72.332972000000012</c:v>
                </c:pt>
                <c:pt idx="159">
                  <c:v>-72.09965200000002</c:v>
                </c:pt>
                <c:pt idx="160">
                  <c:v>-72.08352124999999</c:v>
                </c:pt>
                <c:pt idx="161">
                  <c:v>-72.074999999999989</c:v>
                </c:pt>
                <c:pt idx="162">
                  <c:v>-71.875</c:v>
                </c:pt>
                <c:pt idx="163">
                  <c:v>-71.850032499999998</c:v>
                </c:pt>
                <c:pt idx="164">
                  <c:v>-71.788962499999997</c:v>
                </c:pt>
                <c:pt idx="165">
                  <c:v>-71.72969362500001</c:v>
                </c:pt>
                <c:pt idx="166">
                  <c:v>-71.675000000000011</c:v>
                </c:pt>
                <c:pt idx="167">
                  <c:v>-71.575000000000017</c:v>
                </c:pt>
                <c:pt idx="168">
                  <c:v>-71.575000000000017</c:v>
                </c:pt>
                <c:pt idx="169">
                  <c:v>-71.548536374999998</c:v>
                </c:pt>
                <c:pt idx="170">
                  <c:v>-71.483715750000016</c:v>
                </c:pt>
                <c:pt idx="171">
                  <c:v>-71.362500000000011</c:v>
                </c:pt>
                <c:pt idx="172">
                  <c:v>-71.256077500000004</c:v>
                </c:pt>
                <c:pt idx="173">
                  <c:v>-71.241277125000011</c:v>
                </c:pt>
                <c:pt idx="174">
                  <c:v>-71.200000000000017</c:v>
                </c:pt>
                <c:pt idx="175">
                  <c:v>-71.108260000000001</c:v>
                </c:pt>
                <c:pt idx="176">
                  <c:v>-70.974999999999994</c:v>
                </c:pt>
                <c:pt idx="177">
                  <c:v>-70.959407374999984</c:v>
                </c:pt>
                <c:pt idx="178">
                  <c:v>-70.9375</c:v>
                </c:pt>
                <c:pt idx="179">
                  <c:v>-70.912499999999994</c:v>
                </c:pt>
                <c:pt idx="180">
                  <c:v>-70.778350500000016</c:v>
                </c:pt>
                <c:pt idx="181">
                  <c:v>-70.675000000000011</c:v>
                </c:pt>
                <c:pt idx="182">
                  <c:v>-70.662499999999994</c:v>
                </c:pt>
                <c:pt idx="183">
                  <c:v>-70.549999999999983</c:v>
                </c:pt>
                <c:pt idx="184">
                  <c:v>-70.537499999999994</c:v>
                </c:pt>
                <c:pt idx="185">
                  <c:v>-70.394822000000005</c:v>
                </c:pt>
                <c:pt idx="186">
                  <c:v>-70.325000000000017</c:v>
                </c:pt>
                <c:pt idx="187">
                  <c:v>-70.301606249999992</c:v>
                </c:pt>
                <c:pt idx="188">
                  <c:v>-70.287499999999994</c:v>
                </c:pt>
                <c:pt idx="189">
                  <c:v>-70.137499999999989</c:v>
                </c:pt>
                <c:pt idx="190">
                  <c:v>-70.074999999999989</c:v>
                </c:pt>
                <c:pt idx="191">
                  <c:v>-70.0625</c:v>
                </c:pt>
                <c:pt idx="192">
                  <c:v>-70.018157000000002</c:v>
                </c:pt>
                <c:pt idx="193">
                  <c:v>-69.924999999999983</c:v>
                </c:pt>
                <c:pt idx="194">
                  <c:v>-69.88751400000001</c:v>
                </c:pt>
                <c:pt idx="195">
                  <c:v>-69.8125</c:v>
                </c:pt>
                <c:pt idx="196">
                  <c:v>-69.625368000000009</c:v>
                </c:pt>
                <c:pt idx="197">
                  <c:v>-69.612499999999983</c:v>
                </c:pt>
                <c:pt idx="198">
                  <c:v>-69.362499999999983</c:v>
                </c:pt>
                <c:pt idx="199">
                  <c:v>-69.351716500000009</c:v>
                </c:pt>
                <c:pt idx="200">
                  <c:v>-69.121266375000005</c:v>
                </c:pt>
                <c:pt idx="201">
                  <c:v>-69.112500000000011</c:v>
                </c:pt>
                <c:pt idx="202">
                  <c:v>-69.0625</c:v>
                </c:pt>
                <c:pt idx="203">
                  <c:v>-69.049999999999983</c:v>
                </c:pt>
                <c:pt idx="204">
                  <c:v>-68.98500525</c:v>
                </c:pt>
                <c:pt idx="205">
                  <c:v>-68.962500000000006</c:v>
                </c:pt>
                <c:pt idx="206">
                  <c:v>-68.950195250000007</c:v>
                </c:pt>
                <c:pt idx="207">
                  <c:v>-68.9375</c:v>
                </c:pt>
                <c:pt idx="208">
                  <c:v>-68.849999999999994</c:v>
                </c:pt>
                <c:pt idx="209">
                  <c:v>-68.737376500000011</c:v>
                </c:pt>
                <c:pt idx="210">
                  <c:v>-68.700000000000017</c:v>
                </c:pt>
                <c:pt idx="211">
                  <c:v>-68.6875</c:v>
                </c:pt>
                <c:pt idx="212">
                  <c:v>-68.683532624999998</c:v>
                </c:pt>
                <c:pt idx="213">
                  <c:v>-68.677090499999991</c:v>
                </c:pt>
                <c:pt idx="214">
                  <c:v>-68.600856499999992</c:v>
                </c:pt>
                <c:pt idx="215">
                  <c:v>-68.599999999999994</c:v>
                </c:pt>
                <c:pt idx="216">
                  <c:v>-68.598360500000013</c:v>
                </c:pt>
                <c:pt idx="217">
                  <c:v>-68.564789499999989</c:v>
                </c:pt>
                <c:pt idx="218">
                  <c:v>-68.549172249999998</c:v>
                </c:pt>
                <c:pt idx="219">
                  <c:v>-68.527477000000005</c:v>
                </c:pt>
                <c:pt idx="220">
                  <c:v>-68.526241249999998</c:v>
                </c:pt>
                <c:pt idx="221">
                  <c:v>-68.512499999999989</c:v>
                </c:pt>
                <c:pt idx="222">
                  <c:v>-68.480662125000009</c:v>
                </c:pt>
                <c:pt idx="223">
                  <c:v>-68.390294624999996</c:v>
                </c:pt>
                <c:pt idx="224">
                  <c:v>-68.375</c:v>
                </c:pt>
                <c:pt idx="225">
                  <c:v>-68.337500000000006</c:v>
                </c:pt>
                <c:pt idx="226">
                  <c:v>-68.287499999999994</c:v>
                </c:pt>
                <c:pt idx="227">
                  <c:v>-68.25</c:v>
                </c:pt>
                <c:pt idx="228">
                  <c:v>-68.25</c:v>
                </c:pt>
                <c:pt idx="229">
                  <c:v>-68.220884000000012</c:v>
                </c:pt>
                <c:pt idx="230">
                  <c:v>-68.112499999999983</c:v>
                </c:pt>
                <c:pt idx="231">
                  <c:v>-68.087500000000006</c:v>
                </c:pt>
                <c:pt idx="232">
                  <c:v>-68.049999999999983</c:v>
                </c:pt>
                <c:pt idx="233">
                  <c:v>-68</c:v>
                </c:pt>
                <c:pt idx="234">
                  <c:v>-67.843597125000002</c:v>
                </c:pt>
                <c:pt idx="235">
                  <c:v>-67.825000000000017</c:v>
                </c:pt>
                <c:pt idx="236">
                  <c:v>-67.812598000000008</c:v>
                </c:pt>
                <c:pt idx="237">
                  <c:v>-67.762500000000017</c:v>
                </c:pt>
                <c:pt idx="238">
                  <c:v>-67.737499999999983</c:v>
                </c:pt>
                <c:pt idx="239">
                  <c:v>-67.724999999999994</c:v>
                </c:pt>
                <c:pt idx="240">
                  <c:v>-67.699999999999989</c:v>
                </c:pt>
                <c:pt idx="241">
                  <c:v>-67.699999999999989</c:v>
                </c:pt>
                <c:pt idx="242">
                  <c:v>-67.699824500000005</c:v>
                </c:pt>
                <c:pt idx="243">
                  <c:v>-67.67537387500002</c:v>
                </c:pt>
                <c:pt idx="244">
                  <c:v>-67.675000000000011</c:v>
                </c:pt>
                <c:pt idx="245">
                  <c:v>-67.612500000000011</c:v>
                </c:pt>
                <c:pt idx="246">
                  <c:v>-67.599999999999994</c:v>
                </c:pt>
                <c:pt idx="247">
                  <c:v>-67.537499999999994</c:v>
                </c:pt>
                <c:pt idx="248">
                  <c:v>-67.512737874999999</c:v>
                </c:pt>
                <c:pt idx="249">
                  <c:v>-67.5</c:v>
                </c:pt>
                <c:pt idx="250">
                  <c:v>-67.5</c:v>
                </c:pt>
                <c:pt idx="251">
                  <c:v>-67.499184874999997</c:v>
                </c:pt>
                <c:pt idx="252">
                  <c:v>-67.324999999999989</c:v>
                </c:pt>
                <c:pt idx="253">
                  <c:v>-67.240154999999987</c:v>
                </c:pt>
                <c:pt idx="254">
                  <c:v>-67.052574749999991</c:v>
                </c:pt>
                <c:pt idx="255">
                  <c:v>-67.008691999999996</c:v>
                </c:pt>
                <c:pt idx="256">
                  <c:v>-66.962500000000006</c:v>
                </c:pt>
                <c:pt idx="257">
                  <c:v>-66.9375</c:v>
                </c:pt>
                <c:pt idx="258">
                  <c:v>-66.862499999999983</c:v>
                </c:pt>
                <c:pt idx="259">
                  <c:v>-66.724999999999994</c:v>
                </c:pt>
                <c:pt idx="260">
                  <c:v>-66.721542874999983</c:v>
                </c:pt>
                <c:pt idx="261">
                  <c:v>-66.604686874999999</c:v>
                </c:pt>
                <c:pt idx="262">
                  <c:v>-66.599999999999994</c:v>
                </c:pt>
                <c:pt idx="263">
                  <c:v>-66.587500000000006</c:v>
                </c:pt>
                <c:pt idx="264">
                  <c:v>-66.587500000000006</c:v>
                </c:pt>
                <c:pt idx="265">
                  <c:v>-66.572779999999995</c:v>
                </c:pt>
                <c:pt idx="266">
                  <c:v>-66.525000000000006</c:v>
                </c:pt>
                <c:pt idx="267">
                  <c:v>-66.518926499999992</c:v>
                </c:pt>
                <c:pt idx="268">
                  <c:v>-66.5</c:v>
                </c:pt>
                <c:pt idx="269">
                  <c:v>-66.316685624999991</c:v>
                </c:pt>
                <c:pt idx="270">
                  <c:v>-66.262500000000017</c:v>
                </c:pt>
                <c:pt idx="271">
                  <c:v>-66.112500000000011</c:v>
                </c:pt>
                <c:pt idx="272">
                  <c:v>-66.037499999999994</c:v>
                </c:pt>
                <c:pt idx="273">
                  <c:v>-66.031501125000005</c:v>
                </c:pt>
                <c:pt idx="274">
                  <c:v>-66.025000000000006</c:v>
                </c:pt>
                <c:pt idx="275">
                  <c:v>-66.011743124999981</c:v>
                </c:pt>
                <c:pt idx="276">
                  <c:v>-65.887500000000017</c:v>
                </c:pt>
                <c:pt idx="277">
                  <c:v>-65.863560124999992</c:v>
                </c:pt>
                <c:pt idx="278">
                  <c:v>-65.8125</c:v>
                </c:pt>
                <c:pt idx="279">
                  <c:v>-65.715642000000003</c:v>
                </c:pt>
                <c:pt idx="280">
                  <c:v>-65.680057000000005</c:v>
                </c:pt>
                <c:pt idx="281">
                  <c:v>-65.662499999999994</c:v>
                </c:pt>
                <c:pt idx="282">
                  <c:v>-65.594988374999986</c:v>
                </c:pt>
                <c:pt idx="283">
                  <c:v>-65.51379799999998</c:v>
                </c:pt>
                <c:pt idx="284">
                  <c:v>-65.438676749999985</c:v>
                </c:pt>
                <c:pt idx="285">
                  <c:v>-65.369669750000014</c:v>
                </c:pt>
                <c:pt idx="286">
                  <c:v>-65.349999999999994</c:v>
                </c:pt>
                <c:pt idx="287">
                  <c:v>-65.342563750000011</c:v>
                </c:pt>
                <c:pt idx="288">
                  <c:v>-65.298778999999996</c:v>
                </c:pt>
                <c:pt idx="289">
                  <c:v>-65.169084999999995</c:v>
                </c:pt>
                <c:pt idx="290">
                  <c:v>-64.962500000000006</c:v>
                </c:pt>
                <c:pt idx="291">
                  <c:v>-64.912499999999994</c:v>
                </c:pt>
                <c:pt idx="292">
                  <c:v>-64.87329112499998</c:v>
                </c:pt>
                <c:pt idx="293">
                  <c:v>-64.801611750000006</c:v>
                </c:pt>
                <c:pt idx="294">
                  <c:v>-64.737500000000011</c:v>
                </c:pt>
                <c:pt idx="295">
                  <c:v>-64.729057124999997</c:v>
                </c:pt>
                <c:pt idx="296">
                  <c:v>-64.712500000000006</c:v>
                </c:pt>
                <c:pt idx="297">
                  <c:v>-64.637500000000017</c:v>
                </c:pt>
                <c:pt idx="298">
                  <c:v>-64.537499999999994</c:v>
                </c:pt>
                <c:pt idx="299">
                  <c:v>-64.51037599999998</c:v>
                </c:pt>
                <c:pt idx="300">
                  <c:v>-64.421638000000002</c:v>
                </c:pt>
                <c:pt idx="301">
                  <c:v>-64.415877375000008</c:v>
                </c:pt>
                <c:pt idx="302">
                  <c:v>-64.325877749999989</c:v>
                </c:pt>
                <c:pt idx="303">
                  <c:v>-64.3125</c:v>
                </c:pt>
                <c:pt idx="304">
                  <c:v>-64.287499999999994</c:v>
                </c:pt>
                <c:pt idx="305">
                  <c:v>-64.275000000000006</c:v>
                </c:pt>
                <c:pt idx="306">
                  <c:v>-64.215970625000011</c:v>
                </c:pt>
                <c:pt idx="307">
                  <c:v>-64.212500000000006</c:v>
                </c:pt>
                <c:pt idx="308">
                  <c:v>-64.083091749999994</c:v>
                </c:pt>
                <c:pt idx="309">
                  <c:v>-63.977099000000003</c:v>
                </c:pt>
                <c:pt idx="310">
                  <c:v>-63.975000000000001</c:v>
                </c:pt>
                <c:pt idx="311">
                  <c:v>-63.949999999999996</c:v>
                </c:pt>
                <c:pt idx="312">
                  <c:v>-63.860204375000002</c:v>
                </c:pt>
                <c:pt idx="313">
                  <c:v>-63.822352124999988</c:v>
                </c:pt>
                <c:pt idx="314">
                  <c:v>-63.774999999999999</c:v>
                </c:pt>
                <c:pt idx="315">
                  <c:v>-63.754396500000006</c:v>
                </c:pt>
                <c:pt idx="316">
                  <c:v>-63.637499999999996</c:v>
                </c:pt>
                <c:pt idx="317">
                  <c:v>-63.587500000000013</c:v>
                </c:pt>
                <c:pt idx="318">
                  <c:v>-63.5590695</c:v>
                </c:pt>
                <c:pt idx="319">
                  <c:v>-63.531274500000002</c:v>
                </c:pt>
                <c:pt idx="320">
                  <c:v>-63.525000000000013</c:v>
                </c:pt>
                <c:pt idx="321">
                  <c:v>-63.487500000000004</c:v>
                </c:pt>
                <c:pt idx="322">
                  <c:v>-63.462499999999999</c:v>
                </c:pt>
                <c:pt idx="323">
                  <c:v>-63.448531999999993</c:v>
                </c:pt>
                <c:pt idx="324">
                  <c:v>-63.381605499999999</c:v>
                </c:pt>
                <c:pt idx="325">
                  <c:v>-63.375000000000007</c:v>
                </c:pt>
                <c:pt idx="326">
                  <c:v>-63.199999999999996</c:v>
                </c:pt>
                <c:pt idx="327">
                  <c:v>-63.169067000000005</c:v>
                </c:pt>
                <c:pt idx="328">
                  <c:v>-63.1</c:v>
                </c:pt>
                <c:pt idx="329">
                  <c:v>-62.975000000000001</c:v>
                </c:pt>
                <c:pt idx="330">
                  <c:v>-62.874999999999993</c:v>
                </c:pt>
                <c:pt idx="331">
                  <c:v>-62.855071000000002</c:v>
                </c:pt>
                <c:pt idx="332">
                  <c:v>-62.813235124999999</c:v>
                </c:pt>
                <c:pt idx="333">
                  <c:v>-62.79999999999999</c:v>
                </c:pt>
                <c:pt idx="334">
                  <c:v>-62.687500000000007</c:v>
                </c:pt>
                <c:pt idx="335">
                  <c:v>-62.612500000000004</c:v>
                </c:pt>
                <c:pt idx="336">
                  <c:v>-62.612500000000004</c:v>
                </c:pt>
                <c:pt idx="337">
                  <c:v>-62.612500000000004</c:v>
                </c:pt>
                <c:pt idx="338">
                  <c:v>-62.6</c:v>
                </c:pt>
                <c:pt idx="339">
                  <c:v>-62.425033000000006</c:v>
                </c:pt>
                <c:pt idx="340">
                  <c:v>-62.341414500000006</c:v>
                </c:pt>
                <c:pt idx="341">
                  <c:v>-62.312499999999993</c:v>
                </c:pt>
                <c:pt idx="342">
                  <c:v>-62.125000000000007</c:v>
                </c:pt>
                <c:pt idx="343">
                  <c:v>-62.11249999999999</c:v>
                </c:pt>
                <c:pt idx="344">
                  <c:v>-61.987500000000004</c:v>
                </c:pt>
                <c:pt idx="345">
                  <c:v>-61.937499999999993</c:v>
                </c:pt>
                <c:pt idx="346">
                  <c:v>-61.930596000000001</c:v>
                </c:pt>
                <c:pt idx="347">
                  <c:v>-61.927207750000001</c:v>
                </c:pt>
                <c:pt idx="348">
                  <c:v>-61.908503250000003</c:v>
                </c:pt>
                <c:pt idx="349">
                  <c:v>-61.9</c:v>
                </c:pt>
                <c:pt idx="350">
                  <c:v>-61.82500000000001</c:v>
                </c:pt>
                <c:pt idx="351">
                  <c:v>-61.7782695</c:v>
                </c:pt>
                <c:pt idx="352">
                  <c:v>-61.699999999999996</c:v>
                </c:pt>
                <c:pt idx="353">
                  <c:v>-61.612747500000005</c:v>
                </c:pt>
                <c:pt idx="354">
                  <c:v>-61.429421499999997</c:v>
                </c:pt>
                <c:pt idx="355">
                  <c:v>-61.380005375000003</c:v>
                </c:pt>
                <c:pt idx="356">
                  <c:v>-61.337500000000013</c:v>
                </c:pt>
                <c:pt idx="357">
                  <c:v>-61.250000000000007</c:v>
                </c:pt>
                <c:pt idx="358">
                  <c:v>-61.193651624999994</c:v>
                </c:pt>
                <c:pt idx="359">
                  <c:v>-61.074999999999996</c:v>
                </c:pt>
                <c:pt idx="360">
                  <c:v>-61.072472249999997</c:v>
                </c:pt>
                <c:pt idx="361">
                  <c:v>-61.050000000000004</c:v>
                </c:pt>
                <c:pt idx="362">
                  <c:v>-61.037500000000001</c:v>
                </c:pt>
                <c:pt idx="363">
                  <c:v>-60.912500000000001</c:v>
                </c:pt>
                <c:pt idx="364">
                  <c:v>-60.85</c:v>
                </c:pt>
                <c:pt idx="365">
                  <c:v>-60.819216500000003</c:v>
                </c:pt>
                <c:pt idx="366">
                  <c:v>-60.752663000000005</c:v>
                </c:pt>
                <c:pt idx="367">
                  <c:v>-60.639672749999995</c:v>
                </c:pt>
                <c:pt idx="368">
                  <c:v>-60.57500000000001</c:v>
                </c:pt>
                <c:pt idx="369">
                  <c:v>-60.337499999999999</c:v>
                </c:pt>
                <c:pt idx="370">
                  <c:v>-60.274999999999999</c:v>
                </c:pt>
                <c:pt idx="371">
                  <c:v>-60.23749999999999</c:v>
                </c:pt>
                <c:pt idx="372">
                  <c:v>-60.212499999999999</c:v>
                </c:pt>
                <c:pt idx="373">
                  <c:v>-60.199999999999996</c:v>
                </c:pt>
                <c:pt idx="374">
                  <c:v>-59.860163500000006</c:v>
                </c:pt>
                <c:pt idx="375">
                  <c:v>-59.798881874999999</c:v>
                </c:pt>
                <c:pt idx="376">
                  <c:v>-59.74225387500001</c:v>
                </c:pt>
                <c:pt idx="377">
                  <c:v>-59.61249999999999</c:v>
                </c:pt>
                <c:pt idx="378">
                  <c:v>-59.512499999999996</c:v>
                </c:pt>
                <c:pt idx="379">
                  <c:v>-59.512499999999996</c:v>
                </c:pt>
                <c:pt idx="380">
                  <c:v>-59.449999999999996</c:v>
                </c:pt>
                <c:pt idx="381">
                  <c:v>-59.439369499999991</c:v>
                </c:pt>
                <c:pt idx="382">
                  <c:v>-59.402821499999995</c:v>
                </c:pt>
                <c:pt idx="383">
                  <c:v>-59.398946625000001</c:v>
                </c:pt>
                <c:pt idx="384">
                  <c:v>-59.137499999999996</c:v>
                </c:pt>
                <c:pt idx="385">
                  <c:v>-59.104183999999997</c:v>
                </c:pt>
                <c:pt idx="386">
                  <c:v>-59.093944999999998</c:v>
                </c:pt>
                <c:pt idx="387">
                  <c:v>-59.05641275</c:v>
                </c:pt>
                <c:pt idx="388">
                  <c:v>-59.000780999999996</c:v>
                </c:pt>
                <c:pt idx="389">
                  <c:v>-58.884559250000002</c:v>
                </c:pt>
                <c:pt idx="390">
                  <c:v>-58.824999999999996</c:v>
                </c:pt>
                <c:pt idx="391">
                  <c:v>-58.64961125</c:v>
                </c:pt>
                <c:pt idx="392">
                  <c:v>-58.42499999999999</c:v>
                </c:pt>
                <c:pt idx="393">
                  <c:v>-58.384092500000001</c:v>
                </c:pt>
                <c:pt idx="394">
                  <c:v>-58.375000000000007</c:v>
                </c:pt>
                <c:pt idx="395">
                  <c:v>-58.085190749999988</c:v>
                </c:pt>
                <c:pt idx="396">
                  <c:v>-57.900000000000013</c:v>
                </c:pt>
                <c:pt idx="397">
                  <c:v>-57.789373875000003</c:v>
                </c:pt>
                <c:pt idx="398">
                  <c:v>-57.750929499999991</c:v>
                </c:pt>
                <c:pt idx="399">
                  <c:v>-57.698336999999988</c:v>
                </c:pt>
                <c:pt idx="400">
                  <c:v>-57.605494875000012</c:v>
                </c:pt>
                <c:pt idx="401">
                  <c:v>-57.524999999999999</c:v>
                </c:pt>
                <c:pt idx="402">
                  <c:v>-57.42499999999999</c:v>
                </c:pt>
                <c:pt idx="403">
                  <c:v>-57.312499999999993</c:v>
                </c:pt>
                <c:pt idx="404">
                  <c:v>-57.09048087499999</c:v>
                </c:pt>
                <c:pt idx="405">
                  <c:v>-56.949999999999996</c:v>
                </c:pt>
                <c:pt idx="406">
                  <c:v>-56.943091999999986</c:v>
                </c:pt>
                <c:pt idx="407">
                  <c:v>-56.837499999999999</c:v>
                </c:pt>
                <c:pt idx="408">
                  <c:v>-56.79999999999999</c:v>
                </c:pt>
                <c:pt idx="409">
                  <c:v>-56.79999999999999</c:v>
                </c:pt>
                <c:pt idx="410">
                  <c:v>-56.758666124999998</c:v>
                </c:pt>
                <c:pt idx="411">
                  <c:v>-56.54999999999999</c:v>
                </c:pt>
                <c:pt idx="412">
                  <c:v>-56.400000000000013</c:v>
                </c:pt>
                <c:pt idx="413">
                  <c:v>-56.35</c:v>
                </c:pt>
                <c:pt idx="414">
                  <c:v>-55.95000000000001</c:v>
                </c:pt>
                <c:pt idx="415">
                  <c:v>-55.837499999999999</c:v>
                </c:pt>
                <c:pt idx="416">
                  <c:v>-55.787500000000001</c:v>
                </c:pt>
                <c:pt idx="417">
                  <c:v>-55.749999999999993</c:v>
                </c:pt>
                <c:pt idx="418">
                  <c:v>-55.724462999999993</c:v>
                </c:pt>
                <c:pt idx="419">
                  <c:v>-55.587499999999999</c:v>
                </c:pt>
                <c:pt idx="420">
                  <c:v>-55.556027750000005</c:v>
                </c:pt>
                <c:pt idx="421">
                  <c:v>-55.387499999999996</c:v>
                </c:pt>
                <c:pt idx="422">
                  <c:v>-55.29999999999999</c:v>
                </c:pt>
                <c:pt idx="423">
                  <c:v>-55.037500000000001</c:v>
                </c:pt>
                <c:pt idx="424">
                  <c:v>-55.01250000000001</c:v>
                </c:pt>
                <c:pt idx="425">
                  <c:v>-54.465232125000007</c:v>
                </c:pt>
                <c:pt idx="426">
                  <c:v>-54.32500000000001</c:v>
                </c:pt>
                <c:pt idx="427">
                  <c:v>-54.304196250000011</c:v>
                </c:pt>
                <c:pt idx="428">
                  <c:v>-54.225000000000001</c:v>
                </c:pt>
                <c:pt idx="429">
                  <c:v>-53.962499999999999</c:v>
                </c:pt>
                <c:pt idx="430">
                  <c:v>-53.694579000000012</c:v>
                </c:pt>
                <c:pt idx="431">
                  <c:v>-53.66215549999999</c:v>
                </c:pt>
                <c:pt idx="432">
                  <c:v>-53.612500000000004</c:v>
                </c:pt>
                <c:pt idx="433">
                  <c:v>-53.143600250000013</c:v>
                </c:pt>
                <c:pt idx="434">
                  <c:v>-52.927428000000013</c:v>
                </c:pt>
                <c:pt idx="435">
                  <c:v>-52.687500000000007</c:v>
                </c:pt>
                <c:pt idx="436">
                  <c:v>-52.675000000000004</c:v>
                </c:pt>
                <c:pt idx="437">
                  <c:v>-52.574999999999996</c:v>
                </c:pt>
                <c:pt idx="438">
                  <c:v>-52.550000000000004</c:v>
                </c:pt>
                <c:pt idx="439">
                  <c:v>-52.524999999999999</c:v>
                </c:pt>
                <c:pt idx="440">
                  <c:v>-52.250365750000007</c:v>
                </c:pt>
                <c:pt idx="441">
                  <c:v>-52.223576000000001</c:v>
                </c:pt>
                <c:pt idx="442">
                  <c:v>-51.936438000000003</c:v>
                </c:pt>
                <c:pt idx="443">
                  <c:v>-51.81850475000001</c:v>
                </c:pt>
                <c:pt idx="444">
                  <c:v>-51.664608750000006</c:v>
                </c:pt>
                <c:pt idx="445">
                  <c:v>-51.4437055</c:v>
                </c:pt>
                <c:pt idx="446">
                  <c:v>-51.387499999999996</c:v>
                </c:pt>
                <c:pt idx="447">
                  <c:v>-50.88750000000001</c:v>
                </c:pt>
                <c:pt idx="448">
                  <c:v>-50.554360875000008</c:v>
                </c:pt>
                <c:pt idx="449">
                  <c:v>-49.844715000000001</c:v>
                </c:pt>
                <c:pt idx="450">
                  <c:v>-49.682072250000012</c:v>
                </c:pt>
                <c:pt idx="451">
                  <c:v>-49.537500000000001</c:v>
                </c:pt>
                <c:pt idx="452">
                  <c:v>-49.449999999999996</c:v>
                </c:pt>
                <c:pt idx="453">
                  <c:v>-49.425000000000004</c:v>
                </c:pt>
                <c:pt idx="454">
                  <c:v>-48.714509499999998</c:v>
                </c:pt>
                <c:pt idx="455">
                  <c:v>-48.512499999999996</c:v>
                </c:pt>
                <c:pt idx="456">
                  <c:v>-48.437500000000007</c:v>
                </c:pt>
                <c:pt idx="457">
                  <c:v>-48.262499999999996</c:v>
                </c:pt>
                <c:pt idx="458">
                  <c:v>-48.221211375000003</c:v>
                </c:pt>
                <c:pt idx="459">
                  <c:v>-48.175260999999999</c:v>
                </c:pt>
                <c:pt idx="460">
                  <c:v>-48.085386249999992</c:v>
                </c:pt>
                <c:pt idx="461">
                  <c:v>-47.855180749999995</c:v>
                </c:pt>
                <c:pt idx="462">
                  <c:v>-47.725357874999993</c:v>
                </c:pt>
                <c:pt idx="463">
                  <c:v>-47.660550625000006</c:v>
                </c:pt>
                <c:pt idx="464">
                  <c:v>-47.5397745</c:v>
                </c:pt>
                <c:pt idx="465">
                  <c:v>-47.512499999999996</c:v>
                </c:pt>
                <c:pt idx="466">
                  <c:v>-47.462499999999999</c:v>
                </c:pt>
                <c:pt idx="467">
                  <c:v>-47.449999999999996</c:v>
                </c:pt>
                <c:pt idx="468">
                  <c:v>-47.087499999999999</c:v>
                </c:pt>
                <c:pt idx="469">
                  <c:v>-46.949999999999996</c:v>
                </c:pt>
                <c:pt idx="470">
                  <c:v>-46.871518875</c:v>
                </c:pt>
                <c:pt idx="471">
                  <c:v>-46.65</c:v>
                </c:pt>
                <c:pt idx="472">
                  <c:v>-46.489532250000003</c:v>
                </c:pt>
                <c:pt idx="473">
                  <c:v>-46.375000000000007</c:v>
                </c:pt>
                <c:pt idx="474">
                  <c:v>-45.773006000000002</c:v>
                </c:pt>
                <c:pt idx="475">
                  <c:v>-45.65</c:v>
                </c:pt>
                <c:pt idx="476">
                  <c:v>-45.529474499999999</c:v>
                </c:pt>
                <c:pt idx="477">
                  <c:v>-45.487500000000004</c:v>
                </c:pt>
                <c:pt idx="478">
                  <c:v>-44.92499999999999</c:v>
                </c:pt>
                <c:pt idx="479">
                  <c:v>-44.912500000000001</c:v>
                </c:pt>
                <c:pt idx="480">
                  <c:v>-44.525000000000013</c:v>
                </c:pt>
                <c:pt idx="481">
                  <c:v>-44.525000000000013</c:v>
                </c:pt>
                <c:pt idx="482">
                  <c:v>-44.500000000000007</c:v>
                </c:pt>
                <c:pt idx="483">
                  <c:v>-44.203600999999999</c:v>
                </c:pt>
                <c:pt idx="484">
                  <c:v>-43.886470625000008</c:v>
                </c:pt>
                <c:pt idx="485">
                  <c:v>-43.776128500000006</c:v>
                </c:pt>
                <c:pt idx="486">
                  <c:v>-43.687500000000007</c:v>
                </c:pt>
                <c:pt idx="487">
                  <c:v>-43.63750000000001</c:v>
                </c:pt>
                <c:pt idx="488">
                  <c:v>-43.631587875000001</c:v>
                </c:pt>
                <c:pt idx="489">
                  <c:v>-43.437500000000007</c:v>
                </c:pt>
                <c:pt idx="490">
                  <c:v>-42.925000000000004</c:v>
                </c:pt>
                <c:pt idx="491">
                  <c:v>-42.366652875000007</c:v>
                </c:pt>
                <c:pt idx="492">
                  <c:v>-41.329012499999997</c:v>
                </c:pt>
                <c:pt idx="493">
                  <c:v>-40.842344250000004</c:v>
                </c:pt>
                <c:pt idx="494">
                  <c:v>-40.583539499999993</c:v>
                </c:pt>
                <c:pt idx="495">
                  <c:v>-40.300000000000004</c:v>
                </c:pt>
                <c:pt idx="496">
                  <c:v>-40.250000000000007</c:v>
                </c:pt>
                <c:pt idx="497">
                  <c:v>-40.212499999999999</c:v>
                </c:pt>
                <c:pt idx="498">
                  <c:v>-39.024999999999999</c:v>
                </c:pt>
                <c:pt idx="499">
                  <c:v>-38.863387499999995</c:v>
                </c:pt>
                <c:pt idx="500">
                  <c:v>-38.800000000000004</c:v>
                </c:pt>
                <c:pt idx="501">
                  <c:v>-38.387499999999996</c:v>
                </c:pt>
                <c:pt idx="502">
                  <c:v>-37.712499999999999</c:v>
                </c:pt>
                <c:pt idx="503">
                  <c:v>-37.287500000000001</c:v>
                </c:pt>
                <c:pt idx="504">
                  <c:v>-37.009187500000003</c:v>
                </c:pt>
                <c:pt idx="505">
                  <c:v>-36.550000000000004</c:v>
                </c:pt>
                <c:pt idx="506">
                  <c:v>-36.087676499999993</c:v>
                </c:pt>
                <c:pt idx="507">
                  <c:v>-35.687401000000001</c:v>
                </c:pt>
                <c:pt idx="508">
                  <c:v>-35.448034</c:v>
                </c:pt>
                <c:pt idx="509">
                  <c:v>-35.162500000000001</c:v>
                </c:pt>
                <c:pt idx="510">
                  <c:v>-34.88750000000001</c:v>
                </c:pt>
                <c:pt idx="511">
                  <c:v>-34.874999999999993</c:v>
                </c:pt>
                <c:pt idx="512">
                  <c:v>-34.537500000000001</c:v>
                </c:pt>
                <c:pt idx="513">
                  <c:v>-34.500000000000007</c:v>
                </c:pt>
                <c:pt idx="514">
                  <c:v>-34.061771749999998</c:v>
                </c:pt>
                <c:pt idx="515">
                  <c:v>-33.824999999999996</c:v>
                </c:pt>
                <c:pt idx="516">
                  <c:v>-33.125</c:v>
                </c:pt>
                <c:pt idx="517">
                  <c:v>-32.574970874999998</c:v>
                </c:pt>
                <c:pt idx="518">
                  <c:v>-31.472535999999998</c:v>
                </c:pt>
                <c:pt idx="519">
                  <c:v>-31.15</c:v>
                </c:pt>
                <c:pt idx="520">
                  <c:v>-31.051323750000002</c:v>
                </c:pt>
                <c:pt idx="521">
                  <c:v>-30.912500000000001</c:v>
                </c:pt>
                <c:pt idx="522">
                  <c:v>-30.825000000000003</c:v>
                </c:pt>
                <c:pt idx="523">
                  <c:v>-28.300000000000004</c:v>
                </c:pt>
                <c:pt idx="524">
                  <c:v>-26.769421999999999</c:v>
                </c:pt>
                <c:pt idx="525">
                  <c:v>-25.792159999999999</c:v>
                </c:pt>
                <c:pt idx="526">
                  <c:v>-25.212499999999999</c:v>
                </c:pt>
                <c:pt idx="527">
                  <c:v>-24.550000000000004</c:v>
                </c:pt>
                <c:pt idx="528">
                  <c:v>-23.35</c:v>
                </c:pt>
                <c:pt idx="529">
                  <c:v>-18.947088749999999</c:v>
                </c:pt>
                <c:pt idx="530">
                  <c:v>-17.0625</c:v>
                </c:pt>
                <c:pt idx="531">
                  <c:v>-16.799999999999997</c:v>
                </c:pt>
                <c:pt idx="532">
                  <c:v>-16.174999999999997</c:v>
                </c:pt>
                <c:pt idx="533">
                  <c:v>-15.612500000000004</c:v>
                </c:pt>
                <c:pt idx="534">
                  <c:v>-12.487500000000004</c:v>
                </c:pt>
                <c:pt idx="535">
                  <c:v>-73.763801917500004</c:v>
                </c:pt>
                <c:pt idx="536">
                  <c:v>-70.735145400000007</c:v>
                </c:pt>
                <c:pt idx="537">
                  <c:v>-74.861131280000009</c:v>
                </c:pt>
                <c:pt idx="538">
                  <c:v>-74.443255667499997</c:v>
                </c:pt>
                <c:pt idx="539">
                  <c:v>-74.005879877500007</c:v>
                </c:pt>
                <c:pt idx="540">
                  <c:v>-73.333406425000007</c:v>
                </c:pt>
                <c:pt idx="541">
                  <c:v>-72.533239205000001</c:v>
                </c:pt>
                <c:pt idx="542">
                  <c:v>-72.080425340000005</c:v>
                </c:pt>
                <c:pt idx="543">
                  <c:v>-71.544705969999995</c:v>
                </c:pt>
                <c:pt idx="544">
                  <c:v>-71.003055180000004</c:v>
                </c:pt>
                <c:pt idx="545">
                  <c:v>-69.559342112500005</c:v>
                </c:pt>
                <c:pt idx="546">
                  <c:v>-66.805007320000001</c:v>
                </c:pt>
                <c:pt idx="547">
                  <c:v>-65.138989089999995</c:v>
                </c:pt>
                <c:pt idx="548">
                  <c:v>-65.062998629999996</c:v>
                </c:pt>
                <c:pt idx="549">
                  <c:v>-64.630900014999995</c:v>
                </c:pt>
                <c:pt idx="550">
                  <c:v>-64.455507422500006</c:v>
                </c:pt>
                <c:pt idx="551">
                  <c:v>-62.794700577499995</c:v>
                </c:pt>
                <c:pt idx="552">
                  <c:v>-62.671889459999996</c:v>
                </c:pt>
                <c:pt idx="553">
                  <c:v>-60.978943877500001</c:v>
                </c:pt>
                <c:pt idx="554">
                  <c:v>-60.391046695</c:v>
                </c:pt>
                <c:pt idx="555">
                  <c:v>-57.613010840000001</c:v>
                </c:pt>
                <c:pt idx="556">
                  <c:v>-57.316151095000002</c:v>
                </c:pt>
                <c:pt idx="557">
                  <c:v>-52.556722539999996</c:v>
                </c:pt>
                <c:pt idx="558">
                  <c:v>-51.923955825</c:v>
                </c:pt>
                <c:pt idx="559">
                  <c:v>-51.558553864999993</c:v>
                </c:pt>
                <c:pt idx="560">
                  <c:v>-48.019215265000007</c:v>
                </c:pt>
                <c:pt idx="561">
                  <c:v>-47.279769635000001</c:v>
                </c:pt>
                <c:pt idx="562">
                  <c:v>-44.321822855000001</c:v>
                </c:pt>
                <c:pt idx="563">
                  <c:v>-43.942034815000007</c:v>
                </c:pt>
                <c:pt idx="564">
                  <c:v>-43.676117439999999</c:v>
                </c:pt>
                <c:pt idx="565">
                  <c:v>-42.990986400000004</c:v>
                </c:pt>
                <c:pt idx="566">
                  <c:v>-42.357925995000002</c:v>
                </c:pt>
                <c:pt idx="567">
                  <c:v>-38.068849069999999</c:v>
                </c:pt>
                <c:pt idx="568">
                  <c:v>-37.865720725000003</c:v>
                </c:pt>
                <c:pt idx="569">
                  <c:v>-34.964931049999997</c:v>
                </c:pt>
                <c:pt idx="570">
                  <c:v>-77.120460082499989</c:v>
                </c:pt>
                <c:pt idx="571">
                  <c:v>-76.925954862499992</c:v>
                </c:pt>
                <c:pt idx="572">
                  <c:v>-75.858995787500021</c:v>
                </c:pt>
                <c:pt idx="573">
                  <c:v>-75.293043582500019</c:v>
                </c:pt>
                <c:pt idx="574">
                  <c:v>-74.16830747000003</c:v>
                </c:pt>
                <c:pt idx="575">
                  <c:v>-74.13535113750001</c:v>
                </c:pt>
                <c:pt idx="576">
                  <c:v>-72.759417260000021</c:v>
                </c:pt>
                <c:pt idx="577">
                  <c:v>-72.195769630000001</c:v>
                </c:pt>
                <c:pt idx="578">
                  <c:v>-72.041137880000008</c:v>
                </c:pt>
                <c:pt idx="579">
                  <c:v>-71.622085837500009</c:v>
                </c:pt>
                <c:pt idx="580">
                  <c:v>-71.561463912500017</c:v>
                </c:pt>
                <c:pt idx="581">
                  <c:v>-68.952759632500005</c:v>
                </c:pt>
                <c:pt idx="582">
                  <c:v>-68.091799646249996</c:v>
                </c:pt>
                <c:pt idx="583">
                  <c:v>-67.450121222500002</c:v>
                </c:pt>
                <c:pt idx="584">
                  <c:v>-66.445014847500005</c:v>
                </c:pt>
                <c:pt idx="585">
                  <c:v>-65.945554294999994</c:v>
                </c:pt>
                <c:pt idx="586">
                  <c:v>-65.926998485000013</c:v>
                </c:pt>
                <c:pt idx="587">
                  <c:v>-65.877892154999984</c:v>
                </c:pt>
                <c:pt idx="588">
                  <c:v>-63.995647927499995</c:v>
                </c:pt>
                <c:pt idx="589">
                  <c:v>-63.973999482500012</c:v>
                </c:pt>
                <c:pt idx="590">
                  <c:v>-62.916318312500017</c:v>
                </c:pt>
                <c:pt idx="591">
                  <c:v>-61.191635124999998</c:v>
                </c:pt>
                <c:pt idx="592">
                  <c:v>-61.037542550000005</c:v>
                </c:pt>
                <c:pt idx="593">
                  <c:v>-60.969504579999999</c:v>
                </c:pt>
                <c:pt idx="594">
                  <c:v>-60.96903775000002</c:v>
                </c:pt>
                <c:pt idx="595">
                  <c:v>-60.725186415000003</c:v>
                </c:pt>
                <c:pt idx="596">
                  <c:v>-60.112101215000003</c:v>
                </c:pt>
                <c:pt idx="597">
                  <c:v>-60.015426682499999</c:v>
                </c:pt>
                <c:pt idx="598">
                  <c:v>-59.985828250000004</c:v>
                </c:pt>
                <c:pt idx="599">
                  <c:v>-59.695338960000022</c:v>
                </c:pt>
                <c:pt idx="600">
                  <c:v>-59.660208410000003</c:v>
                </c:pt>
                <c:pt idx="601">
                  <c:v>-58.320662702499995</c:v>
                </c:pt>
                <c:pt idx="602">
                  <c:v>-58.042402220000007</c:v>
                </c:pt>
                <c:pt idx="603">
                  <c:v>-57.694404115000005</c:v>
                </c:pt>
                <c:pt idx="604">
                  <c:v>-57.601195772500013</c:v>
                </c:pt>
                <c:pt idx="605">
                  <c:v>-56.737233582500018</c:v>
                </c:pt>
                <c:pt idx="606">
                  <c:v>-56.098479330000011</c:v>
                </c:pt>
                <c:pt idx="607">
                  <c:v>-54.811928837500012</c:v>
                </c:pt>
                <c:pt idx="608">
                  <c:v>-54.485795302500016</c:v>
                </c:pt>
                <c:pt idx="609">
                  <c:v>-54.417701139999998</c:v>
                </c:pt>
                <c:pt idx="610">
                  <c:v>-54.349719362500004</c:v>
                </c:pt>
                <c:pt idx="611">
                  <c:v>-54.280639897500016</c:v>
                </c:pt>
                <c:pt idx="612">
                  <c:v>-54.179984115000003</c:v>
                </c:pt>
                <c:pt idx="613">
                  <c:v>-54.106947514999995</c:v>
                </c:pt>
                <c:pt idx="614">
                  <c:v>-53.494416960000002</c:v>
                </c:pt>
                <c:pt idx="615">
                  <c:v>-53.457494165000007</c:v>
                </c:pt>
                <c:pt idx="616">
                  <c:v>-53.353890892500011</c:v>
                </c:pt>
                <c:pt idx="617">
                  <c:v>-52.869893515000008</c:v>
                </c:pt>
                <c:pt idx="618">
                  <c:v>-52.295673049999998</c:v>
                </c:pt>
                <c:pt idx="619">
                  <c:v>-51.305451203750003</c:v>
                </c:pt>
                <c:pt idx="620">
                  <c:v>-50.701685199999993</c:v>
                </c:pt>
                <c:pt idx="621">
                  <c:v>-50.470615270000003</c:v>
                </c:pt>
                <c:pt idx="622">
                  <c:v>-49.273822400000007</c:v>
                </c:pt>
                <c:pt idx="623">
                  <c:v>-49.234501072500002</c:v>
                </c:pt>
                <c:pt idx="624">
                  <c:v>-48.968308555</c:v>
                </c:pt>
                <c:pt idx="625">
                  <c:v>-48.851075757500006</c:v>
                </c:pt>
                <c:pt idx="626">
                  <c:v>-48.062546880000006</c:v>
                </c:pt>
                <c:pt idx="627">
                  <c:v>-47.981137938750003</c:v>
                </c:pt>
                <c:pt idx="628">
                  <c:v>-47.949503836249995</c:v>
                </c:pt>
                <c:pt idx="629">
                  <c:v>-47.906489842500001</c:v>
                </c:pt>
                <c:pt idx="630">
                  <c:v>-46.909005855000011</c:v>
                </c:pt>
                <c:pt idx="631">
                  <c:v>-44.834492050000001</c:v>
                </c:pt>
                <c:pt idx="632">
                  <c:v>-44.293538227500001</c:v>
                </c:pt>
                <c:pt idx="633">
                  <c:v>-44.063615352500001</c:v>
                </c:pt>
                <c:pt idx="634">
                  <c:v>-43.930632047500005</c:v>
                </c:pt>
                <c:pt idx="635">
                  <c:v>-43.732703407500004</c:v>
                </c:pt>
                <c:pt idx="636">
                  <c:v>-41.807857985000005</c:v>
                </c:pt>
                <c:pt idx="637">
                  <c:v>-40.666274587500006</c:v>
                </c:pt>
                <c:pt idx="638">
                  <c:v>-39.731826755000007</c:v>
                </c:pt>
                <c:pt idx="639">
                  <c:v>-39.339045274999997</c:v>
                </c:pt>
                <c:pt idx="640">
                  <c:v>-38.592927174999993</c:v>
                </c:pt>
                <c:pt idx="641">
                  <c:v>-37.97757198</c:v>
                </c:pt>
                <c:pt idx="642">
                  <c:v>-36.838744290000001</c:v>
                </c:pt>
                <c:pt idx="643">
                  <c:v>-36.282545692500001</c:v>
                </c:pt>
                <c:pt idx="644">
                  <c:v>-33.335017245000003</c:v>
                </c:pt>
                <c:pt idx="645">
                  <c:v>-32.68426487</c:v>
                </c:pt>
                <c:pt idx="646">
                  <c:v>-32.127526870000004</c:v>
                </c:pt>
                <c:pt idx="647">
                  <c:v>-31.731274650000003</c:v>
                </c:pt>
                <c:pt idx="648">
                  <c:v>-29.938845830000005</c:v>
                </c:pt>
                <c:pt idx="649">
                  <c:v>-29.846169723750002</c:v>
                </c:pt>
                <c:pt idx="650">
                  <c:v>-24.938453615</c:v>
                </c:pt>
                <c:pt idx="651">
                  <c:v>-23.893925585000012</c:v>
                </c:pt>
                <c:pt idx="652">
                  <c:v>-19.939516035000004</c:v>
                </c:pt>
                <c:pt idx="653">
                  <c:v>-19.69162282125</c:v>
                </c:pt>
                <c:pt idx="654">
                  <c:v>-19.395412588749998</c:v>
                </c:pt>
                <c:pt idx="655">
                  <c:v>-15.436639475000007</c:v>
                </c:pt>
                <c:pt idx="656">
                  <c:v>-14.067943396249994</c:v>
                </c:pt>
              </c:numCache>
            </c:numRef>
          </c:xVal>
          <c:yVal>
            <c:numRef>
              <c:f>'dH&amp;dN juv'!$M$2:$M$659</c:f>
              <c:numCache>
                <c:formatCode>General</c:formatCode>
                <c:ptCount val="658"/>
                <c:pt idx="71">
                  <c:v>6.4441190510000004</c:v>
                </c:pt>
                <c:pt idx="72">
                  <c:v>1.2550141539999999</c:v>
                </c:pt>
                <c:pt idx="73">
                  <c:v>6.6736759040000004</c:v>
                </c:pt>
                <c:pt idx="74">
                  <c:v>6.6841224730000004</c:v>
                </c:pt>
                <c:pt idx="75">
                  <c:v>6.1231649890000002</c:v>
                </c:pt>
                <c:pt idx="76">
                  <c:v>5.7561244809999996</c:v>
                </c:pt>
                <c:pt idx="77">
                  <c:v>6.5449959849999999</c:v>
                </c:pt>
                <c:pt idx="78">
                  <c:v>4.6128611279999996</c:v>
                </c:pt>
                <c:pt idx="79">
                  <c:v>8.7866986669999996</c:v>
                </c:pt>
                <c:pt idx="80">
                  <c:v>9.0988914909999998</c:v>
                </c:pt>
                <c:pt idx="81">
                  <c:v>6.6833936920000001</c:v>
                </c:pt>
                <c:pt idx="82">
                  <c:v>5.6833118059999999</c:v>
                </c:pt>
                <c:pt idx="83">
                  <c:v>4.2251110140000003</c:v>
                </c:pt>
                <c:pt idx="84">
                  <c:v>2.1809722819999999</c:v>
                </c:pt>
                <c:pt idx="85">
                  <c:v>3.9660569749999999</c:v>
                </c:pt>
                <c:pt idx="86">
                  <c:v>4.5723211050000003</c:v>
                </c:pt>
                <c:pt idx="87">
                  <c:v>5.0836579520000003</c:v>
                </c:pt>
                <c:pt idx="88">
                  <c:v>5.8278533020000003</c:v>
                </c:pt>
                <c:pt idx="89">
                  <c:v>2.5178868639999998</c:v>
                </c:pt>
                <c:pt idx="90">
                  <c:v>6.308539991</c:v>
                </c:pt>
                <c:pt idx="91">
                  <c:v>4.7433851579999997</c:v>
                </c:pt>
                <c:pt idx="92">
                  <c:v>3.2257204970000002</c:v>
                </c:pt>
                <c:pt idx="93">
                  <c:v>4.8630116880000003</c:v>
                </c:pt>
                <c:pt idx="94">
                  <c:v>4.6050565990000001</c:v>
                </c:pt>
                <c:pt idx="95">
                  <c:v>6.554213861</c:v>
                </c:pt>
                <c:pt idx="96">
                  <c:v>5.6515635069999997</c:v>
                </c:pt>
                <c:pt idx="97">
                  <c:v>5.9248277380000003</c:v>
                </c:pt>
                <c:pt idx="98">
                  <c:v>3.4035780510000002</c:v>
                </c:pt>
                <c:pt idx="99">
                  <c:v>4.4643169909999996</c:v>
                </c:pt>
                <c:pt idx="100">
                  <c:v>6.2372421649999996</c:v>
                </c:pt>
                <c:pt idx="101">
                  <c:v>4.143578626</c:v>
                </c:pt>
                <c:pt idx="102">
                  <c:v>4.6951264610000001</c:v>
                </c:pt>
                <c:pt idx="103">
                  <c:v>3.3433716809999998</c:v>
                </c:pt>
                <c:pt idx="104">
                  <c:v>4.3369842680000001</c:v>
                </c:pt>
                <c:pt idx="105">
                  <c:v>1.0860827200000001</c:v>
                </c:pt>
                <c:pt idx="106">
                  <c:v>3.0585517100000001</c:v>
                </c:pt>
                <c:pt idx="107">
                  <c:v>6.7541484350000003</c:v>
                </c:pt>
                <c:pt idx="108">
                  <c:v>9.3910979920000006</c:v>
                </c:pt>
                <c:pt idx="109">
                  <c:v>2.1530488000000001</c:v>
                </c:pt>
                <c:pt idx="110">
                  <c:v>4.74909654</c:v>
                </c:pt>
                <c:pt idx="111">
                  <c:v>2.5285279159999998</c:v>
                </c:pt>
                <c:pt idx="112">
                  <c:v>4.448716224</c:v>
                </c:pt>
                <c:pt idx="113">
                  <c:v>6.1575288090000004</c:v>
                </c:pt>
                <c:pt idx="114">
                  <c:v>3.8466605340000002</c:v>
                </c:pt>
                <c:pt idx="115">
                  <c:v>4.2834954779999999</c:v>
                </c:pt>
                <c:pt idx="116">
                  <c:v>5.4492899039999996</c:v>
                </c:pt>
                <c:pt idx="117">
                  <c:v>6.86</c:v>
                </c:pt>
                <c:pt idx="118">
                  <c:v>8.24</c:v>
                </c:pt>
                <c:pt idx="119">
                  <c:v>8.4124316369999992</c:v>
                </c:pt>
                <c:pt idx="120">
                  <c:v>3.58</c:v>
                </c:pt>
                <c:pt idx="121">
                  <c:v>3.8710326269999999</c:v>
                </c:pt>
                <c:pt idx="122">
                  <c:v>7.92</c:v>
                </c:pt>
                <c:pt idx="123">
                  <c:v>5.7324705959999998</c:v>
                </c:pt>
                <c:pt idx="124">
                  <c:v>7.11</c:v>
                </c:pt>
                <c:pt idx="125">
                  <c:v>7.66</c:v>
                </c:pt>
                <c:pt idx="126">
                  <c:v>10.26</c:v>
                </c:pt>
                <c:pt idx="127">
                  <c:v>6.79</c:v>
                </c:pt>
                <c:pt idx="128">
                  <c:v>5.15</c:v>
                </c:pt>
                <c:pt idx="129">
                  <c:v>2.0945182710000001</c:v>
                </c:pt>
                <c:pt idx="130">
                  <c:v>6.5984804869999998</c:v>
                </c:pt>
                <c:pt idx="131">
                  <c:v>4.4800000000000004</c:v>
                </c:pt>
                <c:pt idx="132">
                  <c:v>6.4983951089999996</c:v>
                </c:pt>
                <c:pt idx="133">
                  <c:v>4.8986809850000004</c:v>
                </c:pt>
                <c:pt idx="134">
                  <c:v>5.9053070239999998</c:v>
                </c:pt>
                <c:pt idx="135">
                  <c:v>3.9089561320000001</c:v>
                </c:pt>
                <c:pt idx="136">
                  <c:v>4.1124055869999996</c:v>
                </c:pt>
                <c:pt idx="137">
                  <c:v>6.44</c:v>
                </c:pt>
                <c:pt idx="138">
                  <c:v>4.6100000000000003</c:v>
                </c:pt>
                <c:pt idx="139">
                  <c:v>7.2520396729999996</c:v>
                </c:pt>
                <c:pt idx="140">
                  <c:v>5.7103306700000003</c:v>
                </c:pt>
                <c:pt idx="141">
                  <c:v>3.4225468210000001</c:v>
                </c:pt>
                <c:pt idx="142">
                  <c:v>6.97</c:v>
                </c:pt>
                <c:pt idx="143">
                  <c:v>3.7908441449999999</c:v>
                </c:pt>
                <c:pt idx="144">
                  <c:v>7.66</c:v>
                </c:pt>
                <c:pt idx="145">
                  <c:v>4.4400000000000004</c:v>
                </c:pt>
                <c:pt idx="146">
                  <c:v>5.3107569200000002</c:v>
                </c:pt>
                <c:pt idx="147">
                  <c:v>6.1105903169999998</c:v>
                </c:pt>
                <c:pt idx="148">
                  <c:v>6.7305649059999997</c:v>
                </c:pt>
                <c:pt idx="149">
                  <c:v>5.9908380079999999</c:v>
                </c:pt>
                <c:pt idx="150">
                  <c:v>4.28199752</c:v>
                </c:pt>
                <c:pt idx="151">
                  <c:v>4.4308366399999999</c:v>
                </c:pt>
                <c:pt idx="152">
                  <c:v>5.588437206</c:v>
                </c:pt>
                <c:pt idx="153">
                  <c:v>4.2139024129999996</c:v>
                </c:pt>
                <c:pt idx="154">
                  <c:v>7.27</c:v>
                </c:pt>
                <c:pt idx="155">
                  <c:v>7.97</c:v>
                </c:pt>
                <c:pt idx="156">
                  <c:v>6.65</c:v>
                </c:pt>
                <c:pt idx="157">
                  <c:v>4.0277481269999997</c:v>
                </c:pt>
                <c:pt idx="158">
                  <c:v>5.93</c:v>
                </c:pt>
                <c:pt idx="159">
                  <c:v>5.6464658249999999</c:v>
                </c:pt>
                <c:pt idx="160">
                  <c:v>6.5498429930000004</c:v>
                </c:pt>
                <c:pt idx="161">
                  <c:v>7.2794638330000003</c:v>
                </c:pt>
                <c:pt idx="162">
                  <c:v>7.3975176219999996</c:v>
                </c:pt>
                <c:pt idx="163">
                  <c:v>4.33</c:v>
                </c:pt>
                <c:pt idx="164">
                  <c:v>5.5284481730000001</c:v>
                </c:pt>
                <c:pt idx="165">
                  <c:v>9</c:v>
                </c:pt>
                <c:pt idx="166">
                  <c:v>4.8752136559999997</c:v>
                </c:pt>
                <c:pt idx="167">
                  <c:v>4.8121593779999996</c:v>
                </c:pt>
                <c:pt idx="168">
                  <c:v>4.6291487790000003</c:v>
                </c:pt>
                <c:pt idx="169">
                  <c:v>8.4768643539999999</c:v>
                </c:pt>
                <c:pt idx="170">
                  <c:v>7.79</c:v>
                </c:pt>
                <c:pt idx="171">
                  <c:v>4.2572328800000001</c:v>
                </c:pt>
                <c:pt idx="172">
                  <c:v>4.51</c:v>
                </c:pt>
                <c:pt idx="173">
                  <c:v>3.93</c:v>
                </c:pt>
                <c:pt idx="174">
                  <c:v>8.8315914969999998</c:v>
                </c:pt>
                <c:pt idx="175">
                  <c:v>6.2458319260000001</c:v>
                </c:pt>
                <c:pt idx="176">
                  <c:v>7.7614681299999999</c:v>
                </c:pt>
                <c:pt idx="177">
                  <c:v>5.39</c:v>
                </c:pt>
                <c:pt idx="178">
                  <c:v>7.6255582730000002</c:v>
                </c:pt>
                <c:pt idx="179">
                  <c:v>4.8755664679999997</c:v>
                </c:pt>
                <c:pt idx="180">
                  <c:v>7.36</c:v>
                </c:pt>
                <c:pt idx="181">
                  <c:v>5.1336446750000002</c:v>
                </c:pt>
                <c:pt idx="182">
                  <c:v>6.156201727</c:v>
                </c:pt>
                <c:pt idx="183">
                  <c:v>7.6439117999999997</c:v>
                </c:pt>
                <c:pt idx="184">
                  <c:v>2.872987578</c:v>
                </c:pt>
                <c:pt idx="185">
                  <c:v>6.6764693030000002</c:v>
                </c:pt>
                <c:pt idx="186">
                  <c:v>0</c:v>
                </c:pt>
                <c:pt idx="187">
                  <c:v>6.76</c:v>
                </c:pt>
                <c:pt idx="188">
                  <c:v>3.9245630650000001</c:v>
                </c:pt>
                <c:pt idx="189">
                  <c:v>5.5383834839999997</c:v>
                </c:pt>
                <c:pt idx="190">
                  <c:v>8.0738753039999995</c:v>
                </c:pt>
                <c:pt idx="191">
                  <c:v>4.3856015810000004</c:v>
                </c:pt>
                <c:pt idx="192">
                  <c:v>5.4933990130000003</c:v>
                </c:pt>
                <c:pt idx="193">
                  <c:v>5.0935032119999999</c:v>
                </c:pt>
                <c:pt idx="194">
                  <c:v>8.07</c:v>
                </c:pt>
                <c:pt idx="195">
                  <c:v>4.1153342579999999</c:v>
                </c:pt>
                <c:pt idx="196">
                  <c:v>7.5331980180000002</c:v>
                </c:pt>
                <c:pt idx="197">
                  <c:v>0</c:v>
                </c:pt>
                <c:pt idx="198">
                  <c:v>2.317942435</c:v>
                </c:pt>
                <c:pt idx="199">
                  <c:v>4.8099999999999996</c:v>
                </c:pt>
                <c:pt idx="200">
                  <c:v>5.03</c:v>
                </c:pt>
                <c:pt idx="201">
                  <c:v>4.230405448</c:v>
                </c:pt>
                <c:pt idx="202">
                  <c:v>8.8438989180000007</c:v>
                </c:pt>
                <c:pt idx="203">
                  <c:v>6.1469806570000003</c:v>
                </c:pt>
                <c:pt idx="204">
                  <c:v>5.24</c:v>
                </c:pt>
                <c:pt idx="205">
                  <c:v>5.1349042999999996</c:v>
                </c:pt>
                <c:pt idx="206">
                  <c:v>1.55</c:v>
                </c:pt>
                <c:pt idx="207">
                  <c:v>4.8688173519999998</c:v>
                </c:pt>
                <c:pt idx="208">
                  <c:v>3.9994609560000001</c:v>
                </c:pt>
                <c:pt idx="209">
                  <c:v>5.38</c:v>
                </c:pt>
                <c:pt idx="210">
                  <c:v>5.6361808890000002</c:v>
                </c:pt>
                <c:pt idx="211">
                  <c:v>7.7058101160000003</c:v>
                </c:pt>
                <c:pt idx="212">
                  <c:v>4.4628602700000002</c:v>
                </c:pt>
                <c:pt idx="213">
                  <c:v>6.07</c:v>
                </c:pt>
                <c:pt idx="214">
                  <c:v>6.24</c:v>
                </c:pt>
                <c:pt idx="215">
                  <c:v>4.379715461</c:v>
                </c:pt>
                <c:pt idx="216">
                  <c:v>4.1500000000000004</c:v>
                </c:pt>
                <c:pt idx="217">
                  <c:v>2.09</c:v>
                </c:pt>
                <c:pt idx="218">
                  <c:v>4.24</c:v>
                </c:pt>
                <c:pt idx="219">
                  <c:v>7.12</c:v>
                </c:pt>
                <c:pt idx="220">
                  <c:v>4</c:v>
                </c:pt>
                <c:pt idx="221">
                  <c:v>5.8259069879999998</c:v>
                </c:pt>
                <c:pt idx="222">
                  <c:v>5.61</c:v>
                </c:pt>
                <c:pt idx="223">
                  <c:v>14.86</c:v>
                </c:pt>
                <c:pt idx="224">
                  <c:v>4.1164420819999998</c:v>
                </c:pt>
                <c:pt idx="225">
                  <c:v>5.617299848</c:v>
                </c:pt>
                <c:pt idx="226">
                  <c:v>4.8131399889999997</c:v>
                </c:pt>
                <c:pt idx="227">
                  <c:v>3.6856636429999998</c:v>
                </c:pt>
                <c:pt idx="228">
                  <c:v>6.3993178049999999</c:v>
                </c:pt>
                <c:pt idx="229">
                  <c:v>7.1919720040000001</c:v>
                </c:pt>
                <c:pt idx="230">
                  <c:v>5.0772408249999996</c:v>
                </c:pt>
                <c:pt idx="231">
                  <c:v>4.6084822760000002</c:v>
                </c:pt>
                <c:pt idx="232">
                  <c:v>9.4546056459999992</c:v>
                </c:pt>
                <c:pt idx="233">
                  <c:v>4.6594792079999996</c:v>
                </c:pt>
                <c:pt idx="234">
                  <c:v>7.26</c:v>
                </c:pt>
                <c:pt idx="235">
                  <c:v>5.7384713749999996</c:v>
                </c:pt>
                <c:pt idx="236">
                  <c:v>6.07</c:v>
                </c:pt>
                <c:pt idx="237">
                  <c:v>8.3990171500000006</c:v>
                </c:pt>
                <c:pt idx="238">
                  <c:v>5.8449120849999998</c:v>
                </c:pt>
                <c:pt idx="239">
                  <c:v>5.2781259159999996</c:v>
                </c:pt>
                <c:pt idx="240">
                  <c:v>4.7065184760000003</c:v>
                </c:pt>
                <c:pt idx="241">
                  <c:v>7.9569574410000001</c:v>
                </c:pt>
                <c:pt idx="242">
                  <c:v>8.16</c:v>
                </c:pt>
                <c:pt idx="243">
                  <c:v>1.76</c:v>
                </c:pt>
                <c:pt idx="244">
                  <c:v>6.1629435580000003</c:v>
                </c:pt>
                <c:pt idx="245">
                  <c:v>4.7865454959999996</c:v>
                </c:pt>
                <c:pt idx="246">
                  <c:v>7.542489711</c:v>
                </c:pt>
                <c:pt idx="247">
                  <c:v>6.0682074530000003</c:v>
                </c:pt>
                <c:pt idx="248">
                  <c:v>4.13</c:v>
                </c:pt>
                <c:pt idx="249">
                  <c:v>5.6042188250000002</c:v>
                </c:pt>
                <c:pt idx="250">
                  <c:v>7.2568986689999999</c:v>
                </c:pt>
                <c:pt idx="251">
                  <c:v>6.94</c:v>
                </c:pt>
                <c:pt idx="252">
                  <c:v>5.3918595820000004</c:v>
                </c:pt>
                <c:pt idx="253">
                  <c:v>3.86</c:v>
                </c:pt>
                <c:pt idx="254">
                  <c:v>8.01</c:v>
                </c:pt>
                <c:pt idx="255">
                  <c:v>7.09</c:v>
                </c:pt>
                <c:pt idx="256">
                  <c:v>7.5658294890000004</c:v>
                </c:pt>
                <c:pt idx="257">
                  <c:v>8.259712232</c:v>
                </c:pt>
                <c:pt idx="258">
                  <c:v>5.9527155970000001</c:v>
                </c:pt>
                <c:pt idx="259">
                  <c:v>5.3046593949999998</c:v>
                </c:pt>
                <c:pt idx="260">
                  <c:v>5.53</c:v>
                </c:pt>
                <c:pt idx="261">
                  <c:v>9.58</c:v>
                </c:pt>
                <c:pt idx="262">
                  <c:v>3.3966480020000001</c:v>
                </c:pt>
                <c:pt idx="263">
                  <c:v>4.4258503400000002</c:v>
                </c:pt>
                <c:pt idx="264">
                  <c:v>6.7400721319999999</c:v>
                </c:pt>
                <c:pt idx="265">
                  <c:v>6.3994302440000004</c:v>
                </c:pt>
                <c:pt idx="266">
                  <c:v>4.2071453480000001</c:v>
                </c:pt>
                <c:pt idx="267">
                  <c:v>1.59</c:v>
                </c:pt>
                <c:pt idx="268">
                  <c:v>4.8850943579999999</c:v>
                </c:pt>
                <c:pt idx="269">
                  <c:v>4.1900000000000004</c:v>
                </c:pt>
                <c:pt idx="270">
                  <c:v>4.3176607819999999</c:v>
                </c:pt>
                <c:pt idx="271">
                  <c:v>8.5253865520000005</c:v>
                </c:pt>
                <c:pt idx="272">
                  <c:v>5.2344030349999997</c:v>
                </c:pt>
                <c:pt idx="273">
                  <c:v>5.1100000000000003</c:v>
                </c:pt>
                <c:pt idx="274">
                  <c:v>8.5218273240000002</c:v>
                </c:pt>
                <c:pt idx="275">
                  <c:v>7.97</c:v>
                </c:pt>
                <c:pt idx="276">
                  <c:v>5.0833498390000003</c:v>
                </c:pt>
                <c:pt idx="277">
                  <c:v>7.676698902</c:v>
                </c:pt>
                <c:pt idx="278">
                  <c:v>7.0992954099999999</c:v>
                </c:pt>
                <c:pt idx="279">
                  <c:v>6.2033232380000003</c:v>
                </c:pt>
                <c:pt idx="280">
                  <c:v>6.4244729820000002</c:v>
                </c:pt>
                <c:pt idx="281">
                  <c:v>1.9093675530000001</c:v>
                </c:pt>
                <c:pt idx="282">
                  <c:v>5.81</c:v>
                </c:pt>
                <c:pt idx="283">
                  <c:v>6.15</c:v>
                </c:pt>
                <c:pt idx="284">
                  <c:v>2.89</c:v>
                </c:pt>
                <c:pt idx="285">
                  <c:v>6.47</c:v>
                </c:pt>
                <c:pt idx="286">
                  <c:v>3.948775355</c:v>
                </c:pt>
                <c:pt idx="287">
                  <c:v>6.3</c:v>
                </c:pt>
                <c:pt idx="288">
                  <c:v>4.79</c:v>
                </c:pt>
                <c:pt idx="289">
                  <c:v>5.97</c:v>
                </c:pt>
                <c:pt idx="290">
                  <c:v>5.7458810219999998</c:v>
                </c:pt>
                <c:pt idx="291">
                  <c:v>3.7377188330000002</c:v>
                </c:pt>
                <c:pt idx="292">
                  <c:v>6.96</c:v>
                </c:pt>
                <c:pt idx="293">
                  <c:v>6.04</c:v>
                </c:pt>
                <c:pt idx="294">
                  <c:v>5.548889258</c:v>
                </c:pt>
                <c:pt idx="295">
                  <c:v>5.58</c:v>
                </c:pt>
                <c:pt idx="296">
                  <c:v>4.1034937109999996</c:v>
                </c:pt>
                <c:pt idx="297">
                  <c:v>5.7660586900000004</c:v>
                </c:pt>
                <c:pt idx="298">
                  <c:v>4.515502991</c:v>
                </c:pt>
                <c:pt idx="299">
                  <c:v>6.03</c:v>
                </c:pt>
                <c:pt idx="300">
                  <c:v>7.18</c:v>
                </c:pt>
                <c:pt idx="301">
                  <c:v>6.12</c:v>
                </c:pt>
                <c:pt idx="302">
                  <c:v>3.9188431449999999</c:v>
                </c:pt>
                <c:pt idx="303">
                  <c:v>5.3700300009999999</c:v>
                </c:pt>
                <c:pt idx="304">
                  <c:v>5.1445727290000001</c:v>
                </c:pt>
                <c:pt idx="305">
                  <c:v>2.922561001</c:v>
                </c:pt>
                <c:pt idx="306">
                  <c:v>2.35</c:v>
                </c:pt>
                <c:pt idx="307">
                  <c:v>6.0193783420000004</c:v>
                </c:pt>
                <c:pt idx="308">
                  <c:v>8.2072744239999995</c:v>
                </c:pt>
                <c:pt idx="309">
                  <c:v>3.54</c:v>
                </c:pt>
                <c:pt idx="310">
                  <c:v>6.5283767529999999</c:v>
                </c:pt>
                <c:pt idx="311">
                  <c:v>7.4653630150000003</c:v>
                </c:pt>
                <c:pt idx="312">
                  <c:v>5.83</c:v>
                </c:pt>
                <c:pt idx="313">
                  <c:v>7.7719955619999999</c:v>
                </c:pt>
                <c:pt idx="314">
                  <c:v>7.8015503500000003</c:v>
                </c:pt>
                <c:pt idx="315">
                  <c:v>5.15</c:v>
                </c:pt>
                <c:pt idx="316">
                  <c:v>4.0708941650000003</c:v>
                </c:pt>
                <c:pt idx="317">
                  <c:v>2.8765267209999998</c:v>
                </c:pt>
                <c:pt idx="318">
                  <c:v>3.7097121980000001</c:v>
                </c:pt>
                <c:pt idx="319">
                  <c:v>5.7858879239999998</c:v>
                </c:pt>
                <c:pt idx="320">
                  <c:v>6.1037358299999998</c:v>
                </c:pt>
                <c:pt idx="321">
                  <c:v>3.7441635230000001</c:v>
                </c:pt>
                <c:pt idx="322">
                  <c:v>5.0462848190000003</c:v>
                </c:pt>
                <c:pt idx="323">
                  <c:v>6.94</c:v>
                </c:pt>
                <c:pt idx="324">
                  <c:v>5.1604925460000004</c:v>
                </c:pt>
                <c:pt idx="325">
                  <c:v>6.846395223</c:v>
                </c:pt>
                <c:pt idx="326">
                  <c:v>6.4519132680000002</c:v>
                </c:pt>
                <c:pt idx="327">
                  <c:v>3.83</c:v>
                </c:pt>
                <c:pt idx="328">
                  <c:v>7.2879859309999997</c:v>
                </c:pt>
                <c:pt idx="329">
                  <c:v>0</c:v>
                </c:pt>
                <c:pt idx="330">
                  <c:v>6.0350240069999996</c:v>
                </c:pt>
                <c:pt idx="331">
                  <c:v>4.7300000000000004</c:v>
                </c:pt>
                <c:pt idx="332">
                  <c:v>5.47</c:v>
                </c:pt>
                <c:pt idx="333">
                  <c:v>4.8131155190000001</c:v>
                </c:pt>
                <c:pt idx="334">
                  <c:v>5.8382261010000001</c:v>
                </c:pt>
                <c:pt idx="335">
                  <c:v>3.8442051319999999</c:v>
                </c:pt>
                <c:pt idx="336">
                  <c:v>6.7644265079999997</c:v>
                </c:pt>
                <c:pt idx="337">
                  <c:v>8.0410906050000008</c:v>
                </c:pt>
                <c:pt idx="338">
                  <c:v>5.1767454129999999</c:v>
                </c:pt>
                <c:pt idx="339">
                  <c:v>5.01</c:v>
                </c:pt>
                <c:pt idx="340">
                  <c:v>5.79</c:v>
                </c:pt>
                <c:pt idx="341">
                  <c:v>7.2537320149999998</c:v>
                </c:pt>
                <c:pt idx="342">
                  <c:v>4.7383537110000002</c:v>
                </c:pt>
                <c:pt idx="343">
                  <c:v>0</c:v>
                </c:pt>
                <c:pt idx="344">
                  <c:v>4.322283315</c:v>
                </c:pt>
                <c:pt idx="345">
                  <c:v>6.5896696109999997</c:v>
                </c:pt>
                <c:pt idx="346">
                  <c:v>5.36</c:v>
                </c:pt>
                <c:pt idx="347">
                  <c:v>4.16</c:v>
                </c:pt>
                <c:pt idx="348">
                  <c:v>7.09</c:v>
                </c:pt>
                <c:pt idx="349">
                  <c:v>5.15136314</c:v>
                </c:pt>
                <c:pt idx="350">
                  <c:v>3.7625710840000002</c:v>
                </c:pt>
                <c:pt idx="351">
                  <c:v>4.75</c:v>
                </c:pt>
                <c:pt idx="352">
                  <c:v>4.9925662529999997</c:v>
                </c:pt>
                <c:pt idx="353">
                  <c:v>6.38</c:v>
                </c:pt>
                <c:pt idx="354">
                  <c:v>7.2778163569999998</c:v>
                </c:pt>
                <c:pt idx="355">
                  <c:v>3.39</c:v>
                </c:pt>
                <c:pt idx="356">
                  <c:v>4.246373889</c:v>
                </c:pt>
                <c:pt idx="357">
                  <c:v>4.4785697989999997</c:v>
                </c:pt>
                <c:pt idx="358">
                  <c:v>8.0399999999999991</c:v>
                </c:pt>
                <c:pt idx="359">
                  <c:v>5.1865954820000004</c:v>
                </c:pt>
                <c:pt idx="360">
                  <c:v>10.83</c:v>
                </c:pt>
                <c:pt idx="361">
                  <c:v>9.0827475179999997</c:v>
                </c:pt>
                <c:pt idx="362">
                  <c:v>4.6983978000000004</c:v>
                </c:pt>
                <c:pt idx="363">
                  <c:v>3.945912544</c:v>
                </c:pt>
                <c:pt idx="364">
                  <c:v>8.0739581870000006</c:v>
                </c:pt>
                <c:pt idx="365">
                  <c:v>6.12</c:v>
                </c:pt>
                <c:pt idx="366">
                  <c:v>5.58</c:v>
                </c:pt>
                <c:pt idx="367">
                  <c:v>5.48</c:v>
                </c:pt>
                <c:pt idx="368">
                  <c:v>6.0101096390000004</c:v>
                </c:pt>
                <c:pt idx="369">
                  <c:v>5.860929574</c:v>
                </c:pt>
                <c:pt idx="370">
                  <c:v>5.330528932</c:v>
                </c:pt>
                <c:pt idx="371">
                  <c:v>7.9386607079999996</c:v>
                </c:pt>
                <c:pt idx="372">
                  <c:v>4.9942213019999997</c:v>
                </c:pt>
                <c:pt idx="373">
                  <c:v>4.8248623640000003</c:v>
                </c:pt>
                <c:pt idx="374">
                  <c:v>-1.76</c:v>
                </c:pt>
                <c:pt idx="375">
                  <c:v>6.32</c:v>
                </c:pt>
                <c:pt idx="376">
                  <c:v>4.1500000000000004</c:v>
                </c:pt>
                <c:pt idx="377">
                  <c:v>5.9628827610000004</c:v>
                </c:pt>
                <c:pt idx="378">
                  <c:v>5.7749290369999997</c:v>
                </c:pt>
                <c:pt idx="379">
                  <c:v>4.1762939799999996</c:v>
                </c:pt>
                <c:pt idx="380">
                  <c:v>0</c:v>
                </c:pt>
                <c:pt idx="381">
                  <c:v>2.9757540730000001</c:v>
                </c:pt>
                <c:pt idx="382">
                  <c:v>6.84</c:v>
                </c:pt>
                <c:pt idx="383">
                  <c:v>6.21</c:v>
                </c:pt>
                <c:pt idx="384">
                  <c:v>2.4463352700000001</c:v>
                </c:pt>
                <c:pt idx="385">
                  <c:v>5.73</c:v>
                </c:pt>
                <c:pt idx="386">
                  <c:v>9.51</c:v>
                </c:pt>
                <c:pt idx="387">
                  <c:v>1.9317109560000001</c:v>
                </c:pt>
                <c:pt idx="388">
                  <c:v>8.1999999999999993</c:v>
                </c:pt>
                <c:pt idx="389">
                  <c:v>1.26</c:v>
                </c:pt>
                <c:pt idx="390">
                  <c:v>2.5315689880000001</c:v>
                </c:pt>
                <c:pt idx="391">
                  <c:v>2.2027457859999999</c:v>
                </c:pt>
                <c:pt idx="392">
                  <c:v>10.89504812</c:v>
                </c:pt>
                <c:pt idx="393">
                  <c:v>5.6689400120000002</c:v>
                </c:pt>
                <c:pt idx="394">
                  <c:v>6.1634281870000001</c:v>
                </c:pt>
                <c:pt idx="395">
                  <c:v>2.78</c:v>
                </c:pt>
                <c:pt idx="396">
                  <c:v>-1.258331195</c:v>
                </c:pt>
                <c:pt idx="397">
                  <c:v>10.35901451</c:v>
                </c:pt>
                <c:pt idx="398">
                  <c:v>3.24</c:v>
                </c:pt>
                <c:pt idx="399">
                  <c:v>4.9000000000000004</c:v>
                </c:pt>
                <c:pt idx="400">
                  <c:v>1.06</c:v>
                </c:pt>
                <c:pt idx="401">
                  <c:v>1.322790006</c:v>
                </c:pt>
                <c:pt idx="402">
                  <c:v>5.7995827579999997</c:v>
                </c:pt>
                <c:pt idx="403">
                  <c:v>1.168013886</c:v>
                </c:pt>
                <c:pt idx="404">
                  <c:v>4.58</c:v>
                </c:pt>
                <c:pt idx="405">
                  <c:v>4.4847655980000001</c:v>
                </c:pt>
                <c:pt idx="406">
                  <c:v>7.31</c:v>
                </c:pt>
                <c:pt idx="407">
                  <c:v>6.0756205960000003</c:v>
                </c:pt>
                <c:pt idx="408">
                  <c:v>5.8003834210000003</c:v>
                </c:pt>
                <c:pt idx="409">
                  <c:v>3.9561567200000001</c:v>
                </c:pt>
                <c:pt idx="410">
                  <c:v>5.24</c:v>
                </c:pt>
                <c:pt idx="411">
                  <c:v>6.4380572340000004</c:v>
                </c:pt>
                <c:pt idx="412">
                  <c:v>3.1352992230000001</c:v>
                </c:pt>
                <c:pt idx="413">
                  <c:v>4.764547254</c:v>
                </c:pt>
                <c:pt idx="414">
                  <c:v>0.37729802800000001</c:v>
                </c:pt>
                <c:pt idx="415">
                  <c:v>0.61832394099999999</c:v>
                </c:pt>
                <c:pt idx="416">
                  <c:v>5.1072790489999997</c:v>
                </c:pt>
                <c:pt idx="417">
                  <c:v>3.2442603160000001</c:v>
                </c:pt>
                <c:pt idx="418">
                  <c:v>1.9911728580000001</c:v>
                </c:pt>
                <c:pt idx="419">
                  <c:v>5.1687043819999996</c:v>
                </c:pt>
                <c:pt idx="420">
                  <c:v>6.0310133510000004</c:v>
                </c:pt>
                <c:pt idx="421">
                  <c:v>6.0800078160000002</c:v>
                </c:pt>
                <c:pt idx="422">
                  <c:v>0.111754046</c:v>
                </c:pt>
                <c:pt idx="423">
                  <c:v>1.7512861669999999</c:v>
                </c:pt>
                <c:pt idx="424">
                  <c:v>4.5743700990000002</c:v>
                </c:pt>
                <c:pt idx="425">
                  <c:v>8.2100000000000009</c:v>
                </c:pt>
                <c:pt idx="426">
                  <c:v>7.5041806329999998</c:v>
                </c:pt>
                <c:pt idx="427">
                  <c:v>6.89</c:v>
                </c:pt>
                <c:pt idx="428">
                  <c:v>1.949211655</c:v>
                </c:pt>
                <c:pt idx="429">
                  <c:v>4.7742457500000004</c:v>
                </c:pt>
                <c:pt idx="430">
                  <c:v>7.13</c:v>
                </c:pt>
                <c:pt idx="431">
                  <c:v>-1.53</c:v>
                </c:pt>
                <c:pt idx="432">
                  <c:v>0.467414779</c:v>
                </c:pt>
                <c:pt idx="433">
                  <c:v>3.5387406850000001</c:v>
                </c:pt>
                <c:pt idx="434">
                  <c:v>7.96</c:v>
                </c:pt>
                <c:pt idx="435">
                  <c:v>1.796711046</c:v>
                </c:pt>
                <c:pt idx="436">
                  <c:v>6.0893230389999999</c:v>
                </c:pt>
                <c:pt idx="437">
                  <c:v>2.5792410480000001</c:v>
                </c:pt>
                <c:pt idx="438">
                  <c:v>6.6044703440000001</c:v>
                </c:pt>
                <c:pt idx="439">
                  <c:v>7.9635402119999998</c:v>
                </c:pt>
                <c:pt idx="440">
                  <c:v>2.25</c:v>
                </c:pt>
                <c:pt idx="441">
                  <c:v>-0.2</c:v>
                </c:pt>
                <c:pt idx="442">
                  <c:v>5.7</c:v>
                </c:pt>
                <c:pt idx="443">
                  <c:v>4.3163154549999998</c:v>
                </c:pt>
                <c:pt idx="444">
                  <c:v>-0.46485831999999999</c:v>
                </c:pt>
                <c:pt idx="445">
                  <c:v>5.16</c:v>
                </c:pt>
                <c:pt idx="446">
                  <c:v>-0.81580938400000003</c:v>
                </c:pt>
                <c:pt idx="447">
                  <c:v>3.2468357640000001</c:v>
                </c:pt>
                <c:pt idx="448">
                  <c:v>1.75</c:v>
                </c:pt>
                <c:pt idx="449">
                  <c:v>8.09</c:v>
                </c:pt>
                <c:pt idx="450">
                  <c:v>5.21</c:v>
                </c:pt>
                <c:pt idx="451">
                  <c:v>5.401063486</c:v>
                </c:pt>
                <c:pt idx="452">
                  <c:v>2.897333508</c:v>
                </c:pt>
                <c:pt idx="453">
                  <c:v>5.072076161</c:v>
                </c:pt>
                <c:pt idx="454">
                  <c:v>7.6493825000000001E-2</c:v>
                </c:pt>
                <c:pt idx="455">
                  <c:v>7.1451345750000002</c:v>
                </c:pt>
                <c:pt idx="456">
                  <c:v>6.106018154</c:v>
                </c:pt>
                <c:pt idx="457">
                  <c:v>6.4322336260000004</c:v>
                </c:pt>
                <c:pt idx="458">
                  <c:v>1.4538079669999999</c:v>
                </c:pt>
                <c:pt idx="459">
                  <c:v>3.752539466</c:v>
                </c:pt>
                <c:pt idx="460">
                  <c:v>7.2953639150000003</c:v>
                </c:pt>
                <c:pt idx="461">
                  <c:v>-0.91725109500000002</c:v>
                </c:pt>
                <c:pt idx="462">
                  <c:v>5.41</c:v>
                </c:pt>
                <c:pt idx="463">
                  <c:v>-1.3268812729999999</c:v>
                </c:pt>
                <c:pt idx="464">
                  <c:v>0.56348616100000004</c:v>
                </c:pt>
                <c:pt idx="465">
                  <c:v>-0.16115733600000001</c:v>
                </c:pt>
                <c:pt idx="466">
                  <c:v>-2.895262486</c:v>
                </c:pt>
                <c:pt idx="467">
                  <c:v>1.547400069</c:v>
                </c:pt>
                <c:pt idx="468">
                  <c:v>1.433289115</c:v>
                </c:pt>
                <c:pt idx="469">
                  <c:v>-0.34689896599999998</c:v>
                </c:pt>
                <c:pt idx="470">
                  <c:v>5.64</c:v>
                </c:pt>
                <c:pt idx="471">
                  <c:v>4.8262735890000004</c:v>
                </c:pt>
                <c:pt idx="472">
                  <c:v>2.21</c:v>
                </c:pt>
                <c:pt idx="473">
                  <c:v>6.5694843069999997</c:v>
                </c:pt>
                <c:pt idx="474">
                  <c:v>3.52</c:v>
                </c:pt>
                <c:pt idx="475">
                  <c:v>-2.4557819830000001</c:v>
                </c:pt>
                <c:pt idx="476">
                  <c:v>-0.92919099999999999</c:v>
                </c:pt>
                <c:pt idx="477">
                  <c:v>3.2952063969999998</c:v>
                </c:pt>
                <c:pt idx="478">
                  <c:v>0.40681997800000003</c:v>
                </c:pt>
                <c:pt idx="479">
                  <c:v>-5.6964437999999999E-2</c:v>
                </c:pt>
                <c:pt idx="480">
                  <c:v>0.91960012700000004</c:v>
                </c:pt>
                <c:pt idx="481">
                  <c:v>0.90360723799999998</c:v>
                </c:pt>
                <c:pt idx="482">
                  <c:v>2.7737799769999998</c:v>
                </c:pt>
                <c:pt idx="483">
                  <c:v>4.9877749109999998</c:v>
                </c:pt>
                <c:pt idx="484">
                  <c:v>-0.73</c:v>
                </c:pt>
                <c:pt idx="485">
                  <c:v>-0.122695718</c:v>
                </c:pt>
                <c:pt idx="486">
                  <c:v>5.0049874790000004</c:v>
                </c:pt>
                <c:pt idx="487">
                  <c:v>0.81650156399999996</c:v>
                </c:pt>
                <c:pt idx="488">
                  <c:v>5.27</c:v>
                </c:pt>
                <c:pt idx="489">
                  <c:v>5.7892292049999998</c:v>
                </c:pt>
                <c:pt idx="490">
                  <c:v>4.0697583960000001</c:v>
                </c:pt>
                <c:pt idx="491">
                  <c:v>5.846348087</c:v>
                </c:pt>
                <c:pt idx="492">
                  <c:v>1.733371789</c:v>
                </c:pt>
                <c:pt idx="493">
                  <c:v>3.9924647470000001</c:v>
                </c:pt>
                <c:pt idx="494">
                  <c:v>6.63</c:v>
                </c:pt>
                <c:pt idx="495">
                  <c:v>3.5513198770000001</c:v>
                </c:pt>
                <c:pt idx="496">
                  <c:v>1.5997057779999999</c:v>
                </c:pt>
                <c:pt idx="497">
                  <c:v>5.067095804</c:v>
                </c:pt>
                <c:pt idx="498">
                  <c:v>0.53595062599999999</c:v>
                </c:pt>
                <c:pt idx="499">
                  <c:v>-0.84</c:v>
                </c:pt>
                <c:pt idx="500">
                  <c:v>6.6429678399999998</c:v>
                </c:pt>
                <c:pt idx="501">
                  <c:v>6.8856542919999999</c:v>
                </c:pt>
                <c:pt idx="502">
                  <c:v>6.1196805550000004</c:v>
                </c:pt>
                <c:pt idx="503">
                  <c:v>6.6186021530000003</c:v>
                </c:pt>
                <c:pt idx="504">
                  <c:v>5.5599126349999999</c:v>
                </c:pt>
                <c:pt idx="505">
                  <c:v>4.1106608509999996</c:v>
                </c:pt>
                <c:pt idx="506">
                  <c:v>2.79</c:v>
                </c:pt>
                <c:pt idx="507">
                  <c:v>8.1565766830000008</c:v>
                </c:pt>
                <c:pt idx="508">
                  <c:v>5.67</c:v>
                </c:pt>
                <c:pt idx="509">
                  <c:v>6.509839586</c:v>
                </c:pt>
                <c:pt idx="510">
                  <c:v>6.6481148829999999</c:v>
                </c:pt>
                <c:pt idx="511">
                  <c:v>3.7017147690000001</c:v>
                </c:pt>
                <c:pt idx="512">
                  <c:v>6.9645427370000004</c:v>
                </c:pt>
                <c:pt idx="513">
                  <c:v>5.344649457</c:v>
                </c:pt>
                <c:pt idx="514">
                  <c:v>1.0004153469999999</c:v>
                </c:pt>
                <c:pt idx="515">
                  <c:v>5.8582856139999997</c:v>
                </c:pt>
                <c:pt idx="516">
                  <c:v>5.5379307840000003</c:v>
                </c:pt>
                <c:pt idx="517">
                  <c:v>6.34</c:v>
                </c:pt>
                <c:pt idx="518">
                  <c:v>6.23</c:v>
                </c:pt>
                <c:pt idx="519">
                  <c:v>6.4770186030000003</c:v>
                </c:pt>
                <c:pt idx="520">
                  <c:v>3.73</c:v>
                </c:pt>
                <c:pt idx="521">
                  <c:v>-0.47793729800000001</c:v>
                </c:pt>
                <c:pt idx="522">
                  <c:v>4.464710288</c:v>
                </c:pt>
                <c:pt idx="523">
                  <c:v>4.9823085220000003</c:v>
                </c:pt>
                <c:pt idx="524">
                  <c:v>5.18</c:v>
                </c:pt>
                <c:pt idx="525">
                  <c:v>6.977617306</c:v>
                </c:pt>
                <c:pt idx="526">
                  <c:v>5.1503156480000003</c:v>
                </c:pt>
                <c:pt idx="527">
                  <c:v>3.393167032</c:v>
                </c:pt>
                <c:pt idx="528">
                  <c:v>4.9566857960000004</c:v>
                </c:pt>
                <c:pt idx="529">
                  <c:v>6.19</c:v>
                </c:pt>
                <c:pt idx="530">
                  <c:v>5.5760675280000003</c:v>
                </c:pt>
                <c:pt idx="531">
                  <c:v>3.800112435</c:v>
                </c:pt>
                <c:pt idx="532">
                  <c:v>2.1625607549999999</c:v>
                </c:pt>
                <c:pt idx="533">
                  <c:v>6.3810811520000001</c:v>
                </c:pt>
                <c:pt idx="534">
                  <c:v>10.207648839999999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9-9344-875D-9E94569C2A03}"/>
            </c:ext>
          </c:extLst>
        </c:ser>
        <c:ser>
          <c:idx val="2"/>
          <c:order val="2"/>
          <c:tx>
            <c:strRef>
              <c:f>'dH&amp;dN juv'!$N$1</c:f>
              <c:strCache>
                <c:ptCount val="1"/>
                <c:pt idx="0">
                  <c:v>capt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'dH&amp;dN juv'!$K$2:$K$659</c:f>
              <c:numCache>
                <c:formatCode>General</c:formatCode>
                <c:ptCount val="658"/>
                <c:pt idx="0">
                  <c:v>-26.812774867499996</c:v>
                </c:pt>
                <c:pt idx="1">
                  <c:v>-74.546977150000018</c:v>
                </c:pt>
                <c:pt idx="2">
                  <c:v>-68.117596187500013</c:v>
                </c:pt>
                <c:pt idx="3">
                  <c:v>-64.296228757500003</c:v>
                </c:pt>
                <c:pt idx="4">
                  <c:v>-62.75497965000001</c:v>
                </c:pt>
                <c:pt idx="5">
                  <c:v>-62.111904437500002</c:v>
                </c:pt>
                <c:pt idx="6">
                  <c:v>-57.434869150000004</c:v>
                </c:pt>
                <c:pt idx="7">
                  <c:v>-55.889569012500019</c:v>
                </c:pt>
                <c:pt idx="8">
                  <c:v>-54.803359665000009</c:v>
                </c:pt>
                <c:pt idx="9">
                  <c:v>-53.400909075000008</c:v>
                </c:pt>
                <c:pt idx="10">
                  <c:v>-53.293540117500001</c:v>
                </c:pt>
                <c:pt idx="11">
                  <c:v>-52.549250000000001</c:v>
                </c:pt>
                <c:pt idx="12">
                  <c:v>-52.327288837500006</c:v>
                </c:pt>
                <c:pt idx="13">
                  <c:v>-50.941043550000003</c:v>
                </c:pt>
                <c:pt idx="14">
                  <c:v>-50.326762750000007</c:v>
                </c:pt>
                <c:pt idx="15">
                  <c:v>-50.113075432499997</c:v>
                </c:pt>
                <c:pt idx="16">
                  <c:v>-49.614500000000007</c:v>
                </c:pt>
                <c:pt idx="17">
                  <c:v>-48.19049157500001</c:v>
                </c:pt>
                <c:pt idx="18">
                  <c:v>-48.163068324999998</c:v>
                </c:pt>
                <c:pt idx="19">
                  <c:v>-47.377653975000001</c:v>
                </c:pt>
                <c:pt idx="20">
                  <c:v>-46.918052775000007</c:v>
                </c:pt>
                <c:pt idx="21">
                  <c:v>-46.851749999999996</c:v>
                </c:pt>
                <c:pt idx="22">
                  <c:v>-46.647500000000001</c:v>
                </c:pt>
                <c:pt idx="23">
                  <c:v>-45.568366087500003</c:v>
                </c:pt>
                <c:pt idx="24">
                  <c:v>-43.110750000000003</c:v>
                </c:pt>
                <c:pt idx="25">
                  <c:v>-42.193026800000005</c:v>
                </c:pt>
                <c:pt idx="26">
                  <c:v>-42.057281712500007</c:v>
                </c:pt>
                <c:pt idx="27">
                  <c:v>-41.400765022499996</c:v>
                </c:pt>
                <c:pt idx="28">
                  <c:v>-41.394625267500004</c:v>
                </c:pt>
                <c:pt idx="29">
                  <c:v>-40.753306175000006</c:v>
                </c:pt>
                <c:pt idx="30">
                  <c:v>-40.431652200000002</c:v>
                </c:pt>
                <c:pt idx="31">
                  <c:v>-40.407773225000007</c:v>
                </c:pt>
                <c:pt idx="32">
                  <c:v>-39.964426132500002</c:v>
                </c:pt>
                <c:pt idx="33">
                  <c:v>-39.815431025000002</c:v>
                </c:pt>
                <c:pt idx="34">
                  <c:v>-39.613659975000004</c:v>
                </c:pt>
                <c:pt idx="35">
                  <c:v>-39.594249990000002</c:v>
                </c:pt>
                <c:pt idx="36">
                  <c:v>-37.934696272500005</c:v>
                </c:pt>
                <c:pt idx="37">
                  <c:v>-36.180865485000005</c:v>
                </c:pt>
                <c:pt idx="38">
                  <c:v>-35.716412272500001</c:v>
                </c:pt>
                <c:pt idx="39">
                  <c:v>-34.894203252499999</c:v>
                </c:pt>
                <c:pt idx="40">
                  <c:v>-34.544881035000003</c:v>
                </c:pt>
                <c:pt idx="41">
                  <c:v>-33.670045282500006</c:v>
                </c:pt>
                <c:pt idx="42">
                  <c:v>-33.202314287500002</c:v>
                </c:pt>
                <c:pt idx="43">
                  <c:v>-32.651106962499995</c:v>
                </c:pt>
                <c:pt idx="44">
                  <c:v>-32.598336824999997</c:v>
                </c:pt>
                <c:pt idx="45">
                  <c:v>-32.411169112499998</c:v>
                </c:pt>
                <c:pt idx="46">
                  <c:v>-32.077961037500003</c:v>
                </c:pt>
                <c:pt idx="47">
                  <c:v>-30.630996202499997</c:v>
                </c:pt>
                <c:pt idx="48">
                  <c:v>-30.554749999999995</c:v>
                </c:pt>
                <c:pt idx="49">
                  <c:v>-30.551857174999999</c:v>
                </c:pt>
                <c:pt idx="50">
                  <c:v>-29.100380242500002</c:v>
                </c:pt>
                <c:pt idx="51">
                  <c:v>-28.900977525000002</c:v>
                </c:pt>
                <c:pt idx="52">
                  <c:v>-28.282388017499997</c:v>
                </c:pt>
                <c:pt idx="53">
                  <c:v>-27.939940425</c:v>
                </c:pt>
                <c:pt idx="54">
                  <c:v>-27.682014062499999</c:v>
                </c:pt>
                <c:pt idx="55">
                  <c:v>-26.927848349999994</c:v>
                </c:pt>
                <c:pt idx="56">
                  <c:v>-25.732220987500003</c:v>
                </c:pt>
                <c:pt idx="57">
                  <c:v>-25.078176474999996</c:v>
                </c:pt>
                <c:pt idx="58">
                  <c:v>-24.049157664999999</c:v>
                </c:pt>
                <c:pt idx="59">
                  <c:v>-74.114874999999984</c:v>
                </c:pt>
                <c:pt idx="60">
                  <c:v>-69.633125000000007</c:v>
                </c:pt>
                <c:pt idx="61">
                  <c:v>-63.888749999999995</c:v>
                </c:pt>
                <c:pt idx="62">
                  <c:v>-62.000500000000009</c:v>
                </c:pt>
                <c:pt idx="63">
                  <c:v>-61.238374999999998</c:v>
                </c:pt>
                <c:pt idx="64">
                  <c:v>-55.562250000000013</c:v>
                </c:pt>
                <c:pt idx="65">
                  <c:v>-52.512242243750002</c:v>
                </c:pt>
                <c:pt idx="66">
                  <c:v>-52.218000000000025</c:v>
                </c:pt>
                <c:pt idx="67">
                  <c:v>-50.932625000000009</c:v>
                </c:pt>
                <c:pt idx="68">
                  <c:v>-38.98277458750001</c:v>
                </c:pt>
                <c:pt idx="69">
                  <c:v>-40.116933157500007</c:v>
                </c:pt>
                <c:pt idx="70">
                  <c:v>-31.044151597500001</c:v>
                </c:pt>
                <c:pt idx="71">
                  <c:v>-74.674144499999997</c:v>
                </c:pt>
                <c:pt idx="72">
                  <c:v>-74.3125</c:v>
                </c:pt>
                <c:pt idx="73">
                  <c:v>-73.840697500000005</c:v>
                </c:pt>
                <c:pt idx="74">
                  <c:v>-73.642634999999999</c:v>
                </c:pt>
                <c:pt idx="75">
                  <c:v>-73.014245750000001</c:v>
                </c:pt>
                <c:pt idx="76">
                  <c:v>-72.028892999999997</c:v>
                </c:pt>
                <c:pt idx="77">
                  <c:v>-71.837500000000006</c:v>
                </c:pt>
                <c:pt idx="78">
                  <c:v>-71.212500000000006</c:v>
                </c:pt>
                <c:pt idx="79">
                  <c:v>-71.129618000000008</c:v>
                </c:pt>
                <c:pt idx="80">
                  <c:v>-70.734265250000007</c:v>
                </c:pt>
                <c:pt idx="81">
                  <c:v>-70.633115000000004</c:v>
                </c:pt>
                <c:pt idx="82">
                  <c:v>-69.975000000000009</c:v>
                </c:pt>
                <c:pt idx="83">
                  <c:v>-68.2</c:v>
                </c:pt>
                <c:pt idx="84">
                  <c:v>-68.0625</c:v>
                </c:pt>
                <c:pt idx="85">
                  <c:v>-66.087500000000006</c:v>
                </c:pt>
                <c:pt idx="86">
                  <c:v>-64.74261525</c:v>
                </c:pt>
                <c:pt idx="87">
                  <c:v>-64.431995499999999</c:v>
                </c:pt>
                <c:pt idx="88">
                  <c:v>-63.505791250000001</c:v>
                </c:pt>
                <c:pt idx="89">
                  <c:v>-63.307039250000003</c:v>
                </c:pt>
                <c:pt idx="90">
                  <c:v>-60.296180249999999</c:v>
                </c:pt>
                <c:pt idx="91">
                  <c:v>-59.880514000000005</c:v>
                </c:pt>
                <c:pt idx="92">
                  <c:v>-59.25</c:v>
                </c:pt>
                <c:pt idx="93">
                  <c:v>-59.113617750000003</c:v>
                </c:pt>
                <c:pt idx="94">
                  <c:v>-58.750000000000007</c:v>
                </c:pt>
                <c:pt idx="95">
                  <c:v>-57.975000000000001</c:v>
                </c:pt>
                <c:pt idx="96">
                  <c:v>-57.487499999999997</c:v>
                </c:pt>
                <c:pt idx="97">
                  <c:v>-55.787500000000001</c:v>
                </c:pt>
                <c:pt idx="98">
                  <c:v>-55.162500000000001</c:v>
                </c:pt>
                <c:pt idx="99">
                  <c:v>-54.712499999999999</c:v>
                </c:pt>
                <c:pt idx="100">
                  <c:v>-53.967247999999998</c:v>
                </c:pt>
                <c:pt idx="101">
                  <c:v>-53.598146249999999</c:v>
                </c:pt>
                <c:pt idx="102">
                  <c:v>-53.437500000000007</c:v>
                </c:pt>
                <c:pt idx="103">
                  <c:v>-51.9375</c:v>
                </c:pt>
                <c:pt idx="104">
                  <c:v>-51.889034500000001</c:v>
                </c:pt>
                <c:pt idx="105">
                  <c:v>-51.858783000000003</c:v>
                </c:pt>
                <c:pt idx="106">
                  <c:v>-51.550561999999999</c:v>
                </c:pt>
                <c:pt idx="107">
                  <c:v>-50.099338000000003</c:v>
                </c:pt>
                <c:pt idx="108">
                  <c:v>-49.760336750000008</c:v>
                </c:pt>
                <c:pt idx="109">
                  <c:v>-39.336625500000004</c:v>
                </c:pt>
                <c:pt idx="110">
                  <c:v>-37.864625000000004</c:v>
                </c:pt>
                <c:pt idx="111">
                  <c:v>-37.17081975</c:v>
                </c:pt>
                <c:pt idx="112">
                  <c:v>-29.85</c:v>
                </c:pt>
                <c:pt idx="113">
                  <c:v>-74.962500000000006</c:v>
                </c:pt>
                <c:pt idx="114">
                  <c:v>-74.950000000000017</c:v>
                </c:pt>
                <c:pt idx="115">
                  <c:v>-74.887499999999989</c:v>
                </c:pt>
                <c:pt idx="116">
                  <c:v>-74.824999999999989</c:v>
                </c:pt>
                <c:pt idx="117">
                  <c:v>-74.810810000000004</c:v>
                </c:pt>
                <c:pt idx="118">
                  <c:v>-74.807071500000006</c:v>
                </c:pt>
                <c:pt idx="119">
                  <c:v>-74.724999999999994</c:v>
                </c:pt>
                <c:pt idx="120">
                  <c:v>-74.552245499999998</c:v>
                </c:pt>
                <c:pt idx="121">
                  <c:v>-74.537499999999994</c:v>
                </c:pt>
                <c:pt idx="122">
                  <c:v>-74.525701125000012</c:v>
                </c:pt>
                <c:pt idx="123">
                  <c:v>-74.476274500000017</c:v>
                </c:pt>
                <c:pt idx="124">
                  <c:v>-74.453568000000018</c:v>
                </c:pt>
                <c:pt idx="125">
                  <c:v>-74.433680624999994</c:v>
                </c:pt>
                <c:pt idx="126">
                  <c:v>-74.322751000000011</c:v>
                </c:pt>
                <c:pt idx="127">
                  <c:v>-74.249639624999986</c:v>
                </c:pt>
                <c:pt idx="128">
                  <c:v>-74.16217850000001</c:v>
                </c:pt>
                <c:pt idx="129">
                  <c:v>-74.0625</c:v>
                </c:pt>
                <c:pt idx="130">
                  <c:v>-74.049999999999983</c:v>
                </c:pt>
                <c:pt idx="131">
                  <c:v>-73.867115499999983</c:v>
                </c:pt>
                <c:pt idx="132">
                  <c:v>-73.787499999999994</c:v>
                </c:pt>
                <c:pt idx="133">
                  <c:v>-73.787499999999994</c:v>
                </c:pt>
                <c:pt idx="134">
                  <c:v>-73.674999999999983</c:v>
                </c:pt>
                <c:pt idx="135">
                  <c:v>-73.650000000000006</c:v>
                </c:pt>
                <c:pt idx="136">
                  <c:v>-73.599999999999994</c:v>
                </c:pt>
                <c:pt idx="137">
                  <c:v>-73.489610874999983</c:v>
                </c:pt>
                <c:pt idx="138">
                  <c:v>-73.433842499999997</c:v>
                </c:pt>
                <c:pt idx="139">
                  <c:v>-73.400000000000006</c:v>
                </c:pt>
                <c:pt idx="140">
                  <c:v>-73.387500000000017</c:v>
                </c:pt>
                <c:pt idx="141">
                  <c:v>-73.375</c:v>
                </c:pt>
                <c:pt idx="142">
                  <c:v>-73.322356124999999</c:v>
                </c:pt>
                <c:pt idx="143">
                  <c:v>-73.199999999999989</c:v>
                </c:pt>
                <c:pt idx="144">
                  <c:v>-73.171938000000011</c:v>
                </c:pt>
                <c:pt idx="145">
                  <c:v>-73.141852999999998</c:v>
                </c:pt>
                <c:pt idx="146">
                  <c:v>-73.099999999999994</c:v>
                </c:pt>
                <c:pt idx="147">
                  <c:v>-73.025000000000006</c:v>
                </c:pt>
                <c:pt idx="148">
                  <c:v>-72.912499999999994</c:v>
                </c:pt>
                <c:pt idx="149">
                  <c:v>-72.837500000000006</c:v>
                </c:pt>
                <c:pt idx="150">
                  <c:v>-72.737499999999983</c:v>
                </c:pt>
                <c:pt idx="151">
                  <c:v>-72.737499999999983</c:v>
                </c:pt>
                <c:pt idx="152">
                  <c:v>-72.724999999999994</c:v>
                </c:pt>
                <c:pt idx="153">
                  <c:v>-72.675000000000011</c:v>
                </c:pt>
                <c:pt idx="154">
                  <c:v>-72.657207</c:v>
                </c:pt>
                <c:pt idx="155">
                  <c:v>-72.559536250000008</c:v>
                </c:pt>
                <c:pt idx="156">
                  <c:v>-72.503019749999993</c:v>
                </c:pt>
                <c:pt idx="157">
                  <c:v>-72.450000000000017</c:v>
                </c:pt>
                <c:pt idx="158">
                  <c:v>-72.332972000000012</c:v>
                </c:pt>
                <c:pt idx="159">
                  <c:v>-72.09965200000002</c:v>
                </c:pt>
                <c:pt idx="160">
                  <c:v>-72.08352124999999</c:v>
                </c:pt>
                <c:pt idx="161">
                  <c:v>-72.074999999999989</c:v>
                </c:pt>
                <c:pt idx="162">
                  <c:v>-71.875</c:v>
                </c:pt>
                <c:pt idx="163">
                  <c:v>-71.850032499999998</c:v>
                </c:pt>
                <c:pt idx="164">
                  <c:v>-71.788962499999997</c:v>
                </c:pt>
                <c:pt idx="165">
                  <c:v>-71.72969362500001</c:v>
                </c:pt>
                <c:pt idx="166">
                  <c:v>-71.675000000000011</c:v>
                </c:pt>
                <c:pt idx="167">
                  <c:v>-71.575000000000017</c:v>
                </c:pt>
                <c:pt idx="168">
                  <c:v>-71.575000000000017</c:v>
                </c:pt>
                <c:pt idx="169">
                  <c:v>-71.548536374999998</c:v>
                </c:pt>
                <c:pt idx="170">
                  <c:v>-71.483715750000016</c:v>
                </c:pt>
                <c:pt idx="171">
                  <c:v>-71.362500000000011</c:v>
                </c:pt>
                <c:pt idx="172">
                  <c:v>-71.256077500000004</c:v>
                </c:pt>
                <c:pt idx="173">
                  <c:v>-71.241277125000011</c:v>
                </c:pt>
                <c:pt idx="174">
                  <c:v>-71.200000000000017</c:v>
                </c:pt>
                <c:pt idx="175">
                  <c:v>-71.108260000000001</c:v>
                </c:pt>
                <c:pt idx="176">
                  <c:v>-70.974999999999994</c:v>
                </c:pt>
                <c:pt idx="177">
                  <c:v>-70.959407374999984</c:v>
                </c:pt>
                <c:pt idx="178">
                  <c:v>-70.9375</c:v>
                </c:pt>
                <c:pt idx="179">
                  <c:v>-70.912499999999994</c:v>
                </c:pt>
                <c:pt idx="180">
                  <c:v>-70.778350500000016</c:v>
                </c:pt>
                <c:pt idx="181">
                  <c:v>-70.675000000000011</c:v>
                </c:pt>
                <c:pt idx="182">
                  <c:v>-70.662499999999994</c:v>
                </c:pt>
                <c:pt idx="183">
                  <c:v>-70.549999999999983</c:v>
                </c:pt>
                <c:pt idx="184">
                  <c:v>-70.537499999999994</c:v>
                </c:pt>
                <c:pt idx="185">
                  <c:v>-70.394822000000005</c:v>
                </c:pt>
                <c:pt idx="186">
                  <c:v>-70.325000000000017</c:v>
                </c:pt>
                <c:pt idx="187">
                  <c:v>-70.301606249999992</c:v>
                </c:pt>
                <c:pt idx="188">
                  <c:v>-70.287499999999994</c:v>
                </c:pt>
                <c:pt idx="189">
                  <c:v>-70.137499999999989</c:v>
                </c:pt>
                <c:pt idx="190">
                  <c:v>-70.074999999999989</c:v>
                </c:pt>
                <c:pt idx="191">
                  <c:v>-70.0625</c:v>
                </c:pt>
                <c:pt idx="192">
                  <c:v>-70.018157000000002</c:v>
                </c:pt>
                <c:pt idx="193">
                  <c:v>-69.924999999999983</c:v>
                </c:pt>
                <c:pt idx="194">
                  <c:v>-69.88751400000001</c:v>
                </c:pt>
                <c:pt idx="195">
                  <c:v>-69.8125</c:v>
                </c:pt>
                <c:pt idx="196">
                  <c:v>-69.625368000000009</c:v>
                </c:pt>
                <c:pt idx="197">
                  <c:v>-69.612499999999983</c:v>
                </c:pt>
                <c:pt idx="198">
                  <c:v>-69.362499999999983</c:v>
                </c:pt>
                <c:pt idx="199">
                  <c:v>-69.351716500000009</c:v>
                </c:pt>
                <c:pt idx="200">
                  <c:v>-69.121266375000005</c:v>
                </c:pt>
                <c:pt idx="201">
                  <c:v>-69.112500000000011</c:v>
                </c:pt>
                <c:pt idx="202">
                  <c:v>-69.0625</c:v>
                </c:pt>
                <c:pt idx="203">
                  <c:v>-69.049999999999983</c:v>
                </c:pt>
                <c:pt idx="204">
                  <c:v>-68.98500525</c:v>
                </c:pt>
                <c:pt idx="205">
                  <c:v>-68.962500000000006</c:v>
                </c:pt>
                <c:pt idx="206">
                  <c:v>-68.950195250000007</c:v>
                </c:pt>
                <c:pt idx="207">
                  <c:v>-68.9375</c:v>
                </c:pt>
                <c:pt idx="208">
                  <c:v>-68.849999999999994</c:v>
                </c:pt>
                <c:pt idx="209">
                  <c:v>-68.737376500000011</c:v>
                </c:pt>
                <c:pt idx="210">
                  <c:v>-68.700000000000017</c:v>
                </c:pt>
                <c:pt idx="211">
                  <c:v>-68.6875</c:v>
                </c:pt>
                <c:pt idx="212">
                  <c:v>-68.683532624999998</c:v>
                </c:pt>
                <c:pt idx="213">
                  <c:v>-68.677090499999991</c:v>
                </c:pt>
                <c:pt idx="214">
                  <c:v>-68.600856499999992</c:v>
                </c:pt>
                <c:pt idx="215">
                  <c:v>-68.599999999999994</c:v>
                </c:pt>
                <c:pt idx="216">
                  <c:v>-68.598360500000013</c:v>
                </c:pt>
                <c:pt idx="217">
                  <c:v>-68.564789499999989</c:v>
                </c:pt>
                <c:pt idx="218">
                  <c:v>-68.549172249999998</c:v>
                </c:pt>
                <c:pt idx="219">
                  <c:v>-68.527477000000005</c:v>
                </c:pt>
                <c:pt idx="220">
                  <c:v>-68.526241249999998</c:v>
                </c:pt>
                <c:pt idx="221">
                  <c:v>-68.512499999999989</c:v>
                </c:pt>
                <c:pt idx="222">
                  <c:v>-68.480662125000009</c:v>
                </c:pt>
                <c:pt idx="223">
                  <c:v>-68.390294624999996</c:v>
                </c:pt>
                <c:pt idx="224">
                  <c:v>-68.375</c:v>
                </c:pt>
                <c:pt idx="225">
                  <c:v>-68.337500000000006</c:v>
                </c:pt>
                <c:pt idx="226">
                  <c:v>-68.287499999999994</c:v>
                </c:pt>
                <c:pt idx="227">
                  <c:v>-68.25</c:v>
                </c:pt>
                <c:pt idx="228">
                  <c:v>-68.25</c:v>
                </c:pt>
                <c:pt idx="229">
                  <c:v>-68.220884000000012</c:v>
                </c:pt>
                <c:pt idx="230">
                  <c:v>-68.112499999999983</c:v>
                </c:pt>
                <c:pt idx="231">
                  <c:v>-68.087500000000006</c:v>
                </c:pt>
                <c:pt idx="232">
                  <c:v>-68.049999999999983</c:v>
                </c:pt>
                <c:pt idx="233">
                  <c:v>-68</c:v>
                </c:pt>
                <c:pt idx="234">
                  <c:v>-67.843597125000002</c:v>
                </c:pt>
                <c:pt idx="235">
                  <c:v>-67.825000000000017</c:v>
                </c:pt>
                <c:pt idx="236">
                  <c:v>-67.812598000000008</c:v>
                </c:pt>
                <c:pt idx="237">
                  <c:v>-67.762500000000017</c:v>
                </c:pt>
                <c:pt idx="238">
                  <c:v>-67.737499999999983</c:v>
                </c:pt>
                <c:pt idx="239">
                  <c:v>-67.724999999999994</c:v>
                </c:pt>
                <c:pt idx="240">
                  <c:v>-67.699999999999989</c:v>
                </c:pt>
                <c:pt idx="241">
                  <c:v>-67.699999999999989</c:v>
                </c:pt>
                <c:pt idx="242">
                  <c:v>-67.699824500000005</c:v>
                </c:pt>
                <c:pt idx="243">
                  <c:v>-67.67537387500002</c:v>
                </c:pt>
                <c:pt idx="244">
                  <c:v>-67.675000000000011</c:v>
                </c:pt>
                <c:pt idx="245">
                  <c:v>-67.612500000000011</c:v>
                </c:pt>
                <c:pt idx="246">
                  <c:v>-67.599999999999994</c:v>
                </c:pt>
                <c:pt idx="247">
                  <c:v>-67.537499999999994</c:v>
                </c:pt>
                <c:pt idx="248">
                  <c:v>-67.512737874999999</c:v>
                </c:pt>
                <c:pt idx="249">
                  <c:v>-67.5</c:v>
                </c:pt>
                <c:pt idx="250">
                  <c:v>-67.5</c:v>
                </c:pt>
                <c:pt idx="251">
                  <c:v>-67.499184874999997</c:v>
                </c:pt>
                <c:pt idx="252">
                  <c:v>-67.324999999999989</c:v>
                </c:pt>
                <c:pt idx="253">
                  <c:v>-67.240154999999987</c:v>
                </c:pt>
                <c:pt idx="254">
                  <c:v>-67.052574749999991</c:v>
                </c:pt>
                <c:pt idx="255">
                  <c:v>-67.008691999999996</c:v>
                </c:pt>
                <c:pt idx="256">
                  <c:v>-66.962500000000006</c:v>
                </c:pt>
                <c:pt idx="257">
                  <c:v>-66.9375</c:v>
                </c:pt>
                <c:pt idx="258">
                  <c:v>-66.862499999999983</c:v>
                </c:pt>
                <c:pt idx="259">
                  <c:v>-66.724999999999994</c:v>
                </c:pt>
                <c:pt idx="260">
                  <c:v>-66.721542874999983</c:v>
                </c:pt>
                <c:pt idx="261">
                  <c:v>-66.604686874999999</c:v>
                </c:pt>
                <c:pt idx="262">
                  <c:v>-66.599999999999994</c:v>
                </c:pt>
                <c:pt idx="263">
                  <c:v>-66.587500000000006</c:v>
                </c:pt>
                <c:pt idx="264">
                  <c:v>-66.587500000000006</c:v>
                </c:pt>
                <c:pt idx="265">
                  <c:v>-66.572779999999995</c:v>
                </c:pt>
                <c:pt idx="266">
                  <c:v>-66.525000000000006</c:v>
                </c:pt>
                <c:pt idx="267">
                  <c:v>-66.518926499999992</c:v>
                </c:pt>
                <c:pt idx="268">
                  <c:v>-66.5</c:v>
                </c:pt>
                <c:pt idx="269">
                  <c:v>-66.316685624999991</c:v>
                </c:pt>
                <c:pt idx="270">
                  <c:v>-66.262500000000017</c:v>
                </c:pt>
                <c:pt idx="271">
                  <c:v>-66.112500000000011</c:v>
                </c:pt>
                <c:pt idx="272">
                  <c:v>-66.037499999999994</c:v>
                </c:pt>
                <c:pt idx="273">
                  <c:v>-66.031501125000005</c:v>
                </c:pt>
                <c:pt idx="274">
                  <c:v>-66.025000000000006</c:v>
                </c:pt>
                <c:pt idx="275">
                  <c:v>-66.011743124999981</c:v>
                </c:pt>
                <c:pt idx="276">
                  <c:v>-65.887500000000017</c:v>
                </c:pt>
                <c:pt idx="277">
                  <c:v>-65.863560124999992</c:v>
                </c:pt>
                <c:pt idx="278">
                  <c:v>-65.8125</c:v>
                </c:pt>
                <c:pt idx="279">
                  <c:v>-65.715642000000003</c:v>
                </c:pt>
                <c:pt idx="280">
                  <c:v>-65.680057000000005</c:v>
                </c:pt>
                <c:pt idx="281">
                  <c:v>-65.662499999999994</c:v>
                </c:pt>
                <c:pt idx="282">
                  <c:v>-65.594988374999986</c:v>
                </c:pt>
                <c:pt idx="283">
                  <c:v>-65.51379799999998</c:v>
                </c:pt>
                <c:pt idx="284">
                  <c:v>-65.438676749999985</c:v>
                </c:pt>
                <c:pt idx="285">
                  <c:v>-65.369669750000014</c:v>
                </c:pt>
                <c:pt idx="286">
                  <c:v>-65.349999999999994</c:v>
                </c:pt>
                <c:pt idx="287">
                  <c:v>-65.342563750000011</c:v>
                </c:pt>
                <c:pt idx="288">
                  <c:v>-65.298778999999996</c:v>
                </c:pt>
                <c:pt idx="289">
                  <c:v>-65.169084999999995</c:v>
                </c:pt>
                <c:pt idx="290">
                  <c:v>-64.962500000000006</c:v>
                </c:pt>
                <c:pt idx="291">
                  <c:v>-64.912499999999994</c:v>
                </c:pt>
                <c:pt idx="292">
                  <c:v>-64.87329112499998</c:v>
                </c:pt>
                <c:pt idx="293">
                  <c:v>-64.801611750000006</c:v>
                </c:pt>
                <c:pt idx="294">
                  <c:v>-64.737500000000011</c:v>
                </c:pt>
                <c:pt idx="295">
                  <c:v>-64.729057124999997</c:v>
                </c:pt>
                <c:pt idx="296">
                  <c:v>-64.712500000000006</c:v>
                </c:pt>
                <c:pt idx="297">
                  <c:v>-64.637500000000017</c:v>
                </c:pt>
                <c:pt idx="298">
                  <c:v>-64.537499999999994</c:v>
                </c:pt>
                <c:pt idx="299">
                  <c:v>-64.51037599999998</c:v>
                </c:pt>
                <c:pt idx="300">
                  <c:v>-64.421638000000002</c:v>
                </c:pt>
                <c:pt idx="301">
                  <c:v>-64.415877375000008</c:v>
                </c:pt>
                <c:pt idx="302">
                  <c:v>-64.325877749999989</c:v>
                </c:pt>
                <c:pt idx="303">
                  <c:v>-64.3125</c:v>
                </c:pt>
                <c:pt idx="304">
                  <c:v>-64.287499999999994</c:v>
                </c:pt>
                <c:pt idx="305">
                  <c:v>-64.275000000000006</c:v>
                </c:pt>
                <c:pt idx="306">
                  <c:v>-64.215970625000011</c:v>
                </c:pt>
                <c:pt idx="307">
                  <c:v>-64.212500000000006</c:v>
                </c:pt>
                <c:pt idx="308">
                  <c:v>-64.083091749999994</c:v>
                </c:pt>
                <c:pt idx="309">
                  <c:v>-63.977099000000003</c:v>
                </c:pt>
                <c:pt idx="310">
                  <c:v>-63.975000000000001</c:v>
                </c:pt>
                <c:pt idx="311">
                  <c:v>-63.949999999999996</c:v>
                </c:pt>
                <c:pt idx="312">
                  <c:v>-63.860204375000002</c:v>
                </c:pt>
                <c:pt idx="313">
                  <c:v>-63.822352124999988</c:v>
                </c:pt>
                <c:pt idx="314">
                  <c:v>-63.774999999999999</c:v>
                </c:pt>
                <c:pt idx="315">
                  <c:v>-63.754396500000006</c:v>
                </c:pt>
                <c:pt idx="316">
                  <c:v>-63.637499999999996</c:v>
                </c:pt>
                <c:pt idx="317">
                  <c:v>-63.587500000000013</c:v>
                </c:pt>
                <c:pt idx="318">
                  <c:v>-63.5590695</c:v>
                </c:pt>
                <c:pt idx="319">
                  <c:v>-63.531274500000002</c:v>
                </c:pt>
                <c:pt idx="320">
                  <c:v>-63.525000000000013</c:v>
                </c:pt>
                <c:pt idx="321">
                  <c:v>-63.487500000000004</c:v>
                </c:pt>
                <c:pt idx="322">
                  <c:v>-63.462499999999999</c:v>
                </c:pt>
                <c:pt idx="323">
                  <c:v>-63.448531999999993</c:v>
                </c:pt>
                <c:pt idx="324">
                  <c:v>-63.381605499999999</c:v>
                </c:pt>
                <c:pt idx="325">
                  <c:v>-63.375000000000007</c:v>
                </c:pt>
                <c:pt idx="326">
                  <c:v>-63.199999999999996</c:v>
                </c:pt>
                <c:pt idx="327">
                  <c:v>-63.169067000000005</c:v>
                </c:pt>
                <c:pt idx="328">
                  <c:v>-63.1</c:v>
                </c:pt>
                <c:pt idx="329">
                  <c:v>-62.975000000000001</c:v>
                </c:pt>
                <c:pt idx="330">
                  <c:v>-62.874999999999993</c:v>
                </c:pt>
                <c:pt idx="331">
                  <c:v>-62.855071000000002</c:v>
                </c:pt>
                <c:pt idx="332">
                  <c:v>-62.813235124999999</c:v>
                </c:pt>
                <c:pt idx="333">
                  <c:v>-62.79999999999999</c:v>
                </c:pt>
                <c:pt idx="334">
                  <c:v>-62.687500000000007</c:v>
                </c:pt>
                <c:pt idx="335">
                  <c:v>-62.612500000000004</c:v>
                </c:pt>
                <c:pt idx="336">
                  <c:v>-62.612500000000004</c:v>
                </c:pt>
                <c:pt idx="337">
                  <c:v>-62.612500000000004</c:v>
                </c:pt>
                <c:pt idx="338">
                  <c:v>-62.6</c:v>
                </c:pt>
                <c:pt idx="339">
                  <c:v>-62.425033000000006</c:v>
                </c:pt>
                <c:pt idx="340">
                  <c:v>-62.341414500000006</c:v>
                </c:pt>
                <c:pt idx="341">
                  <c:v>-62.312499999999993</c:v>
                </c:pt>
                <c:pt idx="342">
                  <c:v>-62.125000000000007</c:v>
                </c:pt>
                <c:pt idx="343">
                  <c:v>-62.11249999999999</c:v>
                </c:pt>
                <c:pt idx="344">
                  <c:v>-61.987500000000004</c:v>
                </c:pt>
                <c:pt idx="345">
                  <c:v>-61.937499999999993</c:v>
                </c:pt>
                <c:pt idx="346">
                  <c:v>-61.930596000000001</c:v>
                </c:pt>
                <c:pt idx="347">
                  <c:v>-61.927207750000001</c:v>
                </c:pt>
                <c:pt idx="348">
                  <c:v>-61.908503250000003</c:v>
                </c:pt>
                <c:pt idx="349">
                  <c:v>-61.9</c:v>
                </c:pt>
                <c:pt idx="350">
                  <c:v>-61.82500000000001</c:v>
                </c:pt>
                <c:pt idx="351">
                  <c:v>-61.7782695</c:v>
                </c:pt>
                <c:pt idx="352">
                  <c:v>-61.699999999999996</c:v>
                </c:pt>
                <c:pt idx="353">
                  <c:v>-61.612747500000005</c:v>
                </c:pt>
                <c:pt idx="354">
                  <c:v>-61.429421499999997</c:v>
                </c:pt>
                <c:pt idx="355">
                  <c:v>-61.380005375000003</c:v>
                </c:pt>
                <c:pt idx="356">
                  <c:v>-61.337500000000013</c:v>
                </c:pt>
                <c:pt idx="357">
                  <c:v>-61.250000000000007</c:v>
                </c:pt>
                <c:pt idx="358">
                  <c:v>-61.193651624999994</c:v>
                </c:pt>
                <c:pt idx="359">
                  <c:v>-61.074999999999996</c:v>
                </c:pt>
                <c:pt idx="360">
                  <c:v>-61.072472249999997</c:v>
                </c:pt>
                <c:pt idx="361">
                  <c:v>-61.050000000000004</c:v>
                </c:pt>
                <c:pt idx="362">
                  <c:v>-61.037500000000001</c:v>
                </c:pt>
                <c:pt idx="363">
                  <c:v>-60.912500000000001</c:v>
                </c:pt>
                <c:pt idx="364">
                  <c:v>-60.85</c:v>
                </c:pt>
                <c:pt idx="365">
                  <c:v>-60.819216500000003</c:v>
                </c:pt>
                <c:pt idx="366">
                  <c:v>-60.752663000000005</c:v>
                </c:pt>
                <c:pt idx="367">
                  <c:v>-60.639672749999995</c:v>
                </c:pt>
                <c:pt idx="368">
                  <c:v>-60.57500000000001</c:v>
                </c:pt>
                <c:pt idx="369">
                  <c:v>-60.337499999999999</c:v>
                </c:pt>
                <c:pt idx="370">
                  <c:v>-60.274999999999999</c:v>
                </c:pt>
                <c:pt idx="371">
                  <c:v>-60.23749999999999</c:v>
                </c:pt>
                <c:pt idx="372">
                  <c:v>-60.212499999999999</c:v>
                </c:pt>
                <c:pt idx="373">
                  <c:v>-60.199999999999996</c:v>
                </c:pt>
                <c:pt idx="374">
                  <c:v>-59.860163500000006</c:v>
                </c:pt>
                <c:pt idx="375">
                  <c:v>-59.798881874999999</c:v>
                </c:pt>
                <c:pt idx="376">
                  <c:v>-59.74225387500001</c:v>
                </c:pt>
                <c:pt idx="377">
                  <c:v>-59.61249999999999</c:v>
                </c:pt>
                <c:pt idx="378">
                  <c:v>-59.512499999999996</c:v>
                </c:pt>
                <c:pt idx="379">
                  <c:v>-59.512499999999996</c:v>
                </c:pt>
                <c:pt idx="380">
                  <c:v>-59.449999999999996</c:v>
                </c:pt>
                <c:pt idx="381">
                  <c:v>-59.439369499999991</c:v>
                </c:pt>
                <c:pt idx="382">
                  <c:v>-59.402821499999995</c:v>
                </c:pt>
                <c:pt idx="383">
                  <c:v>-59.398946625000001</c:v>
                </c:pt>
                <c:pt idx="384">
                  <c:v>-59.137499999999996</c:v>
                </c:pt>
                <c:pt idx="385">
                  <c:v>-59.104183999999997</c:v>
                </c:pt>
                <c:pt idx="386">
                  <c:v>-59.093944999999998</c:v>
                </c:pt>
                <c:pt idx="387">
                  <c:v>-59.05641275</c:v>
                </c:pt>
                <c:pt idx="388">
                  <c:v>-59.000780999999996</c:v>
                </c:pt>
                <c:pt idx="389">
                  <c:v>-58.884559250000002</c:v>
                </c:pt>
                <c:pt idx="390">
                  <c:v>-58.824999999999996</c:v>
                </c:pt>
                <c:pt idx="391">
                  <c:v>-58.64961125</c:v>
                </c:pt>
                <c:pt idx="392">
                  <c:v>-58.42499999999999</c:v>
                </c:pt>
                <c:pt idx="393">
                  <c:v>-58.384092500000001</c:v>
                </c:pt>
                <c:pt idx="394">
                  <c:v>-58.375000000000007</c:v>
                </c:pt>
                <c:pt idx="395">
                  <c:v>-58.085190749999988</c:v>
                </c:pt>
                <c:pt idx="396">
                  <c:v>-57.900000000000013</c:v>
                </c:pt>
                <c:pt idx="397">
                  <c:v>-57.789373875000003</c:v>
                </c:pt>
                <c:pt idx="398">
                  <c:v>-57.750929499999991</c:v>
                </c:pt>
                <c:pt idx="399">
                  <c:v>-57.698336999999988</c:v>
                </c:pt>
                <c:pt idx="400">
                  <c:v>-57.605494875000012</c:v>
                </c:pt>
                <c:pt idx="401">
                  <c:v>-57.524999999999999</c:v>
                </c:pt>
                <c:pt idx="402">
                  <c:v>-57.42499999999999</c:v>
                </c:pt>
                <c:pt idx="403">
                  <c:v>-57.312499999999993</c:v>
                </c:pt>
                <c:pt idx="404">
                  <c:v>-57.09048087499999</c:v>
                </c:pt>
                <c:pt idx="405">
                  <c:v>-56.949999999999996</c:v>
                </c:pt>
                <c:pt idx="406">
                  <c:v>-56.943091999999986</c:v>
                </c:pt>
                <c:pt idx="407">
                  <c:v>-56.837499999999999</c:v>
                </c:pt>
                <c:pt idx="408">
                  <c:v>-56.79999999999999</c:v>
                </c:pt>
                <c:pt idx="409">
                  <c:v>-56.79999999999999</c:v>
                </c:pt>
                <c:pt idx="410">
                  <c:v>-56.758666124999998</c:v>
                </c:pt>
                <c:pt idx="411">
                  <c:v>-56.54999999999999</c:v>
                </c:pt>
                <c:pt idx="412">
                  <c:v>-56.400000000000013</c:v>
                </c:pt>
                <c:pt idx="413">
                  <c:v>-56.35</c:v>
                </c:pt>
                <c:pt idx="414">
                  <c:v>-55.95000000000001</c:v>
                </c:pt>
                <c:pt idx="415">
                  <c:v>-55.837499999999999</c:v>
                </c:pt>
                <c:pt idx="416">
                  <c:v>-55.787500000000001</c:v>
                </c:pt>
                <c:pt idx="417">
                  <c:v>-55.749999999999993</c:v>
                </c:pt>
                <c:pt idx="418">
                  <c:v>-55.724462999999993</c:v>
                </c:pt>
                <c:pt idx="419">
                  <c:v>-55.587499999999999</c:v>
                </c:pt>
                <c:pt idx="420">
                  <c:v>-55.556027750000005</c:v>
                </c:pt>
                <c:pt idx="421">
                  <c:v>-55.387499999999996</c:v>
                </c:pt>
                <c:pt idx="422">
                  <c:v>-55.29999999999999</c:v>
                </c:pt>
                <c:pt idx="423">
                  <c:v>-55.037500000000001</c:v>
                </c:pt>
                <c:pt idx="424">
                  <c:v>-55.01250000000001</c:v>
                </c:pt>
                <c:pt idx="425">
                  <c:v>-54.465232125000007</c:v>
                </c:pt>
                <c:pt idx="426">
                  <c:v>-54.32500000000001</c:v>
                </c:pt>
                <c:pt idx="427">
                  <c:v>-54.304196250000011</c:v>
                </c:pt>
                <c:pt idx="428">
                  <c:v>-54.225000000000001</c:v>
                </c:pt>
                <c:pt idx="429">
                  <c:v>-53.962499999999999</c:v>
                </c:pt>
                <c:pt idx="430">
                  <c:v>-53.694579000000012</c:v>
                </c:pt>
                <c:pt idx="431">
                  <c:v>-53.66215549999999</c:v>
                </c:pt>
                <c:pt idx="432">
                  <c:v>-53.612500000000004</c:v>
                </c:pt>
                <c:pt idx="433">
                  <c:v>-53.143600250000013</c:v>
                </c:pt>
                <c:pt idx="434">
                  <c:v>-52.927428000000013</c:v>
                </c:pt>
                <c:pt idx="435">
                  <c:v>-52.687500000000007</c:v>
                </c:pt>
                <c:pt idx="436">
                  <c:v>-52.675000000000004</c:v>
                </c:pt>
                <c:pt idx="437">
                  <c:v>-52.574999999999996</c:v>
                </c:pt>
                <c:pt idx="438">
                  <c:v>-52.550000000000004</c:v>
                </c:pt>
                <c:pt idx="439">
                  <c:v>-52.524999999999999</c:v>
                </c:pt>
                <c:pt idx="440">
                  <c:v>-52.250365750000007</c:v>
                </c:pt>
                <c:pt idx="441">
                  <c:v>-52.223576000000001</c:v>
                </c:pt>
                <c:pt idx="442">
                  <c:v>-51.936438000000003</c:v>
                </c:pt>
                <c:pt idx="443">
                  <c:v>-51.81850475000001</c:v>
                </c:pt>
                <c:pt idx="444">
                  <c:v>-51.664608750000006</c:v>
                </c:pt>
                <c:pt idx="445">
                  <c:v>-51.4437055</c:v>
                </c:pt>
                <c:pt idx="446">
                  <c:v>-51.387499999999996</c:v>
                </c:pt>
                <c:pt idx="447">
                  <c:v>-50.88750000000001</c:v>
                </c:pt>
                <c:pt idx="448">
                  <c:v>-50.554360875000008</c:v>
                </c:pt>
                <c:pt idx="449">
                  <c:v>-49.844715000000001</c:v>
                </c:pt>
                <c:pt idx="450">
                  <c:v>-49.682072250000012</c:v>
                </c:pt>
                <c:pt idx="451">
                  <c:v>-49.537500000000001</c:v>
                </c:pt>
                <c:pt idx="452">
                  <c:v>-49.449999999999996</c:v>
                </c:pt>
                <c:pt idx="453">
                  <c:v>-49.425000000000004</c:v>
                </c:pt>
                <c:pt idx="454">
                  <c:v>-48.714509499999998</c:v>
                </c:pt>
                <c:pt idx="455">
                  <c:v>-48.512499999999996</c:v>
                </c:pt>
                <c:pt idx="456">
                  <c:v>-48.437500000000007</c:v>
                </c:pt>
                <c:pt idx="457">
                  <c:v>-48.262499999999996</c:v>
                </c:pt>
                <c:pt idx="458">
                  <c:v>-48.221211375000003</c:v>
                </c:pt>
                <c:pt idx="459">
                  <c:v>-48.175260999999999</c:v>
                </c:pt>
                <c:pt idx="460">
                  <c:v>-48.085386249999992</c:v>
                </c:pt>
                <c:pt idx="461">
                  <c:v>-47.855180749999995</c:v>
                </c:pt>
                <c:pt idx="462">
                  <c:v>-47.725357874999993</c:v>
                </c:pt>
                <c:pt idx="463">
                  <c:v>-47.660550625000006</c:v>
                </c:pt>
                <c:pt idx="464">
                  <c:v>-47.5397745</c:v>
                </c:pt>
                <c:pt idx="465">
                  <c:v>-47.512499999999996</c:v>
                </c:pt>
                <c:pt idx="466">
                  <c:v>-47.462499999999999</c:v>
                </c:pt>
                <c:pt idx="467">
                  <c:v>-47.449999999999996</c:v>
                </c:pt>
                <c:pt idx="468">
                  <c:v>-47.087499999999999</c:v>
                </c:pt>
                <c:pt idx="469">
                  <c:v>-46.949999999999996</c:v>
                </c:pt>
                <c:pt idx="470">
                  <c:v>-46.871518875</c:v>
                </c:pt>
                <c:pt idx="471">
                  <c:v>-46.65</c:v>
                </c:pt>
                <c:pt idx="472">
                  <c:v>-46.489532250000003</c:v>
                </c:pt>
                <c:pt idx="473">
                  <c:v>-46.375000000000007</c:v>
                </c:pt>
                <c:pt idx="474">
                  <c:v>-45.773006000000002</c:v>
                </c:pt>
                <c:pt idx="475">
                  <c:v>-45.65</c:v>
                </c:pt>
                <c:pt idx="476">
                  <c:v>-45.529474499999999</c:v>
                </c:pt>
                <c:pt idx="477">
                  <c:v>-45.487500000000004</c:v>
                </c:pt>
                <c:pt idx="478">
                  <c:v>-44.92499999999999</c:v>
                </c:pt>
                <c:pt idx="479">
                  <c:v>-44.912500000000001</c:v>
                </c:pt>
                <c:pt idx="480">
                  <c:v>-44.525000000000013</c:v>
                </c:pt>
                <c:pt idx="481">
                  <c:v>-44.525000000000013</c:v>
                </c:pt>
                <c:pt idx="482">
                  <c:v>-44.500000000000007</c:v>
                </c:pt>
                <c:pt idx="483">
                  <c:v>-44.203600999999999</c:v>
                </c:pt>
                <c:pt idx="484">
                  <c:v>-43.886470625000008</c:v>
                </c:pt>
                <c:pt idx="485">
                  <c:v>-43.776128500000006</c:v>
                </c:pt>
                <c:pt idx="486">
                  <c:v>-43.687500000000007</c:v>
                </c:pt>
                <c:pt idx="487">
                  <c:v>-43.63750000000001</c:v>
                </c:pt>
                <c:pt idx="488">
                  <c:v>-43.631587875000001</c:v>
                </c:pt>
                <c:pt idx="489">
                  <c:v>-43.437500000000007</c:v>
                </c:pt>
                <c:pt idx="490">
                  <c:v>-42.925000000000004</c:v>
                </c:pt>
                <c:pt idx="491">
                  <c:v>-42.366652875000007</c:v>
                </c:pt>
                <c:pt idx="492">
                  <c:v>-41.329012499999997</c:v>
                </c:pt>
                <c:pt idx="493">
                  <c:v>-40.842344250000004</c:v>
                </c:pt>
                <c:pt idx="494">
                  <c:v>-40.583539499999993</c:v>
                </c:pt>
                <c:pt idx="495">
                  <c:v>-40.300000000000004</c:v>
                </c:pt>
                <c:pt idx="496">
                  <c:v>-40.250000000000007</c:v>
                </c:pt>
                <c:pt idx="497">
                  <c:v>-40.212499999999999</c:v>
                </c:pt>
                <c:pt idx="498">
                  <c:v>-39.024999999999999</c:v>
                </c:pt>
                <c:pt idx="499">
                  <c:v>-38.863387499999995</c:v>
                </c:pt>
                <c:pt idx="500">
                  <c:v>-38.800000000000004</c:v>
                </c:pt>
                <c:pt idx="501">
                  <c:v>-38.387499999999996</c:v>
                </c:pt>
                <c:pt idx="502">
                  <c:v>-37.712499999999999</c:v>
                </c:pt>
                <c:pt idx="503">
                  <c:v>-37.287500000000001</c:v>
                </c:pt>
                <c:pt idx="504">
                  <c:v>-37.009187500000003</c:v>
                </c:pt>
                <c:pt idx="505">
                  <c:v>-36.550000000000004</c:v>
                </c:pt>
                <c:pt idx="506">
                  <c:v>-36.087676499999993</c:v>
                </c:pt>
                <c:pt idx="507">
                  <c:v>-35.687401000000001</c:v>
                </c:pt>
                <c:pt idx="508">
                  <c:v>-35.448034</c:v>
                </c:pt>
                <c:pt idx="509">
                  <c:v>-35.162500000000001</c:v>
                </c:pt>
                <c:pt idx="510">
                  <c:v>-34.88750000000001</c:v>
                </c:pt>
                <c:pt idx="511">
                  <c:v>-34.874999999999993</c:v>
                </c:pt>
                <c:pt idx="512">
                  <c:v>-34.537500000000001</c:v>
                </c:pt>
                <c:pt idx="513">
                  <c:v>-34.500000000000007</c:v>
                </c:pt>
                <c:pt idx="514">
                  <c:v>-34.061771749999998</c:v>
                </c:pt>
                <c:pt idx="515">
                  <c:v>-33.824999999999996</c:v>
                </c:pt>
                <c:pt idx="516">
                  <c:v>-33.125</c:v>
                </c:pt>
                <c:pt idx="517">
                  <c:v>-32.574970874999998</c:v>
                </c:pt>
                <c:pt idx="518">
                  <c:v>-31.472535999999998</c:v>
                </c:pt>
                <c:pt idx="519">
                  <c:v>-31.15</c:v>
                </c:pt>
                <c:pt idx="520">
                  <c:v>-31.051323750000002</c:v>
                </c:pt>
                <c:pt idx="521">
                  <c:v>-30.912500000000001</c:v>
                </c:pt>
                <c:pt idx="522">
                  <c:v>-30.825000000000003</c:v>
                </c:pt>
                <c:pt idx="523">
                  <c:v>-28.300000000000004</c:v>
                </c:pt>
                <c:pt idx="524">
                  <c:v>-26.769421999999999</c:v>
                </c:pt>
                <c:pt idx="525">
                  <c:v>-25.792159999999999</c:v>
                </c:pt>
                <c:pt idx="526">
                  <c:v>-25.212499999999999</c:v>
                </c:pt>
                <c:pt idx="527">
                  <c:v>-24.550000000000004</c:v>
                </c:pt>
                <c:pt idx="528">
                  <c:v>-23.35</c:v>
                </c:pt>
                <c:pt idx="529">
                  <c:v>-18.947088749999999</c:v>
                </c:pt>
                <c:pt idx="530">
                  <c:v>-17.0625</c:v>
                </c:pt>
                <c:pt idx="531">
                  <c:v>-16.799999999999997</c:v>
                </c:pt>
                <c:pt idx="532">
                  <c:v>-16.174999999999997</c:v>
                </c:pt>
                <c:pt idx="533">
                  <c:v>-15.612500000000004</c:v>
                </c:pt>
                <c:pt idx="534">
                  <c:v>-12.487500000000004</c:v>
                </c:pt>
                <c:pt idx="535">
                  <c:v>-73.763801917500004</c:v>
                </c:pt>
                <c:pt idx="536">
                  <c:v>-70.735145400000007</c:v>
                </c:pt>
                <c:pt idx="537">
                  <c:v>-74.861131280000009</c:v>
                </c:pt>
                <c:pt idx="538">
                  <c:v>-74.443255667499997</c:v>
                </c:pt>
                <c:pt idx="539">
                  <c:v>-74.005879877500007</c:v>
                </c:pt>
                <c:pt idx="540">
                  <c:v>-73.333406425000007</c:v>
                </c:pt>
                <c:pt idx="541">
                  <c:v>-72.533239205000001</c:v>
                </c:pt>
                <c:pt idx="542">
                  <c:v>-72.080425340000005</c:v>
                </c:pt>
                <c:pt idx="543">
                  <c:v>-71.544705969999995</c:v>
                </c:pt>
                <c:pt idx="544">
                  <c:v>-71.003055180000004</c:v>
                </c:pt>
                <c:pt idx="545">
                  <c:v>-69.559342112500005</c:v>
                </c:pt>
                <c:pt idx="546">
                  <c:v>-66.805007320000001</c:v>
                </c:pt>
                <c:pt idx="547">
                  <c:v>-65.138989089999995</c:v>
                </c:pt>
                <c:pt idx="548">
                  <c:v>-65.062998629999996</c:v>
                </c:pt>
                <c:pt idx="549">
                  <c:v>-64.630900014999995</c:v>
                </c:pt>
                <c:pt idx="550">
                  <c:v>-64.455507422500006</c:v>
                </c:pt>
                <c:pt idx="551">
                  <c:v>-62.794700577499995</c:v>
                </c:pt>
                <c:pt idx="552">
                  <c:v>-62.671889459999996</c:v>
                </c:pt>
                <c:pt idx="553">
                  <c:v>-60.978943877500001</c:v>
                </c:pt>
                <c:pt idx="554">
                  <c:v>-60.391046695</c:v>
                </c:pt>
                <c:pt idx="555">
                  <c:v>-57.613010840000001</c:v>
                </c:pt>
                <c:pt idx="556">
                  <c:v>-57.316151095000002</c:v>
                </c:pt>
                <c:pt idx="557">
                  <c:v>-52.556722539999996</c:v>
                </c:pt>
                <c:pt idx="558">
                  <c:v>-51.923955825</c:v>
                </c:pt>
                <c:pt idx="559">
                  <c:v>-51.558553864999993</c:v>
                </c:pt>
                <c:pt idx="560">
                  <c:v>-48.019215265000007</c:v>
                </c:pt>
                <c:pt idx="561">
                  <c:v>-47.279769635000001</c:v>
                </c:pt>
                <c:pt idx="562">
                  <c:v>-44.321822855000001</c:v>
                </c:pt>
                <c:pt idx="563">
                  <c:v>-43.942034815000007</c:v>
                </c:pt>
                <c:pt idx="564">
                  <c:v>-43.676117439999999</c:v>
                </c:pt>
                <c:pt idx="565">
                  <c:v>-42.990986400000004</c:v>
                </c:pt>
                <c:pt idx="566">
                  <c:v>-42.357925995000002</c:v>
                </c:pt>
                <c:pt idx="567">
                  <c:v>-38.068849069999999</c:v>
                </c:pt>
                <c:pt idx="568">
                  <c:v>-37.865720725000003</c:v>
                </c:pt>
                <c:pt idx="569">
                  <c:v>-34.964931049999997</c:v>
                </c:pt>
                <c:pt idx="570">
                  <c:v>-77.120460082499989</c:v>
                </c:pt>
                <c:pt idx="571">
                  <c:v>-76.925954862499992</c:v>
                </c:pt>
                <c:pt idx="572">
                  <c:v>-75.858995787500021</c:v>
                </c:pt>
                <c:pt idx="573">
                  <c:v>-75.293043582500019</c:v>
                </c:pt>
                <c:pt idx="574">
                  <c:v>-74.16830747000003</c:v>
                </c:pt>
                <c:pt idx="575">
                  <c:v>-74.13535113750001</c:v>
                </c:pt>
                <c:pt idx="576">
                  <c:v>-72.759417260000021</c:v>
                </c:pt>
                <c:pt idx="577">
                  <c:v>-72.195769630000001</c:v>
                </c:pt>
                <c:pt idx="578">
                  <c:v>-72.041137880000008</c:v>
                </c:pt>
                <c:pt idx="579">
                  <c:v>-71.622085837500009</c:v>
                </c:pt>
                <c:pt idx="580">
                  <c:v>-71.561463912500017</c:v>
                </c:pt>
                <c:pt idx="581">
                  <c:v>-68.952759632500005</c:v>
                </c:pt>
                <c:pt idx="582">
                  <c:v>-68.091799646249996</c:v>
                </c:pt>
                <c:pt idx="583">
                  <c:v>-67.450121222500002</c:v>
                </c:pt>
                <c:pt idx="584">
                  <c:v>-66.445014847500005</c:v>
                </c:pt>
                <c:pt idx="585">
                  <c:v>-65.945554294999994</c:v>
                </c:pt>
                <c:pt idx="586">
                  <c:v>-65.926998485000013</c:v>
                </c:pt>
                <c:pt idx="587">
                  <c:v>-65.877892154999984</c:v>
                </c:pt>
                <c:pt idx="588">
                  <c:v>-63.995647927499995</c:v>
                </c:pt>
                <c:pt idx="589">
                  <c:v>-63.973999482500012</c:v>
                </c:pt>
                <c:pt idx="590">
                  <c:v>-62.916318312500017</c:v>
                </c:pt>
                <c:pt idx="591">
                  <c:v>-61.191635124999998</c:v>
                </c:pt>
                <c:pt idx="592">
                  <c:v>-61.037542550000005</c:v>
                </c:pt>
                <c:pt idx="593">
                  <c:v>-60.969504579999999</c:v>
                </c:pt>
                <c:pt idx="594">
                  <c:v>-60.96903775000002</c:v>
                </c:pt>
                <c:pt idx="595">
                  <c:v>-60.725186415000003</c:v>
                </c:pt>
                <c:pt idx="596">
                  <c:v>-60.112101215000003</c:v>
                </c:pt>
                <c:pt idx="597">
                  <c:v>-60.015426682499999</c:v>
                </c:pt>
                <c:pt idx="598">
                  <c:v>-59.985828250000004</c:v>
                </c:pt>
                <c:pt idx="599">
                  <c:v>-59.695338960000022</c:v>
                </c:pt>
                <c:pt idx="600">
                  <c:v>-59.660208410000003</c:v>
                </c:pt>
                <c:pt idx="601">
                  <c:v>-58.320662702499995</c:v>
                </c:pt>
                <c:pt idx="602">
                  <c:v>-58.042402220000007</c:v>
                </c:pt>
                <c:pt idx="603">
                  <c:v>-57.694404115000005</c:v>
                </c:pt>
                <c:pt idx="604">
                  <c:v>-57.601195772500013</c:v>
                </c:pt>
                <c:pt idx="605">
                  <c:v>-56.737233582500018</c:v>
                </c:pt>
                <c:pt idx="606">
                  <c:v>-56.098479330000011</c:v>
                </c:pt>
                <c:pt idx="607">
                  <c:v>-54.811928837500012</c:v>
                </c:pt>
                <c:pt idx="608">
                  <c:v>-54.485795302500016</c:v>
                </c:pt>
                <c:pt idx="609">
                  <c:v>-54.417701139999998</c:v>
                </c:pt>
                <c:pt idx="610">
                  <c:v>-54.349719362500004</c:v>
                </c:pt>
                <c:pt idx="611">
                  <c:v>-54.280639897500016</c:v>
                </c:pt>
                <c:pt idx="612">
                  <c:v>-54.179984115000003</c:v>
                </c:pt>
                <c:pt idx="613">
                  <c:v>-54.106947514999995</c:v>
                </c:pt>
                <c:pt idx="614">
                  <c:v>-53.494416960000002</c:v>
                </c:pt>
                <c:pt idx="615">
                  <c:v>-53.457494165000007</c:v>
                </c:pt>
                <c:pt idx="616">
                  <c:v>-53.353890892500011</c:v>
                </c:pt>
                <c:pt idx="617">
                  <c:v>-52.869893515000008</c:v>
                </c:pt>
                <c:pt idx="618">
                  <c:v>-52.295673049999998</c:v>
                </c:pt>
                <c:pt idx="619">
                  <c:v>-51.305451203750003</c:v>
                </c:pt>
                <c:pt idx="620">
                  <c:v>-50.701685199999993</c:v>
                </c:pt>
                <c:pt idx="621">
                  <c:v>-50.470615270000003</c:v>
                </c:pt>
                <c:pt idx="622">
                  <c:v>-49.273822400000007</c:v>
                </c:pt>
                <c:pt idx="623">
                  <c:v>-49.234501072500002</c:v>
                </c:pt>
                <c:pt idx="624">
                  <c:v>-48.968308555</c:v>
                </c:pt>
                <c:pt idx="625">
                  <c:v>-48.851075757500006</c:v>
                </c:pt>
                <c:pt idx="626">
                  <c:v>-48.062546880000006</c:v>
                </c:pt>
                <c:pt idx="627">
                  <c:v>-47.981137938750003</c:v>
                </c:pt>
                <c:pt idx="628">
                  <c:v>-47.949503836249995</c:v>
                </c:pt>
                <c:pt idx="629">
                  <c:v>-47.906489842500001</c:v>
                </c:pt>
                <c:pt idx="630">
                  <c:v>-46.909005855000011</c:v>
                </c:pt>
                <c:pt idx="631">
                  <c:v>-44.834492050000001</c:v>
                </c:pt>
                <c:pt idx="632">
                  <c:v>-44.293538227500001</c:v>
                </c:pt>
                <c:pt idx="633">
                  <c:v>-44.063615352500001</c:v>
                </c:pt>
                <c:pt idx="634">
                  <c:v>-43.930632047500005</c:v>
                </c:pt>
                <c:pt idx="635">
                  <c:v>-43.732703407500004</c:v>
                </c:pt>
                <c:pt idx="636">
                  <c:v>-41.807857985000005</c:v>
                </c:pt>
                <c:pt idx="637">
                  <c:v>-40.666274587500006</c:v>
                </c:pt>
                <c:pt idx="638">
                  <c:v>-39.731826755000007</c:v>
                </c:pt>
                <c:pt idx="639">
                  <c:v>-39.339045274999997</c:v>
                </c:pt>
                <c:pt idx="640">
                  <c:v>-38.592927174999993</c:v>
                </c:pt>
                <c:pt idx="641">
                  <c:v>-37.97757198</c:v>
                </c:pt>
                <c:pt idx="642">
                  <c:v>-36.838744290000001</c:v>
                </c:pt>
                <c:pt idx="643">
                  <c:v>-36.282545692500001</c:v>
                </c:pt>
                <c:pt idx="644">
                  <c:v>-33.335017245000003</c:v>
                </c:pt>
                <c:pt idx="645">
                  <c:v>-32.68426487</c:v>
                </c:pt>
                <c:pt idx="646">
                  <c:v>-32.127526870000004</c:v>
                </c:pt>
                <c:pt idx="647">
                  <c:v>-31.731274650000003</c:v>
                </c:pt>
                <c:pt idx="648">
                  <c:v>-29.938845830000005</c:v>
                </c:pt>
                <c:pt idx="649">
                  <c:v>-29.846169723750002</c:v>
                </c:pt>
                <c:pt idx="650">
                  <c:v>-24.938453615</c:v>
                </c:pt>
                <c:pt idx="651">
                  <c:v>-23.893925585000012</c:v>
                </c:pt>
                <c:pt idx="652">
                  <c:v>-19.939516035000004</c:v>
                </c:pt>
                <c:pt idx="653">
                  <c:v>-19.69162282125</c:v>
                </c:pt>
                <c:pt idx="654">
                  <c:v>-19.395412588749998</c:v>
                </c:pt>
                <c:pt idx="655">
                  <c:v>-15.436639475000007</c:v>
                </c:pt>
                <c:pt idx="656">
                  <c:v>-14.067943396249994</c:v>
                </c:pt>
              </c:numCache>
            </c:numRef>
          </c:xVal>
          <c:yVal>
            <c:numRef>
              <c:f>'dH&amp;dN juv'!$N$2:$N$659</c:f>
              <c:numCache>
                <c:formatCode>General</c:formatCode>
                <c:ptCount val="658"/>
                <c:pt idx="535">
                  <c:v>5.5331506380000004</c:v>
                </c:pt>
                <c:pt idx="536">
                  <c:v>4.6636115257952433</c:v>
                </c:pt>
                <c:pt idx="537">
                  <c:v>6.4195077019999998</c:v>
                </c:pt>
                <c:pt idx="538">
                  <c:v>6.2494094899999997</c:v>
                </c:pt>
                <c:pt idx="539">
                  <c:v>8.603591539</c:v>
                </c:pt>
                <c:pt idx="540">
                  <c:v>6.0384375830000003</c:v>
                </c:pt>
                <c:pt idx="541">
                  <c:v>5.7328943819999996</c:v>
                </c:pt>
                <c:pt idx="542">
                  <c:v>6.99</c:v>
                </c:pt>
                <c:pt idx="543">
                  <c:v>9.0923998259999994</c:v>
                </c:pt>
                <c:pt idx="544">
                  <c:v>4.5338786420000003</c:v>
                </c:pt>
                <c:pt idx="545">
                  <c:v>3.9123731039999998</c:v>
                </c:pt>
                <c:pt idx="546">
                  <c:v>6.3007440209999999</c:v>
                </c:pt>
                <c:pt idx="547">
                  <c:v>7.73</c:v>
                </c:pt>
                <c:pt idx="548">
                  <c:v>6.18</c:v>
                </c:pt>
                <c:pt idx="549">
                  <c:v>-0.25282767299999998</c:v>
                </c:pt>
                <c:pt idx="550">
                  <c:v>0.10775367299999999</c:v>
                </c:pt>
                <c:pt idx="551">
                  <c:v>6.4356554460000002</c:v>
                </c:pt>
                <c:pt idx="552">
                  <c:v>6.7982294169999999</c:v>
                </c:pt>
                <c:pt idx="553">
                  <c:v>5.7212481039999998</c:v>
                </c:pt>
                <c:pt idx="554">
                  <c:v>5.92</c:v>
                </c:pt>
                <c:pt idx="555">
                  <c:v>6.55</c:v>
                </c:pt>
                <c:pt idx="556">
                  <c:v>3.893059037</c:v>
                </c:pt>
                <c:pt idx="557">
                  <c:v>-1.33</c:v>
                </c:pt>
                <c:pt idx="558">
                  <c:v>8.75</c:v>
                </c:pt>
                <c:pt idx="559">
                  <c:v>10.515709879999999</c:v>
                </c:pt>
                <c:pt idx="560">
                  <c:v>4.2699999999999996</c:v>
                </c:pt>
                <c:pt idx="561">
                  <c:v>7.25</c:v>
                </c:pt>
                <c:pt idx="562">
                  <c:v>7.6500159810000001</c:v>
                </c:pt>
                <c:pt idx="563">
                  <c:v>2.95</c:v>
                </c:pt>
                <c:pt idx="564">
                  <c:v>5.6548415350000001</c:v>
                </c:pt>
                <c:pt idx="565">
                  <c:v>7.1977436279999996</c:v>
                </c:pt>
                <c:pt idx="566">
                  <c:v>3.81</c:v>
                </c:pt>
                <c:pt idx="567">
                  <c:v>1.0900000000000001</c:v>
                </c:pt>
                <c:pt idx="568">
                  <c:v>1.3</c:v>
                </c:pt>
                <c:pt idx="569">
                  <c:v>0.19</c:v>
                </c:pt>
                <c:pt idx="570">
                  <c:v>6.5984784019999996</c:v>
                </c:pt>
                <c:pt idx="571">
                  <c:v>7.07</c:v>
                </c:pt>
                <c:pt idx="572">
                  <c:v>5.39</c:v>
                </c:pt>
                <c:pt idx="573">
                  <c:v>9.56</c:v>
                </c:pt>
                <c:pt idx="574">
                  <c:v>7.2065769839999998</c:v>
                </c:pt>
                <c:pt idx="575">
                  <c:v>4.3391124400000001</c:v>
                </c:pt>
                <c:pt idx="576">
                  <c:v>2.9108217700000001</c:v>
                </c:pt>
                <c:pt idx="577">
                  <c:v>6.92</c:v>
                </c:pt>
                <c:pt idx="578">
                  <c:v>5.13</c:v>
                </c:pt>
                <c:pt idx="579">
                  <c:v>7.76</c:v>
                </c:pt>
                <c:pt idx="580">
                  <c:v>6.3888282790000002</c:v>
                </c:pt>
                <c:pt idx="581">
                  <c:v>6.4573177370000003</c:v>
                </c:pt>
                <c:pt idx="582">
                  <c:v>6.2189635689999996</c:v>
                </c:pt>
                <c:pt idx="583">
                  <c:v>5.25</c:v>
                </c:pt>
                <c:pt idx="584">
                  <c:v>5.68</c:v>
                </c:pt>
                <c:pt idx="585">
                  <c:v>4.3600000000000003</c:v>
                </c:pt>
                <c:pt idx="586">
                  <c:v>5.89</c:v>
                </c:pt>
                <c:pt idx="587">
                  <c:v>6.4167942839999998</c:v>
                </c:pt>
                <c:pt idx="588">
                  <c:v>8.42</c:v>
                </c:pt>
                <c:pt idx="589">
                  <c:v>6.02</c:v>
                </c:pt>
                <c:pt idx="590">
                  <c:v>5.0599999999999996</c:v>
                </c:pt>
                <c:pt idx="591">
                  <c:v>6.7974347110000002</c:v>
                </c:pt>
                <c:pt idx="592">
                  <c:v>7.1</c:v>
                </c:pt>
                <c:pt idx="593">
                  <c:v>5.14</c:v>
                </c:pt>
                <c:pt idx="594">
                  <c:v>6.5312558430000003</c:v>
                </c:pt>
                <c:pt idx="595">
                  <c:v>2.75</c:v>
                </c:pt>
                <c:pt idx="596">
                  <c:v>5.5919840189999999</c:v>
                </c:pt>
                <c:pt idx="597">
                  <c:v>8.77</c:v>
                </c:pt>
                <c:pt idx="598">
                  <c:v>5.4664398790000002</c:v>
                </c:pt>
                <c:pt idx="599">
                  <c:v>4.59</c:v>
                </c:pt>
                <c:pt idx="600">
                  <c:v>-2.0447229469999999</c:v>
                </c:pt>
                <c:pt idx="601">
                  <c:v>6.65</c:v>
                </c:pt>
                <c:pt idx="602">
                  <c:v>7.21</c:v>
                </c:pt>
                <c:pt idx="603">
                  <c:v>6.27</c:v>
                </c:pt>
                <c:pt idx="604">
                  <c:v>9.4985162150000004</c:v>
                </c:pt>
                <c:pt idx="605">
                  <c:v>6.86</c:v>
                </c:pt>
                <c:pt idx="606">
                  <c:v>3.3765352310000001</c:v>
                </c:pt>
                <c:pt idx="607">
                  <c:v>6.3167777620000001</c:v>
                </c:pt>
                <c:pt idx="608">
                  <c:v>9.16</c:v>
                </c:pt>
                <c:pt idx="609">
                  <c:v>3.2054728350000001</c:v>
                </c:pt>
                <c:pt idx="610">
                  <c:v>3.92</c:v>
                </c:pt>
                <c:pt idx="611">
                  <c:v>4.4177687639999998</c:v>
                </c:pt>
                <c:pt idx="612">
                  <c:v>5.0156221590000003</c:v>
                </c:pt>
                <c:pt idx="613">
                  <c:v>8</c:v>
                </c:pt>
                <c:pt idx="614">
                  <c:v>3.9466699350000001</c:v>
                </c:pt>
                <c:pt idx="615">
                  <c:v>9.19</c:v>
                </c:pt>
                <c:pt idx="616">
                  <c:v>5.43</c:v>
                </c:pt>
                <c:pt idx="617">
                  <c:v>4.05</c:v>
                </c:pt>
                <c:pt idx="618">
                  <c:v>7.1330110549999999</c:v>
                </c:pt>
                <c:pt idx="619">
                  <c:v>5.4245378830000002</c:v>
                </c:pt>
                <c:pt idx="620">
                  <c:v>4.7867650050000004</c:v>
                </c:pt>
                <c:pt idx="621">
                  <c:v>5.2436956700000001</c:v>
                </c:pt>
                <c:pt idx="622">
                  <c:v>7.2220788010000003</c:v>
                </c:pt>
                <c:pt idx="623">
                  <c:v>5.29</c:v>
                </c:pt>
                <c:pt idx="624">
                  <c:v>-1.2188266489999999</c:v>
                </c:pt>
                <c:pt idx="625">
                  <c:v>4.1836923280000002</c:v>
                </c:pt>
                <c:pt idx="626">
                  <c:v>5.372867243</c:v>
                </c:pt>
                <c:pt idx="627">
                  <c:v>6.9397719420000001</c:v>
                </c:pt>
                <c:pt idx="628">
                  <c:v>4.4551010150000003</c:v>
                </c:pt>
                <c:pt idx="629">
                  <c:v>10.365879319999999</c:v>
                </c:pt>
                <c:pt idx="630">
                  <c:v>1.9905319109999999</c:v>
                </c:pt>
                <c:pt idx="631">
                  <c:v>1.6365028129999999</c:v>
                </c:pt>
                <c:pt idx="632">
                  <c:v>5.9534398639999999</c:v>
                </c:pt>
                <c:pt idx="633">
                  <c:v>6.02</c:v>
                </c:pt>
                <c:pt idx="634">
                  <c:v>8.31</c:v>
                </c:pt>
                <c:pt idx="635">
                  <c:v>4.96</c:v>
                </c:pt>
                <c:pt idx="636">
                  <c:v>4.6741738919999998</c:v>
                </c:pt>
                <c:pt idx="637">
                  <c:v>7.2391474010000003</c:v>
                </c:pt>
                <c:pt idx="638">
                  <c:v>-0.17496372299999999</c:v>
                </c:pt>
                <c:pt idx="639">
                  <c:v>4.7682935710000001</c:v>
                </c:pt>
                <c:pt idx="640">
                  <c:v>5.6599003440000004</c:v>
                </c:pt>
                <c:pt idx="641">
                  <c:v>4.1919834649999999</c:v>
                </c:pt>
                <c:pt idx="642">
                  <c:v>6.2343631159999999</c:v>
                </c:pt>
                <c:pt idx="643">
                  <c:v>4.55</c:v>
                </c:pt>
                <c:pt idx="644">
                  <c:v>8.01</c:v>
                </c:pt>
                <c:pt idx="645">
                  <c:v>4.24</c:v>
                </c:pt>
                <c:pt idx="646">
                  <c:v>7.1613572760000004</c:v>
                </c:pt>
                <c:pt idx="647">
                  <c:v>5.9508671089999998</c:v>
                </c:pt>
                <c:pt idx="648">
                  <c:v>0.80374987600000003</c:v>
                </c:pt>
                <c:pt idx="649">
                  <c:v>4.5339866860000004</c:v>
                </c:pt>
                <c:pt idx="650">
                  <c:v>0.36959094199999998</c:v>
                </c:pt>
                <c:pt idx="651">
                  <c:v>0.69313988800000004</c:v>
                </c:pt>
                <c:pt idx="652">
                  <c:v>1.91</c:v>
                </c:pt>
                <c:pt idx="653">
                  <c:v>-1.4201788950000001</c:v>
                </c:pt>
                <c:pt idx="654">
                  <c:v>3.9501788630000001</c:v>
                </c:pt>
                <c:pt idx="655">
                  <c:v>-1</c:v>
                </c:pt>
                <c:pt idx="656">
                  <c:v>3.5821031269999999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09-9344-875D-9E94569C2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567967"/>
        <c:axId val="404850207"/>
      </c:scatterChart>
      <c:valAx>
        <c:axId val="48256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850207"/>
        <c:crosses val="autoZero"/>
        <c:crossBetween val="midCat"/>
      </c:valAx>
      <c:valAx>
        <c:axId val="40485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2567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'dH&amp;dN adu_2a7'!$F$1</c:f>
              <c:strCache>
                <c:ptCount val="1"/>
                <c:pt idx="0">
                  <c:v>Chasse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'dH&amp;dN adu_2a7'!$E$2:$E$1047639</c:f>
              <c:numCache>
                <c:formatCode>General</c:formatCode>
                <c:ptCount val="1047638"/>
                <c:pt idx="0">
                  <c:v>-26.812774867499996</c:v>
                </c:pt>
                <c:pt idx="1">
                  <c:v>-37.17081975</c:v>
                </c:pt>
                <c:pt idx="2">
                  <c:v>-54.712499999999999</c:v>
                </c:pt>
                <c:pt idx="3">
                  <c:v>-53.967247999999998</c:v>
                </c:pt>
                <c:pt idx="4">
                  <c:v>-53.437500000000007</c:v>
                </c:pt>
                <c:pt idx="5">
                  <c:v>-50.099338000000003</c:v>
                </c:pt>
                <c:pt idx="6">
                  <c:v>-49.760336750000008</c:v>
                </c:pt>
                <c:pt idx="7">
                  <c:v>-63.307039250000003</c:v>
                </c:pt>
                <c:pt idx="8">
                  <c:v>-59.25</c:v>
                </c:pt>
                <c:pt idx="9">
                  <c:v>-58.750000000000007</c:v>
                </c:pt>
                <c:pt idx="10">
                  <c:v>-57.975000000000001</c:v>
                </c:pt>
                <c:pt idx="11">
                  <c:v>-55.787500000000001</c:v>
                </c:pt>
                <c:pt idx="12">
                  <c:v>-55.162500000000001</c:v>
                </c:pt>
                <c:pt idx="13">
                  <c:v>-71.837500000000006</c:v>
                </c:pt>
                <c:pt idx="14">
                  <c:v>-70.734265250000007</c:v>
                </c:pt>
                <c:pt idx="15">
                  <c:v>-51.858783000000003</c:v>
                </c:pt>
                <c:pt idx="16">
                  <c:v>-51.550561999999999</c:v>
                </c:pt>
                <c:pt idx="17">
                  <c:v>-63.505791250000001</c:v>
                </c:pt>
                <c:pt idx="18">
                  <c:v>-59.880514000000005</c:v>
                </c:pt>
                <c:pt idx="19">
                  <c:v>-59.113617750000003</c:v>
                </c:pt>
                <c:pt idx="20">
                  <c:v>-72.028892999999997</c:v>
                </c:pt>
                <c:pt idx="21">
                  <c:v>-70.633115000000004</c:v>
                </c:pt>
                <c:pt idx="22">
                  <c:v>-73.642634999999999</c:v>
                </c:pt>
                <c:pt idx="23">
                  <c:v>-29.85</c:v>
                </c:pt>
                <c:pt idx="24">
                  <c:v>-39.336625500000004</c:v>
                </c:pt>
                <c:pt idx="25">
                  <c:v>-37.864625000000004</c:v>
                </c:pt>
                <c:pt idx="26">
                  <c:v>-53.598146249999999</c:v>
                </c:pt>
                <c:pt idx="27">
                  <c:v>-51.9375</c:v>
                </c:pt>
                <c:pt idx="28">
                  <c:v>-51.889034500000001</c:v>
                </c:pt>
                <c:pt idx="29">
                  <c:v>-64.74261525</c:v>
                </c:pt>
                <c:pt idx="30">
                  <c:v>-64.431995499999999</c:v>
                </c:pt>
                <c:pt idx="31">
                  <c:v>-60.296180249999999</c:v>
                </c:pt>
                <c:pt idx="32">
                  <c:v>-57.487499999999997</c:v>
                </c:pt>
                <c:pt idx="33">
                  <c:v>-74.674144499999997</c:v>
                </c:pt>
                <c:pt idx="34">
                  <c:v>-74.3125</c:v>
                </c:pt>
                <c:pt idx="35">
                  <c:v>-73.840697500000005</c:v>
                </c:pt>
                <c:pt idx="36">
                  <c:v>-73.014245750000001</c:v>
                </c:pt>
                <c:pt idx="37">
                  <c:v>-71.212500000000006</c:v>
                </c:pt>
                <c:pt idx="38">
                  <c:v>-71.129618000000008</c:v>
                </c:pt>
                <c:pt idx="39">
                  <c:v>-69.975000000000009</c:v>
                </c:pt>
                <c:pt idx="40">
                  <c:v>-68.2</c:v>
                </c:pt>
                <c:pt idx="41">
                  <c:v>-68.0625</c:v>
                </c:pt>
                <c:pt idx="42">
                  <c:v>-66.087500000000006</c:v>
                </c:pt>
                <c:pt idx="43">
                  <c:v>-24.049157664999999</c:v>
                </c:pt>
                <c:pt idx="44">
                  <c:v>-34.894203252499999</c:v>
                </c:pt>
                <c:pt idx="45">
                  <c:v>-34.544881035000003</c:v>
                </c:pt>
                <c:pt idx="46">
                  <c:v>-33.670045282500006</c:v>
                </c:pt>
                <c:pt idx="47">
                  <c:v>-33.202314287500002</c:v>
                </c:pt>
                <c:pt idx="48">
                  <c:v>-32.651106962499995</c:v>
                </c:pt>
                <c:pt idx="49">
                  <c:v>-32.598336824999997</c:v>
                </c:pt>
                <c:pt idx="50">
                  <c:v>-32.411169112499998</c:v>
                </c:pt>
                <c:pt idx="51">
                  <c:v>-32.077961037500003</c:v>
                </c:pt>
                <c:pt idx="52">
                  <c:v>-30.630996202499997</c:v>
                </c:pt>
                <c:pt idx="53">
                  <c:v>-30.554749999999995</c:v>
                </c:pt>
                <c:pt idx="54">
                  <c:v>-30.551857174999999</c:v>
                </c:pt>
                <c:pt idx="55">
                  <c:v>-29.100380242500002</c:v>
                </c:pt>
                <c:pt idx="56">
                  <c:v>-28.900977525000002</c:v>
                </c:pt>
                <c:pt idx="57">
                  <c:v>-28.282388017499997</c:v>
                </c:pt>
                <c:pt idx="58">
                  <c:v>-27.939940425</c:v>
                </c:pt>
                <c:pt idx="59">
                  <c:v>-27.682014062499999</c:v>
                </c:pt>
                <c:pt idx="60">
                  <c:v>-26.927848349999994</c:v>
                </c:pt>
                <c:pt idx="61">
                  <c:v>-25.732220987500003</c:v>
                </c:pt>
                <c:pt idx="62">
                  <c:v>-25.078176474999996</c:v>
                </c:pt>
                <c:pt idx="63">
                  <c:v>-42.193026800000005</c:v>
                </c:pt>
                <c:pt idx="64">
                  <c:v>-42.057281712500007</c:v>
                </c:pt>
                <c:pt idx="65">
                  <c:v>-41.400765022499996</c:v>
                </c:pt>
                <c:pt idx="66">
                  <c:v>-41.394625267500004</c:v>
                </c:pt>
                <c:pt idx="67">
                  <c:v>-40.753306175000006</c:v>
                </c:pt>
                <c:pt idx="68">
                  <c:v>-40.431652200000002</c:v>
                </c:pt>
                <c:pt idx="69">
                  <c:v>-40.407773225000007</c:v>
                </c:pt>
                <c:pt idx="70">
                  <c:v>-39.964426132500002</c:v>
                </c:pt>
                <c:pt idx="71">
                  <c:v>-39.815431025000002</c:v>
                </c:pt>
                <c:pt idx="72">
                  <c:v>-39.613659975000004</c:v>
                </c:pt>
                <c:pt idx="73">
                  <c:v>-39.594249990000002</c:v>
                </c:pt>
                <c:pt idx="74">
                  <c:v>-37.934696272500005</c:v>
                </c:pt>
                <c:pt idx="75">
                  <c:v>-36.180865485000005</c:v>
                </c:pt>
                <c:pt idx="76">
                  <c:v>-35.716412272500001</c:v>
                </c:pt>
                <c:pt idx="77">
                  <c:v>-54.803359665000009</c:v>
                </c:pt>
                <c:pt idx="78">
                  <c:v>-53.400909075000008</c:v>
                </c:pt>
                <c:pt idx="79">
                  <c:v>-53.293540117500001</c:v>
                </c:pt>
                <c:pt idx="80">
                  <c:v>-52.549250000000001</c:v>
                </c:pt>
                <c:pt idx="81">
                  <c:v>-52.327288837500006</c:v>
                </c:pt>
                <c:pt idx="82">
                  <c:v>-50.941043550000003</c:v>
                </c:pt>
                <c:pt idx="83">
                  <c:v>-50.326762750000007</c:v>
                </c:pt>
                <c:pt idx="84">
                  <c:v>-50.113075432499997</c:v>
                </c:pt>
                <c:pt idx="85">
                  <c:v>-49.614500000000007</c:v>
                </c:pt>
                <c:pt idx="86">
                  <c:v>-48.19049157500001</c:v>
                </c:pt>
                <c:pt idx="87">
                  <c:v>-48.163068324999998</c:v>
                </c:pt>
                <c:pt idx="88">
                  <c:v>-47.377653975000001</c:v>
                </c:pt>
                <c:pt idx="89">
                  <c:v>-46.918052775000007</c:v>
                </c:pt>
                <c:pt idx="90">
                  <c:v>-45.568366087500003</c:v>
                </c:pt>
                <c:pt idx="91">
                  <c:v>-64.296228757500003</c:v>
                </c:pt>
                <c:pt idx="92">
                  <c:v>-62.75497965000001</c:v>
                </c:pt>
                <c:pt idx="93">
                  <c:v>-62.111904437500002</c:v>
                </c:pt>
                <c:pt idx="94">
                  <c:v>-57.434869150000004</c:v>
                </c:pt>
                <c:pt idx="95">
                  <c:v>-55.889569012500019</c:v>
                </c:pt>
                <c:pt idx="96">
                  <c:v>-74.546977150000018</c:v>
                </c:pt>
                <c:pt idx="97">
                  <c:v>-68.117596187500013</c:v>
                </c:pt>
                <c:pt idx="98">
                  <c:v>-43.110750000000003</c:v>
                </c:pt>
                <c:pt idx="99">
                  <c:v>-46.851749999999996</c:v>
                </c:pt>
                <c:pt idx="100">
                  <c:v>-46.647500000000001</c:v>
                </c:pt>
                <c:pt idx="101">
                  <c:v>-73.763801917500004</c:v>
                </c:pt>
                <c:pt idx="102">
                  <c:v>-70.735145400000007</c:v>
                </c:pt>
                <c:pt idx="103">
                  <c:v>-31.044151597500001</c:v>
                </c:pt>
                <c:pt idx="104">
                  <c:v>-40.116933157500007</c:v>
                </c:pt>
                <c:pt idx="105">
                  <c:v>-34.964931049999997</c:v>
                </c:pt>
                <c:pt idx="106">
                  <c:v>-44.321822855000001</c:v>
                </c:pt>
                <c:pt idx="107">
                  <c:v>-43.942034815000007</c:v>
                </c:pt>
                <c:pt idx="108">
                  <c:v>-43.676117439999999</c:v>
                </c:pt>
                <c:pt idx="109">
                  <c:v>-42.990986400000004</c:v>
                </c:pt>
                <c:pt idx="110">
                  <c:v>-42.357925995000002</c:v>
                </c:pt>
                <c:pt idx="111">
                  <c:v>-38.068849069999999</c:v>
                </c:pt>
                <c:pt idx="112">
                  <c:v>-37.865720725000003</c:v>
                </c:pt>
                <c:pt idx="113">
                  <c:v>-52.556722539999996</c:v>
                </c:pt>
                <c:pt idx="114">
                  <c:v>-51.923955825</c:v>
                </c:pt>
                <c:pt idx="115">
                  <c:v>-51.558553864999993</c:v>
                </c:pt>
                <c:pt idx="116">
                  <c:v>-48.019215265000007</c:v>
                </c:pt>
                <c:pt idx="117">
                  <c:v>-47.279769635000001</c:v>
                </c:pt>
                <c:pt idx="118">
                  <c:v>-64.630900014999995</c:v>
                </c:pt>
                <c:pt idx="119">
                  <c:v>-64.455507422500006</c:v>
                </c:pt>
                <c:pt idx="120">
                  <c:v>-62.794700577499995</c:v>
                </c:pt>
                <c:pt idx="121">
                  <c:v>-62.671889459999996</c:v>
                </c:pt>
                <c:pt idx="122">
                  <c:v>-60.978943877500001</c:v>
                </c:pt>
                <c:pt idx="123">
                  <c:v>-60.391046695</c:v>
                </c:pt>
                <c:pt idx="124">
                  <c:v>-57.613010840000001</c:v>
                </c:pt>
                <c:pt idx="125">
                  <c:v>-57.316151095000002</c:v>
                </c:pt>
                <c:pt idx="126">
                  <c:v>-74.861131280000009</c:v>
                </c:pt>
                <c:pt idx="127">
                  <c:v>-74.443255667499997</c:v>
                </c:pt>
                <c:pt idx="128">
                  <c:v>-74.005879877500007</c:v>
                </c:pt>
                <c:pt idx="129">
                  <c:v>-73.333406425000007</c:v>
                </c:pt>
                <c:pt idx="130">
                  <c:v>-72.533239205000001</c:v>
                </c:pt>
                <c:pt idx="131">
                  <c:v>-72.080425340000005</c:v>
                </c:pt>
                <c:pt idx="132">
                  <c:v>-71.544705969999995</c:v>
                </c:pt>
                <c:pt idx="133">
                  <c:v>-71.003055180000004</c:v>
                </c:pt>
                <c:pt idx="134">
                  <c:v>-69.559342112500005</c:v>
                </c:pt>
                <c:pt idx="135">
                  <c:v>-66.805007320000001</c:v>
                </c:pt>
                <c:pt idx="136">
                  <c:v>-65.138989089999995</c:v>
                </c:pt>
                <c:pt idx="137">
                  <c:v>-65.062998629999996</c:v>
                </c:pt>
              </c:numCache>
            </c:numRef>
          </c:xVal>
          <c:yVal>
            <c:numRef>
              <c:f>'dH&amp;dN adu_2a7'!$F$2:$F$1047639</c:f>
              <c:numCache>
                <c:formatCode>General</c:formatCode>
                <c:ptCount val="1047638"/>
                <c:pt idx="1">
                  <c:v>2.5285279159999998</c:v>
                </c:pt>
                <c:pt idx="2">
                  <c:v>4.4643169909999996</c:v>
                </c:pt>
                <c:pt idx="3">
                  <c:v>6.2372421649999996</c:v>
                </c:pt>
                <c:pt idx="4">
                  <c:v>4.6951264610000001</c:v>
                </c:pt>
                <c:pt idx="5">
                  <c:v>6.7541484350000003</c:v>
                </c:pt>
                <c:pt idx="6">
                  <c:v>9.3910979920000006</c:v>
                </c:pt>
                <c:pt idx="7">
                  <c:v>2.5178868639999998</c:v>
                </c:pt>
                <c:pt idx="8">
                  <c:v>3.2257204970000002</c:v>
                </c:pt>
                <c:pt idx="9">
                  <c:v>4.6050565990000001</c:v>
                </c:pt>
                <c:pt idx="10">
                  <c:v>6.554213861</c:v>
                </c:pt>
                <c:pt idx="11">
                  <c:v>5.9248277380000003</c:v>
                </c:pt>
                <c:pt idx="12">
                  <c:v>3.4035780510000002</c:v>
                </c:pt>
                <c:pt idx="13">
                  <c:v>6.5449959849999999</c:v>
                </c:pt>
                <c:pt idx="14">
                  <c:v>9.0988914909999998</c:v>
                </c:pt>
                <c:pt idx="15">
                  <c:v>1.0860827200000001</c:v>
                </c:pt>
                <c:pt idx="16">
                  <c:v>3.0585517100000001</c:v>
                </c:pt>
                <c:pt idx="17">
                  <c:v>5.8278533020000003</c:v>
                </c:pt>
                <c:pt idx="18">
                  <c:v>4.7433851579999997</c:v>
                </c:pt>
                <c:pt idx="19">
                  <c:v>4.8630116880000003</c:v>
                </c:pt>
                <c:pt idx="20">
                  <c:v>5.7561244809999996</c:v>
                </c:pt>
                <c:pt idx="21">
                  <c:v>6.6833936920000001</c:v>
                </c:pt>
                <c:pt idx="22">
                  <c:v>6.6841224730000004</c:v>
                </c:pt>
                <c:pt idx="23">
                  <c:v>4.448716224</c:v>
                </c:pt>
                <c:pt idx="24">
                  <c:v>2.1530488000000001</c:v>
                </c:pt>
                <c:pt idx="25">
                  <c:v>4.74909654</c:v>
                </c:pt>
                <c:pt idx="26">
                  <c:v>4.143578626</c:v>
                </c:pt>
                <c:pt idx="27">
                  <c:v>3.3433716809999998</c:v>
                </c:pt>
                <c:pt idx="28">
                  <c:v>4.3369842680000001</c:v>
                </c:pt>
                <c:pt idx="29">
                  <c:v>4.5723211050000003</c:v>
                </c:pt>
                <c:pt idx="30">
                  <c:v>5.0836579520000003</c:v>
                </c:pt>
                <c:pt idx="31">
                  <c:v>6.308539991</c:v>
                </c:pt>
                <c:pt idx="32">
                  <c:v>5.6515635069999997</c:v>
                </c:pt>
                <c:pt idx="33">
                  <c:v>6.4441190510000004</c:v>
                </c:pt>
                <c:pt idx="34">
                  <c:v>1.2550141539999999</c:v>
                </c:pt>
                <c:pt idx="35">
                  <c:v>6.6736759040000004</c:v>
                </c:pt>
                <c:pt idx="36">
                  <c:v>6.1231649890000002</c:v>
                </c:pt>
                <c:pt idx="37">
                  <c:v>4.6128611279999996</c:v>
                </c:pt>
                <c:pt idx="38">
                  <c:v>8.7866986669999996</c:v>
                </c:pt>
                <c:pt idx="39">
                  <c:v>5.6833118059999999</c:v>
                </c:pt>
                <c:pt idx="40">
                  <c:v>4.2251110140000003</c:v>
                </c:pt>
                <c:pt idx="41">
                  <c:v>2.1809722819999999</c:v>
                </c:pt>
                <c:pt idx="42">
                  <c:v>3.9660569749999999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84-46A7-A15B-9B580E01F7E7}"/>
            </c:ext>
          </c:extLst>
        </c:ser>
        <c:ser>
          <c:idx val="1"/>
          <c:order val="1"/>
          <c:tx>
            <c:strRef>
              <c:f>'dH&amp;dN adu_2a7'!$G$1</c:f>
              <c:strCache>
                <c:ptCount val="1"/>
                <c:pt idx="0">
                  <c:v>Suisse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'dH&amp;dN adu_2a7'!$E$2:$E$1047639</c:f>
              <c:numCache>
                <c:formatCode>General</c:formatCode>
                <c:ptCount val="1047638"/>
                <c:pt idx="0">
                  <c:v>-26.812774867499996</c:v>
                </c:pt>
                <c:pt idx="1">
                  <c:v>-37.17081975</c:v>
                </c:pt>
                <c:pt idx="2">
                  <c:v>-54.712499999999999</c:v>
                </c:pt>
                <c:pt idx="3">
                  <c:v>-53.967247999999998</c:v>
                </c:pt>
                <c:pt idx="4">
                  <c:v>-53.437500000000007</c:v>
                </c:pt>
                <c:pt idx="5">
                  <c:v>-50.099338000000003</c:v>
                </c:pt>
                <c:pt idx="6">
                  <c:v>-49.760336750000008</c:v>
                </c:pt>
                <c:pt idx="7">
                  <c:v>-63.307039250000003</c:v>
                </c:pt>
                <c:pt idx="8">
                  <c:v>-59.25</c:v>
                </c:pt>
                <c:pt idx="9">
                  <c:v>-58.750000000000007</c:v>
                </c:pt>
                <c:pt idx="10">
                  <c:v>-57.975000000000001</c:v>
                </c:pt>
                <c:pt idx="11">
                  <c:v>-55.787500000000001</c:v>
                </c:pt>
                <c:pt idx="12">
                  <c:v>-55.162500000000001</c:v>
                </c:pt>
                <c:pt idx="13">
                  <c:v>-71.837500000000006</c:v>
                </c:pt>
                <c:pt idx="14">
                  <c:v>-70.734265250000007</c:v>
                </c:pt>
                <c:pt idx="15">
                  <c:v>-51.858783000000003</c:v>
                </c:pt>
                <c:pt idx="16">
                  <c:v>-51.550561999999999</c:v>
                </c:pt>
                <c:pt idx="17">
                  <c:v>-63.505791250000001</c:v>
                </c:pt>
                <c:pt idx="18">
                  <c:v>-59.880514000000005</c:v>
                </c:pt>
                <c:pt idx="19">
                  <c:v>-59.113617750000003</c:v>
                </c:pt>
                <c:pt idx="20">
                  <c:v>-72.028892999999997</c:v>
                </c:pt>
                <c:pt idx="21">
                  <c:v>-70.633115000000004</c:v>
                </c:pt>
                <c:pt idx="22">
                  <c:v>-73.642634999999999</c:v>
                </c:pt>
                <c:pt idx="23">
                  <c:v>-29.85</c:v>
                </c:pt>
                <c:pt idx="24">
                  <c:v>-39.336625500000004</c:v>
                </c:pt>
                <c:pt idx="25">
                  <c:v>-37.864625000000004</c:v>
                </c:pt>
                <c:pt idx="26">
                  <c:v>-53.598146249999999</c:v>
                </c:pt>
                <c:pt idx="27">
                  <c:v>-51.9375</c:v>
                </c:pt>
                <c:pt idx="28">
                  <c:v>-51.889034500000001</c:v>
                </c:pt>
                <c:pt idx="29">
                  <c:v>-64.74261525</c:v>
                </c:pt>
                <c:pt idx="30">
                  <c:v>-64.431995499999999</c:v>
                </c:pt>
                <c:pt idx="31">
                  <c:v>-60.296180249999999</c:v>
                </c:pt>
                <c:pt idx="32">
                  <c:v>-57.487499999999997</c:v>
                </c:pt>
                <c:pt idx="33">
                  <c:v>-74.674144499999997</c:v>
                </c:pt>
                <c:pt idx="34">
                  <c:v>-74.3125</c:v>
                </c:pt>
                <c:pt idx="35">
                  <c:v>-73.840697500000005</c:v>
                </c:pt>
                <c:pt idx="36">
                  <c:v>-73.014245750000001</c:v>
                </c:pt>
                <c:pt idx="37">
                  <c:v>-71.212500000000006</c:v>
                </c:pt>
                <c:pt idx="38">
                  <c:v>-71.129618000000008</c:v>
                </c:pt>
                <c:pt idx="39">
                  <c:v>-69.975000000000009</c:v>
                </c:pt>
                <c:pt idx="40">
                  <c:v>-68.2</c:v>
                </c:pt>
                <c:pt idx="41">
                  <c:v>-68.0625</c:v>
                </c:pt>
                <c:pt idx="42">
                  <c:v>-66.087500000000006</c:v>
                </c:pt>
                <c:pt idx="43">
                  <c:v>-24.049157664999999</c:v>
                </c:pt>
                <c:pt idx="44">
                  <c:v>-34.894203252499999</c:v>
                </c:pt>
                <c:pt idx="45">
                  <c:v>-34.544881035000003</c:v>
                </c:pt>
                <c:pt idx="46">
                  <c:v>-33.670045282500006</c:v>
                </c:pt>
                <c:pt idx="47">
                  <c:v>-33.202314287500002</c:v>
                </c:pt>
                <c:pt idx="48">
                  <c:v>-32.651106962499995</c:v>
                </c:pt>
                <c:pt idx="49">
                  <c:v>-32.598336824999997</c:v>
                </c:pt>
                <c:pt idx="50">
                  <c:v>-32.411169112499998</c:v>
                </c:pt>
                <c:pt idx="51">
                  <c:v>-32.077961037500003</c:v>
                </c:pt>
                <c:pt idx="52">
                  <c:v>-30.630996202499997</c:v>
                </c:pt>
                <c:pt idx="53">
                  <c:v>-30.554749999999995</c:v>
                </c:pt>
                <c:pt idx="54">
                  <c:v>-30.551857174999999</c:v>
                </c:pt>
                <c:pt idx="55">
                  <c:v>-29.100380242500002</c:v>
                </c:pt>
                <c:pt idx="56">
                  <c:v>-28.900977525000002</c:v>
                </c:pt>
                <c:pt idx="57">
                  <c:v>-28.282388017499997</c:v>
                </c:pt>
                <c:pt idx="58">
                  <c:v>-27.939940425</c:v>
                </c:pt>
                <c:pt idx="59">
                  <c:v>-27.682014062499999</c:v>
                </c:pt>
                <c:pt idx="60">
                  <c:v>-26.927848349999994</c:v>
                </c:pt>
                <c:pt idx="61">
                  <c:v>-25.732220987500003</c:v>
                </c:pt>
                <c:pt idx="62">
                  <c:v>-25.078176474999996</c:v>
                </c:pt>
                <c:pt idx="63">
                  <c:v>-42.193026800000005</c:v>
                </c:pt>
                <c:pt idx="64">
                  <c:v>-42.057281712500007</c:v>
                </c:pt>
                <c:pt idx="65">
                  <c:v>-41.400765022499996</c:v>
                </c:pt>
                <c:pt idx="66">
                  <c:v>-41.394625267500004</c:v>
                </c:pt>
                <c:pt idx="67">
                  <c:v>-40.753306175000006</c:v>
                </c:pt>
                <c:pt idx="68">
                  <c:v>-40.431652200000002</c:v>
                </c:pt>
                <c:pt idx="69">
                  <c:v>-40.407773225000007</c:v>
                </c:pt>
                <c:pt idx="70">
                  <c:v>-39.964426132500002</c:v>
                </c:pt>
                <c:pt idx="71">
                  <c:v>-39.815431025000002</c:v>
                </c:pt>
                <c:pt idx="72">
                  <c:v>-39.613659975000004</c:v>
                </c:pt>
                <c:pt idx="73">
                  <c:v>-39.594249990000002</c:v>
                </c:pt>
                <c:pt idx="74">
                  <c:v>-37.934696272500005</c:v>
                </c:pt>
                <c:pt idx="75">
                  <c:v>-36.180865485000005</c:v>
                </c:pt>
                <c:pt idx="76">
                  <c:v>-35.716412272500001</c:v>
                </c:pt>
                <c:pt idx="77">
                  <c:v>-54.803359665000009</c:v>
                </c:pt>
                <c:pt idx="78">
                  <c:v>-53.400909075000008</c:v>
                </c:pt>
                <c:pt idx="79">
                  <c:v>-53.293540117500001</c:v>
                </c:pt>
                <c:pt idx="80">
                  <c:v>-52.549250000000001</c:v>
                </c:pt>
                <c:pt idx="81">
                  <c:v>-52.327288837500006</c:v>
                </c:pt>
                <c:pt idx="82">
                  <c:v>-50.941043550000003</c:v>
                </c:pt>
                <c:pt idx="83">
                  <c:v>-50.326762750000007</c:v>
                </c:pt>
                <c:pt idx="84">
                  <c:v>-50.113075432499997</c:v>
                </c:pt>
                <c:pt idx="85">
                  <c:v>-49.614500000000007</c:v>
                </c:pt>
                <c:pt idx="86">
                  <c:v>-48.19049157500001</c:v>
                </c:pt>
                <c:pt idx="87">
                  <c:v>-48.163068324999998</c:v>
                </c:pt>
                <c:pt idx="88">
                  <c:v>-47.377653975000001</c:v>
                </c:pt>
                <c:pt idx="89">
                  <c:v>-46.918052775000007</c:v>
                </c:pt>
                <c:pt idx="90">
                  <c:v>-45.568366087500003</c:v>
                </c:pt>
                <c:pt idx="91">
                  <c:v>-64.296228757500003</c:v>
                </c:pt>
                <c:pt idx="92">
                  <c:v>-62.75497965000001</c:v>
                </c:pt>
                <c:pt idx="93">
                  <c:v>-62.111904437500002</c:v>
                </c:pt>
                <c:pt idx="94">
                  <c:v>-57.434869150000004</c:v>
                </c:pt>
                <c:pt idx="95">
                  <c:v>-55.889569012500019</c:v>
                </c:pt>
                <c:pt idx="96">
                  <c:v>-74.546977150000018</c:v>
                </c:pt>
                <c:pt idx="97">
                  <c:v>-68.117596187500013</c:v>
                </c:pt>
                <c:pt idx="98">
                  <c:v>-43.110750000000003</c:v>
                </c:pt>
                <c:pt idx="99">
                  <c:v>-46.851749999999996</c:v>
                </c:pt>
                <c:pt idx="100">
                  <c:v>-46.647500000000001</c:v>
                </c:pt>
                <c:pt idx="101">
                  <c:v>-73.763801917500004</c:v>
                </c:pt>
                <c:pt idx="102">
                  <c:v>-70.735145400000007</c:v>
                </c:pt>
                <c:pt idx="103">
                  <c:v>-31.044151597500001</c:v>
                </c:pt>
                <c:pt idx="104">
                  <c:v>-40.116933157500007</c:v>
                </c:pt>
                <c:pt idx="105">
                  <c:v>-34.964931049999997</c:v>
                </c:pt>
                <c:pt idx="106">
                  <c:v>-44.321822855000001</c:v>
                </c:pt>
                <c:pt idx="107">
                  <c:v>-43.942034815000007</c:v>
                </c:pt>
                <c:pt idx="108">
                  <c:v>-43.676117439999999</c:v>
                </c:pt>
                <c:pt idx="109">
                  <c:v>-42.990986400000004</c:v>
                </c:pt>
                <c:pt idx="110">
                  <c:v>-42.357925995000002</c:v>
                </c:pt>
                <c:pt idx="111">
                  <c:v>-38.068849069999999</c:v>
                </c:pt>
                <c:pt idx="112">
                  <c:v>-37.865720725000003</c:v>
                </c:pt>
                <c:pt idx="113">
                  <c:v>-52.556722539999996</c:v>
                </c:pt>
                <c:pt idx="114">
                  <c:v>-51.923955825</c:v>
                </c:pt>
                <c:pt idx="115">
                  <c:v>-51.558553864999993</c:v>
                </c:pt>
                <c:pt idx="116">
                  <c:v>-48.019215265000007</c:v>
                </c:pt>
                <c:pt idx="117">
                  <c:v>-47.279769635000001</c:v>
                </c:pt>
                <c:pt idx="118">
                  <c:v>-64.630900014999995</c:v>
                </c:pt>
                <c:pt idx="119">
                  <c:v>-64.455507422500006</c:v>
                </c:pt>
                <c:pt idx="120">
                  <c:v>-62.794700577499995</c:v>
                </c:pt>
                <c:pt idx="121">
                  <c:v>-62.671889459999996</c:v>
                </c:pt>
                <c:pt idx="122">
                  <c:v>-60.978943877500001</c:v>
                </c:pt>
                <c:pt idx="123">
                  <c:v>-60.391046695</c:v>
                </c:pt>
                <c:pt idx="124">
                  <c:v>-57.613010840000001</c:v>
                </c:pt>
                <c:pt idx="125">
                  <c:v>-57.316151095000002</c:v>
                </c:pt>
                <c:pt idx="126">
                  <c:v>-74.861131280000009</c:v>
                </c:pt>
                <c:pt idx="127">
                  <c:v>-74.443255667499997</c:v>
                </c:pt>
                <c:pt idx="128">
                  <c:v>-74.005879877500007</c:v>
                </c:pt>
                <c:pt idx="129">
                  <c:v>-73.333406425000007</c:v>
                </c:pt>
                <c:pt idx="130">
                  <c:v>-72.533239205000001</c:v>
                </c:pt>
                <c:pt idx="131">
                  <c:v>-72.080425340000005</c:v>
                </c:pt>
                <c:pt idx="132">
                  <c:v>-71.544705969999995</c:v>
                </c:pt>
                <c:pt idx="133">
                  <c:v>-71.003055180000004</c:v>
                </c:pt>
                <c:pt idx="134">
                  <c:v>-69.559342112500005</c:v>
                </c:pt>
                <c:pt idx="135">
                  <c:v>-66.805007320000001</c:v>
                </c:pt>
                <c:pt idx="136">
                  <c:v>-65.138989089999995</c:v>
                </c:pt>
                <c:pt idx="137">
                  <c:v>-65.062998629999996</c:v>
                </c:pt>
              </c:numCache>
            </c:numRef>
          </c:xVal>
          <c:yVal>
            <c:numRef>
              <c:f>'dH&amp;dN adu_2a7'!$G$2:$G$1047639</c:f>
              <c:numCache>
                <c:formatCode>General</c:formatCode>
                <c:ptCount val="1047638"/>
                <c:pt idx="0">
                  <c:v>-1.2541429799999999</c:v>
                </c:pt>
                <c:pt idx="43">
                  <c:v>-1.1691658789999999</c:v>
                </c:pt>
                <c:pt idx="44">
                  <c:v>-0.27530228699999998</c:v>
                </c:pt>
                <c:pt idx="45">
                  <c:v>4.1568201020000002</c:v>
                </c:pt>
                <c:pt idx="46">
                  <c:v>1.0884486019999999</c:v>
                </c:pt>
                <c:pt idx="47">
                  <c:v>0.12422535017686376</c:v>
                </c:pt>
                <c:pt idx="48">
                  <c:v>2.0368459365255687</c:v>
                </c:pt>
                <c:pt idx="49">
                  <c:v>-1.413145592</c:v>
                </c:pt>
                <c:pt idx="50">
                  <c:v>0.43389958299999998</c:v>
                </c:pt>
                <c:pt idx="51">
                  <c:v>1.4755743795724348</c:v>
                </c:pt>
                <c:pt idx="52">
                  <c:v>9.886901E-3</c:v>
                </c:pt>
                <c:pt idx="53">
                  <c:v>2.2135804690000001</c:v>
                </c:pt>
                <c:pt idx="54">
                  <c:v>0.6062469160672852</c:v>
                </c:pt>
                <c:pt idx="55">
                  <c:v>-0.76427224599999999</c:v>
                </c:pt>
                <c:pt idx="56">
                  <c:v>4.3163520451468553</c:v>
                </c:pt>
                <c:pt idx="57">
                  <c:v>-1.5456571690000001</c:v>
                </c:pt>
                <c:pt idx="58">
                  <c:v>1.1488561859999999</c:v>
                </c:pt>
                <c:pt idx="59">
                  <c:v>1.3894092580109372</c:v>
                </c:pt>
                <c:pt idx="60">
                  <c:v>3.5803873999999999E-2</c:v>
                </c:pt>
                <c:pt idx="61">
                  <c:v>1.5919531131477958</c:v>
                </c:pt>
                <c:pt idx="62">
                  <c:v>2.7406756114669628</c:v>
                </c:pt>
                <c:pt idx="63">
                  <c:v>2.0479478071630148</c:v>
                </c:pt>
                <c:pt idx="64">
                  <c:v>-0.37463331092662133</c:v>
                </c:pt>
                <c:pt idx="65">
                  <c:v>-1.1691658789999999</c:v>
                </c:pt>
                <c:pt idx="66">
                  <c:v>0.39691395899999998</c:v>
                </c:pt>
                <c:pt idx="67">
                  <c:v>2.5328247165417843</c:v>
                </c:pt>
                <c:pt idx="68">
                  <c:v>-1.3365580610000001</c:v>
                </c:pt>
                <c:pt idx="69">
                  <c:v>0.65172609636182832</c:v>
                </c:pt>
                <c:pt idx="70">
                  <c:v>-0.79126873200000003</c:v>
                </c:pt>
                <c:pt idx="71">
                  <c:v>4.303145512077255</c:v>
                </c:pt>
                <c:pt idx="72">
                  <c:v>-0.81615113100000003</c:v>
                </c:pt>
                <c:pt idx="73">
                  <c:v>-1.3236157209999999</c:v>
                </c:pt>
                <c:pt idx="74">
                  <c:v>-0.47035755200000001</c:v>
                </c:pt>
                <c:pt idx="75">
                  <c:v>0.100789875</c:v>
                </c:pt>
                <c:pt idx="76">
                  <c:v>-0.92334619100000004</c:v>
                </c:pt>
                <c:pt idx="77">
                  <c:v>-1.6715452049999999</c:v>
                </c:pt>
                <c:pt idx="78">
                  <c:v>-5.8946983736034131E-2</c:v>
                </c:pt>
                <c:pt idx="79">
                  <c:v>-1.0430805439999999</c:v>
                </c:pt>
                <c:pt idx="80">
                  <c:v>0.60270095999999995</c:v>
                </c:pt>
                <c:pt idx="81">
                  <c:v>0.26806939995990509</c:v>
                </c:pt>
                <c:pt idx="82">
                  <c:v>-0.16429921586171181</c:v>
                </c:pt>
                <c:pt idx="83">
                  <c:v>2.3573002094732995</c:v>
                </c:pt>
                <c:pt idx="84">
                  <c:v>0.73120513499999995</c:v>
                </c:pt>
                <c:pt idx="85">
                  <c:v>-1.2849384619999999</c:v>
                </c:pt>
                <c:pt idx="86">
                  <c:v>-1.3106764455763671</c:v>
                </c:pt>
                <c:pt idx="87">
                  <c:v>-0.3724813647843539</c:v>
                </c:pt>
                <c:pt idx="88">
                  <c:v>-0.67011379999999998</c:v>
                </c:pt>
                <c:pt idx="89">
                  <c:v>1.5747509275122344</c:v>
                </c:pt>
                <c:pt idx="90">
                  <c:v>2.6561990980000001</c:v>
                </c:pt>
                <c:pt idx="91">
                  <c:v>-1.2004385360000001</c:v>
                </c:pt>
                <c:pt idx="92">
                  <c:v>-0.63101091745464055</c:v>
                </c:pt>
                <c:pt idx="93">
                  <c:v>1.2578462762450267</c:v>
                </c:pt>
                <c:pt idx="94">
                  <c:v>-1.1351922241528278</c:v>
                </c:pt>
                <c:pt idx="95">
                  <c:v>1.3105372472643015</c:v>
                </c:pt>
                <c:pt idx="96">
                  <c:v>-0.78862924886818908</c:v>
                </c:pt>
                <c:pt idx="97">
                  <c:v>6.7388229332522256</c:v>
                </c:pt>
                <c:pt idx="98">
                  <c:v>1.887067598</c:v>
                </c:pt>
                <c:pt idx="99">
                  <c:v>2.0857327219999999</c:v>
                </c:pt>
                <c:pt idx="100">
                  <c:v>3.0885518529999998</c:v>
                </c:pt>
                <c:pt idx="103">
                  <c:v>1.180864336</c:v>
                </c:pt>
                <c:pt idx="104">
                  <c:v>-1.2479256569999999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84-46A7-A15B-9B580E01F7E7}"/>
            </c:ext>
          </c:extLst>
        </c:ser>
        <c:ser>
          <c:idx val="2"/>
          <c:order val="2"/>
          <c:tx>
            <c:strRef>
              <c:f>'dH&amp;dN adu_2a7'!$H$1</c:f>
              <c:strCache>
                <c:ptCount val="1"/>
                <c:pt idx="0">
                  <c:v>C. indét.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'dH&amp;dN adu_2a7'!$E$2:$E$1047639</c:f>
              <c:numCache>
                <c:formatCode>General</c:formatCode>
                <c:ptCount val="1047638"/>
                <c:pt idx="0">
                  <c:v>-26.812774867499996</c:v>
                </c:pt>
                <c:pt idx="1">
                  <c:v>-37.17081975</c:v>
                </c:pt>
                <c:pt idx="2">
                  <c:v>-54.712499999999999</c:v>
                </c:pt>
                <c:pt idx="3">
                  <c:v>-53.967247999999998</c:v>
                </c:pt>
                <c:pt idx="4">
                  <c:v>-53.437500000000007</c:v>
                </c:pt>
                <c:pt idx="5">
                  <c:v>-50.099338000000003</c:v>
                </c:pt>
                <c:pt idx="6">
                  <c:v>-49.760336750000008</c:v>
                </c:pt>
                <c:pt idx="7">
                  <c:v>-63.307039250000003</c:v>
                </c:pt>
                <c:pt idx="8">
                  <c:v>-59.25</c:v>
                </c:pt>
                <c:pt idx="9">
                  <c:v>-58.750000000000007</c:v>
                </c:pt>
                <c:pt idx="10">
                  <c:v>-57.975000000000001</c:v>
                </c:pt>
                <c:pt idx="11">
                  <c:v>-55.787500000000001</c:v>
                </c:pt>
                <c:pt idx="12">
                  <c:v>-55.162500000000001</c:v>
                </c:pt>
                <c:pt idx="13">
                  <c:v>-71.837500000000006</c:v>
                </c:pt>
                <c:pt idx="14">
                  <c:v>-70.734265250000007</c:v>
                </c:pt>
                <c:pt idx="15">
                  <c:v>-51.858783000000003</c:v>
                </c:pt>
                <c:pt idx="16">
                  <c:v>-51.550561999999999</c:v>
                </c:pt>
                <c:pt idx="17">
                  <c:v>-63.505791250000001</c:v>
                </c:pt>
                <c:pt idx="18">
                  <c:v>-59.880514000000005</c:v>
                </c:pt>
                <c:pt idx="19">
                  <c:v>-59.113617750000003</c:v>
                </c:pt>
                <c:pt idx="20">
                  <c:v>-72.028892999999997</c:v>
                </c:pt>
                <c:pt idx="21">
                  <c:v>-70.633115000000004</c:v>
                </c:pt>
                <c:pt idx="22">
                  <c:v>-73.642634999999999</c:v>
                </c:pt>
                <c:pt idx="23">
                  <c:v>-29.85</c:v>
                </c:pt>
                <c:pt idx="24">
                  <c:v>-39.336625500000004</c:v>
                </c:pt>
                <c:pt idx="25">
                  <c:v>-37.864625000000004</c:v>
                </c:pt>
                <c:pt idx="26">
                  <c:v>-53.598146249999999</c:v>
                </c:pt>
                <c:pt idx="27">
                  <c:v>-51.9375</c:v>
                </c:pt>
                <c:pt idx="28">
                  <c:v>-51.889034500000001</c:v>
                </c:pt>
                <c:pt idx="29">
                  <c:v>-64.74261525</c:v>
                </c:pt>
                <c:pt idx="30">
                  <c:v>-64.431995499999999</c:v>
                </c:pt>
                <c:pt idx="31">
                  <c:v>-60.296180249999999</c:v>
                </c:pt>
                <c:pt idx="32">
                  <c:v>-57.487499999999997</c:v>
                </c:pt>
                <c:pt idx="33">
                  <c:v>-74.674144499999997</c:v>
                </c:pt>
                <c:pt idx="34">
                  <c:v>-74.3125</c:v>
                </c:pt>
                <c:pt idx="35">
                  <c:v>-73.840697500000005</c:v>
                </c:pt>
                <c:pt idx="36">
                  <c:v>-73.014245750000001</c:v>
                </c:pt>
                <c:pt idx="37">
                  <c:v>-71.212500000000006</c:v>
                </c:pt>
                <c:pt idx="38">
                  <c:v>-71.129618000000008</c:v>
                </c:pt>
                <c:pt idx="39">
                  <c:v>-69.975000000000009</c:v>
                </c:pt>
                <c:pt idx="40">
                  <c:v>-68.2</c:v>
                </c:pt>
                <c:pt idx="41">
                  <c:v>-68.0625</c:v>
                </c:pt>
                <c:pt idx="42">
                  <c:v>-66.087500000000006</c:v>
                </c:pt>
                <c:pt idx="43">
                  <c:v>-24.049157664999999</c:v>
                </c:pt>
                <c:pt idx="44">
                  <c:v>-34.894203252499999</c:v>
                </c:pt>
                <c:pt idx="45">
                  <c:v>-34.544881035000003</c:v>
                </c:pt>
                <c:pt idx="46">
                  <c:v>-33.670045282500006</c:v>
                </c:pt>
                <c:pt idx="47">
                  <c:v>-33.202314287500002</c:v>
                </c:pt>
                <c:pt idx="48">
                  <c:v>-32.651106962499995</c:v>
                </c:pt>
                <c:pt idx="49">
                  <c:v>-32.598336824999997</c:v>
                </c:pt>
                <c:pt idx="50">
                  <c:v>-32.411169112499998</c:v>
                </c:pt>
                <c:pt idx="51">
                  <c:v>-32.077961037500003</c:v>
                </c:pt>
                <c:pt idx="52">
                  <c:v>-30.630996202499997</c:v>
                </c:pt>
                <c:pt idx="53">
                  <c:v>-30.554749999999995</c:v>
                </c:pt>
                <c:pt idx="54">
                  <c:v>-30.551857174999999</c:v>
                </c:pt>
                <c:pt idx="55">
                  <c:v>-29.100380242500002</c:v>
                </c:pt>
                <c:pt idx="56">
                  <c:v>-28.900977525000002</c:v>
                </c:pt>
                <c:pt idx="57">
                  <c:v>-28.282388017499997</c:v>
                </c:pt>
                <c:pt idx="58">
                  <c:v>-27.939940425</c:v>
                </c:pt>
                <c:pt idx="59">
                  <c:v>-27.682014062499999</c:v>
                </c:pt>
                <c:pt idx="60">
                  <c:v>-26.927848349999994</c:v>
                </c:pt>
                <c:pt idx="61">
                  <c:v>-25.732220987500003</c:v>
                </c:pt>
                <c:pt idx="62">
                  <c:v>-25.078176474999996</c:v>
                </c:pt>
                <c:pt idx="63">
                  <c:v>-42.193026800000005</c:v>
                </c:pt>
                <c:pt idx="64">
                  <c:v>-42.057281712500007</c:v>
                </c:pt>
                <c:pt idx="65">
                  <c:v>-41.400765022499996</c:v>
                </c:pt>
                <c:pt idx="66">
                  <c:v>-41.394625267500004</c:v>
                </c:pt>
                <c:pt idx="67">
                  <c:v>-40.753306175000006</c:v>
                </c:pt>
                <c:pt idx="68">
                  <c:v>-40.431652200000002</c:v>
                </c:pt>
                <c:pt idx="69">
                  <c:v>-40.407773225000007</c:v>
                </c:pt>
                <c:pt idx="70">
                  <c:v>-39.964426132500002</c:v>
                </c:pt>
                <c:pt idx="71">
                  <c:v>-39.815431025000002</c:v>
                </c:pt>
                <c:pt idx="72">
                  <c:v>-39.613659975000004</c:v>
                </c:pt>
                <c:pt idx="73">
                  <c:v>-39.594249990000002</c:v>
                </c:pt>
                <c:pt idx="74">
                  <c:v>-37.934696272500005</c:v>
                </c:pt>
                <c:pt idx="75">
                  <c:v>-36.180865485000005</c:v>
                </c:pt>
                <c:pt idx="76">
                  <c:v>-35.716412272500001</c:v>
                </c:pt>
                <c:pt idx="77">
                  <c:v>-54.803359665000009</c:v>
                </c:pt>
                <c:pt idx="78">
                  <c:v>-53.400909075000008</c:v>
                </c:pt>
                <c:pt idx="79">
                  <c:v>-53.293540117500001</c:v>
                </c:pt>
                <c:pt idx="80">
                  <c:v>-52.549250000000001</c:v>
                </c:pt>
                <c:pt idx="81">
                  <c:v>-52.327288837500006</c:v>
                </c:pt>
                <c:pt idx="82">
                  <c:v>-50.941043550000003</c:v>
                </c:pt>
                <c:pt idx="83">
                  <c:v>-50.326762750000007</c:v>
                </c:pt>
                <c:pt idx="84">
                  <c:v>-50.113075432499997</c:v>
                </c:pt>
                <c:pt idx="85">
                  <c:v>-49.614500000000007</c:v>
                </c:pt>
                <c:pt idx="86">
                  <c:v>-48.19049157500001</c:v>
                </c:pt>
                <c:pt idx="87">
                  <c:v>-48.163068324999998</c:v>
                </c:pt>
                <c:pt idx="88">
                  <c:v>-47.377653975000001</c:v>
                </c:pt>
                <c:pt idx="89">
                  <c:v>-46.918052775000007</c:v>
                </c:pt>
                <c:pt idx="90">
                  <c:v>-45.568366087500003</c:v>
                </c:pt>
                <c:pt idx="91">
                  <c:v>-64.296228757500003</c:v>
                </c:pt>
                <c:pt idx="92">
                  <c:v>-62.75497965000001</c:v>
                </c:pt>
                <c:pt idx="93">
                  <c:v>-62.111904437500002</c:v>
                </c:pt>
                <c:pt idx="94">
                  <c:v>-57.434869150000004</c:v>
                </c:pt>
                <c:pt idx="95">
                  <c:v>-55.889569012500019</c:v>
                </c:pt>
                <c:pt idx="96">
                  <c:v>-74.546977150000018</c:v>
                </c:pt>
                <c:pt idx="97">
                  <c:v>-68.117596187500013</c:v>
                </c:pt>
                <c:pt idx="98">
                  <c:v>-43.110750000000003</c:v>
                </c:pt>
                <c:pt idx="99">
                  <c:v>-46.851749999999996</c:v>
                </c:pt>
                <c:pt idx="100">
                  <c:v>-46.647500000000001</c:v>
                </c:pt>
                <c:pt idx="101">
                  <c:v>-73.763801917500004</c:v>
                </c:pt>
                <c:pt idx="102">
                  <c:v>-70.735145400000007</c:v>
                </c:pt>
                <c:pt idx="103">
                  <c:v>-31.044151597500001</c:v>
                </c:pt>
                <c:pt idx="104">
                  <c:v>-40.116933157500007</c:v>
                </c:pt>
                <c:pt idx="105">
                  <c:v>-34.964931049999997</c:v>
                </c:pt>
                <c:pt idx="106">
                  <c:v>-44.321822855000001</c:v>
                </c:pt>
                <c:pt idx="107">
                  <c:v>-43.942034815000007</c:v>
                </c:pt>
                <c:pt idx="108">
                  <c:v>-43.676117439999999</c:v>
                </c:pt>
                <c:pt idx="109">
                  <c:v>-42.990986400000004</c:v>
                </c:pt>
                <c:pt idx="110">
                  <c:v>-42.357925995000002</c:v>
                </c:pt>
                <c:pt idx="111">
                  <c:v>-38.068849069999999</c:v>
                </c:pt>
                <c:pt idx="112">
                  <c:v>-37.865720725000003</c:v>
                </c:pt>
                <c:pt idx="113">
                  <c:v>-52.556722539999996</c:v>
                </c:pt>
                <c:pt idx="114">
                  <c:v>-51.923955825</c:v>
                </c:pt>
                <c:pt idx="115">
                  <c:v>-51.558553864999993</c:v>
                </c:pt>
                <c:pt idx="116">
                  <c:v>-48.019215265000007</c:v>
                </c:pt>
                <c:pt idx="117">
                  <c:v>-47.279769635000001</c:v>
                </c:pt>
                <c:pt idx="118">
                  <c:v>-64.630900014999995</c:v>
                </c:pt>
                <c:pt idx="119">
                  <c:v>-64.455507422500006</c:v>
                </c:pt>
                <c:pt idx="120">
                  <c:v>-62.794700577499995</c:v>
                </c:pt>
                <c:pt idx="121">
                  <c:v>-62.671889459999996</c:v>
                </c:pt>
                <c:pt idx="122">
                  <c:v>-60.978943877500001</c:v>
                </c:pt>
                <c:pt idx="123">
                  <c:v>-60.391046695</c:v>
                </c:pt>
                <c:pt idx="124">
                  <c:v>-57.613010840000001</c:v>
                </c:pt>
                <c:pt idx="125">
                  <c:v>-57.316151095000002</c:v>
                </c:pt>
                <c:pt idx="126">
                  <c:v>-74.861131280000009</c:v>
                </c:pt>
                <c:pt idx="127">
                  <c:v>-74.443255667499997</c:v>
                </c:pt>
                <c:pt idx="128">
                  <c:v>-74.005879877500007</c:v>
                </c:pt>
                <c:pt idx="129">
                  <c:v>-73.333406425000007</c:v>
                </c:pt>
                <c:pt idx="130">
                  <c:v>-72.533239205000001</c:v>
                </c:pt>
                <c:pt idx="131">
                  <c:v>-72.080425340000005</c:v>
                </c:pt>
                <c:pt idx="132">
                  <c:v>-71.544705969999995</c:v>
                </c:pt>
                <c:pt idx="133">
                  <c:v>-71.003055180000004</c:v>
                </c:pt>
                <c:pt idx="134">
                  <c:v>-69.559342112500005</c:v>
                </c:pt>
                <c:pt idx="135">
                  <c:v>-66.805007320000001</c:v>
                </c:pt>
                <c:pt idx="136">
                  <c:v>-65.138989089999995</c:v>
                </c:pt>
                <c:pt idx="137">
                  <c:v>-65.062998629999996</c:v>
                </c:pt>
              </c:numCache>
            </c:numRef>
          </c:xVal>
          <c:yVal>
            <c:numRef>
              <c:f>'dH&amp;dN adu_2a7'!$H$2:$H$1047639</c:f>
              <c:numCache>
                <c:formatCode>General</c:formatCode>
                <c:ptCount val="1047638"/>
                <c:pt idx="101">
                  <c:v>5.5331506380000004</c:v>
                </c:pt>
                <c:pt idx="102">
                  <c:v>4.6636115257952433</c:v>
                </c:pt>
                <c:pt idx="105">
                  <c:v>0.19</c:v>
                </c:pt>
                <c:pt idx="106">
                  <c:v>7.6500159810000001</c:v>
                </c:pt>
                <c:pt idx="107">
                  <c:v>2.95</c:v>
                </c:pt>
                <c:pt idx="108">
                  <c:v>5.6548415350000001</c:v>
                </c:pt>
                <c:pt idx="109">
                  <c:v>7.1977436279999996</c:v>
                </c:pt>
                <c:pt idx="110">
                  <c:v>3.81</c:v>
                </c:pt>
                <c:pt idx="111">
                  <c:v>1.0900000000000001</c:v>
                </c:pt>
                <c:pt idx="112">
                  <c:v>1.3</c:v>
                </c:pt>
                <c:pt idx="113">
                  <c:v>-1.33</c:v>
                </c:pt>
                <c:pt idx="114">
                  <c:v>8.75</c:v>
                </c:pt>
                <c:pt idx="115">
                  <c:v>10.515709879999999</c:v>
                </c:pt>
                <c:pt idx="116">
                  <c:v>4.2699999999999996</c:v>
                </c:pt>
                <c:pt idx="117">
                  <c:v>7.25</c:v>
                </c:pt>
                <c:pt idx="118">
                  <c:v>-0.25282767299999998</c:v>
                </c:pt>
                <c:pt idx="119">
                  <c:v>0.10775367299999999</c:v>
                </c:pt>
                <c:pt idx="120">
                  <c:v>6.4356554460000002</c:v>
                </c:pt>
                <c:pt idx="121">
                  <c:v>6.7982294169999999</c:v>
                </c:pt>
                <c:pt idx="122">
                  <c:v>5.7212481039999998</c:v>
                </c:pt>
                <c:pt idx="123">
                  <c:v>5.92</c:v>
                </c:pt>
                <c:pt idx="124">
                  <c:v>6.55</c:v>
                </c:pt>
                <c:pt idx="125">
                  <c:v>3.893059037</c:v>
                </c:pt>
                <c:pt idx="126">
                  <c:v>6.4195077019999998</c:v>
                </c:pt>
                <c:pt idx="127">
                  <c:v>6.2494094899999997</c:v>
                </c:pt>
                <c:pt idx="128">
                  <c:v>8.603591539</c:v>
                </c:pt>
                <c:pt idx="129">
                  <c:v>6.0384375830000003</c:v>
                </c:pt>
                <c:pt idx="130">
                  <c:v>5.7328943819999996</c:v>
                </c:pt>
                <c:pt idx="131">
                  <c:v>6.99</c:v>
                </c:pt>
                <c:pt idx="132">
                  <c:v>9.0923998259999994</c:v>
                </c:pt>
                <c:pt idx="133">
                  <c:v>4.5338786420000003</c:v>
                </c:pt>
                <c:pt idx="134">
                  <c:v>3.9123731039999998</c:v>
                </c:pt>
                <c:pt idx="135">
                  <c:v>6.3007440209999999</c:v>
                </c:pt>
                <c:pt idx="136">
                  <c:v>7.73</c:v>
                </c:pt>
                <c:pt idx="137">
                  <c:v>6.18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84-46A7-A15B-9B580E01F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441167"/>
        <c:axId val="411450735"/>
      </c:scatterChart>
      <c:valAx>
        <c:axId val="41144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1450735"/>
        <c:crosses val="autoZero"/>
        <c:crossBetween val="midCat"/>
      </c:valAx>
      <c:valAx>
        <c:axId val="4114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1441167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FF512476-74A4-46BA-8397-66B7CD641E6F}" formatIdx="0">
          <cx:tx>
            <cx:txData>
              <cx:f>_xlchart.v1.0</cx:f>
              <cx:v>Jura [N=157]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364B2BC5-801A-469B-88AC-FDD51B22E678}" formatIdx="1">
          <cx:tx>
            <cx:txData>
              <cx:f>_xlchart.v1.2</cx:f>
              <cx:v>Plateau [=96]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  <cx:series layoutId="boxWhisker" uniqueId="{73FCE29A-3F32-4C33-84C3-D18F39CDA361}" formatIdx="2">
          <cx:tx>
            <cx:txData>
              <cx:f>_xlchart.v1.4</cx:f>
              <cx:v>Versant nord des Alpes [N=16]</cx:v>
            </cx:txData>
          </cx:tx>
          <cx:dataId val="2"/>
          <cx:layoutPr>
            <cx:visibility meanLine="0" meanMarker="1" nonoutliers="0" outliers="1"/>
            <cx:statistics quartileMethod="inclusive"/>
          </cx:layoutPr>
        </cx:series>
        <cx:series layoutId="boxWhisker" uniqueId="{00000004-D9F8-48D6-9833-A660218362CE}">
          <cx:tx>
            <cx:txData>
              <cx:f>_xlchart.v1.6</cx:f>
              <cx:v>Alpes centrales [N=4]</cx:v>
            </cx:txData>
          </cx:tx>
          <cx:dataId val="3"/>
          <cx:layoutPr>
            <cx:visibility nonoutliers="0"/>
            <cx:statistics quartileMethod="inclusive"/>
          </cx:layoutPr>
        </cx:series>
        <cx:series layoutId="boxWhisker" uniqueId="{00000005-D9F8-48D6-9833-A660218362CE}">
          <cx:tx>
            <cx:txData>
              <cx:f>_xlchart.v1.8</cx:f>
              <cx:v>Versant sud des Alpes [N=372]</cx:v>
            </cx:txData>
          </cx:tx>
          <cx:dataId val="4"/>
          <cx:layoutPr>
            <cx:visibility nonoutliers="0"/>
            <cx:statistics quartileMethod="in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r>
                  <a:rPr lang="el-GR" sz="1000" b="0" i="0" baseline="0">
                    <a:effectLst/>
                    <a:latin typeface="+mn-lt"/>
                  </a:rPr>
                  <a:t>δ</a:t>
                </a:r>
                <a:r>
                  <a:rPr lang="fr-CH" sz="1000" b="0" i="0" baseline="30000">
                    <a:effectLst/>
                    <a:latin typeface="+mn-lt"/>
                  </a:rPr>
                  <a:t>2</a:t>
                </a:r>
                <a:r>
                  <a:rPr lang="fr-CH" sz="1000" b="0" i="0" baseline="0">
                    <a:effectLst/>
                    <a:latin typeface="+mn-lt"/>
                  </a:rPr>
                  <a:t>H</a:t>
                </a:r>
                <a:r>
                  <a:rPr lang="fr-CH" sz="1000" b="0" i="0" baseline="-25000">
                    <a:effectLst/>
                    <a:latin typeface="+mn-lt"/>
                  </a:rPr>
                  <a:t>reg</a:t>
                </a:r>
                <a:endParaRPr lang="fr-CH" sz="1000">
                  <a:effectLst/>
                  <a:latin typeface="+mn-lt"/>
                </a:endParaRPr>
              </a:p>
            </cx:rich>
          </cx:tx>
        </cx:title>
        <cx:majorGridlines/>
        <cx:tickLabels/>
        <cx:numFmt formatCode="# ##0" sourceLinked="0"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</cx:chartData>
  <cx:chart>
    <cx:plotArea>
      <cx:plotAreaRegion>
        <cx:series layoutId="boxWhisker" uniqueId="{31C2335F-5D00-4F53-B98F-46AEF446A1B8}" formatIdx="1">
          <cx:tx>
            <cx:txData>
              <cx:f>_xlchart.v1.10</cx:f>
              <cx:v>Jura [N=46]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5BC5B739-E502-438E-BDF5-F1948C4497B7}" formatIdx="2">
          <cx:tx>
            <cx:txData>
              <cx:f>_xlchart.v1.12</cx:f>
              <cx:v>Plateau [N=17]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  <cx:series layoutId="boxWhisker" uniqueId="{00000003-BFEA-466F-A428-985DF4ECD2AC}" formatIdx="0">
          <cx:tx>
            <cx:txData>
              <cx:f>_xlchart.v1.14</cx:f>
              <cx:v>Versant sud des Alpes [N=125]</cx:v>
            </cx:txData>
          </cx:tx>
          <cx:dataId val="2"/>
          <cx:layoutPr>
            <cx:visibility nonoutliers="0"/>
            <cx:statistics quartileMethod="in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r>
                  <a:rPr lang="el-GR" sz="1000" b="0" i="0" baseline="0">
                    <a:effectLst/>
                    <a:latin typeface="+mn-lt"/>
                  </a:rPr>
                  <a:t>δ</a:t>
                </a:r>
                <a:r>
                  <a:rPr lang="fr-CH" sz="1000" b="0" i="0" baseline="30000">
                    <a:effectLst/>
                    <a:latin typeface="+mn-lt"/>
                  </a:rPr>
                  <a:t>2</a:t>
                </a:r>
                <a:r>
                  <a:rPr lang="fr-CH" sz="1000" b="0" i="0" baseline="0">
                    <a:effectLst/>
                    <a:latin typeface="+mn-lt"/>
                  </a:rPr>
                  <a:t>H</a:t>
                </a:r>
                <a:r>
                  <a:rPr lang="fr-CH" sz="1000" b="0" i="0" baseline="-25000">
                    <a:effectLst/>
                    <a:latin typeface="+mn-lt"/>
                  </a:rPr>
                  <a:t>reg</a:t>
                </a:r>
                <a:endParaRPr lang="fr-CH" sz="10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  <cx:legend pos="r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val">
        <cx:f>_xlchart.v1.21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boxWhisker" uniqueId="{7BD9B947-7D38-B54E-B70F-AB34AAFA00F6}">
          <cx:tx>
            <cx:txData>
              <cx:f>_xlchart.v1.20</cx:f>
              <cx:v>Adulte</cx:v>
            </cx:txData>
          </cx:tx>
          <cx:dataId val="0"/>
          <cx:layoutPr>
            <cx:visibility nonoutliers="0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r>
                  <a:rPr lang="el-GR" sz="900" b="0" i="0" baseline="0">
                    <a:effectLst/>
                    <a:latin typeface="+mn-lt"/>
                  </a:rPr>
                  <a:t>δ</a:t>
                </a:r>
                <a:r>
                  <a:rPr lang="fr-CH" sz="900" b="0" i="0" baseline="30000">
                    <a:effectLst/>
                    <a:latin typeface="+mn-lt"/>
                  </a:rPr>
                  <a:t>2</a:t>
                </a:r>
                <a:r>
                  <a:rPr lang="fr-CH" sz="900" b="0" i="0" baseline="0">
                    <a:effectLst/>
                    <a:latin typeface="+mn-lt"/>
                  </a:rPr>
                  <a:t>H</a:t>
                </a:r>
                <a:r>
                  <a:rPr lang="fr-CH" sz="900" b="0" i="0" baseline="-25000">
                    <a:effectLst/>
                    <a:latin typeface="+mn-lt"/>
                  </a:rPr>
                  <a:t>reg</a:t>
                </a:r>
                <a:endParaRPr lang="fr-CH" sz="900">
                  <a:effectLst/>
                  <a:latin typeface="+mn-lt"/>
                </a:endParaRPr>
              </a:p>
            </cx:rich>
          </cx:tx>
        </cx:title>
        <cx:majorGridlines/>
        <cx:tickLabels/>
        <cx:numFmt formatCode="# ##0" sourceLinked="0"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_xlchart.v1.18</cx:f>
      </cx:numDim>
    </cx:data>
  </cx:chartData>
  <cx:chart>
    <cx:plotArea>
      <cx:plotAreaRegion>
        <cx:series layoutId="boxWhisker" uniqueId="{285FE9A6-963C-DF43-B849-0397D8596514}">
          <cx:tx>
            <cx:txData>
              <cx:f>_xlchart.v1.17</cx:f>
              <cx:v>Juvénile</cx:v>
            </cx:txData>
          </cx:tx>
          <cx:dataId val="0"/>
          <cx:layoutPr>
            <cx:visibility nonoutliers="0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r>
                  <a:rPr lang="el-GR" sz="900" b="0" i="0" baseline="0">
                    <a:effectLst/>
                    <a:latin typeface="+mn-lt"/>
                  </a:rPr>
                  <a:t>δ</a:t>
                </a:r>
                <a:r>
                  <a:rPr lang="fr-CH" sz="900" b="0" i="0" baseline="30000">
                    <a:effectLst/>
                    <a:latin typeface="+mn-lt"/>
                  </a:rPr>
                  <a:t>2</a:t>
                </a:r>
                <a:r>
                  <a:rPr lang="fr-CH" sz="900" b="0" i="0" baseline="0">
                    <a:effectLst/>
                    <a:latin typeface="+mn-lt"/>
                  </a:rPr>
                  <a:t>H</a:t>
                </a:r>
                <a:r>
                  <a:rPr lang="fr-CH" sz="900" b="0" i="0" baseline="-25000">
                    <a:effectLst/>
                    <a:latin typeface="+mn-lt"/>
                  </a:rPr>
                  <a:t>reg</a:t>
                </a:r>
                <a:endParaRPr lang="fr-CH" sz="900">
                  <a:effectLst/>
                  <a:latin typeface="+mn-lt"/>
                </a:endParaRPr>
              </a:p>
            </cx:rich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  <cx:data id="1">
      <cx:numDim type="val">
        <cx:f>_xlchart.v1.25</cx:f>
      </cx:numDim>
    </cx:data>
    <cx:data id="2">
      <cx:numDim type="val">
        <cx:f>_xlchart.v1.27</cx:f>
      </cx:numDim>
    </cx:data>
  </cx:chartData>
  <cx:chart>
    <cx:plotArea>
      <cx:plotAreaRegion>
        <cx:series layoutId="boxWhisker" uniqueId="{CFD71A79-C6DF-4917-90ED-7CD109186E86}">
          <cx:tx>
            <cx:txData>
              <cx:f>_xlchart.v1.22</cx:f>
              <cx:v>Indigène [N=8]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06730419-5B38-46F8-AC66-D6087E6EDEA1}">
          <cx:tx>
            <cx:txData>
              <cx:f>_xlchart.v1.24</cx:f>
              <cx:v>Capture automne indét. [N=58]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  <cx:series layoutId="boxWhisker" uniqueId="{B292AE95-FB11-425F-A833-6E14032B02D0}">
          <cx:tx>
            <cx:txData>
              <cx:f>_xlchart.v1.26</cx:f>
              <cx:v>Chasse [N=221]</cx:v>
            </cx:txData>
          </cx:tx>
          <cx:dataId val="2"/>
          <cx:layoutPr>
            <cx:visibility meanLine="0" meanMarker="1" nonoutliers="0" outliers="1"/>
            <cx:statistics quartileMethod="in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  <cx:data id="1">
      <cx:numDim type="val">
        <cx:f>_xlchart.v1.31</cx:f>
      </cx:numDim>
    </cx:data>
    <cx:data id="2">
      <cx:numDim type="val">
        <cx:f>_xlchart.v1.33</cx:f>
      </cx:numDim>
    </cx:data>
    <cx:data id="3">
      <cx:numDim type="val">
        <cx:f>_xlchart.v1.35</cx:f>
      </cx:numDim>
    </cx:data>
  </cx:chartData>
  <cx:chart>
    <cx:plotArea>
      <cx:plotAreaRegion>
        <cx:series layoutId="boxWhisker" uniqueId="{CBDAA534-B9BA-48AB-A7E3-ECD746E90216}" formatIdx="0">
          <cx:tx>
            <cx:txData>
              <cx:f>_xlchart.v1.28</cx:f>
              <cx:v>Indigènes [N=59]</cx:v>
            </cx:txData>
          </cx:tx>
          <cx:dataId val="0"/>
          <cx:layoutPr>
            <cx:visibility nonoutliers="0"/>
            <cx:statistics quartileMethod="inclusive"/>
          </cx:layoutPr>
        </cx:series>
        <cx:series layoutId="boxWhisker" uniqueId="{9D2DE4ED-F247-47BA-9E9E-B427117638CE}" formatIdx="1">
          <cx:tx>
            <cx:txData>
              <cx:f>_xlchart.v1.30</cx:f>
              <cx:v>Captures indét. [N=21]</cx:v>
            </cx:txData>
          </cx:tx>
          <cx:dataId val="1"/>
          <cx:layoutPr>
            <cx:visibility nonoutliers="0"/>
            <cx:statistics quartileMethod="inclusive"/>
          </cx:layoutPr>
        </cx:series>
        <cx:series layoutId="boxWhisker" uniqueId="{09FC3DD4-090D-463D-9490-D1164F921EE0}" formatIdx="2">
          <cx:tx>
            <cx:txData>
              <cx:f>_xlchart.v1.32</cx:f>
              <cx:v>Chasse Jura [N=12]</cx:v>
            </cx:txData>
          </cx:tx>
          <cx:dataId val="2"/>
          <cx:layoutPr>
            <cx:visibility nonoutliers="0"/>
            <cx:statistics quartileMethod="inclusive"/>
          </cx:layoutPr>
        </cx:series>
        <cx:series layoutId="boxWhisker" uniqueId="{00000007-250B-4392-806D-6428248CFC83}" formatIdx="4">
          <cx:tx>
            <cx:txData>
              <cx:f>_xlchart.v1.34</cx:f>
              <cx:v>Chasse versant sud des Alpes [N=10]</cx:v>
            </cx:txData>
          </cx:tx>
          <cx:dataId val="3"/>
          <cx:layoutPr>
            <cx:visibility nonoutliers="0"/>
            <cx:statistics quartileMethod="in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  <cx:data id="2">
      <cx:numDim type="val">
        <cx:f>_xlchart.v1.41</cx:f>
      </cx:numDim>
    </cx:data>
    <cx:data id="3">
      <cx:numDim type="val">
        <cx:f>_xlchart.v1.43</cx:f>
      </cx:numDim>
    </cx:data>
    <cx:data id="4">
      <cx:numDim type="val">
        <cx:f>_xlchart.v1.45</cx:f>
      </cx:numDim>
    </cx:data>
  </cx:chartData>
  <cx:chart>
    <cx:plotArea>
      <cx:plotAreaRegion>
        <cx:series layoutId="boxWhisker" uniqueId="{CBDAA534-B9BA-48AB-A7E3-ECD746E90216}">
          <cx:tx>
            <cx:txData>
              <cx:f>_xlchart.v1.36</cx:f>
              <cx:v>Indigènes [N=61]</cx:v>
            </cx:txData>
          </cx:tx>
          <cx:dataId val="0"/>
          <cx:layoutPr>
            <cx:visibility nonoutliers="0"/>
            <cx:statistics quartileMethod="inclusive"/>
          </cx:layoutPr>
        </cx:series>
        <cx:series layoutId="boxWhisker" uniqueId="{9D2DE4ED-F247-47BA-9E9E-B427117638CE}">
          <cx:tx>
            <cx:txData>
              <cx:f>_xlchart.v1.38</cx:f>
              <cx:v>Captures indét. [N=35]</cx:v>
            </cx:txData>
          </cx:tx>
          <cx:dataId val="1"/>
          <cx:layoutPr>
            <cx:visibility nonoutliers="0"/>
            <cx:statistics quartileMethod="inclusive"/>
          </cx:layoutPr>
        </cx:series>
        <cx:series layoutId="boxWhisker" uniqueId="{09FC3DD4-090D-463D-9490-D1164F921EE0}">
          <cx:tx>
            <cx:txData>
              <cx:f>_xlchart.v1.40</cx:f>
              <cx:v>Chasse Jura [N=15]</cx:v>
            </cx:txData>
          </cx:tx>
          <cx:dataId val="2"/>
          <cx:layoutPr>
            <cx:visibility nonoutliers="0"/>
            <cx:statistics quartileMethod="inclusive"/>
          </cx:layoutPr>
        </cx:series>
        <cx:series layoutId="boxWhisker" uniqueId="{00000006-250B-4392-806D-6428248CFC83}">
          <cx:tx>
            <cx:txData>
              <cx:f>_xlchart.v1.42</cx:f>
              <cx:v>Chasse Plateau [N=7]</cx:v>
            </cx:txData>
          </cx:tx>
          <cx:dataId val="3"/>
          <cx:layoutPr>
            <cx:visibility nonoutliers="0"/>
            <cx:statistics quartileMethod="inclusive"/>
          </cx:layoutPr>
        </cx:series>
        <cx:series layoutId="boxWhisker" uniqueId="{00000007-250B-4392-806D-6428248CFC83}">
          <cx:tx>
            <cx:txData>
              <cx:f>_xlchart.v1.44</cx:f>
              <cx:v>Chasse versant sud des Alpes [N=20]</cx:v>
            </cx:txData>
          </cx:tx>
          <cx:dataId val="4"/>
          <cx:layoutPr>
            <cx:visibility nonoutliers="0"/>
            <cx:statistics quartileMethod="in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_xlchart.v1.47</cx:f>
      </cx:numDim>
    </cx:data>
    <cx:data id="1">
      <cx:numDim type="val">
        <cx:f>_xlchart.v1.49</cx:f>
      </cx:numDim>
    </cx:data>
    <cx:data id="2">
      <cx:numDim type="val">
        <cx:f>_xlchart.v1.51</cx:f>
      </cx:numDim>
    </cx:data>
    <cx:data id="3">
      <cx:numDim type="val">
        <cx:f>_xlchart.v1.53</cx:f>
      </cx:numDim>
    </cx:data>
    <cx:data id="4">
      <cx:numDim type="val">
        <cx:f>_xlchart.v1.55</cx:f>
      </cx:numDim>
    </cx:data>
    <cx:data id="5">
      <cx:numDim type="val">
        <cx:f>_xlchart.v1.57</cx:f>
      </cx:numDim>
    </cx:data>
    <cx:data id="6">
      <cx:numDim type="val">
        <cx:f>_xlchart.v1.59</cx:f>
      </cx:numDim>
    </cx:data>
  </cx:chartData>
  <cx:chart>
    <cx:plotArea>
      <cx:plotAreaRegion>
        <cx:series layoutId="boxWhisker" uniqueId="{B0C81C21-1C8A-4E59-8209-0D2D643094F4}">
          <cx:tx>
            <cx:txData>
              <cx:f>_xlchart.v1.46</cx:f>
              <cx:v>Indigènes [N=72]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E2E6BA-BBDF-44D7-8397-F9E2BA5414FD}">
          <cx:tx>
            <cx:txData>
              <cx:f>_xlchart.v1.48</cx:f>
              <cx:v>Captures indét. [N=153]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B029A54-1282-4F4F-80D9-18147CA90F8E}">
          <cx:tx>
            <cx:txData>
              <cx:f>_xlchart.v1.50</cx:f>
              <cx:v>Chasse Jura [N=206]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7E3A05B-48F4-4A8B-B5D7-1950929CAD37}">
          <cx:tx>
            <cx:txData>
              <cx:f>_xlchart.v1.52</cx:f>
              <cx:v>Chasse Plateau [N=107]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CE6A879-79D6-439D-BEAB-C5C7B50DBE96}">
          <cx:tx>
            <cx:txData>
              <cx:f>_xlchart.v1.54</cx:f>
              <cx:v>Chasse Versant Nord des Alpes [N=12]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52D90AE0-EEF6-4762-8B1C-1C16831E5306}">
          <cx:tx>
            <cx:txData>
              <cx:f>_xlchart.v1.56</cx:f>
              <cx:v>Chasse Valais [N=5]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E211F90B-5EEB-4622-901D-CD5DACE142EB}">
          <cx:tx>
            <cx:txData>
              <cx:f>_xlchart.v1.58</cx:f>
              <cx:v>Chasse versant sud des Alpes [N=498]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  <cx:data id="1">
      <cx:numDim type="val">
        <cx:f>_xlchart.v1.63</cx:f>
      </cx:numDim>
    </cx:data>
    <cx:data id="2">
      <cx:numDim type="val">
        <cx:f>_xlchart.v1.65</cx:f>
      </cx:numDim>
    </cx:data>
    <cx:data id="3">
      <cx:numDim type="val">
        <cx:f>_xlchart.v1.67</cx:f>
      </cx:numDim>
    </cx:data>
    <cx:data id="4">
      <cx:numDim type="val">
        <cx:f>_xlchart.v1.69</cx:f>
      </cx:numDim>
    </cx:data>
  </cx:chartData>
  <cx:chart>
    <cx:plotArea>
      <cx:plotAreaRegion>
        <cx:series layoutId="boxWhisker" uniqueId="{689C15E0-B37E-4481-876D-5623F5CC8FAE}" formatIdx="0">
          <cx:tx>
            <cx:txData>
              <cx:f>_xlchart.v1.60</cx:f>
              <cx:v>Indigènes [N=60]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5D05209-462D-4142-9790-43316829BEFC}" formatIdx="1">
          <cx:tx>
            <cx:txData>
              <cx:f>_xlchart.v1.62</cx:f>
              <cx:v>Captures indét. [N=57]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72BC2E5-3C78-4DEE-8F79-0E5CE4E11B8F}" formatIdx="2">
          <cx:tx>
            <cx:txData>
              <cx:f>_xlchart.v1.64</cx:f>
              <cx:v>Chasse Jura [N=46]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25095A5-8EB8-4B8E-B226-A006FA16B61B}" formatIdx="3">
          <cx:tx>
            <cx:txData>
              <cx:f>_xlchart.v1.66</cx:f>
              <cx:v>Chasse Plateau [N=17]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F5BB7C8-7A9D-43C0-86AD-840BD14737C6}" formatIdx="5">
          <cx:tx>
            <cx:txData>
              <cx:f>_xlchart.v1.68</cx:f>
              <cx:v>Chasse versant sud des Alpes [N=124]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6"/>
        <cx:majorGridlines/>
        <cx:tickLabels/>
        <cx:txPr>
          <a:bodyPr rot="-60000000" spcFirstLastPara="1" vertOverflow="ellipsis" horzOverflow="overflow" vert="horz" wrap="square" lIns="0" tIns="0" rIns="0" bIns="0" anchor="ctr" anchorCtr="1"/>
          <a:lstStyle/>
          <a:p>
            <a:pPr algn="ctr" rtl="0">
              <a:defRPr/>
            </a:pPr>
            <a:endParaRPr lang="fr-FR" sz="900"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r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_xlchart.v1.71</cx:f>
      </cx:numDim>
    </cx:data>
    <cx:data id="1">
      <cx:numDim type="val">
        <cx:f>_xlchart.v1.73</cx:f>
      </cx:numDim>
    </cx:data>
    <cx:data id="2">
      <cx:numDim type="val">
        <cx:f>_xlchart.v1.75</cx:f>
      </cx:numDim>
    </cx:data>
    <cx:data id="3">
      <cx:numDim type="val">
        <cx:f>_xlchart.v1.77</cx:f>
      </cx:numDim>
    </cx:data>
    <cx:data id="4">
      <cx:numDim type="val">
        <cx:f>_xlchart.v1.79</cx:f>
      </cx:numDim>
    </cx:data>
    <cx:data id="5">
      <cx:numDim type="val">
        <cx:f>_xlchart.v1.81</cx:f>
      </cx:numDim>
    </cx:data>
    <cx:data id="6">
      <cx:numDim type="val">
        <cx:f>_xlchart.v1.83</cx:f>
      </cx:numDim>
    </cx:data>
  </cx:chartData>
  <cx:chart>
    <cx:plotArea>
      <cx:plotAreaRegion>
        <cx:series layoutId="boxWhisker" uniqueId="{49A716EB-2A91-4DDB-9ABA-2D86E97678BE}" formatIdx="0">
          <cx:tx>
            <cx:txData>
              <cx:f>_xlchart.v1.70</cx:f>
              <cx:v>Indigènes [N=12]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B37C4638-CA39-4BED-A6FD-EDA0E8054E99}" formatIdx="1">
          <cx:tx>
            <cx:txData>
              <cx:f>_xlchart.v1.72</cx:f>
              <cx:v>Captures indét. [N=96]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  <cx:series layoutId="boxWhisker" uniqueId="{016D2EA9-E1CF-4D8B-9858-30D06FD919A7}" formatIdx="2">
          <cx:tx>
            <cx:txData>
              <cx:f>_xlchart.v1.74</cx:f>
              <cx:v>Chasse Jura [N=161]</cx:v>
            </cx:txData>
          </cx:tx>
          <cx:dataId val="2"/>
          <cx:layoutPr>
            <cx:visibility meanLine="0" meanMarker="1" nonoutliers="0" outliers="1"/>
            <cx:statistics quartileMethod="inclusive"/>
          </cx:layoutPr>
        </cx:series>
        <cx:series layoutId="boxWhisker" uniqueId="{E754F415-EDC2-4747-9507-B0D48742FC47}" formatIdx="3">
          <cx:tx>
            <cx:txData>
              <cx:f>_xlchart.v1.76</cx:f>
              <cx:v>Chasse Plateau [N=91]</cx:v>
            </cx:txData>
          </cx:tx>
          <cx:dataId val="3"/>
          <cx:layoutPr>
            <cx:visibility meanLine="0" meanMarker="1" nonoutliers="0" outliers="1"/>
            <cx:statistics quartileMethod="inclusive"/>
          </cx:layoutPr>
        </cx:series>
        <cx:series layoutId="boxWhisker" uniqueId="{92D5E379-15A2-446B-BE8D-B3DB147E26F5}" formatIdx="4">
          <cx:tx>
            <cx:txData>
              <cx:f>_xlchart.v1.78</cx:f>
              <cx:v>Nord des Alpes [N=11]</cx:v>
            </cx:txData>
          </cx:tx>
          <cx:dataId val="4"/>
          <cx:layoutPr>
            <cx:visibility meanLine="0" meanMarker="1" nonoutliers="0" outliers="1"/>
            <cx:statistics quartileMethod="inclusive"/>
          </cx:layoutPr>
        </cx:series>
        <cx:series layoutId="boxWhisker" uniqueId="{EE1E9F0D-9649-4A28-9667-626CC85210CE}" formatIdx="5">
          <cx:tx>
            <cx:txData>
              <cx:f>_xlchart.v1.80</cx:f>
              <cx:v>Valais [N=4]</cx:v>
            </cx:txData>
          </cx:tx>
          <cx:dataId val="5"/>
          <cx:layoutPr>
            <cx:visibility meanLine="0" meanMarker="1" nonoutliers="0" outliers="1"/>
            <cx:statistics quartileMethod="inclusive"/>
          </cx:layoutPr>
        </cx:series>
        <cx:series layoutId="boxWhisker" uniqueId="{C1DDE9F3-69B4-4527-BF3A-14E3B302A2E1}" formatIdx="6">
          <cx:tx>
            <cx:txData>
              <cx:f>_xlchart.v1.82</cx:f>
              <cx:v>Chasse versant sud des Alpes [N=374]</cx:v>
            </cx:txData>
          </cx:tx>
          <cx:dataId val="6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2</xdr:row>
      <xdr:rowOff>171450</xdr:rowOff>
    </xdr:from>
    <xdr:to>
      <xdr:col>5</xdr:col>
      <xdr:colOff>762000</xdr:colOff>
      <xdr:row>17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7815" y="529590"/>
              <a:ext cx="4680585" cy="2867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114300</xdr:rowOff>
    </xdr:from>
    <xdr:to>
      <xdr:col>6</xdr:col>
      <xdr:colOff>390525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1150" y="657225"/>
              <a:ext cx="355473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161926</xdr:rowOff>
    </xdr:from>
    <xdr:to>
      <xdr:col>10</xdr:col>
      <xdr:colOff>361949</xdr:colOff>
      <xdr:row>11</xdr:row>
      <xdr:rowOff>85726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91350" y="344806"/>
              <a:ext cx="2594609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400050</xdr:colOff>
      <xdr:row>1</xdr:row>
      <xdr:rowOff>142875</xdr:rowOff>
    </xdr:from>
    <xdr:to>
      <xdr:col>13</xdr:col>
      <xdr:colOff>558800</xdr:colOff>
      <xdr:row>11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16440" y="321945"/>
              <a:ext cx="3292475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19</xdr:row>
      <xdr:rowOff>57151</xdr:rowOff>
    </xdr:from>
    <xdr:to>
      <xdr:col>9</xdr:col>
      <xdr:colOff>1076325</xdr:colOff>
      <xdr:row>27</xdr:row>
      <xdr:rowOff>19051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77350" y="3491866"/>
              <a:ext cx="4688205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16</xdr:row>
      <xdr:rowOff>152400</xdr:rowOff>
    </xdr:from>
    <xdr:to>
      <xdr:col>8</xdr:col>
      <xdr:colOff>581025</xdr:colOff>
      <xdr:row>31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9870" y="3048000"/>
              <a:ext cx="8271510" cy="2600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1019175</xdr:colOff>
      <xdr:row>12</xdr:row>
      <xdr:rowOff>19050</xdr:rowOff>
    </xdr:from>
    <xdr:to>
      <xdr:col>7</xdr:col>
      <xdr:colOff>445875</xdr:colOff>
      <xdr:row>26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13070" y="2186940"/>
              <a:ext cx="544650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18</xdr:row>
      <xdr:rowOff>0</xdr:rowOff>
    </xdr:from>
    <xdr:to>
      <xdr:col>10</xdr:col>
      <xdr:colOff>542925</xdr:colOff>
      <xdr:row>40</xdr:row>
      <xdr:rowOff>95250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3429000"/>
          <a:ext cx="5238750" cy="4286250"/>
        </a:xfrm>
        <a:prstGeom prst="rect">
          <a:avLst/>
        </a:prstGeom>
      </xdr:spPr>
    </xdr:pic>
    <xdr:clientData/>
  </xdr:twoCellAnchor>
  <xdr:twoCellAnchor editAs="oneCell">
    <xdr:from>
      <xdr:col>18</xdr:col>
      <xdr:colOff>704850</xdr:colOff>
      <xdr:row>21</xdr:row>
      <xdr:rowOff>180975</xdr:rowOff>
    </xdr:from>
    <xdr:to>
      <xdr:col>25</xdr:col>
      <xdr:colOff>609600</xdr:colOff>
      <xdr:row>44</xdr:row>
      <xdr:rowOff>85725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5675" y="4181475"/>
          <a:ext cx="5238750" cy="4286250"/>
        </a:xfrm>
        <a:prstGeom prst="rect">
          <a:avLst/>
        </a:prstGeom>
      </xdr:spPr>
    </xdr:pic>
    <xdr:clientData/>
  </xdr:twoCellAnchor>
  <xdr:twoCellAnchor editAs="oneCell">
    <xdr:from>
      <xdr:col>18</xdr:col>
      <xdr:colOff>504825</xdr:colOff>
      <xdr:row>7</xdr:row>
      <xdr:rowOff>104775</xdr:rowOff>
    </xdr:from>
    <xdr:to>
      <xdr:col>25</xdr:col>
      <xdr:colOff>409575</xdr:colOff>
      <xdr:row>30</xdr:row>
      <xdr:rowOff>9525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25650" y="1438275"/>
          <a:ext cx="5238750" cy="4286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20</xdr:row>
      <xdr:rowOff>95250</xdr:rowOff>
    </xdr:from>
    <xdr:to>
      <xdr:col>16</xdr:col>
      <xdr:colOff>317500</xdr:colOff>
      <xdr:row>42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B5D78A5-CDA0-CC40-8B8D-27FE26372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278130</xdr:colOff>
      <xdr:row>7</xdr:row>
      <xdr:rowOff>139706</xdr:rowOff>
    </xdr:from>
    <xdr:to>
      <xdr:col>24</xdr:col>
      <xdr:colOff>63500</xdr:colOff>
      <xdr:row>34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A19F46C-79DE-D448-85BF-7AF57477E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292100</xdr:colOff>
      <xdr:row>9</xdr:row>
      <xdr:rowOff>78715</xdr:rowOff>
    </xdr:from>
    <xdr:to>
      <xdr:col>17</xdr:col>
      <xdr:colOff>609600</xdr:colOff>
      <xdr:row>41</xdr:row>
      <xdr:rowOff>161924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B71AEB5-0960-9044-9C0A-2F8E00759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0100" y="1793215"/>
          <a:ext cx="10223500" cy="6179209"/>
        </a:xfrm>
        <a:prstGeom prst="rect">
          <a:avLst/>
        </a:prstGeom>
      </xdr:spPr>
    </xdr:pic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0.13351</cdr:x>
      <cdr:y>0.37817</cdr:y>
    </cdr:from>
    <cdr:to>
      <cdr:x>0.71353</cdr:x>
      <cdr:y>0.74619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DDAFCA9E-5DA5-C24D-9972-B411CC8EB6F7}"/>
            </a:ext>
          </a:extLst>
        </cdr:cNvPr>
        <cdr:cNvCxnSpPr/>
      </cdr:nvCxnSpPr>
      <cdr:spPr>
        <a:xfrm xmlns:a="http://schemas.openxmlformats.org/drawingml/2006/main" flipV="1">
          <a:off x="958850" y="1892294"/>
          <a:ext cx="4165600" cy="1841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1</xdr:row>
      <xdr:rowOff>171450</xdr:rowOff>
    </xdr:from>
    <xdr:to>
      <xdr:col>20</xdr:col>
      <xdr:colOff>247650</xdr:colOff>
      <xdr:row>28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981075</xdr:colOff>
      <xdr:row>12</xdr:row>
      <xdr:rowOff>19050</xdr:rowOff>
    </xdr:from>
    <xdr:to>
      <xdr:col>13</xdr:col>
      <xdr:colOff>561975</xdr:colOff>
      <xdr:row>26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7920" y="2186940"/>
              <a:ext cx="495300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10</xdr:row>
      <xdr:rowOff>133350</xdr:rowOff>
    </xdr:from>
    <xdr:to>
      <xdr:col>12</xdr:col>
      <xdr:colOff>219075</xdr:colOff>
      <xdr:row>25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phique 5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2565" y="1939290"/>
              <a:ext cx="4678680" cy="2600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7</xdr:row>
      <xdr:rowOff>150495</xdr:rowOff>
    </xdr:from>
    <xdr:to>
      <xdr:col>8</xdr:col>
      <xdr:colOff>424815</xdr:colOff>
      <xdr:row>22</xdr:row>
      <xdr:rowOff>43815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00000000-0008-0000-0C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38700" y="1417320"/>
              <a:ext cx="471297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ierry Bohnenstengel" id="{8408EC97-B73C-4832-8F37-20FE73A301EF}" userId="thierry Bohnenstengel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HNENSTENGEL Thierry" refreshedDate="43899.611104976851" createdVersion="6" refreshedVersion="6" minRefreshableVersion="3" recordCount="1075" xr:uid="{00000000-000A-0000-FFFF-FFFF01000000}">
  <cacheSource type="worksheet">
    <worksheetSource ref="A1:AM1076" sheet="Daten_2013-2018"/>
  </cacheSource>
  <cacheFields count="51">
    <cacheField name="ID" numFmtId="0">
      <sharedItems count="1075">
        <s v="2016MEISHE-10"/>
        <s v="2014GRUBLO-1"/>
        <s v="2014GRUBLO-4"/>
        <s v="2015SAVAJE-2"/>
        <s v="2016PRETFA-4"/>
        <s v="2013PFISED-2"/>
        <s v="2015CAVACO-3"/>
        <s v="2014GRUBLO-5"/>
        <s v="2014ROSS_GI-2"/>
        <s v="2014GNOSDA-4"/>
        <s v="2013GNOSDA-8"/>
        <s v="2014CAVACO-6"/>
        <s v="2015CAVACO-4"/>
        <s v="2013ROSSIGI-6"/>
        <s v="2014ROSS-GI8"/>
        <s v="2014GNOSDA-15"/>
        <s v="2017ROTHMI-1"/>
        <s v="2017VUILFR-1"/>
        <s v="2014CAVACO-4"/>
        <s v="2016MEISHE-11"/>
        <s v="2013ANARTA-2"/>
        <s v="2014ANARGI-4"/>
        <s v="2013GNOSDA-4"/>
        <s v="2016Buchmi4"/>
        <s v="2014PILLJE-1"/>
        <s v="2014GNOSDA-7"/>
        <s v="2013CAVALLICO-1"/>
        <s v="2013CAVALLICO-6"/>
        <s v="2016Buchmi2"/>
        <s v="2017PURASA-12"/>
        <s v="2015CAVACO-6"/>
        <s v="2013ROSSIGI-5"/>
        <s v="2014CAVACO-2"/>
        <s v="2014GNOSDA-14"/>
        <s v="2015CAVACO-9"/>
        <s v="2013GNOSDA-6"/>
        <s v="2013ROSSIGI-3"/>
        <s v="2017ROSSAL-1"/>
        <s v="2015CAVACO-7"/>
        <s v="2013CAVALLICO-4"/>
        <s v="2015CAVACO-2"/>
        <s v="2014CAVACO-5"/>
        <s v="2015CAVACO-10"/>
        <s v="2014GNOSDA-17"/>
        <s v="2014GRUBLO-7"/>
        <s v="2014GRUBLO-3"/>
        <s v="2013FONTER-1"/>
        <s v="2015JOSEDA-1"/>
        <s v="2016PRETFA-2"/>
        <s v="2014GNOSDA-12"/>
        <s v="2013ANARTA-1"/>
        <s v="2013CAVALLICO-8"/>
        <s v="2013BARBTH-3"/>
        <s v="2014ROSAOR-1"/>
        <s v="2015CAVACO-8"/>
        <s v="2013ANARGI-1"/>
        <s v="2013MOLTRE-1"/>
        <s v="2014ROSS-GI5"/>
        <s v="2013GNOSDA-5"/>
        <s v="2015CAVACO-5"/>
        <s v="2014CAVACO-8"/>
        <s v="2013CAVALLICO-7"/>
        <s v="2013GRUBLO-4"/>
        <s v="2014GNOSDA-5"/>
        <s v="2013GRUBLO-1"/>
        <s v="2017DUCHPA-5"/>
        <s v="2013CAVALLICO-2"/>
        <s v="2014GNOSDA-2"/>
        <s v="2013FONTER-2"/>
        <s v="2014ALBEFA-2"/>
        <s v="2014GNOSDA-18"/>
        <s v="2015CAVACO-1"/>
        <s v="2014ROSSGI-4"/>
        <s v="2013ROSSIGI-12"/>
        <s v="2013ROSARE-1"/>
        <s v="2017PRETFA-5"/>
        <s v="2013GNOSDA-2"/>
        <s v="2016MEISHE-9"/>
        <s v="2013ROSARE-2"/>
        <s v="2013GRUBLO-3"/>
        <s v="2013ROSSIGI-2"/>
        <s v="2017VUILFR-3"/>
        <s v="2013CAVALLICO-3"/>
        <s v="2014CAVACO_11"/>
        <s v="2014ROSS_GI10"/>
        <s v="2016MEISHE-12"/>
        <s v="2014GNOSDA-6"/>
        <s v="2014GNOSDA-10"/>
        <s v="2014ROSS_GI-11"/>
        <s v="2015MORAMA-9"/>
        <s v="2014GNOSDA-19"/>
        <s v="2013PFISED-1"/>
        <s v="2017GARICJC-1"/>
        <s v="2017DENEPA-1"/>
        <s v="2014GNOSDA-13"/>
        <s v="2013GRUBLO-2"/>
        <s v="2014GNOSDA-8"/>
        <s v="2015PFISED-2"/>
        <s v="2013CAVALLICO-5"/>
        <s v="2016PRETFA-3"/>
        <s v="2014HAUKCL-1"/>
        <s v="2014HAUKCL-2"/>
        <s v="2013GNOSDA-7"/>
        <s v="2014ROSS_GI-12"/>
        <s v="2014GNOSDA-3"/>
        <s v="2014CAVACO-3"/>
        <s v="2017MESSJO-4"/>
        <s v="2014HAUKCL-4"/>
        <s v="2013CAVALLICO-9"/>
        <s v="2013GNOSDA-1"/>
        <s v="2014CAVACO-9"/>
        <s v="2017MEISHE-10"/>
        <s v="2017PURASA-15"/>
        <s v="2014ANARGI-3"/>
        <s v="2014ROSSGI-3"/>
        <s v="2014GNOSDA-11"/>
        <s v="2016Buchmi7"/>
        <s v="2017ANARGI-1"/>
        <s v="2014ALBEFA-1"/>
        <s v="2014GRUBLO-2"/>
        <s v="2017MESSJO-1"/>
        <s v="2017TANTMA-3"/>
        <s v="2016CRETYC-3"/>
        <s v="2017JOSEDA-4"/>
        <s v="2017PURASA-13"/>
        <s v="2017MEISHE-8"/>
        <s v="2014GNOSDA-16"/>
        <s v="2014GNOSDA-1"/>
        <s v="2017ANARGI-2"/>
        <s v="2014ROSS_GI6"/>
        <s v="2015PENAJA-1"/>
        <s v="2013GNOSDA-3"/>
        <s v="2014HAUKCL-3"/>
        <s v="2016BARBTH-1"/>
        <s v="2017DUCHPA-2"/>
        <s v="2013ULRIVI-3"/>
        <s v="2017VUILFR-5"/>
        <s v="2014ROSAOR-2"/>
        <s v="2017YERLMI-2"/>
        <s v="2017JOSEDA-5"/>
        <s v="2017MESSJO-6"/>
        <s v="2017VUILFR-4"/>
        <s v="2017ESPOMA-4"/>
        <s v="2014CAVACO-12"/>
        <s v="2017SAVABR-2"/>
        <s v="2014PENAJA3"/>
        <s v="2014GRUBLO-6"/>
        <s v="2017GNOSDA-5"/>
        <s v="2014GNOSDA-9"/>
        <s v="2017ROSARE-2"/>
        <s v="2017GNOSDA-6"/>
        <s v="2017PEDRAN-9"/>
        <s v="2017SAVABR-1"/>
        <s v="2014PENAJA5"/>
        <s v="2014HAUKCL-5"/>
        <s v="2017PEDRAN-1"/>
        <s v="2017MEISHE-4"/>
        <s v="2017SAVABR-3"/>
        <s v="2014ROSSEGI-1"/>
        <s v="2014CAVACO-10"/>
        <s v="2014CAVACO-1"/>
        <s v="2013ROSSIGI-4"/>
        <s v="2017ESPOMA-1"/>
        <s v="2017ESPOMA-3"/>
        <s v="2017SAVALU-2"/>
        <s v="2017MESSJO-5"/>
        <s v="2017GNOSDA-3"/>
        <s v="2017DENEPA-4"/>
        <s v="2015JOSEDA-5"/>
        <s v="2017VUILFR-2"/>
        <s v="2014PENAJA1"/>
        <s v="2014BARBTH-1"/>
        <s v="2013ROSSIGI-11"/>
        <s v="2014PENAJA4"/>
        <s v="2013BARBTH-2"/>
        <s v="2013BARBTH-1"/>
        <s v="2017MESSJO-2"/>
        <s v="2017PEDRAN-4"/>
        <s v="2015JOSEDA2"/>
        <s v="2014ROSS-GI7"/>
        <s v="2017ROVEGA-1"/>
        <s v="2017DUCHPA-6"/>
        <s v="2017DENEPA-5"/>
        <s v="2017ROTHMI-2"/>
        <s v="2017ROCHCL-3"/>
        <s v="2017PURASA-1"/>
        <s v="2017ANARGI-3"/>
        <s v="2017PRETFA-2"/>
        <s v="2014CAVACO-7"/>
        <s v="2017K115162"/>
        <s v="2018K122019"/>
        <s v="2018K122030"/>
        <s v="2017K118499"/>
        <s v="2018K122020"/>
        <s v="2018K122028"/>
        <s v="2017K116320"/>
        <s v="2018K122022"/>
        <s v="2018K122031"/>
        <s v="2018K122023"/>
        <s v="2018K122037"/>
        <s v="2017K116303"/>
        <s v="2018K122040"/>
        <s v="2017K116313"/>
        <s v="2015K112959"/>
        <s v="2018K122041"/>
        <s v="2018K122036"/>
        <s v="2018K122039"/>
        <s v="2017K116309"/>
        <s v="2015K112960"/>
        <s v="2018K122025"/>
        <s v="2018K122042"/>
        <s v="2017K116312_A"/>
        <s v="2018K122024"/>
        <s v="2015RIMEYA01"/>
        <s v="2015GREJE01"/>
        <s v="2017K115185"/>
        <s v="2015GREJE02"/>
        <s v="2018K122032"/>
        <s v="2018K118500"/>
        <s v="2017K116305"/>
        <s v="2017K118500"/>
        <s v="2018K122034"/>
        <s v="2017K116301"/>
        <s v="2018K115155"/>
        <s v="2017K116306"/>
        <s v="2018K112959"/>
        <s v="2017K116315"/>
        <s v="2017K116316"/>
        <s v="2017K116319"/>
        <s v="2017K116304"/>
        <s v="2017K116311"/>
        <s v="2017K112985"/>
        <s v="2017K115186"/>
        <s v="2017K116308"/>
        <s v="2018K122038"/>
        <s v="2018K122026"/>
        <s v="2017K115164"/>
        <s v="2017K116314"/>
        <s v="2018K122033"/>
        <s v="2017K116312_B"/>
        <s v="2015K112952"/>
        <s v="2018K122027"/>
        <s v="2017K115155"/>
        <s v="2018K122029"/>
        <s v="2017K116318"/>
        <s v="2017K116310"/>
        <s v="2018K122046"/>
        <s v="2017K116302"/>
        <s v="2018K122021"/>
        <s v="2018K115157"/>
        <s v="2017K73992"/>
        <s v="2017K121967"/>
        <s v="2017K121952"/>
        <s v="2017K121955"/>
        <s v="2017K121954"/>
        <s v="2017K121981"/>
        <s v="2017K121978"/>
        <s v="2017K121962"/>
        <s v="2017K116350"/>
        <s v="2017K116338"/>
        <s v="2017K121997"/>
        <s v="2017K122005"/>
        <s v="2017K121994"/>
        <s v="2017K121968"/>
        <s v="2016K118487"/>
        <s v="2017K122009"/>
        <s v="2017K118455"/>
        <s v="2017K122001"/>
        <s v="2017K122011"/>
        <s v="2017K116340"/>
        <s v="2016K115200"/>
        <s v="2017K116345"/>
        <s v="2017K122003"/>
        <s v="2017K116343"/>
        <s v="2017K116339"/>
        <s v="2017K122016"/>
        <s v="2017K121999"/>
        <s v="2016K118472"/>
        <s v="2017K121966"/>
        <s v="2017K121974"/>
        <s v="2017K121956"/>
        <s v="2017K116334"/>
        <s v="2016K118494"/>
        <s v="2016K118454"/>
        <s v="2017K122018"/>
        <s v="2017K116341"/>
        <s v="2017K121963"/>
        <s v="2017K121973"/>
        <s v="2017K116337"/>
        <s v="2016K118451"/>
        <s v="2016K118455"/>
        <s v="2017K121991"/>
        <s v="2016K118456"/>
        <s v="2016K118486"/>
        <s v="2017K121995"/>
        <s v="2016K118461"/>
        <s v="2016K118469"/>
        <s v="2017K121979"/>
        <s v="2016K118470"/>
        <s v="2017K121977"/>
        <s v="2017K116333"/>
        <s v="2016K115191"/>
        <s v="2017K116322"/>
        <s v="2016K115196"/>
        <s v="2016K118458"/>
        <s v="2016K118463"/>
        <s v="2017K116325"/>
        <s v="2016FISCIV-3"/>
        <s v="2016GIAMGI-5"/>
        <s v="2016RICHAD-1"/>
        <s v="2014DUMAPI5"/>
        <s v="2015ROSS-GI14"/>
        <s v="2016GRUBLO-2"/>
        <s v="2017DUCHPA-4"/>
        <s v="2015PFISED-1"/>
        <s v="2015SAVABR-3"/>
        <s v="2016MEISHE 1"/>
        <s v="2017MEISHE-5"/>
        <s v="2015FONTER-1"/>
        <s v="2016CAVAMA-1"/>
        <s v="2015FONTER-2"/>
        <s v="2015Devise-6"/>
        <s v="2016PURASA-22"/>
        <s v="2017CREYVO-1"/>
        <s v="2016GIAMGI-2"/>
        <s v="2016DEVISE-5"/>
        <s v="2017YERLMI-4"/>
        <s v="2016ROSAOR-1"/>
        <s v="2016TARAAL-2"/>
        <s v="2015ROSAOR-7"/>
        <s v="2015CavalliMa5"/>
        <s v="2017GARIJC-3"/>
        <s v="2015DUCHPA-10"/>
        <s v="2015DENEPA2"/>
        <s v="2016TANTASTE-4"/>
        <s v="2015SAVAAD-1"/>
        <s v="2013YERLMI-3"/>
        <s v="2015REZZONICORO-4"/>
        <s v="2016PURASA-6"/>
        <s v="2015FISCIV11"/>
        <s v="2015CAVALLIMA3"/>
        <s v="2015Dumapi-1"/>
        <s v="2016ANKEFR-2"/>
        <s v="2016GRUBLO-4"/>
        <s v="2016MORAMA-4"/>
        <s v="2014PILLJE-2"/>
        <s v="2016MORAMA-5"/>
        <s v="2015GNOSDA-12"/>
        <s v="2016GNOSDA-12"/>
        <s v="2014DUMAPI2"/>
        <s v="2017PRETFA-4"/>
        <s v="2015CAVALLIMA8"/>
        <s v="2014ANKEFR1"/>
        <s v="2015TANTST2"/>
        <s v="2016FISCIV-5"/>
        <s v="2016BELLEN-2"/>
        <s v="2015PURASA-7"/>
        <s v="2015ROSS-Gi9"/>
        <s v="2015GRUBLO-2"/>
        <s v="2016SAVARBR-1"/>
        <s v="2017YERLMI-3"/>
        <s v="2015UELTYV-1"/>
        <s v="2015MEISHE-13"/>
        <s v="2015GNOSDA-4"/>
        <s v="2016CAVAMA-3"/>
        <s v="2017DUCHPA-3"/>
        <s v="2013ANKEFR-5"/>
        <s v="2015GIAMGI-3"/>
        <s v="2016REZZRO-4"/>
        <s v="2017MEISHE-3"/>
        <s v="2015Devise-1"/>
        <s v="2015ROSAOR-6"/>
        <s v="2015ANARGI-9"/>
        <s v="2016ANARGI-4"/>
        <s v="2015GNOSDA-10"/>
        <s v="2015FISCIV13"/>
        <s v="2015PURASA-13"/>
        <s v="2015Rothmi-5"/>
        <s v="2015UELTYV-2"/>
        <s v="2016ROSAOR-2"/>
        <s v="2017MEISHE-9"/>
        <s v="2016GRUBLO-3"/>
        <s v="2016PURASA-17"/>
        <s v="2016FiSCIV-18"/>
        <s v="2016GNOSDA-1"/>
        <s v="2015FISCIV-6"/>
        <s v="2015MEISHE-9"/>
        <s v="2016PURASA-16"/>
        <s v="2017DUCHPA-1"/>
        <s v="2015Fvui-2"/>
        <s v="2016BOIAOR-1"/>
        <s v="2016Buchmi1"/>
        <s v="2015Roch-2"/>
        <s v="2015REZZONICOMA1"/>
        <s v="2014POSIAN-1"/>
        <s v="2015GRUBLO-7"/>
        <s v="2014DUMAPI1"/>
        <s v="2016BIGNCA-1"/>
        <s v="2016GNOSDA-8"/>
        <s v="2016FISCIV-15"/>
        <s v="2014MEISHE6"/>
        <s v="2015GIAMGI9"/>
        <s v="2016FISCIV-20"/>
        <s v="2016GRUBLO-6"/>
        <s v="2017SAVAJE-1"/>
        <s v="2016GNOSDA-10"/>
        <s v="2017YERLMI-1"/>
        <s v="2015PillJL-1"/>
        <s v="2015PURASA-6"/>
        <s v="2015ROSAOR-8"/>
        <s v="2016MEISHE 6"/>
        <s v="2016BIANRO-5"/>
        <s v="2016CAVACO-7"/>
        <s v="2016SAVALU-1"/>
        <s v="2013ZUEBAR-4"/>
        <s v="2015GARIJE-2"/>
        <s v="2014ANKEFR-5"/>
        <s v="2014SAVAJE-1"/>
        <s v="2016CAVAMA-5"/>
        <s v="2014ANARGI-1"/>
        <s v="2016MORAMA-7"/>
        <s v="2015RICHAD-7"/>
        <s v="2013ZUEBAR-2"/>
        <s v="2017GARIJC-4"/>
        <s v="2015PRIOJE-5"/>
        <s v="2015MORAMA-8"/>
        <s v="2013MEISTHE6"/>
        <s v="2015GNOSDA-1"/>
        <s v="2015REZZONICORO-9"/>
        <s v="2016ALTIAN-1"/>
        <s v="2014MEISHE4"/>
        <s v="2016ROSARE-1"/>
        <s v="2015PURASA-4"/>
        <s v="2014YERMI002"/>
        <s v="2017TANTMAN-1"/>
        <s v="2015DENEPA5"/>
        <s v="2015REZZONICORO-19"/>
        <s v="2016DENEPA-5"/>
        <s v="2013SAVABR-1"/>
        <s v="2015REZZONICORO-10"/>
        <s v="2015Dumapi-2"/>
        <s v="2015DENEPA1"/>
        <s v="2015TANTMA-1"/>
        <s v="2016ROSAOR-3"/>
        <s v="2016MORAMA-1"/>
        <s v="2017CISTAR-2"/>
        <s v="2016GRUBLO-1"/>
        <s v="2015TANTMA-3"/>
        <s v="2016SAVABR-7"/>
        <s v="2015MEISHE-14"/>
        <s v="2016FISCIV-1"/>
        <s v="2015ROSAOR-3"/>
        <s v="2016RICHAD-10"/>
        <s v="2017GNOSDA-2"/>
        <s v="2014YERMI-11"/>
        <s v="2015ROSAOR-5"/>
        <s v="2014GARIJE02"/>
        <s v="2015FISCIV-8"/>
        <s v="2016RICHAD-6"/>
        <s v="2016ALTIAN-2"/>
        <s v="2014GARIJE01"/>
        <s v="2015SAVABR-12"/>
        <s v="2015ALBEFE-2"/>
        <s v="2016GIAMGI-18"/>
        <s v="2015GRUBLO-6"/>
        <s v="2017CISTAR-3"/>
        <s v="2015DUCHPA-1"/>
        <s v="2016TANTMA-2"/>
        <s v="2015TANTST1"/>
        <s v="2015YERLMI-3"/>
        <s v="2013MEISTHE8"/>
        <s v="2016CAVACO-9"/>
        <s v="2015RICHAD-4"/>
        <s v="2015TANTST3"/>
        <s v="2016CRETFH1-1"/>
        <s v="2016FISCIV-17"/>
        <s v="2016CAVAMA-4"/>
        <s v="2013BLANDA3"/>
        <s v="2015ROSS-GI15"/>
        <s v="2015ROSS-Gi19"/>
        <s v="2016CAVACO-2"/>
        <s v="2015RICHAD-2"/>
        <s v="2015FISCIV18"/>
        <s v="2014YERMI-10"/>
        <s v="2013DENEPA4"/>
        <s v="2015GARIGR-2"/>
        <s v="2015ROSAOR-9"/>
        <s v="2015PRIOJE-2"/>
        <s v="2014JOSEDA-2"/>
        <s v="2016PURASA-19"/>
        <s v="2016GNOSDA-4"/>
        <s v="2016BIANRO-8"/>
        <s v="2016CAVACO-1"/>
        <s v="2017GNOSDA-4"/>
        <s v="2017YERLMI-6"/>
        <s v="2014YERMI-009"/>
        <s v="2016GNOSDA-7"/>
        <s v="2016MEISHE 7"/>
        <s v="2016PURASA-13"/>
        <s v="2013MEISTHE9"/>
        <s v="2015Garije-5"/>
        <s v="2015REZZONICORO-14"/>
        <s v="2016REZZRO-11"/>
        <s v="2015Devise-4"/>
        <s v="2016FISCIV-7"/>
        <s v="2014ROCHCH-3"/>
        <s v="2016BURMA-7"/>
        <s v="2015GIAMGI-4"/>
        <s v="2015SAVABR-10"/>
        <s v="2015CAVALLIMA01"/>
        <s v="2015BARBTH-1"/>
        <s v="2015CavalliMa4"/>
        <s v="2016GIAMGI-8"/>
        <s v="2016GIAMGI-14"/>
        <s v="2015MEISHE-11"/>
        <s v="2014DUCHPA-2"/>
        <s v="2015REZZONICORO-1"/>
        <s v="2015Devise-3"/>
        <s v="2015PURASA-12"/>
        <s v="2014MEISHE5"/>
        <s v="2016REZZRO-13"/>
        <s v="2016RICHAD-9"/>
        <s v="2015MORAMA-4"/>
        <s v="2016MEISHE-4"/>
        <s v="2016GNOSDA-14"/>
        <s v="2015REZZONICORO-3"/>
        <s v="2016Buchmi6"/>
        <s v="2014MEISHE3"/>
        <s v="2015MORAMA-10"/>
        <s v="2014ANKEFR2"/>
        <s v="2014ROCHCH-6"/>
        <s v="2015Devise-5"/>
        <s v="2015MEISHE-6"/>
        <s v="2015GIAMGI-7"/>
        <s v="2016SAVARBR-6"/>
        <s v="2016GIAMGI-10"/>
        <s v="2015FISCIV-5"/>
        <s v="2016GIAMGI-7"/>
        <s v="2015DENEPA11"/>
        <s v="2016TANTASTE-5"/>
        <s v="2017ROSARE-1"/>
        <s v="2016REZZRO-6"/>
        <s v="2016CAVAMA-7"/>
        <s v="2016SAVALU-4"/>
        <s v="2016TANTASTE-2"/>
        <s v="2016REZZRO-8"/>
        <s v="2015JOSEDA3"/>
        <s v="2015FISCIV-7"/>
        <s v="2016TANTMA-1"/>
        <s v="2015YERLMI-7"/>
        <s v="2015GNOSDA-3"/>
        <s v="2015RICHAD_8"/>
        <s v="2014ROCHCH-2"/>
        <s v="2015DENEPA4"/>
        <s v="2016CAVACO-10"/>
        <s v="2016RICHAD-3"/>
        <s v="2015FISCIV12"/>
        <s v="2015CAVALLIMA2"/>
        <s v="2015DUCHPA-9"/>
        <s v="2016FISCIV-09"/>
        <s v="2015ROSAOR-2"/>
        <s v="2016CRETYC-2"/>
        <s v="2016ANARGI-2"/>
        <s v="2015PRIOJE-6"/>
        <s v="2015PRETFA-1"/>
        <s v="2015FISCIV16"/>
        <s v="2015FISCIV-3"/>
        <s v="2015DUCHPA-5"/>
        <s v="2015ANARGI-1"/>
        <s v="2015REZZONICORO-8"/>
        <s v="2013MEISTHE1"/>
        <s v="2016BELLEN-4"/>
        <s v="2016BIANRO-3"/>
        <s v="2016GIAMGI-1"/>
        <s v="2015GNOSDA-9"/>
        <s v="2016DENEPA-3"/>
        <s v="2017MEISHE-7"/>
        <s v="2017ROSAOR-1"/>
        <s v="2015MORAMA-6"/>
        <s v="2015REZZONICORO-18"/>
        <s v="2016BELLEN-1"/>
        <s v="2017CISTAR-4"/>
        <s v="2016GIAMGI-3"/>
        <s v="2015CORDJP-1"/>
        <s v="2014Savalu-3_"/>
        <s v="2015CAVALLIMA9"/>
        <s v="2017PURASA-4"/>
        <s v="2016GRUBLO-7"/>
        <s v="2015PURASA-3"/>
        <s v="2016MEISHE 5"/>
        <s v="2016GIAMGI-17"/>
        <s v="2015Devise-10"/>
        <s v="2017YERLMI-5"/>
        <s v="2015SAVALU-1"/>
        <s v="2016CRETTH-2"/>
        <s v="2015FISCIV14"/>
        <s v="2015GNOSDA-7"/>
        <s v="2016DENEPA-1"/>
        <s v="2013MEISTHE3"/>
        <s v="2015LiechJP-1"/>
        <s v="2015CRETYC-1"/>
        <s v="2015Roch-1"/>
        <s v="2017GARIJC-6"/>
        <s v="2014BLANDA-2"/>
        <s v="2016FISCIV-19"/>
        <s v="2015GIAMGI-6"/>
        <s v="2015PRIOJE-4"/>
        <s v="2014POSIAN-2"/>
        <s v="2015PURASA-9"/>
        <s v="2017MEISHE-6"/>
        <s v="2015SAVALU-3"/>
        <s v="2016TANTASTE-1"/>
        <s v="2015SAVAAD-2"/>
        <s v="2017ROCHCL-1"/>
        <s v="2014BLANDA-1"/>
        <s v="2015ANARGI-8"/>
        <s v="2016DUCHPA-1"/>
        <s v="2016FISCIV-12"/>
        <s v="2015MEISHE-12"/>
        <s v="2015FISCIV-4"/>
        <s v="2015Devise-8"/>
        <s v="2016FISCIV-06"/>
        <s v="2015RICHAD-5"/>
        <s v="2016MEISHE 8"/>
        <s v="2014Savalu-1_"/>
        <s v="2015MORAMA-7"/>
        <s v="2016BIGNCA-2"/>
        <s v="2015FISCIV19"/>
        <s v="2015YERLMI-4"/>
        <s v="2017PURASA-10"/>
        <s v="2016REZZMA-1"/>
        <s v="2016DENEPA-10"/>
        <s v="2014GARIJE03"/>
        <s v="2016Buchmi5"/>
        <s v="2016DEVISE-11"/>
        <s v="2016MEISHE-2"/>
        <s v="2016ANARGI-7"/>
        <s v="2016ANARGI-5"/>
        <s v="2015CORDJP-3"/>
        <s v="2016RICHAD-7"/>
        <s v="2016GNOSDA-6"/>
        <s v="2015PRETFA-2"/>
        <s v="2015BIANCHIRO-2"/>
        <s v="2015MOrAMA-3"/>
        <s v="2015BarbTh-2"/>
        <s v="2014Savalu-2"/>
        <s v="2017DENEPA-3"/>
        <s v="2015PillJL-2"/>
        <s v="2015GARIGR-3"/>
        <s v="2015REZZONICORO-15"/>
        <s v="2015MEISHE-1"/>
        <s v="2016GIAMGI-13"/>
        <s v="2015LiechJP-2"/>
        <s v="2016GNOSDA-13"/>
        <s v="2014ANKEFR-4"/>
        <s v="2013SAVABR-4"/>
        <s v="2015Rothmi-2"/>
        <s v="2014Savalu-5"/>
        <s v="2015MARCRE-2"/>
        <s v="2016PURASA-5"/>
        <s v="2016REZZRO-12"/>
        <s v="2014PFISEP-2"/>
        <s v="2015DENEPA8"/>
        <s v="2015BELLIEN-3"/>
        <s v="2014GARIJE04"/>
        <s v="2016FISCIV-2"/>
        <s v="2014Savalu-4_"/>
        <s v="2015PURASA-8"/>
        <s v="2016REZZRO-10"/>
        <s v="2015GNOSDA-5"/>
        <s v="2016RICHAD-2"/>
        <s v="2016CAVAMA-10"/>
        <s v="2016REZZRO-3"/>
        <s v="2015REZZONICORO-6"/>
        <s v="2015SAVALU-5"/>
        <s v="2014DUMAPI-3"/>
        <s v="2015RICHAD-10"/>
        <s v="2016TARAAL-1"/>
        <s v="2016MORAMA-6"/>
        <s v="2015ROSS-GI20"/>
        <s v="2013PENA_JA1"/>
        <s v="2015RICHAD-9"/>
        <s v="2017BIGNCA-1"/>
        <s v="2015GNOSDA-8"/>
        <s v="2016SAVARBR-3"/>
        <s v="2015FISCIV-1"/>
        <s v="2016DEVISE-7"/>
        <s v="2015Devise-2"/>
        <s v="2015Garije-3"/>
        <s v="2015REZZONICORO-12"/>
        <s v="2016GIAMGI-11"/>
        <s v="2015REZZONICORO-11"/>
        <s v="2016GNASDA-11"/>
        <s v="2015DENEPA7"/>
        <s v="2017MEISHE-1"/>
        <s v="2015PURASA-2"/>
        <s v="2017PURASA-11"/>
        <s v="2017DENEPA-2"/>
        <s v="2014No4ROSSAL"/>
        <s v="2016CAVACO-6"/>
        <s v="2016PURASA-24"/>
        <s v="2016GIAMGI-15"/>
        <s v="2016MORAMA-3"/>
        <s v="2013ANKEFR1"/>
        <s v="2016REZZRO-5"/>
        <s v="2016YERLMI-1"/>
        <s v="2016BELLEN-3"/>
        <s v="2015BIANCHIRO-3"/>
        <s v="2015GIAMGI8"/>
        <s v="2016CAVACO-4"/>
        <s v="2016GNOSDA-15"/>
        <s v="2015FISCIV20"/>
        <s v="2016FISCIV-16"/>
        <s v="2015PURASA-1"/>
        <s v="2015DUCHPA-2"/>
        <s v="2015SAVABR-14"/>
        <s v="2016ROSARE-2"/>
        <s v="2016PURASA-21"/>
        <s v="2016GNOSDA-3"/>
        <s v="2017PURASA-7"/>
        <s v="2015YERLMI-8"/>
        <s v="2015YERLMI-5"/>
        <s v="2013SAVABR-2"/>
        <s v="2016GNOSDA-5"/>
        <s v="2015SAVALU-4"/>
        <s v="2017CORDJP-3"/>
        <s v="2016BIANRO-7"/>
        <s v="2015GNOSDA-13"/>
        <s v="2015REZZONICORO-17"/>
        <s v="2016FISCIV-11"/>
        <s v="2017MEISHE-14"/>
        <s v="2015ANARGI-6"/>
        <s v="2016SAVALU-3"/>
        <s v="2015ROSAOR-10"/>
        <s v="2013MEISTHE4"/>
        <s v="2017GNOSDA-1"/>
        <s v="2017PURASA-3"/>
        <s v="2015SAVALU-2"/>
        <s v="2013MEISTHE5"/>
        <s v="2014ROCHCH-1"/>
        <s v="2016DEVISE-2"/>
        <s v="2017K116328"/>
        <s v="2015Devise-7"/>
        <s v="2015REZZONICORO-2"/>
        <s v="2016TANTMA-3"/>
        <s v="2015GRUBLO-5"/>
        <s v="2014YERMI-005"/>
        <s v="2015PillJL-3"/>
        <s v="2016PURASA-9"/>
        <s v="2016GNOSDA-2"/>
        <s v="2014MEISHE2"/>
        <s v="2015GIAMGI10"/>
        <s v="2015MENGOMA-1"/>
        <s v="2015ANARGI-3"/>
        <s v="2015REZZONICORO-16"/>
        <s v="2014ANARGI-2"/>
        <s v="2016BIGNCA-3"/>
        <s v="2016ANARGI-3"/>
        <s v="2013MEISTHE2"/>
        <s v="2013SAVABR-3"/>
        <s v="2014SAVABR-1"/>
        <s v="2015GARIGR-1"/>
        <s v="2014MEISHE7"/>
        <s v="2016BURIMA-2"/>
        <s v="2016FISCIV-4"/>
        <s v="2016ANKEFR-3"/>
        <s v="2015GRUBLO-4"/>
        <s v="2015PURASA-5"/>
        <s v="2016ANARGI-6"/>
        <s v="2014PFISEP-1"/>
        <s v="2016RICHAD-4"/>
        <s v="2017ESPOMA-2"/>
        <s v="2016FISCIV-13"/>
        <s v="2015GARIJE-1"/>
        <s v="2015RICHAD-6"/>
        <s v="2016REZZRO-9"/>
        <s v="2013BLANDA4"/>
        <s v="2016ANKEFR-1"/>
        <s v="2015MEISHE-7"/>
        <s v="2013SAVALU2"/>
        <s v="2015GRUBLO-1"/>
        <s v="2014MEISHE9"/>
        <s v="2016SAVARBR-10"/>
        <s v="2016SAVALU-2"/>
        <s v="2016CAVACO-5"/>
        <s v="2015CAVALLIMA7"/>
        <s v="2015ROSSAL-1"/>
        <s v="2015DUCHPA-3"/>
        <s v="2015ALBEFE-1"/>
        <s v="2015BIANCHIRO-5"/>
        <s v="2015FISCIV9"/>
        <s v="2016PURASA-10"/>
        <s v="2016FISCIV-8"/>
        <s v="2016GIAMGI-4"/>
        <s v="2013ANKEFR-4"/>
        <s v="2015PENAJA-2"/>
        <s v="2015BIANCHIRO-4"/>
        <s v="2014YERMI003"/>
        <s v="2017ROSARE-3"/>
        <s v="2016PURASA-8"/>
        <s v="2016RICHAD-5"/>
        <s v="2015ROSAOR-1"/>
        <s v="2016SAVARBR-9"/>
        <s v="2016REZZRO-1"/>
        <s v="2017ROSAOR-2"/>
        <s v="2016FISCIV-14"/>
        <s v="2016GNOSDA-9"/>
        <s v="2015REZZONICORO-7"/>
        <s v="2017GARJC-5"/>
        <s v="2015MARCRE-3"/>
        <s v="2017PURASA-2"/>
        <s v="2015MORAMA-1"/>
        <s v="2016MEISHE-3"/>
        <s v="2015REZZONICORO-13"/>
        <s v="2017MEISHE-12"/>
        <s v="2016LIMOMA-1"/>
        <s v="2016TANTASTE-3"/>
        <s v="2016CAVACO-8"/>
        <s v="2015DENEPA10"/>
        <s v="2013DENEPA10"/>
        <s v="2014ANKEFR-3"/>
        <s v="2016DEVISE-3"/>
        <s v="2015ROSAOR-4"/>
        <s v="2016DEVISE-4"/>
        <s v="2015MEISHE-5"/>
        <s v="2015BarbTh-3"/>
        <s v="2015TANTMA-2"/>
        <s v="2016BIANRO-6"/>
        <s v="2015RICHAD-3"/>
        <s v="2015Rothmi/4"/>
        <s v="2015CavalliMa6"/>
        <s v="2015ANARGI-5"/>
        <s v="2015BarbTh-5"/>
        <s v="2015MEISHE-2"/>
        <s v="2015MEISHE-10"/>
        <s v="2017SAVALU-1"/>
        <s v="2015GIAMGI-1"/>
        <s v="2017PRETFA-3"/>
        <s v="2015Garije-4"/>
        <s v="2014MEISHE1"/>
        <s v="2015JOSEDA-4"/>
        <s v="2015SAVAJE-1"/>
        <s v="2016GRUBLO-5"/>
        <s v="2015GRUBLO-3"/>
        <s v="2016RICHAD-8"/>
        <s v="2015PENAJA-3"/>
        <s v="2014POSIAN-3"/>
        <s v="2016PURASA-11"/>
        <s v="2016PURASA-14"/>
        <s v="2013SAVALU1"/>
        <s v="2017CORDJC-2"/>
        <s v="2016CAVAMA-8"/>
        <s v="2015Fvui-3"/>
        <s v="2014PFISEP-4"/>
        <s v="2015RICHAD-1"/>
        <s v="2013MEISTHE7"/>
        <s v="2015Devise-9"/>
        <s v="2016BIANRO-2"/>
        <s v="2016REZZRO-2"/>
        <s v="2016CAVAMA-9"/>
        <s v="2017MEISHE-11"/>
        <s v="2017CORDJP-1"/>
        <s v="2016DENEPA-9"/>
        <s v="2013GARIJE-1"/>
        <s v="2015MEISHE-8"/>
        <s v="2016GIAMGI-16"/>
        <s v="2016ANARGI-1"/>
        <s v="2016CAVAMA-2"/>
        <s v="2015REZZONICORO-05"/>
        <s v="2015ANARGI-4"/>
        <s v="2014No3 VIKTOR ULR_"/>
        <s v="2017ROSAOR-3"/>
        <s v="2015BELLEN-2"/>
        <s v="2015MORAMA-5"/>
        <s v="2014POSIAN-4"/>
        <s v="2017CREYVO-2"/>
        <s v="2017PEDRAN-2"/>
        <s v="2017ANARGI-4"/>
        <s v="2017JOSEDA-1"/>
        <s v="2016BIANRO-4"/>
        <s v="2017MEISHE-2"/>
        <s v="2017TANTMA-2"/>
        <s v="2015MEISHE-4"/>
        <s v="2013YERLMI-4"/>
        <s v="2015ROSS-GI18"/>
        <s v="2015Rothmi/3"/>
        <s v="2015FISCIV15"/>
        <s v="2016CAVACO-3"/>
        <s v="2015MORAMA-2"/>
        <s v="2016FISCIV-10"/>
        <s v="2014No5ROSSAL"/>
        <s v="2016PURASA-12"/>
        <s v="2015GNOSDA-2"/>
        <s v="2017JOSEDA-3"/>
        <s v="2015CAVALLIMA10"/>
        <s v="2015Rothmi-6"/>
        <s v="2015ANKEFR-2"/>
        <s v="2015GNOSDA-11"/>
        <s v="2015ANARGI-7"/>
        <s v="2015GNOSDA-6"/>
        <s v="2017DENEPA-6"/>
        <s v="2016MORAMA-2"/>
        <s v="2017RAMAA-1"/>
        <s v="2015ANARGI-10"/>
        <s v="2015ANARGI-2"/>
        <s v="2016REZZRO-7"/>
        <s v="2015BIANCHIRO-1"/>
        <s v="2014JOSEDA3"/>
        <s v="2017PURASA-6"/>
        <s v="2017JOSEDA-2"/>
        <s v="2017PURASA-5"/>
        <s v="2016DENEPA-11"/>
        <s v="2013GARIJE-2"/>
        <s v="2015Fvui-1"/>
        <s v="2014ROCHCH-4"/>
        <s v="2015CORDJP-2"/>
        <s v="2016PRETFA-1"/>
        <s v="2015RothMi-1"/>
        <s v="2014PENAJA2"/>
        <s v="2015MEISHE-3"/>
        <s v="2015FISCIV17"/>
        <s v="2017CISTAR-1"/>
        <s v="2014No2 VIKTOR ULR_"/>
        <s v="2016CAVAMA-6"/>
        <s v="2017GARIJC-2"/>
        <s v="2016BIANRO-1"/>
        <s v="2015BELLEN-1"/>
        <s v="2015Ross_Gi_8"/>
        <s v="2014ROCHCH-5"/>
        <s v="2014MEISHE8"/>
        <s v="2013ULRIVI-2"/>
        <s v="2017ROCHCL-2"/>
        <s v="2014No1 VIKTOR ULR_"/>
        <s v="2015GIAMGI-2"/>
        <s v="2016GIAMGI-12"/>
        <s v="2016SAVARBR-2"/>
        <s v="2014JOSEDA-1"/>
        <s v="2016GIAMGI-19"/>
        <s v="2015FISCIV-2"/>
        <s v="2014PFISEP-3"/>
        <s v="2013ANKEFR-3"/>
        <s v="2016SAVARBR-5"/>
        <s v="2017PEDRAN-8"/>
        <s v="2015ANKEFR-1"/>
        <s v="2015Roch-3"/>
        <s v="2015BarbTh-4"/>
        <s v="2016GIAMGI-6"/>
        <s v="2015ANKEFR-3"/>
        <s v="2015ROSS-GI-10"/>
        <s v="2015FISCIV10"/>
        <s v="2015MARCRE-1"/>
        <s v="2015GIAMGI-5"/>
        <s v="2014No6ROSSAL"/>
        <s v="2017MEISHE-13"/>
        <s v="2013ULRIVI-1"/>
        <s v="2016GIAMGI-20"/>
        <s v="2016GIAMGI-9"/>
        <s v="2015K112955"/>
        <s v="2015K112957"/>
        <s v="2015K112953"/>
        <s v="2015K112961"/>
        <s v="2015K112956"/>
        <s v="2015K112954"/>
        <s v="2018K122045"/>
        <s v="2015K112951"/>
        <s v="2015K112962"/>
        <s v="2018K122044"/>
        <s v="2018K122043"/>
        <s v="2016K118462"/>
        <s v="2016K118496"/>
        <s v="2017K122004"/>
        <s v="2017K121993"/>
        <s v="2017K121992"/>
        <s v="2017K121982"/>
        <s v="2017K121980"/>
        <s v="2017K121953"/>
        <s v="2016K118452"/>
        <s v="2016K118488"/>
        <s v="2016K118471"/>
        <s v="2017K116330"/>
        <s v="2017K121951"/>
        <s v="2017K121976"/>
        <s v="2016K118482"/>
        <s v="2016K118484"/>
        <s v="2016K118465"/>
        <s v="2017K116342"/>
        <s v="2017K122000"/>
        <s v="2017K116346"/>
        <s v="2016K115198"/>
        <s v="2016K115189"/>
        <s v="2016K118477"/>
        <s v="2016K115199"/>
        <s v="2017K121983"/>
        <s v="2016K118480"/>
        <s v="2016K118478"/>
        <s v="2016K118495"/>
        <s v="2017K122012"/>
        <s v="2016K118474"/>
        <s v="2016K118468"/>
        <s v="2017K121971"/>
        <s v="2016K115195"/>
        <s v="2017K122002"/>
        <s v="2016K115192"/>
        <s v="2017K116327"/>
        <s v="2016K118481"/>
        <s v="2017K116321"/>
        <s v="2016K118467"/>
        <s v="2016K118475"/>
        <s v="2016K118473"/>
        <s v="2017K122007"/>
        <s v="2016K118498"/>
        <s v="2017K116332"/>
        <s v="2017K122017"/>
        <s v="2016K118466"/>
        <s v="2017K122006"/>
        <s v="2016K118497"/>
        <s v="2017K122008"/>
        <s v="2017K116349"/>
        <s v="2016K118485"/>
        <s v="2017K116335"/>
        <s v="2016K118479"/>
        <s v="2016K115197"/>
        <s v="2016K118489"/>
        <s v="2017K121990"/>
        <s v="2017K116326"/>
        <s v="2017K121970"/>
        <s v="2017K121972"/>
        <s v="2017K121961"/>
        <s v="2016K118476"/>
        <s v="2017K116329"/>
        <s v="2017K121959"/>
        <s v="2017K121975"/>
        <s v="2017K116347"/>
        <s v="2017K121969"/>
        <s v="2017K121988"/>
        <s v="2017K122010"/>
        <s v="2017K121985"/>
        <s v="2017K122014"/>
        <s v="2016K118459"/>
        <s v="2016K115187"/>
        <s v="2016K118457"/>
        <s v="2017K116331"/>
        <s v="2017K121998"/>
        <s v="2017K121957"/>
        <s v="2017K121986"/>
        <s v="2017K121996"/>
        <s v="2017K116348"/>
        <s v="2017K121960"/>
        <s v="2016K115194"/>
        <s v="2016K118464"/>
        <s v="2016K118460"/>
        <s v="2017K121989"/>
        <s v="2017K121964"/>
        <s v="2017K122013"/>
        <s v="2017K116344"/>
        <s v="2017K116324"/>
        <s v="2017K116323"/>
        <s v="2016K115190"/>
        <s v="2017K121958"/>
        <s v="2017K121965"/>
        <s v="2016K118483"/>
        <s v="2017K116336"/>
        <s v="2016K112979"/>
        <s v="2016K115188"/>
        <s v="2016K118453"/>
        <s v="2017PRETFA-1"/>
        <s v="2017ULRICHV_1"/>
        <s v="2017PENAJA-3"/>
        <s v="2017PENAJA-4"/>
        <s v="2017PENAJA-1"/>
        <s v="2017PENAJA-2"/>
        <s v="2017MESSJO-3"/>
        <s v="2016Buchmi3"/>
        <s v="2017CISTAR-5"/>
        <s v="2017PEDRAN-7"/>
      </sharedItems>
    </cacheField>
    <cacheField name="sp" numFmtId="0">
      <sharedItems/>
    </cacheField>
    <cacheField name="ADULTE" numFmtId="0">
      <sharedItems containsMixedTypes="1" containsNumber="1" containsInteger="1" minValue="0" maxValue="1"/>
    </cacheField>
    <cacheField name="JUVENIL" numFmtId="0">
      <sharedItems containsMixedTypes="1" containsNumber="1" containsInteger="1" minValue="0" maxValue="1" count="3">
        <n v="0"/>
        <n v="1"/>
        <s v="NA"/>
      </sharedItems>
    </cacheField>
    <cacheField name="AGE" numFmtId="0">
      <sharedItems containsBlank="1" count="3">
        <s v="Adulte"/>
        <s v="Juvénile"/>
        <m/>
      </sharedItems>
    </cacheField>
    <cacheField name="ORIGINE" numFmtId="0">
      <sharedItems count="2">
        <s v="UNBEKANNT"/>
        <s v="SCHWEIZ"/>
      </sharedItems>
    </cacheField>
    <cacheField name="TYPE_PRELE" numFmtId="0">
      <sharedItems count="3">
        <s v="jgd"/>
        <s v="mamjja"/>
        <s v="son"/>
      </sharedItems>
    </cacheField>
    <cacheField name="dH_reg" numFmtId="0">
      <sharedItems containsMixedTypes="1" containsNumber="1" minValue="-159.78854849999999" maxValue="-12.487500000000004" count="1033">
        <n v="-159.78854849999999"/>
        <n v="-144.96249999999998"/>
        <n v="-140.32499999999999"/>
        <n v="-137.73750000000001"/>
        <n v="-137.43673237499999"/>
        <n v="-135.46249999999998"/>
        <n v="-133.78749999999999"/>
        <n v="-130.72499999999999"/>
        <n v="-130.36249999999998"/>
        <n v="-130.02500000000001"/>
        <n v="-129.75"/>
        <n v="-129.66249999999999"/>
        <n v="-129.5"/>
        <n v="-128.67500000000001"/>
        <n v="-128.41249999999999"/>
        <n v="-127.35000000000001"/>
        <n v="-127.28913425"/>
        <n v="-127.01951000000001"/>
        <n v="-126.825"/>
        <n v="-125.42716012500001"/>
        <n v="-125.425"/>
        <n v="-123.175"/>
        <n v="-122.17500000000001"/>
        <n v="-121.529286375"/>
        <n v="-121.075"/>
        <n v="-121.0125"/>
        <n v="-120.325"/>
        <n v="-119.68337700000001"/>
        <n v="-119.541538375"/>
        <n v="-119.02499999999999"/>
        <n v="-118.50000000000001"/>
        <n v="-118.4875"/>
        <n v="-118.03750000000001"/>
        <n v="-117.6375"/>
        <n v="-117.41250000000001"/>
        <n v="-117.3625"/>
        <n v="-116.81320725"/>
        <n v="-116.62500000000001"/>
        <n v="-116.53750000000001"/>
        <n v="-116.46249999999999"/>
        <n v="-116.21249999999999"/>
        <n v="-115.75000000000001"/>
        <n v="-115.12500000000001"/>
        <n v="-114.575"/>
        <n v="-114.2375"/>
        <n v="-113.66250000000001"/>
        <n v="-111.6125"/>
        <n v="-110.72341875000001"/>
        <n v="-110.5625"/>
        <n v="-110.30000000000001"/>
        <n v="-110.1"/>
        <n v="-110.06250000000001"/>
        <n v="-109.55"/>
        <n v="-109.41249999999999"/>
        <n v="-108.33749999999999"/>
        <n v="-107.48750000000001"/>
        <n v="-107.22499999999999"/>
        <n v="-107.2"/>
        <n v="-107.1375"/>
        <n v="-106.08750000000001"/>
        <n v="-105.8"/>
        <n v="-104.72499999999999"/>
        <n v="-104.55"/>
        <n v="-103.5393"/>
        <n v="-103.50000000000001"/>
        <n v="-102.8875"/>
        <n v="-102.87500000000001"/>
        <n v="-102.65"/>
        <n v="-102.6"/>
        <n v="-102.46249999999999"/>
        <n v="-102.325"/>
        <n v="-102.2625"/>
        <n v="-102.1875"/>
        <n v="-102.16550112500001"/>
        <n v="-101.96250000000001"/>
        <n v="-101.916284625"/>
        <n v="-101.9"/>
        <n v="-101.77499999999999"/>
        <n v="-101.53750000000001"/>
        <n v="-100.92272075"/>
        <n v="-100.55000000000001"/>
        <n v="-100.47500000000001"/>
        <n v="-100.43750000000001"/>
        <n v="-100.17855412500001"/>
        <n v="-99.875"/>
        <n v="-99.787499999999994"/>
        <n v="-99.737499999999997"/>
        <n v="-99.375"/>
        <n v="-99.3125"/>
        <n v="-99.25"/>
        <n v="-98.883983000000001"/>
        <n v="-98.684420000000003"/>
        <n v="-98.662500000000009"/>
        <n v="-98.187500000000014"/>
        <n v="-97.6"/>
        <n v="-97.55"/>
        <n v="-97.224999999999994"/>
        <n v="-97.067123625000008"/>
        <n v="-96.912499999999994"/>
        <n v="-96.800000000000011"/>
        <n v="-96.575000000000003"/>
        <n v="-95.7"/>
        <n v="-95.65"/>
        <n v="-95.325000000000003"/>
        <n v="-95.257975999999999"/>
        <n v="-95.05"/>
        <n v="-94.45"/>
        <n v="-94.25"/>
        <n v="-93.737500000000011"/>
        <n v="-93.379548750000012"/>
        <n v="-93.273727750000006"/>
        <n v="-92.425000000000011"/>
        <n v="-91.4375"/>
        <n v="-89.437500000000014"/>
        <n v="-89.424200249999998"/>
        <n v="-89.148551999999995"/>
        <n v="-88.962499999999991"/>
        <n v="-88.9375"/>
        <n v="-88.932072500000018"/>
        <n v="-88.731828500000006"/>
        <n v="-88.597489375000009"/>
        <n v="-88.575191500000003"/>
        <n v="-88.105640875000006"/>
        <n v="-87.949221749999992"/>
        <n v="-87.475000000000009"/>
        <n v="-86.762500000000003"/>
        <n v="-86.302790000000002"/>
        <n v="-85.524999999999991"/>
        <n v="-85.5"/>
        <n v="-84.987499999999997"/>
        <n v="-84.415346624999998"/>
        <n v="-83.795589000000007"/>
        <n v="-83.7"/>
        <n v="-82.736486249999999"/>
        <n v="-82.325000000000003"/>
        <n v="-80.938556000000005"/>
        <n v="-80.079662499999998"/>
        <n v="-79.308128000000011"/>
        <n v="-79.288133999999999"/>
        <n v="-77.566322999999997"/>
        <n v="-76.987499999999997"/>
        <n v="-76.724073000000004"/>
        <n v="-76.125"/>
        <n v="-75.412500000000009"/>
        <n v="-74.674144499999997"/>
        <n v="-74.3125"/>
        <n v="-73.840697500000005"/>
        <n v="-73.642634999999999"/>
        <n v="-73.014245750000001"/>
        <n v="-72.028892999999997"/>
        <n v="-71.837500000000006"/>
        <n v="-71.212500000000006"/>
        <n v="-71.129618000000008"/>
        <n v="-70.734265250000007"/>
        <n v="-70.633115000000004"/>
        <n v="-69.975000000000009"/>
        <n v="-68.2"/>
        <n v="-68.0625"/>
        <n v="-66.087500000000006"/>
        <n v="-64.74261525"/>
        <n v="-64.431995499999999"/>
        <n v="-63.505791250000001"/>
        <n v="-63.307039250000003"/>
        <n v="-60.296180249999999"/>
        <n v="-59.880514000000005"/>
        <n v="-59.25"/>
        <n v="-59.113617750000003"/>
        <n v="-58.750000000000007"/>
        <n v="-57.975000000000001"/>
        <n v="-57.487499999999997"/>
        <n v="-55.787500000000001"/>
        <n v="-55.162500000000001"/>
        <n v="-54.712499999999999"/>
        <n v="-53.967247999999998"/>
        <n v="-53.598146249999999"/>
        <n v="-53.437500000000007"/>
        <n v="-51.9375"/>
        <n v="-51.889034500000001"/>
        <n v="-51.858783000000003"/>
        <n v="-51.550561999999999"/>
        <n v="-50.099338000000003"/>
        <n v="-49.760336750000008"/>
        <n v="-39.336625500000004"/>
        <n v="-37.864625000000004"/>
        <n v="-37.17081975"/>
        <n v="-29.85"/>
        <n v="-26.812774867499996"/>
        <n v="-79.734084887500003"/>
        <n v="-74.546977150000018"/>
        <n v="-73.763801917500004"/>
        <n v="-70.735145400000007"/>
        <n v="-68.117596187500013"/>
        <n v="-64.296228757500003"/>
        <n v="-62.75497965000001"/>
        <n v="-62.111904437500002"/>
        <n v="-57.434869150000004"/>
        <n v="-55.889569012500019"/>
        <n v="-54.803359665000009"/>
        <n v="-53.400909075000008"/>
        <n v="-53.293540117500001"/>
        <n v="-52.549250000000001"/>
        <n v="-52.327288837500006"/>
        <n v="-50.941043550000003"/>
        <n v="-50.326762750000007"/>
        <n v="-50.113075432499997"/>
        <n v="-49.614500000000007"/>
        <n v="-48.19049157500001"/>
        <n v="-48.163068324999998"/>
        <n v="-47.377653975000001"/>
        <n v="-46.918052775000007"/>
        <n v="-46.851749999999996"/>
        <n v="-46.647500000000001"/>
        <n v="-45.568366087500003"/>
        <n v="-43.110750000000003"/>
        <n v="-42.193026800000005"/>
        <n v="-42.057281712500007"/>
        <n v="-41.400765022499996"/>
        <n v="-41.394625267500004"/>
        <n v="-40.753306175000006"/>
        <n v="-40.431652200000002"/>
        <n v="-40.407773225000007"/>
        <n v="-39.964426132500002"/>
        <n v="-39.815431025000002"/>
        <n v="-39.613659975000004"/>
        <n v="-39.594249990000002"/>
        <n v="-37.934696272500005"/>
        <n v="-36.180865485000005"/>
        <n v="-35.716412272500001"/>
        <n v="-34.894203252499999"/>
        <n v="-34.544881035000003"/>
        <n v="-33.670045282500006"/>
        <n v="-33.202314287500002"/>
        <n v="-32.651106962499995"/>
        <n v="-32.598336824999997"/>
        <n v="-32.411169112499998"/>
        <n v="-32.077961037500003"/>
        <n v="-30.630996202499997"/>
        <n v="-30.554749999999995"/>
        <n v="-30.551857174999999"/>
        <n v="-29.100380242500002"/>
        <n v="-28.900977525000002"/>
        <n v="-28.282388017499997"/>
        <n v="-27.939940425"/>
        <n v="-27.682014062499999"/>
        <n v="-26.927848349999994"/>
        <n v="-25.732220987500003"/>
        <n v="-25.078176474999996"/>
        <n v="-24.049157664999999"/>
        <n v="-99.546353914999997"/>
        <n v="-93.795457374999998"/>
        <n v="-92.677076502500014"/>
        <n v="-91.792427719999992"/>
        <n v="-91.303420647499991"/>
        <n v="-90.112821059999987"/>
        <n v="-86.041531180000007"/>
        <n v="-85.938254209999997"/>
        <n v="-85.637848147500009"/>
        <n v="-83.777232665000014"/>
        <n v="-83.249894210000008"/>
        <n v="-82.383259525000014"/>
        <n v="-81.131798382500008"/>
        <n v="-80.937697995000008"/>
        <n v="-80.919682285000007"/>
        <n v="-80.200946744999996"/>
        <n v="-79.413608575000012"/>
        <n v="-79.26650041500001"/>
        <n v="-78.349548850000005"/>
        <n v="-76.705613915000001"/>
        <n v="-75.755960312500008"/>
        <n v="-74.861131280000009"/>
        <n v="-74.443255667499997"/>
        <n v="-74.005879877500007"/>
        <n v="-73.333406425000007"/>
        <n v="-72.533239205000001"/>
        <n v="-72.080425340000005"/>
        <n v="-71.544705969999995"/>
        <n v="-71.003055180000004"/>
        <n v="-69.559342112500005"/>
        <n v="-66.805007320000001"/>
        <n v="-65.138989089999995"/>
        <n v="-65.062998629999996"/>
        <n v="-64.630900014999995"/>
        <n v="-64.455507422500006"/>
        <n v="-62.794700577499995"/>
        <n v="-62.671889459999996"/>
        <n v="-60.978943877500001"/>
        <n v="-60.391046695"/>
        <n v="-57.613010840000001"/>
        <n v="-57.316151095000002"/>
        <n v="-52.556722539999996"/>
        <n v="-51.923955825"/>
        <n v="-51.558553864999993"/>
        <n v="-48.019215265000007"/>
        <n v="-47.279769635000001"/>
        <n v="-44.321822855000001"/>
        <n v="-43.942034815000007"/>
        <n v="-43.676117439999999"/>
        <n v="-42.990986400000004"/>
        <n v="-42.357925995000002"/>
        <n v="-40.116933157500007"/>
        <n v="-38.068849069999999"/>
        <n v="-37.865720725000003"/>
        <n v="-34.964931049999997"/>
        <n v="-31.044151597500001"/>
        <n v="-122.14454025000001"/>
        <n v="-118.45487212499998"/>
        <n v="-115.75619399999999"/>
        <n v="-113.42499999999998"/>
        <n v="-108.8125"/>
        <n v="-107.106267"/>
        <n v="-106.49777999999998"/>
        <n v="-104.33750000000001"/>
        <n v="-104.0625"/>
        <n v="-103.54182749999998"/>
        <n v="-103.49665400000001"/>
        <n v="-103.4375"/>
        <n v="-102.42696000000001"/>
        <n v="-101.4"/>
        <n v="-100.38749999999999"/>
        <n v="-100.30933300000001"/>
        <n v="-99.522882249999981"/>
        <n v="-98.629763249999996"/>
        <n v="-98.320077124999983"/>
        <n v="-98.270035999999976"/>
        <n v="-98.225696499999998"/>
        <n v="-97.919986999999992"/>
        <n v="-96.825000000000017"/>
        <n v="-96.586216250000007"/>
        <n v="-95.862499999999983"/>
        <n v="-94.325000000000017"/>
        <n v="-94.288873125000009"/>
        <n v="-94.012500000000017"/>
        <n v="-94"/>
        <n v="-93.9375"/>
        <n v="-93.83487199999999"/>
        <n v="-93.674999999999983"/>
        <n v="-93.65"/>
        <n v="-93.487500000000011"/>
        <n v="-93.483966750000008"/>
        <n v="-93.102496000000002"/>
        <n v="-93.026260374999993"/>
        <n v="-92.987500000000011"/>
        <n v="-92.912104875000011"/>
        <n v="-92.8125"/>
        <n v="-92.656941125000003"/>
        <n v="-92.487499999999983"/>
        <n v="-92.402621374999995"/>
        <n v="-92.337500000000006"/>
        <n v="-92.262499999999989"/>
        <n v="-92.167338999999998"/>
        <n v="-92.162501999999989"/>
        <n v="-91.925000000000011"/>
        <n v="-91.8125"/>
        <n v="-91.799999999999983"/>
        <n v="-91.723931499999992"/>
        <n v="-91.631306999999993"/>
        <n v="-91.35"/>
        <n v="-90.85"/>
        <n v="-90.712500000000006"/>
        <n v="-90.22417762500001"/>
        <n v="-90.206783000000001"/>
        <n v="-90.1875"/>
        <n v="-90.025000000000006"/>
        <n v="-89.909070374999999"/>
        <n v="-89.758787000000012"/>
        <n v="-89.65"/>
        <n v="-89.574999999999989"/>
        <n v="-89.5625"/>
        <n v="-89.367255"/>
        <n v="-89.237500000000011"/>
        <n v="-89.087500000000006"/>
        <n v="-89.025000000000006"/>
        <n v="-88.987499999999983"/>
        <n v="-88.712500000000006"/>
        <n v="-88.688067999999987"/>
        <n v="-88.672716624999993"/>
        <n v="-88.445571375000014"/>
        <n v="-88.264856000000009"/>
        <n v="-87.969297250000011"/>
        <n v="-87.816825999999992"/>
        <n v="-87.362500000000011"/>
        <n v="-87.35"/>
        <n v="-87.200000000000017"/>
        <n v="-87.111796999999996"/>
        <n v="-87.074999999999989"/>
        <n v="-86.908188499999994"/>
        <n v="-86.868570500000004"/>
        <n v="-86.787499999999994"/>
        <n v="-86.737500000000011"/>
        <n v="-86.587500000000006"/>
        <n v="-86.162499999999994"/>
        <n v="-85.987500000000011"/>
        <n v="-85.937189999999987"/>
        <n v="-85.826229124999998"/>
        <n v="-85.736440500000015"/>
        <n v="-85.637500000000017"/>
        <n v="-85.4"/>
        <n v="-85.320413624999986"/>
        <n v="-85.281481874999997"/>
        <n v="-85.281059249999998"/>
        <n v="-85.273944374999985"/>
        <n v="-84.837669000000005"/>
        <n v="-84.737500000000011"/>
        <n v="-84.712500000000006"/>
        <n v="-84.65"/>
        <n v="-84.45075374999999"/>
        <n v="-84.396669374999988"/>
        <n v="-84.357422750000012"/>
        <n v="-84.333079999999995"/>
        <n v="-84.075000000000017"/>
        <n v="-83.987499999999983"/>
        <n v="-83.9375"/>
        <n v="-83.837500000000006"/>
        <n v="-83.789890874999998"/>
        <n v="-83.737499999999983"/>
        <n v="-83.700102249999986"/>
        <n v="-83.674999999999983"/>
        <n v="-83.587500000000006"/>
        <n v="-83.522842499999996"/>
        <n v="-83.412499999999994"/>
        <n v="-82.987500000000011"/>
        <n v="-82.925000000000011"/>
        <n v="-82.809175500000009"/>
        <n v="-82.724999999999994"/>
        <n v="-82.706785499999995"/>
        <n v="-82.4"/>
        <n v="-82.25"/>
        <n v="-82.128995500000002"/>
        <n v="-82.1"/>
        <n v="-82.050000000000011"/>
        <n v="-81.921795500000002"/>
        <n v="-81.862499999999983"/>
        <n v="-81.675000000000011"/>
        <n v="-81.662499999999994"/>
        <n v="-81.650000000000006"/>
        <n v="-81.643635999999987"/>
        <n v="-81.511292749999996"/>
        <n v="-81.433648750000003"/>
        <n v="-81.163997125000009"/>
        <n v="-81.0625"/>
        <n v="-80.961035999999979"/>
        <n v="-80.875"/>
        <n v="-80.788404000000014"/>
        <n v="-80.787499999999994"/>
        <n v="-80.625598499999995"/>
        <n v="-80.613043000000005"/>
        <n v="-80.612499999999983"/>
        <n v="-80.575000000000017"/>
        <n v="-80.5625"/>
        <n v="-80.56012237500002"/>
        <n v="-80.551476000000008"/>
        <n v="-80.549999999999983"/>
        <n v="-80.5"/>
        <n v="-80.299999999999983"/>
        <n v="-80.294678625000017"/>
        <n v="-80.287499999999994"/>
        <n v="-80.247023500000012"/>
        <n v="-80.162499999999994"/>
        <n v="-80.15044850000001"/>
        <n v="-80.025000000000006"/>
        <n v="-79.987499999999983"/>
        <n v="-79.962500000000006"/>
        <n v="-79.801920625000008"/>
        <n v="-79.6875"/>
        <n v="-79.637500000000017"/>
        <n v="-79.610283124999995"/>
        <n v="-79.573213749999979"/>
        <n v="-79.495283999999998"/>
        <n v="-79.349999999999994"/>
        <n v="-79.012500000000017"/>
        <n v="-78.60417425"/>
        <n v="-78.5625"/>
        <n v="-78.550000000000011"/>
        <n v="-78.300000000000011"/>
        <n v="-78.25"/>
        <n v="-77.974999999999994"/>
        <n v="-77.8125"/>
        <n v="-77.75"/>
        <n v="-77.7033275"/>
        <n v="-77.667323124999996"/>
        <n v="-77.615466375000011"/>
        <n v="-77.586005124999986"/>
        <n v="-77.545450999999986"/>
        <n v="-77.352530000000002"/>
        <n v="-77.324999999999989"/>
        <n v="-77.281062625000004"/>
        <n v="-77.184760750000009"/>
        <n v="-77.172606000000002"/>
        <n v="-77.125"/>
        <n v="-77.050000000000011"/>
        <n v="-77.025000000000006"/>
        <n v="-77.01847325"/>
        <n v="-76.974999999999994"/>
        <n v="-76.969343624999993"/>
        <n v="-76.8125"/>
        <n v="-76.764276749999993"/>
        <n v="-76.762499999999989"/>
        <n v="-76.662499999999994"/>
        <n v="-76.575000000000017"/>
        <n v="-76.5625"/>
        <n v="-76.5"/>
        <n v="-76.493524124999993"/>
        <n v="-76.371420000000001"/>
        <n v="-75.950000000000017"/>
        <n v="-75.924999999999983"/>
        <n v="-75.900000000000006"/>
        <n v="-75.862499999999983"/>
        <n v="-75.824999999999989"/>
        <n v="-75.787499999999994"/>
        <n v="-75.693667500000004"/>
        <n v="-75.68480550000001"/>
        <n v="-75.537499999999994"/>
        <n v="-75.533089749999988"/>
        <n v="-75.51747850000001"/>
        <n v="-75.4375"/>
        <n v="-75.220188000000007"/>
        <n v="-75.199999999999989"/>
        <n v="-75.125"/>
        <n v="-75.074999999999989"/>
        <n v="-74.962500000000006"/>
        <n v="-74.950000000000017"/>
        <n v="-74.887499999999989"/>
        <n v="-74.824999999999989"/>
        <n v="-74.810810000000004"/>
        <n v="-74.807071500000006"/>
        <n v="-74.724999999999994"/>
        <n v="-74.552245499999998"/>
        <n v="-74.537499999999994"/>
        <n v="-74.525701125000012"/>
        <n v="-74.476274500000017"/>
        <n v="-74.453568000000018"/>
        <n v="-74.433680624999994"/>
        <n v="-74.322751000000011"/>
        <n v="-74.249639624999986"/>
        <n v="-74.16217850000001"/>
        <n v="-74.0625"/>
        <n v="-74.049999999999983"/>
        <n v="-73.867115499999983"/>
        <n v="-73.787499999999994"/>
        <n v="-73.674999999999983"/>
        <n v="-73.650000000000006"/>
        <n v="-73.599999999999994"/>
        <n v="-73.489610874999983"/>
        <n v="-73.433842499999997"/>
        <n v="-73.400000000000006"/>
        <n v="-73.387500000000017"/>
        <n v="-73.375"/>
        <n v="-73.322356124999999"/>
        <n v="-73.199999999999989"/>
        <n v="-73.171938000000011"/>
        <n v="-73.141852999999998"/>
        <n v="-73.099999999999994"/>
        <n v="-73.025000000000006"/>
        <n v="-72.912499999999994"/>
        <n v="-72.837500000000006"/>
        <n v="-72.737499999999983"/>
        <n v="-72.724999999999994"/>
        <n v="-72.675000000000011"/>
        <n v="-72.657207"/>
        <n v="-72.559536250000008"/>
        <n v="-72.503019749999993"/>
        <n v="-72.450000000000017"/>
        <n v="-72.332972000000012"/>
        <n v="-72.09965200000002"/>
        <n v="-72.08352124999999"/>
        <n v="-72.074999999999989"/>
        <n v="-71.875"/>
        <n v="-71.850032499999998"/>
        <n v="-71.788962499999997"/>
        <n v="-71.72969362500001"/>
        <n v="-71.675000000000011"/>
        <n v="-71.575000000000017"/>
        <n v="-71.548536374999998"/>
        <n v="-71.483715750000016"/>
        <n v="-71.362500000000011"/>
        <n v="-71.256077500000004"/>
        <n v="-71.241277125000011"/>
        <n v="-71.200000000000017"/>
        <n v="-71.108260000000001"/>
        <n v="-70.974999999999994"/>
        <n v="-70.959407374999984"/>
        <n v="-70.9375"/>
        <n v="-70.912499999999994"/>
        <n v="-70.778350500000016"/>
        <n v="-70.675000000000011"/>
        <n v="-70.662499999999994"/>
        <n v="-70.549999999999983"/>
        <n v="-70.537499999999994"/>
        <n v="-70.394822000000005"/>
        <n v="-70.325000000000017"/>
        <n v="-70.301606249999992"/>
        <n v="-70.287499999999994"/>
        <n v="-70.137499999999989"/>
        <n v="-70.074999999999989"/>
        <n v="-70.0625"/>
        <n v="-70.018157000000002"/>
        <n v="-69.924999999999983"/>
        <n v="-69.88751400000001"/>
        <n v="-69.8125"/>
        <n v="-69.625368000000009"/>
        <n v="-69.612499999999983"/>
        <n v="-69.362499999999983"/>
        <n v="-69.351716500000009"/>
        <n v="-69.121266375000005"/>
        <n v="-69.112500000000011"/>
        <n v="-69.0625"/>
        <n v="-69.049999999999983"/>
        <n v="-68.98500525"/>
        <n v="-68.962500000000006"/>
        <n v="-68.950195250000007"/>
        <n v="-68.9375"/>
        <n v="-68.849999999999994"/>
        <n v="-68.737376500000011"/>
        <n v="-68.700000000000017"/>
        <n v="-68.6875"/>
        <n v="-68.683532624999998"/>
        <n v="-68.677090499999991"/>
        <n v="-68.600856499999992"/>
        <n v="-68.599999999999994"/>
        <n v="-68.598360500000013"/>
        <n v="-68.564789499999989"/>
        <n v="-68.549172249999998"/>
        <n v="-68.527477000000005"/>
        <n v="-68.526241249999998"/>
        <n v="-68.512499999999989"/>
        <n v="-68.480662125000009"/>
        <n v="-68.390294624999996"/>
        <n v="-68.375"/>
        <n v="-68.337500000000006"/>
        <n v="-68.287499999999994"/>
        <n v="-68.25"/>
        <n v="-68.220884000000012"/>
        <n v="-68.112499999999983"/>
        <n v="-68.087500000000006"/>
        <n v="-68.049999999999983"/>
        <n v="-68"/>
        <n v="-67.843597125000002"/>
        <n v="-67.825000000000017"/>
        <n v="-67.812598000000008"/>
        <n v="-67.762500000000017"/>
        <n v="-67.737499999999983"/>
        <n v="-67.724999999999994"/>
        <n v="-67.699999999999989"/>
        <n v="-67.699824500000005"/>
        <n v="-67.67537387500002"/>
        <n v="-67.675000000000011"/>
        <n v="-67.612500000000011"/>
        <n v="-67.599999999999994"/>
        <n v="-67.537499999999994"/>
        <n v="-67.512737874999999"/>
        <n v="-67.5"/>
        <n v="-67.499184874999997"/>
        <n v="-67.324999999999989"/>
        <n v="-67.240154999999987"/>
        <n v="-67.052574749999991"/>
        <n v="-67.008691999999996"/>
        <n v="-66.962500000000006"/>
        <n v="-66.9375"/>
        <n v="-66.862499999999983"/>
        <n v="-66.724999999999994"/>
        <n v="-66.721542874999983"/>
        <n v="-66.604686874999999"/>
        <n v="-66.599999999999994"/>
        <n v="-66.587500000000006"/>
        <n v="-66.572779999999995"/>
        <n v="-66.525000000000006"/>
        <n v="-66.518926499999992"/>
        <n v="-66.5"/>
        <n v="-66.316685624999991"/>
        <n v="-66.262500000000017"/>
        <n v="-66.112500000000011"/>
        <n v="-66.037499999999994"/>
        <n v="-66.031501125000005"/>
        <n v="-66.025000000000006"/>
        <n v="-66.011743124999981"/>
        <n v="-65.887500000000017"/>
        <n v="-65.863560124999992"/>
        <n v="-65.8125"/>
        <n v="-65.715642000000003"/>
        <n v="-65.680057000000005"/>
        <n v="-65.662499999999994"/>
        <n v="-65.594988374999986"/>
        <n v="-65.51379799999998"/>
        <n v="-65.438676749999985"/>
        <n v="-65.369669750000014"/>
        <n v="-65.349999999999994"/>
        <n v="-65.342563750000011"/>
        <n v="-65.298778999999996"/>
        <n v="-65.169084999999995"/>
        <n v="-64.962500000000006"/>
        <n v="-64.912499999999994"/>
        <n v="-64.87329112499998"/>
        <n v="-64.801611750000006"/>
        <n v="-64.737500000000011"/>
        <n v="-64.729057124999997"/>
        <n v="-64.712500000000006"/>
        <n v="-64.637500000000017"/>
        <n v="-64.537499999999994"/>
        <n v="-64.51037599999998"/>
        <n v="-64.421638000000002"/>
        <n v="-64.415877375000008"/>
        <n v="-64.325877749999989"/>
        <n v="-64.3125"/>
        <n v="-64.287499999999994"/>
        <n v="-64.275000000000006"/>
        <n v="-64.215970625000011"/>
        <n v="-64.212500000000006"/>
        <n v="-64.083091749999994"/>
        <n v="-63.977099000000003"/>
        <n v="-63.975000000000001"/>
        <n v="-63.949999999999996"/>
        <n v="-63.860204375000002"/>
        <n v="-63.822352124999988"/>
        <n v="-63.774999999999999"/>
        <n v="-63.754396500000006"/>
        <n v="-63.637499999999996"/>
        <n v="-63.587500000000013"/>
        <n v="-63.5590695"/>
        <n v="-63.531274500000002"/>
        <n v="-63.525000000000013"/>
        <n v="-63.487500000000004"/>
        <n v="-63.462499999999999"/>
        <n v="-63.448531999999993"/>
        <n v="-63.381605499999999"/>
        <n v="-63.375000000000007"/>
        <n v="-63.199999999999996"/>
        <n v="-63.169067000000005"/>
        <n v="-63.1"/>
        <n v="-62.975000000000001"/>
        <n v="-62.874999999999993"/>
        <n v="-62.855071000000002"/>
        <n v="-62.813235124999999"/>
        <n v="-62.79999999999999"/>
        <n v="-62.687500000000007"/>
        <n v="-62.612500000000004"/>
        <n v="-62.6"/>
        <n v="-62.425033000000006"/>
        <n v="-62.341414500000006"/>
        <n v="-62.312499999999993"/>
        <n v="-62.125000000000007"/>
        <n v="-62.11249999999999"/>
        <n v="-61.987500000000004"/>
        <n v="-61.937499999999993"/>
        <n v="-61.930596000000001"/>
        <n v="-61.927207750000001"/>
        <n v="-61.908503250000003"/>
        <n v="-61.9"/>
        <n v="-61.82500000000001"/>
        <n v="-61.7782695"/>
        <n v="-61.699999999999996"/>
        <n v="-61.612747500000005"/>
        <n v="-61.429421499999997"/>
        <n v="-61.380005375000003"/>
        <n v="-61.337500000000013"/>
        <n v="-61.250000000000007"/>
        <n v="-61.193651624999994"/>
        <n v="-61.074999999999996"/>
        <n v="-61.072472249999997"/>
        <n v="-61.050000000000004"/>
        <n v="-61.037500000000001"/>
        <n v="-60.912500000000001"/>
        <n v="-60.85"/>
        <n v="-60.819216500000003"/>
        <n v="-60.752663000000005"/>
        <n v="-60.639672749999995"/>
        <n v="-60.57500000000001"/>
        <n v="-60.337499999999999"/>
        <n v="-60.274999999999999"/>
        <n v="-60.23749999999999"/>
        <n v="-60.212499999999999"/>
        <n v="-60.199999999999996"/>
        <n v="-59.860163500000006"/>
        <n v="-59.798881874999999"/>
        <n v="-59.74225387500001"/>
        <n v="-59.61249999999999"/>
        <n v="-59.512499999999996"/>
        <n v="-59.449999999999996"/>
        <n v="-59.439369499999991"/>
        <n v="-59.402821499999995"/>
        <n v="-59.398946625000001"/>
        <n v="-59.137499999999996"/>
        <n v="-59.104183999999997"/>
        <n v="-59.093944999999998"/>
        <n v="-59.05641275"/>
        <n v="-59.000780999999996"/>
        <n v="-58.884559250000002"/>
        <n v="-58.824999999999996"/>
        <n v="-58.64961125"/>
        <n v="-58.42499999999999"/>
        <n v="-58.384092500000001"/>
        <n v="-58.375000000000007"/>
        <n v="-58.085190749999988"/>
        <n v="-57.900000000000013"/>
        <n v="-57.789373875000003"/>
        <n v="-57.750929499999991"/>
        <n v="-57.698336999999988"/>
        <n v="-57.605494875000012"/>
        <n v="-57.524999999999999"/>
        <n v="-57.42499999999999"/>
        <n v="-57.312499999999993"/>
        <n v="-57.09048087499999"/>
        <n v="-56.949999999999996"/>
        <n v="-56.943091999999986"/>
        <n v="-56.837499999999999"/>
        <n v="-56.79999999999999"/>
        <n v="-56.758666124999998"/>
        <n v="-56.54999999999999"/>
        <n v="-56.400000000000013"/>
        <n v="-56.35"/>
        <n v="-55.95000000000001"/>
        <n v="-55.837499999999999"/>
        <n v="-55.749999999999993"/>
        <n v="-55.724462999999993"/>
        <n v="-55.587499999999999"/>
        <n v="-55.556027750000005"/>
        <n v="-55.387499999999996"/>
        <n v="-55.29999999999999"/>
        <n v="-55.037500000000001"/>
        <n v="-55.01250000000001"/>
        <n v="-54.465232125000007"/>
        <n v="-54.32500000000001"/>
        <n v="-54.304196250000011"/>
        <n v="-54.225000000000001"/>
        <n v="-53.962499999999999"/>
        <n v="-53.694579000000012"/>
        <n v="-53.66215549999999"/>
        <n v="-53.612500000000004"/>
        <n v="-53.143600250000013"/>
        <n v="-52.927428000000013"/>
        <n v="-52.687500000000007"/>
        <n v="-52.675000000000004"/>
        <n v="-52.574999999999996"/>
        <n v="-52.550000000000004"/>
        <n v="-52.524999999999999"/>
        <n v="-52.250365750000007"/>
        <n v="-52.223576000000001"/>
        <n v="-51.936438000000003"/>
        <n v="-51.81850475000001"/>
        <n v="-51.664608750000006"/>
        <n v="-51.4437055"/>
        <n v="-51.387499999999996"/>
        <n v="-50.88750000000001"/>
        <n v="-50.554360875000008"/>
        <n v="-49.844715000000001"/>
        <n v="-49.682072250000012"/>
        <n v="-49.537500000000001"/>
        <n v="-49.449999999999996"/>
        <n v="-49.425000000000004"/>
        <n v="-48.714509499999998"/>
        <n v="-48.512499999999996"/>
        <n v="-48.437500000000007"/>
        <n v="-48.262499999999996"/>
        <n v="-48.221211375000003"/>
        <n v="-48.175260999999999"/>
        <n v="-48.085386249999992"/>
        <n v="-47.855180749999995"/>
        <n v="-47.725357874999993"/>
        <n v="-47.660550625000006"/>
        <n v="-47.5397745"/>
        <n v="-47.512499999999996"/>
        <n v="-47.462499999999999"/>
        <n v="-47.449999999999996"/>
        <n v="-47.087499999999999"/>
        <n v="-46.949999999999996"/>
        <n v="-46.871518875"/>
        <n v="-46.65"/>
        <n v="-46.489532250000003"/>
        <n v="-46.375000000000007"/>
        <n v="-45.773006000000002"/>
        <n v="-45.65"/>
        <n v="-45.529474499999999"/>
        <n v="-45.487500000000004"/>
        <n v="-44.92499999999999"/>
        <n v="-44.912500000000001"/>
        <n v="-44.525000000000013"/>
        <n v="-44.500000000000007"/>
        <n v="-44.203600999999999"/>
        <n v="-43.886470625000008"/>
        <n v="-43.776128500000006"/>
        <n v="-43.687500000000007"/>
        <n v="-43.63750000000001"/>
        <n v="-43.631587875000001"/>
        <n v="-43.437500000000007"/>
        <n v="-42.925000000000004"/>
        <n v="-42.366652875000007"/>
        <n v="-41.329012499999997"/>
        <n v="-40.842344250000004"/>
        <n v="-40.583539499999993"/>
        <n v="-40.300000000000004"/>
        <n v="-40.250000000000007"/>
        <n v="-40.212499999999999"/>
        <n v="-39.024999999999999"/>
        <n v="-38.863387499999995"/>
        <n v="-38.800000000000004"/>
        <n v="-38.387499999999996"/>
        <n v="-37.712499999999999"/>
        <n v="-37.287500000000001"/>
        <n v="-37.009187500000003"/>
        <n v="-36.550000000000004"/>
        <n v="-36.087676499999993"/>
        <n v="-35.687401000000001"/>
        <n v="-35.448034"/>
        <n v="-35.162500000000001"/>
        <n v="-34.88750000000001"/>
        <n v="-34.874999999999993"/>
        <n v="-34.537500000000001"/>
        <n v="-34.500000000000007"/>
        <n v="-34.061771749999998"/>
        <n v="-33.824999999999996"/>
        <n v="-33.125"/>
        <n v="-32.574970874999998"/>
        <n v="-31.472535999999998"/>
        <n v="-31.15"/>
        <n v="-31.051323750000002"/>
        <n v="-30.912500000000001"/>
        <n v="-30.825000000000003"/>
        <n v="-28.300000000000004"/>
        <n v="-26.769421999999999"/>
        <n v="-25.792159999999999"/>
        <n v="-25.212499999999999"/>
        <n v="-24.550000000000004"/>
        <n v="-23.35"/>
        <n v="-18.947088749999999"/>
        <n v="-17.0625"/>
        <n v="-16.799999999999997"/>
        <n v="-16.174999999999997"/>
        <n v="-15.612500000000004"/>
        <n v="-12.487500000000004"/>
        <s v="NA"/>
        <n v="-74.114874999999984"/>
        <n v="-69.633125000000007"/>
        <n v="-63.888749999999995"/>
        <n v="-62.000500000000009"/>
        <n v="-61.238374999999998"/>
        <n v="-55.562250000000013"/>
        <n v="-52.512242243750002"/>
        <n v="-52.218000000000025"/>
        <n v="-50.932625000000009"/>
        <n v="-38.98277458750001"/>
        <n v="-89.220725305000002"/>
        <n v="-86.386325327499975"/>
        <n v="-86.109934212500008"/>
        <n v="-84.461972215000003"/>
        <n v="-81.579373632499994"/>
        <n v="-80.893518917499989"/>
        <n v="-80.404422127499998"/>
        <n v="-77.120460082499989"/>
        <n v="-76.925954862499992"/>
        <n v="-75.858995787500021"/>
        <n v="-75.293043582500019"/>
        <n v="-74.16830747000003"/>
        <n v="-74.13535113750001"/>
        <n v="-72.759417260000021"/>
        <n v="-72.195769630000001"/>
        <n v="-72.041137880000008"/>
        <n v="-71.622085837500009"/>
        <n v="-71.561463912500017"/>
        <n v="-68.952759632500005"/>
        <n v="-68.091799646249996"/>
        <n v="-67.450121222500002"/>
        <n v="-66.445014847500005"/>
        <n v="-65.945554294999994"/>
        <n v="-65.926998485000013"/>
        <n v="-65.877892154999984"/>
        <n v="-63.995647927499995"/>
        <n v="-63.973999482500012"/>
        <n v="-62.916318312500017"/>
        <n v="-61.191635124999998"/>
        <n v="-61.037542550000005"/>
        <n v="-60.969504579999999"/>
        <n v="-60.96903775000002"/>
        <n v="-60.725186415000003"/>
        <n v="-60.112101215000003"/>
        <n v="-60.015426682499999"/>
        <n v="-59.985828250000004"/>
        <n v="-59.695338960000022"/>
        <n v="-59.660208410000003"/>
        <n v="-58.320662702499995"/>
        <n v="-58.042402220000007"/>
        <n v="-57.694404115000005"/>
        <n v="-57.601195772500013"/>
        <n v="-56.737233582500018"/>
        <n v="-56.098479330000011"/>
        <n v="-54.811928837500012"/>
        <n v="-54.485795302500016"/>
        <n v="-54.417701139999998"/>
        <n v="-54.349719362500004"/>
        <n v="-54.280639897500016"/>
        <n v="-54.179984115000003"/>
        <n v="-54.106947514999995"/>
        <n v="-53.494416960000002"/>
        <n v="-53.457494165000007"/>
        <n v="-53.353890892500011"/>
        <n v="-52.869893515000008"/>
        <n v="-52.295673049999998"/>
        <n v="-51.305451203750003"/>
        <n v="-50.701685199999993"/>
        <n v="-50.470615270000003"/>
        <n v="-49.273822400000007"/>
        <n v="-49.234501072500002"/>
        <n v="-48.968308555"/>
        <n v="-48.851075757500006"/>
        <n v="-48.062546880000006"/>
        <n v="-47.981137938750003"/>
        <n v="-47.949503836249995"/>
        <n v="-47.906489842500001"/>
        <n v="-46.909005855000011"/>
        <n v="-44.834492050000001"/>
        <n v="-44.293538227500001"/>
        <n v="-44.063615352500001"/>
        <n v="-43.930632047500005"/>
        <n v="-43.732703407500004"/>
        <n v="-41.807857985000005"/>
        <n v="-40.666274587500006"/>
        <n v="-39.731826755000007"/>
        <n v="-39.339045274999997"/>
        <n v="-38.592927174999993"/>
        <n v="-37.97757198"/>
        <n v="-36.838744290000001"/>
        <n v="-36.282545692500001"/>
        <n v="-33.335017245000003"/>
        <n v="-32.68426487"/>
        <n v="-32.127526870000004"/>
        <n v="-31.731274650000003"/>
        <n v="-29.938845830000005"/>
        <n v="-29.846169723750002"/>
        <n v="-24.938453615"/>
        <n v="-23.893925585000012"/>
        <n v="-19.939516035000004"/>
        <n v="-19.69162282125"/>
        <n v="-19.395412588749998"/>
        <n v="-15.436639475000007"/>
        <n v="-14.067943396249994"/>
      </sharedItems>
    </cacheField>
    <cacheField name="dC" numFmtId="0">
      <sharedItems containsMixedTypes="1" containsNumber="1" minValue="-352.6990965" maxValue="192.0669542"/>
    </cacheField>
    <cacheField name="dN" numFmtId="0">
      <sharedItems containsMixedTypes="1" containsNumber="1" minValue="-2.895262486" maxValue="14.86" count="1023">
        <n v="4.63"/>
        <n v="7.3316396529999999"/>
        <n v="5.7582361449999997"/>
        <n v="5.7855787210000003"/>
        <n v="1.4"/>
        <n v="5.7112848139999999"/>
        <n v="6.485536422"/>
        <n v="7.1854624830000002"/>
        <n v="7.0963960009999996"/>
        <n v="6.1887754749999999"/>
        <n v="4.6073484660000004"/>
        <n v="5.7310074320000002"/>
        <n v="6.4977060360000003"/>
        <n v="7.2560771229999999"/>
        <n v="6.2051512170000001"/>
        <n v="9.5568147089999993"/>
        <n v="4.5674128239999998"/>
        <n v="4.7827868699999998"/>
        <n v="6.2689454370000002"/>
        <n v="1.88"/>
        <n v="3.8446096700000001"/>
        <n v="3.911619859"/>
        <n v="5.2861584500000003"/>
        <n v="4.62"/>
        <n v="6.192243038"/>
        <n v="4.9330720860000001"/>
        <n v="6.0069001440000003"/>
        <n v="3.9600696860000002"/>
        <n v="6.26"/>
        <n v="3.949742799"/>
        <n v="4.6436824469999998"/>
        <n v="4.6095004590000004"/>
        <n v="4.5808401099999996"/>
        <n v="2.883952989"/>
        <n v="6.7123370570000001"/>
        <n v="5.3871017190000003"/>
        <n v="2.897610641"/>
        <n v="8.1514992339999992"/>
        <n v="5.7555208320000002"/>
        <n v="7.0607656189999997"/>
        <n v="6.0792648959999998"/>
        <n v="6.5388365129999997"/>
        <n v="5.0939038400000003"/>
        <n v="6.0350465289999997"/>
        <n v="7.0150641460000003"/>
        <n v="4.1258487749999997"/>
        <n v="8.2968314440000004"/>
        <n v="4.025961927"/>
        <n v="8.2939478090000005"/>
        <n v="4.1794235679999998"/>
        <n v="5.2192906209999999"/>
        <n v="4.8024455939999999"/>
        <n v="1.5300994809999999"/>
        <n v="4.6472541090000004"/>
        <n v="4.3997488000000002"/>
        <n v="3.5089685340000001"/>
        <n v="5.4715459019999999"/>
        <n v="4.8230398069999998"/>
        <n v="9.633780475"/>
        <n v="8.0870056760000004"/>
        <n v="4.088102492"/>
        <n v="4.7695128450000004"/>
        <n v="5.4184444909999998"/>
        <n v="5.0796075639999998"/>
        <n v="5.4348119879999999"/>
        <n v="2.7035807859999998"/>
        <n v="6.1836821659999996"/>
        <n v="5.5018209410000001"/>
        <n v="6.911640147"/>
        <n v="5.0208826039999996"/>
        <n v="3.8457698059999998"/>
        <n v="3.4851814609999998"/>
        <n v="5.7517205730000001"/>
        <n v="6.2600288869999998"/>
        <n v="4.5856357570000004"/>
        <n v="5.1781479030000002"/>
        <n v="7.58"/>
        <n v="8.1884790610000007"/>
        <n v="4.8968051030000002"/>
        <n v="5.7862855829999997"/>
        <n v="8.0096764"/>
        <n v="3.324742144"/>
        <n v="6.7145772929999996"/>
        <n v="8.1267451620000006"/>
        <n v="7.63"/>
        <n v="7.6598259329999996"/>
        <n v="6.7635865040000001"/>
        <n v="10.18752087"/>
        <n v="5.5962168300000004"/>
        <n v="5.5541803310000004"/>
        <n v="4.8049715869999998"/>
        <n v="4.9491772149999997"/>
        <n v="5.767877683"/>
        <n v="7.3671662800000002"/>
        <n v="3.6882286569999998"/>
        <n v="3.893231841"/>
        <n v="8.9899593289999995"/>
        <n v="4.6431023419999997"/>
        <n v="3.22"/>
        <n v="2.31360812"/>
        <n v="7.5257229529999998"/>
        <n v="4.5592224579999998"/>
        <n v="0.15858729199999999"/>
        <n v="8.2654915150000008"/>
        <n v="8.3733465309999993"/>
        <n v="5.2302281119999998"/>
        <n v="11.65135905"/>
        <n v="5.9060327719999997"/>
        <n v="4.5318202300000001"/>
        <n v="2.3244389860000001"/>
        <n v="6.4442586869999996"/>
        <n v="5.4847364299999999"/>
        <s v="NA"/>
        <n v="8.350550557"/>
        <n v="-1.2788375329999999"/>
        <n v="3.78"/>
        <n v="8.8688167789999994"/>
        <n v="3.7713615389999999"/>
        <n v="-0.57820553799999996"/>
        <n v="8.4021259260000001"/>
        <n v="8.9286055609999995"/>
        <n v="-2.38"/>
        <n v="6.3032905000000001"/>
        <n v="5.3447673250000003"/>
        <n v="4.5536058810000002"/>
        <n v="5.3730797150000003"/>
        <n v="1.274868372"/>
        <n v="6.9332123399999999"/>
        <n v="1.4389842660000001"/>
        <n v="1.147890852"/>
        <n v="1.718314814"/>
        <n v="9.5737913060000004"/>
        <n v="6.2"/>
        <n v="5.9596984769999999"/>
        <n v="3.2503141499999999"/>
        <n v="7.1829979780000004"/>
        <n v="2.654092157"/>
        <n v="7.3712855289999997"/>
        <n v="8.1894783760000003"/>
        <n v="6.2071190280000001"/>
        <n v="6.6276773269999998"/>
        <n v="5.0227308099999997"/>
        <n v="6.0646723439999999"/>
        <n v="5.4081495029999997"/>
        <n v="5.3228368670000004"/>
        <n v="-2.3141301080000001"/>
        <n v="6.4441190510000004"/>
        <n v="1.2550141539999999"/>
        <n v="6.6736759040000004"/>
        <n v="6.6841224730000004"/>
        <n v="6.1231649890000002"/>
        <n v="5.7561244809999996"/>
        <n v="6.5449959849999999"/>
        <n v="4.6128611279999996"/>
        <n v="8.7866986669999996"/>
        <n v="9.0988914909999998"/>
        <n v="6.6833936920000001"/>
        <n v="5.6833118059999999"/>
        <n v="4.2251110140000003"/>
        <n v="2.1809722819999999"/>
        <n v="3.9660569749999999"/>
        <n v="4.5723211050000003"/>
        <n v="5.0836579520000003"/>
        <n v="5.8278533020000003"/>
        <n v="2.5178868639999998"/>
        <n v="6.308539991"/>
        <n v="4.7433851579999997"/>
        <n v="3.2257204970000002"/>
        <n v="4.8630116880000003"/>
        <n v="4.6050565990000001"/>
        <n v="6.554213861"/>
        <n v="5.6515635069999997"/>
        <n v="5.9248277380000003"/>
        <n v="3.4035780510000002"/>
        <n v="4.4643169909999996"/>
        <n v="6.2372421649999996"/>
        <n v="4.143578626"/>
        <n v="4.6951264610000001"/>
        <n v="3.3433716809999998"/>
        <n v="4.3369842680000001"/>
        <n v="1.0860827200000001"/>
        <n v="3.0585517100000001"/>
        <n v="6.7541484350000003"/>
        <n v="9.3910979920000006"/>
        <n v="2.1530488000000001"/>
        <n v="4.74909654"/>
        <n v="2.5285279159999998"/>
        <n v="4.448716224"/>
        <n v="-1.2541429799999999"/>
        <n v="4.4813557011342304"/>
        <n v="-0.78862924886818908"/>
        <n v="5.5331506380000004"/>
        <n v="4.6636115257952433"/>
        <n v="6.7388229332522256"/>
        <n v="-1.2004385360000001"/>
        <n v="-0.63101091745464055"/>
        <n v="1.2578462762450267"/>
        <n v="-1.1351922241528278"/>
        <n v="1.3105372472643015"/>
        <n v="-1.6715452049999999"/>
        <n v="-5.8946983736034131E-2"/>
        <n v="-1.0430805439999999"/>
        <n v="0.60270095999999995"/>
        <n v="0.26806939995990509"/>
        <n v="-0.16429921586171181"/>
        <n v="2.3573002094732995"/>
        <n v="0.73120513499999995"/>
        <n v="-1.2849384619999999"/>
        <n v="-1.3106764455763671"/>
        <n v="-0.3724813647843539"/>
        <n v="-0.67011379999999998"/>
        <n v="1.5747509275122344"/>
        <n v="2.0857327219999999"/>
        <n v="3.0885518529999998"/>
        <n v="2.6561990980000001"/>
        <n v="1.887067598"/>
        <n v="2.0479478071630148"/>
        <n v="-0.37463331092662133"/>
        <n v="-1.1691658789999999"/>
        <n v="0.39691395899999998"/>
        <n v="2.5328247165417843"/>
        <n v="-1.3365580610000001"/>
        <n v="0.65172609636182832"/>
        <n v="-0.79126873200000003"/>
        <n v="4.303145512077255"/>
        <n v="-0.81615113100000003"/>
        <n v="-1.3236157209999999"/>
        <n v="-0.47035755200000001"/>
        <n v="0.100789875"/>
        <n v="-0.92334619100000004"/>
        <n v="-0.27530228699999998"/>
        <n v="4.1568201020000002"/>
        <n v="1.0884486019999999"/>
        <n v="0.12422535017686376"/>
        <n v="2.0368459365255687"/>
        <n v="-1.413145592"/>
        <n v="0.43389958299999998"/>
        <n v="1.4755743795724348"/>
        <n v="9.886901E-3"/>
        <n v="2.2135804690000001"/>
        <n v="0.6062469160672852"/>
        <n v="-0.76427224599999999"/>
        <n v="4.3163520451468553"/>
        <n v="-1.5456571690000001"/>
        <n v="1.1488561859999999"/>
        <n v="1.3894092580109372"/>
        <n v="3.5803873999999999E-2"/>
        <n v="1.5919531131477958"/>
        <n v="2.7406756114669628"/>
        <n v="6.4512236940000003"/>
        <n v="6.8160371270000004"/>
        <n v="7.1116463679999997"/>
        <n v="4.2654212060000001"/>
        <n v="5.7633601329999999"/>
        <n v="6.2884790529999997"/>
        <n v="5.9523365699999999"/>
        <n v="9.1052703650000009"/>
        <n v="7.5137012109999999"/>
        <n v="5.4825289420000001"/>
        <n v="5.9723008990000004"/>
        <n v="6.8170682840000003"/>
        <n v="6.3187365340000001"/>
        <n v="5.83"/>
        <n v="5.9358978100000002"/>
        <n v="5.5928286270000003"/>
        <n v="6.7294726100000002"/>
        <n v="8.8922701620000009"/>
        <n v="4.7507726830000001"/>
        <n v="5.78"/>
        <n v="5.9873324280000002"/>
        <n v="6.4195077019999998"/>
        <n v="6.2494094899999997"/>
        <n v="8.603591539"/>
        <n v="6.0384375830000003"/>
        <n v="5.7328943819999996"/>
        <n v="6.99"/>
        <n v="9.0923998259999994"/>
        <n v="4.5338786420000003"/>
        <n v="3.9123731039999998"/>
        <n v="6.3007440209999999"/>
        <n v="7.73"/>
        <n v="6.18"/>
        <n v="-0.25282767299999998"/>
        <n v="0.10775367299999999"/>
        <n v="6.4356554460000002"/>
        <n v="6.7982294169999999"/>
        <n v="5.7212481039999998"/>
        <n v="5.92"/>
        <n v="6.55"/>
        <n v="3.893059037"/>
        <n v="-1.33"/>
        <n v="8.75"/>
        <n v="10.515709879999999"/>
        <n v="4.2699999999999996"/>
        <n v="7.25"/>
        <n v="7.6500159810000001"/>
        <n v="2.95"/>
        <n v="5.6548415350000001"/>
        <n v="7.1977436279999996"/>
        <n v="3.81"/>
        <n v="-1.2479256569999999"/>
        <n v="1.0900000000000001"/>
        <n v="1.3"/>
        <n v="0.19"/>
        <n v="1.180864336"/>
        <n v="5.66"/>
        <n v="6.31"/>
        <n v="5.87"/>
        <n v="5.2198509839999998"/>
        <n v="7.8065244859999998"/>
        <n v="8.3000000000000007"/>
        <n v="6.362445471"/>
        <n v="4.3584891429999999"/>
        <n v="7.0451623860000003"/>
        <n v="8.1999999999999993"/>
        <n v="5.1691810089999999"/>
        <n v="7.6914488600000004"/>
        <n v="8.02"/>
        <n v="7.7953084480000001"/>
        <n v="5.402386184"/>
        <n v="8.74"/>
        <n v="8.1397045049999992"/>
        <n v="6.58"/>
        <n v="5.9535"/>
        <n v="6.4662387350000001"/>
        <n v="10.220000000000001"/>
        <n v="5.41"/>
        <n v="8.5965912400000004"/>
        <n v="6.0787344680000004"/>
        <n v="7.9045893879999998"/>
        <n v="4.3151897259999998"/>
        <n v="8.1499823199999994"/>
        <n v="6.52"/>
        <n v="4.4885053389999996"/>
        <n v="6.1371202760000001"/>
        <n v="8.5232636609999997"/>
        <n v="6.57"/>
        <n v="5.6126753330000003"/>
        <n v="7.2519527669999997"/>
        <n v="5.7664671910000003"/>
        <n v="10.63"/>
        <n v="7.82"/>
        <n v="4.21"/>
        <n v="4.6109550500000003"/>
        <n v="6.78"/>
        <n v="4.9734529280000004"/>
        <n v="6.1"/>
        <n v="10.37520372"/>
        <n v="5.0406416030000001"/>
        <n v="4.8888735219999999"/>
        <n v="6.8961018080000001"/>
        <n v="6.4250723839999999"/>
        <n v="6.28"/>
        <n v="4.508045869"/>
        <n v="6.9293376110000002"/>
        <n v="4.8291091240000004"/>
        <n v="5.49"/>
        <n v="5.9642307929999996"/>
        <n v="4.6857405649999997"/>
        <n v="5.2616707260000002"/>
        <n v="8.0899080800000007"/>
        <n v="4.05"/>
        <n v="7.5123970419999999"/>
        <n v="6.0764559"/>
        <n v="5.6488654199999999"/>
        <n v="4.8600000000000003"/>
        <n v="5.1625018530000002"/>
        <n v="6.6183760769999997"/>
        <n v="6.7868982740000003"/>
        <n v="8.2694332910000004"/>
        <n v="3.83"/>
        <n v="6.6531294159999996"/>
        <n v="4.0917650529999996"/>
        <n v="4.0325196060000001"/>
        <n v="8.1074579090000007"/>
        <n v="7.3450926489999997"/>
        <n v="3.8"/>
        <n v="7.8600513840000001"/>
        <n v="7.45"/>
        <n v="5.16"/>
        <n v="8.4600000000000009"/>
        <n v="5.1648260700000002"/>
        <n v="6.1386799749999996"/>
        <n v="3.94"/>
        <n v="4.556827996"/>
        <n v="5.7234815609999998"/>
        <n v="7.86"/>
        <n v="7.76"/>
        <n v="6.3133655749999997"/>
        <n v="5.5708464969999998"/>
        <n v="5.66600898"/>
        <n v="5.5383625929999996"/>
        <n v="4.1120330669999996"/>
        <n v="9.6999999999999993"/>
        <n v="6.45"/>
        <n v="4.808334544"/>
        <n v="5.3478659930000001"/>
        <n v="6.43"/>
        <n v="6.6358109839999999"/>
        <n v="4.82"/>
        <n v="7.2495956589999997"/>
        <n v="8.056160234"/>
        <n v="4.6618520219999997"/>
        <n v="7.4047104499999996"/>
        <n v="5.36"/>
        <n v="5.04"/>
        <n v="6.35"/>
        <n v="4.38"/>
        <n v="4.5326032730000003"/>
        <n v="3.9638846239999999"/>
        <n v="3.3415363149999999"/>
        <n v="9.4499999999999993"/>
        <n v="5.8756138020000002"/>
        <n v="5.91"/>
        <n v="6.5140041039999996"/>
        <n v="5.2005087730000001"/>
        <n v="3.933242618"/>
        <n v="5.4439821329999996"/>
        <n v="8.2317117880000001"/>
        <n v="5.8903332739999996"/>
        <n v="6.6230285069999999"/>
        <n v="6.7933891729999996"/>
        <n v="8.8000000000000007"/>
        <n v="7.9814159839999999"/>
        <n v="7.26"/>
        <n v="3.4300006820000002"/>
        <n v="5.8909670680000001"/>
        <n v="4.0168064179999998"/>
        <n v="6.6680268380000003"/>
        <n v="7.23"/>
        <n v="5.5113824869999997"/>
        <n v="6.198205143"/>
        <n v="8.5001566569999998"/>
        <n v="2.851524135"/>
        <n v="4.6810544759999999"/>
        <n v="6.94"/>
        <n v="5.26"/>
        <n v="5.7318279639999998"/>
        <n v="4.5"/>
        <n v="7.994241658"/>
        <n v="4.78"/>
        <n v="4.531469821"/>
        <n v="4.0599999999999996"/>
        <n v="5.8257987179999997"/>
        <n v="7.753387332"/>
        <n v="5.5135055639999999"/>
        <n v="3.8405516149999999"/>
        <n v="6.7003416329999999"/>
        <n v="4.51"/>
        <n v="5.68"/>
        <n v="4.4356855120000001"/>
        <n v="6.7289763999999996"/>
        <n v="7.1807014259999997"/>
        <n v="4.9800000000000004"/>
        <n v="4.6002380890000003"/>
        <n v="8.0773019569999995"/>
        <n v="8.4072565679999993"/>
        <n v="5.34"/>
        <n v="6.8421287450000001"/>
        <n v="9.0187124189999999"/>
        <n v="5.443776164"/>
        <n v="5.82"/>
        <n v="4.2364595129999998"/>
        <n v="6.9201230760000003"/>
        <n v="5.9"/>
        <n v="3.56"/>
        <n v="8.6199999999999992"/>
        <n v="3.952182455"/>
        <n v="5.6928632779999999"/>
        <n v="7.3255839299999996"/>
        <n v="9.0399999999999991"/>
        <n v="6.0730184669999998"/>
        <n v="6.9713613490000004"/>
        <n v="5.5105255639999999"/>
        <n v="5.4780394870000002"/>
        <n v="6.6752287639999999"/>
        <n v="4.4810051189999998"/>
        <n v="6.7603138889999999"/>
        <n v="5.76"/>
        <n v="5.4"/>
        <n v="7.34"/>
        <n v="5.6277535969999999"/>
        <n v="8.6048152160000004"/>
        <n v="4.7699999999999996"/>
        <n v="4.57"/>
        <n v="6.42"/>
        <n v="5.7431126629999998"/>
        <n v="4.3528436389999996"/>
        <n v="6.5698817070000004"/>
        <n v="4.4349076820000004"/>
        <n v="4.01"/>
        <n v="9.3064498990000004"/>
        <n v="9.7899999999999991"/>
        <n v="8.7277832340000003"/>
        <n v="5.7539430449999998"/>
        <n v="3.7404578640000001"/>
        <n v="7.6557207829999996"/>
        <n v="5.144553449"/>
        <n v="5.7"/>
        <n v="3.89"/>
        <n v="5.7302107219999998"/>
        <n v="3.7895234439999999"/>
        <n v="7.4063768049999998"/>
        <n v="5.2227978259999999"/>
        <n v="6.8188227599999998"/>
        <n v="8.89"/>
        <n v="3.45"/>
        <n v="8.8799989149999998"/>
        <n v="5.48"/>
        <n v="4.13"/>
        <n v="4.7446859269999999"/>
        <n v="7.16"/>
        <n v="5.7410995170000003"/>
        <n v="9.2752528999999999"/>
        <n v="5.8003058950000002"/>
        <n v="6.1575288090000004"/>
        <n v="3.8466605340000002"/>
        <n v="4.2834954779999999"/>
        <n v="5.4492899039999996"/>
        <n v="6.86"/>
        <n v="8.24"/>
        <n v="8.4124316369999992"/>
        <n v="3.58"/>
        <n v="3.8710326269999999"/>
        <n v="7.92"/>
        <n v="5.7324705959999998"/>
        <n v="7.11"/>
        <n v="7.66"/>
        <n v="10.26"/>
        <n v="6.79"/>
        <n v="5.15"/>
        <n v="2.0945182710000001"/>
        <n v="6.5984804869999998"/>
        <n v="4.4800000000000004"/>
        <n v="6.4983951089999996"/>
        <n v="4.8986809850000004"/>
        <n v="5.9053070239999998"/>
        <n v="3.9089561320000001"/>
        <n v="4.1124055869999996"/>
        <n v="6.44"/>
        <n v="4.6100000000000003"/>
        <n v="7.2520396729999996"/>
        <n v="5.7103306700000003"/>
        <n v="3.4225468210000001"/>
        <n v="6.97"/>
        <n v="3.7908441449999999"/>
        <n v="4.4400000000000004"/>
        <n v="5.3107569200000002"/>
        <n v="6.1105903169999998"/>
        <n v="6.7305649059999997"/>
        <n v="5.9908380079999999"/>
        <n v="4.28199752"/>
        <n v="4.4308366399999999"/>
        <n v="5.588437206"/>
        <n v="4.2139024129999996"/>
        <n v="7.27"/>
        <n v="7.97"/>
        <n v="6.65"/>
        <n v="4.0277481269999997"/>
        <n v="5.93"/>
        <n v="5.6464658249999999"/>
        <n v="6.5498429930000004"/>
        <n v="7.2794638330000003"/>
        <n v="7.3975176219999996"/>
        <n v="4.33"/>
        <n v="5.5284481730000001"/>
        <n v="9"/>
        <n v="4.8752136559999997"/>
        <n v="4.8121593779999996"/>
        <n v="4.6291487790000003"/>
        <n v="8.4768643539999999"/>
        <n v="7.79"/>
        <n v="4.2572328800000001"/>
        <n v="3.93"/>
        <n v="8.8315914969999998"/>
        <n v="6.2458319260000001"/>
        <n v="7.7614681299999999"/>
        <n v="5.39"/>
        <n v="7.6255582730000002"/>
        <n v="4.8755664679999997"/>
        <n v="7.36"/>
        <n v="5.1336446750000002"/>
        <n v="6.156201727"/>
        <n v="7.6439117999999997"/>
        <n v="2.872987578"/>
        <n v="6.6764693030000002"/>
        <n v="6.76"/>
        <n v="3.9245630650000001"/>
        <n v="5.5383834839999997"/>
        <n v="8.0738753039999995"/>
        <n v="4.3856015810000004"/>
        <n v="5.4933990130000003"/>
        <n v="5.0935032119999999"/>
        <n v="8.07"/>
        <n v="4.1153342579999999"/>
        <n v="7.5331980180000002"/>
        <n v="2.317942435"/>
        <n v="4.8099999999999996"/>
        <n v="5.03"/>
        <n v="4.230405448"/>
        <n v="8.8438989180000007"/>
        <n v="6.1469806570000003"/>
        <n v="5.24"/>
        <n v="5.1349042999999996"/>
        <n v="1.55"/>
        <n v="4.8688173519999998"/>
        <n v="3.9994609560000001"/>
        <n v="5.38"/>
        <n v="5.6361808890000002"/>
        <n v="7.7058101160000003"/>
        <n v="4.4628602700000002"/>
        <n v="6.07"/>
        <n v="6.24"/>
        <n v="4.379715461"/>
        <n v="4.1500000000000004"/>
        <n v="2.09"/>
        <n v="4.24"/>
        <n v="7.12"/>
        <n v="4"/>
        <n v="5.8259069879999998"/>
        <n v="5.61"/>
        <n v="14.86"/>
        <n v="4.1164420819999998"/>
        <n v="5.617299848"/>
        <n v="4.8131399889999997"/>
        <n v="3.6856636429999998"/>
        <n v="6.3993178049999999"/>
        <n v="7.1919720040000001"/>
        <n v="5.0772408249999996"/>
        <n v="4.6084822760000002"/>
        <n v="9.4546056459999992"/>
        <n v="4.6594792079999996"/>
        <n v="5.7384713749999996"/>
        <n v="8.3990171500000006"/>
        <n v="5.8449120849999998"/>
        <n v="5.2781259159999996"/>
        <n v="4.7065184760000003"/>
        <n v="7.9569574410000001"/>
        <n v="8.16"/>
        <n v="1.76"/>
        <n v="6.1629435580000003"/>
        <n v="4.7865454959999996"/>
        <n v="7.542489711"/>
        <n v="6.0682074530000003"/>
        <n v="5.6042188250000002"/>
        <n v="7.2568986689999999"/>
        <n v="5.3918595820000004"/>
        <n v="3.86"/>
        <n v="8.01"/>
        <n v="7.09"/>
        <n v="7.5658294890000004"/>
        <n v="8.259712232"/>
        <n v="5.9527155970000001"/>
        <n v="5.3046593949999998"/>
        <n v="5.53"/>
        <n v="9.58"/>
        <n v="3.3966480020000001"/>
        <n v="4.4258503400000002"/>
        <n v="6.7400721319999999"/>
        <n v="6.3994302440000004"/>
        <n v="4.2071453480000001"/>
        <n v="1.59"/>
        <n v="4.8850943579999999"/>
        <n v="4.1900000000000004"/>
        <n v="4.3176607819999999"/>
        <n v="8.5253865520000005"/>
        <n v="5.2344030349999997"/>
        <n v="5.1100000000000003"/>
        <n v="8.5218273240000002"/>
        <n v="5.0833498390000003"/>
        <n v="7.676698902"/>
        <n v="7.0992954099999999"/>
        <n v="6.2033232380000003"/>
        <n v="6.4244729820000002"/>
        <n v="1.9093675530000001"/>
        <n v="5.81"/>
        <n v="6.15"/>
        <n v="2.89"/>
        <n v="6.47"/>
        <n v="3.948775355"/>
        <n v="6.3"/>
        <n v="4.79"/>
        <n v="5.97"/>
        <n v="5.7458810219999998"/>
        <n v="3.7377188330000002"/>
        <n v="6.96"/>
        <n v="6.04"/>
        <n v="5.548889258"/>
        <n v="5.58"/>
        <n v="4.1034937109999996"/>
        <n v="5.7660586900000004"/>
        <n v="4.515502991"/>
        <n v="6.03"/>
        <n v="7.18"/>
        <n v="6.12"/>
        <n v="3.9188431449999999"/>
        <n v="5.3700300009999999"/>
        <n v="5.1445727290000001"/>
        <n v="2.922561001"/>
        <n v="2.35"/>
        <n v="6.0193783420000004"/>
        <n v="8.2072744239999995"/>
        <n v="3.54"/>
        <n v="6.5283767529999999"/>
        <n v="7.4653630150000003"/>
        <n v="7.7719955619999999"/>
        <n v="7.8015503500000003"/>
        <n v="4.0708941650000003"/>
        <n v="2.8765267209999998"/>
        <n v="3.7097121980000001"/>
        <n v="5.7858879239999998"/>
        <n v="6.1037358299999998"/>
        <n v="3.7441635230000001"/>
        <n v="5.0462848190000003"/>
        <n v="5.1604925460000004"/>
        <n v="6.846395223"/>
        <n v="6.4519132680000002"/>
        <n v="7.2879859309999997"/>
        <n v="6.0350240069999996"/>
        <n v="4.7300000000000004"/>
        <n v="5.47"/>
        <n v="4.8131155190000001"/>
        <n v="5.8382261010000001"/>
        <n v="3.8442051319999999"/>
        <n v="6.7644265079999997"/>
        <n v="8.0410906050000008"/>
        <n v="5.1767454129999999"/>
        <n v="5.01"/>
        <n v="5.79"/>
        <n v="7.2537320149999998"/>
        <n v="4.7383537110000002"/>
        <n v="4.322283315"/>
        <n v="6.5896696109999997"/>
        <n v="4.16"/>
        <n v="5.15136314"/>
        <n v="3.7625710840000002"/>
        <n v="4.75"/>
        <n v="4.9925662529999997"/>
        <n v="6.38"/>
        <n v="7.2778163569999998"/>
        <n v="3.39"/>
        <n v="4.246373889"/>
        <n v="4.4785697989999997"/>
        <n v="8.0399999999999991"/>
        <n v="5.1865954820000004"/>
        <n v="10.83"/>
        <n v="9.0827475179999997"/>
        <n v="4.6983978000000004"/>
        <n v="3.945912544"/>
        <n v="8.0739581870000006"/>
        <n v="6.0101096390000004"/>
        <n v="5.860929574"/>
        <n v="5.330528932"/>
        <n v="7.9386607079999996"/>
        <n v="4.9942213019999997"/>
        <n v="4.8248623640000003"/>
        <n v="-1.76"/>
        <n v="6.32"/>
        <n v="5.9628827610000004"/>
        <n v="5.7749290369999997"/>
        <n v="4.1762939799999996"/>
        <n v="2.9757540730000001"/>
        <n v="6.84"/>
        <n v="6.21"/>
        <n v="2.4463352700000001"/>
        <n v="5.73"/>
        <n v="9.51"/>
        <n v="1.9317109560000001"/>
        <n v="1.26"/>
        <n v="2.5315689880000001"/>
        <n v="2.2027457859999999"/>
        <n v="10.89504812"/>
        <n v="5.6689400120000002"/>
        <n v="6.1634281870000001"/>
        <n v="2.78"/>
        <n v="-1.258331195"/>
        <n v="10.35901451"/>
        <n v="3.24"/>
        <n v="4.9000000000000004"/>
        <n v="1.06"/>
        <n v="1.322790006"/>
        <n v="5.7995827579999997"/>
        <n v="1.168013886"/>
        <n v="4.58"/>
        <n v="4.4847655980000001"/>
        <n v="7.31"/>
        <n v="6.0756205960000003"/>
        <n v="5.8003834210000003"/>
        <n v="3.9561567200000001"/>
        <n v="6.4380572340000004"/>
        <n v="3.1352992230000001"/>
        <n v="4.764547254"/>
        <n v="0.37729802800000001"/>
        <n v="0.61832394099999999"/>
        <n v="5.1072790489999997"/>
        <n v="3.2442603160000001"/>
        <n v="1.9911728580000001"/>
        <n v="5.1687043819999996"/>
        <n v="6.0310133510000004"/>
        <n v="6.0800078160000002"/>
        <n v="0.111754046"/>
        <n v="1.7512861669999999"/>
        <n v="4.5743700990000002"/>
        <n v="8.2100000000000009"/>
        <n v="7.5041806329999998"/>
        <n v="6.89"/>
        <n v="1.949211655"/>
        <n v="4.7742457500000004"/>
        <n v="7.13"/>
        <n v="-1.53"/>
        <n v="0.467414779"/>
        <n v="3.5387406850000001"/>
        <n v="7.96"/>
        <n v="1.796711046"/>
        <n v="6.0893230389999999"/>
        <n v="2.5792410480000001"/>
        <n v="6.6044703440000001"/>
        <n v="7.9635402119999998"/>
        <n v="2.25"/>
        <n v="-0.2"/>
        <n v="4.3163154549999998"/>
        <n v="-0.46485831999999999"/>
        <n v="-0.81580938400000003"/>
        <n v="3.2468357640000001"/>
        <n v="1.75"/>
        <n v="8.09"/>
        <n v="5.21"/>
        <n v="5.401063486"/>
        <n v="2.897333508"/>
        <n v="5.072076161"/>
        <n v="7.6493825000000001E-2"/>
        <n v="7.1451345750000002"/>
        <n v="6.106018154"/>
        <n v="6.4322336260000004"/>
        <n v="1.4538079669999999"/>
        <n v="3.752539466"/>
        <n v="7.2953639150000003"/>
        <n v="-0.91725109500000002"/>
        <n v="-1.3268812729999999"/>
        <n v="0.56348616100000004"/>
        <n v="-0.16115733600000001"/>
        <n v="-2.895262486"/>
        <n v="1.547400069"/>
        <n v="1.433289115"/>
        <n v="-0.34689896599999998"/>
        <n v="5.64"/>
        <n v="4.8262735890000004"/>
        <n v="2.21"/>
        <n v="6.5694843069999997"/>
        <n v="3.52"/>
        <n v="-2.4557819830000001"/>
        <n v="-0.92919099999999999"/>
        <n v="3.2952063969999998"/>
        <n v="0.40681997800000003"/>
        <n v="-5.6964437999999999E-2"/>
        <n v="0.91960012700000004"/>
        <n v="0.90360723799999998"/>
        <n v="2.7737799769999998"/>
        <n v="4.9877749109999998"/>
        <n v="-0.73"/>
        <n v="-0.122695718"/>
        <n v="5.0049874790000004"/>
        <n v="0.81650156399999996"/>
        <n v="5.27"/>
        <n v="5.7892292049999998"/>
        <n v="4.0697583960000001"/>
        <n v="5.846348087"/>
        <n v="1.733371789"/>
        <n v="3.9924647470000001"/>
        <n v="6.63"/>
        <n v="3.5513198770000001"/>
        <n v="1.5997057779999999"/>
        <n v="5.067095804"/>
        <n v="0.53595062599999999"/>
        <n v="-0.84"/>
        <n v="6.6429678399999998"/>
        <n v="6.8856542919999999"/>
        <n v="6.1196805550000004"/>
        <n v="6.6186021530000003"/>
        <n v="5.5599126349999999"/>
        <n v="4.1106608509999996"/>
        <n v="2.79"/>
        <n v="8.1565766830000008"/>
        <n v="5.67"/>
        <n v="6.509839586"/>
        <n v="6.6481148829999999"/>
        <n v="3.7017147690000001"/>
        <n v="6.9645427370000004"/>
        <n v="5.344649457"/>
        <n v="1.0004153469999999"/>
        <n v="5.8582856139999997"/>
        <n v="5.5379307840000003"/>
        <n v="6.34"/>
        <n v="6.23"/>
        <n v="6.4770186030000003"/>
        <n v="3.73"/>
        <n v="-0.47793729800000001"/>
        <n v="4.464710288"/>
        <n v="4.9823085220000003"/>
        <n v="5.18"/>
        <n v="6.977617306"/>
        <n v="5.1503156480000003"/>
        <n v="3.393167032"/>
        <n v="4.9566857960000004"/>
        <n v="6.19"/>
        <n v="5.5760675280000003"/>
        <n v="3.800112435"/>
        <n v="2.1625607549999999"/>
        <n v="6.3810811520000001"/>
        <n v="10.207648839999999"/>
        <n v="7.0540299370000001"/>
        <n v="1.172703692"/>
        <n v="3.3866399129999998"/>
        <n v="5.22"/>
        <n v="6.8"/>
        <n v="0.176476419"/>
        <n v="0.51143717899999996"/>
        <n v="1.854481058"/>
        <n v="2.2954539820000002"/>
        <n v="0.38490365300000001"/>
        <n v="0.33502243999999998"/>
        <n v="1.1908353991891509"/>
        <n v="1.827059424"/>
        <n v="1.4804567340000001"/>
        <n v="1.6787719117740334"/>
        <n v="-0.17834451207978974"/>
        <n v="8.5299999999999994"/>
        <n v="5.2105283419999999"/>
        <n v="5.3668877330000004"/>
        <n v="6.751118806"/>
        <n v="7.638830596"/>
        <n v="7.5561050859999996"/>
        <n v="6.5984784019999996"/>
        <n v="7.07"/>
        <n v="9.56"/>
        <n v="7.2065769839999998"/>
        <n v="4.3391124400000001"/>
        <n v="2.9108217700000001"/>
        <n v="6.92"/>
        <n v="5.13"/>
        <n v="6.3888282790000002"/>
        <n v="6.4573177370000003"/>
        <n v="6.2189635689999996"/>
        <n v="5.25"/>
        <n v="4.3600000000000003"/>
        <n v="5.89"/>
        <n v="6.4167942839999998"/>
        <n v="8.42"/>
        <n v="6.02"/>
        <n v="5.0599999999999996"/>
        <n v="6.7974347110000002"/>
        <n v="7.1"/>
        <n v="5.14"/>
        <n v="6.5312558430000003"/>
        <n v="2.75"/>
        <n v="5.5919840189999999"/>
        <n v="8.77"/>
        <n v="5.4664398790000002"/>
        <n v="4.59"/>
        <n v="-2.0447229469999999"/>
        <n v="7.21"/>
        <n v="6.27"/>
        <n v="9.4985162150000004"/>
        <n v="3.3765352310000001"/>
        <n v="6.3167777620000001"/>
        <n v="9.16"/>
        <n v="3.2054728350000001"/>
        <n v="3.92"/>
        <n v="4.4177687639999998"/>
        <n v="5.0156221590000003"/>
        <n v="8"/>
        <n v="3.9466699350000001"/>
        <n v="9.19"/>
        <n v="5.43"/>
        <n v="7.1330110549999999"/>
        <n v="5.4245378830000002"/>
        <n v="4.7867650050000004"/>
        <n v="5.2436956700000001"/>
        <n v="7.2220788010000003"/>
        <n v="5.29"/>
        <n v="-1.2188266489999999"/>
        <n v="4.1836923280000002"/>
        <n v="5.372867243"/>
        <n v="6.9397719420000001"/>
        <n v="4.4551010150000003"/>
        <n v="10.365879319999999"/>
        <n v="1.9905319109999999"/>
        <n v="1.6365028129999999"/>
        <n v="5.9534398639999999"/>
        <n v="8.31"/>
        <n v="4.96"/>
        <n v="4.6741738919999998"/>
        <n v="7.2391474010000003"/>
        <n v="-0.17496372299999999"/>
        <n v="4.7682935710000001"/>
        <n v="5.6599003440000004"/>
        <n v="4.1919834649999999"/>
        <n v="6.2343631159999999"/>
        <n v="4.55"/>
        <n v="7.1613572760000004"/>
        <n v="5.9508671089999998"/>
        <n v="0.80374987600000003"/>
        <n v="4.5339866860000004"/>
        <n v="0.36959094199999998"/>
        <n v="0.69313988800000004"/>
        <n v="1.91"/>
        <n v="-1.4201788950000001"/>
        <n v="3.9501788630000001"/>
        <n v="-1"/>
        <n v="3.5821031269999999"/>
        <n v="-1.37"/>
        <n v="3.3"/>
        <n v="3.32"/>
        <n v="8.2966661510000002"/>
        <n v="6.9885661969999999"/>
        <n v="6.9696738600000003"/>
        <n v="5.7476886309999999"/>
        <n v="5.9655186139999996"/>
        <n v="4.2625508060000001"/>
        <n v="1.161267311"/>
        <n v="6.14"/>
        <n v="4.890609242"/>
        <n v="7.137077047"/>
      </sharedItems>
    </cacheField>
    <cacheField name="MYINDEX_dH_2019_reg" numFmtId="0">
      <sharedItems containsString="0" containsBlank="1" containsNumber="1" containsInteger="1" minValue="1" maxValue="16" count="17">
        <n v="16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m/>
        <n v="15" u="1"/>
      </sharedItems>
    </cacheField>
    <cacheField name="PROVENANCE_2019_reg" numFmtId="0">
      <sharedItems containsBlank="1"/>
    </cacheField>
    <cacheField name="regiobio6" numFmtId="0">
      <sharedItems count="5">
        <s v="Jura"/>
        <s v="Versant sud des Alpes"/>
        <s v="Plateau"/>
        <s v="versant nord des Alpes"/>
        <s v="Valais central"/>
      </sharedItems>
    </cacheField>
    <cacheField name="KANTON" numFmtId="0">
      <sharedItems containsMixedTypes="1" containsNumber="1" containsInteger="1" minValue="25" maxValue="25" count="7">
        <s v="NE"/>
        <s v="TI"/>
        <s v="FR"/>
        <s v="VD"/>
        <s v="JU"/>
        <n v="25"/>
        <s v="VS"/>
      </sharedItems>
    </cacheField>
    <cacheField name="GEMEINDE" numFmtId="0">
      <sharedItems/>
    </cacheField>
    <cacheField name="LOKALITAET" numFmtId="0">
      <sharedItems/>
    </cacheField>
    <cacheField name="X_DEG_WGS84" numFmtId="0">
      <sharedItems containsSemiMixedTypes="0" containsString="0" containsNumber="1" minValue="45.880200389999999" maxValue="47.388959999999997"/>
    </cacheField>
    <cacheField name="Y_DEG_WGS84" numFmtId="0">
      <sharedItems containsSemiMixedTypes="0" containsString="0" containsNumber="1" minValue="6.1111269999999998" maxValue="9.1262399900000002"/>
    </cacheField>
    <cacheField name="PR" numFmtId="0">
      <sharedItems containsMixedTypes="1" containsNumber="1" containsInteger="1" minValue="2" maxValue="6"/>
    </cacheField>
    <cacheField name="TAG" numFmtId="0">
      <sharedItems containsMixedTypes="1" containsNumber="1" containsInteger="1" minValue="1" maxValue="31"/>
    </cacheField>
    <cacheField name="MONAT" numFmtId="0">
      <sharedItems containsMixedTypes="1" containsNumber="1" containsInteger="1" minValue="3" maxValue="12" count="11">
        <n v="10"/>
        <n v="11"/>
        <s v="NA"/>
        <n v="3"/>
        <n v="4"/>
        <n v="6"/>
        <n v="5"/>
        <n v="7"/>
        <n v="9"/>
        <n v="12"/>
        <n v="8"/>
      </sharedItems>
    </cacheField>
    <cacheField name="JAHR" numFmtId="0">
      <sharedItems containsSemiMixedTypes="0" containsString="0" containsNumber="1" containsInteger="1" minValue="2013" maxValue="2018"/>
    </cacheField>
    <cacheField name="DATE" numFmtId="14">
      <sharedItems containsNonDate="0" containsDate="1" containsString="0" containsBlank="1" minDate="2013-09-25T00:00:00" maxDate="2018-07-09T00:00:00" count="280">
        <d v="2016-10-26T00:00:00"/>
        <d v="2014-10-29T00:00:00"/>
        <d v="2014-11-08T00:00:00"/>
        <d v="2015-11-04T00:00:00"/>
        <d v="2016-11-02T00:00:00"/>
        <d v="2013-11-09T00:00:00"/>
        <d v="2015-10-27T00:00:00"/>
        <d v="2014-11-11T00:00:00"/>
        <d v="2014-10-25T00:00:00"/>
        <d v="2014-10-19T00:00:00"/>
        <d v="2013-11-17T00:00:00"/>
        <d v="2014-10-21T00:00:00"/>
        <d v="2013-11-07T00:00:00"/>
        <d v="2014-11-09T00:00:00"/>
        <d v="2014-11-06T00:00:00"/>
        <d v="2017-10-24T00:00:00"/>
        <d v="2017-11-13T00:00:00"/>
        <d v="2016-10-28T00:00:00"/>
        <d v="2013-10-31T00:00:00"/>
        <d v="2013-11-06T00:00:00"/>
        <d v="2016-10-31T00:00:00"/>
        <d v="2014-11-14T00:00:00"/>
        <d v="2014-10-26T00:00:00"/>
        <d v="2013-11-10T00:00:00"/>
        <d v="2013-11-23T00:00:00"/>
        <d v="2016-10-22T00:00:00"/>
        <d v="2017-11-02T00:00:00"/>
        <d v="2015-10-31T00:00:00"/>
        <d v="2013-11-05T00:00:00"/>
        <d v="2014-10-30T00:00:00"/>
        <d v="2015-11-18T00:00:00"/>
        <d v="2017-11-03T00:00:00"/>
        <d v="2015-11-11T00:00:00"/>
        <d v="2013-11-12T00:00:00"/>
        <d v="2015-11-22T00:00:00"/>
        <d v="2014-11-16T00:00:00"/>
        <d v="2014-11-15T00:00:00"/>
        <d v="2013-11-03T00:00:00"/>
        <d v="2015-10-20T00:00:00"/>
        <d v="2014-10-28T00:00:00"/>
        <d v="2013-10-19T00:00:00"/>
        <d v="2013-11-26T00:00:00"/>
        <d v="2013-10-26T00:00:00"/>
        <d v="2013-11-14T00:00:00"/>
        <d v="2013-11-20T00:00:00"/>
        <d v="2014-10-16T00:00:00"/>
        <d v="2014-11-20T00:00:00"/>
        <d v="2015-10-17T00:00:00"/>
        <d v="2013-11-27T00:00:00"/>
        <d v="2017-11-09T00:00:00"/>
        <d v="2013-11-13T00:00:00"/>
        <d v="2017-11-21T00:00:00"/>
        <d v="2014-11-01T00:00:00"/>
        <d v="2016-11-19T00:00:00"/>
        <d v="2014-11-18T00:00:00"/>
        <d v="2013-10-24T00:00:00"/>
        <d v="2017-10-16T00:00:00"/>
        <d v="2015-11-19T00:00:00"/>
        <d v="2014-11-19T00:00:00"/>
        <d v="2017-10-28T00:00:00"/>
        <d v="2013-11-30T00:00:00"/>
        <d v="2017-11-26T00:00:00"/>
        <d v="2017-10-29T00:00:00"/>
        <d v="2014-11-04T00:00:00"/>
        <d v="2017-10-21T00:00:00"/>
        <d v="2016-11-07T00:00:00"/>
        <d v="2017-11-08T00:00:00"/>
        <d v="2017-10-31T00:00:00"/>
        <d v="2015-10-03T00:00:00"/>
        <m/>
        <d v="2016-10-13T00:00:00"/>
        <d v="2017-11-28T00:00:00"/>
        <d v="2014-11-05T00:00:00"/>
        <d v="2017-11-24T00:00:00"/>
        <d v="2014-11-12T00:00:00"/>
        <d v="2017-11-05T00:00:00"/>
        <d v="2017-10-25T00:00:00"/>
        <d v="2017-11-11T00:00:00"/>
        <d v="2017-10-22T00:00:00"/>
        <d v="2017-11-22T00:00:00"/>
        <d v="2017-11-01T00:00:00"/>
        <d v="2017-11-15T00:00:00"/>
        <d v="2017-11-04T00:00:00"/>
        <d v="2017-10-26T00:00:00"/>
        <d v="2015-10-30T00:00:00"/>
        <d v="2017-11-20T00:00:00"/>
        <d v="2013-11-02T00:00:00"/>
        <d v="2017-10-23T00:00:00"/>
        <d v="2017-11-12T00:00:00"/>
        <d v="2015-10-22T00:00:00"/>
        <d v="2017-11-18T00:00:00"/>
        <d v="2017-11-14T00:00:00"/>
        <d v="2017-10-17T00:00:00"/>
        <d v="2018-03-22T00:00:00"/>
        <d v="2018-04-24T00:00:00"/>
        <d v="2017-03-24T00:00:00"/>
        <d v="2018-04-18T00:00:00"/>
        <d v="2017-06-18T00:00:00"/>
        <d v="2018-04-10T00:00:00"/>
        <d v="2018-04-26T00:00:00"/>
        <d v="2018-04-11T00:00:00"/>
        <d v="2018-05-26T00:00:00"/>
        <d v="2017-04-13T00:00:00"/>
        <d v="2018-06-07T00:00:00"/>
        <d v="2017-05-23T00:00:00"/>
        <d v="2015-06-24T00:00:00"/>
        <d v="2018-06-14T00:00:00"/>
        <d v="2018-05-25T00:00:00"/>
        <d v="2018-06-01T00:00:00"/>
        <d v="2017-04-30T00:00:00"/>
        <d v="2015-06-26T00:00:00"/>
        <d v="2018-04-17T00:00:00"/>
        <d v="2018-06-29T00:00:00"/>
        <d v="2017-05-09T00:00:00"/>
        <d v="2018-04-16T00:00:00"/>
        <d v="2015-06-19T00:00:00"/>
        <d v="2015-06-10T00:00:00"/>
        <d v="2017-06-16T00:00:00"/>
        <d v="2018-05-18T00:00:00"/>
        <d v="2018-04-05T00:00:00"/>
        <d v="2017-04-21T00:00:00"/>
        <d v="2017-03-30T00:00:00"/>
        <d v="2017-03-31T00:00:00"/>
        <d v="2018-03-27T00:00:00"/>
        <d v="2017-04-23T00:00:00"/>
        <d v="2018-06-19T00:00:00"/>
        <d v="2017-05-30T00:00:00"/>
        <d v="2017-06-02T00:00:00"/>
        <d v="2017-06-15T00:00:00"/>
        <d v="2017-04-19T00:00:00"/>
        <d v="2017-05-04T00:00:00"/>
        <d v="2017-04-05T00:00:00"/>
        <d v="2017-04-12T00:00:00"/>
        <d v="2017-04-25T00:00:00"/>
        <d v="2017-05-26T00:00:00"/>
        <d v="2018-05-22T00:00:00"/>
        <d v="2017-06-20T00:00:00"/>
        <d v="2015-06-16T00:00:00"/>
        <d v="2017-05-12T00:00:00"/>
        <d v="2018-04-19T00:00:00"/>
        <d v="2018-07-08T00:00:00"/>
        <d v="2018-05-24T00:00:00"/>
        <d v="2017-10-27T00:00:00"/>
        <d v="2017-10-20T00:00:00"/>
        <d v="2016-11-05T00:00:00"/>
        <d v="2017-11-10T00:00:00"/>
        <d v="2016-10-23T00:00:00"/>
        <d v="2016-11-01T00:00:00"/>
        <d v="2017-10-19T00:00:00"/>
        <d v="2016-10-27T00:00:00"/>
        <d v="2017-10-18T00:00:00"/>
        <d v="2016-10-18T00:00:00"/>
        <d v="2017-09-22T00:00:00"/>
        <d v="2016-10-20T00:00:00"/>
        <d v="2017-09-28T00:00:00"/>
        <d v="2016-10-19T00:00:00"/>
        <d v="2015-11-15T00:00:00"/>
        <d v="2016-10-25T00:00:00"/>
        <d v="2015-11-28T00:00:00"/>
        <d v="2016-11-27T00:00:00"/>
        <d v="2016-10-16T00:00:00"/>
        <d v="2017-11-16T00:00:00"/>
        <d v="2016-11-03T00:00:00"/>
        <d v="2015-11-02T00:00:00"/>
        <d v="2015-10-28T00:00:00"/>
        <d v="2015-10-24T00:00:00"/>
        <d v="2015-10-21T00:00:00"/>
        <d v="2015-11-01T00:00:00"/>
        <d v="2016-10-24T00:00:00"/>
        <d v="2016-11-10T00:00:00"/>
        <d v="2014-12-02T00:00:00"/>
        <d v="2016-11-16T00:00:00"/>
        <d v="2016-11-13T00:00:00"/>
        <d v="2014-10-18T00:00:00"/>
        <d v="2015-11-14T00:00:00"/>
        <d v="2014-10-17T00:00:00"/>
        <d v="2016-11-17T00:00:00"/>
        <d v="2015-11-07T00:00:00"/>
        <d v="2015-11-13T00:00:00"/>
        <d v="2015-11-20T00:00:00"/>
        <d v="2016-10-29T00:00:00"/>
        <d v="2015-10-16T00:00:00"/>
        <d v="2015-10-29T00:00:00"/>
        <d v="2015-12-07T00:00:00"/>
        <d v="2015-11-17T00:00:00"/>
        <d v="2016-11-09T00:00:00"/>
        <d v="2016-11-08T00:00:00"/>
        <d v="2016-10-17T00:00:00"/>
        <d v="2016-11-15T00:00:00"/>
        <d v="2015-12-14T00:00:00"/>
        <d v="2015-11-16T00:00:00"/>
        <d v="2014-10-11T00:00:00"/>
        <d v="2015-11-08T00:00:00"/>
        <d v="2016-11-12T00:00:00"/>
        <d v="2016-11-06T00:00:00"/>
        <d v="2015-11-12T00:00:00"/>
        <d v="2016-11-14T00:00:00"/>
        <d v="2016-10-30T00:00:00"/>
        <d v="2015-10-10T00:00:00"/>
        <d v="2016-11-23T00:00:00"/>
        <d v="2015-11-10T00:00:00"/>
        <d v="2015-11-23T00:00:00"/>
        <d v="2015-10-18T00:00:00"/>
        <d v="2013-10-28T00:00:00"/>
        <d v="2015-11-03T00:00:00"/>
        <d v="2014-10-14T00:00:00"/>
        <d v="2014-10-22T00:00:00"/>
        <d v="2015-10-19T00:00:00"/>
        <d v="2016-11-20T00:00:00"/>
        <d v="2015-11-21T00:00:00"/>
        <d v="2016-10-09T00:00:00"/>
        <d v="2016-11-30T00:00:00"/>
        <d v="2014-12-09T00:00:00"/>
        <d v="2016-11-26T00:00:00"/>
        <d v="2013-11-16T00:00:00"/>
        <d v="2015-11-24T00:00:00"/>
        <d v="2014-12-04T00:00:00"/>
        <d v="2015-11-26T00:00:00"/>
        <d v="2015-11-06T00:00:00"/>
        <d v="2016-11-24T00:00:00"/>
        <d v="2017-12-05T00:00:00"/>
        <d v="2014-11-13T00:00:00"/>
        <d v="2013-12-13T00:00:00"/>
        <d v="2014-11-03T00:00:00"/>
        <d v="2015-10-25T00:00:00"/>
        <d v="2015-12-12T00:00:00"/>
        <d v="2016-12-03T00:00:00"/>
        <d v="2015-12-03T00:00:00"/>
        <d v="2015-11-09T00:00:00"/>
        <d v="2015-10-14T00:00:00"/>
        <d v="2013-10-15T00:00:00"/>
        <d v="2017-10-30T00:00:00"/>
        <d v="2017-12-02T00:00:00"/>
        <d v="2015-11-05T00:00:00"/>
        <d v="2013-10-18T00:00:00"/>
        <d v="2016-11-18T00:00:00"/>
        <d v="2014-11-10T00:00:00"/>
        <d v="2014-10-23T00:00:00"/>
        <d v="2015-10-13T00:00:00"/>
        <d v="2014-11-25T00:00:00"/>
        <d v="2015-11-25T00:00:00"/>
        <d v="2013-10-30T00:00:00"/>
        <d v="2017-11-19T00:00:00"/>
        <d v="2014-10-10T00:00:00"/>
        <d v="2015-12-02T00:00:00"/>
        <d v="2015-12-05T00:00:00"/>
        <d v="2015-11-29T00:00:00"/>
        <d v="2016-11-29T00:00:00"/>
        <d v="2015-11-27T00:00:00"/>
        <d v="2013-10-16T00:00:00"/>
        <d v="2014-10-24T00:00:00"/>
        <d v="2014-10-13T00:00:00"/>
        <d v="2016-10-15T00:00:00"/>
        <d v="2015-12-04T00:00:00"/>
        <d v="2016-10-21T00:00:00"/>
        <d v="2015-12-01T00:00:00"/>
        <d v="2017-11-07T00:00:00"/>
        <d v="2016-11-21T00:00:00"/>
        <d v="2013-09-25T00:00:00"/>
        <d v="2014-10-27T00:00:00"/>
        <d v="2013-11-19T00:00:00"/>
        <d v="2014-11-17T00:00:00"/>
        <d v="2016-12-07T00:00:00"/>
        <d v="2016-10-06T00:00:00"/>
        <d v="2013-10-29T00:00:00"/>
        <d v="2013-11-08T00:00:00"/>
        <d v="2017-11-25T00:00:00"/>
        <d v="2015-06-20T00:00:00"/>
        <d v="2015-06-27T00:00:00"/>
        <d v="2018-07-07T00:00:00"/>
        <d v="2015-06-13T00:00:00"/>
        <d v="2015-08-13T00:00:00"/>
        <d v="2018-07-06T00:00:00"/>
        <d v="2018-07-04T00:00:00"/>
        <d v="2016-11-04T00:00:00"/>
        <d v="2017-10-05T00:00:00"/>
        <d v="2017-09-20T00:00:00"/>
        <d v="2017-10-03T00:00:00"/>
        <d v="2017-10-06T00:00:00"/>
        <d v="2017-09-26T00:00:00"/>
      </sharedItems>
      <fieldGroup par="50" base="22">
        <rangePr groupBy="days" startDate="2013-09-25T00:00:00" endDate="2018-07-09T00:00:00"/>
        <groupItems count="368">
          <s v="(vide)"/>
          <s v="01.janv"/>
          <s v="02.janv"/>
          <s v="03.janv"/>
          <s v="04.janv"/>
          <s v="05.janv"/>
          <s v="06.janv"/>
          <s v="07.janv"/>
          <s v="08.janv"/>
          <s v="09.janv"/>
          <s v="10.janv"/>
          <s v="11.janv"/>
          <s v="12.janv"/>
          <s v="13.janv"/>
          <s v="14.janv"/>
          <s v="15.janv"/>
          <s v="16.janv"/>
          <s v="17.janv"/>
          <s v="18.janv"/>
          <s v="19.janv"/>
          <s v="20.janv"/>
          <s v="21.janv"/>
          <s v="22.janv"/>
          <s v="23.janv"/>
          <s v="24.janv"/>
          <s v="25.janv"/>
          <s v="26.janv"/>
          <s v="27.janv"/>
          <s v="28.janv"/>
          <s v="29.janv"/>
          <s v="30.janv"/>
          <s v="31.janv"/>
          <s v="01.févr"/>
          <s v="02.févr"/>
          <s v="03.févr"/>
          <s v="04.févr"/>
          <s v="05.févr"/>
          <s v="06.févr"/>
          <s v="07.févr"/>
          <s v="08.févr"/>
          <s v="09.févr"/>
          <s v="10.févr"/>
          <s v="11.févr"/>
          <s v="12.févr"/>
          <s v="13.févr"/>
          <s v="14.févr"/>
          <s v="15.févr"/>
          <s v="16.févr"/>
          <s v="17.févr"/>
          <s v="18.févr"/>
          <s v="19.févr"/>
          <s v="20.févr"/>
          <s v="21.févr"/>
          <s v="22.févr"/>
          <s v="23.févr"/>
          <s v="24.févr"/>
          <s v="25.févr"/>
          <s v="26.févr"/>
          <s v="27.févr"/>
          <s v="28.févr"/>
          <s v="29.févr"/>
          <s v="01.mars"/>
          <s v="02.mars"/>
          <s v="03.mars"/>
          <s v="04.mars"/>
          <s v="05.mars"/>
          <s v="06.mars"/>
          <s v="07.mars"/>
          <s v="08.mars"/>
          <s v="09.mars"/>
          <s v="10.mars"/>
          <s v="11.mars"/>
          <s v="12.mars"/>
          <s v="13.mars"/>
          <s v="14.mars"/>
          <s v="15.mars"/>
          <s v="16.mars"/>
          <s v="17.mars"/>
          <s v="18.mars"/>
          <s v="19.mars"/>
          <s v="20.mars"/>
          <s v="21.mars"/>
          <s v="22.mars"/>
          <s v="23.mars"/>
          <s v="24.mars"/>
          <s v="25.mars"/>
          <s v="26.mars"/>
          <s v="27.mars"/>
          <s v="28.mars"/>
          <s v="29.mars"/>
          <s v="30.mars"/>
          <s v="31.mars"/>
          <s v="01.avr"/>
          <s v="02.avr"/>
          <s v="03.avr"/>
          <s v="04.avr"/>
          <s v="05.avr"/>
          <s v="06.avr"/>
          <s v="07.avr"/>
          <s v="08.avr"/>
          <s v="09.avr"/>
          <s v="10.avr"/>
          <s v="11.avr"/>
          <s v="12.avr"/>
          <s v="13.avr"/>
          <s v="14.avr"/>
          <s v="15.avr"/>
          <s v="16.avr"/>
          <s v="17.avr"/>
          <s v="18.avr"/>
          <s v="19.avr"/>
          <s v="20.avr"/>
          <s v="21.avr"/>
          <s v="22.avr"/>
          <s v="23.avr"/>
          <s v="24.avr"/>
          <s v="25.avr"/>
          <s v="26.avr"/>
          <s v="27.avr"/>
          <s v="28.avr"/>
          <s v="29.avr"/>
          <s v="30.avr"/>
          <s v="01.mai"/>
          <s v="02.mai"/>
          <s v="03.mai"/>
          <s v="04.mai"/>
          <s v="05.mai"/>
          <s v="06.mai"/>
          <s v="07.mai"/>
          <s v="08.mai"/>
          <s v="09.mai"/>
          <s v="10.mai"/>
          <s v="11.mai"/>
          <s v="12.mai"/>
          <s v="13.mai"/>
          <s v="14.mai"/>
          <s v="15.mai"/>
          <s v="16.mai"/>
          <s v="17.mai"/>
          <s v="18.mai"/>
          <s v="19.mai"/>
          <s v="20.mai"/>
          <s v="21.mai"/>
          <s v="22.mai"/>
          <s v="23.mai"/>
          <s v="24.mai"/>
          <s v="25.mai"/>
          <s v="26.mai"/>
          <s v="27.mai"/>
          <s v="28.mai"/>
          <s v="29.mai"/>
          <s v="30.mai"/>
          <s v="31.mai"/>
          <s v="01.juin"/>
          <s v="02.juin"/>
          <s v="03.juin"/>
          <s v="04.juin"/>
          <s v="05.juin"/>
          <s v="06.juin"/>
          <s v="07.juin"/>
          <s v="08.juin"/>
          <s v="09.juin"/>
          <s v="10.juin"/>
          <s v="11.juin"/>
          <s v="12.juin"/>
          <s v="13.juin"/>
          <s v="14.juin"/>
          <s v="15.juin"/>
          <s v="16.juin"/>
          <s v="17.juin"/>
          <s v="18.juin"/>
          <s v="19.juin"/>
          <s v="20.juin"/>
          <s v="21.juin"/>
          <s v="22.juin"/>
          <s v="23.juin"/>
          <s v="24.juin"/>
          <s v="25.juin"/>
          <s v="26.juin"/>
          <s v="27.juin"/>
          <s v="28.juin"/>
          <s v="29.juin"/>
          <s v="30.juin"/>
          <s v="01.juil"/>
          <s v="02.juil"/>
          <s v="03.juil"/>
          <s v="04.juil"/>
          <s v="05.juil"/>
          <s v="06.juil"/>
          <s v="07.juil"/>
          <s v="08.juil"/>
          <s v="09.juil"/>
          <s v="10.juil"/>
          <s v="11.juil"/>
          <s v="12.juil"/>
          <s v="13.juil"/>
          <s v="14.juil"/>
          <s v="15.juil"/>
          <s v="16.juil"/>
          <s v="17.juil"/>
          <s v="18.juil"/>
          <s v="19.juil"/>
          <s v="20.juil"/>
          <s v="21.juil"/>
          <s v="22.juil"/>
          <s v="23.juil"/>
          <s v="24.juil"/>
          <s v="25.juil"/>
          <s v="26.juil"/>
          <s v="27.juil"/>
          <s v="28.juil"/>
          <s v="29.juil"/>
          <s v="30.juil"/>
          <s v="31.juil"/>
          <s v="01.août"/>
          <s v="02.août"/>
          <s v="03.août"/>
          <s v="04.août"/>
          <s v="05.août"/>
          <s v="06.août"/>
          <s v="07.août"/>
          <s v="08.août"/>
          <s v="09.août"/>
          <s v="10.août"/>
          <s v="11.août"/>
          <s v="12.août"/>
          <s v="13.août"/>
          <s v="14.août"/>
          <s v="15.août"/>
          <s v="16.août"/>
          <s v="17.août"/>
          <s v="18.août"/>
          <s v="19.août"/>
          <s v="20.août"/>
          <s v="21.août"/>
          <s v="22.août"/>
          <s v="23.août"/>
          <s v="24.août"/>
          <s v="25.août"/>
          <s v="26.août"/>
          <s v="27.août"/>
          <s v="28.août"/>
          <s v="29.août"/>
          <s v="30.août"/>
          <s v="31.août"/>
          <s v="01.sept"/>
          <s v="02.sept"/>
          <s v="03.sept"/>
          <s v="04.sept"/>
          <s v="05.sept"/>
          <s v="06.sept"/>
          <s v="07.sept"/>
          <s v="08.sept"/>
          <s v="09.sept"/>
          <s v="10.sept"/>
          <s v="11.sept"/>
          <s v="12.sept"/>
          <s v="13.sept"/>
          <s v="14.sept"/>
          <s v="15.sept"/>
          <s v="16.sept"/>
          <s v="17.sept"/>
          <s v="18.sept"/>
          <s v="19.sept"/>
          <s v="20.sept"/>
          <s v="21.sept"/>
          <s v="22.sept"/>
          <s v="23.sept"/>
          <s v="24.sept"/>
          <s v="25.sept"/>
          <s v="26.sept"/>
          <s v="27.sept"/>
          <s v="28.sept"/>
          <s v="29.sept"/>
          <s v="30.sept"/>
          <s v="01.oct"/>
          <s v="02.oct"/>
          <s v="03.oct"/>
          <s v="04.oct"/>
          <s v="05.oct"/>
          <s v="06.oct"/>
          <s v="07.oct"/>
          <s v="08.oct"/>
          <s v="0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éc"/>
          <s v="02.déc"/>
          <s v="03.déc"/>
          <s v="04.déc"/>
          <s v="05.déc"/>
          <s v="06.déc"/>
          <s v="07.déc"/>
          <s v="08.déc"/>
          <s v="09.déc"/>
          <s v="10.déc"/>
          <s v="11.déc"/>
          <s v="12.déc"/>
          <s v="13.déc"/>
          <s v="14.déc"/>
          <s v="15.déc"/>
          <s v="16.déc"/>
          <s v="17.déc"/>
          <s v="18.déc"/>
          <s v="19.déc"/>
          <s v="20.déc"/>
          <s v="21.déc"/>
          <s v="22.déc"/>
          <s v="23.déc"/>
          <s v="24.déc"/>
          <s v="25.déc"/>
          <s v="26.déc"/>
          <s v="27.déc"/>
          <s v="28.déc"/>
          <s v="29.déc"/>
          <s v="30.déc"/>
          <s v="31.déc"/>
          <s v="&gt;09.07.2018"/>
        </groupItems>
      </fieldGroup>
    </cacheField>
    <cacheField name="DATEJ" numFmtId="0">
      <sharedItems containsMixedTypes="1" containsNumber="1" containsInteger="1" minValue="81" maxValue="343" count="120">
        <n v="295"/>
        <n v="298"/>
        <n v="307"/>
        <n v="303"/>
        <n v="301"/>
        <n v="308"/>
        <n v="296"/>
        <n v="310"/>
        <n v="294"/>
        <n v="288"/>
        <n v="316"/>
        <n v="290"/>
        <n v="306"/>
        <n v="305"/>
        <n v="293"/>
        <n v="312"/>
        <n v="297"/>
        <n v="300"/>
        <n v="313"/>
        <n v="309"/>
        <n v="322"/>
        <n v="291"/>
        <n v="304"/>
        <n v="299"/>
        <n v="317"/>
        <n v="302"/>
        <n v="311"/>
        <n v="321"/>
        <n v="315"/>
        <n v="314"/>
        <n v="289"/>
        <n v="325"/>
        <n v="319"/>
        <n v="285"/>
        <n v="286"/>
        <n v="326"/>
        <n v="320"/>
        <n v="318"/>
        <n v="329"/>
        <n v="272"/>
        <s v=""/>
        <n v="282"/>
        <n v="327"/>
        <n v="323"/>
        <n v="292"/>
        <n v="81"/>
        <n v="113"/>
        <n v="83"/>
        <n v="107"/>
        <n v="167"/>
        <n v="99"/>
        <n v="115"/>
        <n v="100"/>
        <n v="145"/>
        <n v="102"/>
        <n v="156"/>
        <n v="142"/>
        <n v="173"/>
        <n v="163"/>
        <n v="144"/>
        <n v="150"/>
        <n v="119"/>
        <n v="175"/>
        <n v="106"/>
        <n v="178"/>
        <n v="128"/>
        <n v="105"/>
        <n v="168"/>
        <n v="159"/>
        <n v="165"/>
        <n v="137"/>
        <n v="94"/>
        <n v="110"/>
        <n v="89"/>
        <n v="90"/>
        <n v="86"/>
        <n v="112"/>
        <n v="149"/>
        <n v="151"/>
        <n v="164"/>
        <n v="108"/>
        <n v="123"/>
        <n v="101"/>
        <n v="114"/>
        <n v="141"/>
        <n v="169"/>
        <n v="131"/>
        <n v="187"/>
        <n v="143"/>
        <n v="287"/>
        <n v="261"/>
        <n v="267"/>
        <n v="331"/>
        <n v="336"/>
        <n v="343"/>
        <n v="280"/>
        <n v="279"/>
        <n v="283"/>
        <n v="278"/>
        <n v="338"/>
        <n v="333"/>
        <n v="334"/>
        <n v="342"/>
        <n v="341"/>
        <n v="332"/>
        <n v="284"/>
        <n v="324"/>
        <n v="328"/>
        <n v="330"/>
        <n v="264"/>
        <n v="275"/>
        <n v="176"/>
        <n v="186"/>
        <n v="162"/>
        <n v="222"/>
        <n v="185"/>
        <n v="183"/>
        <n v="274"/>
        <n v="259"/>
        <n v="265"/>
      </sharedItems>
    </cacheField>
    <cacheField name="DATEJC" numFmtId="0">
      <sharedItems containsMixedTypes="1" containsNumber="1" containsInteger="1" minValue="5" maxValue="89"/>
    </cacheField>
    <cacheField name="PTD" numFmtId="0">
      <sharedItems containsMixedTypes="1" containsNumber="1" containsInteger="1" minValue="17" maxValue="70" count="41">
        <n v="60"/>
        <n v="61"/>
        <n v="63"/>
        <n v="62"/>
        <n v="59"/>
        <n v="65"/>
        <n v="64"/>
        <n v="66"/>
        <n v="58"/>
        <n v="67"/>
        <n v="56"/>
        <s v="NA"/>
        <n v="17"/>
        <n v="23"/>
        <n v="22"/>
        <n v="33"/>
        <n v="20"/>
        <n v="24"/>
        <n v="21"/>
        <n v="30"/>
        <n v="32"/>
        <n v="29"/>
        <n v="35"/>
        <n v="31"/>
        <n v="36"/>
        <n v="26"/>
        <n v="28"/>
        <n v="19"/>
        <n v="18"/>
        <n v="25"/>
        <n v="27"/>
        <n v="38"/>
        <n v="53"/>
        <n v="55"/>
        <n v="68"/>
        <n v="69"/>
        <n v="70"/>
        <n v="57"/>
        <n v="54"/>
        <n v="45"/>
        <n v="37"/>
      </sharedItems>
    </cacheField>
    <cacheField name="DCD" numFmtId="0">
      <sharedItems containsMixedTypes="1" containsNumber="1" containsInteger="1" minValue="9" maxValue="35" count="22">
        <n v="30"/>
        <n v="31"/>
        <n v="32"/>
        <n v="33"/>
        <n v="29"/>
        <n v="34"/>
        <n v="28"/>
        <s v="NA"/>
        <n v="9"/>
        <n v="12"/>
        <n v="11"/>
        <n v="17"/>
        <n v="10"/>
        <n v="15"/>
        <n v="16"/>
        <n v="18"/>
        <n v="13"/>
        <n v="14"/>
        <n v="19"/>
        <n v="27"/>
        <n v="35"/>
        <n v="23"/>
      </sharedItems>
    </cacheField>
    <cacheField name="QUI" numFmtId="0">
      <sharedItems containsMixedTypes="1" containsNumber="1" containsInteger="1" minValue="6" maxValue="24" count="17">
        <n v="20"/>
        <n v="21"/>
        <n v="22"/>
        <n v="23"/>
        <n v="19"/>
        <s v="NA"/>
        <n v="6"/>
        <n v="8"/>
        <n v="12"/>
        <n v="7"/>
        <n v="10"/>
        <n v="11"/>
        <n v="9"/>
        <n v="13"/>
        <n v="18"/>
        <n v="24"/>
        <n v="16"/>
      </sharedItems>
    </cacheField>
    <cacheField name="X_CH1903" numFmtId="0">
      <sharedItems containsString="0" containsBlank="1" containsNumber="1" containsInteger="1" minValue="498500" maxValue="730300"/>
    </cacheField>
    <cacheField name="Y_CH1903" numFmtId="0">
      <sharedItems containsString="0" containsBlank="1" containsNumber="1" containsInteger="1" minValue="82267" maxValue="248702"/>
    </cacheField>
    <cacheField name="cnha_CH1903" numFmtId="0">
      <sharedItems containsString="0" containsBlank="1" containsNumber="1" containsInteger="1" minValue="49851462" maxValue="73031159"/>
    </cacheField>
    <cacheField name="KM2_CH1903" numFmtId="0">
      <sharedItems containsBlank="1" containsMixedTypes="1" containsNumber="1" containsInteger="1" minValue="498146" maxValue="730115"/>
    </cacheField>
    <cacheField name="N5_CH1903" numFmtId="0">
      <sharedItems containsString="0" containsBlank="1" containsNumber="1" containsInteger="1" minValue="495145" maxValue="730115"/>
    </cacheField>
    <cacheField name="XN5_CH1903" numFmtId="0">
      <sharedItems containsString="0" containsBlank="1" containsNumber="1" containsInteger="1" minValue="497500" maxValue="732500"/>
    </cacheField>
    <cacheField name="YN5_CH1903" numFmtId="0">
      <sharedItems containsString="0" containsBlank="1" containsNumber="1" containsInteger="1" minValue="82500" maxValue="247500"/>
    </cacheField>
    <cacheField name="GEWICHT" numFmtId="0">
      <sharedItems containsMixedTypes="1" containsNumber="1" containsInteger="1" minValue="120" maxValue="480"/>
    </cacheField>
    <cacheField name="JAGDT" numFmtId="0">
      <sharedItems containsSemiMixedTypes="0" containsString="0" containsNumber="1" containsInteger="1" minValue="0" maxValue="1" count="2">
        <n v="1"/>
        <n v="0"/>
      </sharedItems>
    </cacheField>
    <cacheField name="FANG_MARZ" numFmtId="0">
      <sharedItems containsSemiMixedTypes="0" containsString="0" containsNumber="1" containsInteger="1" minValue="0" maxValue="1"/>
    </cacheField>
    <cacheField name="FANG_SOMMER" numFmtId="0">
      <sharedItems containsSemiMixedTypes="0" containsString="0" containsNumber="1" containsInteger="1" minValue="0" maxValue="1"/>
    </cacheField>
    <cacheField name="FANG_HERBST" numFmtId="0">
      <sharedItems containsSemiMixedTypes="0" containsString="0" containsNumber="1" containsInteger="1" minValue="0" maxValue="1"/>
    </cacheField>
    <cacheField name="dH_scaled" numFmtId="2">
      <sharedItems containsMixedTypes="1" containsNumber="1" minValue="-123.3208388" maxValue="-10.2782862"/>
    </cacheField>
    <cacheField name="dH_correct" numFmtId="2">
      <sharedItems containsMixedTypes="1" containsNumber="1" minValue="-123.3208388" maxValue="-14.729326132000001"/>
    </cacheField>
    <cacheField name="dH" numFmtId="2">
      <sharedItems containsMixedTypes="1" containsNumber="1" minValue="-138.6" maxValue="-37.799999999999997"/>
    </cacheField>
    <cacheField name="reg_dH" numFmtId="2">
      <sharedItems containsMixedTypes="1" containsNumber="1" minValue="-144.96" maxValue="-26.05"/>
    </cacheField>
    <cacheField name="bc" numFmtId="0">
      <sharedItems containsBlank="1" containsMixedTypes="1" containsNumber="1" minValue="-95.596580243999995" maxValue="-14.729326132000001"/>
    </cacheField>
    <cacheField name="MYINDEX_dH_2019_voigt" numFmtId="0">
      <sharedItems containsString="0" containsBlank="1" containsNumber="1" containsInteger="1" minValue="1" maxValue="12" count="13">
        <n v="12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PROVENANCE_voigt" numFmtId="0">
      <sharedItems/>
    </cacheField>
    <cacheField name="MYINDEX_dH (report Woodcock 2016)" numFmtId="0">
      <sharedItems containsString="0" containsBlank="1" containsNumber="1" containsInteger="1" minValue="1" maxValue="12"/>
    </cacheField>
    <cacheField name="NO" numFmtId="0">
      <sharedItems/>
    </cacheField>
    <cacheField name="BEMERKUNGEN" numFmtId="0">
      <sharedItems/>
    </cacheField>
    <cacheField name="Mois" numFmtId="0" databaseField="0">
      <fieldGroup base="22">
        <rangePr groupBy="months" startDate="2013-09-25T00:00:00" endDate="2018-07-09T00:00:00"/>
        <groupItems count="14">
          <s v="&lt;25.09.2013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9.07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75">
  <r>
    <x v="0"/>
    <s v="ScoRus"/>
    <n v="1"/>
    <x v="0"/>
    <x v="0"/>
    <x v="0"/>
    <x v="0"/>
    <x v="0"/>
    <n v="-23.73"/>
    <x v="0"/>
    <x v="0"/>
    <s v="Est de l'Oural"/>
    <x v="0"/>
    <x v="0"/>
    <s v="Val-de-Ruz"/>
    <s v="Rochers bruns"/>
    <n v="47.034947019999997"/>
    <n v="6.828033467"/>
    <n v="6"/>
    <n v="26"/>
    <x v="0"/>
    <n v="2016"/>
    <x v="0"/>
    <x v="0"/>
    <n v="41"/>
    <x v="0"/>
    <x v="0"/>
    <x v="0"/>
    <n v="553590"/>
    <n v="209504"/>
    <n v="55352095"/>
    <n v="553209"/>
    <n v="550205"/>
    <n v="552500"/>
    <n v="207500"/>
    <n v="292"/>
    <x v="0"/>
    <n v="0"/>
    <n v="0"/>
    <n v="0"/>
    <n v="-123.3208388"/>
    <n v="-123.3208388"/>
    <s v="NA"/>
    <s v="NA"/>
    <m/>
    <x v="0"/>
    <s v="Oural"/>
    <n v="12"/>
    <s v="MEISHE-10"/>
    <s v="Abschuss"/>
  </r>
  <r>
    <x v="1"/>
    <s v="ScoRus"/>
    <n v="1"/>
    <x v="0"/>
    <x v="0"/>
    <x v="0"/>
    <x v="0"/>
    <x v="1"/>
    <n v="-23.32075"/>
    <x v="1"/>
    <x v="1"/>
    <s v="Est de l'Oural"/>
    <x v="1"/>
    <x v="1"/>
    <s v="Monte Ceneri"/>
    <s v="Alpe di Grumo"/>
    <n v="46.135146900000002"/>
    <n v="8.9364838140000007"/>
    <n v="4"/>
    <n v="29"/>
    <x v="0"/>
    <n v="2014"/>
    <x v="1"/>
    <x v="1"/>
    <n v="44"/>
    <x v="1"/>
    <x v="1"/>
    <x v="1"/>
    <n v="715750"/>
    <n v="110400"/>
    <n v="71571104"/>
    <n v="715110"/>
    <n v="715110"/>
    <n v="717500"/>
    <n v="112500"/>
    <n v="278"/>
    <x v="0"/>
    <n v="0"/>
    <n v="0"/>
    <n v="0"/>
    <n v="-111.46"/>
    <n v="-111.46"/>
    <n v="-135"/>
    <n v="-144.96"/>
    <m/>
    <x v="1"/>
    <s v="Oural"/>
    <n v="11"/>
    <s v="GRUBLO-1"/>
    <s v="Abschuss"/>
  </r>
  <r>
    <x v="2"/>
    <s v="ScoRus"/>
    <n v="1"/>
    <x v="0"/>
    <x v="0"/>
    <x v="0"/>
    <x v="0"/>
    <x v="2"/>
    <n v="-23.574750000000002"/>
    <x v="2"/>
    <x v="1"/>
    <s v="Est de l'Oural"/>
    <x v="1"/>
    <x v="1"/>
    <s v="Medeglia"/>
    <s v="Cugnolo"/>
    <n v="46.109433860000003"/>
    <n v="8.9752322479999993"/>
    <n v="4"/>
    <n v="8"/>
    <x v="1"/>
    <n v="2014"/>
    <x v="2"/>
    <x v="2"/>
    <n v="53"/>
    <x v="2"/>
    <x v="2"/>
    <x v="1"/>
    <n v="718800"/>
    <n v="107600"/>
    <n v="71881076"/>
    <n v="718107"/>
    <n v="715105"/>
    <n v="717500"/>
    <n v="107500"/>
    <n v="329"/>
    <x v="0"/>
    <n v="0"/>
    <n v="0"/>
    <n v="0"/>
    <n v="-107.75"/>
    <n v="-107.75"/>
    <n v="-131.19999999999999"/>
    <n v="-140.33000000000001"/>
    <m/>
    <x v="1"/>
    <s v="Oural"/>
    <n v="11"/>
    <s v="GRUBLO-4"/>
    <s v="Abschuss"/>
  </r>
  <r>
    <x v="3"/>
    <s v="ScoRus"/>
    <n v="1"/>
    <x v="0"/>
    <x v="0"/>
    <x v="0"/>
    <x v="0"/>
    <x v="3"/>
    <n v="-23.178866630000002"/>
    <x v="3"/>
    <x v="1"/>
    <s v="Est de l'Oural"/>
    <x v="2"/>
    <x v="2"/>
    <s v="Onnens"/>
    <s v="Les Possessions"/>
    <n v="46.766638039999997"/>
    <n v="7.0400235760000003"/>
    <n v="5"/>
    <n v="4"/>
    <x v="1"/>
    <n v="2015"/>
    <x v="3"/>
    <x v="3"/>
    <n v="49"/>
    <x v="3"/>
    <x v="1"/>
    <x v="1"/>
    <n v="569551"/>
    <n v="179573"/>
    <n v="56951795"/>
    <n v="569179"/>
    <n v="565175"/>
    <n v="567500"/>
    <n v="177500"/>
    <n v="289"/>
    <x v="0"/>
    <n v="0"/>
    <n v="0"/>
    <n v="0"/>
    <n v="-105.68"/>
    <n v="-105.68"/>
    <n v="-129.1"/>
    <n v="-137.74"/>
    <m/>
    <x v="1"/>
    <s v="Oural"/>
    <n v="11"/>
    <s v="SAVAJE-2"/>
    <s v="Abschuss"/>
  </r>
  <r>
    <x v="4"/>
    <s v="ScoRus"/>
    <n v="1"/>
    <x v="0"/>
    <x v="0"/>
    <x v="0"/>
    <x v="0"/>
    <x v="4"/>
    <n v="-24.08"/>
    <x v="4"/>
    <x v="1"/>
    <s v="Est de l'Oural"/>
    <x v="0"/>
    <x v="0"/>
    <s v="Le Locle"/>
    <s v="Les Siméons"/>
    <n v="47.082647950000002"/>
    <n v="6.7574323749999996"/>
    <n v="5"/>
    <n v="2"/>
    <x v="1"/>
    <n v="2016"/>
    <x v="4"/>
    <x v="4"/>
    <n v="47"/>
    <x v="3"/>
    <x v="1"/>
    <x v="1"/>
    <n v="548270"/>
    <n v="214851"/>
    <n v="54822148"/>
    <n v="548214"/>
    <n v="545210"/>
    <n v="547500"/>
    <n v="212500"/>
    <n v="328"/>
    <x v="0"/>
    <n v="0"/>
    <n v="0"/>
    <n v="0"/>
    <n v="-105.4393859"/>
    <n v="-105.4393859"/>
    <s v="NA"/>
    <s v="NA"/>
    <m/>
    <x v="1"/>
    <s v="Oural"/>
    <n v="11"/>
    <s v="PRETFA-4"/>
    <s v="Abschuss"/>
  </r>
  <r>
    <x v="5"/>
    <s v="ScoRus"/>
    <n v="1"/>
    <x v="0"/>
    <x v="0"/>
    <x v="0"/>
    <x v="0"/>
    <x v="5"/>
    <n v="192.0669542"/>
    <x v="5"/>
    <x v="1"/>
    <s v="Est de l'Oural"/>
    <x v="0"/>
    <x v="0"/>
    <s v="Les Genevez-s-Coffrane"/>
    <s v="Grande Motte"/>
    <n v="47.014188519999998"/>
    <n v="6.8218251560000001"/>
    <n v="4"/>
    <n v="9"/>
    <x v="1"/>
    <n v="2013"/>
    <x v="5"/>
    <x v="5"/>
    <n v="54"/>
    <x v="2"/>
    <x v="2"/>
    <x v="1"/>
    <n v="553100"/>
    <n v="207200"/>
    <n v="55312072"/>
    <n v="553207"/>
    <n v="550205"/>
    <n v="552500"/>
    <n v="207500"/>
    <n v="400"/>
    <x v="0"/>
    <n v="0"/>
    <n v="0"/>
    <n v="0"/>
    <n v="-103.86"/>
    <n v="-103.86"/>
    <n v="-127.2"/>
    <n v="-135.46"/>
    <m/>
    <x v="2"/>
    <s v="Oural"/>
    <n v="10"/>
    <s v="PFISED-2"/>
    <s v="Abschuss"/>
  </r>
  <r>
    <x v="6"/>
    <s v="ScoRus"/>
    <n v="1"/>
    <x v="0"/>
    <x v="0"/>
    <x v="0"/>
    <x v="0"/>
    <x v="6"/>
    <n v="-23.714200000000002"/>
    <x v="6"/>
    <x v="2"/>
    <s v="Est de l'Oural"/>
    <x v="1"/>
    <x v="1"/>
    <s v="Isorno"/>
    <s v="Bolla"/>
    <n v="46.210121280000003"/>
    <n v="8.6900506719999999"/>
    <n v="6"/>
    <n v="27"/>
    <x v="0"/>
    <n v="2015"/>
    <x v="6"/>
    <x v="6"/>
    <n v="42"/>
    <x v="0"/>
    <x v="0"/>
    <x v="0"/>
    <n v="696575"/>
    <n v="118400"/>
    <n v="69651184"/>
    <n v="696118"/>
    <n v="695115"/>
    <n v="697500"/>
    <n v="117500"/>
    <n v="275"/>
    <x v="0"/>
    <n v="0"/>
    <n v="0"/>
    <n v="0"/>
    <n v="-102.52"/>
    <n v="-102.52"/>
    <n v="-125.9"/>
    <n v="-133.78"/>
    <m/>
    <x v="2"/>
    <s v="Oural"/>
    <n v="10"/>
    <s v="CAVACO-3"/>
    <s v="Abschuss"/>
  </r>
  <r>
    <x v="7"/>
    <s v="ScoRus"/>
    <n v="1"/>
    <x v="0"/>
    <x v="0"/>
    <x v="0"/>
    <x v="0"/>
    <x v="7"/>
    <n v="-22.6572"/>
    <x v="7"/>
    <x v="2"/>
    <s v="Est de l'Oural"/>
    <x v="1"/>
    <x v="1"/>
    <s v="Gola di Lago"/>
    <s v="Alpe St. Maria"/>
    <n v="46.105007309999998"/>
    <n v="8.9699337129999996"/>
    <n v="5"/>
    <n v="11"/>
    <x v="1"/>
    <n v="2014"/>
    <x v="7"/>
    <x v="7"/>
    <n v="56"/>
    <x v="2"/>
    <x v="2"/>
    <x v="1"/>
    <n v="718400"/>
    <n v="107100"/>
    <n v="71841071"/>
    <n v="718107"/>
    <n v="715105"/>
    <n v="717500"/>
    <n v="107500"/>
    <n v="311"/>
    <x v="0"/>
    <n v="0"/>
    <n v="0"/>
    <n v="0"/>
    <n v="-100.07"/>
    <n v="-100.07"/>
    <n v="-123.4"/>
    <n v="-130.72"/>
    <m/>
    <x v="2"/>
    <s v="Oural"/>
    <n v="10"/>
    <s v="GRUBLO-5"/>
    <s v="Abschuss"/>
  </r>
  <r>
    <x v="8"/>
    <s v="ScoRus"/>
    <n v="1"/>
    <x v="0"/>
    <x v="0"/>
    <x v="0"/>
    <x v="0"/>
    <x v="8"/>
    <n v="-24.6922"/>
    <x v="8"/>
    <x v="2"/>
    <s v="Est de l'Oural"/>
    <x v="1"/>
    <x v="1"/>
    <s v="Onserrone"/>
    <s v="Plan Drol"/>
    <n v="46.200965429999997"/>
    <n v="8.5476284109999998"/>
    <n v="5"/>
    <n v="25"/>
    <x v="0"/>
    <n v="2014"/>
    <x v="8"/>
    <x v="8"/>
    <n v="40"/>
    <x v="0"/>
    <x v="0"/>
    <x v="0"/>
    <n v="685599"/>
    <n v="117217"/>
    <n v="68551172"/>
    <n v="685117"/>
    <n v="685115"/>
    <n v="687500"/>
    <n v="117500"/>
    <n v="388"/>
    <x v="0"/>
    <n v="0"/>
    <n v="0"/>
    <n v="0"/>
    <n v="-99.78"/>
    <n v="-99.78"/>
    <n v="-123.1"/>
    <n v="-130.36000000000001"/>
    <m/>
    <x v="2"/>
    <s v="Oural"/>
    <n v="10"/>
    <s v="ROSS.GI-2"/>
    <s v="Abschuss"/>
  </r>
  <r>
    <x v="9"/>
    <s v="ScoRus"/>
    <n v="1"/>
    <x v="0"/>
    <x v="0"/>
    <x v="0"/>
    <x v="0"/>
    <x v="9"/>
    <n v="-24.658799999999999"/>
    <x v="9"/>
    <x v="2"/>
    <s v="Est de l'Oural"/>
    <x v="1"/>
    <x v="1"/>
    <s v="Gambarogno"/>
    <s v="V. dell Asino"/>
    <n v="46.091334080000003"/>
    <n v="8.8454092119999999"/>
    <n v="4"/>
    <n v="19"/>
    <x v="0"/>
    <n v="2014"/>
    <x v="9"/>
    <x v="9"/>
    <n v="34"/>
    <x v="4"/>
    <x v="0"/>
    <x v="0"/>
    <n v="708800"/>
    <n v="105400"/>
    <n v="70881054"/>
    <n v="708105"/>
    <n v="705105"/>
    <n v="707500"/>
    <n v="107500"/>
    <n v="278"/>
    <x v="0"/>
    <n v="0"/>
    <n v="0"/>
    <n v="0"/>
    <n v="-99.51"/>
    <n v="-99.51"/>
    <n v="-122.8"/>
    <n v="-130.02000000000001"/>
    <m/>
    <x v="2"/>
    <s v="Oural"/>
    <n v="10"/>
    <s v="GNOSDA-4"/>
    <s v="Abschuss"/>
  </r>
  <r>
    <x v="10"/>
    <s v="ScoRus"/>
    <n v="1"/>
    <x v="0"/>
    <x v="0"/>
    <x v="0"/>
    <x v="0"/>
    <x v="10"/>
    <n v="5.3000671590000001"/>
    <x v="10"/>
    <x v="2"/>
    <s v="Est de l'Oural"/>
    <x v="1"/>
    <x v="1"/>
    <s v="Gambarogno"/>
    <s v="Dovascio"/>
    <n v="46.1274388"/>
    <n v="8.8359883260000007"/>
    <n v="4"/>
    <n v="17"/>
    <x v="1"/>
    <n v="2013"/>
    <x v="10"/>
    <x v="10"/>
    <n v="62"/>
    <x v="5"/>
    <x v="3"/>
    <x v="2"/>
    <n v="708000"/>
    <n v="109400"/>
    <n v="70801094"/>
    <n v="708109"/>
    <n v="705105"/>
    <n v="707500"/>
    <n v="107500"/>
    <n v="286"/>
    <x v="0"/>
    <n v="0"/>
    <n v="0"/>
    <n v="0"/>
    <n v="-99.29"/>
    <n v="-99.29"/>
    <n v="-122.6"/>
    <n v="-129.74"/>
    <m/>
    <x v="2"/>
    <s v="Oural"/>
    <n v="10"/>
    <s v="GNOSDA-8"/>
    <s v="Abschuss"/>
  </r>
  <r>
    <x v="11"/>
    <s v="ScoRus"/>
    <n v="1"/>
    <x v="0"/>
    <x v="0"/>
    <x v="0"/>
    <x v="0"/>
    <x v="11"/>
    <n v="-24.437000000000001"/>
    <x v="11"/>
    <x v="2"/>
    <s v="Oural"/>
    <x v="1"/>
    <x v="1"/>
    <s v="Isorno"/>
    <s v="Iasco"/>
    <n v="46.210286279999998"/>
    <n v="8.6593287179999994"/>
    <n v="6"/>
    <n v="21"/>
    <x v="0"/>
    <n v="2014"/>
    <x v="11"/>
    <x v="11"/>
    <n v="36"/>
    <x v="4"/>
    <x v="0"/>
    <x v="0"/>
    <n v="694204"/>
    <n v="118381"/>
    <n v="69421183"/>
    <n v="694118"/>
    <n v="690115"/>
    <n v="692500"/>
    <n v="117500"/>
    <n v="303"/>
    <x v="0"/>
    <n v="0"/>
    <n v="0"/>
    <n v="0"/>
    <n v="-99.22"/>
    <n v="-99.22"/>
    <n v="-122.5"/>
    <n v="-129.66"/>
    <m/>
    <x v="2"/>
    <s v="Oural"/>
    <n v="10"/>
    <s v="CAVACO-6"/>
    <s v="Abschuss"/>
  </r>
  <r>
    <x v="12"/>
    <s v="ScoRus"/>
    <n v="1"/>
    <x v="0"/>
    <x v="0"/>
    <x v="0"/>
    <x v="0"/>
    <x v="12"/>
    <n v="-23.412199999999999"/>
    <x v="12"/>
    <x v="2"/>
    <s v="Oural"/>
    <x v="1"/>
    <x v="1"/>
    <s v="Isorno"/>
    <s v="Colagno"/>
    <n v="46.213937199999997"/>
    <n v="8.6899309749999993"/>
    <n v="6"/>
    <n v="27"/>
    <x v="0"/>
    <n v="2015"/>
    <x v="6"/>
    <x v="6"/>
    <n v="42"/>
    <x v="0"/>
    <x v="0"/>
    <x v="0"/>
    <n v="696559"/>
    <n v="118824"/>
    <n v="69651188"/>
    <n v="696118"/>
    <n v="695115"/>
    <n v="697500"/>
    <n v="117500"/>
    <n v="305"/>
    <x v="0"/>
    <n v="0"/>
    <n v="0"/>
    <n v="0"/>
    <n v="-99.09"/>
    <n v="-99.09"/>
    <n v="-122.4"/>
    <n v="-129.5"/>
    <m/>
    <x v="2"/>
    <s v="Oural"/>
    <n v="10"/>
    <s v="CAVACO-4"/>
    <s v="Abschuss"/>
  </r>
  <r>
    <x v="13"/>
    <s v="ScoRus"/>
    <n v="1"/>
    <x v="0"/>
    <x v="0"/>
    <x v="0"/>
    <x v="0"/>
    <x v="13"/>
    <n v="166.84908229999999"/>
    <x v="13"/>
    <x v="2"/>
    <s v="Est de l'Oural"/>
    <x v="1"/>
    <x v="1"/>
    <s v="Mosogno"/>
    <s v="Frashina"/>
    <n v="46.198608419999999"/>
    <n v="8.6391923950000002"/>
    <n v="6"/>
    <n v="7"/>
    <x v="1"/>
    <n v="2013"/>
    <x v="12"/>
    <x v="12"/>
    <n v="52"/>
    <x v="2"/>
    <x v="2"/>
    <x v="1"/>
    <n v="692670"/>
    <n v="117059"/>
    <n v="69261170"/>
    <n v="692117"/>
    <n v="690115"/>
    <n v="692500"/>
    <n v="117500"/>
    <n v="303"/>
    <x v="0"/>
    <n v="0"/>
    <n v="0"/>
    <n v="0"/>
    <n v="-98.43"/>
    <n v="-98.43"/>
    <n v="-121.7"/>
    <n v="-128.68"/>
    <m/>
    <x v="2"/>
    <s v="Oural"/>
    <n v="10"/>
    <s v="ROSSIGI-6"/>
    <s v="Abschuss"/>
  </r>
  <r>
    <x v="14"/>
    <s v="ScoRus"/>
    <n v="1"/>
    <x v="0"/>
    <x v="0"/>
    <x v="0"/>
    <x v="0"/>
    <x v="14"/>
    <n v="-24.608000000000001"/>
    <x v="14"/>
    <x v="2"/>
    <s v="Oural"/>
    <x v="1"/>
    <x v="1"/>
    <s v="Onserrone"/>
    <s v="Monte Burit"/>
    <n v="46.195616819999998"/>
    <n v="8.6139671500000006"/>
    <n v="6"/>
    <n v="9"/>
    <x v="1"/>
    <n v="2014"/>
    <x v="13"/>
    <x v="5"/>
    <n v="54"/>
    <x v="2"/>
    <x v="2"/>
    <x v="1"/>
    <n v="690728"/>
    <n v="116697"/>
    <n v="69071166"/>
    <n v="690116"/>
    <n v="690115"/>
    <n v="692500"/>
    <n v="117500"/>
    <n v="292"/>
    <x v="0"/>
    <n v="0"/>
    <n v="0"/>
    <n v="0"/>
    <n v="-98.22"/>
    <n v="-98.22"/>
    <n v="-121.5"/>
    <n v="-128.41999999999999"/>
    <m/>
    <x v="2"/>
    <s v="Oural"/>
    <n v="10"/>
    <s v="ROSS-GI8"/>
    <s v="Abschuss"/>
  </r>
  <r>
    <x v="15"/>
    <s v="ScoRus"/>
    <n v="1"/>
    <x v="0"/>
    <x v="0"/>
    <x v="0"/>
    <x v="0"/>
    <x v="15"/>
    <n v="-24.571750000000002"/>
    <x v="15"/>
    <x v="2"/>
    <s v="Oural"/>
    <x v="1"/>
    <x v="1"/>
    <s v="Gambarogno"/>
    <s v="Alpe Lierna"/>
    <n v="46.120275540000002"/>
    <n v="8.8332172910000004"/>
    <n v="4"/>
    <n v="6"/>
    <x v="1"/>
    <n v="2014"/>
    <x v="14"/>
    <x v="13"/>
    <n v="51"/>
    <x v="3"/>
    <x v="1"/>
    <x v="1"/>
    <n v="707800"/>
    <n v="108600"/>
    <n v="70781086"/>
    <n v="707108"/>
    <n v="705105"/>
    <n v="707500"/>
    <n v="107500"/>
    <n v="312"/>
    <x v="0"/>
    <n v="0"/>
    <n v="0"/>
    <n v="0"/>
    <n v="-97.37"/>
    <n v="-97.37"/>
    <n v="-120.6"/>
    <n v="-127.35"/>
    <m/>
    <x v="2"/>
    <s v="Oural"/>
    <n v="10"/>
    <s v="GNOSDA-15"/>
    <s v="Abschuss"/>
  </r>
  <r>
    <x v="16"/>
    <s v="ScoRus"/>
    <n v="1"/>
    <x v="0"/>
    <x v="0"/>
    <x v="0"/>
    <x v="0"/>
    <x v="16"/>
    <s v="NA"/>
    <x v="16"/>
    <x v="2"/>
    <s v="Oural"/>
    <x v="0"/>
    <x v="3"/>
    <s v="Le Lieu"/>
    <s v="NA"/>
    <n v="46.67998266"/>
    <n v="6.2949604360000002"/>
    <n v="3"/>
    <n v="24"/>
    <x v="0"/>
    <n v="2017"/>
    <x v="15"/>
    <x v="14"/>
    <n v="39"/>
    <x v="0"/>
    <x v="0"/>
    <x v="0"/>
    <n v="512500"/>
    <n v="170500"/>
    <n v="51251705"/>
    <n v="512170"/>
    <n v="510170"/>
    <n v="512500"/>
    <n v="172500"/>
    <n v="316"/>
    <x v="0"/>
    <n v="0"/>
    <n v="0"/>
    <n v="0"/>
    <n v="-97.321307399999995"/>
    <n v="-97.321307399999995"/>
    <s v="NA"/>
    <s v="NA"/>
    <m/>
    <x v="2"/>
    <s v="Oural"/>
    <n v="10"/>
    <s v="ROTHMI-1"/>
    <s v="Abschuss"/>
  </r>
  <r>
    <x v="17"/>
    <s v="ScoRus"/>
    <n v="1"/>
    <x v="0"/>
    <x v="0"/>
    <x v="0"/>
    <x v="0"/>
    <x v="17"/>
    <s v="NA"/>
    <x v="17"/>
    <x v="2"/>
    <s v="Oural"/>
    <x v="2"/>
    <x v="3"/>
    <s v="Montherod"/>
    <s v="Bois Masson"/>
    <n v="46.49967651"/>
    <n v="6.348272616"/>
    <n v="4"/>
    <n v="13"/>
    <x v="1"/>
    <n v="2017"/>
    <x v="16"/>
    <x v="15"/>
    <n v="58"/>
    <x v="6"/>
    <x v="2"/>
    <x v="2"/>
    <n v="516300"/>
    <n v="150400"/>
    <n v="51631504"/>
    <n v="516150"/>
    <n v="515150"/>
    <n v="517500"/>
    <n v="152500"/>
    <n v="337"/>
    <x v="0"/>
    <n v="0"/>
    <n v="0"/>
    <n v="0"/>
    <n v="-97.105608000000004"/>
    <n v="-97.105608000000004"/>
    <s v="NA"/>
    <s v="NA"/>
    <m/>
    <x v="2"/>
    <s v="Oural"/>
    <n v="10"/>
    <s v="VUILFR-1"/>
    <s v="Abschuss"/>
  </r>
  <r>
    <x v="18"/>
    <s v="ScoRus"/>
    <n v="1"/>
    <x v="0"/>
    <x v="0"/>
    <x v="0"/>
    <x v="0"/>
    <x v="18"/>
    <n v="-25.675799999999999"/>
    <x v="18"/>
    <x v="2"/>
    <s v="Oural"/>
    <x v="1"/>
    <x v="1"/>
    <s v="Ambri"/>
    <s v="Piantoi"/>
    <n v="46.505594649999999"/>
    <n v="8.6650833289999998"/>
    <n v="5"/>
    <n v="19"/>
    <x v="0"/>
    <n v="2014"/>
    <x v="9"/>
    <x v="9"/>
    <n v="34"/>
    <x v="4"/>
    <x v="0"/>
    <x v="0"/>
    <n v="694135"/>
    <n v="151212"/>
    <n v="69411512"/>
    <n v="694151"/>
    <n v="690150"/>
    <n v="692500"/>
    <n v="152500"/>
    <n v="328"/>
    <x v="0"/>
    <n v="0"/>
    <n v="0"/>
    <n v="0"/>
    <n v="-96.95"/>
    <n v="-96.95"/>
    <n v="-120.2"/>
    <n v="-126.82"/>
    <m/>
    <x v="2"/>
    <s v="Oural"/>
    <n v="10"/>
    <s v="CAVACO-4"/>
    <s v="Abschuss"/>
  </r>
  <r>
    <x v="19"/>
    <s v="ScoRus"/>
    <n v="1"/>
    <x v="0"/>
    <x v="0"/>
    <x v="0"/>
    <x v="0"/>
    <x v="19"/>
    <n v="-24.2"/>
    <x v="19"/>
    <x v="2"/>
    <s v="Oural"/>
    <x v="0"/>
    <x v="0"/>
    <s v="Les Planchettes"/>
    <s v="Maison Blanche"/>
    <n v="47.098562479999998"/>
    <n v="6.7746575949999999"/>
    <n v="6"/>
    <n v="28"/>
    <x v="0"/>
    <n v="2016"/>
    <x v="17"/>
    <x v="16"/>
    <n v="43"/>
    <x v="1"/>
    <x v="1"/>
    <x v="1"/>
    <n v="549593"/>
    <n v="216609"/>
    <n v="54952166"/>
    <n v="549216"/>
    <n v="545215"/>
    <n v="547500"/>
    <n v="217500"/>
    <n v="330"/>
    <x v="0"/>
    <n v="0"/>
    <n v="0"/>
    <n v="0"/>
    <n v="-95.831728100000007"/>
    <n v="-95.831728100000007"/>
    <s v="NA"/>
    <s v="NA"/>
    <m/>
    <x v="2"/>
    <s v="Oural"/>
    <n v="10"/>
    <s v="MEISHE-11"/>
    <s v="Abschuss"/>
  </r>
  <r>
    <x v="20"/>
    <s v="ScoRus"/>
    <n v="1"/>
    <x v="0"/>
    <x v="0"/>
    <x v="0"/>
    <x v="0"/>
    <x v="20"/>
    <n v="-24.31336378"/>
    <x v="20"/>
    <x v="2"/>
    <s v="Est de l'Oural"/>
    <x v="1"/>
    <x v="1"/>
    <s v="Sonvico"/>
    <s v="Fontàn da Magen"/>
    <n v="46.073660609999997"/>
    <n v="9.0246427059999998"/>
    <n v="5"/>
    <n v="31"/>
    <x v="0"/>
    <n v="2013"/>
    <x v="18"/>
    <x v="17"/>
    <n v="46"/>
    <x v="1"/>
    <x v="1"/>
    <x v="1"/>
    <n v="722700"/>
    <n v="103700"/>
    <n v="72271037"/>
    <n v="722103"/>
    <n v="720100"/>
    <n v="722500"/>
    <n v="102500"/>
    <n v="300"/>
    <x v="0"/>
    <n v="0"/>
    <n v="0"/>
    <n v="0"/>
    <n v="-95.83"/>
    <n v="-95.83"/>
    <n v="-119"/>
    <n v="-125.43"/>
    <m/>
    <x v="2"/>
    <s v="Oural"/>
    <n v="10"/>
    <s v="ANARTA-2"/>
    <s v="Abschuss"/>
  </r>
  <r>
    <x v="21"/>
    <s v="ScoRus"/>
    <n v="1"/>
    <x v="0"/>
    <x v="0"/>
    <x v="0"/>
    <x v="0"/>
    <x v="21"/>
    <n v="-24.5032"/>
    <x v="21"/>
    <x v="3"/>
    <s v="Oural"/>
    <x v="1"/>
    <x v="1"/>
    <s v="Gozzo"/>
    <s v="Pastura"/>
    <n v="46.095855020000002"/>
    <n v="9.0770189670000008"/>
    <n v="5"/>
    <n v="8"/>
    <x v="1"/>
    <n v="2014"/>
    <x v="2"/>
    <x v="2"/>
    <n v="53"/>
    <x v="2"/>
    <x v="2"/>
    <x v="1"/>
    <n v="726700"/>
    <n v="106250"/>
    <n v="72671062"/>
    <n v="726106"/>
    <n v="725105"/>
    <n v="727500"/>
    <n v="107500"/>
    <n v="340"/>
    <x v="0"/>
    <n v="0"/>
    <n v="0"/>
    <n v="0"/>
    <n v="-94.03"/>
    <n v="-94.03"/>
    <n v="-117.2"/>
    <n v="-123.17"/>
    <m/>
    <x v="3"/>
    <s v="Russie"/>
    <n v="9"/>
    <s v="ANARGI-4"/>
    <s v="Abschuss"/>
  </r>
  <r>
    <x v="22"/>
    <s v="ScoRus"/>
    <n v="1"/>
    <x v="0"/>
    <x v="0"/>
    <x v="0"/>
    <x v="0"/>
    <x v="22"/>
    <n v="-24.25332526"/>
    <x v="22"/>
    <x v="3"/>
    <s v="Oural"/>
    <x v="1"/>
    <x v="1"/>
    <s v="Gambarogno"/>
    <s v="Lierna"/>
    <n v="46.116677920000001"/>
    <n v="8.833125355"/>
    <n v="4"/>
    <n v="6"/>
    <x v="1"/>
    <n v="2013"/>
    <x v="19"/>
    <x v="13"/>
    <n v="51"/>
    <x v="3"/>
    <x v="1"/>
    <x v="1"/>
    <n v="707800"/>
    <n v="108200"/>
    <n v="70781082"/>
    <n v="707108"/>
    <n v="705105"/>
    <n v="707500"/>
    <n v="107500"/>
    <n v="401"/>
    <x v="0"/>
    <n v="0"/>
    <n v="0"/>
    <n v="0"/>
    <n v="-93.23"/>
    <n v="-93.23"/>
    <n v="-116.4"/>
    <n v="-122.17"/>
    <m/>
    <x v="3"/>
    <s v="Russie"/>
    <n v="9"/>
    <s v="GNOSDA-4"/>
    <s v="Abschuss"/>
  </r>
  <r>
    <x v="23"/>
    <s v="ScoRus"/>
    <n v="1"/>
    <x v="0"/>
    <x v="0"/>
    <x v="0"/>
    <x v="0"/>
    <x v="23"/>
    <n v="-23.77"/>
    <x v="23"/>
    <x v="3"/>
    <s v="Oural"/>
    <x v="0"/>
    <x v="4"/>
    <s v="Rebeuvelier"/>
    <s v="Gitzi"/>
    <n v="47.310649679999997"/>
    <n v="7.4246985690000002"/>
    <n v="5"/>
    <n v="31"/>
    <x v="0"/>
    <n v="2016"/>
    <x v="20"/>
    <x v="17"/>
    <n v="46"/>
    <x v="1"/>
    <x v="1"/>
    <x v="1"/>
    <n v="598946"/>
    <n v="239975"/>
    <n v="59892399"/>
    <n v="598239"/>
    <n v="595235"/>
    <n v="597500"/>
    <n v="237500"/>
    <n v="365"/>
    <x v="0"/>
    <n v="0"/>
    <n v="0"/>
    <n v="0"/>
    <n v="-92.713429099999999"/>
    <n v="-92.713429099999999"/>
    <s v="NA"/>
    <s v="NA"/>
    <m/>
    <x v="3"/>
    <s v="Russie"/>
    <n v="9"/>
    <s v="Buchmi4"/>
    <s v="Abschuss"/>
  </r>
  <r>
    <x v="24"/>
    <s v="ScoRus"/>
    <n v="1"/>
    <x v="0"/>
    <x v="0"/>
    <x v="0"/>
    <x v="0"/>
    <x v="24"/>
    <n v="-24.099799999999998"/>
    <x v="24"/>
    <x v="3"/>
    <s v="Oural"/>
    <x v="0"/>
    <x v="3"/>
    <s v="Provence"/>
    <s v="Vers chez Sulpy"/>
    <n v="46.9080285"/>
    <n v="6.6707802369999998"/>
    <n v="3"/>
    <n v="14"/>
    <x v="1"/>
    <n v="2014"/>
    <x v="21"/>
    <x v="18"/>
    <n v="59"/>
    <x v="6"/>
    <x v="2"/>
    <x v="2"/>
    <n v="541500"/>
    <n v="195500"/>
    <n v="54151955"/>
    <n v="541195"/>
    <n v="540195"/>
    <n v="542500"/>
    <n v="197500"/>
    <n v="355"/>
    <x v="0"/>
    <n v="0"/>
    <n v="0"/>
    <n v="0"/>
    <n v="-92.35"/>
    <n v="-92.35"/>
    <n v="-115.5"/>
    <n v="-121.07"/>
    <m/>
    <x v="3"/>
    <s v="Russie"/>
    <n v="9"/>
    <s v="PILLJE-1"/>
    <s v="Abschuss"/>
  </r>
  <r>
    <x v="25"/>
    <s v="ScoRus"/>
    <n v="1"/>
    <x v="0"/>
    <x v="0"/>
    <x v="0"/>
    <x v="0"/>
    <x v="25"/>
    <n v="-23.606200000000001"/>
    <x v="25"/>
    <x v="3"/>
    <s v="Oural"/>
    <x v="1"/>
    <x v="1"/>
    <s v="Gambarogno"/>
    <s v="Carnasciolo"/>
    <n v="46.07779464"/>
    <n v="8.8489388420000008"/>
    <n v="4"/>
    <n v="26"/>
    <x v="0"/>
    <n v="2014"/>
    <x v="22"/>
    <x v="0"/>
    <n v="41"/>
    <x v="0"/>
    <x v="0"/>
    <x v="0"/>
    <n v="709100"/>
    <n v="103900"/>
    <n v="70911039"/>
    <n v="709103"/>
    <n v="705100"/>
    <n v="707500"/>
    <n v="102500"/>
    <n v="323"/>
    <x v="0"/>
    <n v="0"/>
    <n v="0"/>
    <n v="0"/>
    <n v="-92.3"/>
    <n v="-92.3"/>
    <n v="-115.4"/>
    <n v="-121.01"/>
    <m/>
    <x v="3"/>
    <s v="Russie"/>
    <n v="9"/>
    <s v="GNOSDA-7"/>
    <s v="Abschuss"/>
  </r>
  <r>
    <x v="26"/>
    <s v="ScoRus"/>
    <n v="1"/>
    <x v="0"/>
    <x v="0"/>
    <x v="0"/>
    <x v="0"/>
    <x v="26"/>
    <n v="-51.133360189999998"/>
    <x v="26"/>
    <x v="3"/>
    <s v="Oural"/>
    <x v="1"/>
    <x v="1"/>
    <s v="Pedemonte"/>
    <s v="Nebi"/>
    <n v="46.190191069999997"/>
    <n v="8.7048142819999992"/>
    <n v="5"/>
    <n v="10"/>
    <x v="1"/>
    <n v="2013"/>
    <x v="23"/>
    <x v="19"/>
    <n v="55"/>
    <x v="2"/>
    <x v="2"/>
    <x v="1"/>
    <n v="697750"/>
    <n v="116203"/>
    <n v="69771162"/>
    <n v="697116"/>
    <n v="695115"/>
    <n v="697500"/>
    <n v="117500"/>
    <n v="289"/>
    <x v="0"/>
    <n v="0"/>
    <n v="0"/>
    <n v="0"/>
    <n v="-91.75"/>
    <n v="-91.75"/>
    <n v="-114.9"/>
    <n v="-120.33"/>
    <m/>
    <x v="3"/>
    <s v="Russie"/>
    <n v="9"/>
    <s v="CAVALLICO-1"/>
    <s v="Abschuss"/>
  </r>
  <r>
    <x v="27"/>
    <s v="ScoRus"/>
    <n v="1"/>
    <x v="0"/>
    <x v="0"/>
    <x v="0"/>
    <x v="0"/>
    <x v="26"/>
    <n v="-31.760823779999999"/>
    <x v="27"/>
    <x v="3"/>
    <s v="Oural"/>
    <x v="1"/>
    <x v="1"/>
    <s v="Pedemonte"/>
    <s v="Selva Piana"/>
    <n v="46.189087430000001"/>
    <n v="8.7417465730000004"/>
    <n v="5"/>
    <n v="23"/>
    <x v="1"/>
    <n v="2013"/>
    <x v="24"/>
    <x v="20"/>
    <n v="68"/>
    <x v="7"/>
    <x v="3"/>
    <x v="2"/>
    <n v="700603"/>
    <n v="116127"/>
    <n v="70061161"/>
    <n v="700116"/>
    <n v="700115"/>
    <n v="702500"/>
    <n v="117500"/>
    <n v="219"/>
    <x v="0"/>
    <n v="0"/>
    <n v="0"/>
    <n v="0"/>
    <n v="-91.75"/>
    <n v="-91.75"/>
    <n v="-114.9"/>
    <n v="-120.33"/>
    <m/>
    <x v="3"/>
    <s v="Russie"/>
    <n v="9"/>
    <s v="CAVALLICO-6"/>
    <s v="Abschuss"/>
  </r>
  <r>
    <x v="28"/>
    <s v="ScoRus"/>
    <n v="1"/>
    <x v="0"/>
    <x v="0"/>
    <x v="0"/>
    <x v="0"/>
    <x v="27"/>
    <n v="-25.14"/>
    <x v="28"/>
    <x v="3"/>
    <s v="Oural"/>
    <x v="0"/>
    <x v="4"/>
    <s v="Rebeuvelier"/>
    <s v="Prés des Auges"/>
    <n v="47.311001300000001"/>
    <n v="7.439800988"/>
    <n v="5"/>
    <n v="22"/>
    <x v="0"/>
    <n v="2016"/>
    <x v="25"/>
    <x v="21"/>
    <n v="37"/>
    <x v="4"/>
    <x v="0"/>
    <x v="0"/>
    <n v="600088"/>
    <n v="240014"/>
    <n v="60002400"/>
    <n v="600240"/>
    <n v="600240"/>
    <n v="602500"/>
    <n v="242500"/>
    <n v="330"/>
    <x v="0"/>
    <n v="0"/>
    <n v="0"/>
    <n v="0"/>
    <n v="-91.236701600000004"/>
    <n v="-91.236701600000004"/>
    <s v="NA"/>
    <s v="NA"/>
    <m/>
    <x v="3"/>
    <s v="Russie"/>
    <n v="9"/>
    <s v="Buchmi2"/>
    <s v="Abschuss"/>
  </r>
  <r>
    <x v="29"/>
    <s v="ScoRus"/>
    <n v="1"/>
    <x v="0"/>
    <x v="0"/>
    <x v="0"/>
    <x v="0"/>
    <x v="28"/>
    <s v="NA"/>
    <x v="29"/>
    <x v="3"/>
    <s v="Oural"/>
    <x v="1"/>
    <x v="1"/>
    <s v="Cadenazzo"/>
    <s v="Rubasacco"/>
    <n v="46.144714780000001"/>
    <n v="8.9940763839999995"/>
    <n v="5"/>
    <n v="2"/>
    <x v="1"/>
    <n v="2017"/>
    <x v="26"/>
    <x v="4"/>
    <n v="47"/>
    <x v="3"/>
    <x v="1"/>
    <x v="1"/>
    <n v="720179"/>
    <n v="111550"/>
    <n v="72011115"/>
    <n v="720111"/>
    <n v="720110"/>
    <n v="722500"/>
    <n v="112500"/>
    <n v="310"/>
    <x v="0"/>
    <n v="0"/>
    <n v="0"/>
    <n v="0"/>
    <n v="-91.123230699999993"/>
    <n v="-91.123230699999993"/>
    <s v="NA"/>
    <s v="NA"/>
    <m/>
    <x v="3"/>
    <s v="Russie"/>
    <n v="9"/>
    <s v="PURASA-12"/>
    <s v="Abschuss"/>
  </r>
  <r>
    <x v="30"/>
    <s v="ScoRus"/>
    <n v="1"/>
    <x v="0"/>
    <x v="0"/>
    <x v="0"/>
    <x v="0"/>
    <x v="29"/>
    <n v="-23.6112"/>
    <x v="30"/>
    <x v="3"/>
    <s v="Oural"/>
    <x v="1"/>
    <x v="1"/>
    <s v="Maggia"/>
    <s v="Capoli"/>
    <n v="46.209382009999999"/>
    <n v="8.7206943110000008"/>
    <n v="6"/>
    <n v="31"/>
    <x v="0"/>
    <n v="2015"/>
    <x v="27"/>
    <x v="17"/>
    <n v="46"/>
    <x v="1"/>
    <x v="1"/>
    <x v="1"/>
    <n v="698941"/>
    <n v="118356"/>
    <n v="69891183"/>
    <n v="698118"/>
    <n v="695115"/>
    <n v="697500"/>
    <n v="117500"/>
    <n v="280"/>
    <x v="0"/>
    <n v="0"/>
    <n v="0"/>
    <n v="0"/>
    <n v="-90.71"/>
    <n v="-90.71"/>
    <n v="-113.8"/>
    <n v="-119.02"/>
    <m/>
    <x v="3"/>
    <s v="Russie"/>
    <n v="9"/>
    <s v="CAVACO-6"/>
    <s v="Abschuss"/>
  </r>
  <r>
    <x v="31"/>
    <s v="ScoRus"/>
    <n v="1"/>
    <x v="0"/>
    <x v="0"/>
    <x v="0"/>
    <x v="0"/>
    <x v="30"/>
    <n v="-20.304370779999999"/>
    <x v="31"/>
    <x v="3"/>
    <s v="Oural"/>
    <x v="1"/>
    <x v="1"/>
    <s v="NA"/>
    <s v="Monte Motto"/>
    <n v="46.40684753"/>
    <n v="8.9858773529999993"/>
    <n v="6"/>
    <n v="5"/>
    <x v="1"/>
    <n v="2013"/>
    <x v="28"/>
    <x v="22"/>
    <n v="50"/>
    <x v="3"/>
    <x v="1"/>
    <x v="1"/>
    <n v="718971"/>
    <n v="140672"/>
    <n v="71891406"/>
    <n v="718140"/>
    <n v="715140"/>
    <n v="717500"/>
    <n v="142500"/>
    <n v="326"/>
    <x v="0"/>
    <n v="0"/>
    <n v="0"/>
    <n v="0"/>
    <n v="-90.29"/>
    <n v="-90.29"/>
    <n v="-113.4"/>
    <n v="-118.5"/>
    <m/>
    <x v="3"/>
    <s v="Russie"/>
    <n v="9"/>
    <s v="ROSSIGI-5"/>
    <s v="Abschuss"/>
  </r>
  <r>
    <x v="32"/>
    <s v="ScoRus"/>
    <n v="1"/>
    <x v="0"/>
    <x v="0"/>
    <x v="0"/>
    <x v="0"/>
    <x v="31"/>
    <n v="-23.331800000000001"/>
    <x v="32"/>
    <x v="3"/>
    <s v="Oural"/>
    <x v="1"/>
    <x v="1"/>
    <s v="Ambri"/>
    <s v="Giof"/>
    <n v="46.507576810000003"/>
    <n v="8.6631476299999992"/>
    <n v="5"/>
    <n v="19"/>
    <x v="0"/>
    <n v="2014"/>
    <x v="9"/>
    <x v="9"/>
    <n v="34"/>
    <x v="4"/>
    <x v="0"/>
    <x v="0"/>
    <n v="693983"/>
    <n v="151430"/>
    <n v="69391514"/>
    <n v="693151"/>
    <n v="690150"/>
    <n v="692500"/>
    <n v="152500"/>
    <n v="347"/>
    <x v="0"/>
    <n v="0"/>
    <n v="0"/>
    <n v="0"/>
    <n v="-90.28"/>
    <n v="-90.28"/>
    <n v="-113.4"/>
    <n v="-118.48"/>
    <m/>
    <x v="3"/>
    <s v="Russie"/>
    <n v="9"/>
    <s v="CAVACO-2"/>
    <s v="Abschuss"/>
  </r>
  <r>
    <x v="33"/>
    <s v="ScoRus"/>
    <n v="1"/>
    <x v="0"/>
    <x v="0"/>
    <x v="0"/>
    <x v="0"/>
    <x v="32"/>
    <n v="-24.685749999999999"/>
    <x v="33"/>
    <x v="3"/>
    <s v="Oural"/>
    <x v="1"/>
    <x v="1"/>
    <s v="Gambarogno"/>
    <s v="Cimetta"/>
    <n v="46.12883257"/>
    <n v="8.8683742429999999"/>
    <n v="4"/>
    <n v="30"/>
    <x v="0"/>
    <n v="2014"/>
    <x v="29"/>
    <x v="23"/>
    <n v="45"/>
    <x v="1"/>
    <x v="1"/>
    <x v="1"/>
    <n v="710500"/>
    <n v="109600"/>
    <n v="71051096"/>
    <n v="710109"/>
    <n v="710105"/>
    <n v="712500"/>
    <n v="107500"/>
    <n v="302"/>
    <x v="0"/>
    <n v="0"/>
    <n v="0"/>
    <n v="0"/>
    <n v="-89.92"/>
    <n v="-89.92"/>
    <n v="-113"/>
    <n v="-118.03"/>
    <m/>
    <x v="3"/>
    <s v="Russie"/>
    <n v="9"/>
    <s v="GNOSDA-14"/>
    <s v="Abschuss"/>
  </r>
  <r>
    <x v="34"/>
    <s v="ScoRus"/>
    <n v="1"/>
    <x v="0"/>
    <x v="0"/>
    <x v="0"/>
    <x v="0"/>
    <x v="33"/>
    <n v="-24.962199999999999"/>
    <x v="34"/>
    <x v="3"/>
    <s v="Oural"/>
    <x v="1"/>
    <x v="1"/>
    <s v="Pedemonte"/>
    <s v="Vii"/>
    <n v="46.197034590000001"/>
    <n v="8.7162708579999997"/>
    <n v="6"/>
    <n v="18"/>
    <x v="1"/>
    <n v="2015"/>
    <x v="30"/>
    <x v="24"/>
    <n v="63"/>
    <x v="5"/>
    <x v="3"/>
    <x v="2"/>
    <n v="698622"/>
    <n v="116978"/>
    <n v="69861169"/>
    <n v="698116"/>
    <n v="695115"/>
    <n v="697500"/>
    <n v="117500"/>
    <n v="289"/>
    <x v="0"/>
    <n v="0"/>
    <n v="0"/>
    <n v="0"/>
    <n v="-89.6"/>
    <n v="-89.6"/>
    <n v="-112.7"/>
    <n v="-117.64"/>
    <m/>
    <x v="3"/>
    <s v="Russie"/>
    <n v="9"/>
    <s v="CAVACO-9"/>
    <s v="Abschuss"/>
  </r>
  <r>
    <x v="35"/>
    <s v="ScoRus"/>
    <n v="1"/>
    <x v="0"/>
    <x v="0"/>
    <x v="0"/>
    <x v="0"/>
    <x v="34"/>
    <n v="-37.955087939999999"/>
    <x v="35"/>
    <x v="3"/>
    <s v="Oural"/>
    <x v="1"/>
    <x v="1"/>
    <s v="Galbarogno"/>
    <s v="Chirognascio"/>
    <n v="46.081408400000001"/>
    <n v="8.8477392849999994"/>
    <n v="4"/>
    <n v="10"/>
    <x v="1"/>
    <n v="2013"/>
    <x v="23"/>
    <x v="19"/>
    <n v="55"/>
    <x v="2"/>
    <x v="2"/>
    <x v="1"/>
    <n v="709000"/>
    <n v="104300"/>
    <n v="70901043"/>
    <n v="709104"/>
    <n v="705100"/>
    <n v="707500"/>
    <n v="102500"/>
    <n v="327"/>
    <x v="0"/>
    <n v="0"/>
    <n v="0"/>
    <n v="0"/>
    <n v="-89.42"/>
    <n v="-89.42"/>
    <n v="-112.5"/>
    <n v="-117.41"/>
    <m/>
    <x v="3"/>
    <s v="Russie"/>
    <n v="9"/>
    <s v="GNOSDA-6"/>
    <s v="Abschuss"/>
  </r>
  <r>
    <x v="36"/>
    <s v="ScoRus"/>
    <n v="1"/>
    <x v="0"/>
    <x v="0"/>
    <x v="0"/>
    <x v="0"/>
    <x v="35"/>
    <n v="66.271130279999994"/>
    <x v="36"/>
    <x v="3"/>
    <s v="Oural"/>
    <x v="1"/>
    <x v="1"/>
    <s v="Rosogno"/>
    <s v="Monte dei Büra"/>
    <n v="46.191036449999999"/>
    <n v="8.6355020220000007"/>
    <n v="6"/>
    <n v="5"/>
    <x v="1"/>
    <n v="2013"/>
    <x v="28"/>
    <x v="22"/>
    <n v="50"/>
    <x v="3"/>
    <x v="1"/>
    <x v="1"/>
    <n v="692398"/>
    <n v="116213"/>
    <n v="69231162"/>
    <n v="692116"/>
    <n v="690115"/>
    <n v="692500"/>
    <n v="117500"/>
    <n v="305"/>
    <x v="0"/>
    <n v="0"/>
    <n v="0"/>
    <n v="0"/>
    <n v="-89.38"/>
    <n v="-89.38"/>
    <n v="-112.4"/>
    <n v="-117.36"/>
    <m/>
    <x v="3"/>
    <s v="Russie"/>
    <n v="9"/>
    <s v="ROSSIGI-3"/>
    <s v="Abschuss"/>
  </r>
  <r>
    <x v="37"/>
    <s v="ScoRus"/>
    <n v="1"/>
    <x v="0"/>
    <x v="0"/>
    <x v="0"/>
    <x v="0"/>
    <x v="36"/>
    <s v="NA"/>
    <x v="37"/>
    <x v="3"/>
    <s v="Oural"/>
    <x v="0"/>
    <x v="3"/>
    <s v="La Rippe"/>
    <s v="NA"/>
    <n v="46.4084711"/>
    <n v="6.1446067190000004"/>
    <n v="3"/>
    <n v="3"/>
    <x v="1"/>
    <n v="2017"/>
    <x v="31"/>
    <x v="25"/>
    <n v="48"/>
    <x v="3"/>
    <x v="1"/>
    <x v="1"/>
    <n v="500500"/>
    <n v="140500"/>
    <n v="50051405"/>
    <n v="500140"/>
    <n v="500140"/>
    <n v="502500"/>
    <n v="142500"/>
    <n v="325"/>
    <x v="0"/>
    <n v="0"/>
    <n v="0"/>
    <n v="0"/>
    <n v="-88.940565800000002"/>
    <n v="-88.940565800000002"/>
    <s v="NA"/>
    <s v="NA"/>
    <m/>
    <x v="3"/>
    <s v="Russie"/>
    <n v="9"/>
    <s v="ROSSAL-1"/>
    <s v="Abschuss"/>
  </r>
  <r>
    <x v="38"/>
    <s v="ScoRus"/>
    <n v="1"/>
    <x v="0"/>
    <x v="0"/>
    <x v="0"/>
    <x v="0"/>
    <x v="37"/>
    <n v="-24.520199999999999"/>
    <x v="38"/>
    <x v="3"/>
    <s v="Oural"/>
    <x v="1"/>
    <x v="1"/>
    <s v="Isorno"/>
    <s v="Ledrima"/>
    <n v="46.216612329999997"/>
    <n v="8.6591983100000007"/>
    <n v="6"/>
    <n v="11"/>
    <x v="1"/>
    <n v="2015"/>
    <x v="32"/>
    <x v="7"/>
    <n v="56"/>
    <x v="2"/>
    <x v="2"/>
    <x v="1"/>
    <n v="694183"/>
    <n v="119084"/>
    <n v="69411190"/>
    <n v="694119"/>
    <n v="690115"/>
    <n v="692500"/>
    <n v="117500"/>
    <n v="271"/>
    <x v="0"/>
    <n v="0"/>
    <n v="0"/>
    <n v="0"/>
    <n v="-88.79"/>
    <n v="-88.79"/>
    <n v="-111.8"/>
    <n v="-116.62"/>
    <m/>
    <x v="3"/>
    <s v="Russie"/>
    <n v="9"/>
    <s v="CAVACO-7"/>
    <s v="Abschuss"/>
  </r>
  <r>
    <x v="39"/>
    <s v="ScoRus"/>
    <n v="1"/>
    <x v="0"/>
    <x v="0"/>
    <x v="0"/>
    <x v="0"/>
    <x v="38"/>
    <n v="-6.5929346659999997"/>
    <x v="39"/>
    <x v="3"/>
    <s v="Oural"/>
    <x v="1"/>
    <x v="1"/>
    <s v="Isorno"/>
    <s v="Salmone Sotto"/>
    <n v="46.207749059999998"/>
    <n v="8.6954646360000005"/>
    <n v="4"/>
    <n v="12"/>
    <x v="1"/>
    <n v="2013"/>
    <x v="33"/>
    <x v="26"/>
    <n v="57"/>
    <x v="6"/>
    <x v="2"/>
    <x v="2"/>
    <n v="696997"/>
    <n v="118143"/>
    <n v="69691181"/>
    <n v="696118"/>
    <n v="695115"/>
    <n v="697500"/>
    <n v="117500"/>
    <n v="357"/>
    <x v="0"/>
    <n v="0"/>
    <n v="0"/>
    <n v="0"/>
    <n v="-88.72"/>
    <n v="-88.72"/>
    <n v="-111.8"/>
    <n v="-116.53"/>
    <m/>
    <x v="3"/>
    <s v="Russie"/>
    <n v="9"/>
    <s v="CAVALLICO-4"/>
    <s v="Abschuss"/>
  </r>
  <r>
    <x v="40"/>
    <s v="ScoRus"/>
    <n v="1"/>
    <x v="0"/>
    <x v="0"/>
    <x v="0"/>
    <x v="0"/>
    <x v="39"/>
    <n v="-23.862200000000001"/>
    <x v="40"/>
    <x v="3"/>
    <s v="Oural"/>
    <x v="1"/>
    <x v="1"/>
    <s v="Isorno"/>
    <s v="Urbiel"/>
    <n v="46.210990160000001"/>
    <n v="8.6830597160000007"/>
    <n v="6"/>
    <n v="27"/>
    <x v="0"/>
    <n v="2015"/>
    <x v="6"/>
    <x v="6"/>
    <n v="42"/>
    <x v="0"/>
    <x v="0"/>
    <x v="0"/>
    <n v="696034"/>
    <n v="118488"/>
    <n v="69601184"/>
    <n v="696118"/>
    <n v="695115"/>
    <n v="697500"/>
    <n v="117500"/>
    <n v="291"/>
    <x v="0"/>
    <n v="0"/>
    <n v="0"/>
    <n v="0"/>
    <n v="-88.66"/>
    <n v="-88.66"/>
    <n v="-111.7"/>
    <n v="-116.46"/>
    <m/>
    <x v="3"/>
    <s v="Russie"/>
    <n v="9"/>
    <s v="CAVACO-2"/>
    <s v="Abschuss"/>
  </r>
  <r>
    <x v="41"/>
    <s v="ScoRus"/>
    <n v="1"/>
    <x v="0"/>
    <x v="0"/>
    <x v="0"/>
    <x v="0"/>
    <x v="40"/>
    <n v="-23.960750000000001"/>
    <x v="41"/>
    <x v="3"/>
    <s v="Oural"/>
    <x v="1"/>
    <x v="1"/>
    <s v="Ambri"/>
    <s v="Giof"/>
    <n v="46.507688950000002"/>
    <n v="8.6669289020000004"/>
    <n v="5"/>
    <n v="19"/>
    <x v="0"/>
    <n v="2014"/>
    <x v="9"/>
    <x v="9"/>
    <n v="34"/>
    <x v="4"/>
    <x v="0"/>
    <x v="0"/>
    <n v="694273"/>
    <n v="151447"/>
    <n v="69421514"/>
    <n v="694151"/>
    <n v="690150"/>
    <n v="692500"/>
    <n v="152500"/>
    <n v="335"/>
    <x v="0"/>
    <n v="0"/>
    <n v="0"/>
    <n v="0"/>
    <n v="-88.46"/>
    <n v="-88.46"/>
    <n v="-111.5"/>
    <n v="-116.21"/>
    <m/>
    <x v="3"/>
    <s v="Russie"/>
    <n v="9"/>
    <s v="CAVACO-5"/>
    <s v="Abschuss"/>
  </r>
  <r>
    <x v="42"/>
    <s v="ScoRus"/>
    <n v="1"/>
    <x v="0"/>
    <x v="0"/>
    <x v="0"/>
    <x v="0"/>
    <x v="41"/>
    <n v="-24.496200000000002"/>
    <x v="42"/>
    <x v="3"/>
    <s v="Oural"/>
    <x v="1"/>
    <x v="1"/>
    <s v="Isorno"/>
    <s v="Cortasiell"/>
    <n v="46.221743779999997"/>
    <n v="8.6622167159999996"/>
    <n v="6"/>
    <n v="22"/>
    <x v="1"/>
    <n v="2015"/>
    <x v="34"/>
    <x v="27"/>
    <n v="67"/>
    <x v="7"/>
    <x v="3"/>
    <x v="2"/>
    <n v="694407"/>
    <n v="119658"/>
    <n v="69441196"/>
    <n v="694119"/>
    <n v="690115"/>
    <n v="692500"/>
    <n v="117500"/>
    <n v="300"/>
    <x v="0"/>
    <n v="0"/>
    <n v="0"/>
    <n v="0"/>
    <n v="-88.09"/>
    <n v="-88.09"/>
    <n v="-111.1"/>
    <n v="-115.75"/>
    <m/>
    <x v="3"/>
    <s v="Russie"/>
    <n v="9"/>
    <s v="CAVACO-10"/>
    <s v="Abschuss"/>
  </r>
  <r>
    <x v="43"/>
    <s v="ScoRus"/>
    <n v="1"/>
    <x v="0"/>
    <x v="0"/>
    <x v="0"/>
    <x v="0"/>
    <x v="42"/>
    <n v="-23.224799999999998"/>
    <x v="43"/>
    <x v="3"/>
    <s v="Oural"/>
    <x v="1"/>
    <x v="1"/>
    <s v="Gambarogno"/>
    <s v="Monti di Piazzogna"/>
    <n v="46.12837021"/>
    <n v="8.8334241939999991"/>
    <n v="4"/>
    <n v="16"/>
    <x v="1"/>
    <n v="2014"/>
    <x v="35"/>
    <x v="28"/>
    <n v="61"/>
    <x v="6"/>
    <x v="2"/>
    <x v="2"/>
    <n v="707800"/>
    <n v="109500"/>
    <n v="70781095"/>
    <n v="707109"/>
    <n v="705105"/>
    <n v="707500"/>
    <n v="107500"/>
    <n v="320"/>
    <x v="0"/>
    <n v="0"/>
    <n v="0"/>
    <n v="0"/>
    <n v="-87.59"/>
    <n v="-87.59"/>
    <n v="-110.6"/>
    <n v="-115.13"/>
    <m/>
    <x v="3"/>
    <s v="Russie"/>
    <n v="9"/>
    <s v="GNOSDA-17"/>
    <s v="Abschuss"/>
  </r>
  <r>
    <x v="44"/>
    <s v="ScoRus"/>
    <n v="1"/>
    <x v="0"/>
    <x v="0"/>
    <x v="0"/>
    <x v="0"/>
    <x v="43"/>
    <n v="-24.174199999999999"/>
    <x v="44"/>
    <x v="4"/>
    <s v="Oural"/>
    <x v="1"/>
    <x v="1"/>
    <s v="Medeglia"/>
    <s v="Cugnolo"/>
    <n v="46.109451460000002"/>
    <n v="8.9739391600000005"/>
    <n v="5"/>
    <n v="15"/>
    <x v="1"/>
    <n v="2014"/>
    <x v="36"/>
    <x v="29"/>
    <n v="60"/>
    <x v="6"/>
    <x v="2"/>
    <x v="2"/>
    <n v="718700"/>
    <n v="107600"/>
    <n v="71871076"/>
    <n v="718107"/>
    <n v="715105"/>
    <n v="717500"/>
    <n v="107500"/>
    <n v="309"/>
    <x v="0"/>
    <n v="0"/>
    <n v="0"/>
    <n v="0"/>
    <n v="-87.15"/>
    <n v="-87.15"/>
    <n v="-110.2"/>
    <n v="-114.58"/>
    <m/>
    <x v="3"/>
    <s v="Russie"/>
    <n v="9"/>
    <s v="GRUBLO-7"/>
    <s v="Abschuss"/>
  </r>
  <r>
    <x v="45"/>
    <s v="ScoRus"/>
    <n v="1"/>
    <x v="0"/>
    <x v="0"/>
    <x v="0"/>
    <x v="0"/>
    <x v="44"/>
    <n v="-23.7532"/>
    <x v="45"/>
    <x v="4"/>
    <s v="Oural"/>
    <x v="1"/>
    <x v="1"/>
    <s v="Gola di Lago"/>
    <s v="NA"/>
    <n v="46.106391440000003"/>
    <n v="8.9673855269999994"/>
    <n v="5"/>
    <n v="8"/>
    <x v="1"/>
    <n v="2014"/>
    <x v="2"/>
    <x v="2"/>
    <n v="53"/>
    <x v="2"/>
    <x v="2"/>
    <x v="1"/>
    <n v="718200"/>
    <n v="107250"/>
    <n v="71821072"/>
    <n v="718107"/>
    <n v="715105"/>
    <n v="717500"/>
    <n v="107500"/>
    <n v="267"/>
    <x v="0"/>
    <n v="0"/>
    <n v="0"/>
    <n v="0"/>
    <n v="-86.88"/>
    <n v="-86.88"/>
    <n v="-109.9"/>
    <n v="-114.24"/>
    <m/>
    <x v="3"/>
    <s v="Russie"/>
    <n v="9"/>
    <s v="GRUBLO-3"/>
    <s v="Abschuss"/>
  </r>
  <r>
    <x v="46"/>
    <s v="ScoRus"/>
    <n v="1"/>
    <x v="0"/>
    <x v="0"/>
    <x v="0"/>
    <x v="0"/>
    <x v="45"/>
    <n v="-47.480957529999998"/>
    <x v="46"/>
    <x v="4"/>
    <s v="Oural"/>
    <x v="1"/>
    <x v="1"/>
    <s v="Bogno"/>
    <s v="Alpe Cottino"/>
    <n v="46.08907232"/>
    <n v="9.0794016769999999"/>
    <n v="6"/>
    <n v="3"/>
    <x v="1"/>
    <n v="2013"/>
    <x v="37"/>
    <x v="25"/>
    <n v="48"/>
    <x v="3"/>
    <x v="1"/>
    <x v="1"/>
    <n v="726900"/>
    <n v="105500"/>
    <n v="72691055"/>
    <n v="726105"/>
    <n v="725105"/>
    <n v="727500"/>
    <n v="107500"/>
    <n v="320"/>
    <x v="0"/>
    <n v="0"/>
    <n v="0"/>
    <n v="0"/>
    <n v="-86.42"/>
    <n v="-86.42"/>
    <n v="-109.4"/>
    <n v="-113.66"/>
    <m/>
    <x v="3"/>
    <s v="Russie"/>
    <n v="9"/>
    <s v="FONTER-1"/>
    <s v="Abschuss"/>
  </r>
  <r>
    <x v="47"/>
    <s v="ScoRus"/>
    <n v="1"/>
    <x v="0"/>
    <x v="0"/>
    <x v="0"/>
    <x v="0"/>
    <x v="46"/>
    <n v="-24.399000000000001"/>
    <x v="47"/>
    <x v="4"/>
    <s v="Oural"/>
    <x v="0"/>
    <x v="3"/>
    <s v="Ste-Croix"/>
    <s v="Haut de la Râpe"/>
    <n v="46.797360279999999"/>
    <n v="6.4810142180000003"/>
    <n v="5"/>
    <n v="20"/>
    <x v="0"/>
    <n v="2015"/>
    <x v="38"/>
    <x v="30"/>
    <n v="35"/>
    <x v="4"/>
    <x v="0"/>
    <x v="0"/>
    <n v="526893"/>
    <n v="183357"/>
    <n v="52681833"/>
    <n v="526183"/>
    <n v="525180"/>
    <n v="527500"/>
    <n v="182500"/>
    <n v="310"/>
    <x v="0"/>
    <n v="0"/>
    <n v="0"/>
    <n v="0"/>
    <n v="-84.78"/>
    <n v="-84.78"/>
    <n v="-107.7"/>
    <n v="-111.61"/>
    <m/>
    <x v="4"/>
    <s v="Nord de la Fennoscandinavie et Russie"/>
    <n v="8"/>
    <s v="JOSEDA-1"/>
    <s v="Abschuss"/>
  </r>
  <r>
    <x v="48"/>
    <s v="ScoRus"/>
    <n v="1"/>
    <x v="0"/>
    <x v="0"/>
    <x v="0"/>
    <x v="0"/>
    <x v="47"/>
    <n v="-23.99"/>
    <x v="4"/>
    <x v="4"/>
    <s v="Oural"/>
    <x v="0"/>
    <x v="0"/>
    <s v="Le Locle"/>
    <s v="Belle-Roche"/>
    <n v="47.038905999999997"/>
    <n v="6.7458165040000004"/>
    <n v="5"/>
    <n v="22"/>
    <x v="0"/>
    <n v="2016"/>
    <x v="25"/>
    <x v="21"/>
    <n v="37"/>
    <x v="4"/>
    <x v="0"/>
    <x v="0"/>
    <n v="547345"/>
    <n v="209996"/>
    <n v="54732099"/>
    <n v="547209"/>
    <n v="545205"/>
    <n v="547500"/>
    <n v="207500"/>
    <n v="292"/>
    <x v="0"/>
    <n v="0"/>
    <n v="0"/>
    <n v="0"/>
    <n v="-84.068735000000004"/>
    <n v="-84.068735000000004"/>
    <s v="NA"/>
    <s v="NA"/>
    <m/>
    <x v="4"/>
    <s v="Nord de la Fennoscandinavie et Russie"/>
    <n v="8"/>
    <s v="PRETFA-2"/>
    <s v="Abschuss"/>
  </r>
  <r>
    <x v="49"/>
    <s v="ScoRus"/>
    <n v="1"/>
    <x v="0"/>
    <x v="0"/>
    <x v="0"/>
    <x v="0"/>
    <x v="48"/>
    <n v="-22.946200000000001"/>
    <x v="48"/>
    <x v="4"/>
    <s v="Oural"/>
    <x v="1"/>
    <x v="1"/>
    <s v="Gambarogno"/>
    <s v="Alpe Lierna"/>
    <n v="46.118476729999998"/>
    <n v="8.8331713220000001"/>
    <n v="4"/>
    <n v="28"/>
    <x v="0"/>
    <n v="2014"/>
    <x v="39"/>
    <x v="16"/>
    <n v="43"/>
    <x v="1"/>
    <x v="1"/>
    <x v="1"/>
    <n v="707800"/>
    <n v="108400"/>
    <n v="70781084"/>
    <n v="707108"/>
    <n v="705105"/>
    <n v="707500"/>
    <n v="107500"/>
    <n v="309"/>
    <x v="0"/>
    <n v="0"/>
    <n v="0"/>
    <n v="0"/>
    <n v="-83.94"/>
    <n v="-83.94"/>
    <n v="-106.9"/>
    <n v="-110.57"/>
    <m/>
    <x v="4"/>
    <s v="Nord de la Fennoscandinavie et Russie"/>
    <n v="8"/>
    <s v="GNOSDA-12"/>
    <s v="Abschuss"/>
  </r>
  <r>
    <x v="50"/>
    <s v="ScoRus"/>
    <n v="1"/>
    <x v="0"/>
    <x v="0"/>
    <x v="0"/>
    <x v="0"/>
    <x v="49"/>
    <n v="-6.5512314949999997"/>
    <x v="49"/>
    <x v="4"/>
    <s v="Oural"/>
    <x v="1"/>
    <x v="1"/>
    <s v="Certara"/>
    <s v="Piancabella"/>
    <n v="46.065286559999997"/>
    <n v="9.0754556990000008"/>
    <n v="5"/>
    <n v="19"/>
    <x v="0"/>
    <n v="2013"/>
    <x v="40"/>
    <x v="9"/>
    <n v="34"/>
    <x v="4"/>
    <x v="0"/>
    <x v="0"/>
    <n v="726650"/>
    <n v="102850"/>
    <n v="72661028"/>
    <n v="726102"/>
    <n v="725100"/>
    <n v="727500"/>
    <n v="102500"/>
    <n v="270"/>
    <x v="0"/>
    <n v="0"/>
    <n v="0"/>
    <n v="0"/>
    <n v="-83.73"/>
    <n v="-83.73"/>
    <n v="-106.7"/>
    <n v="-110.3"/>
    <m/>
    <x v="4"/>
    <s v="Nord de la Fennoscandinavie et Russie"/>
    <n v="8"/>
    <s v="ANARTA-1"/>
    <s v="Abschuss"/>
  </r>
  <r>
    <x v="51"/>
    <s v="ScoRus"/>
    <n v="1"/>
    <x v="0"/>
    <x v="0"/>
    <x v="0"/>
    <x v="0"/>
    <x v="50"/>
    <n v="-8.3123765170000006"/>
    <x v="50"/>
    <x v="4"/>
    <s v="Oural"/>
    <x v="1"/>
    <x v="1"/>
    <s v="Lodano"/>
    <s v="Chipa"/>
    <n v="46.263533099999997"/>
    <n v="8.6762965179999991"/>
    <n v="5"/>
    <n v="26"/>
    <x v="1"/>
    <n v="2013"/>
    <x v="41"/>
    <x v="31"/>
    <n v="71"/>
    <x v="7"/>
    <x v="3"/>
    <x v="2"/>
    <n v="695420"/>
    <n v="124320"/>
    <n v="69541243"/>
    <n v="695124"/>
    <n v="695120"/>
    <n v="697500"/>
    <n v="122500"/>
    <n v="300"/>
    <x v="0"/>
    <n v="0"/>
    <n v="0"/>
    <n v="0"/>
    <n v="-83.57"/>
    <n v="-83.57"/>
    <n v="-106.5"/>
    <n v="-110.09"/>
    <m/>
    <x v="4"/>
    <s v="Nord de la Fennoscandinavie et Russie"/>
    <n v="8"/>
    <s v="CAVALLICO-8"/>
    <s v="Abschuss"/>
  </r>
  <r>
    <x v="52"/>
    <s v="ScoRus"/>
    <n v="1"/>
    <x v="0"/>
    <x v="0"/>
    <x v="0"/>
    <x v="0"/>
    <x v="51"/>
    <n v="-40.7621903"/>
    <x v="51"/>
    <x v="4"/>
    <s v="Oural"/>
    <x v="0"/>
    <x v="0"/>
    <s v="NA"/>
    <s v="Les Pradières"/>
    <n v="47.034002899999997"/>
    <n v="6.834912042"/>
    <n v="5"/>
    <n v="9"/>
    <x v="1"/>
    <n v="2013"/>
    <x v="5"/>
    <x v="5"/>
    <n v="54"/>
    <x v="2"/>
    <x v="2"/>
    <x v="1"/>
    <n v="554112"/>
    <n v="209395"/>
    <n v="55412093"/>
    <n v="554209"/>
    <n v="550205"/>
    <n v="552500"/>
    <n v="207500"/>
    <n v="316"/>
    <x v="0"/>
    <n v="0"/>
    <n v="0"/>
    <n v="0"/>
    <n v="-83.54"/>
    <n v="-83.54"/>
    <n v="-106.5"/>
    <n v="-110.06"/>
    <m/>
    <x v="4"/>
    <s v="Nord de la Fennoscandinavie et Russie"/>
    <n v="8"/>
    <s v="BARBTH-3"/>
    <s v="Abschuss"/>
  </r>
  <r>
    <x v="53"/>
    <s v="ScoRus"/>
    <n v="1"/>
    <x v="0"/>
    <x v="0"/>
    <x v="0"/>
    <x v="0"/>
    <x v="52"/>
    <n v="-23.752199999999998"/>
    <x v="52"/>
    <x v="4"/>
    <s v="Ouest de l'Oural"/>
    <x v="1"/>
    <x v="1"/>
    <s v="Cimadera"/>
    <s v="Gardada"/>
    <n v="46.082342990000001"/>
    <n v="9.0468752289999994"/>
    <n v="5"/>
    <n v="26"/>
    <x v="0"/>
    <n v="2014"/>
    <x v="22"/>
    <x v="0"/>
    <n v="41"/>
    <x v="0"/>
    <x v="0"/>
    <x v="0"/>
    <n v="724400"/>
    <n v="104700"/>
    <n v="72441047"/>
    <n v="724104"/>
    <n v="720100"/>
    <n v="722500"/>
    <n v="102500"/>
    <n v="310"/>
    <x v="0"/>
    <n v="0"/>
    <n v="0"/>
    <n v="0"/>
    <n v="-83.13"/>
    <n v="-83.13"/>
    <n v="-106.1"/>
    <n v="-109.55"/>
    <m/>
    <x v="4"/>
    <s v="Nord de la Fennoscandinavie et Russie"/>
    <n v="8"/>
    <s v="ROSAOR-1"/>
    <s v="Abschuss"/>
  </r>
  <r>
    <x v="54"/>
    <s v="ScoRus"/>
    <n v="1"/>
    <x v="0"/>
    <x v="0"/>
    <x v="0"/>
    <x v="0"/>
    <x v="53"/>
    <n v="-24.5044"/>
    <x v="53"/>
    <x v="4"/>
    <s v="Ouest de l'Oural"/>
    <x v="1"/>
    <x v="1"/>
    <s v="Isorno"/>
    <s v="Ledrima"/>
    <n v="46.216747980000001"/>
    <n v="8.6599660180000004"/>
    <n v="6"/>
    <n v="11"/>
    <x v="1"/>
    <n v="2015"/>
    <x v="32"/>
    <x v="7"/>
    <n v="56"/>
    <x v="2"/>
    <x v="2"/>
    <x v="1"/>
    <n v="694242"/>
    <n v="119100"/>
    <n v="69421191"/>
    <n v="694119"/>
    <n v="690115"/>
    <n v="692500"/>
    <n v="117500"/>
    <n v="295"/>
    <x v="0"/>
    <n v="0"/>
    <n v="0"/>
    <n v="0"/>
    <n v="-83.02"/>
    <n v="-83.02"/>
    <n v="-105.9"/>
    <n v="-109.42"/>
    <m/>
    <x v="4"/>
    <s v="Nord de la Fennoscandinavie et Russie"/>
    <n v="8"/>
    <s v="CAVACO-8"/>
    <s v="Abschuss"/>
  </r>
  <r>
    <x v="55"/>
    <s v="ScoRus"/>
    <n v="1"/>
    <x v="0"/>
    <x v="0"/>
    <x v="0"/>
    <x v="0"/>
    <x v="54"/>
    <n v="-21.272778939999998"/>
    <x v="54"/>
    <x v="4"/>
    <s v="Oural"/>
    <x v="1"/>
    <x v="1"/>
    <s v="Sonvico"/>
    <s v="Usin"/>
    <n v="46.07003589"/>
    <n v="9.026476443"/>
    <n v="5"/>
    <n v="26"/>
    <x v="0"/>
    <n v="2013"/>
    <x v="42"/>
    <x v="0"/>
    <n v="41"/>
    <x v="0"/>
    <x v="0"/>
    <x v="0"/>
    <n v="722850"/>
    <n v="103300"/>
    <n v="72281033"/>
    <n v="722103"/>
    <n v="720100"/>
    <n v="722500"/>
    <n v="102500"/>
    <n v="290"/>
    <x v="0"/>
    <n v="0"/>
    <n v="0"/>
    <n v="0"/>
    <n v="-82.16"/>
    <n v="-82.16"/>
    <n v="-105.1"/>
    <n v="-108.33"/>
    <m/>
    <x v="4"/>
    <s v="Nord de la Fennoscandinavie et Russie"/>
    <n v="8"/>
    <s v="ANARGI-1"/>
    <s v="Abschuss"/>
  </r>
  <r>
    <x v="56"/>
    <s v="ScoRus"/>
    <n v="1"/>
    <x v="0"/>
    <x v="0"/>
    <x v="0"/>
    <x v="0"/>
    <x v="55"/>
    <n v="-6.5957925150000003"/>
    <x v="55"/>
    <x v="4"/>
    <s v="Oural"/>
    <x v="1"/>
    <x v="1"/>
    <s v="Arogno"/>
    <s v="Grumo"/>
    <n v="45.991262050000003"/>
    <n v="8.9977282649999992"/>
    <n v="5"/>
    <n v="14"/>
    <x v="1"/>
    <n v="2013"/>
    <x v="43"/>
    <x v="18"/>
    <n v="59"/>
    <x v="6"/>
    <x v="2"/>
    <x v="2"/>
    <n v="720800"/>
    <n v="94500"/>
    <n v="72080945"/>
    <n v="720094"/>
    <n v="720090"/>
    <n v="722500"/>
    <n v="92500"/>
    <n v="330"/>
    <x v="0"/>
    <n v="0"/>
    <n v="0"/>
    <n v="0"/>
    <n v="-81.48"/>
    <n v="-81.48"/>
    <n v="-104.4"/>
    <n v="-107.49"/>
    <m/>
    <x v="4"/>
    <s v="Nord de la Fennoscandinavie et Russie"/>
    <n v="8"/>
    <s v="MOLTRE-1"/>
    <s v="Abschuss"/>
  </r>
  <r>
    <x v="57"/>
    <s v="ScoRus"/>
    <n v="1"/>
    <x v="0"/>
    <x v="0"/>
    <x v="0"/>
    <x v="0"/>
    <x v="56"/>
    <n v="-24.852799999999998"/>
    <x v="56"/>
    <x v="4"/>
    <s v="Ouest de l'Oural"/>
    <x v="1"/>
    <x v="1"/>
    <s v="Maggia"/>
    <s v="Forcola-Dunzio"/>
    <n v="46.216993889999998"/>
    <n v="8.7293368089999994"/>
    <n v="6"/>
    <n v="8"/>
    <x v="1"/>
    <n v="2014"/>
    <x v="2"/>
    <x v="2"/>
    <n v="53"/>
    <x v="2"/>
    <x v="2"/>
    <x v="1"/>
    <n v="699594"/>
    <n v="119213"/>
    <n v="69951192"/>
    <n v="699119"/>
    <n v="695115"/>
    <n v="697500"/>
    <n v="117500"/>
    <n v="291"/>
    <x v="0"/>
    <n v="0"/>
    <n v="0"/>
    <n v="0"/>
    <n v="-81.27"/>
    <n v="-81.27"/>
    <n v="-104.2"/>
    <n v="-107.23"/>
    <m/>
    <x v="4"/>
    <s v="Nord de la Fennoscandinavie et Russie"/>
    <n v="8"/>
    <s v="ROSS-GI5"/>
    <s v="Abschuss"/>
  </r>
  <r>
    <x v="58"/>
    <s v="ScoRus"/>
    <n v="1"/>
    <x v="0"/>
    <x v="0"/>
    <x v="0"/>
    <x v="0"/>
    <x v="57"/>
    <n v="-22.408704480000001"/>
    <x v="57"/>
    <x v="4"/>
    <s v="Oural"/>
    <x v="1"/>
    <x v="1"/>
    <s v="Gambarogno"/>
    <s v="Lierna"/>
    <n v="46.118460740000003"/>
    <n v="8.8344646709999992"/>
    <n v="4"/>
    <n v="6"/>
    <x v="1"/>
    <n v="2013"/>
    <x v="19"/>
    <x v="13"/>
    <n v="51"/>
    <x v="3"/>
    <x v="1"/>
    <x v="1"/>
    <n v="707900"/>
    <n v="108400"/>
    <n v="70791084"/>
    <n v="707108"/>
    <n v="705105"/>
    <n v="707500"/>
    <n v="107500"/>
    <n v="335"/>
    <x v="0"/>
    <n v="0"/>
    <n v="0"/>
    <n v="0"/>
    <n v="-81.25"/>
    <n v="-81.25"/>
    <n v="-104.1"/>
    <n v="-107.2"/>
    <m/>
    <x v="4"/>
    <s v="Nord de la Fennoscandinavie et Russie"/>
    <n v="8"/>
    <s v="GNOSDA-5"/>
    <s v="Abschuss"/>
  </r>
  <r>
    <x v="59"/>
    <s v="ScoRus"/>
    <n v="1"/>
    <x v="0"/>
    <x v="0"/>
    <x v="0"/>
    <x v="0"/>
    <x v="58"/>
    <n v="-24.166"/>
    <x v="58"/>
    <x v="4"/>
    <s v="Ouest de l'Oural"/>
    <x v="1"/>
    <x v="1"/>
    <s v="Isorno"/>
    <s v="Campo"/>
    <n v="46.223231820000002"/>
    <n v="8.6808636559999997"/>
    <n v="6"/>
    <n v="27"/>
    <x v="0"/>
    <n v="2015"/>
    <x v="6"/>
    <x v="6"/>
    <n v="42"/>
    <x v="0"/>
    <x v="0"/>
    <x v="0"/>
    <n v="695843"/>
    <n v="119846"/>
    <n v="69581198"/>
    <n v="695119"/>
    <n v="695115"/>
    <n v="697500"/>
    <n v="117500"/>
    <n v="244"/>
    <x v="0"/>
    <n v="0"/>
    <n v="0"/>
    <n v="0"/>
    <n v="-81.2"/>
    <n v="-81.2"/>
    <n v="-104.1"/>
    <n v="-107.14"/>
    <m/>
    <x v="4"/>
    <s v="Nord de la Fennoscandinavie et Russie"/>
    <n v="8"/>
    <s v="CAVACO-5"/>
    <s v="Abschuss"/>
  </r>
  <r>
    <x v="60"/>
    <s v="ScoRus"/>
    <n v="1"/>
    <x v="0"/>
    <x v="0"/>
    <x v="0"/>
    <x v="0"/>
    <x v="59"/>
    <n v="-25.114999999999998"/>
    <x v="59"/>
    <x v="4"/>
    <s v="Ouest de l'Oural"/>
    <x v="1"/>
    <x v="1"/>
    <s v="Isorno"/>
    <s v="Sella"/>
    <n v="46.215229569999998"/>
    <n v="8.6655955509999991"/>
    <n v="6"/>
    <n v="26"/>
    <x v="0"/>
    <n v="2014"/>
    <x v="22"/>
    <x v="0"/>
    <n v="41"/>
    <x v="0"/>
    <x v="0"/>
    <x v="0"/>
    <n v="694679"/>
    <n v="118938"/>
    <n v="69461189"/>
    <n v="694118"/>
    <n v="690115"/>
    <n v="692500"/>
    <n v="117500"/>
    <n v="299"/>
    <x v="0"/>
    <n v="0"/>
    <n v="0"/>
    <n v="0"/>
    <n v="-80.36"/>
    <n v="-80.36"/>
    <n v="-103.2"/>
    <n v="-106.08"/>
    <m/>
    <x v="4"/>
    <s v="Nord de la Fennoscandinavie et Russie"/>
    <n v="8"/>
    <s v="CAVACO-8"/>
    <s v="Abschuss"/>
  </r>
  <r>
    <x v="61"/>
    <s v="ScoRus"/>
    <n v="1"/>
    <x v="0"/>
    <x v="0"/>
    <x v="0"/>
    <x v="0"/>
    <x v="60"/>
    <n v="-11.38073599"/>
    <x v="60"/>
    <x v="4"/>
    <s v="Oural"/>
    <x v="1"/>
    <x v="1"/>
    <s v="Locarno"/>
    <s v="Vatagne"/>
    <n v="46.184590329999999"/>
    <n v="8.7586852789999998"/>
    <n v="5"/>
    <n v="23"/>
    <x v="1"/>
    <n v="2013"/>
    <x v="24"/>
    <x v="20"/>
    <n v="68"/>
    <x v="7"/>
    <x v="3"/>
    <x v="2"/>
    <n v="701919"/>
    <n v="115649"/>
    <n v="70191156"/>
    <n v="701115"/>
    <n v="700115"/>
    <n v="702500"/>
    <n v="117500"/>
    <n v="294"/>
    <x v="0"/>
    <n v="0"/>
    <n v="0"/>
    <n v="0"/>
    <n v="-80.13"/>
    <n v="-80.13"/>
    <n v="-103"/>
    <n v="-105.8"/>
    <m/>
    <x v="4"/>
    <s v="Nord de la Fennoscandinavie et Russie"/>
    <n v="8"/>
    <s v="CAVALLICO-7"/>
    <s v="Abschuss"/>
  </r>
  <r>
    <x v="62"/>
    <s v="ScoRus"/>
    <n v="1"/>
    <x v="0"/>
    <x v="0"/>
    <x v="0"/>
    <x v="0"/>
    <x v="60"/>
    <n v="-23.489256279999999"/>
    <x v="61"/>
    <x v="4"/>
    <s v="Oural"/>
    <x v="1"/>
    <x v="1"/>
    <s v="NA"/>
    <s v="Gola di Lago"/>
    <n v="46.107061780000002"/>
    <n v="8.9842201690000003"/>
    <n v="5"/>
    <n v="20"/>
    <x v="1"/>
    <n v="2013"/>
    <x v="44"/>
    <x v="32"/>
    <n v="65"/>
    <x v="5"/>
    <x v="3"/>
    <x v="2"/>
    <n v="719500"/>
    <n v="107350"/>
    <n v="71951073"/>
    <n v="719107"/>
    <n v="715105"/>
    <n v="717500"/>
    <n v="107500"/>
    <n v="290"/>
    <x v="0"/>
    <n v="0"/>
    <n v="0"/>
    <n v="0"/>
    <n v="-80.13"/>
    <n v="-80.13"/>
    <n v="-103"/>
    <n v="-105.8"/>
    <m/>
    <x v="4"/>
    <s v="Nord de la Fennoscandinavie et Russie"/>
    <n v="8"/>
    <s v="GRUBLO-4"/>
    <s v="Abschuss"/>
  </r>
  <r>
    <x v="63"/>
    <s v="ScoRus"/>
    <n v="1"/>
    <x v="0"/>
    <x v="0"/>
    <x v="0"/>
    <x v="0"/>
    <x v="61"/>
    <n v="-25.117799999999999"/>
    <x v="62"/>
    <x v="5"/>
    <s v="Ouest de l'Oural"/>
    <x v="1"/>
    <x v="1"/>
    <s v="Gambarogno"/>
    <s v="Busen"/>
    <n v="46.08312626"/>
    <n v="8.8542482360000001"/>
    <n v="4"/>
    <n v="25"/>
    <x v="0"/>
    <n v="2014"/>
    <x v="8"/>
    <x v="8"/>
    <n v="40"/>
    <x v="0"/>
    <x v="0"/>
    <x v="0"/>
    <n v="709500"/>
    <n v="104500"/>
    <n v="70951045"/>
    <n v="709104"/>
    <n v="705100"/>
    <n v="707500"/>
    <n v="102500"/>
    <n v="328"/>
    <x v="0"/>
    <n v="0"/>
    <n v="0"/>
    <n v="0"/>
    <n v="-79.27"/>
    <n v="-79.27"/>
    <n v="-102.1"/>
    <n v="-104.72"/>
    <m/>
    <x v="4"/>
    <s v="Nord de la Fennoscandinavie et Russie"/>
    <n v="8"/>
    <s v="GNOSDA-5"/>
    <s v="Abschuss"/>
  </r>
  <r>
    <x v="64"/>
    <s v="ScoRus"/>
    <n v="1"/>
    <x v="0"/>
    <x v="0"/>
    <x v="0"/>
    <x v="0"/>
    <x v="62"/>
    <n v="-16.229801510000001"/>
    <x v="63"/>
    <x v="5"/>
    <s v="Ouest de l'Oural"/>
    <x v="1"/>
    <x v="1"/>
    <s v="Gola di Lago"/>
    <s v="Buzzasca"/>
    <n v="46.106893630000002"/>
    <n v="8.9635190310000006"/>
    <n v="4"/>
    <n v="6"/>
    <x v="1"/>
    <n v="2013"/>
    <x v="19"/>
    <x v="13"/>
    <n v="51"/>
    <x v="3"/>
    <x v="1"/>
    <x v="1"/>
    <n v="717900"/>
    <n v="107300"/>
    <n v="71791073"/>
    <n v="717107"/>
    <n v="715105"/>
    <n v="717500"/>
    <n v="107500"/>
    <n v="272"/>
    <x v="0"/>
    <n v="0"/>
    <n v="0"/>
    <n v="0"/>
    <n v="-79.13"/>
    <n v="-79.13"/>
    <n v="-102"/>
    <n v="-104.54"/>
    <m/>
    <x v="4"/>
    <s v="Nord de la Fennoscandinavie et Russie"/>
    <n v="8"/>
    <s v="GRUBLO-1"/>
    <s v="Abschuss"/>
  </r>
  <r>
    <x v="65"/>
    <s v="ScoRus"/>
    <n v="1"/>
    <x v="0"/>
    <x v="0"/>
    <x v="0"/>
    <x v="0"/>
    <x v="63"/>
    <s v="NA"/>
    <x v="64"/>
    <x v="5"/>
    <s v="Ouest de l'Oural"/>
    <x v="2"/>
    <x v="2"/>
    <s v="Autigny"/>
    <s v="Grand Champs"/>
    <n v="46.73543669"/>
    <n v="7.0464557689999996"/>
    <n v="6"/>
    <n v="13"/>
    <x v="1"/>
    <n v="2017"/>
    <x v="16"/>
    <x v="15"/>
    <n v="58"/>
    <x v="6"/>
    <x v="2"/>
    <x v="2"/>
    <n v="570025"/>
    <n v="176102"/>
    <n v="57001761"/>
    <n v="570176"/>
    <n v="570175"/>
    <n v="572500"/>
    <n v="177500"/>
    <n v="387"/>
    <x v="0"/>
    <n v="0"/>
    <n v="0"/>
    <n v="0"/>
    <n v="-78.321439999999996"/>
    <n v="-78.321439999999996"/>
    <s v="NA"/>
    <s v="NA"/>
    <m/>
    <x v="4"/>
    <s v="Nord de la Fennoscandinavie et Russie"/>
    <n v="8"/>
    <s v="DUCHPA-5"/>
    <s v="Abschuss"/>
  </r>
  <r>
    <x v="66"/>
    <s v="ScoRus"/>
    <n v="1"/>
    <x v="0"/>
    <x v="0"/>
    <x v="0"/>
    <x v="0"/>
    <x v="64"/>
    <n v="13.31139349"/>
    <x v="65"/>
    <x v="5"/>
    <s v="Ouest de l'Oural"/>
    <x v="1"/>
    <x v="1"/>
    <s v="Pedemonte"/>
    <s v="Chilasco"/>
    <n v="46.199847910000003"/>
    <n v="8.7220636450000004"/>
    <n v="6"/>
    <n v="10"/>
    <x v="1"/>
    <n v="2013"/>
    <x v="23"/>
    <x v="19"/>
    <n v="55"/>
    <x v="2"/>
    <x v="2"/>
    <x v="1"/>
    <n v="699064"/>
    <n v="117298"/>
    <n v="69901172"/>
    <n v="699117"/>
    <n v="695115"/>
    <n v="697500"/>
    <n v="117500"/>
    <n v="345"/>
    <x v="0"/>
    <n v="0"/>
    <n v="0"/>
    <n v="0"/>
    <n v="-78.290000000000006"/>
    <n v="-78.290000000000006"/>
    <n v="-101.1"/>
    <n v="-103.5"/>
    <m/>
    <x v="4"/>
    <s v="Nord de la Fennoscandinavie et Russie"/>
    <n v="8"/>
    <s v="CAVALLICO-2"/>
    <s v="Abschuss"/>
  </r>
  <r>
    <x v="67"/>
    <s v="ScoRus"/>
    <n v="1"/>
    <x v="0"/>
    <x v="0"/>
    <x v="0"/>
    <x v="0"/>
    <x v="65"/>
    <n v="-24.89575"/>
    <x v="66"/>
    <x v="5"/>
    <s v="Ouest de l'Oural"/>
    <x v="1"/>
    <x v="1"/>
    <s v="Gambarogno"/>
    <s v="V. dell Asino"/>
    <n v="46.082340070000001"/>
    <n v="8.8451775159999997"/>
    <n v="4"/>
    <n v="16"/>
    <x v="0"/>
    <n v="2014"/>
    <x v="45"/>
    <x v="33"/>
    <n v="31"/>
    <x v="8"/>
    <x v="4"/>
    <x v="0"/>
    <n v="708800"/>
    <n v="104400"/>
    <n v="70881044"/>
    <n v="708104"/>
    <n v="705100"/>
    <n v="707500"/>
    <n v="102500"/>
    <n v="321"/>
    <x v="0"/>
    <n v="0"/>
    <n v="0"/>
    <n v="0"/>
    <n v="-77.8"/>
    <n v="-77.8"/>
    <n v="-100.6"/>
    <n v="-102.89"/>
    <m/>
    <x v="4"/>
    <s v="Nord de la Fennoscandinavie et Russie"/>
    <n v="8"/>
    <s v="GNOSDA-2"/>
    <s v="Abschuss"/>
  </r>
  <r>
    <x v="68"/>
    <s v="ScoRus"/>
    <n v="1"/>
    <x v="0"/>
    <x v="0"/>
    <x v="0"/>
    <x v="0"/>
    <x v="66"/>
    <n v="-40.398806280000002"/>
    <x v="67"/>
    <x v="5"/>
    <s v="Ouest de l'Oural"/>
    <x v="1"/>
    <x v="1"/>
    <s v="Bogno"/>
    <s v="Cugnolo Corto"/>
    <n v="46.083572580000002"/>
    <n v="9.0863479250000001"/>
    <n v="5"/>
    <n v="3"/>
    <x v="1"/>
    <n v="2013"/>
    <x v="37"/>
    <x v="25"/>
    <n v="48"/>
    <x v="3"/>
    <x v="1"/>
    <x v="1"/>
    <n v="727450"/>
    <n v="104900"/>
    <n v="72741049"/>
    <n v="727104"/>
    <n v="725100"/>
    <n v="727500"/>
    <n v="102500"/>
    <s v="NA"/>
    <x v="0"/>
    <n v="0"/>
    <n v="0"/>
    <n v="0"/>
    <n v="-77.790000000000006"/>
    <n v="-77.790000000000006"/>
    <n v="-100.6"/>
    <n v="-102.88"/>
    <m/>
    <x v="4"/>
    <s v="Nord de la Fennoscandinavie et Russie"/>
    <n v="8"/>
    <s v="FONTER-2"/>
    <s v="Abschuss"/>
  </r>
  <r>
    <x v="69"/>
    <s v="ScoRus"/>
    <n v="1"/>
    <x v="0"/>
    <x v="0"/>
    <x v="0"/>
    <x v="0"/>
    <x v="67"/>
    <n v="-23.612200000000001"/>
    <x v="68"/>
    <x v="5"/>
    <s v="Ouest de l'Oural"/>
    <x v="1"/>
    <x v="1"/>
    <s v="Cadenazzo"/>
    <s v="Corte"/>
    <n v="46.145448530000003"/>
    <n v="8.9733344679999991"/>
    <n v="6"/>
    <n v="20"/>
    <x v="1"/>
    <n v="2014"/>
    <x v="46"/>
    <x v="32"/>
    <n v="65"/>
    <x v="5"/>
    <x v="3"/>
    <x v="2"/>
    <n v="718575"/>
    <n v="111600"/>
    <n v="71851116"/>
    <n v="718111"/>
    <n v="715110"/>
    <n v="717500"/>
    <n v="112500"/>
    <n v="300"/>
    <x v="0"/>
    <n v="0"/>
    <n v="0"/>
    <n v="0"/>
    <n v="-77.61"/>
    <n v="-77.61"/>
    <n v="-100.4"/>
    <n v="-102.65"/>
    <m/>
    <x v="4"/>
    <s v="Nord de la Fennoscandinavie et Russie"/>
    <n v="8"/>
    <s v="ALBEFA-2"/>
    <s v="Abschuss"/>
  </r>
  <r>
    <x v="70"/>
    <s v="ScoRus"/>
    <n v="1"/>
    <x v="0"/>
    <x v="0"/>
    <x v="0"/>
    <x v="0"/>
    <x v="68"/>
    <n v="-22.813199999999998"/>
    <x v="69"/>
    <x v="5"/>
    <s v="Ouest de l'Oural"/>
    <x v="1"/>
    <x v="1"/>
    <s v="Gambarogno"/>
    <s v="Monti di Piazzogna"/>
    <n v="46.127326320000002"/>
    <n v="8.8450432340000003"/>
    <n v="4"/>
    <n v="16"/>
    <x v="1"/>
    <n v="2014"/>
    <x v="35"/>
    <x v="28"/>
    <n v="61"/>
    <x v="6"/>
    <x v="2"/>
    <x v="2"/>
    <n v="708700"/>
    <n v="109400"/>
    <n v="70871094"/>
    <n v="708109"/>
    <n v="705105"/>
    <n v="707500"/>
    <n v="107500"/>
    <n v="332"/>
    <x v="0"/>
    <n v="0"/>
    <n v="0"/>
    <n v="0"/>
    <n v="-77.569999999999993"/>
    <n v="-77.569999999999993"/>
    <n v="-100.4"/>
    <n v="-102.6"/>
    <m/>
    <x v="4"/>
    <s v="Nord de la Fennoscandinavie et Russie"/>
    <n v="8"/>
    <s v="GNOSDA-18"/>
    <s v="Abschuss"/>
  </r>
  <r>
    <x v="71"/>
    <s v="ScoRus"/>
    <n v="1"/>
    <x v="0"/>
    <x v="0"/>
    <x v="0"/>
    <x v="0"/>
    <x v="69"/>
    <n v="-24.2822"/>
    <x v="70"/>
    <x v="5"/>
    <s v="Ouest de l'Oural"/>
    <x v="1"/>
    <x v="1"/>
    <s v="Isorno"/>
    <s v="Coste del Gerbi"/>
    <n v="46.220757820000003"/>
    <n v="8.6783963960000001"/>
    <n v="6"/>
    <n v="17"/>
    <x v="0"/>
    <n v="2015"/>
    <x v="47"/>
    <x v="34"/>
    <n v="32"/>
    <x v="8"/>
    <x v="4"/>
    <x v="0"/>
    <n v="695657"/>
    <n v="119568"/>
    <n v="69561195"/>
    <n v="695119"/>
    <n v="695115"/>
    <n v="697500"/>
    <n v="117500"/>
    <n v="270"/>
    <x v="0"/>
    <n v="0"/>
    <n v="0"/>
    <n v="0"/>
    <n v="-77.459999999999994"/>
    <n v="-77.459999999999994"/>
    <n v="-100.3"/>
    <n v="-102.46"/>
    <m/>
    <x v="4"/>
    <s v="Nord de la Fennoscandinavie et Russie"/>
    <n v="8"/>
    <s v="CAVACO-1"/>
    <s v="Abschuss"/>
  </r>
  <r>
    <x v="72"/>
    <s v="ScoRus"/>
    <n v="1"/>
    <x v="0"/>
    <x v="0"/>
    <x v="0"/>
    <x v="0"/>
    <x v="70"/>
    <n v="-22.810749999999999"/>
    <x v="71"/>
    <x v="5"/>
    <s v="Ouest de l'Oural"/>
    <x v="1"/>
    <x v="1"/>
    <s v="Onserrone"/>
    <s v="Piaton"/>
    <n v="46.204610350000003"/>
    <n v="8.5493222620000004"/>
    <n v="6"/>
    <n v="28"/>
    <x v="0"/>
    <n v="2014"/>
    <x v="39"/>
    <x v="16"/>
    <n v="43"/>
    <x v="1"/>
    <x v="1"/>
    <x v="1"/>
    <n v="685724"/>
    <n v="117624"/>
    <n v="68571176"/>
    <n v="685117"/>
    <n v="685115"/>
    <n v="687500"/>
    <n v="117500"/>
    <n v="288"/>
    <x v="0"/>
    <n v="0"/>
    <n v="0"/>
    <n v="0"/>
    <n v="-77.349999999999994"/>
    <n v="-77.349999999999994"/>
    <n v="-100.2"/>
    <n v="-102.32"/>
    <m/>
    <x v="4"/>
    <s v="Nord de la Fennoscandinavie et Russie"/>
    <n v="8"/>
    <s v="ROSSGI-4"/>
    <s v="Abschuss"/>
  </r>
  <r>
    <x v="73"/>
    <s v="ScoRus"/>
    <n v="1"/>
    <x v="0"/>
    <x v="0"/>
    <x v="0"/>
    <x v="0"/>
    <x v="71"/>
    <n v="-23.722158929999999"/>
    <x v="72"/>
    <x v="5"/>
    <s v="Ouest de l'Oural"/>
    <x v="1"/>
    <x v="1"/>
    <s v="Verscio"/>
    <s v="Barigh"/>
    <n v="46.201152870000001"/>
    <n v="8.7307107459999997"/>
    <n v="6"/>
    <n v="27"/>
    <x v="1"/>
    <n v="2013"/>
    <x v="48"/>
    <x v="35"/>
    <n v="72"/>
    <x v="9"/>
    <x v="5"/>
    <x v="3"/>
    <n v="699729"/>
    <n v="117454"/>
    <n v="69971174"/>
    <n v="699117"/>
    <n v="695115"/>
    <n v="697500"/>
    <n v="117500"/>
    <n v="296"/>
    <x v="0"/>
    <n v="0"/>
    <n v="0"/>
    <n v="0"/>
    <n v="-77.3"/>
    <n v="-77.3"/>
    <n v="-100.1"/>
    <n v="-102.27"/>
    <m/>
    <x v="4"/>
    <s v="Nord de la Fennoscandinavie et Russie"/>
    <n v="8"/>
    <s v="ROSSIGI-12"/>
    <s v="Abschuss"/>
  </r>
  <r>
    <x v="74"/>
    <s v="ScoRus"/>
    <n v="1"/>
    <x v="0"/>
    <x v="0"/>
    <x v="0"/>
    <x v="0"/>
    <x v="72"/>
    <n v="-22.33277837"/>
    <x v="73"/>
    <x v="5"/>
    <s v="Ouest de l'Oural"/>
    <x v="1"/>
    <x v="1"/>
    <s v="Comologno"/>
    <s v="Fontana Della Vertüra"/>
    <n v="46.212364700000002"/>
    <n v="8.5621285260000004"/>
    <n v="5"/>
    <n v="9"/>
    <x v="1"/>
    <n v="2013"/>
    <x v="5"/>
    <x v="5"/>
    <n v="54"/>
    <x v="2"/>
    <x v="2"/>
    <x v="1"/>
    <n v="686700"/>
    <n v="118500"/>
    <n v="68671185"/>
    <n v="686118"/>
    <n v="685115"/>
    <n v="687500"/>
    <n v="117500"/>
    <n v="301"/>
    <x v="0"/>
    <n v="0"/>
    <n v="0"/>
    <n v="0"/>
    <n v="-77.239999999999995"/>
    <n v="-77.239999999999995"/>
    <n v="-100"/>
    <n v="-102.19"/>
    <m/>
    <x v="4"/>
    <s v="Nord de la Fennoscandinavie et Russie"/>
    <n v="8"/>
    <s v="ROSARE-1"/>
    <s v="Abschuss"/>
  </r>
  <r>
    <x v="75"/>
    <s v="ScoRus"/>
    <n v="1"/>
    <x v="0"/>
    <x v="0"/>
    <x v="0"/>
    <x v="0"/>
    <x v="73"/>
    <s v="NA"/>
    <x v="74"/>
    <x v="5"/>
    <s v="Ouest de l'Oural"/>
    <x v="0"/>
    <x v="0"/>
    <s v="Le locle"/>
    <s v="Les Simeons"/>
    <n v="47.07938454"/>
    <n v="6.7487039400000004"/>
    <n v="5"/>
    <n v="9"/>
    <x v="1"/>
    <n v="2017"/>
    <x v="49"/>
    <x v="5"/>
    <n v="54"/>
    <x v="2"/>
    <x v="2"/>
    <x v="1"/>
    <n v="547604"/>
    <n v="214494"/>
    <n v="54762144"/>
    <n v="547214"/>
    <n v="545210"/>
    <n v="547500"/>
    <n v="212500"/>
    <n v="396"/>
    <x v="0"/>
    <n v="0"/>
    <n v="0"/>
    <n v="0"/>
    <n v="-77.222400899999997"/>
    <n v="-77.222400899999997"/>
    <s v="NA"/>
    <s v="NA"/>
    <m/>
    <x v="4"/>
    <s v="Nord de la Fennoscandinavie et Russie"/>
    <n v="8"/>
    <s v="PRETFA-5"/>
    <s v="Abschuss"/>
  </r>
  <r>
    <x v="76"/>
    <s v="ScoRus"/>
    <n v="1"/>
    <x v="0"/>
    <x v="0"/>
    <x v="0"/>
    <x v="0"/>
    <x v="74"/>
    <n v="-59.999922689999998"/>
    <x v="75"/>
    <x v="5"/>
    <s v="Ouest de l'Oural"/>
    <x v="1"/>
    <x v="1"/>
    <s v="Gambarogno"/>
    <s v="Chignorascio"/>
    <n v="46.082340070000001"/>
    <n v="8.8451775159999997"/>
    <n v="4"/>
    <n v="5"/>
    <x v="1"/>
    <n v="2013"/>
    <x v="28"/>
    <x v="22"/>
    <n v="50"/>
    <x v="3"/>
    <x v="1"/>
    <x v="1"/>
    <n v="708800"/>
    <n v="104400"/>
    <n v="70881044"/>
    <n v="708104"/>
    <n v="705100"/>
    <n v="707500"/>
    <n v="102500"/>
    <n v="302"/>
    <x v="0"/>
    <n v="0"/>
    <n v="0"/>
    <n v="0"/>
    <n v="-77.06"/>
    <n v="-77.06"/>
    <n v="-99.9"/>
    <n v="-101.97"/>
    <m/>
    <x v="4"/>
    <s v="Nord de la Fennoscandinavie et Russie"/>
    <n v="8"/>
    <s v="GNOSDA-2"/>
    <s v="Abschuss"/>
  </r>
  <r>
    <x v="77"/>
    <s v="ScoRus"/>
    <n v="1"/>
    <x v="0"/>
    <x v="0"/>
    <x v="0"/>
    <x v="0"/>
    <x v="75"/>
    <n v="-24.56"/>
    <x v="76"/>
    <x v="5"/>
    <s v="Ouest de l'Oural"/>
    <x v="0"/>
    <x v="0"/>
    <s v="La Brévine"/>
    <s v="Combe Vuillier"/>
    <n v="46.972962410000001"/>
    <n v="6.6592726569999998"/>
    <n v="6"/>
    <n v="22"/>
    <x v="0"/>
    <n v="2016"/>
    <x v="25"/>
    <x v="21"/>
    <n v="37"/>
    <x v="4"/>
    <x v="0"/>
    <x v="0"/>
    <n v="540695"/>
    <n v="202727"/>
    <n v="54062027"/>
    <n v="540202"/>
    <n v="540200"/>
    <n v="542500"/>
    <n v="202500"/>
    <n v="307"/>
    <x v="0"/>
    <n v="0"/>
    <n v="0"/>
    <n v="0"/>
    <n v="-77.0230277"/>
    <n v="-77.0230277"/>
    <s v="NA"/>
    <s v="NA"/>
    <m/>
    <x v="4"/>
    <s v="Nord de la Fennoscandinavie et Russie"/>
    <n v="8"/>
    <s v="MEISHE-9"/>
    <s v="Abschuss"/>
  </r>
  <r>
    <x v="78"/>
    <s v="ScoRus"/>
    <n v="1"/>
    <x v="0"/>
    <x v="0"/>
    <x v="0"/>
    <x v="0"/>
    <x v="76"/>
    <n v="-23.1891715"/>
    <x v="77"/>
    <x v="5"/>
    <s v="Ouest de l'Oural"/>
    <x v="1"/>
    <x v="1"/>
    <s v="Spruga"/>
    <s v="Gannone"/>
    <n v="46.215114479999997"/>
    <n v="8.5570012910000006"/>
    <n v="5"/>
    <n v="9"/>
    <x v="1"/>
    <n v="2013"/>
    <x v="5"/>
    <x v="5"/>
    <n v="54"/>
    <x v="2"/>
    <x v="2"/>
    <x v="1"/>
    <n v="686300"/>
    <n v="118800"/>
    <n v="68631188"/>
    <n v="686118"/>
    <n v="685115"/>
    <n v="687500"/>
    <n v="117500"/>
    <n v="336"/>
    <x v="0"/>
    <n v="0"/>
    <n v="0"/>
    <n v="0"/>
    <n v="-77.010000000000005"/>
    <n v="-77.010000000000005"/>
    <n v="-99.8"/>
    <n v="-101.9"/>
    <m/>
    <x v="4"/>
    <s v="Nord de la Fennoscandinavie et Russie"/>
    <n v="8"/>
    <s v="ROSARE-2"/>
    <s v="Abschuss"/>
  </r>
  <r>
    <x v="79"/>
    <s v="ScoRus"/>
    <n v="1"/>
    <x v="0"/>
    <x v="0"/>
    <x v="0"/>
    <x v="0"/>
    <x v="77"/>
    <n v="-19.182827320000001"/>
    <x v="78"/>
    <x v="5"/>
    <s v="Ouest de l'Oural"/>
    <x v="1"/>
    <x v="1"/>
    <s v="Gola di Lago"/>
    <s v="Rancscea"/>
    <n v="46.100165769999997"/>
    <n v="8.9620377209999997"/>
    <n v="5"/>
    <n v="13"/>
    <x v="1"/>
    <n v="2013"/>
    <x v="50"/>
    <x v="15"/>
    <n v="58"/>
    <x v="6"/>
    <x v="2"/>
    <x v="2"/>
    <n v="717800"/>
    <n v="106550"/>
    <n v="71781065"/>
    <n v="717106"/>
    <n v="715105"/>
    <n v="717500"/>
    <n v="107500"/>
    <n v="277"/>
    <x v="0"/>
    <n v="0"/>
    <n v="0"/>
    <n v="0"/>
    <n v="-76.91"/>
    <n v="-76.91"/>
    <n v="-99.7"/>
    <n v="-101.78"/>
    <m/>
    <x v="4"/>
    <s v="Nord de la Fennoscandinavie et Russie"/>
    <n v="8"/>
    <s v="GRUBLO-3"/>
    <s v="Abschuss"/>
  </r>
  <r>
    <x v="80"/>
    <s v="ScoRus"/>
    <n v="1"/>
    <x v="0"/>
    <x v="0"/>
    <x v="0"/>
    <x v="0"/>
    <x v="78"/>
    <n v="-48.146317459999999"/>
    <x v="79"/>
    <x v="5"/>
    <s v="Ouest de l'Oural"/>
    <x v="1"/>
    <x v="1"/>
    <s v="Mosogno"/>
    <s v="Monte dei Büra"/>
    <n v="46.191036449999999"/>
    <n v="8.6355020220000007"/>
    <n v="6"/>
    <n v="5"/>
    <x v="1"/>
    <n v="2013"/>
    <x v="28"/>
    <x v="22"/>
    <n v="50"/>
    <x v="3"/>
    <x v="1"/>
    <x v="1"/>
    <n v="692398"/>
    <n v="116213"/>
    <n v="69231162"/>
    <n v="692116"/>
    <n v="690115"/>
    <n v="692500"/>
    <n v="117500"/>
    <n v="296"/>
    <x v="0"/>
    <n v="0"/>
    <n v="0"/>
    <n v="0"/>
    <n v="-76.72"/>
    <n v="-76.72"/>
    <n v="-99.5"/>
    <n v="-101.54"/>
    <m/>
    <x v="4"/>
    <s v="Nord de la Fennoscandinavie et Russie"/>
    <n v="8"/>
    <s v="ROSSIGI-2"/>
    <s v="Abschuss"/>
  </r>
  <r>
    <x v="81"/>
    <s v="ScoRus"/>
    <n v="1"/>
    <x v="0"/>
    <x v="0"/>
    <x v="0"/>
    <x v="0"/>
    <x v="79"/>
    <s v="NA"/>
    <x v="80"/>
    <x v="5"/>
    <s v="Ouest de l'Oural"/>
    <x v="2"/>
    <x v="3"/>
    <s v="Apples"/>
    <s v="Les Bougeries"/>
    <n v="46.542534879999998"/>
    <n v="6.4099924460000004"/>
    <n v="4"/>
    <n v="21"/>
    <x v="1"/>
    <n v="2017"/>
    <x v="51"/>
    <x v="36"/>
    <n v="66"/>
    <x v="5"/>
    <x v="3"/>
    <x v="2"/>
    <n v="521100"/>
    <n v="155100"/>
    <n v="52111551"/>
    <n v="521155"/>
    <n v="520155"/>
    <n v="522500"/>
    <n v="157500"/>
    <n v="362"/>
    <x v="0"/>
    <n v="0"/>
    <n v="0"/>
    <n v="0"/>
    <n v="-76.228176599999998"/>
    <n v="-76.228176599999998"/>
    <s v="NA"/>
    <s v="NA"/>
    <m/>
    <x v="4"/>
    <s v="Nord de la Fennoscandinavie et Russie"/>
    <n v="8"/>
    <s v="VUILFR-3"/>
    <s v="Abschuss"/>
  </r>
  <r>
    <x v="82"/>
    <s v="ScoRus"/>
    <n v="1"/>
    <x v="0"/>
    <x v="0"/>
    <x v="0"/>
    <x v="0"/>
    <x v="80"/>
    <n v="-39.129145989999998"/>
    <x v="81"/>
    <x v="5"/>
    <s v="Ouest de l'Oural"/>
    <x v="1"/>
    <x v="1"/>
    <s v="Isorno"/>
    <s v="Cortone"/>
    <n v="46.20804768"/>
    <n v="8.6904436300000008"/>
    <n v="5"/>
    <n v="12"/>
    <x v="1"/>
    <n v="2013"/>
    <x v="33"/>
    <x v="26"/>
    <n v="57"/>
    <x v="6"/>
    <x v="2"/>
    <x v="2"/>
    <n v="696609"/>
    <n v="118170"/>
    <n v="69661181"/>
    <n v="696118"/>
    <n v="695115"/>
    <n v="697500"/>
    <n v="117500"/>
    <n v="298"/>
    <x v="0"/>
    <n v="0"/>
    <n v="0"/>
    <n v="0"/>
    <n v="-75.930000000000007"/>
    <n v="-75.930000000000007"/>
    <n v="-98.7"/>
    <n v="-100.55"/>
    <m/>
    <x v="4"/>
    <s v="Nord de la Fennoscandinavie et Russie"/>
    <n v="8"/>
    <s v="CAVALLICO-3"/>
    <s v="Abschuss"/>
  </r>
  <r>
    <x v="83"/>
    <s v="ScoRus"/>
    <n v="1"/>
    <x v="0"/>
    <x v="0"/>
    <x v="0"/>
    <x v="0"/>
    <x v="81"/>
    <n v="-23.9758"/>
    <x v="82"/>
    <x v="5"/>
    <s v="Ouest de l'Oural"/>
    <x v="1"/>
    <x v="1"/>
    <s v="Isorno"/>
    <s v="Ledrima"/>
    <n v="46.215523159999996"/>
    <n v="8.6592516669999995"/>
    <n v="6"/>
    <n v="1"/>
    <x v="1"/>
    <n v="2014"/>
    <x v="52"/>
    <x v="17"/>
    <n v="46"/>
    <x v="1"/>
    <x v="1"/>
    <x v="1"/>
    <n v="694189"/>
    <n v="118963"/>
    <n v="69411189"/>
    <n v="694118"/>
    <n v="690115"/>
    <n v="692500"/>
    <n v="117500"/>
    <n v="286"/>
    <x v="0"/>
    <n v="0"/>
    <n v="0"/>
    <n v="0"/>
    <n v="-75.87"/>
    <n v="-75.87"/>
    <n v="-98.6"/>
    <n v="-100.47"/>
    <m/>
    <x v="4"/>
    <s v="Nord de la Fennoscandinavie et Russie"/>
    <n v="8"/>
    <s v="CAVACO.11"/>
    <s v="Abschuss"/>
  </r>
  <r>
    <x v="84"/>
    <s v="ScoRus"/>
    <n v="1"/>
    <x v="0"/>
    <x v="0"/>
    <x v="0"/>
    <x v="0"/>
    <x v="82"/>
    <n v="-24.10575"/>
    <x v="83"/>
    <x v="5"/>
    <s v="Ouest de l'Oural"/>
    <x v="1"/>
    <x v="1"/>
    <s v="Onserrone"/>
    <s v="Monte Pombino"/>
    <n v="46.217793520000001"/>
    <n v="8.6130847750000008"/>
    <n v="5"/>
    <n v="16"/>
    <x v="1"/>
    <n v="2014"/>
    <x v="35"/>
    <x v="28"/>
    <n v="61"/>
    <x v="6"/>
    <x v="2"/>
    <x v="2"/>
    <n v="690623"/>
    <n v="119161"/>
    <n v="69061191"/>
    <n v="690119"/>
    <n v="690115"/>
    <n v="692500"/>
    <n v="117500"/>
    <n v="340"/>
    <x v="0"/>
    <n v="0"/>
    <n v="0"/>
    <n v="0"/>
    <n v="-75.84"/>
    <n v="-75.84"/>
    <n v="-98.6"/>
    <n v="-100.44"/>
    <m/>
    <x v="4"/>
    <s v="Nord de la Fennoscandinavie et Russie"/>
    <n v="8"/>
    <s v="ROSS.GI10"/>
    <s v="Abschuss"/>
  </r>
  <r>
    <x v="85"/>
    <s v="ScoRus"/>
    <n v="1"/>
    <x v="0"/>
    <x v="0"/>
    <x v="0"/>
    <x v="0"/>
    <x v="83"/>
    <n v="-24.48"/>
    <x v="84"/>
    <x v="5"/>
    <s v="Ouest de l'Oural"/>
    <x v="0"/>
    <x v="0"/>
    <s v="Val-de-Ruz"/>
    <s v="La Combe"/>
    <n v="47.003419059999999"/>
    <n v="6.8720212289999996"/>
    <n v="6"/>
    <n v="19"/>
    <x v="1"/>
    <n v="2016"/>
    <x v="53"/>
    <x v="37"/>
    <n v="64"/>
    <x v="5"/>
    <x v="3"/>
    <x v="2"/>
    <n v="556908"/>
    <n v="205974"/>
    <n v="55692059"/>
    <n v="556205"/>
    <n v="555205"/>
    <n v="557500"/>
    <n v="207500"/>
    <n v="342"/>
    <x v="0"/>
    <n v="0"/>
    <n v="0"/>
    <n v="0"/>
    <n v="-75.632843300000005"/>
    <n v="-75.632843300000005"/>
    <s v="NA"/>
    <s v="NA"/>
    <m/>
    <x v="4"/>
    <s v="Nord de la Fennoscandinavie et Russie"/>
    <n v="8"/>
    <s v="MEISHE-12"/>
    <s v="Abschuss"/>
  </r>
  <r>
    <x v="86"/>
    <s v="ScoRus"/>
    <n v="1"/>
    <x v="0"/>
    <x v="0"/>
    <x v="0"/>
    <x v="0"/>
    <x v="84"/>
    <n v="-23.641749999999998"/>
    <x v="85"/>
    <x v="5"/>
    <s v="Nord de la Fennoscandinavie et Russie"/>
    <x v="1"/>
    <x v="1"/>
    <s v="Gambarogno"/>
    <s v="Pianche"/>
    <n v="46.08956749"/>
    <n v="8.8427775460000007"/>
    <n v="4"/>
    <n v="26"/>
    <x v="0"/>
    <n v="2014"/>
    <x v="22"/>
    <x v="0"/>
    <n v="41"/>
    <x v="0"/>
    <x v="0"/>
    <x v="0"/>
    <n v="708600"/>
    <n v="105200"/>
    <n v="70861052"/>
    <n v="708105"/>
    <n v="705105"/>
    <n v="707500"/>
    <n v="107500"/>
    <n v="305"/>
    <x v="0"/>
    <n v="0"/>
    <n v="0"/>
    <n v="0"/>
    <n v="-75.39"/>
    <n v="-75.39"/>
    <n v="-98.2"/>
    <n v="-99.88"/>
    <m/>
    <x v="4"/>
    <s v="Nord de la Fennoscandinavie et Russie"/>
    <n v="8"/>
    <s v="GNOSDA-6"/>
    <s v="Abschuss"/>
  </r>
  <r>
    <x v="87"/>
    <s v="ScoRus"/>
    <n v="1"/>
    <x v="0"/>
    <x v="0"/>
    <x v="0"/>
    <x v="0"/>
    <x v="85"/>
    <n v="-24.062750000000001"/>
    <x v="86"/>
    <x v="5"/>
    <s v="Nord de la Fennoscandinavie et Russie"/>
    <x v="1"/>
    <x v="1"/>
    <s v="Gambarogno"/>
    <s v="Alpe Lierna"/>
    <n v="46.118476729999998"/>
    <n v="8.8331713220000001"/>
    <n v="4"/>
    <n v="28"/>
    <x v="0"/>
    <n v="2014"/>
    <x v="39"/>
    <x v="16"/>
    <n v="43"/>
    <x v="1"/>
    <x v="1"/>
    <x v="1"/>
    <n v="707800"/>
    <n v="108400"/>
    <n v="70781084"/>
    <n v="707108"/>
    <n v="705105"/>
    <n v="707500"/>
    <n v="107500"/>
    <n v="317"/>
    <x v="0"/>
    <n v="0"/>
    <n v="0"/>
    <n v="0"/>
    <n v="-75.319999999999993"/>
    <n v="-75.319999999999993"/>
    <n v="-98.1"/>
    <n v="-99.79"/>
    <m/>
    <x v="4"/>
    <s v="Nord de la Fennoscandinavie et Russie"/>
    <n v="8"/>
    <s v="GNOSDA-10"/>
    <s v="Abschuss"/>
  </r>
  <r>
    <x v="88"/>
    <s v="ScoRus"/>
    <n v="1"/>
    <x v="0"/>
    <x v="0"/>
    <x v="0"/>
    <x v="0"/>
    <x v="86"/>
    <n v="-24.476749999999999"/>
    <x v="87"/>
    <x v="5"/>
    <s v="Nord de la Fennoscandinavie et Russie"/>
    <x v="1"/>
    <x v="1"/>
    <s v="Mosogno"/>
    <s v="Monte Piei"/>
    <n v="46.204301229999999"/>
    <n v="8.6419222829999995"/>
    <n v="6"/>
    <n v="18"/>
    <x v="1"/>
    <n v="2014"/>
    <x v="54"/>
    <x v="24"/>
    <n v="63"/>
    <x v="5"/>
    <x v="3"/>
    <x v="2"/>
    <n v="692871"/>
    <n v="117695"/>
    <n v="69281176"/>
    <n v="692117"/>
    <n v="690115"/>
    <n v="692500"/>
    <n v="117500"/>
    <n v="318"/>
    <x v="0"/>
    <n v="0"/>
    <n v="0"/>
    <n v="0"/>
    <n v="-75.28"/>
    <n v="-75.28"/>
    <n v="-98"/>
    <n v="-99.73"/>
    <m/>
    <x v="4"/>
    <s v="Nord de la Fennoscandinavie et Russie"/>
    <n v="8"/>
    <s v="ROSS.GI-11"/>
    <s v="Abschuss"/>
  </r>
  <r>
    <x v="89"/>
    <s v="ScoRus"/>
    <n v="1"/>
    <x v="0"/>
    <x v="0"/>
    <x v="0"/>
    <x v="0"/>
    <x v="87"/>
    <n v="-24.739578160000001"/>
    <x v="88"/>
    <x v="5"/>
    <s v="Nord de la Fennoscandinavie et Russie"/>
    <x v="1"/>
    <x v="1"/>
    <s v="Novaggio"/>
    <s v="Forcora"/>
    <n v="46.02579626"/>
    <n v="8.8240005079999992"/>
    <n v="5"/>
    <n v="20"/>
    <x v="0"/>
    <n v="2015"/>
    <x v="38"/>
    <x v="30"/>
    <n v="35"/>
    <x v="4"/>
    <x v="0"/>
    <x v="0"/>
    <n v="707273"/>
    <n v="98086"/>
    <n v="70720980"/>
    <n v="707098"/>
    <n v="705095"/>
    <n v="707500"/>
    <n v="97500"/>
    <s v="NA"/>
    <x v="0"/>
    <n v="0"/>
    <n v="0"/>
    <n v="0"/>
    <n v="-74.989999999999995"/>
    <n v="-74.989999999999995"/>
    <n v="-97.7"/>
    <n v="-99.37"/>
    <m/>
    <x v="5"/>
    <s v="Nord de la Fennoscandinavie et Russie"/>
    <n v="7"/>
    <s v="MORAMA-9"/>
    <s v="Abschuss"/>
  </r>
  <r>
    <x v="90"/>
    <s v="ScoRus"/>
    <n v="1"/>
    <x v="0"/>
    <x v="0"/>
    <x v="0"/>
    <x v="0"/>
    <x v="88"/>
    <n v="-23.447199999999999"/>
    <x v="89"/>
    <x v="5"/>
    <s v="Nord de la Fennoscandinavie et Russie"/>
    <x v="1"/>
    <x v="1"/>
    <s v="Gambarogno"/>
    <s v="Monti di Piazzogna"/>
    <n v="46.127518690000002"/>
    <n v="8.82952051"/>
    <n v="4"/>
    <n v="18"/>
    <x v="1"/>
    <n v="2014"/>
    <x v="54"/>
    <x v="24"/>
    <n v="63"/>
    <x v="5"/>
    <x v="3"/>
    <x v="2"/>
    <n v="707500"/>
    <n v="109400"/>
    <n v="70751094"/>
    <n v="707109"/>
    <n v="705105"/>
    <n v="707500"/>
    <n v="107500"/>
    <n v="278"/>
    <x v="0"/>
    <n v="0"/>
    <n v="0"/>
    <n v="0"/>
    <n v="-74.94"/>
    <n v="-74.94"/>
    <n v="-97.7"/>
    <n v="-99.32"/>
    <m/>
    <x v="5"/>
    <s v="Nord de la Fennoscandinavie et Russie"/>
    <n v="7"/>
    <s v="GNOSDA-19"/>
    <s v="Abschuss"/>
  </r>
  <r>
    <x v="91"/>
    <s v="ScoRus"/>
    <n v="1"/>
    <x v="0"/>
    <x v="0"/>
    <x v="0"/>
    <x v="0"/>
    <x v="89"/>
    <n v="-144.17637350000001"/>
    <x v="90"/>
    <x v="5"/>
    <s v="Ouest de l'Oural"/>
    <x v="0"/>
    <x v="0"/>
    <s v="NA"/>
    <s v="Mont d Amin"/>
    <n v="47.077480520000002"/>
    <n v="6.8856173309999997"/>
    <n v="4"/>
    <n v="24"/>
    <x v="0"/>
    <n v="2013"/>
    <x v="55"/>
    <x v="14"/>
    <n v="39"/>
    <x v="0"/>
    <x v="0"/>
    <x v="0"/>
    <n v="558000"/>
    <n v="214200"/>
    <n v="55802142"/>
    <n v="558214"/>
    <n v="555210"/>
    <n v="557500"/>
    <n v="212500"/>
    <n v="310"/>
    <x v="0"/>
    <n v="0"/>
    <n v="0"/>
    <n v="0"/>
    <n v="-74.89"/>
    <n v="-74.89"/>
    <n v="-97.6"/>
    <n v="-99.25"/>
    <m/>
    <x v="5"/>
    <s v="Nord de la Fennoscandinavie et Russie"/>
    <n v="7"/>
    <s v="PFISED-1"/>
    <s v="Abschuss"/>
  </r>
  <r>
    <x v="92"/>
    <s v="ScoRus"/>
    <n v="1"/>
    <x v="0"/>
    <x v="0"/>
    <x v="0"/>
    <x v="0"/>
    <x v="90"/>
    <s v="NA"/>
    <x v="91"/>
    <x v="5"/>
    <s v="Nord de la Fennoscandinavie et Russie"/>
    <x v="0"/>
    <x v="3"/>
    <s v="Bullet"/>
    <s v="NA"/>
    <n v="46.86242"/>
    <n v="6.5795500000000002"/>
    <n v="3"/>
    <n v="24"/>
    <x v="0"/>
    <n v="2017"/>
    <x v="15"/>
    <x v="14"/>
    <n v="39"/>
    <x v="0"/>
    <x v="0"/>
    <x v="0"/>
    <n v="534500"/>
    <n v="190500"/>
    <n v="53451905"/>
    <n v="534190"/>
    <n v="530190"/>
    <n v="532500"/>
    <n v="192500"/>
    <n v="348"/>
    <x v="0"/>
    <n v="0"/>
    <n v="0"/>
    <n v="0"/>
    <n v="-74.597186399999998"/>
    <n v="-74.597186399999998"/>
    <s v="NA"/>
    <s v="NA"/>
    <m/>
    <x v="5"/>
    <s v="Nord de la Fennoscandinavie et Russie"/>
    <n v="7"/>
    <s v="GARICJC-1"/>
    <s v="Abschuss"/>
  </r>
  <r>
    <x v="93"/>
    <s v="ScoRus"/>
    <n v="1"/>
    <x v="0"/>
    <x v="0"/>
    <x v="0"/>
    <x v="0"/>
    <x v="91"/>
    <s v="NA"/>
    <x v="92"/>
    <x v="5"/>
    <s v="Nord de la Fennoscandinavie et Russie"/>
    <x v="2"/>
    <x v="2"/>
    <s v="Maules"/>
    <s v="Etang"/>
    <n v="46.657890819999999"/>
    <n v="7.0009645809999999"/>
    <n v="3"/>
    <n v="16"/>
    <x v="0"/>
    <n v="2017"/>
    <x v="56"/>
    <x v="33"/>
    <n v="31"/>
    <x v="8"/>
    <x v="4"/>
    <x v="0"/>
    <n v="566500"/>
    <n v="167500"/>
    <n v="56651675"/>
    <n v="566167"/>
    <n v="565165"/>
    <n v="567500"/>
    <n v="167500"/>
    <n v="310"/>
    <x v="0"/>
    <n v="0"/>
    <n v="0"/>
    <n v="0"/>
    <n v="-74.437535999999994"/>
    <n v="-74.437535999999994"/>
    <s v="NA"/>
    <s v="NA"/>
    <m/>
    <x v="5"/>
    <s v="Nord de la Fennoscandinavie et Russie"/>
    <n v="7"/>
    <s v="DENEPA-1"/>
    <s v="Abschuss"/>
  </r>
  <r>
    <x v="94"/>
    <s v="ScoRus"/>
    <n v="1"/>
    <x v="0"/>
    <x v="0"/>
    <x v="0"/>
    <x v="0"/>
    <x v="92"/>
    <n v="-24.840199999999999"/>
    <x v="93"/>
    <x v="5"/>
    <s v="Nord de la Fennoscandinavie et Russie"/>
    <x v="1"/>
    <x v="1"/>
    <s v="Gambarogno"/>
    <s v="Dianche"/>
    <n v="46.089583580000003"/>
    <n v="8.8414848839999998"/>
    <n v="4"/>
    <n v="29"/>
    <x v="0"/>
    <n v="2014"/>
    <x v="1"/>
    <x v="1"/>
    <n v="44"/>
    <x v="1"/>
    <x v="1"/>
    <x v="1"/>
    <n v="708500"/>
    <n v="105200"/>
    <n v="70851052"/>
    <n v="708105"/>
    <n v="705105"/>
    <n v="707500"/>
    <n v="107500"/>
    <n v="305"/>
    <x v="0"/>
    <n v="0"/>
    <n v="0"/>
    <n v="0"/>
    <n v="-74.42"/>
    <n v="-74.42"/>
    <n v="-97.2"/>
    <n v="-98.66"/>
    <m/>
    <x v="5"/>
    <s v="Nord de la Fennoscandinavie et Russie"/>
    <n v="7"/>
    <s v="GNOSDA-13"/>
    <s v="Abschuss"/>
  </r>
  <r>
    <x v="95"/>
    <s v="ScoRus"/>
    <n v="1"/>
    <x v="0"/>
    <x v="0"/>
    <x v="0"/>
    <x v="0"/>
    <x v="93"/>
    <n v="-20.718816969999999"/>
    <x v="94"/>
    <x v="5"/>
    <s v="Ouest de l'Oural"/>
    <x v="1"/>
    <x v="1"/>
    <s v="Gola di Lago"/>
    <s v="Buzzasca"/>
    <n v="46.106893630000002"/>
    <n v="8.9635190310000006"/>
    <n v="4"/>
    <n v="6"/>
    <x v="1"/>
    <n v="2013"/>
    <x v="19"/>
    <x v="13"/>
    <n v="51"/>
    <x v="3"/>
    <x v="1"/>
    <x v="1"/>
    <n v="717900"/>
    <n v="107300"/>
    <n v="71791073"/>
    <n v="717107"/>
    <n v="715105"/>
    <n v="717500"/>
    <n v="107500"/>
    <n v="280"/>
    <x v="0"/>
    <n v="0"/>
    <n v="0"/>
    <n v="0"/>
    <n v="-74.040000000000006"/>
    <n v="-74.040000000000006"/>
    <n v="-96.8"/>
    <n v="-98.19"/>
    <m/>
    <x v="5"/>
    <s v="Nord de la Fennoscandinavie et Russie"/>
    <n v="7"/>
    <s v="GRUBLO-2"/>
    <s v="Abschuss"/>
  </r>
  <r>
    <x v="96"/>
    <s v="ScoRus"/>
    <n v="1"/>
    <x v="0"/>
    <x v="0"/>
    <x v="0"/>
    <x v="0"/>
    <x v="94"/>
    <n v="-23.4268"/>
    <x v="95"/>
    <x v="5"/>
    <s v="Nord de la Fennoscandinavie et Russie"/>
    <x v="1"/>
    <x v="1"/>
    <s v="Gambarogno"/>
    <s v="Alpe Montoia"/>
    <n v="46.118476729999998"/>
    <n v="8.8331713220000001"/>
    <n v="4"/>
    <n v="28"/>
    <x v="0"/>
    <n v="2014"/>
    <x v="39"/>
    <x v="16"/>
    <n v="43"/>
    <x v="1"/>
    <x v="1"/>
    <x v="1"/>
    <n v="707800"/>
    <n v="108400"/>
    <n v="70781084"/>
    <n v="707108"/>
    <n v="705105"/>
    <n v="707500"/>
    <n v="107500"/>
    <n v="305"/>
    <x v="0"/>
    <n v="0"/>
    <n v="0"/>
    <n v="0"/>
    <n v="-73.569999999999993"/>
    <n v="-73.569999999999993"/>
    <n v="-96.3"/>
    <n v="-97.6"/>
    <m/>
    <x v="5"/>
    <s v="Nord de la Fennoscandinavie et Russie"/>
    <n v="7"/>
    <s v="GNOSDA-8"/>
    <s v="Abschuss"/>
  </r>
  <r>
    <x v="97"/>
    <s v="ScoRus"/>
    <n v="1"/>
    <x v="0"/>
    <x v="0"/>
    <x v="0"/>
    <x v="0"/>
    <x v="95"/>
    <n v="-24.474599999999999"/>
    <x v="96"/>
    <x v="5"/>
    <s v="Nord de la Fennoscandinavie et Russie"/>
    <x v="0"/>
    <x v="0"/>
    <s v="Rochefort"/>
    <s v="Grande Sagneule"/>
    <n v="47.001506239999998"/>
    <n v="6.8055348179999999"/>
    <n v="5"/>
    <n v="19"/>
    <x v="1"/>
    <n v="2015"/>
    <x v="57"/>
    <x v="37"/>
    <n v="64"/>
    <x v="5"/>
    <x v="3"/>
    <x v="2"/>
    <n v="551850"/>
    <n v="205800"/>
    <n v="55182058"/>
    <n v="551205"/>
    <n v="550205"/>
    <n v="552500"/>
    <n v="207500"/>
    <n v="312"/>
    <x v="0"/>
    <n v="0"/>
    <n v="0"/>
    <n v="0"/>
    <n v="-73.53"/>
    <n v="-73.53"/>
    <n v="-96.2"/>
    <n v="-97.55"/>
    <m/>
    <x v="5"/>
    <s v="Nord de la Fennoscandinavie et Russie"/>
    <n v="7"/>
    <s v="PFISED-2"/>
    <s v="Abschuss"/>
  </r>
  <r>
    <x v="98"/>
    <s v="ScoRus"/>
    <n v="1"/>
    <x v="0"/>
    <x v="0"/>
    <x v="0"/>
    <x v="0"/>
    <x v="96"/>
    <n v="4.3416779610000003"/>
    <x v="97"/>
    <x v="5"/>
    <s v="Ouest de l'Oural"/>
    <x v="1"/>
    <x v="1"/>
    <s v="Isorno"/>
    <s v="Pizzo Salmone"/>
    <n v="46.210657609999998"/>
    <n v="8.7016873239999999"/>
    <n v="5"/>
    <n v="12"/>
    <x v="1"/>
    <n v="2013"/>
    <x v="33"/>
    <x v="26"/>
    <n v="57"/>
    <x v="6"/>
    <x v="2"/>
    <x v="2"/>
    <n v="697472"/>
    <n v="118474"/>
    <n v="69741184"/>
    <n v="697118"/>
    <n v="695115"/>
    <n v="697500"/>
    <n v="117500"/>
    <n v="287"/>
    <x v="0"/>
    <n v="0"/>
    <n v="0"/>
    <n v="0"/>
    <n v="-73.27"/>
    <n v="-73.27"/>
    <n v="-96"/>
    <n v="-97.23"/>
    <m/>
    <x v="5"/>
    <s v="Nord de la Fennoscandinavie et Russie"/>
    <n v="7"/>
    <s v="CAVALLICO-5"/>
    <s v="Abschuss"/>
  </r>
  <r>
    <x v="99"/>
    <s v="ScoRus"/>
    <n v="1"/>
    <x v="0"/>
    <x v="0"/>
    <x v="0"/>
    <x v="0"/>
    <x v="97"/>
    <n v="-24.81"/>
    <x v="98"/>
    <x v="5"/>
    <s v="Nord de la Fennoscandinavie et Russie"/>
    <x v="0"/>
    <x v="0"/>
    <s v="Le Locle"/>
    <s v="Les Cottards"/>
    <n v="46.959335350000003"/>
    <n v="6.5705730500000001"/>
    <n v="5"/>
    <n v="26"/>
    <x v="0"/>
    <n v="2016"/>
    <x v="0"/>
    <x v="0"/>
    <n v="41"/>
    <x v="0"/>
    <x v="0"/>
    <x v="0"/>
    <n v="533929"/>
    <n v="201283"/>
    <n v="53392012"/>
    <n v="533201"/>
    <n v="530200"/>
    <n v="532500"/>
    <n v="202500"/>
    <n v="336"/>
    <x v="0"/>
    <n v="0"/>
    <n v="0"/>
    <n v="0"/>
    <n v="-73.143698900000004"/>
    <n v="-73.143698900000004"/>
    <s v="NA"/>
    <s v="NA"/>
    <m/>
    <x v="5"/>
    <s v="Nord de la Fennoscandinavie et Russie"/>
    <n v="7"/>
    <s v="PRETFA-3"/>
    <s v="Abschuss"/>
  </r>
  <r>
    <x v="100"/>
    <s v="ScoRus"/>
    <n v="1"/>
    <x v="0"/>
    <x v="0"/>
    <x v="0"/>
    <x v="0"/>
    <x v="98"/>
    <n v="-24.039750000000002"/>
    <x v="99"/>
    <x v="5"/>
    <s v="Nord de la Fennoscandinavie et Russie"/>
    <x v="1"/>
    <x v="1"/>
    <s v="Blenio"/>
    <s v="Piancabella"/>
    <n v="46.498109900000003"/>
    <n v="8.9250605140000001"/>
    <n v="4"/>
    <n v="8"/>
    <x v="1"/>
    <n v="2014"/>
    <x v="2"/>
    <x v="2"/>
    <n v="53"/>
    <x v="2"/>
    <x v="2"/>
    <x v="1"/>
    <n v="714103"/>
    <n v="150725"/>
    <n v="71411507"/>
    <n v="714150"/>
    <n v="710150"/>
    <n v="712500"/>
    <n v="152500"/>
    <n v="329"/>
    <x v="0"/>
    <n v="0"/>
    <n v="0"/>
    <n v="0"/>
    <n v="-73.02"/>
    <n v="-73.02"/>
    <n v="-95.7"/>
    <n v="-96.91"/>
    <m/>
    <x v="5"/>
    <s v="Nord de la Fennoscandinavie et Russie"/>
    <n v="7"/>
    <s v="HAUKCL-1"/>
    <s v="Abschuss"/>
  </r>
  <r>
    <x v="101"/>
    <s v="ScoRus"/>
    <n v="1"/>
    <x v="0"/>
    <x v="0"/>
    <x v="0"/>
    <x v="0"/>
    <x v="99"/>
    <n v="-25.158000000000001"/>
    <x v="100"/>
    <x v="5"/>
    <s v="Nord de la Fennoscandinavie et Russie"/>
    <x v="1"/>
    <x v="1"/>
    <s v="Blenio"/>
    <s v="Largario"/>
    <n v="46.494991329999998"/>
    <n v="8.9316582170000007"/>
    <n v="6"/>
    <n v="25"/>
    <x v="0"/>
    <n v="2014"/>
    <x v="8"/>
    <x v="8"/>
    <n v="40"/>
    <x v="0"/>
    <x v="0"/>
    <x v="0"/>
    <n v="714616"/>
    <n v="150388"/>
    <n v="71461503"/>
    <n v="714150"/>
    <n v="710150"/>
    <n v="712500"/>
    <n v="152500"/>
    <n v="292"/>
    <x v="0"/>
    <n v="0"/>
    <n v="0"/>
    <n v="0"/>
    <n v="-72.930000000000007"/>
    <n v="-72.930000000000007"/>
    <n v="-95.6"/>
    <n v="-96.8"/>
    <m/>
    <x v="5"/>
    <s v="Nord de la Fennoscandinavie et Russie"/>
    <n v="7"/>
    <s v="HAUKCL-2"/>
    <s v="Abschuss"/>
  </r>
  <r>
    <x v="102"/>
    <s v="ScoRus"/>
    <n v="1"/>
    <x v="0"/>
    <x v="0"/>
    <x v="0"/>
    <x v="0"/>
    <x v="100"/>
    <n v="-352.6990965"/>
    <x v="101"/>
    <x v="5"/>
    <s v="Ouest de l'Oural"/>
    <x v="1"/>
    <x v="1"/>
    <s v="Galbarogno"/>
    <s v="Alpe Vecchio"/>
    <n v="46.085840670000003"/>
    <n v="8.8530256170000001"/>
    <n v="4"/>
    <n v="12"/>
    <x v="1"/>
    <n v="2013"/>
    <x v="33"/>
    <x v="26"/>
    <n v="57"/>
    <x v="6"/>
    <x v="2"/>
    <x v="2"/>
    <n v="709400"/>
    <n v="104800"/>
    <n v="70941048"/>
    <n v="709104"/>
    <n v="705100"/>
    <n v="707500"/>
    <n v="102500"/>
    <n v="293"/>
    <x v="0"/>
    <n v="0"/>
    <n v="0"/>
    <n v="0"/>
    <n v="-72.75"/>
    <n v="-72.75"/>
    <n v="-95.5"/>
    <n v="-96.57"/>
    <m/>
    <x v="5"/>
    <s v="Nord de la Fennoscandinavie et Russie"/>
    <n v="7"/>
    <s v="GNOSDA-7"/>
    <s v="Abschuss"/>
  </r>
  <r>
    <x v="103"/>
    <s v="ScoRus"/>
    <n v="1"/>
    <x v="0"/>
    <x v="0"/>
    <x v="0"/>
    <x v="0"/>
    <x v="101"/>
    <n v="-23.880800000000001"/>
    <x v="102"/>
    <x v="5"/>
    <s v="Nord de la Fennoscandinavie et Russie"/>
    <x v="1"/>
    <x v="1"/>
    <s v="Bignasco"/>
    <s v="Madomna dit Monte"/>
    <n v="46.336732519999998"/>
    <n v="8.6187592510000002"/>
    <n v="6"/>
    <n v="19"/>
    <x v="1"/>
    <n v="2014"/>
    <x v="58"/>
    <x v="37"/>
    <n v="64"/>
    <x v="5"/>
    <x v="3"/>
    <x v="2"/>
    <n v="690862"/>
    <n v="132388"/>
    <n v="69081323"/>
    <n v="690132"/>
    <n v="690130"/>
    <n v="692500"/>
    <n v="132500"/>
    <n v="345"/>
    <x v="0"/>
    <n v="0"/>
    <n v="0"/>
    <n v="0"/>
    <n v="-72.05"/>
    <n v="-72.05"/>
    <n v="-94.7"/>
    <n v="-95.7"/>
    <m/>
    <x v="5"/>
    <s v="Nord de la Fennoscandinavie et Russie"/>
    <n v="7"/>
    <s v="ROSS.GI-12"/>
    <s v="Abschuss"/>
  </r>
  <r>
    <x v="104"/>
    <s v="ScoRus"/>
    <n v="1"/>
    <x v="0"/>
    <x v="0"/>
    <x v="0"/>
    <x v="0"/>
    <x v="102"/>
    <n v="-24.21575"/>
    <x v="103"/>
    <x v="5"/>
    <s v="Nord de la Fennoscandinavie et Russie"/>
    <x v="1"/>
    <x v="1"/>
    <s v="Gambarogno"/>
    <s v="V. dell Asino"/>
    <n v="46.080573479999998"/>
    <n v="8.8425462909999997"/>
    <n v="4"/>
    <n v="16"/>
    <x v="0"/>
    <n v="2014"/>
    <x v="45"/>
    <x v="33"/>
    <n v="31"/>
    <x v="8"/>
    <x v="4"/>
    <x v="0"/>
    <n v="708600"/>
    <n v="104200"/>
    <n v="70861042"/>
    <n v="708104"/>
    <n v="705100"/>
    <n v="707500"/>
    <n v="102500"/>
    <n v="308"/>
    <x v="0"/>
    <n v="0"/>
    <n v="0"/>
    <n v="0"/>
    <n v="-72.010000000000005"/>
    <n v="-72.010000000000005"/>
    <n v="-94.7"/>
    <n v="-95.65"/>
    <m/>
    <x v="5"/>
    <s v="Nord de la Fennoscandinavie et Russie"/>
    <n v="7"/>
    <s v="GNOSDA-3"/>
    <s v="Abschuss"/>
  </r>
  <r>
    <x v="105"/>
    <s v="ScoRus"/>
    <n v="1"/>
    <x v="0"/>
    <x v="0"/>
    <x v="0"/>
    <x v="0"/>
    <x v="103"/>
    <n v="-24.85"/>
    <x v="104"/>
    <x v="5"/>
    <s v="Nord de la Fennoscandinavie et Russie"/>
    <x v="1"/>
    <x v="1"/>
    <s v="Ambri"/>
    <s v="Giof"/>
    <n v="46.505732950000002"/>
    <n v="8.6522001450000001"/>
    <n v="5"/>
    <n v="19"/>
    <x v="0"/>
    <n v="2014"/>
    <x v="9"/>
    <x v="9"/>
    <n v="34"/>
    <x v="4"/>
    <x v="0"/>
    <x v="0"/>
    <n v="693146"/>
    <n v="151212"/>
    <n v="69311512"/>
    <n v="693151"/>
    <n v="690150"/>
    <n v="692500"/>
    <n v="152500"/>
    <n v="353"/>
    <x v="0"/>
    <n v="0"/>
    <n v="0"/>
    <n v="0"/>
    <n v="-71.75"/>
    <n v="-71.75"/>
    <n v="-94.4"/>
    <n v="-95.32"/>
    <m/>
    <x v="5"/>
    <s v="Nord de la Fennoscandinavie et Russie"/>
    <n v="7"/>
    <s v="CAVACO-3"/>
    <s v="Abschuss"/>
  </r>
  <r>
    <x v="106"/>
    <s v="ScoRus"/>
    <n v="1"/>
    <x v="0"/>
    <x v="0"/>
    <x v="0"/>
    <x v="0"/>
    <x v="104"/>
    <s v="NA"/>
    <x v="105"/>
    <x v="5"/>
    <s v="Nord de la Fennoscandinavie et Russie"/>
    <x v="0"/>
    <x v="4"/>
    <s v="Montfaucon"/>
    <s v="Plain-de-saigne"/>
    <n v="47.279339999999998"/>
    <n v="7.0800299999999998"/>
    <n v="5"/>
    <n v="28"/>
    <x v="0"/>
    <n v="2017"/>
    <x v="59"/>
    <x v="16"/>
    <n v="43"/>
    <x v="1"/>
    <x v="1"/>
    <x v="1"/>
    <n v="572868"/>
    <n v="236556"/>
    <n v="57282365"/>
    <n v="572236"/>
    <n v="570235"/>
    <n v="572500"/>
    <n v="237500"/>
    <n v="328"/>
    <x v="0"/>
    <n v="0"/>
    <n v="0"/>
    <n v="0"/>
    <n v="-71.6963808"/>
    <n v="-71.6963808"/>
    <s v="NA"/>
    <s v="NA"/>
    <m/>
    <x v="5"/>
    <s v="Nord de la Fennoscandinavie et Russie"/>
    <n v="7"/>
    <s v="MESSJO-4"/>
    <s v="Abschuss, altitude 870m"/>
  </r>
  <r>
    <x v="107"/>
    <s v="ScoRus"/>
    <n v="1"/>
    <x v="0"/>
    <x v="0"/>
    <x v="0"/>
    <x v="0"/>
    <x v="105"/>
    <n v="-23.965199999999999"/>
    <x v="106"/>
    <x v="5"/>
    <s v="Nord de la Fennoscandinavie et Russie"/>
    <x v="1"/>
    <x v="1"/>
    <s v="Aquarossa"/>
    <s v="Largario"/>
    <n v="46.489154659999997"/>
    <n v="8.9266645830000009"/>
    <n v="4"/>
    <n v="8"/>
    <x v="1"/>
    <n v="2014"/>
    <x v="2"/>
    <x v="2"/>
    <n v="53"/>
    <x v="2"/>
    <x v="2"/>
    <x v="1"/>
    <n v="714245"/>
    <n v="149732"/>
    <n v="71421497"/>
    <n v="714149"/>
    <n v="710145"/>
    <n v="712500"/>
    <n v="147500"/>
    <n v="329"/>
    <x v="0"/>
    <n v="0"/>
    <n v="0"/>
    <n v="0"/>
    <n v="-71.53"/>
    <n v="-71.53"/>
    <n v="-94.2"/>
    <n v="-95.05"/>
    <m/>
    <x v="5"/>
    <s v="Nord de la Fennoscandinavie et Russie"/>
    <n v="7"/>
    <s v="HAUKCL-4"/>
    <s v="Abschuss"/>
  </r>
  <r>
    <x v="108"/>
    <s v="ScoRus"/>
    <n v="1"/>
    <x v="0"/>
    <x v="0"/>
    <x v="0"/>
    <x v="0"/>
    <x v="106"/>
    <n v="-13.485777990000001"/>
    <x v="107"/>
    <x v="6"/>
    <s v="Nord de la Fennoscandinavie et Russie"/>
    <x v="1"/>
    <x v="1"/>
    <s v="Pedemonte"/>
    <s v="Riale Nocca"/>
    <n v="46.204379709999998"/>
    <n v="8.7286103750000006"/>
    <n v="5"/>
    <n v="30"/>
    <x v="1"/>
    <n v="2013"/>
    <x v="60"/>
    <x v="38"/>
    <n v="75"/>
    <x v="9"/>
    <x v="5"/>
    <x v="3"/>
    <n v="699561"/>
    <n v="117810"/>
    <n v="69951178"/>
    <n v="699117"/>
    <n v="695115"/>
    <n v="697500"/>
    <n v="117500"/>
    <n v="303"/>
    <x v="0"/>
    <n v="0"/>
    <n v="0"/>
    <n v="0"/>
    <n v="-71.05"/>
    <n v="-71.05"/>
    <n v="-93.7"/>
    <n v="-94.46"/>
    <m/>
    <x v="5"/>
    <s v="Nord de la Fennoscandinavie et Russie"/>
    <n v="7"/>
    <s v="CAVALLICO-9"/>
    <s v="Abschuss"/>
  </r>
  <r>
    <x v="109"/>
    <s v="ScoRus"/>
    <n v="1"/>
    <x v="0"/>
    <x v="0"/>
    <x v="0"/>
    <x v="0"/>
    <x v="107"/>
    <n v="-23.311362670000001"/>
    <x v="108"/>
    <x v="6"/>
    <s v="Nord de la Fennoscandinavie et Russie"/>
    <x v="1"/>
    <x v="1"/>
    <s v="Gambarogno"/>
    <s v="Carnasciolo"/>
    <n v="46.078710200000003"/>
    <n v="8.8476696659999998"/>
    <n v="4"/>
    <n v="5"/>
    <x v="1"/>
    <n v="2013"/>
    <x v="28"/>
    <x v="22"/>
    <n v="50"/>
    <x v="3"/>
    <x v="1"/>
    <x v="1"/>
    <n v="709000"/>
    <n v="104000"/>
    <n v="70901040"/>
    <n v="709104"/>
    <n v="705100"/>
    <n v="707500"/>
    <n v="102500"/>
    <n v="266"/>
    <x v="0"/>
    <n v="0"/>
    <n v="0"/>
    <n v="0"/>
    <n v="-70.89"/>
    <n v="-70.89"/>
    <n v="-93.6"/>
    <n v="-94.25"/>
    <m/>
    <x v="5"/>
    <s v="Nord de la Fennoscandinavie et Russie"/>
    <n v="7"/>
    <s v="GNOSDA-1"/>
    <s v="Abschuss"/>
  </r>
  <r>
    <x v="110"/>
    <s v="ScoRus"/>
    <n v="1"/>
    <x v="0"/>
    <x v="0"/>
    <x v="0"/>
    <x v="0"/>
    <x v="108"/>
    <n v="-23.540199999999999"/>
    <x v="109"/>
    <x v="6"/>
    <s v="Nord de la Fennoscandinavie et Russie"/>
    <x v="1"/>
    <x v="1"/>
    <s v="Maggia"/>
    <s v="Capoli"/>
    <n v="46.215312869999998"/>
    <n v="8.7221040080000005"/>
    <n v="6"/>
    <n v="28"/>
    <x v="0"/>
    <n v="2014"/>
    <x v="39"/>
    <x v="16"/>
    <n v="43"/>
    <x v="1"/>
    <x v="1"/>
    <x v="1"/>
    <n v="699039"/>
    <n v="119017"/>
    <n v="69901190"/>
    <n v="699119"/>
    <n v="695115"/>
    <n v="697500"/>
    <n v="117500"/>
    <n v="420"/>
    <x v="0"/>
    <n v="0"/>
    <n v="0"/>
    <n v="0"/>
    <n v="-70.48"/>
    <n v="-70.48"/>
    <n v="-93.1"/>
    <n v="-93.73"/>
    <m/>
    <x v="5"/>
    <s v="Nord de la Fennoscandinavie et Russie"/>
    <n v="7"/>
    <s v="CAVACO-9"/>
    <s v="Abschuss"/>
  </r>
  <r>
    <x v="111"/>
    <s v="ScoRus"/>
    <n v="1"/>
    <x v="0"/>
    <x v="0"/>
    <x v="0"/>
    <x v="0"/>
    <x v="109"/>
    <s v="NA"/>
    <x v="110"/>
    <x v="6"/>
    <s v="Nord de la Fennoscandinavie et Russie"/>
    <x v="0"/>
    <x v="0"/>
    <s v="Val de Travers"/>
    <s v="Crêt des Allemand"/>
    <n v="46.931250509999998"/>
    <n v="6.559943123"/>
    <n v="6"/>
    <n v="2"/>
    <x v="1"/>
    <n v="2017"/>
    <x v="26"/>
    <x v="4"/>
    <n v="47"/>
    <x v="3"/>
    <x v="1"/>
    <x v="1"/>
    <n v="533085"/>
    <n v="198170"/>
    <n v="53301981"/>
    <n v="533198"/>
    <n v="530195"/>
    <n v="532500"/>
    <n v="197500"/>
    <n v="324"/>
    <x v="0"/>
    <n v="0"/>
    <n v="0"/>
    <n v="0"/>
    <n v="-70.193639000000005"/>
    <n v="-70.193639000000005"/>
    <s v="NA"/>
    <s v="NA"/>
    <m/>
    <x v="5"/>
    <s v="Nord de la Fennoscandinavie et Russie"/>
    <n v="7"/>
    <s v="MEISHE-10"/>
    <s v="Abschuss"/>
  </r>
  <r>
    <x v="112"/>
    <s v="ScoRus"/>
    <n v="1"/>
    <x v="0"/>
    <x v="0"/>
    <x v="0"/>
    <x v="0"/>
    <x v="110"/>
    <s v="NA"/>
    <x v="111"/>
    <x v="6"/>
    <s v="Nord de la Fennoscandinavie et Russie"/>
    <x v="1"/>
    <x v="1"/>
    <s v="Cadenazzo"/>
    <s v="Rubasacco"/>
    <n v="46.143263599999997"/>
    <n v="9.0001315910000006"/>
    <n v="5"/>
    <n v="26"/>
    <x v="1"/>
    <n v="2017"/>
    <x v="61"/>
    <x v="31"/>
    <n v="71"/>
    <x v="7"/>
    <x v="3"/>
    <x v="2"/>
    <n v="720650"/>
    <n v="111398"/>
    <n v="72061113"/>
    <n v="720111"/>
    <n v="720110"/>
    <n v="722500"/>
    <n v="112500"/>
    <n v="320"/>
    <x v="0"/>
    <n v="0"/>
    <n v="0"/>
    <n v="0"/>
    <n v="-70.1089822"/>
    <n v="-70.1089822"/>
    <s v="NA"/>
    <s v="NA"/>
    <m/>
    <x v="5"/>
    <s v="Nord de la Fennoscandinavie et Russie"/>
    <n v="7"/>
    <s v="PURASA-15"/>
    <s v="Abschuss"/>
  </r>
  <r>
    <x v="113"/>
    <s v="ScoRus"/>
    <n v="1"/>
    <x v="0"/>
    <x v="0"/>
    <x v="0"/>
    <x v="0"/>
    <x v="111"/>
    <s v="NA"/>
    <x v="112"/>
    <x v="6"/>
    <s v="Nord de la Fennoscandinavie et Russie"/>
    <x v="1"/>
    <x v="1"/>
    <s v="Bogno"/>
    <s v="Campaccio"/>
    <n v="46.092546900000002"/>
    <n v="9.0568748919999997"/>
    <n v="5"/>
    <n v="1"/>
    <x v="1"/>
    <n v="2014"/>
    <x v="52"/>
    <x v="17"/>
    <n v="46"/>
    <x v="1"/>
    <x v="1"/>
    <x v="1"/>
    <n v="725150"/>
    <n v="105850"/>
    <n v="72511058"/>
    <n v="725105"/>
    <n v="725105"/>
    <n v="727500"/>
    <n v="107500"/>
    <n v="360"/>
    <x v="0"/>
    <n v="0"/>
    <n v="0"/>
    <n v="0"/>
    <n v="-69.430000000000007"/>
    <n v="-69.430000000000007"/>
    <n v="-92.1"/>
    <n v="-92.42"/>
    <m/>
    <x v="5"/>
    <s v="Nord de la Fennoscandinavie et Russie"/>
    <n v="7"/>
    <s v="ANARGI-3"/>
    <s v="Abschuss"/>
  </r>
  <r>
    <x v="114"/>
    <s v="ScoRus"/>
    <n v="1"/>
    <x v="0"/>
    <x v="0"/>
    <x v="0"/>
    <x v="0"/>
    <x v="112"/>
    <n v="-24.479199999999999"/>
    <x v="113"/>
    <x v="6"/>
    <s v="Nord de la Fennoscandinavie et Russie"/>
    <x v="1"/>
    <x v="1"/>
    <s v="Onserrone"/>
    <s v="Funtanit"/>
    <n v="46.208087570000004"/>
    <n v="8.5470218019999997"/>
    <n v="6"/>
    <n v="26"/>
    <x v="0"/>
    <n v="2014"/>
    <x v="22"/>
    <x v="0"/>
    <n v="41"/>
    <x v="0"/>
    <x v="0"/>
    <x v="0"/>
    <n v="685541"/>
    <n v="118008"/>
    <n v="68551180"/>
    <n v="685118"/>
    <n v="685115"/>
    <n v="687500"/>
    <n v="117500"/>
    <n v="295"/>
    <x v="0"/>
    <n v="0"/>
    <n v="0"/>
    <n v="0"/>
    <n v="-68.64"/>
    <n v="-68.64"/>
    <n v="-91.3"/>
    <n v="-91.44"/>
    <m/>
    <x v="5"/>
    <s v="Nord de la Fennoscandinavie et Russie"/>
    <n v="7"/>
    <s v="ROSSGI-3"/>
    <s v="Abschuss"/>
  </r>
  <r>
    <x v="115"/>
    <s v="ScoRus"/>
    <n v="1"/>
    <x v="0"/>
    <x v="0"/>
    <x v="0"/>
    <x v="0"/>
    <x v="113"/>
    <n v="-22.2652"/>
    <x v="114"/>
    <x v="6"/>
    <s v="Nord de la Fennoscandinavie et Russie"/>
    <x v="1"/>
    <x v="1"/>
    <s v="Gambarogno"/>
    <s v="Alpe Lierna"/>
    <n v="46.118476729999998"/>
    <n v="8.8331713220000001"/>
    <n v="4"/>
    <n v="28"/>
    <x v="0"/>
    <n v="2014"/>
    <x v="39"/>
    <x v="16"/>
    <n v="43"/>
    <x v="1"/>
    <x v="1"/>
    <x v="1"/>
    <n v="707800"/>
    <n v="108400"/>
    <n v="70781084"/>
    <n v="707108"/>
    <n v="705105"/>
    <n v="707500"/>
    <n v="107500"/>
    <n v="341"/>
    <x v="0"/>
    <n v="0"/>
    <n v="0"/>
    <n v="0"/>
    <n v="-67.040000000000006"/>
    <n v="-67.040000000000006"/>
    <n v="-89.6"/>
    <n v="-89.44"/>
    <m/>
    <x v="5"/>
    <s v="Nord de la Fennoscandinavie et Russie"/>
    <n v="7"/>
    <s v="GNOSDA-11"/>
    <s v="Abschuss"/>
  </r>
  <r>
    <x v="116"/>
    <s v="ScoRus"/>
    <n v="1"/>
    <x v="0"/>
    <x v="0"/>
    <x v="0"/>
    <x v="0"/>
    <x v="114"/>
    <n v="-23.11"/>
    <x v="115"/>
    <x v="6"/>
    <s v="Nord de la Fennoscandinavie et Russie"/>
    <x v="0"/>
    <x v="4"/>
    <s v="Les Enfers"/>
    <s v="Les Tourbières des Enfers"/>
    <n v="47.28505706"/>
    <n v="7.0429224000000001"/>
    <n v="5"/>
    <n v="2"/>
    <x v="1"/>
    <n v="2016"/>
    <x v="4"/>
    <x v="4"/>
    <n v="47"/>
    <x v="3"/>
    <x v="1"/>
    <x v="1"/>
    <n v="570063"/>
    <n v="237205"/>
    <n v="57002372"/>
    <n v="570237"/>
    <n v="570235"/>
    <n v="572500"/>
    <n v="237500"/>
    <n v="308"/>
    <x v="0"/>
    <n v="0"/>
    <n v="0"/>
    <n v="0"/>
    <n v="-67.029360199999999"/>
    <n v="-67.029360199999999"/>
    <s v="NA"/>
    <s v="NA"/>
    <m/>
    <x v="5"/>
    <s v="Nord de la Fennoscandinavie et Russie"/>
    <n v="7"/>
    <s v="Buchmi7"/>
    <s v="Abschuss"/>
  </r>
  <r>
    <x v="117"/>
    <s v="ScoRus"/>
    <n v="1"/>
    <x v="0"/>
    <x v="0"/>
    <x v="0"/>
    <x v="0"/>
    <x v="115"/>
    <s v="NA"/>
    <x v="116"/>
    <x v="6"/>
    <s v="Nord de la Fennoscandinavie et Russie"/>
    <x v="1"/>
    <x v="1"/>
    <s v="Signora"/>
    <s v="Pastura"/>
    <n v="46.101697590000001"/>
    <n v="9.0461520929999999"/>
    <n v="5"/>
    <n v="29"/>
    <x v="0"/>
    <n v="2017"/>
    <x v="62"/>
    <x v="1"/>
    <n v="44"/>
    <x v="1"/>
    <x v="1"/>
    <x v="1"/>
    <n v="724300"/>
    <n v="106850"/>
    <n v="72431068"/>
    <n v="724106"/>
    <n v="720105"/>
    <n v="722500"/>
    <n v="107500"/>
    <n v="251"/>
    <x v="0"/>
    <n v="0"/>
    <n v="0"/>
    <n v="0"/>
    <n v="-66.808841599999994"/>
    <n v="-66.808841599999994"/>
    <s v="NA"/>
    <s v="NA"/>
    <m/>
    <x v="5"/>
    <s v="Nord de la Fennoscandinavie et Russie"/>
    <n v="7"/>
    <s v="ANARGI-1"/>
    <s v="Abschuss"/>
  </r>
  <r>
    <x v="118"/>
    <s v="ScoRus"/>
    <n v="1"/>
    <x v="0"/>
    <x v="0"/>
    <x v="0"/>
    <x v="0"/>
    <x v="116"/>
    <n v="-23.917200000000001"/>
    <x v="117"/>
    <x v="6"/>
    <s v="Nord de la Fennoscandinavie et Russie"/>
    <x v="1"/>
    <x v="1"/>
    <s v="Cadenazzo"/>
    <s v="Calmagnone"/>
    <n v="46.146987230000001"/>
    <n v="8.9759667200000006"/>
    <n v="6"/>
    <n v="30"/>
    <x v="0"/>
    <n v="2014"/>
    <x v="29"/>
    <x v="23"/>
    <n v="45"/>
    <x v="1"/>
    <x v="1"/>
    <x v="1"/>
    <n v="718775"/>
    <n v="111775"/>
    <n v="71871117"/>
    <n v="718111"/>
    <n v="715110"/>
    <n v="717500"/>
    <n v="112500"/>
    <n v="320"/>
    <x v="0"/>
    <n v="0"/>
    <n v="0"/>
    <n v="0"/>
    <n v="-66.66"/>
    <n v="-66.66"/>
    <n v="-89.2"/>
    <n v="-88.96"/>
    <m/>
    <x v="5"/>
    <s v="Nord de la Fennoscandinavie et Russie"/>
    <n v="7"/>
    <s v="ALBEFA-1"/>
    <s v="Abschuss"/>
  </r>
  <r>
    <x v="119"/>
    <s v="ScoRus"/>
    <n v="1"/>
    <x v="0"/>
    <x v="0"/>
    <x v="0"/>
    <x v="0"/>
    <x v="117"/>
    <n v="-23.305199999999999"/>
    <x v="118"/>
    <x v="6"/>
    <s v="Nord de la Fennoscandinavie et Russie"/>
    <x v="1"/>
    <x v="1"/>
    <s v="Gola di Lago"/>
    <s v="Alpe St. Maria"/>
    <n v="46.103400720000003"/>
    <n v="8.9556608279999992"/>
    <n v="5"/>
    <n v="4"/>
    <x v="1"/>
    <n v="2014"/>
    <x v="63"/>
    <x v="3"/>
    <n v="49"/>
    <x v="3"/>
    <x v="1"/>
    <x v="1"/>
    <n v="717300"/>
    <n v="106900"/>
    <n v="71731069"/>
    <n v="717106"/>
    <n v="715105"/>
    <n v="717500"/>
    <n v="107500"/>
    <n v="317"/>
    <x v="0"/>
    <n v="0"/>
    <n v="0"/>
    <n v="0"/>
    <n v="-66.64"/>
    <n v="-66.64"/>
    <n v="-89.2"/>
    <n v="-88.94"/>
    <m/>
    <x v="5"/>
    <s v="Nord de la Fennoscandinavie et Russie"/>
    <n v="7"/>
    <s v="GRUBLO-2"/>
    <s v="Abschuss"/>
  </r>
  <r>
    <x v="120"/>
    <s v="ScoRus"/>
    <n v="1"/>
    <x v="0"/>
    <x v="0"/>
    <x v="0"/>
    <x v="0"/>
    <x v="118"/>
    <s v="NA"/>
    <x v="119"/>
    <x v="6"/>
    <s v="Nord de la Fennoscandinavie et Russie"/>
    <x v="0"/>
    <x v="4"/>
    <s v="Bourrignon"/>
    <s v="Les Ordons"/>
    <n v="47.388829999999999"/>
    <n v="7.2331399999999997"/>
    <n v="5"/>
    <n v="21"/>
    <x v="0"/>
    <n v="2017"/>
    <x v="64"/>
    <x v="11"/>
    <n v="36"/>
    <x v="4"/>
    <x v="0"/>
    <x v="0"/>
    <n v="584484"/>
    <n v="248687"/>
    <n v="58442486"/>
    <n v="584248"/>
    <n v="580245"/>
    <n v="582500"/>
    <n v="247500"/>
    <n v="292"/>
    <x v="0"/>
    <n v="0"/>
    <n v="0"/>
    <n v="0"/>
    <n v="-66.635658000000006"/>
    <n v="-66.635658000000006"/>
    <s v="NA"/>
    <s v="NA"/>
    <m/>
    <x v="5"/>
    <s v="Nord de la Fennoscandinavie et Russie"/>
    <n v="7"/>
    <s v="MESSJO-1"/>
    <s v="Abschuss, altitude 957m"/>
  </r>
  <r>
    <x v="121"/>
    <s v="ScoRus"/>
    <n v="1"/>
    <x v="0"/>
    <x v="0"/>
    <x v="0"/>
    <x v="0"/>
    <x v="119"/>
    <s v="NA"/>
    <x v="120"/>
    <x v="6"/>
    <s v="Nord de la Fennoscandinavie et Russie"/>
    <x v="1"/>
    <x v="1"/>
    <s v="Capriasca"/>
    <s v="Matro du Stinche"/>
    <n v="46.098929890000001"/>
    <n v="8.9535965859999997"/>
    <n v="5"/>
    <n v="21"/>
    <x v="1"/>
    <n v="2017"/>
    <x v="51"/>
    <x v="36"/>
    <n v="66"/>
    <x v="5"/>
    <x v="3"/>
    <x v="2"/>
    <n v="717150"/>
    <n v="106400"/>
    <n v="71711064"/>
    <n v="717106"/>
    <n v="715105"/>
    <n v="717500"/>
    <n v="107500"/>
    <n v="307"/>
    <x v="0"/>
    <n v="0"/>
    <n v="0"/>
    <n v="0"/>
    <n v="-66.475462800000003"/>
    <n v="-66.475462800000003"/>
    <s v="NA"/>
    <s v="NA"/>
    <m/>
    <x v="5"/>
    <s v="Nord de la Fennoscandinavie et Russie"/>
    <n v="7"/>
    <s v="TANTMA-3"/>
    <s v="Abschuss"/>
  </r>
  <r>
    <x v="122"/>
    <s v="ScoRus"/>
    <n v="1"/>
    <x v="0"/>
    <x v="0"/>
    <x v="0"/>
    <x v="0"/>
    <x v="120"/>
    <n v="-22.97"/>
    <x v="121"/>
    <x v="6"/>
    <s v="Nord de la Fennoscandinavie et Russie"/>
    <x v="2"/>
    <x v="2"/>
    <s v="Billens-Hennens"/>
    <s v="Hennens"/>
    <n v="46.675304920000002"/>
    <n v="6.8701308010000002"/>
    <n v="3"/>
    <n v="7"/>
    <x v="1"/>
    <n v="2016"/>
    <x v="65"/>
    <x v="12"/>
    <n v="52"/>
    <x v="2"/>
    <x v="2"/>
    <x v="1"/>
    <n v="556500"/>
    <n v="169500"/>
    <n v="55651695"/>
    <n v="556169"/>
    <n v="555165"/>
    <n v="557500"/>
    <n v="167500"/>
    <n v="372"/>
    <x v="0"/>
    <n v="0"/>
    <n v="0"/>
    <n v="0"/>
    <n v="-66.367991500000002"/>
    <n v="-66.367991500000002"/>
    <s v="NA"/>
    <s v="NA"/>
    <m/>
    <x v="5"/>
    <s v="Nord de la Fennoscandinavie et Russie"/>
    <n v="7"/>
    <s v="CRETYC-3"/>
    <s v="Abschuss"/>
  </r>
  <r>
    <x v="123"/>
    <s v="ScoRus"/>
    <n v="1"/>
    <x v="0"/>
    <x v="0"/>
    <x v="0"/>
    <x v="0"/>
    <x v="121"/>
    <s v="NA"/>
    <x v="122"/>
    <x v="6"/>
    <s v="Nord de la Fennoscandinavie et Russie"/>
    <x v="0"/>
    <x v="3"/>
    <s v="Ste-Croix"/>
    <s v="NA"/>
    <n v="46.798820970000001"/>
    <n v="6.5020398190000002"/>
    <n v="3"/>
    <n v="24"/>
    <x v="0"/>
    <n v="2017"/>
    <x v="15"/>
    <x v="14"/>
    <n v="39"/>
    <x v="0"/>
    <x v="0"/>
    <x v="0"/>
    <n v="528500"/>
    <n v="183500"/>
    <n v="52851835"/>
    <n v="528183"/>
    <n v="525180"/>
    <n v="527500"/>
    <n v="182500"/>
    <n v="319"/>
    <x v="0"/>
    <n v="0"/>
    <n v="0"/>
    <n v="0"/>
    <n v="-66.350153199999994"/>
    <n v="-66.350153199999994"/>
    <s v="NA"/>
    <s v="NA"/>
    <m/>
    <x v="5"/>
    <s v="Nord de la Fennoscandinavie et Russie"/>
    <n v="7"/>
    <s v="JOSEDA-4"/>
    <s v="Abschuss"/>
  </r>
  <r>
    <x v="124"/>
    <s v="ScoRus"/>
    <n v="1"/>
    <x v="0"/>
    <x v="0"/>
    <x v="0"/>
    <x v="0"/>
    <x v="122"/>
    <s v="NA"/>
    <x v="123"/>
    <x v="6"/>
    <s v="Nord de la Fennoscandinavie et Russie"/>
    <x v="1"/>
    <x v="1"/>
    <s v="Cadenazzo"/>
    <s v="Rubasacco"/>
    <n v="46.134063009999998"/>
    <n v="8.9769354729999993"/>
    <n v="5"/>
    <n v="8"/>
    <x v="1"/>
    <n v="2017"/>
    <x v="66"/>
    <x v="2"/>
    <n v="53"/>
    <x v="2"/>
    <x v="2"/>
    <x v="1"/>
    <n v="718878"/>
    <n v="110340"/>
    <n v="71881103"/>
    <n v="718110"/>
    <n v="715110"/>
    <n v="717500"/>
    <n v="112500"/>
    <n v="280"/>
    <x v="0"/>
    <n v="0"/>
    <n v="0"/>
    <n v="0"/>
    <n v="-65.974512700000005"/>
    <n v="-65.974512700000005"/>
    <s v="NA"/>
    <s v="NA"/>
    <m/>
    <x v="5"/>
    <s v="Nord de la Fennoscandinavie et Russie"/>
    <n v="7"/>
    <s v="PURASA-13"/>
    <s v="Abschuss"/>
  </r>
  <r>
    <x v="125"/>
    <s v="ScoRus"/>
    <n v="1"/>
    <x v="0"/>
    <x v="0"/>
    <x v="0"/>
    <x v="0"/>
    <x v="123"/>
    <s v="NA"/>
    <x v="124"/>
    <x v="6"/>
    <s v="Nord de la Fennoscandinavie et Russie"/>
    <x v="0"/>
    <x v="0"/>
    <s v="Brot Plamboj"/>
    <s v="Forêt de Plamboj"/>
    <n v="47.006028409999999"/>
    <n v="6.7858223000000004"/>
    <n v="6"/>
    <n v="31"/>
    <x v="0"/>
    <n v="2017"/>
    <x v="67"/>
    <x v="17"/>
    <n v="46"/>
    <x v="1"/>
    <x v="1"/>
    <x v="1"/>
    <n v="550355"/>
    <n v="206315"/>
    <n v="55032063"/>
    <n v="550206"/>
    <n v="550205"/>
    <n v="552500"/>
    <n v="207500"/>
    <n v="314"/>
    <x v="0"/>
    <n v="0"/>
    <n v="0"/>
    <n v="0"/>
    <n v="-65.849377399999995"/>
    <n v="-65.849377399999995"/>
    <s v="NA"/>
    <s v="NA"/>
    <m/>
    <x v="5"/>
    <s v="Nord de la Fennoscandinavie et Russie"/>
    <n v="7"/>
    <s v="MEISHE-8"/>
    <s v="Abschuss"/>
  </r>
  <r>
    <x v="126"/>
    <s v="ScoRus"/>
    <n v="1"/>
    <x v="0"/>
    <x v="0"/>
    <x v="0"/>
    <x v="0"/>
    <x v="124"/>
    <n v="-23.508800000000001"/>
    <x v="125"/>
    <x v="6"/>
    <s v="Nord de la Fennoscandinavie et Russie"/>
    <x v="1"/>
    <x v="1"/>
    <s v="Gambarogno"/>
    <s v="Monti Sciaga"/>
    <n v="46.091366290000003"/>
    <n v="8.8428238060000002"/>
    <n v="4"/>
    <n v="9"/>
    <x v="1"/>
    <n v="2014"/>
    <x v="13"/>
    <x v="5"/>
    <n v="54"/>
    <x v="2"/>
    <x v="2"/>
    <x v="1"/>
    <n v="708600"/>
    <n v="105400"/>
    <n v="70861054"/>
    <n v="708105"/>
    <n v="705105"/>
    <n v="707500"/>
    <n v="107500"/>
    <n v="329"/>
    <x v="0"/>
    <n v="0"/>
    <n v="0"/>
    <n v="0"/>
    <n v="-65.47"/>
    <n v="-65.47"/>
    <n v="-88"/>
    <n v="-87.48"/>
    <m/>
    <x v="5"/>
    <s v="Nord de la Fennoscandinavie et Russie"/>
    <n v="7"/>
    <s v="GNOSDA-16"/>
    <s v="Abschuss"/>
  </r>
  <r>
    <x v="127"/>
    <s v="ScoRus"/>
    <n v="1"/>
    <x v="0"/>
    <x v="0"/>
    <x v="0"/>
    <x v="0"/>
    <x v="125"/>
    <n v="-22.897200000000002"/>
    <x v="126"/>
    <x v="6"/>
    <s v="Nord de la Fennoscandinavie et Russie"/>
    <x v="1"/>
    <x v="1"/>
    <s v="Gambarogno"/>
    <s v="V. dell Asino"/>
    <n v="46.083207199999997"/>
    <n v="8.8477857009999994"/>
    <n v="4"/>
    <n v="16"/>
    <x v="0"/>
    <n v="2014"/>
    <x v="45"/>
    <x v="33"/>
    <n v="31"/>
    <x v="8"/>
    <x v="4"/>
    <x v="0"/>
    <n v="709000"/>
    <n v="104500"/>
    <n v="70901045"/>
    <n v="709104"/>
    <n v="705100"/>
    <n v="707500"/>
    <n v="102500"/>
    <n v="326"/>
    <x v="0"/>
    <n v="0"/>
    <n v="0"/>
    <n v="0"/>
    <n v="-64.900000000000006"/>
    <n v="-64.900000000000006"/>
    <n v="-87.4"/>
    <n v="-86.76"/>
    <m/>
    <x v="6"/>
    <s v="Sud de la Fennoscandinavie, Pays baltes et ouest de la Russie"/>
    <n v="6"/>
    <s v="GNOSDA-1"/>
    <s v="Abschuss"/>
  </r>
  <r>
    <x v="128"/>
    <s v="ScoRus"/>
    <n v="1"/>
    <x v="0"/>
    <x v="0"/>
    <x v="0"/>
    <x v="0"/>
    <x v="126"/>
    <s v="NA"/>
    <x v="127"/>
    <x v="6"/>
    <s v="Nord de la Fennoscandinavie et Russie"/>
    <x v="1"/>
    <x v="1"/>
    <s v="Signora"/>
    <s v="Costa del Badairoli"/>
    <n v="46.106616410000001"/>
    <n v="9.0482372860000009"/>
    <n v="5"/>
    <n v="29"/>
    <x v="0"/>
    <n v="2017"/>
    <x v="62"/>
    <x v="1"/>
    <n v="44"/>
    <x v="1"/>
    <x v="1"/>
    <x v="1"/>
    <n v="724450"/>
    <n v="107400"/>
    <n v="72441074"/>
    <n v="724107"/>
    <n v="720105"/>
    <n v="722500"/>
    <n v="107500"/>
    <n v="311"/>
    <x v="0"/>
    <n v="0"/>
    <n v="0"/>
    <n v="0"/>
    <n v="-64.532231999999993"/>
    <n v="-64.532231999999993"/>
    <s v="NA"/>
    <s v="NA"/>
    <m/>
    <x v="6"/>
    <s v="Sud de la Fennoscandinavie, Pays baltes et ouest de la Russie"/>
    <n v="6"/>
    <s v="ANARGI-2"/>
    <s v="Abschuss"/>
  </r>
  <r>
    <x v="129"/>
    <s v="ScoRus"/>
    <n v="1"/>
    <x v="0"/>
    <x v="0"/>
    <x v="0"/>
    <x v="0"/>
    <x v="127"/>
    <n v="-23.311800000000002"/>
    <x v="128"/>
    <x v="6"/>
    <s v="Nord de la Fennoscandinavie et Russie"/>
    <x v="1"/>
    <x v="1"/>
    <s v="Onserrone"/>
    <s v="Monte Mohto"/>
    <n v="46.221265690000003"/>
    <n v="8.6226215059999998"/>
    <n v="6"/>
    <n v="9"/>
    <x v="1"/>
    <n v="2014"/>
    <x v="13"/>
    <x v="5"/>
    <n v="54"/>
    <x v="2"/>
    <x v="2"/>
    <x v="1"/>
    <n v="691353"/>
    <n v="119558"/>
    <n v="69131195"/>
    <n v="691119"/>
    <n v="690115"/>
    <n v="692500"/>
    <n v="117500"/>
    <n v="298"/>
    <x v="0"/>
    <n v="0"/>
    <n v="0"/>
    <n v="0"/>
    <n v="-63.91"/>
    <n v="-63.91"/>
    <n v="-86.4"/>
    <n v="-85.52"/>
    <m/>
    <x v="6"/>
    <s v="Sud de la Fennoscandinavie, Pays baltes et ouest de la Russie"/>
    <n v="6"/>
    <s v="ROSS.GI6"/>
    <s v="Abschuss"/>
  </r>
  <r>
    <x v="130"/>
    <s v="ScoRus"/>
    <n v="1"/>
    <x v="0"/>
    <x v="0"/>
    <x v="0"/>
    <x v="0"/>
    <x v="128"/>
    <n v="-23.7"/>
    <x v="129"/>
    <x v="6"/>
    <s v="Nord de la Fennoscandinavie et Russie"/>
    <x v="0"/>
    <x v="0"/>
    <s v="Val-de-Ruz"/>
    <s v="Les Quignets"/>
    <n v="47.03852071"/>
    <n v="6.5618178949999999"/>
    <n v="6"/>
    <n v="3"/>
    <x v="0"/>
    <n v="2015"/>
    <x v="68"/>
    <x v="39"/>
    <n v="18"/>
    <x v="10"/>
    <x v="6"/>
    <x v="4"/>
    <n v="533361"/>
    <n v="210093"/>
    <n v="53332100"/>
    <n v="533210"/>
    <n v="530210"/>
    <n v="532500"/>
    <n v="212500"/>
    <n v="277"/>
    <x v="0"/>
    <n v="0"/>
    <n v="0"/>
    <n v="0"/>
    <n v="-63.89"/>
    <n v="-63.89"/>
    <n v="-86.4"/>
    <n v="-85.5"/>
    <m/>
    <x v="6"/>
    <s v="Sud de la Fennoscandinavie, Pays baltes et ouest de la Russie"/>
    <n v="6"/>
    <s v="PENAJA-1"/>
    <s v="Abschuss"/>
  </r>
  <r>
    <x v="131"/>
    <s v="ScoRus"/>
    <n v="1"/>
    <x v="0"/>
    <x v="0"/>
    <x v="0"/>
    <x v="0"/>
    <x v="129"/>
    <n v="-20.89521873"/>
    <x v="130"/>
    <x v="7"/>
    <s v="Nord de la Fennoscandinavie et Russie"/>
    <x v="1"/>
    <x v="1"/>
    <s v="Gambarogno"/>
    <s v="Busen"/>
    <n v="46.08312626"/>
    <n v="8.8542482360000001"/>
    <n v="3"/>
    <s v="NA"/>
    <x v="2"/>
    <n v="2013"/>
    <x v="69"/>
    <x v="40"/>
    <s v=""/>
    <x v="11"/>
    <x v="7"/>
    <x v="5"/>
    <n v="709500"/>
    <n v="104500"/>
    <n v="70951045"/>
    <n v="709104"/>
    <n v="705100"/>
    <n v="707500"/>
    <n v="102500"/>
    <n v="359"/>
    <x v="0"/>
    <n v="0"/>
    <n v="0"/>
    <n v="0"/>
    <n v="-63.48"/>
    <n v="-63.48"/>
    <n v="-86"/>
    <n v="-84.98"/>
    <m/>
    <x v="6"/>
    <s v="Sud de la Fennoscandinavie, Pays baltes et ouest de la Russie"/>
    <n v="6"/>
    <s v="GNOSDA-3"/>
    <s v="Abschuss"/>
  </r>
  <r>
    <x v="132"/>
    <s v="ScoRus"/>
    <n v="1"/>
    <x v="0"/>
    <x v="0"/>
    <x v="0"/>
    <x v="0"/>
    <x v="129"/>
    <n v="-24.156199999999998"/>
    <x v="131"/>
    <x v="7"/>
    <s v="Nord de la Fennoscandinavie et Russie"/>
    <x v="1"/>
    <x v="1"/>
    <s v="Aquarossa"/>
    <s v="Largario"/>
    <n v="46.487488339999999"/>
    <n v="8.9274915630000002"/>
    <n v="6"/>
    <n v="1"/>
    <x v="1"/>
    <n v="2014"/>
    <x v="52"/>
    <x v="17"/>
    <n v="46"/>
    <x v="1"/>
    <x v="1"/>
    <x v="1"/>
    <n v="714312"/>
    <n v="149548"/>
    <n v="71431495"/>
    <n v="714149"/>
    <n v="710145"/>
    <n v="712500"/>
    <n v="147500"/>
    <n v="312"/>
    <x v="0"/>
    <n v="0"/>
    <n v="0"/>
    <n v="0"/>
    <n v="-63.48"/>
    <n v="-63.48"/>
    <n v="-86"/>
    <n v="-84.99"/>
    <m/>
    <x v="6"/>
    <s v="Sud de la Fennoscandinavie, Pays baltes et ouest de la Russie"/>
    <n v="6"/>
    <s v="HAUKCL-3"/>
    <s v="Abschuss"/>
  </r>
  <r>
    <x v="133"/>
    <s v="ScoRus"/>
    <n v="1"/>
    <x v="0"/>
    <x v="0"/>
    <x v="0"/>
    <x v="0"/>
    <x v="130"/>
    <n v="-24.46"/>
    <x v="132"/>
    <x v="7"/>
    <s v="Nord de la Fennoscandinavie et Russie"/>
    <x v="0"/>
    <x v="0"/>
    <s v="Val-de-Ruz"/>
    <s v="NA"/>
    <n v="47.03976497"/>
    <n v="6.8991641640000001"/>
    <n v="2"/>
    <n v="13"/>
    <x v="0"/>
    <n v="2016"/>
    <x v="70"/>
    <x v="41"/>
    <n v="28"/>
    <x v="8"/>
    <x v="4"/>
    <x v="0"/>
    <n v="559000"/>
    <n v="210000"/>
    <n v="55902100"/>
    <n v="559210"/>
    <n v="555210"/>
    <n v="557500"/>
    <n v="212500"/>
    <n v="360"/>
    <x v="0"/>
    <n v="0"/>
    <n v="0"/>
    <n v="0"/>
    <n v="-63.022277299999999"/>
    <n v="-63.022277299999999"/>
    <s v="NA"/>
    <s v="NA"/>
    <m/>
    <x v="6"/>
    <s v="Sud de la Fennoscandinavie, Pays baltes et ouest de la Russie"/>
    <n v="6"/>
    <s v="BARBTH-1"/>
    <s v="Abschuss"/>
  </r>
  <r>
    <x v="134"/>
    <s v="ScoRus"/>
    <n v="1"/>
    <x v="0"/>
    <x v="0"/>
    <x v="0"/>
    <x v="0"/>
    <x v="131"/>
    <s v="NA"/>
    <x v="133"/>
    <x v="7"/>
    <s v="Nord de la Fennoscandinavie et Russie"/>
    <x v="3"/>
    <x v="2"/>
    <s v="Brünisried"/>
    <s v="Buechechäppeli"/>
    <n v="46.749627519999997"/>
    <n v="7.2611511030000004"/>
    <n v="5"/>
    <n v="9"/>
    <x v="1"/>
    <n v="2017"/>
    <x v="49"/>
    <x v="5"/>
    <n v="54"/>
    <x v="2"/>
    <x v="2"/>
    <x v="1"/>
    <n v="586438"/>
    <n v="177620"/>
    <n v="58641776"/>
    <n v="586177"/>
    <n v="585175"/>
    <n v="587500"/>
    <n v="177500"/>
    <n v="330"/>
    <x v="0"/>
    <n v="0"/>
    <n v="0"/>
    <n v="0"/>
    <n v="-62.526471200000003"/>
    <n v="-62.526471200000003"/>
    <s v="NA"/>
    <s v="NA"/>
    <m/>
    <x v="6"/>
    <s v="Sud de la Fennoscandinavie, Pays baltes et ouest de la Russie"/>
    <n v="6"/>
    <s v="DUCHPA-2"/>
    <s v="Abschuss"/>
  </r>
  <r>
    <x v="135"/>
    <s v="ScoRus"/>
    <n v="1"/>
    <x v="0"/>
    <x v="0"/>
    <x v="0"/>
    <x v="0"/>
    <x v="132"/>
    <n v="-41.02526409"/>
    <x v="134"/>
    <x v="7"/>
    <s v="Nord de la Fennoscandinavie et Russie"/>
    <x v="0"/>
    <x v="0"/>
    <s v="La Brévines"/>
    <s v="La Paroisse"/>
    <n v="46.968498719999999"/>
    <n v="6.6445800740000003"/>
    <n v="5"/>
    <n v="9"/>
    <x v="1"/>
    <n v="2013"/>
    <x v="5"/>
    <x v="5"/>
    <n v="54"/>
    <x v="2"/>
    <x v="2"/>
    <x v="1"/>
    <n v="539572"/>
    <n v="202242"/>
    <n v="53952022"/>
    <n v="539202"/>
    <n v="535200"/>
    <n v="537500"/>
    <n v="202500"/>
    <n v="389"/>
    <x v="0"/>
    <n v="0"/>
    <n v="0"/>
    <n v="0"/>
    <n v="-62.45"/>
    <n v="-62.45"/>
    <n v="-84.9"/>
    <n v="-83.7"/>
    <m/>
    <x v="6"/>
    <s v="Sud de la Fennoscandinavie, Pays baltes et ouest de la Russie"/>
    <n v="6"/>
    <s v="ULRIVI-3"/>
    <s v="Abschuss"/>
  </r>
  <r>
    <x v="136"/>
    <s v="ScoRus"/>
    <n v="1"/>
    <x v="0"/>
    <x v="0"/>
    <x v="0"/>
    <x v="0"/>
    <x v="133"/>
    <s v="NA"/>
    <x v="135"/>
    <x v="7"/>
    <s v="Nord de la Fennoscandinavie et Russie"/>
    <x v="2"/>
    <x v="3"/>
    <s v="Apples"/>
    <s v="Long Champs"/>
    <n v="46.537196739999999"/>
    <n v="6.416612239"/>
    <n v="4"/>
    <n v="28"/>
    <x v="1"/>
    <n v="2017"/>
    <x v="71"/>
    <x v="42"/>
    <n v="73"/>
    <x v="9"/>
    <x v="5"/>
    <x v="3"/>
    <n v="521600"/>
    <n v="154500"/>
    <n v="52161545"/>
    <n v="521154"/>
    <n v="520155"/>
    <n v="522500"/>
    <n v="157500"/>
    <n v="306"/>
    <x v="0"/>
    <n v="0"/>
    <n v="0"/>
    <n v="0"/>
    <n v="-61.679189000000001"/>
    <n v="-61.679189000000001"/>
    <s v="NA"/>
    <s v="NA"/>
    <m/>
    <x v="6"/>
    <s v="Sud de la Fennoscandinavie, Pays baltes et ouest de la Russie"/>
    <n v="6"/>
    <s v="VUILFR-5"/>
    <s v="Abschuss"/>
  </r>
  <r>
    <x v="137"/>
    <s v="ScoRus"/>
    <n v="1"/>
    <x v="0"/>
    <x v="0"/>
    <x v="0"/>
    <x v="0"/>
    <x v="134"/>
    <n v="-22.864750000000001"/>
    <x v="136"/>
    <x v="7"/>
    <s v="Nord de la Fennoscandinavie et Russie"/>
    <x v="1"/>
    <x v="1"/>
    <s v="Cimadera"/>
    <s v="NA"/>
    <n v="46.083150000000003"/>
    <n v="9.0533639190000006"/>
    <n v="5"/>
    <n v="5"/>
    <x v="1"/>
    <n v="2014"/>
    <x v="72"/>
    <x v="22"/>
    <n v="50"/>
    <x v="3"/>
    <x v="1"/>
    <x v="1"/>
    <n v="724900"/>
    <n v="104800"/>
    <n v="72491048"/>
    <n v="724104"/>
    <n v="720100"/>
    <n v="722500"/>
    <n v="102500"/>
    <n v="350"/>
    <x v="0"/>
    <n v="0"/>
    <n v="0"/>
    <n v="0"/>
    <n v="-61.35"/>
    <n v="-61.35"/>
    <n v="-83.8"/>
    <n v="-82.33"/>
    <m/>
    <x v="6"/>
    <s v="Sud de la Fennoscandinavie, Pays baltes et ouest de la Russie"/>
    <n v="6"/>
    <s v="ROSAOR-2"/>
    <s v="Abschuss"/>
  </r>
  <r>
    <x v="138"/>
    <s v="ScoRus"/>
    <n v="1"/>
    <x v="0"/>
    <x v="0"/>
    <x v="0"/>
    <x v="0"/>
    <x v="135"/>
    <s v="NA"/>
    <x v="137"/>
    <x v="7"/>
    <s v="Nord de la Fennoscandinavie et Russie"/>
    <x v="2"/>
    <x v="2"/>
    <s v="Marsens"/>
    <s v="Derbali"/>
    <n v="46.658780999999998"/>
    <n v="7.0057150000000004"/>
    <n v="5"/>
    <n v="2"/>
    <x v="1"/>
    <n v="2017"/>
    <x v="26"/>
    <x v="4"/>
    <n v="47"/>
    <x v="3"/>
    <x v="1"/>
    <x v="1"/>
    <n v="566864"/>
    <n v="167597"/>
    <n v="56681675"/>
    <n v="566167"/>
    <n v="565165"/>
    <n v="567500"/>
    <n v="167500"/>
    <n v="323"/>
    <x v="0"/>
    <n v="0"/>
    <n v="0"/>
    <n v="0"/>
    <n v="-60.240844799999998"/>
    <n v="-60.240844799999998"/>
    <s v="NA"/>
    <s v="NA"/>
    <m/>
    <x v="6"/>
    <s v="Sud de la Fennoscandinavie, Pays baltes et ouest de la Russie"/>
    <n v="6"/>
    <s v="YERLMI-2"/>
    <s v="Abschuss"/>
  </r>
  <r>
    <x v="139"/>
    <s v="ScoRus"/>
    <n v="1"/>
    <x v="0"/>
    <x v="0"/>
    <x v="0"/>
    <x v="0"/>
    <x v="136"/>
    <s v="NA"/>
    <x v="138"/>
    <x v="7"/>
    <s v="Nord de la Fennoscandinavie et Russie"/>
    <x v="0"/>
    <x v="3"/>
    <s v="Ste-Croix"/>
    <s v="NA"/>
    <n v="46.798820970000001"/>
    <n v="6.5020398190000002"/>
    <n v="3"/>
    <n v="9"/>
    <x v="1"/>
    <n v="2017"/>
    <x v="49"/>
    <x v="5"/>
    <n v="54"/>
    <x v="2"/>
    <x v="2"/>
    <x v="1"/>
    <n v="528500"/>
    <n v="183500"/>
    <n v="52851835"/>
    <n v="528183"/>
    <n v="525180"/>
    <n v="527500"/>
    <n v="182500"/>
    <n v="340"/>
    <x v="0"/>
    <n v="0"/>
    <n v="0"/>
    <n v="0"/>
    <n v="-59.553730000000002"/>
    <n v="-59.553730000000002"/>
    <s v="NA"/>
    <s v="NA"/>
    <m/>
    <x v="6"/>
    <s v="Sud de la Fennoscandinavie, Pays baltes et ouest de la Russie"/>
    <n v="6"/>
    <s v="JOSEDA-5"/>
    <s v="Abschuss"/>
  </r>
  <r>
    <x v="140"/>
    <s v="ScoRus"/>
    <n v="1"/>
    <x v="0"/>
    <x v="0"/>
    <x v="0"/>
    <x v="0"/>
    <x v="137"/>
    <s v="NA"/>
    <x v="139"/>
    <x v="7"/>
    <m/>
    <x v="0"/>
    <x v="4"/>
    <s v="Bourrignon"/>
    <s v="Les Ordons"/>
    <n v="47.388959999999997"/>
    <n v="7.2323500000000003"/>
    <n v="5"/>
    <n v="8"/>
    <x v="1"/>
    <n v="2017"/>
    <x v="66"/>
    <x v="2"/>
    <n v="53"/>
    <x v="2"/>
    <x v="2"/>
    <x v="1"/>
    <n v="584425"/>
    <n v="248702"/>
    <n v="58442487"/>
    <n v="584248"/>
    <n v="580245"/>
    <n v="582500"/>
    <n v="247500"/>
    <n v="332"/>
    <x v="0"/>
    <n v="0"/>
    <n v="0"/>
    <n v="0"/>
    <n v="-58.936502400000002"/>
    <n v="-58.936502400000002"/>
    <s v="NA"/>
    <s v="NA"/>
    <m/>
    <x v="6"/>
    <s v="Sud de la Fennoscandinavie, Pays baltes et ouest de la Russie"/>
    <n v="6"/>
    <s v="MESSJO-6"/>
    <s v="Abschuss, altitude 970m"/>
  </r>
  <r>
    <x v="141"/>
    <s v="ScoRus"/>
    <n v="1"/>
    <x v="0"/>
    <x v="0"/>
    <x v="0"/>
    <x v="0"/>
    <x v="138"/>
    <s v="NA"/>
    <x v="140"/>
    <x v="7"/>
    <m/>
    <x v="2"/>
    <x v="3"/>
    <s v="Montherod"/>
    <s v="Bois Masson"/>
    <n v="46.49967651"/>
    <n v="6.348272616"/>
    <n v="4"/>
    <n v="24"/>
    <x v="1"/>
    <n v="2017"/>
    <x v="73"/>
    <x v="43"/>
    <n v="69"/>
    <x v="7"/>
    <x v="3"/>
    <x v="2"/>
    <n v="516300"/>
    <n v="150400"/>
    <n v="51631504"/>
    <n v="516150"/>
    <n v="515150"/>
    <n v="517500"/>
    <n v="152500"/>
    <n v="296"/>
    <x v="0"/>
    <n v="0"/>
    <n v="0"/>
    <n v="0"/>
    <n v="-58.920507200000003"/>
    <n v="-58.920507200000003"/>
    <s v="NA"/>
    <s v="NA"/>
    <m/>
    <x v="6"/>
    <s v="Sud de la Fennoscandinavie, Pays baltes et ouest de la Russie"/>
    <n v="6"/>
    <s v="VUILFR-4"/>
    <s v="Abschuss"/>
  </r>
  <r>
    <x v="142"/>
    <s v="ScoRus"/>
    <n v="1"/>
    <x v="0"/>
    <x v="0"/>
    <x v="0"/>
    <x v="0"/>
    <x v="139"/>
    <s v="NA"/>
    <x v="141"/>
    <x v="7"/>
    <m/>
    <x v="1"/>
    <x v="1"/>
    <s v="Gambarogno"/>
    <s v="NA"/>
    <n v="46.13795855"/>
    <n v="8.8681345710000006"/>
    <n v="6"/>
    <n v="26"/>
    <x v="1"/>
    <n v="2017"/>
    <x v="61"/>
    <x v="31"/>
    <n v="71"/>
    <x v="7"/>
    <x v="3"/>
    <x v="2"/>
    <n v="710463"/>
    <n v="110614"/>
    <n v="71041106"/>
    <n v="710110"/>
    <n v="710110"/>
    <n v="712500"/>
    <n v="112500"/>
    <n v="308"/>
    <x v="0"/>
    <n v="0"/>
    <n v="0"/>
    <n v="0"/>
    <n v="-57.5430584"/>
    <n v="-57.5430584"/>
    <s v="NA"/>
    <s v="NA"/>
    <m/>
    <x v="6"/>
    <s v="Sud de la Fennoscandinavie, Pays baltes et ouest de la Russie"/>
    <n v="6"/>
    <s v="ESPOMA-4"/>
    <s v="Abschuss"/>
  </r>
  <r>
    <x v="143"/>
    <s v="ScoRus"/>
    <n v="1"/>
    <x v="0"/>
    <x v="0"/>
    <x v="0"/>
    <x v="0"/>
    <x v="140"/>
    <n v="-24.761749999999999"/>
    <x v="142"/>
    <x v="7"/>
    <m/>
    <x v="1"/>
    <x v="1"/>
    <s v="Isorno"/>
    <s v="Cortasiello"/>
    <n v="46.219653569999998"/>
    <n v="8.6888050539999995"/>
    <n v="5"/>
    <n v="1"/>
    <x v="1"/>
    <n v="2014"/>
    <x v="52"/>
    <x v="17"/>
    <n v="46"/>
    <x v="1"/>
    <x v="1"/>
    <x v="1"/>
    <n v="696462"/>
    <n v="119458"/>
    <n v="69641194"/>
    <n v="696119"/>
    <n v="695115"/>
    <n v="697500"/>
    <n v="117500"/>
    <n v="314"/>
    <x v="0"/>
    <n v="0"/>
    <n v="0"/>
    <n v="0"/>
    <n v="-57.08"/>
    <n v="-57.08"/>
    <n v="-79.400000000000006"/>
    <n v="-76.98"/>
    <m/>
    <x v="6"/>
    <s v="Sud de la Fennoscandinavie, Pays baltes et ouest de la Russie"/>
    <n v="6"/>
    <s v="CAVACO-12"/>
    <s v="Abschuss"/>
  </r>
  <r>
    <x v="144"/>
    <s v="ScoRus"/>
    <n v="1"/>
    <x v="0"/>
    <x v="0"/>
    <x v="0"/>
    <x v="0"/>
    <x v="141"/>
    <s v="NA"/>
    <x v="143"/>
    <x v="7"/>
    <m/>
    <x v="2"/>
    <x v="2"/>
    <s v="Ecuvillens"/>
    <s v="Bois Cornard"/>
    <n v="46.750146389999998"/>
    <n v="7.068597209"/>
    <n v="5"/>
    <n v="8"/>
    <x v="1"/>
    <n v="2017"/>
    <x v="66"/>
    <x v="2"/>
    <n v="53"/>
    <x v="2"/>
    <x v="2"/>
    <x v="1"/>
    <n v="571725"/>
    <n v="177729"/>
    <n v="57171777"/>
    <n v="571177"/>
    <n v="570175"/>
    <n v="572500"/>
    <n v="177500"/>
    <n v="285"/>
    <x v="0"/>
    <n v="0"/>
    <n v="0"/>
    <n v="0"/>
    <n v="-56.8692584"/>
    <n v="-56.8692584"/>
    <s v="NA"/>
    <s v="NA"/>
    <m/>
    <x v="6"/>
    <s v="Sud de la Fennoscandinavie, Pays baltes et ouest de la Russie"/>
    <n v="6"/>
    <s v="SAVABR-2"/>
    <s v="Abschuss"/>
  </r>
  <r>
    <x v="145"/>
    <s v="ScoRus"/>
    <n v="1"/>
    <x v="0"/>
    <x v="0"/>
    <x v="0"/>
    <x v="0"/>
    <x v="142"/>
    <n v="-23.232285709999999"/>
    <x v="144"/>
    <x v="7"/>
    <m/>
    <x v="0"/>
    <x v="0"/>
    <s v="Val-de-Ruz"/>
    <s v="La Petite Berthière"/>
    <n v="47.09206665"/>
    <n v="6.9214498249999998"/>
    <n v="6"/>
    <n v="1"/>
    <x v="1"/>
    <n v="2014"/>
    <x v="52"/>
    <x v="17"/>
    <n v="46"/>
    <x v="1"/>
    <x v="1"/>
    <x v="1"/>
    <n v="560732"/>
    <n v="215803"/>
    <n v="56072158"/>
    <n v="560215"/>
    <n v="560215"/>
    <n v="562500"/>
    <n v="217500"/>
    <n v="328"/>
    <x v="0"/>
    <n v="0"/>
    <n v="0"/>
    <n v="0"/>
    <n v="-56.39"/>
    <n v="-56.39"/>
    <n v="-78.7"/>
    <n v="-76.13"/>
    <m/>
    <x v="6"/>
    <s v="Sud de la Fennoscandinavie, Pays baltes et ouest de la Russie"/>
    <n v="6"/>
    <s v="PENAJA3"/>
    <s v="Abschuss"/>
  </r>
  <r>
    <x v="146"/>
    <s v="ScoRus"/>
    <n v="1"/>
    <x v="0"/>
    <x v="0"/>
    <x v="0"/>
    <x v="0"/>
    <x v="143"/>
    <n v="-22.90175"/>
    <x v="145"/>
    <x v="7"/>
    <m/>
    <x v="1"/>
    <x v="1"/>
    <s v="Monti di Bena"/>
    <s v="NA"/>
    <n v="46.094528259999997"/>
    <n v="8.9463617089999996"/>
    <n v="5"/>
    <n v="12"/>
    <x v="1"/>
    <n v="2014"/>
    <x v="74"/>
    <x v="26"/>
    <n v="57"/>
    <x v="6"/>
    <x v="2"/>
    <x v="2"/>
    <n v="716600"/>
    <n v="105900"/>
    <n v="71661059"/>
    <n v="716105"/>
    <n v="715105"/>
    <n v="717500"/>
    <n v="107500"/>
    <n v="378"/>
    <x v="0"/>
    <n v="0"/>
    <n v="0"/>
    <n v="0"/>
    <n v="-55.82"/>
    <n v="-55.82"/>
    <n v="-78.2"/>
    <n v="-75.41"/>
    <m/>
    <x v="6"/>
    <s v="Sud de la Fennoscandinavie, Pays baltes et ouest de la Russie"/>
    <n v="6"/>
    <s v="GRUBLO-6"/>
    <s v="Abschuss"/>
  </r>
  <r>
    <x v="147"/>
    <s v="ScoRus"/>
    <n v="1"/>
    <x v="0"/>
    <x v="0"/>
    <x v="0"/>
    <x v="0"/>
    <x v="144"/>
    <s v="NA"/>
    <x v="146"/>
    <x v="8"/>
    <m/>
    <x v="1"/>
    <x v="1"/>
    <s v="Gambarogno"/>
    <s v="Monte Gambarogno"/>
    <n v="46.1131441"/>
    <n v="8.8278605389999996"/>
    <n v="4"/>
    <n v="5"/>
    <x v="1"/>
    <n v="2017"/>
    <x v="75"/>
    <x v="22"/>
    <n v="50"/>
    <x v="3"/>
    <x v="1"/>
    <x v="1"/>
    <n v="707400"/>
    <n v="107800"/>
    <n v="70741078"/>
    <n v="707107"/>
    <n v="705105"/>
    <n v="707500"/>
    <n v="107500"/>
    <n v="287"/>
    <x v="0"/>
    <n v="0"/>
    <n v="0"/>
    <n v="0"/>
    <n v="-55.2293156"/>
    <n v="-55.2293156"/>
    <s v="NA"/>
    <s v="NA"/>
    <m/>
    <x v="6"/>
    <s v="Sud de la Fennoscandinavie, Pays baltes et ouest de la Russie"/>
    <n v="6"/>
    <s v="GNOSDA-5"/>
    <s v="Abschuss"/>
  </r>
  <r>
    <x v="148"/>
    <s v="ScoRus"/>
    <n v="1"/>
    <x v="0"/>
    <x v="0"/>
    <x v="0"/>
    <x v="0"/>
    <x v="145"/>
    <n v="-23.580749999999998"/>
    <x v="147"/>
    <x v="8"/>
    <m/>
    <x v="1"/>
    <x v="1"/>
    <s v="Gambarogno"/>
    <s v="Alpe Lierna"/>
    <n v="46.118476729999998"/>
    <n v="8.8331713220000001"/>
    <n v="4"/>
    <n v="28"/>
    <x v="0"/>
    <n v="2014"/>
    <x v="39"/>
    <x v="16"/>
    <n v="43"/>
    <x v="1"/>
    <x v="1"/>
    <x v="1"/>
    <n v="707800"/>
    <n v="108400"/>
    <n v="70781084"/>
    <n v="707108"/>
    <n v="705105"/>
    <n v="707500"/>
    <n v="107500"/>
    <n v="344"/>
    <x v="0"/>
    <n v="0"/>
    <n v="0"/>
    <n v="0"/>
    <n v="-54.94"/>
    <n v="-54.94"/>
    <n v="-77.3"/>
    <n v="-74.31"/>
    <m/>
    <x v="7"/>
    <s v="Europe centrale"/>
    <n v="5"/>
    <s v="GNOSDA-9"/>
    <s v="Abschuss"/>
  </r>
  <r>
    <x v="149"/>
    <s v="ScoRus"/>
    <n v="1"/>
    <x v="0"/>
    <x v="0"/>
    <x v="0"/>
    <x v="0"/>
    <x v="146"/>
    <s v="NA"/>
    <x v="148"/>
    <x v="8"/>
    <m/>
    <x v="1"/>
    <x v="1"/>
    <s v="Bearetto"/>
    <s v="Tre Croci"/>
    <n v="46.513441880000002"/>
    <n v="8.5475226010000007"/>
    <n v="5"/>
    <n v="25"/>
    <x v="0"/>
    <n v="2017"/>
    <x v="76"/>
    <x v="8"/>
    <n v="40"/>
    <x v="0"/>
    <x v="0"/>
    <x v="0"/>
    <n v="685100"/>
    <n v="151950"/>
    <n v="68511519"/>
    <n v="685151"/>
    <n v="685150"/>
    <n v="687500"/>
    <n v="152500"/>
    <n v="319"/>
    <x v="0"/>
    <n v="0"/>
    <n v="0"/>
    <n v="0"/>
    <n v="-54.562558000000003"/>
    <n v="-54.562558000000003"/>
    <s v="NA"/>
    <s v="NA"/>
    <m/>
    <x v="7"/>
    <s v="Europe centrale"/>
    <n v="5"/>
    <s v="ROSARE-2"/>
    <s v="Abschuss"/>
  </r>
  <r>
    <x v="150"/>
    <s v="ScoRus"/>
    <n v="1"/>
    <x v="0"/>
    <x v="0"/>
    <x v="0"/>
    <x v="0"/>
    <x v="147"/>
    <s v="NA"/>
    <x v="149"/>
    <x v="8"/>
    <m/>
    <x v="4"/>
    <x v="1"/>
    <s v="Cadenazzo"/>
    <s v="Prato Grasso"/>
    <n v="46.148498189999998"/>
    <n v="7.6418392700000002"/>
    <n v="4"/>
    <n v="11"/>
    <x v="1"/>
    <n v="2017"/>
    <x v="77"/>
    <x v="7"/>
    <n v="56"/>
    <x v="2"/>
    <x v="2"/>
    <x v="1"/>
    <n v="615700"/>
    <n v="110800"/>
    <n v="61571108"/>
    <n v="715110"/>
    <n v="715110"/>
    <n v="717500"/>
    <n v="112500"/>
    <n v="303"/>
    <x v="0"/>
    <n v="0"/>
    <n v="0"/>
    <n v="0"/>
    <n v="-54.404108000000001"/>
    <n v="-54.404108000000001"/>
    <s v="NA"/>
    <s v="NA"/>
    <m/>
    <x v="7"/>
    <s v="Europe centrale"/>
    <n v="5"/>
    <s v="GNOSDA-6"/>
    <s v="Abschuss"/>
  </r>
  <r>
    <x v="151"/>
    <s v="ScoRus"/>
    <n v="1"/>
    <x v="0"/>
    <x v="0"/>
    <x v="0"/>
    <x v="0"/>
    <x v="148"/>
    <s v="NA"/>
    <x v="150"/>
    <x v="8"/>
    <m/>
    <x v="1"/>
    <x v="1"/>
    <s v="Bioggio"/>
    <s v="Ronco"/>
    <n v="46.02071342"/>
    <n v="8.9303521929999992"/>
    <n v="6"/>
    <n v="26"/>
    <x v="1"/>
    <n v="2017"/>
    <x v="61"/>
    <x v="31"/>
    <n v="71"/>
    <x v="7"/>
    <x v="3"/>
    <x v="2"/>
    <n v="715518"/>
    <n v="97672"/>
    <n v="71550976"/>
    <n v="715097"/>
    <n v="715095"/>
    <n v="717500"/>
    <n v="97500"/>
    <n v="372"/>
    <x v="0"/>
    <n v="0"/>
    <n v="0"/>
    <n v="0"/>
    <n v="-53.901396599999998"/>
    <n v="-53.901396599999998"/>
    <s v="NA"/>
    <s v="NA"/>
    <m/>
    <x v="7"/>
    <s v="Europe centrale"/>
    <n v="5"/>
    <s v="PEDRAN-9"/>
    <s v="Abschuss"/>
  </r>
  <r>
    <x v="152"/>
    <s v="ScoRus"/>
    <n v="1"/>
    <x v="0"/>
    <x v="0"/>
    <x v="0"/>
    <x v="0"/>
    <x v="149"/>
    <s v="NA"/>
    <x v="151"/>
    <x v="8"/>
    <m/>
    <x v="2"/>
    <x v="2"/>
    <s v="Maules"/>
    <s v="Maules"/>
    <n v="46.63917618"/>
    <n v="7.0047208039999997"/>
    <n v="5"/>
    <n v="28"/>
    <x v="0"/>
    <n v="2017"/>
    <x v="59"/>
    <x v="16"/>
    <n v="43"/>
    <x v="1"/>
    <x v="1"/>
    <x v="1"/>
    <n v="566776"/>
    <n v="165418"/>
    <n v="56671654"/>
    <n v="566165"/>
    <n v="565165"/>
    <n v="567500"/>
    <n v="167500"/>
    <n v="325"/>
    <x v="0"/>
    <n v="0"/>
    <n v="0"/>
    <n v="0"/>
    <n v="-53.113114400000001"/>
    <n v="-53.113114400000001"/>
    <s v="NA"/>
    <s v="NA"/>
    <m/>
    <x v="7"/>
    <s v="Europe centrale"/>
    <n v="5"/>
    <s v="SAVABR-1"/>
    <s v="Abschuss"/>
  </r>
  <r>
    <x v="153"/>
    <s v="ScoRus"/>
    <n v="1"/>
    <x v="0"/>
    <x v="0"/>
    <x v="0"/>
    <x v="0"/>
    <x v="150"/>
    <n v="-24.40428571"/>
    <x v="152"/>
    <x v="8"/>
    <m/>
    <x v="0"/>
    <x v="0"/>
    <s v="Le Pâquier"/>
    <s v="Chuffort"/>
    <n v="47.097159920000003"/>
    <n v="7.002158916"/>
    <n v="6"/>
    <n v="14"/>
    <x v="1"/>
    <n v="2014"/>
    <x v="21"/>
    <x v="18"/>
    <n v="59"/>
    <x v="6"/>
    <x v="2"/>
    <x v="2"/>
    <n v="566863"/>
    <n v="216332"/>
    <n v="56682163"/>
    <n v="566216"/>
    <n v="565215"/>
    <n v="567500"/>
    <n v="217500"/>
    <n v="370"/>
    <x v="0"/>
    <n v="0"/>
    <n v="0"/>
    <n v="0"/>
    <n v="-52.96"/>
    <n v="-52.96"/>
    <n v="-75.2"/>
    <n v="-71.83"/>
    <m/>
    <x v="7"/>
    <s v="Europe centrale"/>
    <n v="5"/>
    <s v="PENAJA5"/>
    <s v="Abschuss"/>
  </r>
  <r>
    <x v="154"/>
    <s v="ScoRus"/>
    <n v="1"/>
    <x v="0"/>
    <x v="0"/>
    <x v="0"/>
    <x v="0"/>
    <x v="151"/>
    <n v="-24.535"/>
    <x v="153"/>
    <x v="8"/>
    <m/>
    <x v="1"/>
    <x v="1"/>
    <s v="Magadino"/>
    <s v="NA"/>
    <n v="46.123132869999999"/>
    <n v="8.8203516529999995"/>
    <n v="3"/>
    <n v="18"/>
    <x v="1"/>
    <n v="2014"/>
    <x v="54"/>
    <x v="24"/>
    <n v="63"/>
    <x v="5"/>
    <x v="3"/>
    <x v="2"/>
    <n v="706800"/>
    <n v="108900"/>
    <n v="70681089"/>
    <n v="706108"/>
    <n v="705105"/>
    <n v="707500"/>
    <n v="107500"/>
    <n v="309"/>
    <x v="0"/>
    <n v="0"/>
    <n v="0"/>
    <n v="0"/>
    <n v="-52.46"/>
    <n v="-52.46"/>
    <n v="-74.7"/>
    <n v="-71.209999999999994"/>
    <m/>
    <x v="7"/>
    <s v="Europe centrale"/>
    <n v="5"/>
    <s v="HAUKCL-5"/>
    <s v="Abschuss"/>
  </r>
  <r>
    <x v="155"/>
    <s v="ScoRus"/>
    <n v="1"/>
    <x v="0"/>
    <x v="0"/>
    <x v="0"/>
    <x v="0"/>
    <x v="152"/>
    <s v="NA"/>
    <x v="154"/>
    <x v="8"/>
    <m/>
    <x v="1"/>
    <x v="1"/>
    <s v="Bedretto"/>
    <s v="All acqua"/>
    <n v="46.483271109999997"/>
    <n v="8.4697778790000005"/>
    <n v="6"/>
    <n v="22"/>
    <x v="0"/>
    <n v="2017"/>
    <x v="78"/>
    <x v="21"/>
    <n v="37"/>
    <x v="4"/>
    <x v="0"/>
    <x v="0"/>
    <n v="679178"/>
    <n v="148515"/>
    <n v="67911485"/>
    <n v="679148"/>
    <n v="675145"/>
    <n v="677500"/>
    <n v="147500"/>
    <n v="315"/>
    <x v="0"/>
    <n v="0"/>
    <n v="0"/>
    <n v="0"/>
    <n v="-52.393694400000001"/>
    <n v="-52.393694400000001"/>
    <s v="NA"/>
    <s v="NA"/>
    <m/>
    <x v="7"/>
    <s v="Europe centrale"/>
    <n v="5"/>
    <s v="PEDRAN-1"/>
    <s v="Abschuss"/>
  </r>
  <r>
    <x v="156"/>
    <s v="ScoRus"/>
    <n v="1"/>
    <x v="0"/>
    <x v="0"/>
    <x v="0"/>
    <x v="0"/>
    <x v="153"/>
    <s v="NA"/>
    <x v="155"/>
    <x v="8"/>
    <m/>
    <x v="0"/>
    <x v="0"/>
    <s v="La Chaux-du-Milieu"/>
    <s v="La Rolle"/>
    <n v="46.986775999999999"/>
    <n v="6.669391364"/>
    <n v="6"/>
    <n v="25"/>
    <x v="0"/>
    <n v="2017"/>
    <x v="76"/>
    <x v="8"/>
    <n v="40"/>
    <x v="0"/>
    <x v="0"/>
    <x v="0"/>
    <n v="541480"/>
    <n v="204255"/>
    <n v="54142042"/>
    <n v="541204"/>
    <n v="540200"/>
    <n v="542500"/>
    <n v="202500"/>
    <n v="333"/>
    <x v="0"/>
    <n v="0"/>
    <n v="0"/>
    <n v="0"/>
    <n v="-52.077412199999998"/>
    <n v="-52.077412199999998"/>
    <s v="NA"/>
    <s v="NA"/>
    <m/>
    <x v="7"/>
    <s v="Europe centrale"/>
    <n v="5"/>
    <s v="MEISHE-4"/>
    <s v="Abschuss"/>
  </r>
  <r>
    <x v="157"/>
    <s v="ScoRus"/>
    <n v="1"/>
    <x v="0"/>
    <x v="0"/>
    <x v="0"/>
    <x v="0"/>
    <x v="154"/>
    <s v="NA"/>
    <x v="156"/>
    <x v="8"/>
    <m/>
    <x v="2"/>
    <x v="2"/>
    <s v="Ecuvillens"/>
    <s v="Bois Cornard"/>
    <n v="46.744740270000001"/>
    <n v="7.0631512709999997"/>
    <n v="5"/>
    <n v="22"/>
    <x v="1"/>
    <n v="2017"/>
    <x v="79"/>
    <x v="27"/>
    <n v="67"/>
    <x v="7"/>
    <x v="3"/>
    <x v="2"/>
    <n v="571306"/>
    <n v="177130"/>
    <n v="57131771"/>
    <n v="571177"/>
    <n v="570175"/>
    <n v="572500"/>
    <n v="177500"/>
    <n v="330"/>
    <x v="0"/>
    <n v="0"/>
    <n v="0"/>
    <n v="0"/>
    <n v="-51.996492000000003"/>
    <n v="-51.996492000000003"/>
    <s v="NA"/>
    <s v="NA"/>
    <m/>
    <x v="7"/>
    <s v="Europe centrale"/>
    <n v="5"/>
    <s v="SAVABR-3"/>
    <s v="Abschuss"/>
  </r>
  <r>
    <x v="158"/>
    <s v="ScoRus"/>
    <n v="1"/>
    <x v="0"/>
    <x v="0"/>
    <x v="0"/>
    <x v="0"/>
    <x v="155"/>
    <n v="-24.421749999999999"/>
    <x v="157"/>
    <x v="8"/>
    <m/>
    <x v="1"/>
    <x v="1"/>
    <s v="Onserrone"/>
    <s v="Fontana Vertüra"/>
    <n v="46.209936409999997"/>
    <n v="8.5620525349999994"/>
    <n v="6"/>
    <n v="21"/>
    <x v="0"/>
    <n v="2014"/>
    <x v="11"/>
    <x v="11"/>
    <n v="36"/>
    <x v="4"/>
    <x v="0"/>
    <x v="0"/>
    <n v="686698"/>
    <n v="118230"/>
    <n v="68661182"/>
    <n v="686118"/>
    <n v="685115"/>
    <n v="687500"/>
    <n v="117500"/>
    <n v="281"/>
    <x v="0"/>
    <n v="0"/>
    <n v="0"/>
    <n v="0"/>
    <n v="-51.47"/>
    <n v="-51.47"/>
    <n v="-73.7"/>
    <n v="-69.97"/>
    <m/>
    <x v="7"/>
    <s v="Europe centrale"/>
    <n v="5"/>
    <s v="ROSSEGI-1"/>
    <s v="Abschuss"/>
  </r>
  <r>
    <x v="159"/>
    <s v="ScoRus"/>
    <n v="1"/>
    <x v="0"/>
    <x v="0"/>
    <x v="0"/>
    <x v="0"/>
    <x v="156"/>
    <n v="-23.786000000000001"/>
    <x v="158"/>
    <x v="8"/>
    <m/>
    <x v="1"/>
    <x v="1"/>
    <s v="Isorno"/>
    <s v="Larasit"/>
    <n v="46.219653569999998"/>
    <n v="8.6888050539999995"/>
    <n v="5"/>
    <n v="28"/>
    <x v="0"/>
    <n v="2014"/>
    <x v="39"/>
    <x v="16"/>
    <n v="43"/>
    <x v="1"/>
    <x v="1"/>
    <x v="1"/>
    <n v="696462"/>
    <n v="119458"/>
    <n v="69641194"/>
    <n v="696119"/>
    <n v="695115"/>
    <n v="697500"/>
    <n v="117500"/>
    <n v="326"/>
    <x v="0"/>
    <n v="0"/>
    <n v="0"/>
    <n v="0"/>
    <n v="-50.05"/>
    <n v="-50.05"/>
    <n v="-72.3"/>
    <n v="-68.2"/>
    <m/>
    <x v="7"/>
    <s v="Europe centrale"/>
    <n v="5"/>
    <s v="CAVACO-10"/>
    <s v="Abschuss"/>
  </r>
  <r>
    <x v="160"/>
    <s v="ScoRus"/>
    <n v="1"/>
    <x v="0"/>
    <x v="0"/>
    <x v="0"/>
    <x v="0"/>
    <x v="157"/>
    <n v="-23.819199999999999"/>
    <x v="159"/>
    <x v="8"/>
    <m/>
    <x v="1"/>
    <x v="1"/>
    <s v="Ambri"/>
    <s v="Gassina di lago"/>
    <n v="46.502243309999997"/>
    <n v="8.641946506"/>
    <n v="5"/>
    <n v="19"/>
    <x v="1"/>
    <n v="2014"/>
    <x v="58"/>
    <x v="37"/>
    <n v="64"/>
    <x v="5"/>
    <x v="3"/>
    <x v="2"/>
    <n v="692365"/>
    <n v="150812"/>
    <n v="69231508"/>
    <n v="692150"/>
    <n v="690150"/>
    <n v="692500"/>
    <n v="152500"/>
    <n v="323"/>
    <x v="0"/>
    <n v="0"/>
    <n v="0"/>
    <n v="0"/>
    <n v="-49.94"/>
    <n v="-49.94"/>
    <n v="-72.2"/>
    <n v="-68.069999999999993"/>
    <m/>
    <x v="7"/>
    <s v="Europe centrale"/>
    <n v="5"/>
    <s v="CAVACO-1"/>
    <s v="Abschuss"/>
  </r>
  <r>
    <x v="161"/>
    <s v="ScoRus"/>
    <n v="1"/>
    <x v="0"/>
    <x v="0"/>
    <x v="0"/>
    <x v="0"/>
    <x v="158"/>
    <n v="-37.980553749999999"/>
    <x v="160"/>
    <x v="8"/>
    <m/>
    <x v="1"/>
    <x v="1"/>
    <s v="Gresso"/>
    <s v="Monte Quiello"/>
    <n v="46.22034051"/>
    <n v="8.6233401870000002"/>
    <n v="6"/>
    <n v="6"/>
    <x v="1"/>
    <n v="2013"/>
    <x v="19"/>
    <x v="13"/>
    <n v="51"/>
    <x v="3"/>
    <x v="1"/>
    <x v="1"/>
    <n v="691410"/>
    <n v="119456"/>
    <n v="69141194"/>
    <n v="691119"/>
    <n v="690115"/>
    <n v="692500"/>
    <n v="117500"/>
    <n v="316"/>
    <x v="0"/>
    <n v="0"/>
    <n v="0"/>
    <n v="0"/>
    <n v="-48.36"/>
    <n v="-48.36"/>
    <n v="-70.5"/>
    <n v="-66.08"/>
    <m/>
    <x v="7"/>
    <s v="Europe centrale"/>
    <n v="5"/>
    <s v="ROSSIGI-4"/>
    <s v="Abschuss"/>
  </r>
  <r>
    <x v="162"/>
    <s v="ScoRus"/>
    <n v="1"/>
    <x v="0"/>
    <x v="0"/>
    <x v="0"/>
    <x v="0"/>
    <x v="159"/>
    <s v="NA"/>
    <x v="161"/>
    <x v="9"/>
    <m/>
    <x v="1"/>
    <x v="1"/>
    <s v="Gambarogno"/>
    <s v="Pranaccio"/>
    <n v="46.13567338"/>
    <n v="8.8695500490000008"/>
    <n v="6"/>
    <n v="1"/>
    <x v="1"/>
    <n v="2017"/>
    <x v="80"/>
    <x v="17"/>
    <n v="46"/>
    <x v="1"/>
    <x v="1"/>
    <x v="1"/>
    <n v="710577"/>
    <n v="110362"/>
    <n v="71051103"/>
    <n v="710110"/>
    <n v="710110"/>
    <n v="712500"/>
    <n v="112500"/>
    <n v="302"/>
    <x v="0"/>
    <n v="0"/>
    <n v="0"/>
    <n v="0"/>
    <n v="-47.284092200000003"/>
    <n v="-47.284092200000003"/>
    <s v="NA"/>
    <s v="NA"/>
    <m/>
    <x v="7"/>
    <s v="Europe centrale"/>
    <n v="5"/>
    <s v="ESPOMA-1"/>
    <s v="Abschuss"/>
  </r>
  <r>
    <x v="163"/>
    <s v="ScoRus"/>
    <n v="1"/>
    <x v="0"/>
    <x v="0"/>
    <x v="0"/>
    <x v="0"/>
    <x v="160"/>
    <s v="NA"/>
    <x v="162"/>
    <x v="9"/>
    <m/>
    <x v="1"/>
    <x v="1"/>
    <s v="Gambarogno"/>
    <s v="Forcatelle"/>
    <n v="46.137688869999998"/>
    <n v="8.8794390310000004"/>
    <n v="6"/>
    <n v="15"/>
    <x v="1"/>
    <n v="2017"/>
    <x v="81"/>
    <x v="29"/>
    <n v="60"/>
    <x v="6"/>
    <x v="2"/>
    <x v="2"/>
    <n v="711337"/>
    <n v="110600"/>
    <n v="71131106"/>
    <n v="711110"/>
    <n v="710110"/>
    <n v="712500"/>
    <n v="112500"/>
    <n v="312"/>
    <x v="0"/>
    <n v="0"/>
    <n v="0"/>
    <n v="0"/>
    <n v="-47.035596400000003"/>
    <n v="-47.035596400000003"/>
    <s v="NA"/>
    <s v="NA"/>
    <m/>
    <x v="7"/>
    <s v="Europe centrale"/>
    <n v="5"/>
    <s v="ESPOMA-3"/>
    <s v="Abschuss"/>
  </r>
  <r>
    <x v="164"/>
    <s v="ScoRus"/>
    <n v="1"/>
    <x v="0"/>
    <x v="0"/>
    <x v="0"/>
    <x v="0"/>
    <x v="161"/>
    <s v="NA"/>
    <x v="163"/>
    <x v="9"/>
    <m/>
    <x v="2"/>
    <x v="2"/>
    <s v="Romanens"/>
    <s v="Les Verraux"/>
    <n v="46.659642359999999"/>
    <n v="6.9730557080000004"/>
    <n v="5"/>
    <n v="8"/>
    <x v="1"/>
    <n v="2017"/>
    <x v="66"/>
    <x v="2"/>
    <n v="53"/>
    <x v="2"/>
    <x v="2"/>
    <x v="1"/>
    <n v="564365"/>
    <n v="167707"/>
    <n v="56431677"/>
    <n v="564167"/>
    <n v="560165"/>
    <n v="562500"/>
    <n v="167500"/>
    <n v="335"/>
    <x v="0"/>
    <n v="0"/>
    <n v="0"/>
    <n v="0"/>
    <n v="-46.294632999999997"/>
    <n v="-46.294632999999997"/>
    <s v="NA"/>
    <s v="NA"/>
    <m/>
    <x v="7"/>
    <s v="Europe centrale"/>
    <n v="5"/>
    <s v="SAVALU-2"/>
    <s v="Abschuss, femelle"/>
  </r>
  <r>
    <x v="165"/>
    <s v="ScoRus"/>
    <n v="1"/>
    <x v="0"/>
    <x v="0"/>
    <x v="0"/>
    <x v="0"/>
    <x v="162"/>
    <s v="NA"/>
    <x v="164"/>
    <x v="9"/>
    <m/>
    <x v="0"/>
    <x v="4"/>
    <s v="Bourrignon"/>
    <s v="Chétion"/>
    <n v="47.384160000000001"/>
    <n v="7.2866400000000002"/>
    <n v="5"/>
    <n v="4"/>
    <x v="1"/>
    <n v="2017"/>
    <x v="82"/>
    <x v="3"/>
    <n v="49"/>
    <x v="3"/>
    <x v="1"/>
    <x v="1"/>
    <n v="588523"/>
    <n v="248159"/>
    <n v="58852481"/>
    <n v="588248"/>
    <n v="585245"/>
    <n v="587500"/>
    <n v="247500"/>
    <n v="316"/>
    <x v="0"/>
    <n v="0"/>
    <n v="0"/>
    <n v="0"/>
    <n v="-46.135631400000001"/>
    <n v="-46.135631400000001"/>
    <s v="NA"/>
    <s v="NA"/>
    <m/>
    <x v="7"/>
    <s v="Europe centrale"/>
    <n v="5"/>
    <s v="MESSJO-5"/>
    <s v="Abschuss, altitude 878m"/>
  </r>
  <r>
    <x v="166"/>
    <s v="ScoRus"/>
    <n v="1"/>
    <x v="0"/>
    <x v="0"/>
    <x v="0"/>
    <x v="0"/>
    <x v="163"/>
    <s v="NA"/>
    <x v="165"/>
    <x v="9"/>
    <m/>
    <x v="1"/>
    <x v="1"/>
    <s v="Olivone"/>
    <s v="Piana"/>
    <n v="46.522389650000001"/>
    <n v="8.9087432320000008"/>
    <n v="3"/>
    <n v="26"/>
    <x v="0"/>
    <n v="2017"/>
    <x v="83"/>
    <x v="0"/>
    <n v="41"/>
    <x v="0"/>
    <x v="0"/>
    <x v="0"/>
    <n v="712800"/>
    <n v="153400"/>
    <n v="71281534"/>
    <n v="712153"/>
    <n v="710150"/>
    <n v="712500"/>
    <n v="152500"/>
    <n v="302"/>
    <x v="0"/>
    <n v="0"/>
    <n v="0"/>
    <n v="0"/>
    <n v="-43.726944199999998"/>
    <n v="-43.726944199999998"/>
    <s v="NA"/>
    <s v="NA"/>
    <m/>
    <x v="8"/>
    <s v="Europe centrale"/>
    <n v="4"/>
    <s v="GNOSDA-3"/>
    <s v="Abschuss"/>
  </r>
  <r>
    <x v="167"/>
    <s v="ScoRus"/>
    <n v="1"/>
    <x v="0"/>
    <x v="0"/>
    <x v="0"/>
    <x v="0"/>
    <x v="164"/>
    <s v="NA"/>
    <x v="166"/>
    <x v="9"/>
    <m/>
    <x v="2"/>
    <x v="2"/>
    <s v="Chatelard"/>
    <s v="Derbali"/>
    <n v="46.675881599999997"/>
    <n v="7.000818808"/>
    <n v="3"/>
    <n v="8"/>
    <x v="1"/>
    <n v="2017"/>
    <x v="66"/>
    <x v="2"/>
    <n v="53"/>
    <x v="2"/>
    <x v="2"/>
    <x v="1"/>
    <n v="566500"/>
    <n v="169500"/>
    <n v="56651695"/>
    <n v="566169"/>
    <n v="565165"/>
    <n v="567500"/>
    <n v="167500"/>
    <n v="386"/>
    <x v="0"/>
    <n v="0"/>
    <n v="0"/>
    <n v="0"/>
    <n v="-43.3944112"/>
    <n v="-43.3944112"/>
    <s v="NA"/>
    <s v="NA"/>
    <m/>
    <x v="8"/>
    <s v="Europe centrale"/>
    <n v="4"/>
    <s v="DENEPA-4"/>
    <s v="Abschuss"/>
  </r>
  <r>
    <x v="168"/>
    <s v="ScoRus"/>
    <n v="1"/>
    <x v="0"/>
    <x v="0"/>
    <x v="0"/>
    <x v="0"/>
    <x v="165"/>
    <n v="-23.773"/>
    <x v="167"/>
    <x v="9"/>
    <m/>
    <x v="0"/>
    <x v="3"/>
    <s v="Ste-Croix"/>
    <s v="Soquêtre"/>
    <n v="46.84663269"/>
    <n v="6.4567335850000003"/>
    <n v="4"/>
    <n v="30"/>
    <x v="0"/>
    <n v="2015"/>
    <x v="84"/>
    <x v="23"/>
    <n v="45"/>
    <x v="1"/>
    <x v="1"/>
    <x v="1"/>
    <n v="525108"/>
    <n v="188857"/>
    <n v="52511888"/>
    <n v="525188"/>
    <n v="525185"/>
    <n v="527500"/>
    <n v="187500"/>
    <n v="330"/>
    <x v="0"/>
    <n v="0"/>
    <n v="0"/>
    <n v="0"/>
    <n v="-42.89"/>
    <n v="-42.89"/>
    <n v="-65"/>
    <n v="-59.25"/>
    <m/>
    <x v="8"/>
    <s v="Europe centrale"/>
    <n v="4"/>
    <s v="JOSEDA-5"/>
    <s v="Abschuss"/>
  </r>
  <r>
    <x v="169"/>
    <s v="ScoRus"/>
    <n v="1"/>
    <x v="0"/>
    <x v="0"/>
    <x v="0"/>
    <x v="0"/>
    <x v="166"/>
    <s v="NA"/>
    <x v="168"/>
    <x v="9"/>
    <m/>
    <x v="2"/>
    <x v="3"/>
    <s v="Apples"/>
    <s v="Les Bougeries"/>
    <n v="46.542534879999998"/>
    <n v="6.4099924460000004"/>
    <n v="4"/>
    <n v="20"/>
    <x v="1"/>
    <n v="2017"/>
    <x v="85"/>
    <x v="32"/>
    <n v="65"/>
    <x v="5"/>
    <x v="3"/>
    <x v="2"/>
    <n v="521100"/>
    <n v="155100"/>
    <n v="52111551"/>
    <n v="521155"/>
    <n v="520155"/>
    <n v="522500"/>
    <n v="157500"/>
    <n v="342"/>
    <x v="0"/>
    <n v="0"/>
    <n v="0"/>
    <n v="0"/>
    <n v="-42.780894199999999"/>
    <n v="-42.780894199999999"/>
    <s v="NA"/>
    <s v="NA"/>
    <m/>
    <x v="8"/>
    <s v="Europe centrale"/>
    <n v="4"/>
    <s v="VUILFR-2"/>
    <s v="Abschuss"/>
  </r>
  <r>
    <x v="170"/>
    <s v="ScoRus"/>
    <n v="1"/>
    <x v="0"/>
    <x v="0"/>
    <x v="0"/>
    <x v="0"/>
    <x v="167"/>
    <n v="-22.975285710000001"/>
    <x v="169"/>
    <x v="9"/>
    <m/>
    <x v="0"/>
    <x v="0"/>
    <s v="Les Geneveys-sur-Coffrane"/>
    <s v="La Grande Racine"/>
    <n v="47.02734469"/>
    <n v="6.8127679060000004"/>
    <n v="6"/>
    <n v="25"/>
    <x v="0"/>
    <n v="2014"/>
    <x v="8"/>
    <x v="8"/>
    <n v="40"/>
    <x v="0"/>
    <x v="0"/>
    <x v="0"/>
    <n v="552423"/>
    <n v="208668"/>
    <n v="55242086"/>
    <n v="552208"/>
    <n v="550205"/>
    <n v="552500"/>
    <n v="207500"/>
    <n v="325"/>
    <x v="0"/>
    <n v="0"/>
    <n v="0"/>
    <n v="0"/>
    <n v="-42.49"/>
    <n v="-42.49"/>
    <n v="-64.5"/>
    <n v="-58.75"/>
    <m/>
    <x v="8"/>
    <s v="Europe centrale"/>
    <n v="4"/>
    <s v="PENAJA1"/>
    <s v="Abschuss"/>
  </r>
  <r>
    <x v="171"/>
    <s v="ScoRus"/>
    <n v="1"/>
    <x v="0"/>
    <x v="0"/>
    <x v="0"/>
    <x v="0"/>
    <x v="168"/>
    <n v="-23.225285710000001"/>
    <x v="170"/>
    <x v="9"/>
    <m/>
    <x v="0"/>
    <x v="0"/>
    <s v="Malvilliers"/>
    <s v="Les Crétets"/>
    <n v="47.036705449999999"/>
    <n v="6.8583544520000004"/>
    <n v="6"/>
    <n v="8"/>
    <x v="1"/>
    <n v="2014"/>
    <x v="2"/>
    <x v="2"/>
    <n v="53"/>
    <x v="2"/>
    <x v="2"/>
    <x v="1"/>
    <n v="555896"/>
    <n v="209682"/>
    <n v="55582096"/>
    <n v="555209"/>
    <n v="555205"/>
    <n v="557500"/>
    <n v="207500"/>
    <n v="360"/>
    <x v="0"/>
    <n v="0"/>
    <n v="0"/>
    <n v="0"/>
    <n v="-41.87"/>
    <n v="-41.87"/>
    <n v="-63.9"/>
    <n v="-57.98"/>
    <m/>
    <x v="8"/>
    <s v="Europe centrale"/>
    <n v="4"/>
    <s v="BARBTH-1"/>
    <s v="Abschuss"/>
  </r>
  <r>
    <x v="172"/>
    <s v="ScoRus"/>
    <n v="1"/>
    <x v="0"/>
    <x v="0"/>
    <x v="0"/>
    <x v="0"/>
    <x v="169"/>
    <n v="60.38491148"/>
    <x v="171"/>
    <x v="9"/>
    <m/>
    <x v="1"/>
    <x v="1"/>
    <s v="Maggia"/>
    <s v="Monte Cavoo"/>
    <n v="46.22125277"/>
    <n v="8.7203386080000005"/>
    <n v="6"/>
    <s v="NA"/>
    <x v="2"/>
    <n v="2013"/>
    <x v="69"/>
    <x v="40"/>
    <s v=""/>
    <x v="11"/>
    <x v="7"/>
    <x v="5"/>
    <n v="698892"/>
    <n v="119675"/>
    <n v="69881196"/>
    <n v="698119"/>
    <n v="695115"/>
    <n v="697500"/>
    <n v="117500"/>
    <n v="317"/>
    <x v="0"/>
    <n v="0"/>
    <n v="0"/>
    <n v="0"/>
    <n v="-41.48"/>
    <n v="-41.48"/>
    <n v="-63.5"/>
    <n v="-57.49"/>
    <m/>
    <x v="8"/>
    <s v="Europe centrale"/>
    <n v="4"/>
    <s v="ROSSIGI-11"/>
    <s v="Abschuss"/>
  </r>
  <r>
    <x v="173"/>
    <s v="ScoRus"/>
    <n v="1"/>
    <x v="0"/>
    <x v="0"/>
    <x v="0"/>
    <x v="0"/>
    <x v="170"/>
    <n v="-23.787285709999999"/>
    <x v="172"/>
    <x v="9"/>
    <m/>
    <x v="0"/>
    <x v="0"/>
    <s v="Les Geneveys-sur-Coffrane"/>
    <s v="Les Arêtes"/>
    <n v="47.01211438"/>
    <n v="6.8076322989999998"/>
    <n v="6"/>
    <n v="8"/>
    <x v="1"/>
    <n v="2014"/>
    <x v="2"/>
    <x v="2"/>
    <n v="53"/>
    <x v="2"/>
    <x v="2"/>
    <x v="1"/>
    <n v="552019"/>
    <n v="206978"/>
    <n v="55202069"/>
    <n v="552206"/>
    <n v="550205"/>
    <n v="552500"/>
    <n v="207500"/>
    <n v="369"/>
    <x v="0"/>
    <n v="0"/>
    <n v="0"/>
    <n v="0"/>
    <n v="-40.119999999999997"/>
    <n v="-40.119999999999997"/>
    <n v="-62.1"/>
    <n v="-55.79"/>
    <m/>
    <x v="8"/>
    <s v="Europe centrale"/>
    <n v="4"/>
    <s v="PENAJA4"/>
    <s v="Abschuss"/>
  </r>
  <r>
    <x v="174"/>
    <s v="ScoRus"/>
    <n v="1"/>
    <x v="0"/>
    <x v="0"/>
    <x v="0"/>
    <x v="0"/>
    <x v="171"/>
    <n v="-33.650945669999999"/>
    <x v="173"/>
    <x v="9"/>
    <m/>
    <x v="0"/>
    <x v="0"/>
    <s v="NA"/>
    <s v="Vue-des-Alpes Mont d Amin"/>
    <n v="47.07882343"/>
    <n v="6.8787299400000004"/>
    <s v="NA"/>
    <n v="2"/>
    <x v="1"/>
    <n v="2013"/>
    <x v="86"/>
    <x v="4"/>
    <n v="47"/>
    <x v="3"/>
    <x v="1"/>
    <x v="1"/>
    <n v="557478"/>
    <n v="214353"/>
    <n v="55742143"/>
    <n v="557214"/>
    <n v="555210"/>
    <n v="557500"/>
    <n v="212500"/>
    <n v="358"/>
    <x v="0"/>
    <n v="0"/>
    <n v="0"/>
    <n v="0"/>
    <n v="-39.619999999999997"/>
    <n v="-39.619999999999997"/>
    <n v="-61.6"/>
    <n v="-55.16"/>
    <m/>
    <x v="8"/>
    <s v="Europe centrale"/>
    <n v="4"/>
    <s v="BARBTH-2"/>
    <s v="Abschuss"/>
  </r>
  <r>
    <x v="175"/>
    <s v="ScoRus"/>
    <n v="1"/>
    <x v="0"/>
    <x v="0"/>
    <x v="0"/>
    <x v="0"/>
    <x v="172"/>
    <n v="66.36595355"/>
    <x v="174"/>
    <x v="10"/>
    <m/>
    <x v="0"/>
    <x v="0"/>
    <s v="NA"/>
    <s v="Tête de Ran"/>
    <n v="47.051022930000002"/>
    <n v="6.8471838890000001"/>
    <s v="NA"/>
    <n v="24"/>
    <x v="0"/>
    <n v="2013"/>
    <x v="55"/>
    <x v="14"/>
    <n v="39"/>
    <x v="0"/>
    <x v="0"/>
    <x v="0"/>
    <n v="555059"/>
    <n v="211280"/>
    <n v="55502112"/>
    <n v="555211"/>
    <n v="555210"/>
    <n v="557500"/>
    <n v="212500"/>
    <n v="348"/>
    <x v="0"/>
    <n v="0"/>
    <n v="0"/>
    <n v="0"/>
    <n v="-39.26"/>
    <n v="-39.26"/>
    <n v="-61.2"/>
    <n v="-54.71"/>
    <m/>
    <x v="8"/>
    <s v="Europe centrale"/>
    <n v="4"/>
    <s v="BARBTH-1"/>
    <s v="Abschuss"/>
  </r>
  <r>
    <x v="176"/>
    <s v="ScoRus"/>
    <n v="1"/>
    <x v="0"/>
    <x v="0"/>
    <x v="0"/>
    <x v="0"/>
    <x v="173"/>
    <s v="NA"/>
    <x v="175"/>
    <x v="10"/>
    <m/>
    <x v="0"/>
    <x v="4"/>
    <s v="Bourrignon"/>
    <s v="Chétion"/>
    <n v="47.384180000000001"/>
    <n v="7.28146"/>
    <n v="5"/>
    <n v="23"/>
    <x v="0"/>
    <n v="2017"/>
    <x v="87"/>
    <x v="44"/>
    <n v="38"/>
    <x v="0"/>
    <x v="0"/>
    <x v="0"/>
    <n v="588132"/>
    <n v="248162"/>
    <n v="58812481"/>
    <n v="588248"/>
    <n v="585245"/>
    <n v="587500"/>
    <n v="247500"/>
    <n v="328"/>
    <x v="0"/>
    <n v="0"/>
    <n v="0"/>
    <n v="0"/>
    <n v="-38.663798399999997"/>
    <n v="-38.663798399999997"/>
    <s v="NA"/>
    <s v="NA"/>
    <m/>
    <x v="8"/>
    <s v="Europe centrale"/>
    <n v="4"/>
    <s v="MESSJO-2"/>
    <s v="Abschuss, altitude 852m"/>
  </r>
  <r>
    <x v="177"/>
    <s v="ScoRus"/>
    <n v="1"/>
    <x v="0"/>
    <x v="0"/>
    <x v="0"/>
    <x v="0"/>
    <x v="174"/>
    <s v="NA"/>
    <x v="176"/>
    <x v="10"/>
    <m/>
    <x v="1"/>
    <x v="1"/>
    <s v="Gademario"/>
    <s v="NA"/>
    <n v="46.017183129999999"/>
    <n v="8.8836887119999997"/>
    <n v="6"/>
    <n v="12"/>
    <x v="1"/>
    <n v="2017"/>
    <x v="88"/>
    <x v="26"/>
    <n v="57"/>
    <x v="6"/>
    <x v="2"/>
    <x v="2"/>
    <n v="711912"/>
    <n v="97212"/>
    <n v="71190972"/>
    <n v="711097"/>
    <n v="710095"/>
    <n v="712500"/>
    <n v="97500"/>
    <n v="322"/>
    <x v="0"/>
    <n v="0"/>
    <n v="0"/>
    <n v="0"/>
    <n v="-38.368516999999997"/>
    <n v="-38.368516999999997"/>
    <s v="NA"/>
    <s v="NA"/>
    <m/>
    <x v="8"/>
    <s v="Europe centrale"/>
    <n v="4"/>
    <s v="PEDRAN-4"/>
    <s v="Abschuss"/>
  </r>
  <r>
    <x v="178"/>
    <s v="ScoRus"/>
    <n v="1"/>
    <x v="0"/>
    <x v="0"/>
    <x v="0"/>
    <x v="0"/>
    <x v="175"/>
    <n v="-23.143000000000001"/>
    <x v="177"/>
    <x v="10"/>
    <m/>
    <x v="0"/>
    <x v="3"/>
    <s v="Ste-Croix"/>
    <s v="Soquêtre"/>
    <n v="46.844870649999997"/>
    <n v="6.4579195059999996"/>
    <n v="5"/>
    <n v="22"/>
    <x v="0"/>
    <n v="2015"/>
    <x v="89"/>
    <x v="21"/>
    <n v="37"/>
    <x v="4"/>
    <x v="0"/>
    <x v="0"/>
    <n v="525196"/>
    <n v="188660"/>
    <n v="52511886"/>
    <n v="525188"/>
    <n v="525185"/>
    <n v="527500"/>
    <n v="187500"/>
    <n v="270"/>
    <x v="0"/>
    <n v="0"/>
    <n v="0"/>
    <n v="0"/>
    <n v="-38.24"/>
    <n v="-38.24"/>
    <n v="-60.2"/>
    <n v="-53.43"/>
    <m/>
    <x v="8"/>
    <s v="Europe centrale"/>
    <n v="4"/>
    <s v="JOSEDA2"/>
    <s v="Abschuss"/>
  </r>
  <r>
    <x v="179"/>
    <s v="ScoRus"/>
    <n v="1"/>
    <x v="0"/>
    <x v="0"/>
    <x v="0"/>
    <x v="0"/>
    <x v="176"/>
    <n v="-23.987200000000001"/>
    <x v="178"/>
    <x v="10"/>
    <m/>
    <x v="1"/>
    <x v="1"/>
    <s v="Onserrone"/>
    <s v="Monte Burit"/>
    <n v="46.195616819999998"/>
    <n v="8.6139671500000006"/>
    <n v="5"/>
    <n v="9"/>
    <x v="1"/>
    <n v="2014"/>
    <x v="13"/>
    <x v="5"/>
    <n v="54"/>
    <x v="2"/>
    <x v="2"/>
    <x v="1"/>
    <n v="690728"/>
    <n v="116697"/>
    <n v="69071166"/>
    <n v="690116"/>
    <n v="690115"/>
    <n v="692500"/>
    <n v="117500"/>
    <n v="312"/>
    <x v="0"/>
    <n v="0"/>
    <n v="0"/>
    <n v="0"/>
    <n v="-37.04"/>
    <n v="-37.04"/>
    <n v="-59"/>
    <n v="-51.94"/>
    <m/>
    <x v="8"/>
    <s v="Europe centrale"/>
    <n v="4"/>
    <s v="ROSS-GI7"/>
    <s v="Abschuss"/>
  </r>
  <r>
    <x v="180"/>
    <s v="ScoRus"/>
    <n v="1"/>
    <x v="0"/>
    <x v="0"/>
    <x v="0"/>
    <x v="0"/>
    <x v="177"/>
    <s v="NA"/>
    <x v="179"/>
    <x v="10"/>
    <m/>
    <x v="1"/>
    <x v="1"/>
    <s v="Capriasca"/>
    <s v="Gola di Lago"/>
    <n v="46.107903159999999"/>
    <n v="8.9838818020000009"/>
    <n v="5"/>
    <n v="18"/>
    <x v="1"/>
    <n v="2017"/>
    <x v="90"/>
    <x v="24"/>
    <n v="63"/>
    <x v="5"/>
    <x v="3"/>
    <x v="2"/>
    <n v="719472"/>
    <n v="107443"/>
    <n v="71941074"/>
    <n v="719107"/>
    <n v="715105"/>
    <n v="717500"/>
    <n v="107500"/>
    <n v="303"/>
    <x v="0"/>
    <n v="0"/>
    <n v="0"/>
    <n v="0"/>
    <n v="-37.0012276"/>
    <n v="-37.0012276"/>
    <s v="NA"/>
    <s v="NA"/>
    <m/>
    <x v="8"/>
    <s v="Europe centrale"/>
    <n v="4"/>
    <s v="ROVEGA-1"/>
    <s v="Abschuss"/>
  </r>
  <r>
    <x v="181"/>
    <s v="ScoRus"/>
    <n v="1"/>
    <x v="0"/>
    <x v="0"/>
    <x v="0"/>
    <x v="0"/>
    <x v="178"/>
    <s v="NA"/>
    <x v="180"/>
    <x v="10"/>
    <m/>
    <x v="2"/>
    <x v="2"/>
    <s v="Avry-sur-Matran"/>
    <s v="Verdilloud"/>
    <n v="46.797958719999997"/>
    <n v="7.0802282099999996"/>
    <n v="5"/>
    <n v="14"/>
    <x v="1"/>
    <n v="2017"/>
    <x v="91"/>
    <x v="18"/>
    <n v="59"/>
    <x v="6"/>
    <x v="2"/>
    <x v="2"/>
    <n v="572638"/>
    <n v="183040"/>
    <n v="57261830"/>
    <n v="572183"/>
    <n v="570180"/>
    <n v="572500"/>
    <n v="182500"/>
    <n v="344"/>
    <x v="0"/>
    <n v="0"/>
    <n v="0"/>
    <n v="0"/>
    <n v="-36.9770264"/>
    <n v="-36.9770264"/>
    <s v="NA"/>
    <s v="NA"/>
    <m/>
    <x v="8"/>
    <s v="Europe centrale"/>
    <n v="4"/>
    <s v="DUCHPA-6"/>
    <s v="Abschuss"/>
  </r>
  <r>
    <x v="182"/>
    <s v="ScoRus"/>
    <n v="1"/>
    <x v="0"/>
    <x v="0"/>
    <x v="0"/>
    <x v="0"/>
    <x v="179"/>
    <s v="NA"/>
    <x v="181"/>
    <x v="10"/>
    <m/>
    <x v="2"/>
    <x v="2"/>
    <s v="Villarlod"/>
    <s v="Le Vemau"/>
    <n v="46.703011570000001"/>
    <n v="7.0398264749999999"/>
    <n v="3"/>
    <n v="9"/>
    <x v="1"/>
    <n v="2017"/>
    <x v="49"/>
    <x v="5"/>
    <n v="54"/>
    <x v="2"/>
    <x v="2"/>
    <x v="1"/>
    <n v="569500"/>
    <n v="172500"/>
    <n v="56951725"/>
    <n v="569172"/>
    <n v="565170"/>
    <n v="567500"/>
    <n v="172500"/>
    <n v="338"/>
    <x v="0"/>
    <n v="0"/>
    <n v="0"/>
    <n v="0"/>
    <n v="-36.7304496"/>
    <n v="-36.7304496"/>
    <s v="NA"/>
    <s v="NA"/>
    <m/>
    <x v="8"/>
    <s v="Europe centrale"/>
    <n v="4"/>
    <s v="DENEPA-5"/>
    <s v="Abschuss"/>
  </r>
  <r>
    <x v="183"/>
    <s v="ScoRus"/>
    <n v="1"/>
    <x v="0"/>
    <x v="0"/>
    <x v="0"/>
    <x v="0"/>
    <x v="180"/>
    <s v="NA"/>
    <x v="182"/>
    <x v="10"/>
    <m/>
    <x v="0"/>
    <x v="3"/>
    <s v="NA"/>
    <s v="NA"/>
    <n v="46.572177539999998"/>
    <n v="6.3102845810000003"/>
    <n v="3"/>
    <n v="9"/>
    <x v="1"/>
    <n v="2017"/>
    <x v="49"/>
    <x v="5"/>
    <n v="54"/>
    <x v="2"/>
    <x v="2"/>
    <x v="1"/>
    <n v="513500"/>
    <n v="158500"/>
    <n v="51351585"/>
    <n v="513158"/>
    <n v="510170"/>
    <n v="512500"/>
    <n v="172500"/>
    <n v="322"/>
    <x v="0"/>
    <n v="0"/>
    <n v="0"/>
    <n v="0"/>
    <n v="-35.5694704"/>
    <n v="-35.5694704"/>
    <s v="NA"/>
    <s v="NA"/>
    <m/>
    <x v="8"/>
    <s v="Europe centrale"/>
    <n v="4"/>
    <s v="ROTHMI-2"/>
    <s v="Abschuss"/>
  </r>
  <r>
    <x v="184"/>
    <s v="ScoRus"/>
    <n v="1"/>
    <x v="0"/>
    <x v="0"/>
    <x v="0"/>
    <x v="0"/>
    <x v="181"/>
    <s v="NA"/>
    <x v="183"/>
    <x v="10"/>
    <m/>
    <x v="0"/>
    <x v="3"/>
    <s v="Le Lieu"/>
    <s v="NA"/>
    <n v="46.670988090000002"/>
    <n v="6.2951509059999999"/>
    <n v="3"/>
    <n v="3"/>
    <x v="1"/>
    <n v="2017"/>
    <x v="31"/>
    <x v="25"/>
    <n v="48"/>
    <x v="3"/>
    <x v="1"/>
    <x v="1"/>
    <n v="512500"/>
    <n v="169500"/>
    <n v="51251695"/>
    <n v="512169"/>
    <n v="510165"/>
    <n v="512500"/>
    <n v="167500"/>
    <n v="352"/>
    <x v="0"/>
    <n v="0"/>
    <n v="0"/>
    <n v="0"/>
    <n v="-35.298269400000002"/>
    <n v="-35.298269400000002"/>
    <s v="NA"/>
    <s v="NA"/>
    <m/>
    <x v="8"/>
    <s v="Europe centrale"/>
    <n v="4"/>
    <s v="ROCHCL-3"/>
    <s v="Abschuss"/>
  </r>
  <r>
    <x v="185"/>
    <s v="ScoRus"/>
    <n v="1"/>
    <x v="0"/>
    <x v="0"/>
    <x v="0"/>
    <x v="0"/>
    <x v="182"/>
    <s v="NA"/>
    <x v="184"/>
    <x v="11"/>
    <m/>
    <x v="1"/>
    <x v="1"/>
    <s v="Cadenazzo"/>
    <s v="Rubasacco"/>
    <n v="46.129460559999998"/>
    <n v="8.9042871839999993"/>
    <n v="5"/>
    <n v="17"/>
    <x v="0"/>
    <n v="2017"/>
    <x v="92"/>
    <x v="34"/>
    <n v="32"/>
    <x v="8"/>
    <x v="4"/>
    <x v="0"/>
    <n v="713274"/>
    <n v="109721"/>
    <n v="71321097"/>
    <n v="713109"/>
    <n v="710105"/>
    <n v="712500"/>
    <n v="107500"/>
    <n v="270"/>
    <x v="0"/>
    <n v="0"/>
    <n v="0"/>
    <n v="0"/>
    <n v="-26.9593004"/>
    <n v="-26.9593004"/>
    <s v="NA"/>
    <s v="NA"/>
    <m/>
    <x v="9"/>
    <s v="Ouest de la France &amp; bassin méditerrannéen"/>
    <n v="3"/>
    <s v="PURASA-1"/>
    <s v="Abschuss"/>
  </r>
  <r>
    <x v="186"/>
    <s v="ScoRus"/>
    <n v="1"/>
    <x v="0"/>
    <x v="0"/>
    <x v="0"/>
    <x v="0"/>
    <x v="183"/>
    <s v="NA"/>
    <x v="185"/>
    <x v="11"/>
    <m/>
    <x v="1"/>
    <x v="1"/>
    <s v="Gimadera"/>
    <s v="Le Spine"/>
    <n v="46.075148149999997"/>
    <n v="9.046663337"/>
    <n v="5"/>
    <n v="11"/>
    <x v="1"/>
    <n v="2017"/>
    <x v="77"/>
    <x v="7"/>
    <n v="56"/>
    <x v="2"/>
    <x v="2"/>
    <x v="1"/>
    <n v="724400"/>
    <n v="103900"/>
    <n v="72441039"/>
    <n v="724103"/>
    <n v="720100"/>
    <n v="722500"/>
    <n v="102500"/>
    <n v="304"/>
    <x v="0"/>
    <n v="0"/>
    <n v="0"/>
    <n v="0"/>
    <n v="-25.781700000000001"/>
    <n v="-25.781700000000001"/>
    <s v="NA"/>
    <s v="NA"/>
    <m/>
    <x v="9"/>
    <s v="Ouest de la France &amp; bassin méditerrannéen"/>
    <n v="3"/>
    <s v="ANARGI-3"/>
    <s v="Abschuss"/>
  </r>
  <r>
    <x v="187"/>
    <s v="ScoRus"/>
    <n v="1"/>
    <x v="0"/>
    <x v="0"/>
    <x v="0"/>
    <x v="0"/>
    <x v="184"/>
    <s v="NA"/>
    <x v="186"/>
    <x v="11"/>
    <m/>
    <x v="0"/>
    <x v="0"/>
    <s v="Le Locle"/>
    <s v="Les Cottards"/>
    <n v="46.958262849999997"/>
    <n v="6.5762662680000004"/>
    <n v="5"/>
    <n v="23"/>
    <x v="0"/>
    <n v="2017"/>
    <x v="87"/>
    <x v="44"/>
    <n v="38"/>
    <x v="0"/>
    <x v="0"/>
    <x v="0"/>
    <n v="534361"/>
    <n v="201159"/>
    <n v="53432011"/>
    <n v="534201"/>
    <n v="530200"/>
    <n v="532500"/>
    <n v="202500"/>
    <n v="332"/>
    <x v="0"/>
    <n v="0"/>
    <n v="0"/>
    <n v="0"/>
    <n v="-25.2266558"/>
    <n v="-25.2266558"/>
    <s v="NA"/>
    <s v="NA"/>
    <m/>
    <x v="9"/>
    <s v="Ouest de la France &amp; bassin méditerrannéen"/>
    <n v="3"/>
    <s v="PRETFA-2"/>
    <s v="Abschuss"/>
  </r>
  <r>
    <x v="188"/>
    <s v="ScoRus"/>
    <n v="1"/>
    <x v="0"/>
    <x v="0"/>
    <x v="0"/>
    <x v="0"/>
    <x v="185"/>
    <n v="-22.41075"/>
    <x v="187"/>
    <x v="12"/>
    <m/>
    <x v="1"/>
    <x v="1"/>
    <s v="Isorno"/>
    <s v="Pizzone"/>
    <n v="46.219565060000001"/>
    <n v="8.6772286619999992"/>
    <n v="5"/>
    <n v="21"/>
    <x v="0"/>
    <n v="2014"/>
    <x v="11"/>
    <x v="11"/>
    <n v="36"/>
    <x v="4"/>
    <x v="0"/>
    <x v="0"/>
    <n v="695569"/>
    <n v="119434"/>
    <n v="69551194"/>
    <n v="695119"/>
    <n v="695115"/>
    <n v="697500"/>
    <n v="117500"/>
    <n v="339"/>
    <x v="0"/>
    <n v="0"/>
    <n v="0"/>
    <n v="0"/>
    <n v="-19.37"/>
    <n v="-19.37"/>
    <n v="-40.9"/>
    <n v="-29.86"/>
    <m/>
    <x v="10"/>
    <s v="Ouest de la France &amp; bassin méditerrannéen"/>
    <n v="2"/>
    <s v="CAVACO-7"/>
    <s v="Abschuss"/>
  </r>
  <r>
    <x v="189"/>
    <s v="ScoRus"/>
    <n v="1"/>
    <x v="0"/>
    <x v="0"/>
    <x v="1"/>
    <x v="0"/>
    <x v="186"/>
    <s v="NA"/>
    <x v="188"/>
    <x v="12"/>
    <m/>
    <x v="0"/>
    <x v="5"/>
    <s v="Ville du Pont"/>
    <s v="Les Jeannirons"/>
    <n v="46.988877819999999"/>
    <n v="6.4748904999999999"/>
    <n v="6"/>
    <n v="2"/>
    <x v="1"/>
    <n v="2017"/>
    <x v="26"/>
    <x v="4"/>
    <n v="47"/>
    <x v="3"/>
    <x v="1"/>
    <x v="1"/>
    <n v="526688"/>
    <n v="204653"/>
    <n v="52662046"/>
    <n v="526204"/>
    <n v="525200"/>
    <n v="527500"/>
    <n v="202500"/>
    <s v="NA"/>
    <x v="0"/>
    <n v="0"/>
    <n v="0"/>
    <n v="0"/>
    <n v="-12.8490929"/>
    <n v="-16.940219893999998"/>
    <s v="NA"/>
    <s v="NA"/>
    <n v="-16.940219893999998"/>
    <x v="10"/>
    <s v="Suisse"/>
    <n v="1"/>
    <s v="K115162"/>
    <s v="Abschuss, indigène"/>
  </r>
  <r>
    <x v="190"/>
    <s v="ScoRus"/>
    <n v="1"/>
    <x v="0"/>
    <x v="0"/>
    <x v="0"/>
    <x v="1"/>
    <x v="187"/>
    <n v="-24.065666666666662"/>
    <x v="189"/>
    <x v="7"/>
    <m/>
    <x v="0"/>
    <x v="0"/>
    <s v="Boveresse"/>
    <s v="Petites îles"/>
    <n v="46.916020000000003"/>
    <n v="6.6073300000000001"/>
    <n v="6"/>
    <n v="22"/>
    <x v="3"/>
    <n v="2018"/>
    <x v="93"/>
    <x v="45"/>
    <s v=""/>
    <x v="12"/>
    <x v="8"/>
    <x v="6"/>
    <n v="536676"/>
    <n v="196439"/>
    <n v="53661964"/>
    <n v="536196"/>
    <n v="535195"/>
    <n v="537500"/>
    <n v="197500"/>
    <s v="NA"/>
    <x v="1"/>
    <n v="1"/>
    <n v="0"/>
    <n v="0"/>
    <n v="-62.078218500000006"/>
    <n v="-59.277267910000006"/>
    <s v="NA"/>
    <s v="NA"/>
    <n v="-59.277267910000006"/>
    <x v="6"/>
    <s v="Sud de la Fennoscandinavie, Pays baltes et ouest de la Russie"/>
    <m/>
    <s v="K122019"/>
    <s v="Fang"/>
  </r>
  <r>
    <x v="191"/>
    <s v="ScoRus"/>
    <n v="1"/>
    <x v="0"/>
    <x v="0"/>
    <x v="1"/>
    <x v="1"/>
    <x v="188"/>
    <n v="-22.536428571428576"/>
    <x v="190"/>
    <x v="8"/>
    <m/>
    <x v="0"/>
    <x v="0"/>
    <s v="Val-de-Travers"/>
    <s v="Grand Suvagnier"/>
    <n v="46.857303999999999"/>
    <n v="6.5194470000000004"/>
    <n v="6"/>
    <n v="24"/>
    <x v="4"/>
    <n v="2018"/>
    <x v="94"/>
    <x v="46"/>
    <s v=""/>
    <x v="13"/>
    <x v="9"/>
    <x v="7"/>
    <n v="529914"/>
    <n v="189982"/>
    <n v="52991899"/>
    <s v="529189"/>
    <n v="525185"/>
    <n v="527500"/>
    <n v="187500"/>
    <s v="NA"/>
    <x v="1"/>
    <n v="0"/>
    <n v="1"/>
    <n v="0"/>
    <n v="-57.253002000000009"/>
    <n v="-55.127581720000009"/>
    <s v="NA"/>
    <s v="NA"/>
    <n v="-55.127581720000009"/>
    <x v="6"/>
    <s v="Suisse"/>
    <m/>
    <s v="K122030"/>
    <s v="Fang"/>
  </r>
  <r>
    <x v="192"/>
    <s v="ScoRus"/>
    <n v="1"/>
    <x v="0"/>
    <x v="0"/>
    <x v="0"/>
    <x v="1"/>
    <x v="189"/>
    <s v="NA"/>
    <x v="191"/>
    <x v="8"/>
    <m/>
    <x v="0"/>
    <x v="0"/>
    <s v="Val-de-Travers"/>
    <s v="Signal des Francais"/>
    <n v="46.935235579999997"/>
    <n v="6.5849226249999999"/>
    <n v="6"/>
    <n v="24"/>
    <x v="3"/>
    <n v="2017"/>
    <x v="95"/>
    <x v="47"/>
    <s v=""/>
    <x v="12"/>
    <x v="8"/>
    <x v="6"/>
    <n v="534993"/>
    <n v="198593"/>
    <n v="53491985"/>
    <n v="534198"/>
    <n v="530195"/>
    <n v="532500"/>
    <n v="197500"/>
    <s v="NA"/>
    <x v="1"/>
    <n v="1"/>
    <n v="0"/>
    <n v="0"/>
    <n v="-56.5244669"/>
    <n v="-54.501041534000002"/>
    <s v="NA"/>
    <s v="NA"/>
    <n v="-54.501041534000002"/>
    <x v="7"/>
    <s v="Europe centrale"/>
    <n v="6"/>
    <s v="K118499"/>
    <s v="Fang"/>
  </r>
  <r>
    <x v="193"/>
    <s v="ScoRus"/>
    <n v="1"/>
    <x v="0"/>
    <x v="0"/>
    <x v="0"/>
    <x v="1"/>
    <x v="190"/>
    <n v="-25.168666666666663"/>
    <x v="192"/>
    <x v="8"/>
    <m/>
    <x v="0"/>
    <x v="0"/>
    <s v="Boveresse"/>
    <s v="Petites îles"/>
    <n v="46.9163"/>
    <n v="6.6070599999999997"/>
    <n v="6"/>
    <n v="22"/>
    <x v="3"/>
    <n v="2018"/>
    <x v="93"/>
    <x v="45"/>
    <s v=""/>
    <x v="12"/>
    <x v="8"/>
    <x v="6"/>
    <n v="536656"/>
    <n v="196470"/>
    <n v="53661964"/>
    <n v="536196"/>
    <n v="535195"/>
    <n v="537500"/>
    <n v="197500"/>
    <s v="NA"/>
    <x v="1"/>
    <n v="1"/>
    <n v="0"/>
    <n v="0"/>
    <n v="-53.707112000000009"/>
    <n v="-52.078116320000007"/>
    <s v="NA"/>
    <s v="NA"/>
    <n v="-52.078116320000007"/>
    <x v="7"/>
    <s v="Europe centrale"/>
    <m/>
    <s v="K122020"/>
    <s v="Fang"/>
  </r>
  <r>
    <x v="194"/>
    <s v="ScoRus"/>
    <n v="1"/>
    <x v="0"/>
    <x v="0"/>
    <x v="1"/>
    <x v="1"/>
    <x v="191"/>
    <n v="-24.601428571428574"/>
    <x v="193"/>
    <x v="8"/>
    <m/>
    <x v="0"/>
    <x v="0"/>
    <s v="Les Verrières"/>
    <s v="Derrière Chincul"/>
    <n v="46.942126999999999"/>
    <n v="6.4785760000000003"/>
    <n v="6"/>
    <n v="18"/>
    <x v="4"/>
    <n v="2018"/>
    <x v="96"/>
    <x v="48"/>
    <s v=""/>
    <x v="14"/>
    <x v="10"/>
    <x v="7"/>
    <n v="526904"/>
    <n v="199437"/>
    <n v="52691994"/>
    <s v="526199"/>
    <n v="525195"/>
    <n v="527500"/>
    <n v="197500"/>
    <s v="NA"/>
    <x v="1"/>
    <n v="0"/>
    <n v="1"/>
    <n v="0"/>
    <n v="-51.272182500000014"/>
    <n v="-49.984076950000009"/>
    <s v="NA"/>
    <s v="NA"/>
    <n v="-49.984076950000009"/>
    <x v="7"/>
    <s v="Suisse"/>
    <m/>
    <s v="K122028"/>
    <s v="Fang"/>
  </r>
  <r>
    <x v="195"/>
    <s v="ScoRus"/>
    <n v="1"/>
    <x v="0"/>
    <x v="0"/>
    <x v="1"/>
    <x v="1"/>
    <x v="192"/>
    <s v="NA"/>
    <x v="194"/>
    <x v="9"/>
    <m/>
    <x v="0"/>
    <x v="3"/>
    <s v="Mauborget"/>
    <s v="Joux Sus Les Planches"/>
    <n v="46.872664579999999"/>
    <n v="6.6037290889999998"/>
    <n v="6"/>
    <n v="18"/>
    <x v="5"/>
    <n v="2017"/>
    <x v="97"/>
    <x v="49"/>
    <s v=""/>
    <x v="15"/>
    <x v="11"/>
    <x v="8"/>
    <n v="536350"/>
    <n v="191622"/>
    <n v="53631916"/>
    <n v="536191"/>
    <n v="535190"/>
    <n v="537500"/>
    <n v="192500"/>
    <s v="NA"/>
    <x v="1"/>
    <n v="0"/>
    <n v="1"/>
    <n v="0"/>
    <n v="-47.7174221"/>
    <n v="-46.926983006"/>
    <s v="NA"/>
    <s v="NA"/>
    <n v="-46.926983006"/>
    <x v="7"/>
    <s v="Suisse"/>
    <n v="5"/>
    <s v="K116320"/>
    <s v="Fang"/>
  </r>
  <r>
    <x v="196"/>
    <s v="ScoRus"/>
    <n v="1"/>
    <x v="0"/>
    <x v="0"/>
    <x v="1"/>
    <x v="1"/>
    <x v="193"/>
    <n v="-23.321666666666662"/>
    <x v="195"/>
    <x v="9"/>
    <m/>
    <x v="0"/>
    <x v="0"/>
    <s v="La Chaux-du-Milieu"/>
    <s v="Plans Dernier"/>
    <n v="46.989804128380513"/>
    <n v="6.6756187134169203"/>
    <n v="6"/>
    <n v="10"/>
    <x v="4"/>
    <n v="2018"/>
    <x v="98"/>
    <x v="50"/>
    <s v=""/>
    <x v="16"/>
    <x v="12"/>
    <x v="9"/>
    <n v="541942"/>
    <n v="204586"/>
    <n v="54192045"/>
    <n v="541204"/>
    <n v="540200"/>
    <n v="542500"/>
    <n v="202500"/>
    <s v="NA"/>
    <x v="1"/>
    <n v="0"/>
    <n v="1"/>
    <n v="0"/>
    <n v="-46.283702000000005"/>
    <n v="-45.693983720000006"/>
    <s v="NA"/>
    <s v="NA"/>
    <n v="-45.693983720000006"/>
    <x v="7"/>
    <s v="Suisse"/>
    <m/>
    <s v="K122022"/>
    <s v="Fang"/>
  </r>
  <r>
    <x v="197"/>
    <s v="ScoRus"/>
    <n v="1"/>
    <x v="0"/>
    <x v="0"/>
    <x v="1"/>
    <x v="1"/>
    <x v="194"/>
    <n v="-23.417428571428577"/>
    <x v="196"/>
    <x v="9"/>
    <m/>
    <x v="0"/>
    <x v="0"/>
    <s v="Gorgier"/>
    <s v="Le Cernu"/>
    <n v="46.939292999999999"/>
    <n v="6.7456009999999997"/>
    <n v="6"/>
    <n v="26"/>
    <x v="4"/>
    <n v="2018"/>
    <x v="99"/>
    <x v="51"/>
    <s v=""/>
    <x v="17"/>
    <x v="9"/>
    <x v="7"/>
    <n v="547231"/>
    <n v="198923"/>
    <n v="54721989"/>
    <n v="547198"/>
    <n v="545195"/>
    <n v="547500"/>
    <n v="197500"/>
    <s v="NA"/>
    <x v="1"/>
    <n v="0"/>
    <n v="1"/>
    <n v="0"/>
    <n v="-45.685492500000002"/>
    <n v="-45.179523549999999"/>
    <s v="NA"/>
    <s v="NA"/>
    <n v="-45.179523549999999"/>
    <x v="7"/>
    <s v="Suisse"/>
    <m/>
    <s v="K122031"/>
    <s v="Fang"/>
  </r>
  <r>
    <x v="198"/>
    <s v="ScoRus"/>
    <n v="1"/>
    <x v="0"/>
    <x v="0"/>
    <x v="1"/>
    <x v="1"/>
    <x v="195"/>
    <n v="-23.648666666666664"/>
    <x v="197"/>
    <x v="9"/>
    <m/>
    <x v="0"/>
    <x v="0"/>
    <s v="Val-de-Travers"/>
    <s v="Bois du Pré Guillaume"/>
    <n v="46.885719000000002"/>
    <n v="6.5919629999999998"/>
    <n v="6"/>
    <n v="11"/>
    <x v="4"/>
    <n v="2018"/>
    <x v="100"/>
    <x v="52"/>
    <s v=""/>
    <x v="18"/>
    <x v="10"/>
    <x v="9"/>
    <n v="535457"/>
    <n v="193084"/>
    <n v="53541930"/>
    <n v="535193"/>
    <n v="535190"/>
    <n v="537500"/>
    <n v="192500"/>
    <s v="NA"/>
    <x v="1"/>
    <n v="0"/>
    <n v="1"/>
    <n v="0"/>
    <n v="-41.334762000000005"/>
    <n v="-41.437895320000003"/>
    <s v="NA"/>
    <s v="NA"/>
    <n v="-41.437895320000003"/>
    <x v="8"/>
    <s v="Suisse"/>
    <m/>
    <s v="K122023"/>
    <s v="Fang"/>
  </r>
  <r>
    <x v="199"/>
    <s v="ScoRus"/>
    <n v="1"/>
    <x v="0"/>
    <x v="0"/>
    <x v="1"/>
    <x v="1"/>
    <x v="196"/>
    <n v="-23.109428571428577"/>
    <x v="198"/>
    <x v="9"/>
    <m/>
    <x v="0"/>
    <x v="0"/>
    <s v="Gorgier"/>
    <s v="Le Cernu"/>
    <n v="46.939423741743127"/>
    <n v="6.7456277783524161"/>
    <n v="6"/>
    <n v="26"/>
    <x v="6"/>
    <n v="2018"/>
    <x v="101"/>
    <x v="53"/>
    <s v=""/>
    <x v="19"/>
    <x v="13"/>
    <x v="10"/>
    <n v="547233"/>
    <n v="198937"/>
    <n v="54721989"/>
    <n v="547198"/>
    <n v="545195"/>
    <n v="547500"/>
    <n v="197500"/>
    <s v="NA"/>
    <x v="1"/>
    <n v="0"/>
    <n v="1"/>
    <n v="0"/>
    <n v="-39.897273500000011"/>
    <n v="-40.201655210000013"/>
    <s v="NA"/>
    <s v="NA"/>
    <n v="-40.201655210000013"/>
    <x v="8"/>
    <s v="Suisse"/>
    <m/>
    <s v="K122037"/>
    <s v="Fang"/>
  </r>
  <r>
    <x v="200"/>
    <s v="ScoRus"/>
    <n v="1"/>
    <x v="0"/>
    <x v="0"/>
    <x v="1"/>
    <x v="1"/>
    <x v="197"/>
    <s v="NA"/>
    <x v="199"/>
    <x v="10"/>
    <m/>
    <x v="0"/>
    <x v="0"/>
    <s v="La Chaux-du-Milieu"/>
    <s v="Plans Dernier"/>
    <n v="46.988754720000003"/>
    <n v="6.6760805850000002"/>
    <n v="6"/>
    <n v="13"/>
    <x v="4"/>
    <n v="2017"/>
    <x v="102"/>
    <x v="54"/>
    <s v=""/>
    <x v="18"/>
    <x v="10"/>
    <x v="9"/>
    <n v="541992"/>
    <n v="204471"/>
    <n v="54192044"/>
    <n v="541204"/>
    <n v="540200"/>
    <n v="542500"/>
    <n v="202500"/>
    <s v="NA"/>
    <x v="1"/>
    <n v="0"/>
    <n v="1"/>
    <n v="0"/>
    <n v="-38.886846200000001"/>
    <n v="-39.332687732000004"/>
    <s v="NA"/>
    <s v="NA"/>
    <n v="-39.332687732000004"/>
    <x v="8"/>
    <s v="Suisse"/>
    <n v="4"/>
    <s v="K116303"/>
    <s v="Fang"/>
  </r>
  <r>
    <x v="201"/>
    <s v="ScoRus"/>
    <n v="1"/>
    <x v="0"/>
    <x v="0"/>
    <x v="1"/>
    <x v="1"/>
    <x v="198"/>
    <n v="-22.840428571428575"/>
    <x v="200"/>
    <x v="10"/>
    <m/>
    <x v="0"/>
    <x v="0"/>
    <s v="Les Verrières"/>
    <s v="Le Facteur"/>
    <n v="46.95550188910817"/>
    <n v="6.5073753784385042"/>
    <n v="6"/>
    <n v="7"/>
    <x v="5"/>
    <n v="2018"/>
    <x v="103"/>
    <x v="55"/>
    <s v=""/>
    <x v="20"/>
    <x v="14"/>
    <x v="11"/>
    <n v="529114"/>
    <n v="200912"/>
    <n v="52912009"/>
    <s v="529200"/>
    <n v="525200"/>
    <n v="527500"/>
    <n v="202500"/>
    <s v="NA"/>
    <x v="1"/>
    <n v="0"/>
    <n v="1"/>
    <n v="0"/>
    <n v="-37.582241000000003"/>
    <n v="-38.210727260000006"/>
    <s v="NA"/>
    <s v="NA"/>
    <n v="-38.210727260000006"/>
    <x v="8"/>
    <s v="Suisse"/>
    <m/>
    <s v="K122040"/>
    <s v="Fang"/>
  </r>
  <r>
    <x v="202"/>
    <s v="ScoRus"/>
    <n v="1"/>
    <x v="0"/>
    <x v="0"/>
    <x v="1"/>
    <x v="1"/>
    <x v="199"/>
    <s v="NA"/>
    <x v="201"/>
    <x v="10"/>
    <m/>
    <x v="0"/>
    <x v="0"/>
    <s v="Val-de-Travers"/>
    <s v="Les Placettes"/>
    <n v="46.933473999999997"/>
    <n v="6.5044213050000002"/>
    <n v="6"/>
    <n v="23"/>
    <x v="6"/>
    <n v="2017"/>
    <x v="104"/>
    <x v="56"/>
    <s v=""/>
    <x v="21"/>
    <x v="13"/>
    <x v="10"/>
    <n v="528861"/>
    <n v="198467"/>
    <n v="52881984"/>
    <n v="528198"/>
    <n v="525195"/>
    <n v="527500"/>
    <n v="197500"/>
    <s v="NA"/>
    <x v="1"/>
    <n v="0"/>
    <n v="1"/>
    <n v="0"/>
    <n v="-37.482362899999998"/>
    <n v="-38.124832093999999"/>
    <s v="NA"/>
    <s v="NA"/>
    <n v="-38.124832093999999"/>
    <x v="8"/>
    <s v="Suisse"/>
    <n v="4"/>
    <s v="K116313"/>
    <s v="Fang"/>
  </r>
  <r>
    <x v="203"/>
    <s v="ScoRus"/>
    <n v="1"/>
    <x v="0"/>
    <x v="0"/>
    <x v="1"/>
    <x v="1"/>
    <x v="200"/>
    <n v="-22.202483869999998"/>
    <x v="202"/>
    <x v="10"/>
    <m/>
    <x v="0"/>
    <x v="0"/>
    <s v="La Brévine"/>
    <s v="Bois de Vaux"/>
    <n v="46.956040000000002"/>
    <n v="6.4973999999999998"/>
    <n v="6"/>
    <n v="24"/>
    <x v="5"/>
    <n v="2015"/>
    <x v="105"/>
    <x v="57"/>
    <s v=""/>
    <x v="22"/>
    <x v="15"/>
    <x v="8"/>
    <n v="528356"/>
    <n v="200982"/>
    <n v="52832009"/>
    <n v="528200"/>
    <n v="525200"/>
    <n v="527500"/>
    <n v="202500"/>
    <n v="262"/>
    <x v="1"/>
    <n v="0"/>
    <n v="1"/>
    <n v="0"/>
    <n v="-36.79"/>
    <n v="-37.529399999999995"/>
    <n v="-58.7"/>
    <n v="-51.62"/>
    <n v="-37.529399999999995"/>
    <x v="8"/>
    <s v="Suisse"/>
    <n v="4"/>
    <s v="K112959"/>
    <s v="Fang"/>
  </r>
  <r>
    <x v="204"/>
    <s v="ScoRus"/>
    <n v="1"/>
    <x v="0"/>
    <x v="0"/>
    <x v="1"/>
    <x v="1"/>
    <x v="201"/>
    <n v="-22.557428571428574"/>
    <x v="203"/>
    <x v="10"/>
    <m/>
    <x v="0"/>
    <x v="0"/>
    <s v="Val-de-Ruz"/>
    <s v="Grande Forêt"/>
    <n v="47.022271376133645"/>
    <n v="6.8328999215852511"/>
    <n v="6"/>
    <n v="14"/>
    <x v="5"/>
    <n v="2018"/>
    <x v="106"/>
    <x v="58"/>
    <s v=""/>
    <x v="15"/>
    <x v="11"/>
    <x v="8"/>
    <n v="553949"/>
    <n v="208092"/>
    <n v="55392080"/>
    <n v="553208"/>
    <n v="550205"/>
    <n v="552500"/>
    <n v="207500"/>
    <s v="NA"/>
    <x v="1"/>
    <n v="0"/>
    <n v="1"/>
    <n v="0"/>
    <n v="-36.583524500000003"/>
    <n v="-37.351831070000003"/>
    <s v="NA"/>
    <s v="NA"/>
    <n v="-37.351831070000003"/>
    <x v="8"/>
    <s v="Suisse"/>
    <m/>
    <s v="K122041"/>
    <s v="Fang"/>
  </r>
  <r>
    <x v="205"/>
    <s v="ScoRus"/>
    <n v="1"/>
    <x v="0"/>
    <x v="0"/>
    <x v="1"/>
    <x v="1"/>
    <x v="202"/>
    <n v="-22.893428571428576"/>
    <x v="204"/>
    <x v="10"/>
    <m/>
    <x v="0"/>
    <x v="3"/>
    <s v="Mauborget"/>
    <s v="Saigne de Crève-Cœur"/>
    <n v="46.877703973733752"/>
    <n v="6.6101578713519551"/>
    <n v="6"/>
    <n v="25"/>
    <x v="6"/>
    <n v="2018"/>
    <x v="107"/>
    <x v="59"/>
    <s v=""/>
    <x v="21"/>
    <x v="13"/>
    <x v="10"/>
    <n v="536846"/>
    <n v="192176"/>
    <n v="53681921"/>
    <n v="536192"/>
    <n v="535190"/>
    <n v="537500"/>
    <n v="192500"/>
    <s v="NA"/>
    <x v="1"/>
    <n v="0"/>
    <n v="1"/>
    <n v="0"/>
    <n v="-35.293994000000005"/>
    <n v="-36.24283484"/>
    <s v="NA"/>
    <s v="NA"/>
    <n v="-36.24283484"/>
    <x v="8"/>
    <s v="Suisse"/>
    <m/>
    <s v="K122036"/>
    <s v="Fang"/>
  </r>
  <r>
    <x v="206"/>
    <s v="ScoRus"/>
    <n v="1"/>
    <x v="0"/>
    <x v="0"/>
    <x v="1"/>
    <x v="1"/>
    <x v="203"/>
    <n v="-21.378428571428575"/>
    <x v="205"/>
    <x v="10"/>
    <m/>
    <x v="0"/>
    <x v="3"/>
    <s v="Bullet"/>
    <s v="La Grande Joux"/>
    <n v="46.850265116850537"/>
    <n v="6.5523354663209785"/>
    <n v="6"/>
    <n v="1"/>
    <x v="5"/>
    <n v="2018"/>
    <x v="108"/>
    <x v="60"/>
    <s v=""/>
    <x v="23"/>
    <x v="14"/>
    <x v="11"/>
    <n v="532404"/>
    <n v="189174"/>
    <n v="53241891"/>
    <n v="532189"/>
    <n v="530185"/>
    <n v="532500"/>
    <n v="187500"/>
    <s v="NA"/>
    <x v="1"/>
    <n v="0"/>
    <n v="1"/>
    <n v="0"/>
    <n v="-34.722570000000005"/>
    <n v="-35.751410200000002"/>
    <s v="NA"/>
    <s v="NA"/>
    <n v="-35.751410200000002"/>
    <x v="8"/>
    <s v="Suisse"/>
    <m/>
    <s v="K122039"/>
    <s v="Fang"/>
  </r>
  <r>
    <x v="207"/>
    <s v="ScoRus"/>
    <n v="1"/>
    <x v="0"/>
    <x v="0"/>
    <x v="1"/>
    <x v="1"/>
    <x v="204"/>
    <s v="NA"/>
    <x v="206"/>
    <x v="10"/>
    <m/>
    <x v="0"/>
    <x v="0"/>
    <s v="Val-de-Travers"/>
    <s v="La Grande Robella"/>
    <n v="46.865259389999999"/>
    <n v="6.5314308609999996"/>
    <n v="6"/>
    <n v="30"/>
    <x v="4"/>
    <n v="2017"/>
    <x v="109"/>
    <x v="61"/>
    <s v=""/>
    <x v="17"/>
    <x v="9"/>
    <x v="12"/>
    <n v="530829"/>
    <n v="190860"/>
    <n v="53081908"/>
    <n v="530190"/>
    <n v="530190"/>
    <n v="532500"/>
    <n v="192500"/>
    <s v="NA"/>
    <x v="1"/>
    <n v="0"/>
    <n v="1"/>
    <n v="0"/>
    <n v="-34.523791099999997"/>
    <n v="-35.580460345999995"/>
    <s v="NA"/>
    <s v="NA"/>
    <n v="-35.580460345999995"/>
    <x v="8"/>
    <s v="Suisse"/>
    <n v="3"/>
    <s v="K116309"/>
    <s v="Fang"/>
  </r>
  <r>
    <x v="208"/>
    <s v="ScoRus"/>
    <n v="1"/>
    <x v="0"/>
    <x v="0"/>
    <x v="1"/>
    <x v="1"/>
    <x v="205"/>
    <n v="-22.520387100000001"/>
    <x v="207"/>
    <x v="10"/>
    <m/>
    <x v="0"/>
    <x v="0"/>
    <s v="Gorgier"/>
    <s v="Le Croza"/>
    <n v="46.939315999999998"/>
    <n v="6.7455800000000004"/>
    <n v="6"/>
    <n v="26"/>
    <x v="5"/>
    <n v="2015"/>
    <x v="110"/>
    <x v="62"/>
    <s v=""/>
    <x v="24"/>
    <x v="15"/>
    <x v="8"/>
    <n v="547231"/>
    <n v="198925"/>
    <n v="54721989"/>
    <n v="547198"/>
    <n v="545195"/>
    <n v="547500"/>
    <n v="197500"/>
    <n v="265"/>
    <x v="1"/>
    <n v="0"/>
    <n v="1"/>
    <n v="0"/>
    <n v="-34.06"/>
    <n v="-35.181600000000003"/>
    <n v="-55.9"/>
    <n v="-48.22"/>
    <n v="-35.181600000000003"/>
    <x v="8"/>
    <s v="Suisse"/>
    <n v="3"/>
    <s v="K112960"/>
    <s v="Fang"/>
  </r>
  <r>
    <x v="209"/>
    <s v="ScoRus"/>
    <n v="1"/>
    <x v="0"/>
    <x v="0"/>
    <x v="1"/>
    <x v="1"/>
    <x v="206"/>
    <n v="-23.637666666666664"/>
    <x v="208"/>
    <x v="10"/>
    <m/>
    <x v="0"/>
    <x v="0"/>
    <s v="La Chaux-du-Milieu"/>
    <s v="Plans Dernier"/>
    <n v="46.989804128380513"/>
    <n v="6.6756187134169203"/>
    <n v="6"/>
    <n v="17"/>
    <x v="4"/>
    <n v="2018"/>
    <x v="111"/>
    <x v="63"/>
    <s v=""/>
    <x v="14"/>
    <x v="10"/>
    <x v="7"/>
    <n v="541957"/>
    <n v="204587"/>
    <n v="54192045"/>
    <n v="541204"/>
    <n v="540200"/>
    <n v="542500"/>
    <n v="202500"/>
    <s v="NA"/>
    <x v="1"/>
    <n v="0"/>
    <n v="1"/>
    <n v="0"/>
    <n v="-32.735341000000005"/>
    <n v="-34.042393260000004"/>
    <s v="NA"/>
    <s v="NA"/>
    <n v="-34.042393260000004"/>
    <x v="9"/>
    <s v="Suisse"/>
    <m/>
    <s v="K122025"/>
    <s v="Fang"/>
  </r>
  <r>
    <x v="210"/>
    <s v="ScoRus"/>
    <n v="1"/>
    <x v="0"/>
    <x v="0"/>
    <x v="1"/>
    <x v="1"/>
    <x v="207"/>
    <n v="-22.549428571428574"/>
    <x v="209"/>
    <x v="10"/>
    <m/>
    <x v="0"/>
    <x v="0"/>
    <s v="Les Verrières"/>
    <s v="Grosse Prise"/>
    <n v="46.957912337020197"/>
    <n v="6.4941292111832905"/>
    <n v="6"/>
    <n v="29"/>
    <x v="5"/>
    <n v="2018"/>
    <x v="112"/>
    <x v="64"/>
    <s v=""/>
    <x v="24"/>
    <x v="15"/>
    <x v="13"/>
    <n v="528109"/>
    <n v="201192"/>
    <n v="52812011"/>
    <s v="528201"/>
    <n v="525200"/>
    <n v="527500"/>
    <n v="202500"/>
    <s v="NA"/>
    <x v="1"/>
    <n v="0"/>
    <n v="1"/>
    <n v="0"/>
    <n v="-32.709831000000001"/>
    <n v="-34.020454659999999"/>
    <s v="NA"/>
    <s v="NA"/>
    <n v="-34.020454659999999"/>
    <x v="9"/>
    <s v="Suisse"/>
    <m/>
    <s v="K122042"/>
    <s v="Fang"/>
  </r>
  <r>
    <x v="211"/>
    <s v="ScoRus"/>
    <n v="1"/>
    <x v="0"/>
    <x v="0"/>
    <x v="1"/>
    <x v="1"/>
    <x v="208"/>
    <s v="NA"/>
    <x v="210"/>
    <x v="10"/>
    <m/>
    <x v="0"/>
    <x v="0"/>
    <s v="Les Verrières"/>
    <s v="Pierre Marquée"/>
    <n v="46.931926420000003"/>
    <n v="6.4999832099999999"/>
    <n v="6"/>
    <n v="9"/>
    <x v="6"/>
    <n v="2017"/>
    <x v="113"/>
    <x v="65"/>
    <s v=""/>
    <x v="25"/>
    <x v="16"/>
    <x v="12"/>
    <n v="528521"/>
    <n v="198299"/>
    <n v="52851982"/>
    <n v="528198"/>
    <n v="525195"/>
    <n v="527500"/>
    <n v="197500"/>
    <s v="NA"/>
    <x v="1"/>
    <n v="0"/>
    <n v="1"/>
    <n v="0"/>
    <n v="-31.979213000000001"/>
    <n v="-33.392123179999999"/>
    <s v="NA"/>
    <s v="NA"/>
    <n v="-33.392123179999999"/>
    <x v="9"/>
    <s v="Suisse"/>
    <n v="3"/>
    <s v="K116312_A"/>
    <s v="Fang"/>
  </r>
  <r>
    <x v="212"/>
    <s v="ScoRus"/>
    <n v="1"/>
    <x v="0"/>
    <x v="0"/>
    <x v="1"/>
    <x v="1"/>
    <x v="209"/>
    <n v="-23.580666666666662"/>
    <x v="211"/>
    <x v="10"/>
    <m/>
    <x v="0"/>
    <x v="0"/>
    <s v="La Chaux-du-Milieu"/>
    <s v="Plans Dernier"/>
    <n v="46.989804128380513"/>
    <n v="6.6756187134169203"/>
    <n v="6"/>
    <n v="16"/>
    <x v="4"/>
    <n v="2018"/>
    <x v="114"/>
    <x v="66"/>
    <s v=""/>
    <x v="14"/>
    <x v="10"/>
    <x v="7"/>
    <n v="541957"/>
    <n v="204587"/>
    <n v="54192045"/>
    <n v="541204"/>
    <n v="540200"/>
    <n v="542500"/>
    <n v="202500"/>
    <s v="NA"/>
    <x v="1"/>
    <n v="0"/>
    <n v="1"/>
    <n v="0"/>
    <n v="-31.551677000000005"/>
    <n v="-33.024442220000005"/>
    <s v="NA"/>
    <s v="NA"/>
    <n v="-33.024442220000005"/>
    <x v="9"/>
    <s v="Suisse"/>
    <m/>
    <s v="K122024"/>
    <s v="Fang"/>
  </r>
  <r>
    <x v="213"/>
    <s v="ScoRus"/>
    <n v="1"/>
    <x v="0"/>
    <x v="0"/>
    <x v="1"/>
    <x v="1"/>
    <x v="210"/>
    <n v="-22.00193548"/>
    <x v="212"/>
    <x v="10"/>
    <m/>
    <x v="3"/>
    <x v="2"/>
    <s v="Gruyère"/>
    <s v="La Trême, Riau d Enfer"/>
    <n v="46.568413200000002"/>
    <n v="7.0087315669999999"/>
    <n v="6"/>
    <n v="19"/>
    <x v="5"/>
    <n v="2015"/>
    <x v="115"/>
    <x v="67"/>
    <s v=""/>
    <x v="15"/>
    <x v="11"/>
    <x v="8"/>
    <n v="567040"/>
    <n v="157550"/>
    <n v="56701575"/>
    <n v="567157"/>
    <n v="565155"/>
    <n v="567500"/>
    <n v="157500"/>
    <s v="NA"/>
    <x v="1"/>
    <n v="0"/>
    <n v="1"/>
    <n v="0"/>
    <n v="-31.49"/>
    <n v="-32.971399999999996"/>
    <n v="-53.3"/>
    <n v="-45"/>
    <n v="-32.971399999999996"/>
    <x v="9"/>
    <s v="Suisse"/>
    <n v="3"/>
    <s v="RIMEYA01"/>
    <s v="Fang"/>
  </r>
  <r>
    <x v="214"/>
    <s v="ScoRus"/>
    <n v="1"/>
    <x v="0"/>
    <x v="0"/>
    <x v="1"/>
    <x v="1"/>
    <x v="211"/>
    <n v="-23.10174194"/>
    <x v="213"/>
    <x v="10"/>
    <m/>
    <x v="3"/>
    <x v="2"/>
    <s v="Gruyère"/>
    <s v="La Trême, entre Joux derrière et les Vilieux"/>
    <n v="46.563969749999998"/>
    <n v="7.0041107509999998"/>
    <n v="6"/>
    <n v="10"/>
    <x v="5"/>
    <n v="2015"/>
    <x v="116"/>
    <x v="68"/>
    <s v=""/>
    <x v="15"/>
    <x v="11"/>
    <x v="11"/>
    <n v="566683"/>
    <n v="157058"/>
    <n v="56661570"/>
    <n v="566157"/>
    <n v="565155"/>
    <n v="567500"/>
    <n v="157500"/>
    <s v="NA"/>
    <x v="1"/>
    <n v="0"/>
    <n v="1"/>
    <n v="0"/>
    <n v="-31.3"/>
    <n v="-32.808"/>
    <n v="-53.1"/>
    <n v="-44.76"/>
    <n v="-32.808"/>
    <x v="9"/>
    <s v="Suisse"/>
    <n v="3"/>
    <s v="GREJE01"/>
    <s v="Fang"/>
  </r>
  <r>
    <x v="215"/>
    <s v="ScoRus"/>
    <n v="1"/>
    <x v="0"/>
    <x v="0"/>
    <x v="1"/>
    <x v="1"/>
    <x v="212"/>
    <s v="NA"/>
    <x v="214"/>
    <x v="10"/>
    <m/>
    <x v="0"/>
    <x v="0"/>
    <s v="La Chaux-du-Milieu"/>
    <s v="Plans Dernier"/>
    <n v="46.989804130000003"/>
    <n v="6.6756187130000004"/>
    <n v="6"/>
    <n v="16"/>
    <x v="5"/>
    <n v="2017"/>
    <x v="117"/>
    <x v="69"/>
    <s v=""/>
    <x v="15"/>
    <x v="11"/>
    <x v="8"/>
    <n v="541958"/>
    <n v="204588"/>
    <n v="54192045"/>
    <n v="541204"/>
    <n v="540200"/>
    <n v="542500"/>
    <n v="202500"/>
    <s v="NA"/>
    <x v="1"/>
    <n v="0"/>
    <n v="1"/>
    <n v="0"/>
    <n v="-30.2961545"/>
    <n v="-31.944692870000001"/>
    <s v="NA"/>
    <s v="NA"/>
    <n v="-31.944692870000001"/>
    <x v="9"/>
    <s v="Suisse"/>
    <n v="3"/>
    <s v="K115185"/>
    <s v="Fang"/>
  </r>
  <r>
    <x v="216"/>
    <s v="ScoRus"/>
    <n v="1"/>
    <x v="0"/>
    <x v="0"/>
    <x v="1"/>
    <x v="1"/>
    <x v="213"/>
    <n v="-22.928838710000001"/>
    <x v="215"/>
    <x v="11"/>
    <m/>
    <x v="3"/>
    <x v="2"/>
    <s v="Gruyère"/>
    <s v="La Trême, entre Joux derrière et les Vilieux"/>
    <n v="46.563969749999998"/>
    <n v="7.0041107509999998"/>
    <n v="6"/>
    <n v="10"/>
    <x v="5"/>
    <n v="2015"/>
    <x v="116"/>
    <x v="68"/>
    <s v=""/>
    <x v="15"/>
    <x v="11"/>
    <x v="11"/>
    <n v="566683"/>
    <n v="157058"/>
    <n v="56661570"/>
    <n v="566157"/>
    <n v="565155"/>
    <n v="567500"/>
    <n v="157500"/>
    <s v="NA"/>
    <x v="1"/>
    <n v="0"/>
    <n v="1"/>
    <n v="0"/>
    <n v="-28.01"/>
    <n v="-29.9786"/>
    <n v="-49.8"/>
    <n v="-40.65"/>
    <n v="-29.9786"/>
    <x v="9"/>
    <s v="Suisse"/>
    <n v="3"/>
    <s v="GREJE02"/>
    <s v="Fang"/>
  </r>
  <r>
    <x v="217"/>
    <s v="ScoRus"/>
    <n v="1"/>
    <x v="0"/>
    <x v="0"/>
    <x v="1"/>
    <x v="1"/>
    <x v="214"/>
    <n v="-22.643428571428572"/>
    <x v="216"/>
    <x v="11"/>
    <m/>
    <x v="0"/>
    <x v="3"/>
    <s v="Bullet"/>
    <s v="La Grande Joux"/>
    <n v="46.850239000000002"/>
    <n v="6.5521029999999998"/>
    <n v="6"/>
    <n v="18"/>
    <x v="6"/>
    <n v="2018"/>
    <x v="118"/>
    <x v="70"/>
    <s v=""/>
    <x v="26"/>
    <x v="17"/>
    <x v="10"/>
    <n v="532395"/>
    <n v="189175"/>
    <n v="53231891"/>
    <n v="532189"/>
    <n v="530185"/>
    <n v="532500"/>
    <n v="187500"/>
    <s v="NA"/>
    <x v="1"/>
    <n v="0"/>
    <n v="1"/>
    <n v="0"/>
    <n v="-27.156303999999999"/>
    <n v="-29.24442144"/>
    <s v="NA"/>
    <s v="NA"/>
    <n v="-29.24442144"/>
    <x v="9"/>
    <s v="Suisse"/>
    <m/>
    <s v="K122032"/>
    <s v="Fang"/>
  </r>
  <r>
    <x v="218"/>
    <s v="ScoRus"/>
    <n v="1"/>
    <x v="0"/>
    <x v="0"/>
    <x v="1"/>
    <x v="1"/>
    <x v="215"/>
    <n v="-23.002666666666663"/>
    <x v="217"/>
    <x v="11"/>
    <m/>
    <x v="0"/>
    <x v="0"/>
    <s v="La Chaux-du-Milieu"/>
    <s v="Plans Dernier"/>
    <n v="46.989804128380513"/>
    <n v="6.6756187134169203"/>
    <n v="6"/>
    <n v="5"/>
    <x v="4"/>
    <n v="2018"/>
    <x v="119"/>
    <x v="71"/>
    <s v=""/>
    <x v="27"/>
    <x v="12"/>
    <x v="9"/>
    <n v="541957"/>
    <n v="204587"/>
    <n v="54192045"/>
    <n v="541204"/>
    <n v="540200"/>
    <n v="542500"/>
    <n v="202500"/>
    <s v="NA"/>
    <x v="1"/>
    <n v="0"/>
    <n v="1"/>
    <n v="0"/>
    <n v="-27.030029500000005"/>
    <n v="-29.135825370000003"/>
    <s v="NA"/>
    <s v="NA"/>
    <n v="-29.135825370000003"/>
    <x v="9"/>
    <s v="Suisse"/>
    <m/>
    <s v="K118500"/>
    <s v="Fang"/>
  </r>
  <r>
    <x v="219"/>
    <s v="ScoRus"/>
    <n v="1"/>
    <x v="0"/>
    <x v="0"/>
    <x v="1"/>
    <x v="1"/>
    <x v="216"/>
    <s v="NA"/>
    <x v="218"/>
    <x v="11"/>
    <m/>
    <x v="0"/>
    <x v="0"/>
    <s v="Val-de-Travers"/>
    <s v="Montagnette du Terreau"/>
    <n v="46.884682429999998"/>
    <n v="6.5999606670000004"/>
    <n v="6"/>
    <n v="21"/>
    <x v="4"/>
    <n v="2017"/>
    <x v="120"/>
    <x v="72"/>
    <s v=""/>
    <x v="13"/>
    <x v="9"/>
    <x v="7"/>
    <n v="536077"/>
    <n v="192961"/>
    <n v="53601929"/>
    <n v="536192"/>
    <n v="535190"/>
    <n v="537500"/>
    <n v="192500"/>
    <s v="NA"/>
    <x v="1"/>
    <n v="0"/>
    <n v="1"/>
    <n v="0"/>
    <n v="-26.419316299999998"/>
    <n v="-28.610612017999998"/>
    <s v="NA"/>
    <s v="NA"/>
    <n v="-28.610612017999998"/>
    <x v="9"/>
    <s v="Suisse"/>
    <n v="3"/>
    <s v="K116305"/>
    <s v="Fang"/>
  </r>
  <r>
    <x v="220"/>
    <s v="ScoRus"/>
    <n v="1"/>
    <x v="0"/>
    <x v="0"/>
    <x v="1"/>
    <x v="1"/>
    <x v="217"/>
    <s v="NA"/>
    <x v="219"/>
    <x v="11"/>
    <m/>
    <x v="0"/>
    <x v="0"/>
    <s v="Les Ponts de Martel"/>
    <s v="Plan Calame"/>
    <n v="47.007839070000003"/>
    <n v="6.7243481689999998"/>
    <n v="6"/>
    <n v="30"/>
    <x v="3"/>
    <n v="2017"/>
    <x v="121"/>
    <x v="73"/>
    <s v=""/>
    <x v="28"/>
    <x v="8"/>
    <x v="6"/>
    <n v="545683"/>
    <n v="206558"/>
    <n v="54562065"/>
    <n v="545206"/>
    <n v="545205"/>
    <n v="547500"/>
    <n v="207500"/>
    <s v="NA"/>
    <x v="1"/>
    <n v="1"/>
    <n v="0"/>
    <n v="0"/>
    <n v="-26.413604899999999"/>
    <n v="-28.605700213999999"/>
    <s v="NA"/>
    <s v="NA"/>
    <n v="-28.605700213999999"/>
    <x v="9"/>
    <s v="Suisse"/>
    <n v="3"/>
    <s v="K118500"/>
    <s v="Fang"/>
  </r>
  <r>
    <x v="221"/>
    <s v="ScoRus"/>
    <n v="1"/>
    <x v="0"/>
    <x v="0"/>
    <x v="1"/>
    <x v="1"/>
    <x v="218"/>
    <n v="-22.688428571428574"/>
    <x v="220"/>
    <x v="11"/>
    <m/>
    <x v="0"/>
    <x v="3"/>
    <s v="Mauborget"/>
    <s v="Saigne de Crève-Cœur"/>
    <n v="46.877703593915989"/>
    <n v="6.6101054016219045"/>
    <n v="6"/>
    <n v="25"/>
    <x v="6"/>
    <n v="2018"/>
    <x v="107"/>
    <x v="59"/>
    <s v=""/>
    <x v="21"/>
    <x v="13"/>
    <x v="10"/>
    <n v="536842"/>
    <n v="192176"/>
    <n v="53681921"/>
    <n v="536192"/>
    <n v="535190"/>
    <n v="537500"/>
    <n v="192500"/>
    <s v="NA"/>
    <x v="1"/>
    <n v="0"/>
    <n v="1"/>
    <n v="0"/>
    <n v="-25.817029000000005"/>
    <n v="-28.092644940000003"/>
    <s v="NA"/>
    <s v="NA"/>
    <n v="-28.092644940000003"/>
    <x v="9"/>
    <s v="Suisse"/>
    <m/>
    <s v="K122034"/>
    <s v="Fang"/>
  </r>
  <r>
    <x v="222"/>
    <s v="ScoRus"/>
    <n v="1"/>
    <x v="0"/>
    <x v="0"/>
    <x v="1"/>
    <x v="1"/>
    <x v="219"/>
    <s v="NA"/>
    <x v="221"/>
    <x v="11"/>
    <m/>
    <x v="0"/>
    <x v="0"/>
    <s v="Les Verrières"/>
    <s v="Bois Landry"/>
    <n v="46.926481199999998"/>
    <n v="6.4909128300000001"/>
    <n v="6"/>
    <n v="31"/>
    <x v="3"/>
    <n v="2017"/>
    <x v="122"/>
    <x v="74"/>
    <s v=""/>
    <x v="28"/>
    <x v="8"/>
    <x v="9"/>
    <n v="527823"/>
    <n v="197702"/>
    <n v="52781977"/>
    <n v="527197"/>
    <n v="525195"/>
    <n v="527500"/>
    <n v="197500"/>
    <s v="NA"/>
    <x v="1"/>
    <n v="1"/>
    <n v="0"/>
    <n v="0"/>
    <n v="-25.517816"/>
    <n v="-27.835321759999999"/>
    <s v="NA"/>
    <s v="NA"/>
    <n v="-27.835321759999999"/>
    <x v="9"/>
    <s v="Suisse"/>
    <n v="3"/>
    <s v="K116301"/>
    <s v="Fang"/>
  </r>
  <r>
    <x v="223"/>
    <s v="ScoRus"/>
    <n v="1"/>
    <x v="0"/>
    <x v="0"/>
    <x v="1"/>
    <x v="1"/>
    <x v="220"/>
    <n v="-22.698666666666664"/>
    <x v="222"/>
    <x v="11"/>
    <m/>
    <x v="0"/>
    <x v="5"/>
    <s v="Chassagne saint denis"/>
    <s v="Cul Blanc"/>
    <n v="47.087837999999998"/>
    <n v="6.1111269999999998"/>
    <n v="6"/>
    <n v="27"/>
    <x v="3"/>
    <n v="2018"/>
    <x v="123"/>
    <x v="75"/>
    <s v=""/>
    <x v="28"/>
    <x v="8"/>
    <x v="6"/>
    <m/>
    <m/>
    <m/>
    <m/>
    <m/>
    <m/>
    <m/>
    <s v="NA"/>
    <x v="1"/>
    <n v="1"/>
    <n v="0"/>
    <n v="0"/>
    <n v="-25.495603000000003"/>
    <n v="-27.816218580000001"/>
    <s v="NA"/>
    <s v="NA"/>
    <n v="-27.816218580000001"/>
    <x v="9"/>
    <s v="Suisse"/>
    <m/>
    <s v="K115155"/>
    <s v="Fang"/>
  </r>
  <r>
    <x v="224"/>
    <s v="ScoRus"/>
    <n v="1"/>
    <x v="0"/>
    <x v="0"/>
    <x v="1"/>
    <x v="1"/>
    <x v="221"/>
    <s v="NA"/>
    <x v="223"/>
    <x v="11"/>
    <m/>
    <x v="0"/>
    <x v="0"/>
    <s v="Les Verrières"/>
    <s v="Derrière Chincul"/>
    <n v="46.942803660000003"/>
    <n v="6.4773454709999996"/>
    <n v="6"/>
    <n v="23"/>
    <x v="4"/>
    <n v="2017"/>
    <x v="124"/>
    <x v="76"/>
    <s v=""/>
    <x v="13"/>
    <x v="9"/>
    <x v="7"/>
    <n v="526812"/>
    <n v="199529"/>
    <n v="52681995"/>
    <n v="526199"/>
    <n v="525195"/>
    <n v="527500"/>
    <n v="197500"/>
    <s v="NA"/>
    <x v="1"/>
    <n v="0"/>
    <n v="1"/>
    <n v="0"/>
    <n v="-25.0831871"/>
    <n v="-27.461540906"/>
    <s v="NA"/>
    <s v="NA"/>
    <n v="-27.461540906"/>
    <x v="9"/>
    <s v="Suisse"/>
    <n v="3"/>
    <s v="K116306"/>
    <s v="Fang"/>
  </r>
  <r>
    <x v="225"/>
    <s v="ScoRus"/>
    <n v="1"/>
    <x v="0"/>
    <x v="0"/>
    <x v="1"/>
    <x v="1"/>
    <x v="222"/>
    <n v="-22.819428571428574"/>
    <x v="224"/>
    <x v="11"/>
    <m/>
    <x v="0"/>
    <x v="0"/>
    <s v="Les Verrières"/>
    <s v="Derrière Chincul"/>
    <n v="46.942742465392641"/>
    <n v="6.4775567259562425"/>
    <n v="6"/>
    <n v="19"/>
    <x v="5"/>
    <n v="2018"/>
    <x v="125"/>
    <x v="67"/>
    <s v=""/>
    <x v="15"/>
    <x v="11"/>
    <x v="8"/>
    <n v="526827"/>
    <n v="199521"/>
    <n v="52681995"/>
    <s v="526199"/>
    <n v="525195"/>
    <n v="527500"/>
    <n v="197500"/>
    <s v="NA"/>
    <x v="1"/>
    <n v="0"/>
    <n v="1"/>
    <n v="0"/>
    <n v="-24.944586999999999"/>
    <n v="-27.342344819999997"/>
    <s v="NA"/>
    <s v="NA"/>
    <n v="-27.342344819999997"/>
    <x v="9"/>
    <s v="Suisse"/>
    <m/>
    <s v="K112959"/>
    <s v="Fang"/>
  </r>
  <r>
    <x v="226"/>
    <s v="ScoRus"/>
    <n v="1"/>
    <x v="0"/>
    <x v="0"/>
    <x v="1"/>
    <x v="1"/>
    <x v="223"/>
    <s v="NA"/>
    <x v="225"/>
    <x v="11"/>
    <m/>
    <x v="0"/>
    <x v="0"/>
    <s v="La Brevine"/>
    <s v="Facteur"/>
    <n v="46.955330250000003"/>
    <n v="6.5072863869999997"/>
    <n v="6"/>
    <n v="30"/>
    <x v="6"/>
    <n v="2017"/>
    <x v="126"/>
    <x v="77"/>
    <s v=""/>
    <x v="19"/>
    <x v="13"/>
    <x v="11"/>
    <n v="529108"/>
    <n v="200894"/>
    <n v="52912008"/>
    <n v="529200"/>
    <n v="525200"/>
    <n v="527500"/>
    <n v="202500"/>
    <s v="NA"/>
    <x v="1"/>
    <n v="0"/>
    <n v="1"/>
    <n v="0"/>
    <n v="-24.756893000000002"/>
    <n v="-27.18092798"/>
    <s v="NA"/>
    <s v="NA"/>
    <n v="-27.18092798"/>
    <x v="9"/>
    <s v="Suisse"/>
    <n v="2"/>
    <s v="K116315"/>
    <s v="Fang"/>
  </r>
  <r>
    <x v="227"/>
    <s v="ScoRus"/>
    <n v="1"/>
    <x v="0"/>
    <x v="0"/>
    <x v="1"/>
    <x v="1"/>
    <x v="224"/>
    <s v="NA"/>
    <x v="226"/>
    <x v="11"/>
    <m/>
    <x v="0"/>
    <x v="3"/>
    <s v="Bullet"/>
    <s v="La Grande Joux"/>
    <n v="46.850290680000001"/>
    <n v="6.5521514730000003"/>
    <n v="6"/>
    <n v="2"/>
    <x v="5"/>
    <n v="2017"/>
    <x v="127"/>
    <x v="78"/>
    <s v=""/>
    <x v="23"/>
    <x v="14"/>
    <x v="11"/>
    <n v="532390"/>
    <n v="189178"/>
    <n v="53231891"/>
    <n v="532189"/>
    <n v="530185"/>
    <n v="532500"/>
    <n v="187500"/>
    <s v="NA"/>
    <x v="1"/>
    <n v="0"/>
    <n v="1"/>
    <n v="0"/>
    <n v="-24.738837199999999"/>
    <n v="-27.165399992000001"/>
    <s v="NA"/>
    <s v="NA"/>
    <n v="-27.165399992000001"/>
    <x v="9"/>
    <s v="Suisse"/>
    <n v="2"/>
    <s v="K116316"/>
    <s v="Fang"/>
  </r>
  <r>
    <x v="228"/>
    <s v="ScoRus"/>
    <n v="1"/>
    <x v="0"/>
    <x v="0"/>
    <x v="1"/>
    <x v="1"/>
    <x v="225"/>
    <s v="NA"/>
    <x v="227"/>
    <x v="11"/>
    <m/>
    <x v="0"/>
    <x v="0"/>
    <s v="Val-de-Ruz"/>
    <s v="Petite Fies"/>
    <n v="47.022307980000001"/>
    <n v="6.8330178940000001"/>
    <n v="6"/>
    <n v="15"/>
    <x v="5"/>
    <n v="2017"/>
    <x v="128"/>
    <x v="79"/>
    <s v=""/>
    <x v="15"/>
    <x v="11"/>
    <x v="8"/>
    <n v="553959"/>
    <n v="208097"/>
    <n v="55392080"/>
    <n v="553208"/>
    <n v="550205"/>
    <n v="552500"/>
    <n v="207500"/>
    <s v="NA"/>
    <x v="1"/>
    <n v="0"/>
    <n v="1"/>
    <n v="0"/>
    <n v="-23.195066300000001"/>
    <n v="-25.837757018000001"/>
    <s v="NA"/>
    <s v="NA"/>
    <n v="-25.837757018000001"/>
    <x v="9"/>
    <s v="Suisse"/>
    <n v="2"/>
    <s v="K116319"/>
    <s v="Fang"/>
  </r>
  <r>
    <x v="229"/>
    <s v="ScoRus"/>
    <n v="1"/>
    <x v="0"/>
    <x v="0"/>
    <x v="1"/>
    <x v="1"/>
    <x v="226"/>
    <s v="NA"/>
    <x v="228"/>
    <x v="11"/>
    <m/>
    <x v="0"/>
    <x v="0"/>
    <s v="Les Verrières"/>
    <s v="Bois des Loges"/>
    <n v="46.933698649999997"/>
    <n v="6.4718611890000002"/>
    <n v="6"/>
    <n v="19"/>
    <x v="4"/>
    <n v="2017"/>
    <x v="129"/>
    <x v="80"/>
    <s v=""/>
    <x v="14"/>
    <x v="10"/>
    <x v="7"/>
    <n v="526382"/>
    <n v="198522"/>
    <n v="52631985"/>
    <n v="526198"/>
    <n v="525195"/>
    <n v="527500"/>
    <n v="197500"/>
    <s v="NA"/>
    <x v="1"/>
    <n v="0"/>
    <n v="1"/>
    <n v="0"/>
    <n v="-21.563595800000002"/>
    <n v="-24.434692388000002"/>
    <s v="NA"/>
    <s v="NA"/>
    <n v="-24.434692388000002"/>
    <x v="10"/>
    <s v="Suisse"/>
    <n v="2"/>
    <s v="K116304"/>
    <s v="Fang"/>
  </r>
  <r>
    <x v="230"/>
    <s v="ScoRus"/>
    <n v="1"/>
    <x v="0"/>
    <x v="0"/>
    <x v="1"/>
    <x v="1"/>
    <x v="227"/>
    <s v="NA"/>
    <x v="229"/>
    <x v="11"/>
    <m/>
    <x v="0"/>
    <x v="0"/>
    <s v="Gorgier"/>
    <s v="Le Croza"/>
    <n v="46.93927051"/>
    <n v="6.7455772190000003"/>
    <n v="6"/>
    <n v="4"/>
    <x v="6"/>
    <n v="2017"/>
    <x v="130"/>
    <x v="81"/>
    <s v=""/>
    <x v="29"/>
    <x v="16"/>
    <x v="12"/>
    <n v="547230"/>
    <n v="198921"/>
    <n v="54721989"/>
    <n v="547198"/>
    <n v="545195"/>
    <n v="547500"/>
    <n v="197500"/>
    <s v="NA"/>
    <x v="1"/>
    <n v="0"/>
    <n v="1"/>
    <n v="0"/>
    <n v="-21.1315463"/>
    <n v="-24.063129818"/>
    <s v="NA"/>
    <s v="NA"/>
    <n v="-24.063129818"/>
    <x v="10"/>
    <s v="Suisse"/>
    <n v="2"/>
    <s v="K116311"/>
    <s v="Fang"/>
  </r>
  <r>
    <x v="231"/>
    <s v="ScoRus"/>
    <n v="1"/>
    <x v="0"/>
    <x v="0"/>
    <x v="1"/>
    <x v="1"/>
    <x v="228"/>
    <s v="NA"/>
    <x v="230"/>
    <x v="12"/>
    <m/>
    <x v="0"/>
    <x v="0"/>
    <s v="Gorgier"/>
    <s v="Le Croza"/>
    <n v="46.939351389999999"/>
    <n v="6.7455630429999998"/>
    <n v="6"/>
    <n v="5"/>
    <x v="4"/>
    <n v="2017"/>
    <x v="131"/>
    <x v="71"/>
    <s v=""/>
    <x v="27"/>
    <x v="12"/>
    <x v="9"/>
    <n v="547229"/>
    <n v="198930"/>
    <n v="54721989"/>
    <n v="547198"/>
    <n v="545195"/>
    <n v="547500"/>
    <n v="197500"/>
    <s v="NA"/>
    <x v="1"/>
    <n v="1"/>
    <n v="0"/>
    <n v="0"/>
    <n v="-20.366700699999999"/>
    <n v="-23.405362602"/>
    <s v="NA"/>
    <s v="NA"/>
    <n v="-23.405362602"/>
    <x v="10"/>
    <s v="Suisse"/>
    <n v="2"/>
    <s v="K112985"/>
    <s v="Fang"/>
  </r>
  <r>
    <x v="232"/>
    <s v="ScoRus"/>
    <n v="1"/>
    <x v="0"/>
    <x v="0"/>
    <x v="1"/>
    <x v="1"/>
    <x v="229"/>
    <s v="NA"/>
    <x v="231"/>
    <x v="12"/>
    <m/>
    <x v="0"/>
    <x v="0"/>
    <s v="Gorgier"/>
    <s v="Le Croza"/>
    <n v="46.939306729999998"/>
    <n v="6.7456161530000003"/>
    <n v="6"/>
    <n v="12"/>
    <x v="4"/>
    <n v="2017"/>
    <x v="132"/>
    <x v="82"/>
    <s v=""/>
    <x v="18"/>
    <x v="10"/>
    <x v="9"/>
    <n v="547233"/>
    <n v="198925"/>
    <n v="54721989"/>
    <n v="547198"/>
    <n v="545195"/>
    <n v="547500"/>
    <n v="197500"/>
    <s v="NA"/>
    <x v="1"/>
    <n v="0"/>
    <n v="1"/>
    <n v="0"/>
    <n v="-20.041749800000002"/>
    <n v="-23.125904828000003"/>
    <s v="NA"/>
    <s v="NA"/>
    <n v="-23.125904828000003"/>
    <x v="10"/>
    <s v="Suisse"/>
    <n v="2"/>
    <s v="K115186"/>
    <s v="Fang"/>
  </r>
  <r>
    <x v="233"/>
    <s v="ScoRus"/>
    <n v="1"/>
    <x v="0"/>
    <x v="0"/>
    <x v="1"/>
    <x v="1"/>
    <x v="230"/>
    <s v="NA"/>
    <x v="232"/>
    <x v="12"/>
    <m/>
    <x v="0"/>
    <x v="0"/>
    <s v="Val-de-Travers"/>
    <s v="La Grande Robella"/>
    <n v="46.865259389999999"/>
    <n v="6.5314308609999996"/>
    <n v="6"/>
    <n v="30"/>
    <x v="4"/>
    <n v="2017"/>
    <x v="109"/>
    <x v="61"/>
    <s v=""/>
    <x v="17"/>
    <x v="9"/>
    <x v="12"/>
    <n v="530829"/>
    <n v="190860"/>
    <n v="53081908"/>
    <n v="530190"/>
    <n v="530190"/>
    <n v="532500"/>
    <n v="192500"/>
    <s v="NA"/>
    <x v="1"/>
    <n v="0"/>
    <n v="1"/>
    <n v="0"/>
    <n v="-19.2279491"/>
    <n v="-22.426036226000001"/>
    <s v="NA"/>
    <s v="NA"/>
    <n v="-22.426036226000001"/>
    <x v="10"/>
    <s v="Suisse"/>
    <n v="2"/>
    <s v="K116308"/>
    <s v="Fang"/>
  </r>
  <r>
    <x v="234"/>
    <s v="ScoRus"/>
    <n v="1"/>
    <x v="0"/>
    <x v="0"/>
    <x v="1"/>
    <x v="1"/>
    <x v="231"/>
    <n v="-22.690428571428576"/>
    <x v="233"/>
    <x v="12"/>
    <m/>
    <x v="0"/>
    <x v="3"/>
    <s v="Bullet"/>
    <s v="La Grande Joux"/>
    <n v="46.850264710520349"/>
    <n v="6.5522830237541845"/>
    <n v="6"/>
    <n v="1"/>
    <x v="5"/>
    <n v="2018"/>
    <x v="108"/>
    <x v="60"/>
    <s v=""/>
    <x v="23"/>
    <x v="14"/>
    <x v="11"/>
    <n v="532400"/>
    <n v="189174"/>
    <n v="53241891"/>
    <n v="532189"/>
    <n v="530185"/>
    <n v="532500"/>
    <n v="187500"/>
    <s v="NA"/>
    <x v="1"/>
    <n v="0"/>
    <n v="1"/>
    <n v="0"/>
    <n v="-18.7928505"/>
    <n v="-22.051851429999999"/>
    <s v="NA"/>
    <s v="NA"/>
    <n v="-22.051851429999999"/>
    <x v="10"/>
    <s v="Suisse"/>
    <m/>
    <s v="K122038"/>
    <s v="Fang"/>
  </r>
  <r>
    <x v="235"/>
    <s v="ScoRus"/>
    <n v="1"/>
    <x v="0"/>
    <x v="0"/>
    <x v="1"/>
    <x v="1"/>
    <x v="232"/>
    <n v="-23.109666666666662"/>
    <x v="234"/>
    <x v="12"/>
    <m/>
    <x v="0"/>
    <x v="0"/>
    <s v="Val-de-Travers"/>
    <s v="Cernil Ladame"/>
    <n v="46.890217"/>
    <n v="6.621054"/>
    <n v="6"/>
    <n v="17"/>
    <x v="4"/>
    <n v="2018"/>
    <x v="111"/>
    <x v="63"/>
    <s v=""/>
    <x v="14"/>
    <x v="10"/>
    <x v="7"/>
    <n v="537694"/>
    <n v="193577"/>
    <n v="53761935"/>
    <n v="537193"/>
    <n v="535190"/>
    <n v="537500"/>
    <n v="192500"/>
    <s v="NA"/>
    <x v="1"/>
    <n v="0"/>
    <n v="1"/>
    <n v="0"/>
    <n v="-18.280099499999999"/>
    <n v="-21.610885569999997"/>
    <s v="NA"/>
    <s v="NA"/>
    <n v="-21.610885569999997"/>
    <x v="10"/>
    <s v="Suisse"/>
    <m/>
    <s v="K122026"/>
    <s v="Fang"/>
  </r>
  <r>
    <x v="236"/>
    <s v="ScoRus"/>
    <n v="1"/>
    <x v="0"/>
    <x v="0"/>
    <x v="1"/>
    <x v="1"/>
    <x v="233"/>
    <s v="NA"/>
    <x v="235"/>
    <x v="12"/>
    <m/>
    <x v="0"/>
    <x v="0"/>
    <s v="Les Verrières"/>
    <s v="Derrière Chincul"/>
    <n v="46.942732919999997"/>
    <n v="6.4774912220000003"/>
    <n v="6"/>
    <n v="25"/>
    <x v="4"/>
    <n v="2017"/>
    <x v="133"/>
    <x v="83"/>
    <s v=""/>
    <x v="13"/>
    <x v="9"/>
    <x v="7"/>
    <n v="526823"/>
    <n v="199521"/>
    <n v="52681995"/>
    <n v="526199"/>
    <n v="525195"/>
    <n v="527500"/>
    <n v="197500"/>
    <s v="NA"/>
    <x v="1"/>
    <n v="0"/>
    <n v="1"/>
    <n v="0"/>
    <n v="-18.231010999999999"/>
    <n v="-21.568669459999999"/>
    <s v="NA"/>
    <s v="NA"/>
    <n v="-21.568669459999999"/>
    <x v="10"/>
    <s v="Suisse"/>
    <n v="2"/>
    <s v="K115164"/>
    <s v="Fang"/>
  </r>
  <r>
    <x v="237"/>
    <s v="ScoRus"/>
    <n v="1"/>
    <x v="0"/>
    <x v="0"/>
    <x v="1"/>
    <x v="1"/>
    <x v="234"/>
    <s v="NA"/>
    <x v="236"/>
    <x v="12"/>
    <m/>
    <x v="0"/>
    <x v="0"/>
    <s v="Les Verrières"/>
    <s v="Bois de La Loge"/>
    <n v="46.933701200000002"/>
    <n v="6.4721631989999997"/>
    <n v="6"/>
    <n v="26"/>
    <x v="6"/>
    <n v="2017"/>
    <x v="134"/>
    <x v="53"/>
    <s v=""/>
    <x v="19"/>
    <x v="13"/>
    <x v="10"/>
    <n v="526405"/>
    <n v="198522"/>
    <n v="52641985"/>
    <n v="526198"/>
    <n v="525195"/>
    <n v="527500"/>
    <n v="197500"/>
    <s v="NA"/>
    <x v="1"/>
    <n v="0"/>
    <n v="1"/>
    <n v="0"/>
    <n v="-18.056901499999999"/>
    <n v="-21.418935289999997"/>
    <s v="NA"/>
    <s v="NA"/>
    <n v="-21.418935289999997"/>
    <x v="10"/>
    <s v="Suisse"/>
    <n v="2"/>
    <s v="K116314"/>
    <s v="Fang"/>
  </r>
  <r>
    <x v="238"/>
    <s v="ScoRus"/>
    <n v="1"/>
    <x v="0"/>
    <x v="0"/>
    <x v="1"/>
    <x v="1"/>
    <x v="235"/>
    <n v="-22.485428571428574"/>
    <x v="237"/>
    <x v="12"/>
    <m/>
    <x v="0"/>
    <x v="3"/>
    <s v="Sainte-Croix"/>
    <s v="La Vy Jaccard"/>
    <n v="46.847938914251465"/>
    <n v="6.5042010291928687"/>
    <n v="6"/>
    <n v="22"/>
    <x v="6"/>
    <n v="2018"/>
    <x v="135"/>
    <x v="84"/>
    <s v=""/>
    <x v="21"/>
    <x v="13"/>
    <x v="10"/>
    <n v="528730"/>
    <n v="188958"/>
    <n v="52871889"/>
    <s v="528188"/>
    <n v="525185"/>
    <n v="527500"/>
    <n v="187500"/>
    <s v="NA"/>
    <x v="1"/>
    <n v="0"/>
    <n v="1"/>
    <n v="0"/>
    <n v="-17.746940500000001"/>
    <n v="-21.15236883"/>
    <s v="NA"/>
    <s v="NA"/>
    <n v="-21.15236883"/>
    <x v="10"/>
    <s v="Suisse"/>
    <m/>
    <s v="K122033"/>
    <s v="Fang"/>
  </r>
  <r>
    <x v="239"/>
    <s v="ScoRus"/>
    <n v="1"/>
    <x v="0"/>
    <x v="0"/>
    <x v="1"/>
    <x v="1"/>
    <x v="236"/>
    <s v="NA"/>
    <x v="238"/>
    <x v="12"/>
    <m/>
    <x v="0"/>
    <x v="0"/>
    <s v="Val-de-Travers"/>
    <s v="La Baume"/>
    <n v="46.945311820000001"/>
    <n v="6.5449357700000004"/>
    <n v="6"/>
    <n v="20"/>
    <x v="5"/>
    <n v="2017"/>
    <x v="136"/>
    <x v="85"/>
    <s v=""/>
    <x v="22"/>
    <x v="15"/>
    <x v="8"/>
    <n v="531961"/>
    <n v="199747"/>
    <n v="53191997"/>
    <n v="531199"/>
    <n v="530195"/>
    <n v="532500"/>
    <n v="197500"/>
    <s v="NA"/>
    <x v="1"/>
    <n v="0"/>
    <n v="1"/>
    <n v="0"/>
    <n v="-16.400926699999999"/>
    <n v="-19.994796961999999"/>
    <s v="NA"/>
    <s v="NA"/>
    <n v="-19.994796961999999"/>
    <x v="10"/>
    <s v="Suisse"/>
    <n v="2"/>
    <s v="K116312_B"/>
    <s v="Fang"/>
  </r>
  <r>
    <x v="240"/>
    <s v="ScoRus"/>
    <n v="1"/>
    <x v="0"/>
    <x v="0"/>
    <x v="1"/>
    <x v="1"/>
    <x v="237"/>
    <n v="-22.479548390000001"/>
    <x v="239"/>
    <x v="12"/>
    <m/>
    <x v="0"/>
    <x v="0"/>
    <s v="La Brévine"/>
    <s v="Bois de Vaux"/>
    <n v="46.955402739999997"/>
    <n v="6.5073508210000002"/>
    <n v="6"/>
    <n v="16"/>
    <x v="5"/>
    <n v="2015"/>
    <x v="137"/>
    <x v="69"/>
    <s v=""/>
    <x v="15"/>
    <x v="11"/>
    <x v="8"/>
    <n v="529112"/>
    <n v="200901"/>
    <n v="52912009"/>
    <n v="529200"/>
    <n v="525200"/>
    <n v="527500"/>
    <n v="202500"/>
    <n v="292"/>
    <x v="1"/>
    <n v="0"/>
    <n v="1"/>
    <n v="0"/>
    <n v="-16.329999999999998"/>
    <n v="-19.933799999999998"/>
    <n v="-37.799999999999997"/>
    <n v="-26.05"/>
    <n v="-19.933799999999998"/>
    <x v="10"/>
    <s v="Suisse"/>
    <n v="2"/>
    <s v="K112952"/>
    <s v="Fang"/>
  </r>
  <r>
    <x v="241"/>
    <s v="ScoRus"/>
    <n v="1"/>
    <x v="0"/>
    <x v="0"/>
    <x v="1"/>
    <x v="1"/>
    <x v="238"/>
    <n v="-22.853428571428577"/>
    <x v="240"/>
    <x v="12"/>
    <m/>
    <x v="0"/>
    <x v="0"/>
    <s v="Val-de-Travers"/>
    <s v="Cernil Ladame"/>
    <n v="46.890217"/>
    <n v="6.621054"/>
    <n v="6"/>
    <n v="18"/>
    <x v="4"/>
    <n v="2018"/>
    <x v="96"/>
    <x v="48"/>
    <s v=""/>
    <x v="14"/>
    <x v="10"/>
    <x v="7"/>
    <n v="537694"/>
    <n v="193577"/>
    <n v="53761935"/>
    <n v="537193"/>
    <n v="535190"/>
    <n v="537500"/>
    <n v="192500"/>
    <s v="NA"/>
    <x v="1"/>
    <n v="0"/>
    <n v="1"/>
    <n v="0"/>
    <n v="-16.327309"/>
    <n v="-19.931485739999999"/>
    <s v="NA"/>
    <s v="NA"/>
    <n v="-19.931485739999999"/>
    <x v="10"/>
    <s v="Suisse"/>
    <m/>
    <s v="K122027"/>
    <s v="Fang"/>
  </r>
  <r>
    <x v="242"/>
    <s v="ScoRus"/>
    <n v="1"/>
    <x v="0"/>
    <x v="0"/>
    <x v="1"/>
    <x v="1"/>
    <x v="239"/>
    <s v="NA"/>
    <x v="241"/>
    <x v="12"/>
    <m/>
    <x v="0"/>
    <x v="0"/>
    <s v="Val-de-Travers"/>
    <s v="Les Placettes"/>
    <n v="46.936150830000003"/>
    <n v="6.5116900590000002"/>
    <n v="6"/>
    <n v="12"/>
    <x v="6"/>
    <n v="2017"/>
    <x v="138"/>
    <x v="86"/>
    <s v=""/>
    <x v="30"/>
    <x v="17"/>
    <x v="12"/>
    <n v="529418"/>
    <n v="198758"/>
    <n v="52941987"/>
    <n v="529198"/>
    <n v="525195"/>
    <n v="527500"/>
    <n v="197500"/>
    <s v="NA"/>
    <x v="1"/>
    <n v="0"/>
    <n v="1"/>
    <n v="0"/>
    <n v="-14.9770979"/>
    <n v="-18.770304194000001"/>
    <s v="NA"/>
    <s v="NA"/>
    <n v="-18.770304194000001"/>
    <x v="10"/>
    <s v="Suisse"/>
    <n v="1"/>
    <s v="K115155"/>
    <s v="Fang"/>
  </r>
  <r>
    <x v="243"/>
    <s v="ScoRus"/>
    <n v="1"/>
    <x v="0"/>
    <x v="0"/>
    <x v="1"/>
    <x v="1"/>
    <x v="240"/>
    <n v="-23.296428571428574"/>
    <x v="242"/>
    <x v="12"/>
    <m/>
    <x v="0"/>
    <x v="0"/>
    <s v="Les Verrières"/>
    <s v="Derrière Chincul"/>
    <n v="46.942126999999999"/>
    <n v="6.4785760000000003"/>
    <n v="6"/>
    <n v="19"/>
    <x v="4"/>
    <n v="2018"/>
    <x v="139"/>
    <x v="80"/>
    <s v=""/>
    <x v="14"/>
    <x v="10"/>
    <x v="7"/>
    <n v="526904"/>
    <n v="199437"/>
    <n v="52691994"/>
    <s v="526199"/>
    <n v="525195"/>
    <n v="527500"/>
    <n v="197500"/>
    <s v="NA"/>
    <x v="1"/>
    <n v="0"/>
    <n v="1"/>
    <n v="0"/>
    <n v="-14.791607000000003"/>
    <n v="-18.610782020000002"/>
    <s v="NA"/>
    <s v="NA"/>
    <n v="-18.610782020000002"/>
    <x v="10"/>
    <s v="Suisse"/>
    <m/>
    <s v="K122029"/>
    <s v="Fang"/>
  </r>
  <r>
    <x v="244"/>
    <s v="ScoRus"/>
    <n v="1"/>
    <x v="0"/>
    <x v="0"/>
    <x v="1"/>
    <x v="1"/>
    <x v="241"/>
    <s v="NA"/>
    <x v="243"/>
    <x v="12"/>
    <m/>
    <x v="0"/>
    <x v="0"/>
    <s v="Val-de-Ruz"/>
    <s v="Petite Fies"/>
    <n v="47.022316969999999"/>
    <n v="6.8330177919999997"/>
    <n v="6"/>
    <n v="15"/>
    <x v="5"/>
    <n v="2017"/>
    <x v="128"/>
    <x v="79"/>
    <s v=""/>
    <x v="15"/>
    <x v="11"/>
    <x v="8"/>
    <n v="553959"/>
    <n v="208098"/>
    <n v="55392080"/>
    <n v="553208"/>
    <n v="550205"/>
    <n v="552500"/>
    <n v="207500"/>
    <s v="NA"/>
    <x v="1"/>
    <n v="0"/>
    <n v="1"/>
    <n v="0"/>
    <n v="-14.2161749"/>
    <n v="-18.115910413999998"/>
    <s v="NA"/>
    <s v="NA"/>
    <n v="-18.115910413999998"/>
    <x v="10"/>
    <s v="Suisse"/>
    <n v="1"/>
    <s v="K116318"/>
    <s v="Fang"/>
  </r>
  <r>
    <x v="245"/>
    <s v="ScoRus"/>
    <n v="1"/>
    <x v="0"/>
    <x v="0"/>
    <x v="1"/>
    <x v="1"/>
    <x v="242"/>
    <s v="NA"/>
    <x v="244"/>
    <x v="12"/>
    <m/>
    <x v="0"/>
    <x v="0"/>
    <s v="Gorgier"/>
    <s v="Le Croza"/>
    <n v="46.939190029999999"/>
    <n v="6.745657059"/>
    <n v="6"/>
    <n v="4"/>
    <x v="6"/>
    <n v="2017"/>
    <x v="130"/>
    <x v="81"/>
    <s v=""/>
    <x v="29"/>
    <x v="16"/>
    <x v="12"/>
    <n v="547236"/>
    <n v="198912"/>
    <n v="54721989"/>
    <n v="547198"/>
    <n v="545195"/>
    <n v="547500"/>
    <n v="197500"/>
    <s v="NA"/>
    <x v="1"/>
    <n v="0"/>
    <n v="1"/>
    <n v="0"/>
    <n v="-13.897619000000001"/>
    <n v="-17.841952339999999"/>
    <s v="NA"/>
    <s v="NA"/>
    <n v="-17.841952339999999"/>
    <x v="10"/>
    <s v="Suisse"/>
    <n v="1"/>
    <s v="K116310"/>
    <s v="Fang"/>
  </r>
  <r>
    <x v="246"/>
    <s v="ScoRus"/>
    <n v="1"/>
    <x v="0"/>
    <x v="0"/>
    <x v="1"/>
    <x v="1"/>
    <x v="243"/>
    <n v="-22.815428571428576"/>
    <x v="245"/>
    <x v="12"/>
    <m/>
    <x v="0"/>
    <x v="0"/>
    <s v="La Chaux-du-Milieu"/>
    <s v="Plans Dernier"/>
    <n v="46.989812685846466"/>
    <n v="6.6755528609543209"/>
    <n v="6"/>
    <n v="8"/>
    <x v="7"/>
    <n v="2018"/>
    <x v="140"/>
    <x v="87"/>
    <s v=""/>
    <x v="31"/>
    <x v="18"/>
    <x v="13"/>
    <n v="541952"/>
    <n v="204588"/>
    <n v="54192045"/>
    <n v="541204"/>
    <n v="540200"/>
    <n v="542500"/>
    <n v="202500"/>
    <s v="NA"/>
    <x v="1"/>
    <n v="0"/>
    <n v="1"/>
    <n v="0"/>
    <n v="-13.657687500000002"/>
    <n v="-17.63561125"/>
    <s v="NA"/>
    <s v="NA"/>
    <n v="-17.63561125"/>
    <x v="11"/>
    <s v="Suisse"/>
    <m/>
    <s v="K122046"/>
    <s v="Fang"/>
  </r>
  <r>
    <x v="247"/>
    <s v="ScoRus"/>
    <n v="1"/>
    <x v="0"/>
    <x v="0"/>
    <x v="1"/>
    <x v="1"/>
    <x v="244"/>
    <s v="NA"/>
    <x v="246"/>
    <x v="12"/>
    <m/>
    <x v="0"/>
    <x v="0"/>
    <s v="Gorgier"/>
    <s v="Le Croza"/>
    <n v="46.939306729999998"/>
    <n v="6.7456161530000003"/>
    <n v="6"/>
    <n v="12"/>
    <x v="4"/>
    <n v="2017"/>
    <x v="132"/>
    <x v="82"/>
    <s v=""/>
    <x v="18"/>
    <x v="10"/>
    <x v="9"/>
    <n v="547233"/>
    <n v="198925"/>
    <n v="54721989"/>
    <n v="547198"/>
    <n v="545195"/>
    <n v="547500"/>
    <n v="197500"/>
    <s v="NA"/>
    <x v="1"/>
    <n v="0"/>
    <n v="1"/>
    <n v="0"/>
    <n v="-12.956137999999999"/>
    <n v="-17.032278679999997"/>
    <s v="NA"/>
    <s v="NA"/>
    <n v="-17.032278679999997"/>
    <x v="10"/>
    <s v="Suisse"/>
    <n v="1"/>
    <s v="K116302"/>
    <s v="Fang"/>
  </r>
  <r>
    <x v="248"/>
    <s v="ScoRus"/>
    <n v="1"/>
    <x v="0"/>
    <x v="0"/>
    <x v="1"/>
    <x v="1"/>
    <x v="245"/>
    <n v="-22.527666666666661"/>
    <x v="247"/>
    <x v="12"/>
    <m/>
    <x v="0"/>
    <x v="0"/>
    <s v="La Chaux-du-Milieu"/>
    <s v="Plans Dernier"/>
    <n v="46.989804128380513"/>
    <n v="6.6756187134169203"/>
    <n v="6"/>
    <n v="5"/>
    <x v="4"/>
    <n v="2018"/>
    <x v="119"/>
    <x v="71"/>
    <s v=""/>
    <x v="27"/>
    <x v="12"/>
    <x v="9"/>
    <n v="541963"/>
    <n v="204599"/>
    <n v="54192045"/>
    <n v="541204"/>
    <n v="540200"/>
    <n v="542500"/>
    <n v="202500"/>
    <s v="NA"/>
    <x v="1"/>
    <n v="0"/>
    <n v="1"/>
    <n v="0"/>
    <n v="-11.843926500000002"/>
    <n v="-16.075776790000003"/>
    <s v="NA"/>
    <s v="NA"/>
    <n v="-16.075776790000003"/>
    <x v="10"/>
    <s v="Suisse"/>
    <m/>
    <s v="K122021"/>
    <s v="Fang"/>
  </r>
  <r>
    <x v="249"/>
    <s v="ScoRus"/>
    <n v="1"/>
    <x v="0"/>
    <x v="0"/>
    <x v="1"/>
    <x v="1"/>
    <x v="246"/>
    <n v="-22.243428571428574"/>
    <x v="248"/>
    <x v="12"/>
    <m/>
    <x v="0"/>
    <x v="0"/>
    <s v="Les Verrières"/>
    <s v="Bois des Loges"/>
    <n v="46.935590934410612"/>
    <n v="6.4754388086457313"/>
    <n v="6"/>
    <n v="24"/>
    <x v="6"/>
    <n v="2018"/>
    <x v="141"/>
    <x v="88"/>
    <s v=""/>
    <x v="21"/>
    <x v="13"/>
    <x v="10"/>
    <n v="526656"/>
    <n v="198728"/>
    <n v="52661987"/>
    <s v="526198"/>
    <n v="525195"/>
    <n v="527500"/>
    <n v="197500"/>
    <s v="NA"/>
    <x v="1"/>
    <n v="0"/>
    <n v="1"/>
    <n v="0"/>
    <n v="-11.235513000000001"/>
    <n v="-15.552541179999999"/>
    <s v="NA"/>
    <s v="NA"/>
    <n v="-15.552541179999999"/>
    <x v="10"/>
    <s v="Suisse"/>
    <m/>
    <s v="K115157"/>
    <s v="Fang"/>
  </r>
  <r>
    <x v="250"/>
    <s v="ScoRus"/>
    <n v="1"/>
    <x v="0"/>
    <x v="0"/>
    <x v="1"/>
    <x v="1"/>
    <x v="247"/>
    <s v="NA"/>
    <x v="218"/>
    <x v="13"/>
    <m/>
    <x v="0"/>
    <x v="0"/>
    <s v="Les Verrières"/>
    <s v="Derrière Chincul"/>
    <n v="46.942732919999997"/>
    <n v="6.4774912220000003"/>
    <n v="6"/>
    <n v="25"/>
    <x v="4"/>
    <n v="2017"/>
    <x v="133"/>
    <x v="83"/>
    <s v=""/>
    <x v="13"/>
    <x v="9"/>
    <x v="7"/>
    <n v="526823"/>
    <n v="199521"/>
    <n v="52681995"/>
    <n v="526199"/>
    <n v="525195"/>
    <n v="527500"/>
    <n v="197500"/>
    <s v="NA"/>
    <x v="1"/>
    <n v="0"/>
    <n v="1"/>
    <n v="0"/>
    <n v="-10.2782862"/>
    <n v="-14.729326132000001"/>
    <s v="NA"/>
    <s v="NA"/>
    <n v="-14.729326132000001"/>
    <x v="11"/>
    <s v="Suisse"/>
    <n v="1"/>
    <s v="K73992"/>
    <s v="Fang"/>
  </r>
  <r>
    <x v="251"/>
    <s v="ScoRus"/>
    <n v="1"/>
    <x v="0"/>
    <x v="0"/>
    <x v="0"/>
    <x v="2"/>
    <x v="248"/>
    <s v="NA"/>
    <x v="249"/>
    <x v="5"/>
    <m/>
    <x v="0"/>
    <x v="3"/>
    <s v="Bullet"/>
    <s v="Le Chasseron"/>
    <n v="46.851751010000001"/>
    <n v="6.54099903"/>
    <n v="6"/>
    <n v="25"/>
    <x v="0"/>
    <n v="2017"/>
    <x v="76"/>
    <x v="8"/>
    <n v="40"/>
    <x v="0"/>
    <x v="0"/>
    <x v="0"/>
    <n v="531542"/>
    <n v="189350"/>
    <n v="53151893"/>
    <n v="531189"/>
    <n v="530185"/>
    <n v="532500"/>
    <n v="187500"/>
    <s v="NA"/>
    <x v="1"/>
    <n v="0"/>
    <n v="0"/>
    <n v="1"/>
    <n v="-80.508236199999999"/>
    <n v="-75.127083131999996"/>
    <s v="NA"/>
    <s v="NA"/>
    <n v="-75.127083131999996"/>
    <x v="4"/>
    <s v="Nord de la Fennoscandinavie et Russie"/>
    <n v="8"/>
    <s v="K121967"/>
    <s v="Fang"/>
  </r>
  <r>
    <x v="252"/>
    <s v="ScoRus"/>
    <n v="1"/>
    <x v="0"/>
    <x v="0"/>
    <x v="0"/>
    <x v="2"/>
    <x v="249"/>
    <s v="NA"/>
    <x v="250"/>
    <x v="6"/>
    <m/>
    <x v="0"/>
    <x v="0"/>
    <s v="Les Verrières"/>
    <s v="Le Pussin"/>
    <n v="46.934231680000003"/>
    <n v="6.464694132"/>
    <n v="6"/>
    <n v="22"/>
    <x v="0"/>
    <n v="2017"/>
    <x v="78"/>
    <x v="21"/>
    <n v="37"/>
    <x v="4"/>
    <x v="0"/>
    <x v="0"/>
    <n v="525837"/>
    <n v="198588"/>
    <n v="52581985"/>
    <n v="525198"/>
    <n v="525195"/>
    <n v="527500"/>
    <n v="197500"/>
    <s v="NA"/>
    <x v="1"/>
    <n v="0"/>
    <n v="0"/>
    <n v="1"/>
    <n v="-75.158564999999996"/>
    <n v="-70.526365900000002"/>
    <s v="NA"/>
    <s v="NA"/>
    <n v="-70.526365900000002"/>
    <x v="5"/>
    <s v="Nord de la Fennoscandinavie et Russie"/>
    <n v="8"/>
    <s v="K121952"/>
    <s v="Fang"/>
  </r>
  <r>
    <x v="253"/>
    <s v="ScoRus"/>
    <n v="1"/>
    <x v="0"/>
    <x v="0"/>
    <x v="0"/>
    <x v="2"/>
    <x v="250"/>
    <s v="NA"/>
    <x v="251"/>
    <x v="6"/>
    <m/>
    <x v="0"/>
    <x v="0"/>
    <s v="Les Verrières"/>
    <s v="Le Pussin"/>
    <n v="46.930800429999998"/>
    <n v="6.4610793009999998"/>
    <n v="6"/>
    <n v="22"/>
    <x v="0"/>
    <n v="2017"/>
    <x v="78"/>
    <x v="21"/>
    <n v="37"/>
    <x v="4"/>
    <x v="0"/>
    <x v="0"/>
    <n v="525557"/>
    <n v="198210"/>
    <n v="52551982"/>
    <n v="525198"/>
    <n v="525195"/>
    <n v="527500"/>
    <n v="197500"/>
    <s v="NA"/>
    <x v="1"/>
    <n v="0"/>
    <n v="0"/>
    <n v="1"/>
    <n v="-74.118210700000006"/>
    <n v="-69.631661202000004"/>
    <s v="NA"/>
    <s v="NA"/>
    <n v="-69.631661202000004"/>
    <x v="5"/>
    <s v="Nord de la Fennoscandinavie et Russie"/>
    <n v="7"/>
    <s v="K121955"/>
    <s v="Fang"/>
  </r>
  <r>
    <x v="254"/>
    <s v="ScoRus"/>
    <n v="1"/>
    <x v="0"/>
    <x v="0"/>
    <x v="0"/>
    <x v="2"/>
    <x v="251"/>
    <s v="NA"/>
    <x v="252"/>
    <x v="6"/>
    <m/>
    <x v="0"/>
    <x v="0"/>
    <s v="Les Verrières"/>
    <s v="Le Pussin"/>
    <n v="46.931089489999998"/>
    <n v="6.4612184990000001"/>
    <n v="6"/>
    <n v="26"/>
    <x v="0"/>
    <n v="2017"/>
    <x v="83"/>
    <x v="0"/>
    <n v="41"/>
    <x v="0"/>
    <x v="0"/>
    <x v="0"/>
    <n v="525568"/>
    <n v="198242"/>
    <n v="52551982"/>
    <n v="525198"/>
    <n v="525195"/>
    <n v="527500"/>
    <n v="197500"/>
    <s v="NA"/>
    <x v="1"/>
    <n v="0"/>
    <n v="0"/>
    <n v="1"/>
    <n v="-73.295281599999996"/>
    <n v="-68.923942175999997"/>
    <s v="NA"/>
    <s v="NA"/>
    <n v="-68.923942175999997"/>
    <x v="5"/>
    <s v="Nord de la Fennoscandinavie et Russie"/>
    <n v="7"/>
    <s v="K121954"/>
    <s v="Fang"/>
  </r>
  <r>
    <x v="255"/>
    <s v="ScoRus"/>
    <n v="1"/>
    <x v="0"/>
    <x v="0"/>
    <x v="0"/>
    <x v="2"/>
    <x v="252"/>
    <s v="NA"/>
    <x v="253"/>
    <x v="6"/>
    <m/>
    <x v="0"/>
    <x v="0"/>
    <s v="La Chaux-du-Milieu"/>
    <s v="La Rocheta"/>
    <n v="46.995529789999999"/>
    <n v="6.6968751900000001"/>
    <n v="6"/>
    <n v="27"/>
    <x v="0"/>
    <n v="2017"/>
    <x v="142"/>
    <x v="6"/>
    <n v="42"/>
    <x v="0"/>
    <x v="0"/>
    <x v="0"/>
    <n v="543581"/>
    <n v="205209"/>
    <n v="54352052"/>
    <n v="543205"/>
    <n v="540205"/>
    <n v="542500"/>
    <n v="207500"/>
    <s v="NA"/>
    <x v="1"/>
    <n v="0"/>
    <n v="0"/>
    <n v="1"/>
    <n v="-72.840391299999993"/>
    <n v="-68.532736517999993"/>
    <s v="NA"/>
    <s v="NA"/>
    <n v="-68.532736517999993"/>
    <x v="5"/>
    <s v="Nord de la Fennoscandinavie et Russie"/>
    <n v="7"/>
    <s v="K121981"/>
    <s v="Fang"/>
  </r>
  <r>
    <x v="256"/>
    <s v="ScoRus"/>
    <n v="1"/>
    <x v="0"/>
    <x v="0"/>
    <x v="0"/>
    <x v="2"/>
    <x v="253"/>
    <s v="NA"/>
    <x v="254"/>
    <x v="6"/>
    <m/>
    <x v="0"/>
    <x v="0"/>
    <s v="La Chaux-du-Milieu"/>
    <s v="La Rocheta"/>
    <n v="46.995720830000003"/>
    <n v="6.702793131"/>
    <n v="6"/>
    <n v="27"/>
    <x v="0"/>
    <n v="2017"/>
    <x v="142"/>
    <x v="6"/>
    <n v="42"/>
    <x v="0"/>
    <x v="0"/>
    <x v="0"/>
    <n v="544031"/>
    <n v="205226"/>
    <n v="54402052"/>
    <n v="544205"/>
    <n v="540205"/>
    <n v="542500"/>
    <n v="207500"/>
    <s v="NA"/>
    <x v="1"/>
    <n v="0"/>
    <n v="0"/>
    <n v="1"/>
    <n v="-71.732856799999993"/>
    <n v="-67.580256847999991"/>
    <s v="NA"/>
    <s v="NA"/>
    <n v="-67.580256847999991"/>
    <x v="5"/>
    <s v="Nord de la Fennoscandinavie et Russie"/>
    <n v="7"/>
    <s v="K121978"/>
    <s v="Fang"/>
  </r>
  <r>
    <x v="257"/>
    <s v="ScoRus"/>
    <n v="1"/>
    <x v="0"/>
    <x v="0"/>
    <x v="0"/>
    <x v="2"/>
    <x v="254"/>
    <s v="NA"/>
    <x v="255"/>
    <x v="6"/>
    <m/>
    <x v="0"/>
    <x v="0"/>
    <s v="Gorgier"/>
    <s v="Soliat"/>
    <n v="46.9293792"/>
    <n v="6.7242320810000002"/>
    <n v="6"/>
    <n v="24"/>
    <x v="0"/>
    <n v="2017"/>
    <x v="15"/>
    <x v="14"/>
    <n v="39"/>
    <x v="0"/>
    <x v="0"/>
    <x v="0"/>
    <n v="545594"/>
    <n v="197836"/>
    <n v="54551978"/>
    <n v="545197"/>
    <n v="545195"/>
    <n v="547500"/>
    <n v="197500"/>
    <s v="NA"/>
    <x v="1"/>
    <n v="0"/>
    <n v="0"/>
    <n v="1"/>
    <n v="-67.945610400000007"/>
    <n v="-64.323224944000003"/>
    <s v="NA"/>
    <s v="NA"/>
    <n v="-64.323224944000003"/>
    <x v="6"/>
    <s v="Sud de la Fennoscandinavie, Pays baltes et ouest de la Russie"/>
    <n v="7"/>
    <s v="K121962"/>
    <s v="Fang"/>
  </r>
  <r>
    <x v="258"/>
    <s v="ScoRus"/>
    <n v="1"/>
    <x v="0"/>
    <x v="0"/>
    <x v="0"/>
    <x v="2"/>
    <x v="255"/>
    <s v="NA"/>
    <x v="256"/>
    <x v="6"/>
    <m/>
    <x v="0"/>
    <x v="0"/>
    <s v="La Chaux-du-Milieu"/>
    <s v="La Rocheta"/>
    <n v="46.993613750000002"/>
    <n v="6.6968760080000003"/>
    <n v="6"/>
    <n v="22"/>
    <x v="0"/>
    <n v="2017"/>
    <x v="78"/>
    <x v="21"/>
    <n v="37"/>
    <x v="4"/>
    <x v="0"/>
    <x v="0"/>
    <n v="543579"/>
    <n v="204996"/>
    <n v="54352049"/>
    <n v="543204"/>
    <n v="540200"/>
    <n v="542500"/>
    <n v="202500"/>
    <s v="NA"/>
    <x v="1"/>
    <n v="0"/>
    <n v="0"/>
    <n v="1"/>
    <n v="-67.849538800000005"/>
    <n v="-64.240603367999995"/>
    <s v="NA"/>
    <s v="NA"/>
    <n v="-64.240603367999995"/>
    <x v="6"/>
    <s v="Sud de la Fennoscandinavie, Pays baltes et ouest de la Russie"/>
    <n v="7"/>
    <s v="K116350"/>
    <s v="Fang"/>
  </r>
  <r>
    <x v="259"/>
    <s v="ScoRus"/>
    <n v="1"/>
    <x v="0"/>
    <x v="0"/>
    <x v="0"/>
    <x v="2"/>
    <x v="256"/>
    <s v="NA"/>
    <x v="257"/>
    <x v="6"/>
    <m/>
    <x v="0"/>
    <x v="0"/>
    <s v="Val-de-Travers"/>
    <s v="Chantemerle"/>
    <n v="46.978187849999998"/>
    <n v="6.6724716129999999"/>
    <n v="6"/>
    <n v="20"/>
    <x v="0"/>
    <n v="2017"/>
    <x v="143"/>
    <x v="30"/>
    <n v="35"/>
    <x v="4"/>
    <x v="0"/>
    <x v="0"/>
    <n v="541706"/>
    <n v="203299"/>
    <n v="54172032"/>
    <n v="541203"/>
    <n v="540200"/>
    <n v="542500"/>
    <n v="202500"/>
    <s v="NA"/>
    <x v="1"/>
    <n v="0"/>
    <n v="0"/>
    <n v="1"/>
    <n v="-67.570091300000001"/>
    <n v="-64.000278518000002"/>
    <s v="NA"/>
    <s v="NA"/>
    <n v="-64.000278518000002"/>
    <x v="6"/>
    <s v="Sud de la Fennoscandinavie, Pays baltes et ouest de la Russie"/>
    <n v="7"/>
    <s v="K116338"/>
    <s v="Fang"/>
  </r>
  <r>
    <x v="260"/>
    <s v="ScoRus"/>
    <n v="1"/>
    <x v="0"/>
    <x v="0"/>
    <x v="0"/>
    <x v="2"/>
    <x v="257"/>
    <s v="NA"/>
    <x v="258"/>
    <x v="7"/>
    <m/>
    <x v="0"/>
    <x v="0"/>
    <s v="Les Verrières"/>
    <s v="Le Pussin"/>
    <n v="46.93085705"/>
    <n v="6.4624440160000001"/>
    <n v="6"/>
    <n v="31"/>
    <x v="0"/>
    <n v="2017"/>
    <x v="67"/>
    <x v="17"/>
    <n v="46"/>
    <x v="1"/>
    <x v="1"/>
    <x v="1"/>
    <n v="525661"/>
    <n v="198215"/>
    <n v="52561982"/>
    <n v="525198"/>
    <n v="525195"/>
    <n v="527500"/>
    <n v="197500"/>
    <s v="NA"/>
    <x v="1"/>
    <n v="0"/>
    <n v="0"/>
    <n v="1"/>
    <n v="-65.839286200000004"/>
    <n v="-62.511786132000005"/>
    <s v="NA"/>
    <s v="NA"/>
    <n v="-62.511786132000005"/>
    <x v="6"/>
    <s v="Sud de la Fennoscandinavie, Pays baltes et ouest de la Russie"/>
    <n v="7"/>
    <s v="K121997"/>
    <s v="Fang"/>
  </r>
  <r>
    <x v="261"/>
    <s v="ScoRus"/>
    <n v="1"/>
    <x v="0"/>
    <x v="0"/>
    <x v="0"/>
    <x v="2"/>
    <x v="258"/>
    <s v="NA"/>
    <x v="259"/>
    <x v="7"/>
    <m/>
    <x v="0"/>
    <x v="3"/>
    <s v="Bullet"/>
    <s v="Les Cernets Dessus"/>
    <n v="46.864614830000001"/>
    <n v="6.5724679850000003"/>
    <n v="6"/>
    <n v="3"/>
    <x v="1"/>
    <n v="2017"/>
    <x v="31"/>
    <x v="25"/>
    <n v="48"/>
    <x v="3"/>
    <x v="1"/>
    <x v="1"/>
    <n v="533957"/>
    <n v="190753"/>
    <n v="53391907"/>
    <n v="533190"/>
    <n v="530190"/>
    <n v="532500"/>
    <n v="192500"/>
    <s v="NA"/>
    <x v="1"/>
    <n v="0"/>
    <n v="0"/>
    <n v="1"/>
    <n v="-65.348738800000007"/>
    <n v="-62.089915368000007"/>
    <s v="NA"/>
    <s v="NA"/>
    <n v="-62.089915368000007"/>
    <x v="6"/>
    <s v="Sud de la Fennoscandinavie, Pays baltes et ouest de la Russie"/>
    <n v="7"/>
    <s v="K122005"/>
    <s v="Fang"/>
  </r>
  <r>
    <x v="262"/>
    <s v="ScoRus"/>
    <n v="1"/>
    <x v="0"/>
    <x v="0"/>
    <x v="0"/>
    <x v="2"/>
    <x v="259"/>
    <s v="NA"/>
    <x v="260"/>
    <x v="7"/>
    <m/>
    <x v="0"/>
    <x v="3"/>
    <s v="Provence"/>
    <s v="Bellevue"/>
    <n v="46.9011122"/>
    <n v="6.6777273350000002"/>
    <n v="6"/>
    <n v="28"/>
    <x v="0"/>
    <n v="2017"/>
    <x v="59"/>
    <x v="16"/>
    <n v="43"/>
    <x v="1"/>
    <x v="1"/>
    <x v="1"/>
    <n v="542022"/>
    <n v="194727"/>
    <n v="54201947"/>
    <n v="542194"/>
    <n v="540190"/>
    <n v="542500"/>
    <n v="192500"/>
    <s v="NA"/>
    <x v="1"/>
    <n v="0"/>
    <n v="0"/>
    <n v="1"/>
    <n v="-64.542567000000005"/>
    <n v="-61.396607620000005"/>
    <s v="NA"/>
    <s v="NA"/>
    <n v="-61.396607620000005"/>
    <x v="6"/>
    <s v="Sud de la Fennoscandinavie, Pays baltes et ouest de la Russie"/>
    <n v="6"/>
    <s v="K121994"/>
    <s v="Fang"/>
  </r>
  <r>
    <x v="263"/>
    <s v="ScoRus"/>
    <n v="1"/>
    <x v="0"/>
    <x v="0"/>
    <x v="0"/>
    <x v="2"/>
    <x v="260"/>
    <s v="NA"/>
    <x v="261"/>
    <x v="7"/>
    <m/>
    <x v="0"/>
    <x v="3"/>
    <s v="Bullet"/>
    <s v="Le Chasseron"/>
    <n v="46.855404319999998"/>
    <n v="6.5468740490000004"/>
    <n v="6"/>
    <n v="25"/>
    <x v="0"/>
    <n v="2017"/>
    <x v="76"/>
    <x v="8"/>
    <n v="40"/>
    <x v="0"/>
    <x v="0"/>
    <x v="0"/>
    <n v="531994"/>
    <n v="189751"/>
    <n v="53191897"/>
    <n v="531189"/>
    <n v="530185"/>
    <n v="532500"/>
    <n v="187500"/>
    <s v="NA"/>
    <x v="1"/>
    <n v="0"/>
    <n v="0"/>
    <n v="1"/>
    <n v="-63.3784171"/>
    <n v="-60.395438706"/>
    <s v="NA"/>
    <s v="NA"/>
    <n v="-60.395438706"/>
    <x v="6"/>
    <s v="Sud de la Fennoscandinavie, Pays baltes et ouest de la Russie"/>
    <n v="6"/>
    <s v="K121968"/>
    <s v="Fang"/>
  </r>
  <r>
    <x v="264"/>
    <s v="ScoRus"/>
    <n v="1"/>
    <x v="0"/>
    <x v="0"/>
    <x v="0"/>
    <x v="2"/>
    <x v="261"/>
    <n v="-22.76"/>
    <x v="262"/>
    <x v="7"/>
    <m/>
    <x v="0"/>
    <x v="0"/>
    <s v="les Verrieres"/>
    <s v="le pussin"/>
    <n v="46.933526200000003"/>
    <n v="6.4642472670000002"/>
    <n v="6"/>
    <n v="5"/>
    <x v="1"/>
    <n v="2016"/>
    <x v="144"/>
    <x v="22"/>
    <n v="50"/>
    <x v="3"/>
    <x v="1"/>
    <x v="1"/>
    <n v="525801"/>
    <n v="198509"/>
    <n v="52581985"/>
    <n v="525198"/>
    <n v="525195"/>
    <n v="527500"/>
    <n v="197500"/>
    <n v="280"/>
    <x v="1"/>
    <n v="0"/>
    <n v="0"/>
    <n v="1"/>
    <n v="-63.197858600000004"/>
    <n v="-60.240158396000005"/>
    <s v="NA"/>
    <s v="NA"/>
    <n v="-60.240158396000005"/>
    <x v="6"/>
    <s v="Sud de la Fennoscandinavie, Pays baltes et ouest de la Russie"/>
    <n v="6"/>
    <s v="K118487"/>
    <s v="Fang"/>
  </r>
  <r>
    <x v="265"/>
    <s v="ScoRus"/>
    <n v="1"/>
    <x v="0"/>
    <x v="0"/>
    <x v="0"/>
    <x v="2"/>
    <x v="262"/>
    <s v="NA"/>
    <x v="263"/>
    <x v="7"/>
    <m/>
    <x v="0"/>
    <x v="0"/>
    <s v="La Chaux-du-Milieu"/>
    <s v="La Rocheta"/>
    <n v="46.996700920000002"/>
    <n v="6.7041303990000003"/>
    <n v="6"/>
    <n v="10"/>
    <x v="1"/>
    <n v="2017"/>
    <x v="145"/>
    <x v="19"/>
    <n v="55"/>
    <x v="2"/>
    <x v="2"/>
    <x v="1"/>
    <n v="544134"/>
    <n v="205334"/>
    <n v="54412053"/>
    <n v="544205"/>
    <n v="540205"/>
    <n v="542500"/>
    <n v="207500"/>
    <s v="NA"/>
    <x v="1"/>
    <n v="0"/>
    <n v="0"/>
    <n v="1"/>
    <n v="-63.181099799999998"/>
    <n v="-60.225745828000001"/>
    <s v="NA"/>
    <s v="NA"/>
    <n v="-60.225745828000001"/>
    <x v="6"/>
    <s v="Sud de la Fennoscandinavie, Pays baltes et ouest de la Russie"/>
    <n v="6"/>
    <s v="K122009"/>
    <s v="Fang"/>
  </r>
  <r>
    <x v="266"/>
    <s v="ScoRus"/>
    <n v="1"/>
    <x v="0"/>
    <x v="0"/>
    <x v="0"/>
    <x v="2"/>
    <x v="263"/>
    <s v="NA"/>
    <x v="264"/>
    <x v="7"/>
    <m/>
    <x v="0"/>
    <x v="0"/>
    <s v="La Chaux-du-Milieu"/>
    <s v="La Rocheta"/>
    <n v="46.993412210000002"/>
    <n v="6.697704087"/>
    <n v="6"/>
    <n v="24"/>
    <x v="0"/>
    <n v="2017"/>
    <x v="15"/>
    <x v="14"/>
    <n v="39"/>
    <x v="0"/>
    <x v="0"/>
    <x v="0"/>
    <n v="543641"/>
    <n v="204973"/>
    <n v="54362049"/>
    <n v="543204"/>
    <n v="540200"/>
    <n v="542500"/>
    <n v="202500"/>
    <s v="NA"/>
    <x v="1"/>
    <n v="0"/>
    <n v="0"/>
    <n v="1"/>
    <n v="-62.512508599999997"/>
    <n v="-59.650757395999996"/>
    <s v="NA"/>
    <s v="NA"/>
    <n v="-59.650757395999996"/>
    <x v="6"/>
    <s v="Sud de la Fennoscandinavie, Pays baltes et ouest de la Russie"/>
    <n v="6"/>
    <s v="K118455"/>
    <s v="Fang"/>
  </r>
  <r>
    <x v="267"/>
    <s v="ScoRus"/>
    <n v="1"/>
    <x v="0"/>
    <x v="0"/>
    <x v="0"/>
    <x v="2"/>
    <x v="264"/>
    <s v="NA"/>
    <x v="265"/>
    <x v="7"/>
    <m/>
    <x v="0"/>
    <x v="3"/>
    <s v="Provence"/>
    <s v="Prés Cretegny"/>
    <n v="46.906095100000002"/>
    <n v="6.677620084"/>
    <n v="6"/>
    <n v="2"/>
    <x v="1"/>
    <n v="2017"/>
    <x v="26"/>
    <x v="4"/>
    <n v="47"/>
    <x v="3"/>
    <x v="1"/>
    <x v="1"/>
    <n v="542019"/>
    <n v="195281"/>
    <n v="54201952"/>
    <n v="542195"/>
    <n v="540195"/>
    <n v="542500"/>
    <n v="197500"/>
    <s v="NA"/>
    <x v="1"/>
    <n v="0"/>
    <n v="0"/>
    <n v="1"/>
    <n v="-61.780101000000002"/>
    <n v="-59.020886860000005"/>
    <s v="NA"/>
    <s v="NA"/>
    <n v="-59.020886860000005"/>
    <x v="6"/>
    <s v="Sud de la Fennoscandinavie, Pays baltes et ouest de la Russie"/>
    <n v="6"/>
    <s v="K122001"/>
    <s v="Fang"/>
  </r>
  <r>
    <x v="268"/>
    <s v="ScoRus"/>
    <n v="1"/>
    <x v="0"/>
    <x v="0"/>
    <x v="0"/>
    <x v="2"/>
    <x v="265"/>
    <s v="NA"/>
    <x v="266"/>
    <x v="7"/>
    <m/>
    <x v="0"/>
    <x v="0"/>
    <s v="La Chaux-du-Milieu"/>
    <s v="La Rocheta"/>
    <n v="46.996610359999998"/>
    <n v="6.70263279"/>
    <n v="6"/>
    <n v="10"/>
    <x v="1"/>
    <n v="2017"/>
    <x v="145"/>
    <x v="19"/>
    <n v="55"/>
    <x v="2"/>
    <x v="2"/>
    <x v="1"/>
    <n v="544020"/>
    <n v="205325"/>
    <n v="54402053"/>
    <n v="544205"/>
    <n v="540205"/>
    <n v="542500"/>
    <n v="207500"/>
    <s v="NA"/>
    <x v="1"/>
    <n v="0"/>
    <n v="0"/>
    <n v="1"/>
    <n v="-61.643256200000003"/>
    <n v="-58.903200332000004"/>
    <s v="NA"/>
    <s v="NA"/>
    <n v="-58.903200332000004"/>
    <x v="6"/>
    <s v="Sud de la Fennoscandinavie, Pays baltes et ouest de la Russie"/>
    <n v="6"/>
    <s v="K122011"/>
    <s v="Fang"/>
  </r>
  <r>
    <x v="269"/>
    <s v="ScoRus"/>
    <n v="1"/>
    <x v="0"/>
    <x v="0"/>
    <x v="0"/>
    <x v="2"/>
    <x v="266"/>
    <s v="NA"/>
    <x v="267"/>
    <x v="7"/>
    <m/>
    <x v="0"/>
    <x v="3"/>
    <s v="Provence"/>
    <s v="Prés Cretegny"/>
    <n v="46.909555189999999"/>
    <n v="6.6839243679999996"/>
    <n v="6"/>
    <n v="20"/>
    <x v="0"/>
    <n v="2017"/>
    <x v="143"/>
    <x v="30"/>
    <n v="35"/>
    <x v="4"/>
    <x v="0"/>
    <x v="0"/>
    <n v="542503"/>
    <n v="195661"/>
    <n v="54251956"/>
    <n v="542195"/>
    <n v="540195"/>
    <n v="542500"/>
    <n v="197500"/>
    <s v="NA"/>
    <x v="1"/>
    <n v="0"/>
    <n v="0"/>
    <n v="1"/>
    <n v="-60.790278000000001"/>
    <n v="-58.169639080000003"/>
    <s v="NA"/>
    <s v="NA"/>
    <n v="-58.169639080000003"/>
    <x v="6"/>
    <s v="Sud de la Fennoscandinavie, Pays baltes et ouest de la Russie"/>
    <n v="6"/>
    <s v="K116340"/>
    <s v="Fang"/>
  </r>
  <r>
    <x v="270"/>
    <s v="ScoRus"/>
    <n v="1"/>
    <x v="0"/>
    <x v="0"/>
    <x v="0"/>
    <x v="2"/>
    <x v="267"/>
    <n v="-23.92"/>
    <x v="268"/>
    <x v="7"/>
    <m/>
    <x v="0"/>
    <x v="0"/>
    <s v="les Verrieres"/>
    <s v="le pussin"/>
    <n v="46.932756009999999"/>
    <n v="6.4625408550000003"/>
    <n v="6"/>
    <n v="23"/>
    <x v="0"/>
    <n v="2016"/>
    <x v="146"/>
    <x v="44"/>
    <n v="38"/>
    <x v="0"/>
    <x v="0"/>
    <x v="0"/>
    <n v="525670"/>
    <n v="198425"/>
    <n v="52561984"/>
    <n v="525198"/>
    <n v="525195"/>
    <n v="527500"/>
    <n v="197500"/>
    <n v="350"/>
    <x v="1"/>
    <n v="0"/>
    <n v="0"/>
    <n v="1"/>
    <n v="-59.261036199999999"/>
    <n v="-56.854491132"/>
    <s v="NA"/>
    <s v="NA"/>
    <n v="-56.854491132"/>
    <x v="6"/>
    <s v="Sud de la Fennoscandinavie, Pays baltes et ouest de la Russie"/>
    <n v="6"/>
    <s v="K115200"/>
    <s v="Fang"/>
  </r>
  <r>
    <x v="271"/>
    <s v="ScoRus"/>
    <n v="1"/>
    <x v="0"/>
    <x v="0"/>
    <x v="0"/>
    <x v="2"/>
    <x v="268"/>
    <s v="NA"/>
    <x v="269"/>
    <x v="7"/>
    <m/>
    <x v="0"/>
    <x v="3"/>
    <s v="Provence"/>
    <s v="Prés Cretegny"/>
    <n v="46.904700890000001"/>
    <n v="6.6749359860000004"/>
    <n v="6"/>
    <n v="21"/>
    <x v="0"/>
    <n v="2017"/>
    <x v="64"/>
    <x v="11"/>
    <n v="36"/>
    <x v="4"/>
    <x v="0"/>
    <x v="0"/>
    <n v="541813"/>
    <n v="195128"/>
    <n v="54181951"/>
    <n v="541195"/>
    <n v="540195"/>
    <n v="542500"/>
    <n v="197500"/>
    <s v="NA"/>
    <x v="1"/>
    <n v="0"/>
    <n v="0"/>
    <n v="1"/>
    <n v="-58.377637499999999"/>
    <n v="-56.094768250000001"/>
    <s v="NA"/>
    <s v="NA"/>
    <n v="-56.094768250000001"/>
    <x v="6"/>
    <s v="Sud de la Fennoscandinavie, Pays baltes et ouest de la Russie"/>
    <n v="6"/>
    <s v="K116345"/>
    <s v="Fang"/>
  </r>
  <r>
    <x v="272"/>
    <s v="ScoRus"/>
    <n v="1"/>
    <x v="0"/>
    <x v="0"/>
    <x v="0"/>
    <x v="2"/>
    <x v="269"/>
    <s v="NA"/>
    <x v="270"/>
    <x v="8"/>
    <m/>
    <x v="0"/>
    <x v="3"/>
    <s v="Provence"/>
    <s v="Bellevue"/>
    <n v="46.901266"/>
    <n v="6.6778590280000003"/>
    <n v="6"/>
    <n v="2"/>
    <x v="1"/>
    <n v="2017"/>
    <x v="26"/>
    <x v="4"/>
    <n v="47"/>
    <x v="3"/>
    <x v="1"/>
    <x v="1"/>
    <n v="542032"/>
    <n v="194744"/>
    <n v="54201947"/>
    <n v="542194"/>
    <n v="540190"/>
    <n v="542500"/>
    <n v="192500"/>
    <s v="NA"/>
    <x v="1"/>
    <n v="0"/>
    <n v="0"/>
    <n v="1"/>
    <n v="-57.545238400000002"/>
    <n v="-55.378905024000005"/>
    <s v="NA"/>
    <s v="NA"/>
    <n v="-55.378905024000005"/>
    <x v="6"/>
    <s v="Sud de la Fennoscandinavie, Pays baltes et ouest de la Russie"/>
    <n v="6"/>
    <s v="K122003"/>
    <s v="Fang"/>
  </r>
  <r>
    <x v="273"/>
    <s v="ScoRus"/>
    <n v="1"/>
    <x v="0"/>
    <x v="0"/>
    <x v="0"/>
    <x v="2"/>
    <x v="270"/>
    <s v="NA"/>
    <x v="271"/>
    <x v="8"/>
    <m/>
    <x v="0"/>
    <x v="3"/>
    <s v="Provence"/>
    <s v="Prés Cretegny"/>
    <n v="46.903400400000002"/>
    <n v="6.6755188289999996"/>
    <n v="6"/>
    <n v="21"/>
    <x v="0"/>
    <n v="2017"/>
    <x v="64"/>
    <x v="11"/>
    <n v="36"/>
    <x v="4"/>
    <x v="0"/>
    <x v="0"/>
    <n v="541856"/>
    <n v="194983"/>
    <n v="54181949"/>
    <n v="541194"/>
    <n v="540190"/>
    <n v="542500"/>
    <n v="192500"/>
    <s v="NA"/>
    <x v="1"/>
    <n v="0"/>
    <n v="0"/>
    <n v="1"/>
    <n v="-57.1565169"/>
    <n v="-55.044604534000001"/>
    <s v="NA"/>
    <s v="NA"/>
    <n v="-55.044604534000001"/>
    <x v="6"/>
    <s v="Sud de la Fennoscandinavie, Pays baltes et ouest de la Russie"/>
    <n v="6"/>
    <s v="K116343"/>
    <s v="Fang"/>
  </r>
  <r>
    <x v="274"/>
    <s v="ScoRus"/>
    <n v="1"/>
    <x v="0"/>
    <x v="0"/>
    <x v="0"/>
    <x v="2"/>
    <x v="271"/>
    <s v="NA"/>
    <x v="272"/>
    <x v="8"/>
    <m/>
    <x v="0"/>
    <x v="3"/>
    <s v="Provence"/>
    <s v="Prés Cretegny"/>
    <n v="46.909555189999999"/>
    <n v="6.6839243679999996"/>
    <n v="6"/>
    <n v="20"/>
    <x v="0"/>
    <n v="2017"/>
    <x v="143"/>
    <x v="30"/>
    <n v="35"/>
    <x v="4"/>
    <x v="0"/>
    <x v="0"/>
    <n v="542503"/>
    <n v="195661"/>
    <n v="54251956"/>
    <n v="542195"/>
    <n v="540195"/>
    <n v="542500"/>
    <n v="197500"/>
    <s v="NA"/>
    <x v="1"/>
    <n v="0"/>
    <n v="0"/>
    <n v="1"/>
    <n v="-56.749655699999998"/>
    <n v="-54.694703902000001"/>
    <s v="NA"/>
    <s v="NA"/>
    <n v="-54.694703902000001"/>
    <x v="7"/>
    <s v="Europe centrale"/>
    <n v="6"/>
    <s v="K116339"/>
    <s v="Fang"/>
  </r>
  <r>
    <x v="275"/>
    <s v="ScoRus"/>
    <n v="1"/>
    <x v="0"/>
    <x v="0"/>
    <x v="0"/>
    <x v="2"/>
    <x v="272"/>
    <s v="NA"/>
    <x v="273"/>
    <x v="8"/>
    <m/>
    <x v="0"/>
    <x v="0"/>
    <s v="La Chaux-du-Milieu"/>
    <s v="La Rocheta"/>
    <n v="46.99492"/>
    <n v="6.6970799999999997"/>
    <n v="6"/>
    <n v="24"/>
    <x v="1"/>
    <n v="2017"/>
    <x v="73"/>
    <x v="43"/>
    <n v="69"/>
    <x v="7"/>
    <x v="3"/>
    <x v="2"/>
    <n v="543596"/>
    <n v="205141"/>
    <n v="54352051"/>
    <n v="543205"/>
    <n v="540205"/>
    <n v="542500"/>
    <n v="207500"/>
    <s v="NA"/>
    <x v="1"/>
    <n v="0"/>
    <n v="0"/>
    <n v="1"/>
    <n v="-56.124099000000001"/>
    <n v="-54.156725139999999"/>
    <s v="NA"/>
    <s v="NA"/>
    <n v="-54.156725139999999"/>
    <x v="7"/>
    <s v="Europe centrale"/>
    <n v="6"/>
    <s v="K122016"/>
    <s v="Fang"/>
  </r>
  <r>
    <x v="276"/>
    <s v="ScoRus"/>
    <n v="1"/>
    <x v="0"/>
    <x v="0"/>
    <x v="0"/>
    <x v="2"/>
    <x v="273"/>
    <s v="NA"/>
    <x v="274"/>
    <x v="8"/>
    <m/>
    <x v="0"/>
    <x v="0"/>
    <s v="La Chaux-du-Milieu"/>
    <s v="La Rocheta"/>
    <n v="46.996004149999997"/>
    <n v="6.6978947980000001"/>
    <n v="6"/>
    <n v="2"/>
    <x v="1"/>
    <n v="2017"/>
    <x v="26"/>
    <x v="4"/>
    <n v="47"/>
    <x v="3"/>
    <x v="1"/>
    <x v="1"/>
    <n v="543659"/>
    <n v="205261"/>
    <n v="54362052"/>
    <n v="543205"/>
    <n v="540205"/>
    <n v="542500"/>
    <n v="207500"/>
    <s v="NA"/>
    <x v="1"/>
    <n v="0"/>
    <n v="0"/>
    <n v="1"/>
    <n v="-55.379757400000003"/>
    <n v="-53.516591364"/>
    <s v="NA"/>
    <s v="NA"/>
    <n v="-53.516591364"/>
    <x v="7"/>
    <s v="Europe centrale"/>
    <n v="6"/>
    <s v="K121999"/>
    <s v="Fang"/>
  </r>
  <r>
    <x v="277"/>
    <s v="ScoRus"/>
    <n v="1"/>
    <x v="0"/>
    <x v="0"/>
    <x v="0"/>
    <x v="2"/>
    <x v="274"/>
    <n v="-23.25"/>
    <x v="275"/>
    <x v="8"/>
    <m/>
    <x v="0"/>
    <x v="3"/>
    <s v="Provence"/>
    <s v="la bolene"/>
    <n v="46.910787020000001"/>
    <n v="6.686571829"/>
    <n v="6"/>
    <n v="1"/>
    <x v="1"/>
    <n v="2016"/>
    <x v="147"/>
    <x v="17"/>
    <n v="46"/>
    <x v="1"/>
    <x v="1"/>
    <x v="1"/>
    <n v="542706"/>
    <n v="195795"/>
    <n v="54271957"/>
    <n v="542195"/>
    <n v="540195"/>
    <n v="542500"/>
    <n v="197500"/>
    <n v="300"/>
    <x v="1"/>
    <n v="0"/>
    <n v="0"/>
    <n v="1"/>
    <n v="-54.9585352"/>
    <n v="-53.154340271999999"/>
    <s v="NA"/>
    <s v="NA"/>
    <n v="-53.154340271999999"/>
    <x v="7"/>
    <s v="Europe centrale"/>
    <n v="5"/>
    <s v="K118472"/>
    <s v="Fang"/>
  </r>
  <r>
    <x v="278"/>
    <s v="ScoRus"/>
    <n v="1"/>
    <x v="0"/>
    <x v="0"/>
    <x v="0"/>
    <x v="2"/>
    <x v="275"/>
    <s v="NA"/>
    <x v="276"/>
    <x v="8"/>
    <m/>
    <x v="0"/>
    <x v="3"/>
    <s v="Provence"/>
    <s v="Prés Cretegny"/>
    <n v="46.905613879999997"/>
    <n v="6.6783034490000004"/>
    <n v="6"/>
    <n v="25"/>
    <x v="0"/>
    <n v="2017"/>
    <x v="76"/>
    <x v="8"/>
    <n v="40"/>
    <x v="0"/>
    <x v="0"/>
    <x v="0"/>
    <n v="542071"/>
    <n v="195227"/>
    <n v="54201952"/>
    <n v="542195"/>
    <n v="540195"/>
    <n v="542500"/>
    <n v="197500"/>
    <s v="NA"/>
    <x v="1"/>
    <n v="0"/>
    <n v="0"/>
    <n v="1"/>
    <n v="-54.460191600000002"/>
    <n v="-52.725764775999998"/>
    <s v="NA"/>
    <s v="NA"/>
    <n v="-52.725764775999998"/>
    <x v="7"/>
    <s v="Europe centrale"/>
    <n v="5"/>
    <s v="K121966"/>
    <s v="Fang"/>
  </r>
  <r>
    <x v="279"/>
    <s v="ScoRus"/>
    <n v="1"/>
    <x v="0"/>
    <x v="0"/>
    <x v="0"/>
    <x v="2"/>
    <x v="276"/>
    <s v="NA"/>
    <x v="277"/>
    <x v="8"/>
    <m/>
    <x v="0"/>
    <x v="0"/>
    <s v="Val-de-Travers"/>
    <s v="Signal des Francais"/>
    <n v="46.930979829999998"/>
    <n v="6.5872384039999998"/>
    <n v="6"/>
    <n v="27"/>
    <x v="0"/>
    <n v="2017"/>
    <x v="142"/>
    <x v="6"/>
    <n v="42"/>
    <x v="0"/>
    <x v="0"/>
    <x v="0"/>
    <n v="535164"/>
    <n v="198118"/>
    <n v="53511981"/>
    <n v="535198"/>
    <n v="535195"/>
    <n v="537500"/>
    <n v="197500"/>
    <s v="NA"/>
    <x v="1"/>
    <n v="0"/>
    <n v="0"/>
    <n v="1"/>
    <n v="-53.956330399999999"/>
    <n v="-52.292444144000001"/>
    <s v="NA"/>
    <s v="NA"/>
    <n v="-52.292444144000001"/>
    <x v="7"/>
    <s v="Europe centrale"/>
    <n v="5"/>
    <s v="K121974"/>
    <s v="Fang"/>
  </r>
  <r>
    <x v="280"/>
    <s v="ScoRus"/>
    <n v="1"/>
    <x v="0"/>
    <x v="0"/>
    <x v="0"/>
    <x v="2"/>
    <x v="277"/>
    <s v="NA"/>
    <x v="278"/>
    <x v="8"/>
    <m/>
    <x v="0"/>
    <x v="0"/>
    <s v="Les Verrières"/>
    <s v="Le Pussin"/>
    <n v="46.929676270000002"/>
    <n v="6.4590117759999996"/>
    <n v="6"/>
    <n v="22"/>
    <x v="0"/>
    <n v="2017"/>
    <x v="78"/>
    <x v="21"/>
    <n v="37"/>
    <x v="4"/>
    <x v="0"/>
    <x v="0"/>
    <n v="525398"/>
    <n v="198087"/>
    <n v="52531980"/>
    <n v="525198"/>
    <n v="525195"/>
    <n v="527500"/>
    <n v="197500"/>
    <s v="NA"/>
    <x v="1"/>
    <n v="0"/>
    <n v="0"/>
    <n v="1"/>
    <n v="-52.613341499999997"/>
    <n v="-51.13747369"/>
    <s v="NA"/>
    <s v="NA"/>
    <n v="-51.13747369"/>
    <x v="7"/>
    <s v="Europe centrale"/>
    <n v="5"/>
    <s v="K121956"/>
    <s v="Fang"/>
  </r>
  <r>
    <x v="281"/>
    <s v="ScoRus"/>
    <n v="1"/>
    <x v="0"/>
    <x v="0"/>
    <x v="0"/>
    <x v="2"/>
    <x v="278"/>
    <s v="NA"/>
    <x v="279"/>
    <x v="8"/>
    <m/>
    <x v="0"/>
    <x v="3"/>
    <s v="Bullet"/>
    <s v="Les Cernets"/>
    <n v="46.862811319999999"/>
    <n v="6.5683394469999996"/>
    <n v="6"/>
    <n v="19"/>
    <x v="0"/>
    <n v="2017"/>
    <x v="148"/>
    <x v="9"/>
    <n v="34"/>
    <x v="4"/>
    <x v="0"/>
    <x v="0"/>
    <n v="533640"/>
    <n v="190556"/>
    <n v="53361905"/>
    <n v="533190"/>
    <n v="530190"/>
    <n v="532500"/>
    <n v="192500"/>
    <s v="NA"/>
    <x v="1"/>
    <n v="0"/>
    <n v="0"/>
    <n v="1"/>
    <n v="-50.051169600000001"/>
    <n v="-48.934005855999999"/>
    <s v="NA"/>
    <s v="NA"/>
    <n v="-48.934005855999999"/>
    <x v="7"/>
    <s v="Europe centrale"/>
    <n v="5"/>
    <s v="K116334"/>
    <s v="Fang"/>
  </r>
  <r>
    <x v="282"/>
    <s v="ScoRus"/>
    <n v="1"/>
    <x v="0"/>
    <x v="0"/>
    <x v="0"/>
    <x v="2"/>
    <x v="279"/>
    <n v="-24.04"/>
    <x v="280"/>
    <x v="8"/>
    <m/>
    <x v="0"/>
    <x v="0"/>
    <s v="La-Chaux-du-Milieu"/>
    <s v="la Rocheta"/>
    <n v="46.993385060000001"/>
    <n v="6.6962875510000002"/>
    <n v="6"/>
    <n v="5"/>
    <x v="1"/>
    <n v="2016"/>
    <x v="144"/>
    <x v="22"/>
    <n v="50"/>
    <x v="3"/>
    <x v="1"/>
    <x v="1"/>
    <n v="543533"/>
    <n v="204970"/>
    <n v="54352049"/>
    <n v="543204"/>
    <n v="540200"/>
    <n v="542500"/>
    <n v="202500"/>
    <s v="NA"/>
    <x v="1"/>
    <n v="0"/>
    <n v="0"/>
    <n v="1"/>
    <n v="-48.501385200000001"/>
    <n v="-47.601191272000001"/>
    <s v="NA"/>
    <s v="NA"/>
    <n v="-47.601191272000001"/>
    <x v="7"/>
    <s v="Europe centrale"/>
    <n v="5"/>
    <s v="K118494"/>
    <s v="Fang"/>
  </r>
  <r>
    <x v="283"/>
    <s v="ScoRus"/>
    <n v="1"/>
    <x v="0"/>
    <x v="0"/>
    <x v="0"/>
    <x v="2"/>
    <x v="280"/>
    <n v="-24.27"/>
    <x v="281"/>
    <x v="8"/>
    <m/>
    <x v="0"/>
    <x v="0"/>
    <s v="La-Chaux-du-Milieu"/>
    <s v="la Rocheta"/>
    <n v="46.996084979999999"/>
    <n v="6.7034682940000003"/>
    <n v="6"/>
    <n v="26"/>
    <x v="0"/>
    <n v="2016"/>
    <x v="0"/>
    <x v="0"/>
    <n v="41"/>
    <x v="0"/>
    <x v="0"/>
    <x v="0"/>
    <n v="544082"/>
    <n v="205265"/>
    <n v="54402052"/>
    <n v="544205"/>
    <n v="540205"/>
    <n v="542500"/>
    <n v="207500"/>
    <n v="343"/>
    <x v="1"/>
    <n v="0"/>
    <n v="0"/>
    <n v="1"/>
    <n v="-48.430696400000002"/>
    <n v="-47.540398904"/>
    <s v="NA"/>
    <s v="NA"/>
    <n v="-47.540398904"/>
    <x v="7"/>
    <s v="Europe centrale"/>
    <n v="5"/>
    <s v="K118454"/>
    <s v="Fang"/>
  </r>
  <r>
    <x v="284"/>
    <s v="ScoRus"/>
    <n v="1"/>
    <x v="0"/>
    <x v="0"/>
    <x v="0"/>
    <x v="2"/>
    <x v="281"/>
    <s v="NA"/>
    <x v="282"/>
    <x v="9"/>
    <m/>
    <x v="0"/>
    <x v="0"/>
    <s v="Val-de-Travers"/>
    <s v="Chantemerle"/>
    <n v="46.9758"/>
    <n v="6.6694899999999997"/>
    <n v="6"/>
    <n v="24"/>
    <x v="1"/>
    <n v="2017"/>
    <x v="73"/>
    <x v="43"/>
    <n v="69"/>
    <x v="7"/>
    <x v="3"/>
    <x v="2"/>
    <n v="541476"/>
    <n v="203036"/>
    <n v="54142030"/>
    <n v="541203"/>
    <n v="540200"/>
    <n v="542500"/>
    <n v="202500"/>
    <s v="NA"/>
    <x v="1"/>
    <n v="0"/>
    <n v="0"/>
    <n v="1"/>
    <n v="-48.028744199999998"/>
    <n v="-47.194720011999998"/>
    <s v="NA"/>
    <s v="NA"/>
    <n v="-47.194720011999998"/>
    <x v="7"/>
    <s v="Europe centrale"/>
    <n v="5"/>
    <s v="K122018"/>
    <s v="Fang"/>
  </r>
  <r>
    <x v="285"/>
    <s v="ScoRus"/>
    <n v="1"/>
    <x v="0"/>
    <x v="0"/>
    <x v="0"/>
    <x v="2"/>
    <x v="282"/>
    <s v="NA"/>
    <x v="283"/>
    <x v="9"/>
    <m/>
    <x v="0"/>
    <x v="3"/>
    <s v="Provence"/>
    <s v="Prés Cretegny"/>
    <n v="46.906267380000003"/>
    <n v="6.6791796100000003"/>
    <n v="6"/>
    <n v="20"/>
    <x v="0"/>
    <n v="2017"/>
    <x v="143"/>
    <x v="30"/>
    <n v="35"/>
    <x v="4"/>
    <x v="0"/>
    <x v="0"/>
    <n v="542138"/>
    <n v="195299"/>
    <n v="54211952"/>
    <n v="542195"/>
    <n v="540195"/>
    <n v="542500"/>
    <n v="197500"/>
    <s v="NA"/>
    <x v="1"/>
    <n v="0"/>
    <n v="0"/>
    <n v="1"/>
    <n v="-47.865588299999999"/>
    <n v="-47.054405938000002"/>
    <s v="NA"/>
    <s v="NA"/>
    <n v="-47.054405938000002"/>
    <x v="7"/>
    <s v="Europe centrale"/>
    <n v="5"/>
    <s v="K116341"/>
    <s v="Fang"/>
  </r>
  <r>
    <x v="286"/>
    <s v="ScoRus"/>
    <n v="1"/>
    <x v="0"/>
    <x v="0"/>
    <x v="0"/>
    <x v="2"/>
    <x v="283"/>
    <s v="NA"/>
    <x v="284"/>
    <x v="9"/>
    <m/>
    <x v="0"/>
    <x v="3"/>
    <s v="Provence"/>
    <s v="Prés Cretegny"/>
    <n v="46.907385730000001"/>
    <n v="6.680973442"/>
    <n v="6"/>
    <n v="25"/>
    <x v="0"/>
    <n v="2017"/>
    <x v="76"/>
    <x v="8"/>
    <n v="40"/>
    <x v="0"/>
    <x v="0"/>
    <x v="0"/>
    <n v="542276"/>
    <n v="195422"/>
    <n v="54221954"/>
    <n v="542195"/>
    <n v="540195"/>
    <n v="542500"/>
    <n v="197500"/>
    <s v="NA"/>
    <x v="1"/>
    <n v="0"/>
    <n v="0"/>
    <n v="1"/>
    <n v="-46.320651699999999"/>
    <n v="-45.725760461999997"/>
    <s v="NA"/>
    <s v="NA"/>
    <n v="-45.725760461999997"/>
    <x v="7"/>
    <s v="Europe centrale"/>
    <n v="5"/>
    <s v="K121963"/>
    <s v="Fang"/>
  </r>
  <r>
    <x v="287"/>
    <s v="ScoRus"/>
    <n v="1"/>
    <x v="0"/>
    <x v="0"/>
    <x v="0"/>
    <x v="2"/>
    <x v="284"/>
    <s v="NA"/>
    <x v="285"/>
    <x v="9"/>
    <m/>
    <x v="0"/>
    <x v="0"/>
    <s v="Val-de-Travers"/>
    <s v="Signal des Francais"/>
    <n v="46.930878919999998"/>
    <n v="6.5881864759999997"/>
    <n v="6"/>
    <n v="27"/>
    <x v="0"/>
    <n v="2017"/>
    <x v="142"/>
    <x v="6"/>
    <n v="42"/>
    <x v="0"/>
    <x v="0"/>
    <x v="0"/>
    <n v="535236"/>
    <n v="198106"/>
    <n v="53521981"/>
    <n v="535198"/>
    <n v="535195"/>
    <n v="537500"/>
    <n v="197500"/>
    <s v="NA"/>
    <x v="1"/>
    <n v="0"/>
    <n v="0"/>
    <n v="1"/>
    <n v="-46.206408799999998"/>
    <n v="-45.627511567999996"/>
    <s v="NA"/>
    <s v="NA"/>
    <n v="-45.627511567999996"/>
    <x v="7"/>
    <s v="Europe centrale"/>
    <n v="5"/>
    <s v="K121973"/>
    <s v="Fang / Prélevé à la chasse en Russie au printemps 2018"/>
  </r>
  <r>
    <x v="288"/>
    <s v="ScoRus"/>
    <n v="1"/>
    <x v="0"/>
    <x v="0"/>
    <x v="0"/>
    <x v="2"/>
    <x v="285"/>
    <s v="NA"/>
    <x v="286"/>
    <x v="9"/>
    <m/>
    <x v="0"/>
    <x v="0"/>
    <s v="Val-de-Travers"/>
    <s v="Signal des Francais"/>
    <n v="46.933382440000003"/>
    <n v="6.5825094049999997"/>
    <n v="6"/>
    <n v="20"/>
    <x v="0"/>
    <n v="2017"/>
    <x v="143"/>
    <x v="30"/>
    <n v="35"/>
    <x v="4"/>
    <x v="0"/>
    <x v="0"/>
    <n v="534807"/>
    <n v="198389"/>
    <n v="53481983"/>
    <n v="534198"/>
    <n v="530195"/>
    <n v="532500"/>
    <n v="197500"/>
    <s v="NA"/>
    <x v="1"/>
    <n v="0"/>
    <n v="0"/>
    <n v="1"/>
    <n v="-44.631575699999999"/>
    <n v="-44.273155101999997"/>
    <s v="NA"/>
    <s v="NA"/>
    <n v="-44.273155101999997"/>
    <x v="8"/>
    <s v="Europe centrale"/>
    <n v="4"/>
    <s v="K116337"/>
    <s v="Fang"/>
  </r>
  <r>
    <x v="289"/>
    <s v="ScoRus"/>
    <n v="1"/>
    <x v="0"/>
    <x v="0"/>
    <x v="0"/>
    <x v="2"/>
    <x v="286"/>
    <n v="-23.17"/>
    <x v="287"/>
    <x v="9"/>
    <m/>
    <x v="0"/>
    <x v="0"/>
    <s v="les Verrieres"/>
    <s v="le pussin"/>
    <n v="46.934877280000002"/>
    <n v="6.4644460380000002"/>
    <n v="6"/>
    <n v="23"/>
    <x v="0"/>
    <n v="2016"/>
    <x v="146"/>
    <x v="44"/>
    <n v="38"/>
    <x v="0"/>
    <x v="0"/>
    <x v="0"/>
    <n v="525818"/>
    <n v="198659"/>
    <n v="52581986"/>
    <n v="525198"/>
    <n v="525195"/>
    <n v="527500"/>
    <n v="197500"/>
    <n v="278"/>
    <x v="1"/>
    <n v="0"/>
    <n v="0"/>
    <n v="1"/>
    <n v="-44.084694599999999"/>
    <n v="-43.802837355999998"/>
    <s v="NA"/>
    <s v="NA"/>
    <n v="-43.802837355999998"/>
    <x v="8"/>
    <s v="Europe centrale"/>
    <n v="4"/>
    <s v="K118451"/>
    <s v="Fang"/>
  </r>
  <r>
    <x v="290"/>
    <s v="ScoRus"/>
    <n v="1"/>
    <x v="0"/>
    <x v="0"/>
    <x v="0"/>
    <x v="2"/>
    <x v="287"/>
    <n v="-23.1"/>
    <x v="288"/>
    <x v="9"/>
    <m/>
    <x v="0"/>
    <x v="0"/>
    <s v="La-Chaux-du-Milieu"/>
    <s v="la Rocheta"/>
    <n v="46.996559189999999"/>
    <n v="6.6988732249999998"/>
    <n v="6"/>
    <n v="26"/>
    <x v="0"/>
    <n v="2016"/>
    <x v="0"/>
    <x v="0"/>
    <n v="41"/>
    <x v="0"/>
    <x v="0"/>
    <x v="0"/>
    <n v="543733"/>
    <n v="205321"/>
    <n v="54372053"/>
    <n v="543205"/>
    <n v="540205"/>
    <n v="542500"/>
    <n v="207500"/>
    <n v="365"/>
    <x v="1"/>
    <n v="0"/>
    <n v="0"/>
    <n v="1"/>
    <n v="-41.500475199999997"/>
    <n v="-41.580408671999997"/>
    <s v="NA"/>
    <s v="NA"/>
    <n v="-41.580408671999997"/>
    <x v="8"/>
    <s v="Europe centrale"/>
    <n v="4"/>
    <s v="K118455"/>
    <s v="Fang"/>
  </r>
  <r>
    <x v="291"/>
    <s v="ScoRus"/>
    <n v="1"/>
    <x v="0"/>
    <x v="0"/>
    <x v="0"/>
    <x v="2"/>
    <x v="288"/>
    <s v="NA"/>
    <x v="289"/>
    <x v="9"/>
    <m/>
    <x v="0"/>
    <x v="0"/>
    <s v="Val-de-Travers"/>
    <s v="Chantemerle"/>
    <n v="46.975145070000003"/>
    <n v="6.6694446620000001"/>
    <n v="6"/>
    <n v="28"/>
    <x v="0"/>
    <n v="2017"/>
    <x v="59"/>
    <x v="16"/>
    <n v="43"/>
    <x v="1"/>
    <x v="1"/>
    <x v="1"/>
    <n v="541472"/>
    <n v="202963"/>
    <n v="54142029"/>
    <n v="541202"/>
    <n v="540200"/>
    <n v="542500"/>
    <n v="202500"/>
    <s v="NA"/>
    <x v="1"/>
    <n v="0"/>
    <n v="0"/>
    <n v="1"/>
    <n v="-41.224326599999998"/>
    <n v="-41.342920876000001"/>
    <s v="NA"/>
    <s v="NA"/>
    <n v="-41.342920876000001"/>
    <x v="8"/>
    <s v="Europe centrale"/>
    <n v="4"/>
    <s v="K121991"/>
    <s v="Fang"/>
  </r>
  <r>
    <x v="292"/>
    <s v="ScoRus"/>
    <n v="1"/>
    <x v="0"/>
    <x v="0"/>
    <x v="0"/>
    <x v="2"/>
    <x v="289"/>
    <n v="-22.83"/>
    <x v="290"/>
    <x v="10"/>
    <m/>
    <x v="0"/>
    <x v="0"/>
    <s v="La-Chaux-du-Milieu"/>
    <s v="la Rocheta"/>
    <n v="46.994627360000003"/>
    <n v="6.6978217600000001"/>
    <n v="6"/>
    <n v="26"/>
    <x v="0"/>
    <n v="2016"/>
    <x v="0"/>
    <x v="0"/>
    <n v="41"/>
    <x v="0"/>
    <x v="0"/>
    <x v="0"/>
    <n v="543651"/>
    <n v="205107"/>
    <n v="54362051"/>
    <n v="543205"/>
    <n v="540205"/>
    <n v="542500"/>
    <n v="207500"/>
    <n v="315"/>
    <x v="1"/>
    <n v="0"/>
    <n v="0"/>
    <n v="1"/>
    <n v="-36.796951200000002"/>
    <n v="-37.535378031999997"/>
    <s v="NA"/>
    <s v="NA"/>
    <n v="-37.535378031999997"/>
    <x v="8"/>
    <s v="Europe centrale"/>
    <n v="4"/>
    <s v="K118456"/>
    <s v="Fang"/>
  </r>
  <r>
    <x v="293"/>
    <s v="ScoRus"/>
    <n v="1"/>
    <x v="0"/>
    <x v="0"/>
    <x v="0"/>
    <x v="2"/>
    <x v="290"/>
    <n v="-23.38"/>
    <x v="291"/>
    <x v="10"/>
    <m/>
    <x v="0"/>
    <x v="0"/>
    <s v="les Verrieres"/>
    <s v="le pussin"/>
    <n v="46.933503790000003"/>
    <n v="6.4647861180000001"/>
    <n v="6"/>
    <n v="5"/>
    <x v="1"/>
    <n v="2016"/>
    <x v="144"/>
    <x v="22"/>
    <n v="50"/>
    <x v="3"/>
    <x v="1"/>
    <x v="1"/>
    <n v="525842"/>
    <n v="198506"/>
    <n v="52581985"/>
    <n v="525198"/>
    <n v="525195"/>
    <n v="527500"/>
    <n v="197500"/>
    <n v="320"/>
    <x v="1"/>
    <n v="0"/>
    <n v="0"/>
    <n v="1"/>
    <n v="-36.208331000000001"/>
    <n v="-37.029164659999999"/>
    <s v="NA"/>
    <s v="NA"/>
    <n v="-37.029164659999999"/>
    <x v="8"/>
    <s v="Europe centrale"/>
    <n v="4"/>
    <s v="K118486"/>
    <s v="Fang"/>
  </r>
  <r>
    <x v="294"/>
    <s v="ScoRus"/>
    <n v="1"/>
    <x v="0"/>
    <x v="0"/>
    <x v="0"/>
    <x v="2"/>
    <x v="291"/>
    <s v="NA"/>
    <x v="292"/>
    <x v="10"/>
    <m/>
    <x v="0"/>
    <x v="3"/>
    <s v="Provence"/>
    <s v="Prés Cretegny"/>
    <n v="46.906083590000001"/>
    <n v="6.6785953810000001"/>
    <n v="6"/>
    <n v="28"/>
    <x v="0"/>
    <n v="2017"/>
    <x v="59"/>
    <x v="16"/>
    <n v="43"/>
    <x v="1"/>
    <x v="1"/>
    <x v="1"/>
    <n v="542094"/>
    <n v="195279"/>
    <n v="54201952"/>
    <n v="542195"/>
    <n v="540195"/>
    <n v="542500"/>
    <n v="197500"/>
    <s v="NA"/>
    <x v="1"/>
    <n v="0"/>
    <n v="0"/>
    <n v="1"/>
    <n v="-35.868422199999998"/>
    <n v="-36.736843091999994"/>
    <s v="NA"/>
    <s v="NA"/>
    <n v="-36.736843091999994"/>
    <x v="8"/>
    <s v="Europe centrale"/>
    <n v="4"/>
    <s v="K121995"/>
    <s v="Fang"/>
  </r>
  <r>
    <x v="295"/>
    <s v="ScoRus"/>
    <n v="1"/>
    <x v="0"/>
    <x v="0"/>
    <x v="0"/>
    <x v="2"/>
    <x v="292"/>
    <n v="-23.09"/>
    <x v="293"/>
    <x v="10"/>
    <m/>
    <x v="0"/>
    <x v="0"/>
    <s v="Gorgier"/>
    <s v="le soliat"/>
    <n v="46.928345569999998"/>
    <n v="6.7214912719999997"/>
    <n v="6"/>
    <n v="27"/>
    <x v="0"/>
    <n v="2016"/>
    <x v="149"/>
    <x v="6"/>
    <n v="42"/>
    <x v="0"/>
    <x v="0"/>
    <x v="0"/>
    <n v="545384"/>
    <n v="197722"/>
    <n v="54531977"/>
    <n v="545197"/>
    <n v="545195"/>
    <n v="547500"/>
    <n v="197500"/>
    <n v="345"/>
    <x v="1"/>
    <n v="0"/>
    <n v="0"/>
    <n v="1"/>
    <n v="-32.576014200000003"/>
    <n v="-33.905372212000003"/>
    <s v="NA"/>
    <s v="NA"/>
    <n v="-33.905372212000003"/>
    <x v="9"/>
    <s v="Ouest de la France &amp; bassin méditerrannéen"/>
    <n v="3"/>
    <s v="K118461"/>
    <s v="Fang"/>
  </r>
  <r>
    <x v="296"/>
    <s v="ScoRus"/>
    <n v="1"/>
    <x v="0"/>
    <x v="0"/>
    <x v="0"/>
    <x v="2"/>
    <x v="293"/>
    <n v="-24.41"/>
    <x v="294"/>
    <x v="10"/>
    <m/>
    <x v="0"/>
    <x v="3"/>
    <s v="Provence"/>
    <s v="bellevue"/>
    <n v="46.902534160000002"/>
    <n v="6.673772391"/>
    <n v="6"/>
    <n v="1"/>
    <x v="1"/>
    <n v="2016"/>
    <x v="147"/>
    <x v="17"/>
    <n v="46"/>
    <x v="1"/>
    <x v="1"/>
    <x v="1"/>
    <n v="541722"/>
    <n v="194887"/>
    <n v="54171948"/>
    <n v="541194"/>
    <n v="540190"/>
    <n v="542500"/>
    <n v="192500"/>
    <n v="325"/>
    <x v="1"/>
    <n v="0"/>
    <n v="0"/>
    <n v="1"/>
    <n v="-31.888157799999998"/>
    <n v="-33.313815708"/>
    <s v="NA"/>
    <s v="NA"/>
    <n v="-33.313815708"/>
    <x v="9"/>
    <s v="Ouest de la France &amp; bassin méditerrannéen"/>
    <n v="3"/>
    <s v="K118469"/>
    <s v="Fang"/>
  </r>
  <r>
    <x v="297"/>
    <s v="ScoRus"/>
    <n v="1"/>
    <x v="0"/>
    <x v="0"/>
    <x v="0"/>
    <x v="2"/>
    <x v="294"/>
    <s v="NA"/>
    <x v="295"/>
    <x v="11"/>
    <m/>
    <x v="0"/>
    <x v="0"/>
    <s v="La Chaux-du-Milieu"/>
    <s v="La Rocheta"/>
    <n v="46.995916190000003"/>
    <n v="6.7023971470000001"/>
    <n v="6"/>
    <n v="27"/>
    <x v="0"/>
    <n v="2017"/>
    <x v="142"/>
    <x v="6"/>
    <n v="42"/>
    <x v="0"/>
    <x v="0"/>
    <x v="0"/>
    <n v="544001"/>
    <n v="205248"/>
    <n v="54402052"/>
    <n v="544205"/>
    <n v="540205"/>
    <n v="542500"/>
    <n v="207500"/>
    <s v="NA"/>
    <x v="1"/>
    <n v="0"/>
    <n v="0"/>
    <n v="1"/>
    <n v="-29.136579399999999"/>
    <n v="-30.947458284"/>
    <s v="NA"/>
    <s v="NA"/>
    <n v="-30.947458284"/>
    <x v="9"/>
    <s v="Ouest de la France &amp; bassin méditerrannéen"/>
    <n v="3"/>
    <s v="K121979"/>
    <s v="Fang"/>
  </r>
  <r>
    <x v="298"/>
    <s v="ScoRus"/>
    <n v="1"/>
    <x v="0"/>
    <x v="0"/>
    <x v="0"/>
    <x v="2"/>
    <x v="295"/>
    <n v="-22.97"/>
    <x v="296"/>
    <x v="11"/>
    <m/>
    <x v="0"/>
    <x v="3"/>
    <s v="Provence"/>
    <s v="pres cretegny"/>
    <n v="46.903699140000001"/>
    <n v="6.6744514549999998"/>
    <n v="6"/>
    <n v="1"/>
    <x v="1"/>
    <n v="2016"/>
    <x v="147"/>
    <x v="17"/>
    <n v="46"/>
    <x v="1"/>
    <x v="1"/>
    <x v="1"/>
    <n v="541775"/>
    <n v="195016"/>
    <n v="54171950"/>
    <n v="541195"/>
    <n v="540195"/>
    <n v="542500"/>
    <n v="197500"/>
    <n v="345"/>
    <x v="1"/>
    <n v="0"/>
    <n v="0"/>
    <n v="1"/>
    <n v="-28.783288200000001"/>
    <n v="-30.643627852000002"/>
    <s v="NA"/>
    <s v="NA"/>
    <n v="-30.643627852000002"/>
    <x v="9"/>
    <s v="Ouest de la France &amp; bassin méditerrannéen"/>
    <n v="3"/>
    <s v="K118470"/>
    <s v="Fang"/>
  </r>
  <r>
    <x v="299"/>
    <s v="ScoRus"/>
    <n v="1"/>
    <x v="0"/>
    <x v="0"/>
    <x v="0"/>
    <x v="2"/>
    <x v="296"/>
    <s v="NA"/>
    <x v="297"/>
    <x v="11"/>
    <m/>
    <x v="0"/>
    <x v="0"/>
    <s v="Val-de-Travers"/>
    <s v="Les Coeubles"/>
    <n v="46.93508258"/>
    <n v="6.5849125629999996"/>
    <n v="6"/>
    <n v="27"/>
    <x v="0"/>
    <n v="2017"/>
    <x v="142"/>
    <x v="6"/>
    <n v="42"/>
    <x v="0"/>
    <x v="0"/>
    <x v="0"/>
    <n v="534992"/>
    <n v="198576"/>
    <n v="53491985"/>
    <n v="534198"/>
    <n v="530195"/>
    <n v="532500"/>
    <n v="197500"/>
    <s v="NA"/>
    <x v="1"/>
    <n v="0"/>
    <n v="0"/>
    <n v="1"/>
    <n v="-28.535923199999999"/>
    <n v="-30.430893951999998"/>
    <s v="NA"/>
    <s v="NA"/>
    <n v="-30.430893951999998"/>
    <x v="9"/>
    <s v="Ouest de la France &amp; bassin méditerrannéen"/>
    <n v="3"/>
    <s v="K121977"/>
    <s v="Fang"/>
  </r>
  <r>
    <x v="300"/>
    <s v="ScoRus"/>
    <n v="1"/>
    <x v="0"/>
    <x v="0"/>
    <x v="0"/>
    <x v="2"/>
    <x v="297"/>
    <s v="NA"/>
    <x v="298"/>
    <x v="11"/>
    <m/>
    <x v="0"/>
    <x v="3"/>
    <s v="Bullet"/>
    <s v="Les Cernets"/>
    <n v="46.862246460000001"/>
    <n v="6.5674042860000004"/>
    <n v="6"/>
    <n v="18"/>
    <x v="0"/>
    <n v="2017"/>
    <x v="150"/>
    <x v="89"/>
    <n v="33"/>
    <x v="4"/>
    <x v="0"/>
    <x v="0"/>
    <n v="533568"/>
    <n v="190494"/>
    <n v="53351904"/>
    <n v="533190"/>
    <n v="530190"/>
    <n v="532500"/>
    <n v="192500"/>
    <s v="NA"/>
    <x v="1"/>
    <n v="0"/>
    <n v="0"/>
    <n v="1"/>
    <n v="-27.898592000000001"/>
    <n v="-29.882789120000002"/>
    <s v="NA"/>
    <s v="NA"/>
    <n v="-29.882789120000002"/>
    <x v="9"/>
    <s v="Ouest de la France &amp; bassin méditerrannéen"/>
    <n v="3"/>
    <s v="K116333"/>
    <s v="Fang"/>
  </r>
  <r>
    <x v="301"/>
    <s v="ScoRus"/>
    <n v="1"/>
    <x v="0"/>
    <x v="0"/>
    <x v="0"/>
    <x v="2"/>
    <x v="298"/>
    <n v="-23.66"/>
    <x v="299"/>
    <x v="11"/>
    <m/>
    <x v="0"/>
    <x v="0"/>
    <s v="La-Chaux-du-Milieu"/>
    <s v="la Rocheta"/>
    <n v="46.992742939999999"/>
    <n v="6.6957574070000003"/>
    <n v="6"/>
    <n v="18"/>
    <x v="0"/>
    <n v="2016"/>
    <x v="151"/>
    <x v="89"/>
    <n v="33"/>
    <x v="4"/>
    <x v="0"/>
    <x v="0"/>
    <n v="543492"/>
    <n v="204899"/>
    <n v="54342048"/>
    <n v="543204"/>
    <n v="540200"/>
    <n v="542500"/>
    <n v="202500"/>
    <n v="330"/>
    <x v="1"/>
    <n v="0"/>
    <n v="0"/>
    <n v="1"/>
    <n v="-27.309698600000001"/>
    <n v="-29.376340796000001"/>
    <s v="NA"/>
    <s v="NA"/>
    <n v="-29.376340796000001"/>
    <x v="9"/>
    <s v="Ouest de la France &amp; bassin méditerrannéen"/>
    <n v="3"/>
    <s v="K115191"/>
    <s v="Fang"/>
  </r>
  <r>
    <x v="302"/>
    <s v="ScoRus"/>
    <n v="1"/>
    <x v="0"/>
    <x v="0"/>
    <x v="1"/>
    <x v="2"/>
    <x v="299"/>
    <s v="NA"/>
    <x v="300"/>
    <x v="11"/>
    <m/>
    <x v="0"/>
    <x v="0"/>
    <s v="La Chaux-du-Milieu"/>
    <s v="La Rocheta"/>
    <n v="46.995261739999997"/>
    <n v="6.6971556339999996"/>
    <n v="6"/>
    <n v="22"/>
    <x v="8"/>
    <n v="2017"/>
    <x v="152"/>
    <x v="90"/>
    <n v="7"/>
    <x v="32"/>
    <x v="19"/>
    <x v="14"/>
    <n v="543602"/>
    <n v="205179"/>
    <n v="54362051"/>
    <n v="543205"/>
    <n v="540205"/>
    <n v="542500"/>
    <n v="207500"/>
    <s v="NA"/>
    <x v="1"/>
    <n v="0"/>
    <n v="0"/>
    <n v="1"/>
    <n v="-25.225054100000001"/>
    <n v="-27.583546526000003"/>
    <s v="NA"/>
    <s v="NA"/>
    <n v="-27.583546526000003"/>
    <x v="9"/>
    <s v="Suisse"/>
    <n v="3"/>
    <s v="K116322"/>
    <s v="Fang"/>
  </r>
  <r>
    <x v="303"/>
    <s v="ScoRus"/>
    <n v="1"/>
    <x v="0"/>
    <x v="0"/>
    <x v="0"/>
    <x v="2"/>
    <x v="300"/>
    <n v="-22.81"/>
    <x v="301"/>
    <x v="11"/>
    <m/>
    <x v="0"/>
    <x v="3"/>
    <s v="Provence"/>
    <s v="la ronde noire"/>
    <n v="46.88605785"/>
    <n v="6.6234912939999999"/>
    <n v="6"/>
    <n v="20"/>
    <x v="0"/>
    <n v="2016"/>
    <x v="153"/>
    <x v="30"/>
    <n v="35"/>
    <x v="4"/>
    <x v="0"/>
    <x v="0"/>
    <n v="537872"/>
    <n v="193094"/>
    <n v="53781930"/>
    <n v="537193"/>
    <n v="535190"/>
    <n v="537500"/>
    <n v="192500"/>
    <n v="320"/>
    <x v="1"/>
    <n v="0"/>
    <n v="0"/>
    <n v="1"/>
    <n v="-23.319859600000001"/>
    <n v="-25.945079256"/>
    <s v="NA"/>
    <s v="NA"/>
    <n v="-25.945079256"/>
    <x v="9"/>
    <s v="Ouest de la France &amp; bassin méditerrannéen"/>
    <n v="2"/>
    <s v="K115196"/>
    <s v="Fang"/>
  </r>
  <r>
    <x v="304"/>
    <s v="ScoRus"/>
    <n v="1"/>
    <x v="0"/>
    <x v="0"/>
    <x v="0"/>
    <x v="2"/>
    <x v="301"/>
    <n v="-22.39"/>
    <x v="302"/>
    <x v="11"/>
    <m/>
    <x v="0"/>
    <x v="0"/>
    <s v="buttes"/>
    <s v="le signal"/>
    <n v="46.89948072"/>
    <n v="6.5102221289999997"/>
    <n v="6"/>
    <n v="27"/>
    <x v="0"/>
    <n v="2016"/>
    <x v="149"/>
    <x v="6"/>
    <n v="42"/>
    <x v="0"/>
    <x v="0"/>
    <x v="0"/>
    <n v="529257"/>
    <n v="194682"/>
    <n v="52921946"/>
    <n v="529194"/>
    <n v="525190"/>
    <n v="527500"/>
    <n v="192500"/>
    <n v="368"/>
    <x v="1"/>
    <n v="0"/>
    <n v="0"/>
    <n v="1"/>
    <n v="-23.130903"/>
    <n v="-25.782576580000001"/>
    <s v="NA"/>
    <s v="NA"/>
    <n v="-25.782576580000001"/>
    <x v="9"/>
    <s v="Ouest de la France &amp; bassin méditerrannéen"/>
    <n v="2"/>
    <s v="K118458"/>
    <s v="Fang"/>
  </r>
  <r>
    <x v="305"/>
    <s v="ScoRus"/>
    <n v="1"/>
    <x v="0"/>
    <x v="0"/>
    <x v="0"/>
    <x v="2"/>
    <x v="302"/>
    <n v="-21.67"/>
    <x v="303"/>
    <x v="12"/>
    <m/>
    <x v="0"/>
    <x v="0"/>
    <s v="Val-de-Travers"/>
    <s v="signal des français"/>
    <n v="46.930614849999998"/>
    <n v="6.5865455659999999"/>
    <n v="6"/>
    <n v="31"/>
    <x v="0"/>
    <n v="2016"/>
    <x v="20"/>
    <x v="17"/>
    <n v="46"/>
    <x v="1"/>
    <x v="1"/>
    <x v="1"/>
    <n v="535110"/>
    <n v="198077"/>
    <n v="53511980"/>
    <n v="535198"/>
    <n v="535195"/>
    <n v="537500"/>
    <n v="197500"/>
    <n v="330"/>
    <x v="1"/>
    <n v="0"/>
    <n v="0"/>
    <n v="1"/>
    <n v="-20.432493999999998"/>
    <n v="-23.461944839999997"/>
    <s v="NA"/>
    <s v="NA"/>
    <n v="-23.461944839999997"/>
    <x v="10"/>
    <s v="Ouest de la France &amp; bassin méditerrannéen"/>
    <n v="2"/>
    <s v="K118463"/>
    <s v="Fang"/>
  </r>
  <r>
    <x v="306"/>
    <s v="ScoRus"/>
    <n v="1"/>
    <x v="0"/>
    <x v="0"/>
    <x v="1"/>
    <x v="2"/>
    <x v="303"/>
    <s v="NA"/>
    <x v="304"/>
    <x v="12"/>
    <m/>
    <x v="0"/>
    <x v="3"/>
    <s v="Bullet"/>
    <s v="Les Cernets"/>
    <n v="46.867148419999999"/>
    <n v="6.5791952629999999"/>
    <n v="6"/>
    <n v="28"/>
    <x v="8"/>
    <n v="2017"/>
    <x v="154"/>
    <x v="91"/>
    <n v="13"/>
    <x v="33"/>
    <x v="6"/>
    <x v="4"/>
    <n v="534473"/>
    <n v="191029"/>
    <n v="53441910"/>
    <n v="534191"/>
    <n v="530190"/>
    <n v="532500"/>
    <n v="192500"/>
    <s v="NA"/>
    <x v="1"/>
    <n v="0"/>
    <n v="0"/>
    <n v="1"/>
    <n v="-16.785257300000001"/>
    <n v="-20.325321278000001"/>
    <s v="NA"/>
    <s v="NA"/>
    <n v="-20.325321278000001"/>
    <x v="10"/>
    <s v="Suisse"/>
    <n v="2"/>
    <s v="K116325"/>
    <s v="Fang"/>
  </r>
  <r>
    <x v="307"/>
    <s v="ScoRus"/>
    <n v="0"/>
    <x v="1"/>
    <x v="1"/>
    <x v="0"/>
    <x v="0"/>
    <x v="304"/>
    <n v="-22.87"/>
    <x v="305"/>
    <x v="3"/>
    <m/>
    <x v="1"/>
    <x v="1"/>
    <s v="Centovalli"/>
    <s v="NA"/>
    <n v="46.155335739999998"/>
    <n v="8.6961468069999999"/>
    <n v="5"/>
    <n v="20"/>
    <x v="0"/>
    <n v="2016"/>
    <x v="153"/>
    <x v="30"/>
    <n v="35"/>
    <x v="4"/>
    <x v="0"/>
    <x v="0"/>
    <n v="697143"/>
    <n v="112318"/>
    <n v="69711123"/>
    <n v="697112"/>
    <n v="695110"/>
    <n v="697500"/>
    <n v="112500"/>
    <n v="280"/>
    <x v="0"/>
    <n v="0"/>
    <n v="0"/>
    <n v="0"/>
    <n v="-121.9356322"/>
    <n v="-121.9356322"/>
    <s v="NA"/>
    <s v="NA"/>
    <m/>
    <x v="0"/>
    <s v="Russie"/>
    <n v="12"/>
    <s v="FISCIV-3"/>
    <s v="Abschuss"/>
  </r>
  <r>
    <x v="308"/>
    <s v="ScoRus"/>
    <n v="0"/>
    <x v="1"/>
    <x v="1"/>
    <x v="0"/>
    <x v="0"/>
    <x v="305"/>
    <n v="-22.03"/>
    <x v="306"/>
    <x v="3"/>
    <m/>
    <x v="1"/>
    <x v="1"/>
    <s v="Airolo"/>
    <s v="NA"/>
    <n v="46.539085540000002"/>
    <n v="8.5923751530000008"/>
    <n v="2"/>
    <n v="27"/>
    <x v="0"/>
    <n v="2016"/>
    <x v="149"/>
    <x v="6"/>
    <n v="42"/>
    <x v="0"/>
    <x v="0"/>
    <x v="0"/>
    <n v="688500"/>
    <n v="154850"/>
    <n v="68851548"/>
    <n v="688154"/>
    <n v="685150"/>
    <n v="687500"/>
    <n v="152500"/>
    <n v="310"/>
    <x v="0"/>
    <n v="0"/>
    <n v="0"/>
    <n v="0"/>
    <n v="-118.9838977"/>
    <n v="-118.9838977"/>
    <s v="NA"/>
    <s v="NA"/>
    <m/>
    <x v="0"/>
    <s v="Russie"/>
    <n v="12"/>
    <s v="GIAMGI-5"/>
    <s v="Abschuss"/>
  </r>
  <r>
    <x v="309"/>
    <s v="ScoRus"/>
    <n v="0"/>
    <x v="1"/>
    <x v="1"/>
    <x v="0"/>
    <x v="0"/>
    <x v="306"/>
    <n v="-23.12"/>
    <x v="307"/>
    <x v="3"/>
    <m/>
    <x v="1"/>
    <x v="1"/>
    <s v="Monteceneri"/>
    <s v="Nagra"/>
    <n v="46.129126290000002"/>
    <n v="8.8981445039999993"/>
    <n v="4"/>
    <n v="19"/>
    <x v="0"/>
    <n v="2016"/>
    <x v="155"/>
    <x v="9"/>
    <n v="34"/>
    <x v="4"/>
    <x v="0"/>
    <x v="0"/>
    <n v="712800"/>
    <n v="109675"/>
    <n v="71281096"/>
    <n v="712109"/>
    <n v="710105"/>
    <n v="712500"/>
    <n v="107500"/>
    <n v="300"/>
    <x v="0"/>
    <n v="0"/>
    <n v="0"/>
    <n v="0"/>
    <n v="-116.82495520000001"/>
    <n v="-116.82495520000001"/>
    <s v="NA"/>
    <s v="NA"/>
    <m/>
    <x v="0"/>
    <s v="Russie"/>
    <n v="12"/>
    <s v="RICHAD-1"/>
    <s v="Abschuss"/>
  </r>
  <r>
    <x v="310"/>
    <s v="ScoRus"/>
    <n v="0"/>
    <x v="1"/>
    <x v="1"/>
    <x v="0"/>
    <x v="0"/>
    <x v="307"/>
    <n v="-22.763999999999999"/>
    <x v="308"/>
    <x v="4"/>
    <m/>
    <x v="2"/>
    <x v="2"/>
    <s v="Siviriez"/>
    <s v="Bois de Ban"/>
    <n v="46.634279139999997"/>
    <n v="6.8874089060000001"/>
    <n v="5"/>
    <n v="11"/>
    <x v="1"/>
    <n v="2014"/>
    <x v="7"/>
    <x v="7"/>
    <n v="56"/>
    <x v="2"/>
    <x v="2"/>
    <x v="1"/>
    <n v="557790"/>
    <n v="164930"/>
    <n v="55771649"/>
    <n v="557164"/>
    <n v="555160"/>
    <n v="557500"/>
    <n v="162500"/>
    <n v="386"/>
    <x v="0"/>
    <n v="0"/>
    <n v="0"/>
    <n v="0"/>
    <n v="-114.96"/>
    <n v="-114.96"/>
    <n v="-138.6"/>
    <s v="NA"/>
    <m/>
    <x v="1"/>
    <s v="Nord de la Fennoscandinavie et Russie"/>
    <n v="11"/>
    <s v="DUMAPI5"/>
    <s v="Abschuss"/>
  </r>
  <r>
    <x v="311"/>
    <s v="ScoRus"/>
    <n v="0"/>
    <x v="1"/>
    <x v="1"/>
    <x v="0"/>
    <x v="0"/>
    <x v="308"/>
    <n v="-23.752400000000002"/>
    <x v="309"/>
    <x v="4"/>
    <m/>
    <x v="1"/>
    <x v="1"/>
    <s v="Mosogno"/>
    <s v="Monte Riane"/>
    <n v="46.190868430000002"/>
    <n v="8.6386203120000005"/>
    <n v="6"/>
    <n v="11"/>
    <x v="1"/>
    <n v="2015"/>
    <x v="32"/>
    <x v="7"/>
    <n v="56"/>
    <x v="2"/>
    <x v="2"/>
    <x v="1"/>
    <n v="692639"/>
    <n v="116198"/>
    <n v="69261161"/>
    <n v="692116"/>
    <n v="690115"/>
    <n v="692500"/>
    <n v="117500"/>
    <n v="323"/>
    <x v="0"/>
    <n v="0"/>
    <n v="0"/>
    <n v="0"/>
    <n v="-111.27"/>
    <n v="-111.27"/>
    <n v="-134.80000000000001"/>
    <s v="NA"/>
    <m/>
    <x v="1"/>
    <s v="Nord de la Fennoscandinavie et Russie"/>
    <n v="11"/>
    <s v="ROSS-GI14"/>
    <s v="Abschuss"/>
  </r>
  <r>
    <x v="312"/>
    <s v="ScoRus"/>
    <n v="0"/>
    <x v="1"/>
    <x v="1"/>
    <x v="0"/>
    <x v="0"/>
    <x v="309"/>
    <n v="-22.68"/>
    <x v="310"/>
    <x v="4"/>
    <m/>
    <x v="1"/>
    <x v="1"/>
    <s v="Medeglia"/>
    <s v="Cugnolo"/>
    <n v="46.109486629999999"/>
    <n v="8.9713529800000007"/>
    <n v="5"/>
    <n v="18"/>
    <x v="0"/>
    <n v="2016"/>
    <x v="151"/>
    <x v="89"/>
    <n v="33"/>
    <x v="4"/>
    <x v="0"/>
    <x v="0"/>
    <n v="718500"/>
    <n v="107600"/>
    <n v="71851076"/>
    <n v="718107"/>
    <n v="715105"/>
    <n v="717500"/>
    <n v="107500"/>
    <n v="323"/>
    <x v="0"/>
    <n v="0"/>
    <n v="0"/>
    <n v="0"/>
    <n v="-109.9050136"/>
    <n v="-109.9050136"/>
    <s v="NA"/>
    <s v="NA"/>
    <m/>
    <x v="1"/>
    <s v="Nord de la Fennoscandinavie et Russie"/>
    <n v="11"/>
    <s v="GRUBLO-2"/>
    <s v="Abschuss"/>
  </r>
  <r>
    <x v="313"/>
    <s v="ScoRus"/>
    <n v="0"/>
    <x v="1"/>
    <x v="1"/>
    <x v="0"/>
    <x v="0"/>
    <x v="310"/>
    <s v="NA"/>
    <x v="311"/>
    <x v="4"/>
    <m/>
    <x v="2"/>
    <x v="2"/>
    <s v="Autigny"/>
    <s v="Grand Champs"/>
    <n v="46.740234170000001"/>
    <n v="7.0499145609999996"/>
    <n v="6"/>
    <n v="13"/>
    <x v="1"/>
    <n v="2017"/>
    <x v="16"/>
    <x v="15"/>
    <n v="58"/>
    <x v="6"/>
    <x v="2"/>
    <x v="2"/>
    <n v="570292"/>
    <n v="176634"/>
    <n v="57021766"/>
    <n v="570176"/>
    <n v="570175"/>
    <n v="572500"/>
    <n v="177500"/>
    <n v="331"/>
    <x v="0"/>
    <n v="0"/>
    <n v="0"/>
    <n v="0"/>
    <n v="-109.418224"/>
    <n v="-109.418224"/>
    <s v="NA"/>
    <s v="NA"/>
    <m/>
    <x v="1"/>
    <s v="Nord de la Fennoscandinavie et Russie"/>
    <n v="11"/>
    <s v="DUCHPA-4"/>
    <s v="Abschuss"/>
  </r>
  <r>
    <x v="314"/>
    <s v="ScoRus"/>
    <n v="0"/>
    <x v="1"/>
    <x v="1"/>
    <x v="0"/>
    <x v="0"/>
    <x v="311"/>
    <n v="-25.044799999999999"/>
    <x v="312"/>
    <x v="5"/>
    <m/>
    <x v="0"/>
    <x v="0"/>
    <s v="La Brévine"/>
    <s v="Combe Racine"/>
    <n v="46.973635889999997"/>
    <n v="6.6459760670000003"/>
    <n v="4"/>
    <n v="4"/>
    <x v="1"/>
    <n v="2015"/>
    <x v="3"/>
    <x v="3"/>
    <n v="49"/>
    <x v="3"/>
    <x v="1"/>
    <x v="1"/>
    <n v="539684"/>
    <n v="202812"/>
    <n v="53962028"/>
    <n v="539202"/>
    <n v="535200"/>
    <n v="537500"/>
    <n v="202500"/>
    <n v="310"/>
    <x v="0"/>
    <n v="0"/>
    <n v="0"/>
    <n v="0"/>
    <n v="-107.69"/>
    <n v="-107.69"/>
    <n v="-131.1"/>
    <s v="NA"/>
    <m/>
    <x v="1"/>
    <s v="Nord de la Fennoscandinavie et Russie"/>
    <n v="11"/>
    <s v="PFISED-1"/>
    <s v="Abschuss"/>
  </r>
  <r>
    <x v="315"/>
    <s v="ScoRus"/>
    <n v="0"/>
    <x v="1"/>
    <x v="1"/>
    <x v="0"/>
    <x v="0"/>
    <x v="312"/>
    <n v="-23.5024938"/>
    <x v="313"/>
    <x v="5"/>
    <m/>
    <x v="2"/>
    <x v="2"/>
    <s v="Hauterive"/>
    <s v="Bois Cornard"/>
    <n v="46.747708009999997"/>
    <n v="7.0629081400000002"/>
    <n v="5"/>
    <n v="4"/>
    <x v="1"/>
    <n v="2015"/>
    <x v="3"/>
    <x v="3"/>
    <n v="49"/>
    <x v="3"/>
    <x v="1"/>
    <x v="1"/>
    <n v="571289"/>
    <n v="177460"/>
    <n v="57121774"/>
    <n v="571177"/>
    <n v="570175"/>
    <n v="572500"/>
    <n v="177500"/>
    <n v="333"/>
    <x v="0"/>
    <n v="0"/>
    <n v="0"/>
    <n v="0"/>
    <n v="-107.47"/>
    <n v="-107.47"/>
    <n v="-130.9"/>
    <s v="NA"/>
    <m/>
    <x v="1"/>
    <s v="Nord de la Fennoscandinavie et Russie"/>
    <n v="11"/>
    <s v="SAVABR-3"/>
    <s v="Abschuss"/>
  </r>
  <r>
    <x v="316"/>
    <s v="ScoRus"/>
    <n v="0"/>
    <x v="1"/>
    <x v="1"/>
    <x v="0"/>
    <x v="0"/>
    <x v="313"/>
    <n v="-23.75"/>
    <x v="314"/>
    <x v="5"/>
    <m/>
    <x v="0"/>
    <x v="0"/>
    <s v="Saint-Sulpice"/>
    <s v="Prise Fège"/>
    <n v="46.935466409999997"/>
    <n v="6.5583638989999997"/>
    <n v="6"/>
    <n v="19"/>
    <x v="0"/>
    <n v="2016"/>
    <x v="155"/>
    <x v="9"/>
    <n v="34"/>
    <x v="4"/>
    <x v="0"/>
    <x v="0"/>
    <n v="532970"/>
    <n v="198640"/>
    <n v="53291986"/>
    <n v="532198"/>
    <n v="530195"/>
    <n v="532500"/>
    <n v="197500"/>
    <n v="375"/>
    <x v="0"/>
    <n v="0"/>
    <n v="0"/>
    <n v="0"/>
    <n v="-107.053462"/>
    <n v="-107.053462"/>
    <s v="NA"/>
    <s v="NA"/>
    <m/>
    <x v="1"/>
    <s v="Nord de la Fennoscandinavie et Russie"/>
    <n v="11"/>
    <s v="MEISHE 1"/>
    <s v="Abschuss"/>
  </r>
  <r>
    <x v="317"/>
    <s v="ScoRus"/>
    <n v="0"/>
    <x v="1"/>
    <x v="1"/>
    <x v="0"/>
    <x v="0"/>
    <x v="314"/>
    <s v="NA"/>
    <x v="315"/>
    <x v="5"/>
    <m/>
    <x v="0"/>
    <x v="0"/>
    <s v="Val de Ruz"/>
    <s v="Chaux d Amin"/>
    <n v="47.080838200000002"/>
    <n v="6.8955641820000002"/>
    <n v="6"/>
    <n v="27"/>
    <x v="0"/>
    <n v="2017"/>
    <x v="142"/>
    <x v="6"/>
    <n v="42"/>
    <x v="0"/>
    <x v="0"/>
    <x v="0"/>
    <n v="558758"/>
    <n v="214568"/>
    <n v="55872145"/>
    <n v="558214"/>
    <n v="555210"/>
    <n v="557500"/>
    <n v="212500"/>
    <n v="316"/>
    <x v="0"/>
    <n v="0"/>
    <n v="0"/>
    <n v="0"/>
    <n v="-107.01732320000001"/>
    <n v="-107.01732320000001"/>
    <s v="NA"/>
    <s v="NA"/>
    <m/>
    <x v="1"/>
    <s v="Nord de la Fennoscandinavie et Russie"/>
    <n v="11"/>
    <s v="MEISHE-5"/>
    <s v="Abschuss"/>
  </r>
  <r>
    <x v="318"/>
    <s v="ScoRus"/>
    <n v="0"/>
    <x v="1"/>
    <x v="1"/>
    <x v="0"/>
    <x v="0"/>
    <x v="315"/>
    <n v="-23.805800000000001"/>
    <x v="316"/>
    <x v="5"/>
    <m/>
    <x v="1"/>
    <x v="1"/>
    <s v="Bogno"/>
    <s v="Valle Saslina"/>
    <n v="46.092726069999998"/>
    <n v="9.0756318379999996"/>
    <n v="4"/>
    <n v="15"/>
    <x v="1"/>
    <n v="2015"/>
    <x v="156"/>
    <x v="29"/>
    <n v="60"/>
    <x v="6"/>
    <x v="2"/>
    <x v="2"/>
    <n v="726600"/>
    <n v="105900"/>
    <n v="72661059"/>
    <n v="726105"/>
    <n v="725105"/>
    <n v="727500"/>
    <n v="107500"/>
    <n v="280"/>
    <x v="0"/>
    <n v="0"/>
    <n v="0"/>
    <n v="0"/>
    <n v="-106.97"/>
    <n v="-106.97"/>
    <n v="-130.4"/>
    <s v="NA"/>
    <m/>
    <x v="1"/>
    <s v="Nord de la Fennoscandinavie et Russie"/>
    <n v="11"/>
    <s v="FONTER-1"/>
    <s v="Abschuss"/>
  </r>
  <r>
    <x v="319"/>
    <s v="ScoRus"/>
    <n v="0"/>
    <x v="1"/>
    <x v="1"/>
    <x v="0"/>
    <x v="0"/>
    <x v="316"/>
    <n v="-22.72"/>
    <x v="317"/>
    <x v="5"/>
    <m/>
    <x v="1"/>
    <x v="1"/>
    <s v="Onsernone"/>
    <s v="Lampo"/>
    <n v="46.223369300000002"/>
    <n v="8.6806334740000004"/>
    <n v="6"/>
    <n v="25"/>
    <x v="0"/>
    <n v="2016"/>
    <x v="157"/>
    <x v="8"/>
    <n v="40"/>
    <x v="0"/>
    <x v="0"/>
    <x v="0"/>
    <n v="695825"/>
    <n v="119861"/>
    <n v="69581198"/>
    <n v="695119"/>
    <n v="695115"/>
    <n v="697500"/>
    <n v="117500"/>
    <n v="365"/>
    <x v="0"/>
    <n v="0"/>
    <n v="0"/>
    <n v="0"/>
    <n v="-106.161568"/>
    <n v="-106.161568"/>
    <s v="NA"/>
    <s v="NA"/>
    <m/>
    <x v="1"/>
    <s v="Nord de la Fennoscandinavie et Russie"/>
    <n v="11"/>
    <s v="CAVAMA-1"/>
    <s v="Abschuss"/>
  </r>
  <r>
    <x v="320"/>
    <s v="ScoRus"/>
    <n v="0"/>
    <x v="1"/>
    <x v="1"/>
    <x v="0"/>
    <x v="0"/>
    <x v="317"/>
    <n v="-23.701799999999999"/>
    <x v="318"/>
    <x v="5"/>
    <m/>
    <x v="1"/>
    <x v="1"/>
    <s v="Bogno"/>
    <s v="Tagliate"/>
    <n v="46.082954659999999"/>
    <n v="9.0824503060000001"/>
    <n v="5"/>
    <n v="28"/>
    <x v="1"/>
    <n v="2015"/>
    <x v="158"/>
    <x v="42"/>
    <n v="73"/>
    <x v="9"/>
    <x v="5"/>
    <x v="3"/>
    <n v="727150"/>
    <n v="104825"/>
    <n v="72711048"/>
    <n v="727104"/>
    <n v="725100"/>
    <n v="727500"/>
    <n v="102500"/>
    <n v="345"/>
    <x v="0"/>
    <n v="0"/>
    <n v="0"/>
    <n v="0"/>
    <n v="-105.34"/>
    <n v="-105.34"/>
    <n v="-128.69999999999999"/>
    <s v="NA"/>
    <m/>
    <x v="1"/>
    <s v="Nord de la Fennoscandinavie et Russie"/>
    <n v="11"/>
    <s v="FONTER-2"/>
    <s v="Abschuss"/>
  </r>
  <r>
    <x v="321"/>
    <s v="ScoRus"/>
    <n v="0"/>
    <x v="1"/>
    <x v="1"/>
    <x v="0"/>
    <x v="0"/>
    <x v="318"/>
    <n v="-23.991399999999999"/>
    <x v="319"/>
    <x v="5"/>
    <m/>
    <x v="1"/>
    <x v="1"/>
    <s v="Arosio"/>
    <s v="Prato Grande"/>
    <n v="46.052913629999999"/>
    <n v="8.9084493289999998"/>
    <n v="5"/>
    <n v="22"/>
    <x v="0"/>
    <n v="2015"/>
    <x v="89"/>
    <x v="21"/>
    <n v="37"/>
    <x v="4"/>
    <x v="0"/>
    <x v="0"/>
    <n v="713755"/>
    <n v="101219"/>
    <n v="71371012"/>
    <n v="713101"/>
    <n v="710100"/>
    <n v="712500"/>
    <n v="102500"/>
    <n v="357"/>
    <x v="0"/>
    <n v="0"/>
    <n v="0"/>
    <n v="0"/>
    <n v="-104.53"/>
    <n v="-104.53"/>
    <n v="-127.9"/>
    <s v="NA"/>
    <m/>
    <x v="2"/>
    <s v="Nord de la Fennoscandinavie et Russie"/>
    <n v="10"/>
    <s v="Devise-6"/>
    <s v="Abschuss"/>
  </r>
  <r>
    <x v="322"/>
    <s v="ScoRus"/>
    <n v="0"/>
    <x v="1"/>
    <x v="1"/>
    <x v="0"/>
    <x v="0"/>
    <x v="319"/>
    <n v="-23.16"/>
    <x v="320"/>
    <x v="5"/>
    <m/>
    <x v="1"/>
    <x v="1"/>
    <s v="Cadenazzo"/>
    <s v="Robasacco"/>
    <n v="46.137870800000002"/>
    <n v="8.9346172409999998"/>
    <n v="5"/>
    <n v="27"/>
    <x v="1"/>
    <n v="2016"/>
    <x v="159"/>
    <x v="35"/>
    <n v="72"/>
    <x v="9"/>
    <x v="5"/>
    <x v="3"/>
    <n v="715600"/>
    <n v="110700"/>
    <n v="71561107"/>
    <n v="715110"/>
    <n v="715110"/>
    <n v="717500"/>
    <n v="112500"/>
    <n v="325"/>
    <x v="0"/>
    <n v="0"/>
    <n v="0"/>
    <n v="0"/>
    <n v="-104.46746640000001"/>
    <n v="-104.46746640000001"/>
    <s v="NA"/>
    <s v="NA"/>
    <m/>
    <x v="2"/>
    <s v="Nord de la Fennoscandinavie et Russie"/>
    <n v="10"/>
    <s v="PURASA-22"/>
    <s v="Abschuss"/>
  </r>
  <r>
    <x v="323"/>
    <s v="ScoRus"/>
    <n v="0"/>
    <x v="1"/>
    <x v="1"/>
    <x v="0"/>
    <x v="0"/>
    <x v="320"/>
    <s v="NA"/>
    <x v="321"/>
    <x v="5"/>
    <m/>
    <x v="4"/>
    <x v="6"/>
    <s v="Icogne"/>
    <s v="La Combe"/>
    <n v="46.172967270000001"/>
    <n v="7.4580601209999999"/>
    <n v="3"/>
    <n v="26"/>
    <x v="0"/>
    <n v="2017"/>
    <x v="83"/>
    <x v="0"/>
    <n v="41"/>
    <x v="0"/>
    <x v="0"/>
    <x v="0"/>
    <n v="601500"/>
    <n v="113500"/>
    <n v="60151135"/>
    <n v="601113"/>
    <n v="600110"/>
    <n v="602500"/>
    <n v="112500"/>
    <n v="298"/>
    <x v="0"/>
    <n v="0"/>
    <n v="0"/>
    <n v="0"/>
    <n v="-103.8383058"/>
    <n v="-103.8383058"/>
    <s v="NA"/>
    <s v="NA"/>
    <m/>
    <x v="2"/>
    <s v="Nord de la Fennoscandinavie et Russie"/>
    <n v="10"/>
    <s v="CREYVO-1"/>
    <s v="Abschuss"/>
  </r>
  <r>
    <x v="324"/>
    <s v="ScoRus"/>
    <n v="0"/>
    <x v="1"/>
    <x v="1"/>
    <x v="0"/>
    <x v="0"/>
    <x v="321"/>
    <n v="-23.2"/>
    <x v="322"/>
    <x v="5"/>
    <m/>
    <x v="1"/>
    <x v="1"/>
    <s v="Alto Malcantone"/>
    <s v="NA"/>
    <n v="46.055440760000003"/>
    <n v="8.8806686520000007"/>
    <n v="2"/>
    <n v="16"/>
    <x v="0"/>
    <n v="2016"/>
    <x v="160"/>
    <x v="33"/>
    <n v="31"/>
    <x v="8"/>
    <x v="4"/>
    <x v="0"/>
    <n v="711600"/>
    <n v="101460"/>
    <n v="71161014"/>
    <n v="711101"/>
    <n v="710100"/>
    <n v="712500"/>
    <n v="102500"/>
    <n v="280"/>
    <x v="0"/>
    <n v="0"/>
    <n v="0"/>
    <n v="0"/>
    <n v="-103.1238106"/>
    <n v="-103.1238106"/>
    <s v="NA"/>
    <s v="NA"/>
    <m/>
    <x v="2"/>
    <s v="Nord de la Fennoscandinavie et Russie"/>
    <n v="10"/>
    <s v="GIAMGI-2"/>
    <s v="Abschuss"/>
  </r>
  <r>
    <x v="325"/>
    <s v="ScoRus"/>
    <n v="0"/>
    <x v="1"/>
    <x v="1"/>
    <x v="0"/>
    <x v="0"/>
    <x v="322"/>
    <n v="-24.118124999999999"/>
    <x v="323"/>
    <x v="5"/>
    <m/>
    <x v="1"/>
    <x v="1"/>
    <s v="Arosio"/>
    <s v="Böscio-Triem"/>
    <n v="46.061627979999997"/>
    <n v="8.8969614529999994"/>
    <n v="5"/>
    <n v="2"/>
    <x v="1"/>
    <n v="2016"/>
    <x v="4"/>
    <x v="4"/>
    <n v="47"/>
    <x v="3"/>
    <x v="1"/>
    <x v="1"/>
    <n v="712848"/>
    <n v="102171"/>
    <n v="71281021"/>
    <n v="712102"/>
    <n v="710100"/>
    <n v="712500"/>
    <n v="102500"/>
    <n v="270"/>
    <x v="0"/>
    <n v="0"/>
    <n v="0"/>
    <n v="0"/>
    <n v="-102.87606169999999"/>
    <n v="-102.87606169999999"/>
    <s v="NA"/>
    <s v="NA"/>
    <m/>
    <x v="2"/>
    <s v="Nord de la Fennoscandinavie et Russie"/>
    <n v="10"/>
    <s v="DEVISE-5"/>
    <s v="Abschuss"/>
  </r>
  <r>
    <x v="326"/>
    <s v="ScoRus"/>
    <n v="0"/>
    <x v="1"/>
    <x v="1"/>
    <x v="0"/>
    <x v="0"/>
    <x v="323"/>
    <s v="NA"/>
    <x v="324"/>
    <x v="5"/>
    <m/>
    <x v="2"/>
    <x v="2"/>
    <s v="Léchelles"/>
    <s v="NA"/>
    <n v="46.818765999999997"/>
    <n v="7.0141239999999998"/>
    <n v="5"/>
    <n v="16"/>
    <x v="1"/>
    <n v="2017"/>
    <x v="161"/>
    <x v="28"/>
    <n v="61"/>
    <x v="6"/>
    <x v="2"/>
    <x v="2"/>
    <n v="567604"/>
    <n v="185378"/>
    <n v="56761853"/>
    <n v="567185"/>
    <n v="565185"/>
    <n v="567500"/>
    <n v="187500"/>
    <n v="350"/>
    <x v="0"/>
    <n v="0"/>
    <n v="0"/>
    <n v="0"/>
    <n v="-102.83602879999999"/>
    <n v="-102.83602879999999"/>
    <s v="NA"/>
    <s v="NA"/>
    <m/>
    <x v="2"/>
    <s v="Nord de la Fennoscandinavie et Russie"/>
    <n v="10"/>
    <s v="YERLMI-4"/>
    <s v="Abschuss"/>
  </r>
  <r>
    <x v="327"/>
    <s v="ScoRus"/>
    <n v="0"/>
    <x v="1"/>
    <x v="1"/>
    <x v="0"/>
    <x v="0"/>
    <x v="324"/>
    <n v="-23.62"/>
    <x v="325"/>
    <x v="5"/>
    <m/>
    <x v="1"/>
    <x v="1"/>
    <s v="Lugano"/>
    <s v="Gardada"/>
    <n v="46.082333779999999"/>
    <n v="9.0475214390000005"/>
    <n v="5"/>
    <n v="5"/>
    <x v="1"/>
    <n v="2016"/>
    <x v="144"/>
    <x v="22"/>
    <n v="50"/>
    <x v="3"/>
    <x v="1"/>
    <x v="1"/>
    <n v="724450"/>
    <n v="104700"/>
    <n v="72441047"/>
    <n v="724104"/>
    <n v="720100"/>
    <n v="722500"/>
    <n v="102500"/>
    <n v="280"/>
    <x v="0"/>
    <n v="0"/>
    <n v="0"/>
    <n v="0"/>
    <n v="-102.8005572"/>
    <n v="-102.8005572"/>
    <s v="NA"/>
    <s v="NA"/>
    <m/>
    <x v="2"/>
    <s v="Nord de la Fennoscandinavie et Russie"/>
    <n v="10"/>
    <s v="ROSAOR-1"/>
    <s v="Abschuss"/>
  </r>
  <r>
    <x v="328"/>
    <s v="ScoRus"/>
    <n v="0"/>
    <x v="1"/>
    <x v="1"/>
    <x v="0"/>
    <x v="0"/>
    <x v="325"/>
    <n v="-23.96"/>
    <x v="326"/>
    <x v="5"/>
    <m/>
    <x v="1"/>
    <x v="1"/>
    <s v="Quninto"/>
    <s v="Giuvett"/>
    <n v="46.496112340000003"/>
    <n v="8.6995866779999993"/>
    <n v="3"/>
    <n v="3"/>
    <x v="1"/>
    <n v="2016"/>
    <x v="162"/>
    <x v="25"/>
    <n v="48"/>
    <x v="3"/>
    <x v="1"/>
    <x v="1"/>
    <n v="696800"/>
    <n v="150200"/>
    <n v="69681502"/>
    <n v="696150"/>
    <n v="695150"/>
    <n v="697500"/>
    <n v="152500"/>
    <n v="350"/>
    <x v="0"/>
    <n v="0"/>
    <n v="0"/>
    <n v="0"/>
    <n v="-102.5559896"/>
    <n v="-102.5559896"/>
    <s v="NA"/>
    <s v="NA"/>
    <m/>
    <x v="2"/>
    <s v="Nord de la Fennoscandinavie et Russie"/>
    <n v="10"/>
    <s v="TARAAL-2"/>
    <s v="Abschuss"/>
  </r>
  <r>
    <x v="329"/>
    <s v="ScoRus"/>
    <n v="0"/>
    <x v="1"/>
    <x v="1"/>
    <x v="0"/>
    <x v="0"/>
    <x v="98"/>
    <n v="-24.064800000000002"/>
    <x v="327"/>
    <x v="5"/>
    <m/>
    <x v="1"/>
    <x v="1"/>
    <s v="Cimadera"/>
    <s v="Lavinone"/>
    <n v="46.083140739999997"/>
    <n v="9.0540101380000007"/>
    <n v="4"/>
    <n v="18"/>
    <x v="1"/>
    <n v="2015"/>
    <x v="30"/>
    <x v="24"/>
    <n v="63"/>
    <x v="5"/>
    <x v="3"/>
    <x v="2"/>
    <n v="724950"/>
    <n v="104800"/>
    <n v="72491048"/>
    <n v="724104"/>
    <n v="720100"/>
    <n v="722500"/>
    <n v="102500"/>
    <n v="325"/>
    <x v="0"/>
    <n v="0"/>
    <n v="0"/>
    <n v="0"/>
    <n v="-101.75"/>
    <n v="-101.75"/>
    <n v="-125.1"/>
    <s v="NA"/>
    <m/>
    <x v="2"/>
    <s v="Nord de la Fennoscandinavie et Russie"/>
    <n v="10"/>
    <s v="ROSAOR-7"/>
    <s v="Abschuss"/>
  </r>
  <r>
    <x v="330"/>
    <s v="ScoRus"/>
    <n v="0"/>
    <x v="1"/>
    <x v="1"/>
    <x v="0"/>
    <x v="0"/>
    <x v="326"/>
    <n v="-23.5182"/>
    <x v="328"/>
    <x v="5"/>
    <m/>
    <x v="1"/>
    <x v="1"/>
    <s v="Moghegno"/>
    <s v="Campei"/>
    <n v="46.236660909999998"/>
    <n v="8.6949780590000003"/>
    <n v="6"/>
    <n v="4"/>
    <x v="1"/>
    <n v="2015"/>
    <x v="3"/>
    <x v="3"/>
    <n v="49"/>
    <x v="3"/>
    <x v="1"/>
    <x v="1"/>
    <n v="696908"/>
    <n v="121356"/>
    <n v="69691213"/>
    <n v="696121"/>
    <n v="695120"/>
    <n v="697500"/>
    <n v="122500"/>
    <n v="314"/>
    <x v="0"/>
    <n v="0"/>
    <n v="0"/>
    <n v="0"/>
    <n v="-101.68"/>
    <n v="-101.68"/>
    <n v="-125"/>
    <s v="NA"/>
    <m/>
    <x v="2"/>
    <s v="Nord de la Fennoscandinavie et Russie"/>
    <n v="10"/>
    <s v="CavalliMa5"/>
    <s v="Abschuss"/>
  </r>
  <r>
    <x v="331"/>
    <s v="ScoRus"/>
    <n v="0"/>
    <x v="1"/>
    <x v="1"/>
    <x v="0"/>
    <x v="0"/>
    <x v="327"/>
    <s v="NA"/>
    <x v="329"/>
    <x v="5"/>
    <m/>
    <x v="0"/>
    <x v="0"/>
    <s v="La Brévine"/>
    <s v="NA"/>
    <n v="46.979030250000001"/>
    <n v="6.5383285530000004"/>
    <n v="3"/>
    <n v="28"/>
    <x v="0"/>
    <n v="2017"/>
    <x v="59"/>
    <x v="16"/>
    <n v="43"/>
    <x v="1"/>
    <x v="1"/>
    <x v="1"/>
    <n v="531500"/>
    <n v="203500"/>
    <n v="53152035"/>
    <n v="531203"/>
    <n v="530200"/>
    <n v="532500"/>
    <n v="202500"/>
    <n v="313"/>
    <x v="0"/>
    <n v="0"/>
    <n v="0"/>
    <n v="0"/>
    <n v="-101.488973"/>
    <n v="-101.488973"/>
    <s v="NA"/>
    <s v="NA"/>
    <m/>
    <x v="2"/>
    <s v="Nord de la Fennoscandinavie et Russie"/>
    <n v="10"/>
    <s v="GARIJC-3"/>
    <s v="Abschuss, bague K112995"/>
  </r>
  <r>
    <x v="332"/>
    <s v="ScoRus"/>
    <n v="0"/>
    <x v="1"/>
    <x v="1"/>
    <x v="0"/>
    <x v="0"/>
    <x v="328"/>
    <n v="-24.70076551"/>
    <x v="330"/>
    <x v="5"/>
    <m/>
    <x v="2"/>
    <x v="2"/>
    <s v="Brunisried"/>
    <s v="Wirts Ilam"/>
    <n v="46.75813248"/>
    <n v="7.2698797239999999"/>
    <n v="6"/>
    <n v="2"/>
    <x v="1"/>
    <n v="2015"/>
    <x v="163"/>
    <x v="4"/>
    <n v="47"/>
    <x v="3"/>
    <x v="1"/>
    <x v="1"/>
    <n v="587107"/>
    <n v="178564"/>
    <n v="58711785"/>
    <n v="587178"/>
    <n v="585175"/>
    <n v="587500"/>
    <n v="177500"/>
    <n v="318"/>
    <x v="0"/>
    <n v="0"/>
    <n v="0"/>
    <n v="0"/>
    <n v="-100.91"/>
    <n v="-100.91"/>
    <n v="-124.2"/>
    <s v="NA"/>
    <m/>
    <x v="2"/>
    <s v="Nord de la Fennoscandinavie et Russie"/>
    <n v="10"/>
    <s v="DUCHPA-10"/>
    <s v="Abschuss"/>
  </r>
  <r>
    <x v="333"/>
    <s v="ScoRus"/>
    <n v="0"/>
    <x v="1"/>
    <x v="1"/>
    <x v="0"/>
    <x v="0"/>
    <x v="329"/>
    <n v="-24.545782880000001"/>
    <x v="331"/>
    <x v="6"/>
    <m/>
    <x v="2"/>
    <x v="2"/>
    <s v="Sâle"/>
    <s v="NA"/>
    <n v="46.648844519999997"/>
    <n v="6.9879750349999998"/>
    <n v="3"/>
    <n v="28"/>
    <x v="0"/>
    <n v="2015"/>
    <x v="164"/>
    <x v="16"/>
    <n v="43"/>
    <x v="1"/>
    <x v="1"/>
    <x v="1"/>
    <n v="565500"/>
    <n v="166500"/>
    <n v="56551665"/>
    <n v="565166"/>
    <n v="565165"/>
    <n v="567500"/>
    <n v="167500"/>
    <n v="351"/>
    <x v="0"/>
    <n v="0"/>
    <n v="0"/>
    <n v="0"/>
    <n v="-99.68"/>
    <n v="-99.68"/>
    <n v="-123"/>
    <s v="NA"/>
    <m/>
    <x v="2"/>
    <s v="Nord de la Fennoscandinavie et Russie"/>
    <n v="10"/>
    <s v="DENEPA2"/>
    <s v="Abschuss"/>
  </r>
  <r>
    <x v="334"/>
    <s v="ScoRus"/>
    <n v="0"/>
    <x v="1"/>
    <x v="1"/>
    <x v="0"/>
    <x v="0"/>
    <x v="330"/>
    <n v="-23.77"/>
    <x v="332"/>
    <x v="6"/>
    <m/>
    <x v="1"/>
    <x v="1"/>
    <s v="Arogno"/>
    <s v="Bouee"/>
    <n v="45.95437725"/>
    <n v="9.0232501910000007"/>
    <n v="6"/>
    <n v="23"/>
    <x v="0"/>
    <n v="2016"/>
    <x v="146"/>
    <x v="44"/>
    <n v="38"/>
    <x v="0"/>
    <x v="0"/>
    <x v="0"/>
    <n v="722860"/>
    <n v="90440"/>
    <n v="72280904"/>
    <n v="722090"/>
    <n v="720090"/>
    <n v="722500"/>
    <n v="92500"/>
    <n v="360"/>
    <x v="0"/>
    <n v="0"/>
    <n v="0"/>
    <n v="0"/>
    <n v="-99.651098500000003"/>
    <n v="-99.651098500000003"/>
    <s v="NA"/>
    <s v="NA"/>
    <m/>
    <x v="2"/>
    <s v="Nord de la Fennoscandinavie et Russie"/>
    <n v="10"/>
    <s v="TANTASTE-4"/>
    <s v="Abschuss"/>
  </r>
  <r>
    <x v="335"/>
    <s v="ScoRus"/>
    <n v="0"/>
    <x v="1"/>
    <x v="1"/>
    <x v="0"/>
    <x v="0"/>
    <x v="331"/>
    <n v="-24.645612280000002"/>
    <x v="333"/>
    <x v="6"/>
    <m/>
    <x v="3"/>
    <x v="2"/>
    <s v="Maules"/>
    <s v="Joux de Pra Filleux"/>
    <n v="46.638398700000003"/>
    <n v="7.0156584899999999"/>
    <n v="5"/>
    <n v="24"/>
    <x v="0"/>
    <n v="2015"/>
    <x v="165"/>
    <x v="14"/>
    <n v="39"/>
    <x v="0"/>
    <x v="0"/>
    <x v="0"/>
    <n v="567613"/>
    <n v="165327"/>
    <n v="56761653"/>
    <n v="567165"/>
    <n v="565165"/>
    <n v="567500"/>
    <n v="167500"/>
    <n v="340"/>
    <x v="0"/>
    <n v="0"/>
    <n v="0"/>
    <n v="0"/>
    <n v="-99.43"/>
    <n v="-99.43"/>
    <n v="-122.7"/>
    <s v="NA"/>
    <m/>
    <x v="2"/>
    <s v="Nord de la Fennoscandinavie et Russie"/>
    <n v="10"/>
    <s v="SAVAAD-1"/>
    <s v="Abschuss"/>
  </r>
  <r>
    <x v="336"/>
    <s v="ScoRus"/>
    <n v="0"/>
    <x v="1"/>
    <x v="1"/>
    <x v="0"/>
    <x v="0"/>
    <x v="332"/>
    <n v="-33.583738160000003"/>
    <x v="334"/>
    <x v="6"/>
    <m/>
    <x v="2"/>
    <x v="2"/>
    <s v="La Brillaz"/>
    <s v="Pré-Blanc"/>
    <n v="46.759853980000003"/>
    <n v="6.9797433660000001"/>
    <n v="3"/>
    <n v="5"/>
    <x v="1"/>
    <n v="2013"/>
    <x v="28"/>
    <x v="22"/>
    <n v="50"/>
    <x v="3"/>
    <x v="1"/>
    <x v="1"/>
    <n v="564942"/>
    <n v="178844"/>
    <n v="56491788"/>
    <n v="564178"/>
    <n v="560175"/>
    <n v="562500"/>
    <n v="177500"/>
    <n v="330"/>
    <x v="0"/>
    <n v="0"/>
    <n v="0"/>
    <n v="0"/>
    <n v="-99.42"/>
    <n v="-99.42"/>
    <n v="-122.7"/>
    <s v="NA"/>
    <m/>
    <x v="2"/>
    <s v="Nord de la Fennoscandinavie et Russie"/>
    <n v="10"/>
    <s v="YERLMI-3"/>
    <s v="Abschuss"/>
  </r>
  <r>
    <x v="337"/>
    <s v="ScoRus"/>
    <n v="0"/>
    <x v="1"/>
    <x v="1"/>
    <x v="0"/>
    <x v="0"/>
    <x v="333"/>
    <n v="-25.034400000000002"/>
    <x v="335"/>
    <x v="6"/>
    <m/>
    <x v="1"/>
    <x v="1"/>
    <s v="Prato Leventina"/>
    <s v="Amar"/>
    <n v="46.480643630000003"/>
    <n v="8.7452527920000005"/>
    <n v="5"/>
    <n v="21"/>
    <x v="0"/>
    <n v="2015"/>
    <x v="166"/>
    <x v="11"/>
    <n v="36"/>
    <x v="4"/>
    <x v="0"/>
    <x v="0"/>
    <n v="700334"/>
    <n v="148538"/>
    <n v="70031485"/>
    <n v="700148"/>
    <n v="700145"/>
    <n v="702500"/>
    <n v="147500"/>
    <n v="300"/>
    <x v="0"/>
    <n v="0"/>
    <n v="0"/>
    <n v="0"/>
    <n v="-99.37"/>
    <n v="-99.37"/>
    <n v="-122.6"/>
    <s v="NA"/>
    <m/>
    <x v="2"/>
    <s v="Nord de la Fennoscandinavie et Russie"/>
    <n v="10"/>
    <s v="REZZONICORO-4"/>
    <s v="Abschuss"/>
  </r>
  <r>
    <x v="338"/>
    <s v="ScoRus"/>
    <n v="0"/>
    <x v="1"/>
    <x v="1"/>
    <x v="0"/>
    <x v="0"/>
    <x v="334"/>
    <n v="-24.15"/>
    <x v="336"/>
    <x v="6"/>
    <m/>
    <x v="1"/>
    <x v="1"/>
    <s v="Monteceneri"/>
    <s v="Robasano"/>
    <n v="46.133414969999997"/>
    <n v="8.9313891089999995"/>
    <n v="5"/>
    <n v="5"/>
    <x v="1"/>
    <n v="2016"/>
    <x v="144"/>
    <x v="22"/>
    <n v="50"/>
    <x v="3"/>
    <x v="1"/>
    <x v="1"/>
    <n v="715360"/>
    <n v="110200"/>
    <n v="71531102"/>
    <n v="715110"/>
    <n v="715110"/>
    <n v="717500"/>
    <n v="112500"/>
    <n v="310"/>
    <x v="0"/>
    <n v="0"/>
    <n v="0"/>
    <n v="0"/>
    <n v="-99.287897599999994"/>
    <n v="-99.287897599999994"/>
    <s v="NA"/>
    <s v="NA"/>
    <m/>
    <x v="2"/>
    <s v="Nord de la Fennoscandinavie et Russie"/>
    <n v="10"/>
    <s v="PURASA-6"/>
    <s v="Abschuss"/>
  </r>
  <r>
    <x v="339"/>
    <s v="ScoRus"/>
    <n v="0"/>
    <x v="1"/>
    <x v="1"/>
    <x v="0"/>
    <x v="0"/>
    <x v="335"/>
    <n v="-25.01125"/>
    <x v="337"/>
    <x v="6"/>
    <m/>
    <x v="1"/>
    <x v="1"/>
    <s v="Centovalli"/>
    <s v="Comino"/>
    <n v="46.177372349999999"/>
    <n v="8.6429597149999999"/>
    <n v="3"/>
    <n v="4"/>
    <x v="1"/>
    <n v="2015"/>
    <x v="3"/>
    <x v="3"/>
    <n v="49"/>
    <x v="3"/>
    <x v="1"/>
    <x v="1"/>
    <n v="692997"/>
    <n v="114703"/>
    <n v="69291147"/>
    <n v="692114"/>
    <n v="690110"/>
    <n v="692500"/>
    <n v="112500"/>
    <n v="322"/>
    <x v="0"/>
    <n v="0"/>
    <n v="0"/>
    <n v="0"/>
    <n v="-99.16"/>
    <n v="-99.16"/>
    <n v="-122.4"/>
    <s v="NA"/>
    <m/>
    <x v="2"/>
    <s v="Nord de la Fennoscandinavie et Russie"/>
    <n v="10"/>
    <s v="FISCIV11"/>
    <s v="Abschuss"/>
  </r>
  <r>
    <x v="340"/>
    <s v="ScoRus"/>
    <n v="0"/>
    <x v="1"/>
    <x v="1"/>
    <x v="0"/>
    <x v="0"/>
    <x v="336"/>
    <n v="-24.844200000000001"/>
    <x v="338"/>
    <x v="6"/>
    <m/>
    <x v="1"/>
    <x v="1"/>
    <s v="Isorno"/>
    <s v="Pedesegn"/>
    <n v="46.213277179999999"/>
    <n v="8.6845245690000006"/>
    <n v="6"/>
    <n v="1"/>
    <x v="1"/>
    <n v="2015"/>
    <x v="167"/>
    <x v="17"/>
    <n v="46"/>
    <x v="1"/>
    <x v="1"/>
    <x v="1"/>
    <n v="696143"/>
    <n v="118744"/>
    <n v="69611187"/>
    <n v="696118"/>
    <n v="695115"/>
    <n v="697500"/>
    <n v="117500"/>
    <n v="288"/>
    <x v="0"/>
    <n v="0"/>
    <n v="0"/>
    <n v="0"/>
    <n v="-99.14"/>
    <n v="-99.14"/>
    <n v="-122.4"/>
    <s v="NA"/>
    <m/>
    <x v="2"/>
    <s v="Nord de la Fennoscandinavie et Russie"/>
    <n v="10"/>
    <s v="CAVALLIMA3"/>
    <s v="Abschuss"/>
  </r>
  <r>
    <x v="341"/>
    <s v="ScoRus"/>
    <n v="0"/>
    <x v="1"/>
    <x v="1"/>
    <x v="0"/>
    <x v="0"/>
    <x v="337"/>
    <n v="-23.995799999999999"/>
    <x v="339"/>
    <x v="6"/>
    <m/>
    <x v="2"/>
    <x v="2"/>
    <s v="Le Flon"/>
    <s v="La Tossaire"/>
    <n v="46.619642519999999"/>
    <n v="6.8929110219999998"/>
    <n v="5"/>
    <n v="31"/>
    <x v="0"/>
    <n v="2015"/>
    <x v="27"/>
    <x v="17"/>
    <n v="46"/>
    <x v="1"/>
    <x v="1"/>
    <x v="1"/>
    <n v="558200"/>
    <n v="163300"/>
    <n v="55821633"/>
    <n v="558163"/>
    <n v="555160"/>
    <n v="557500"/>
    <n v="162500"/>
    <n v="316"/>
    <x v="0"/>
    <n v="0"/>
    <n v="0"/>
    <n v="0"/>
    <n v="-99.01"/>
    <n v="-99.01"/>
    <n v="-122.3"/>
    <s v="NA"/>
    <m/>
    <x v="2"/>
    <s v="Nord de la Fennoscandinavie et Russie"/>
    <n v="10"/>
    <s v="Dumapi-1"/>
    <s v="Abschuss"/>
  </r>
  <r>
    <x v="342"/>
    <s v="ScoRus"/>
    <n v="0"/>
    <x v="1"/>
    <x v="1"/>
    <x v="0"/>
    <x v="0"/>
    <x v="338"/>
    <n v="-22.65"/>
    <x v="340"/>
    <x v="6"/>
    <m/>
    <x v="0"/>
    <x v="0"/>
    <s v="La Brévine"/>
    <s v="Le Baillod"/>
    <n v="46.959475550000001"/>
    <n v="6.5868630489999997"/>
    <n v="5"/>
    <n v="24"/>
    <x v="0"/>
    <n v="2016"/>
    <x v="168"/>
    <x v="14"/>
    <n v="39"/>
    <x v="0"/>
    <x v="0"/>
    <x v="0"/>
    <n v="535169"/>
    <n v="201285"/>
    <n v="53512012"/>
    <n v="535201"/>
    <n v="535200"/>
    <n v="537500"/>
    <n v="202500"/>
    <n v="280"/>
    <x v="0"/>
    <n v="0"/>
    <n v="0"/>
    <n v="0"/>
    <n v="-99.007173399999999"/>
    <n v="-99.007173399999999"/>
    <s v="NA"/>
    <s v="NA"/>
    <m/>
    <x v="2"/>
    <s v="Nord de la Fennoscandinavie et Russie"/>
    <n v="10"/>
    <s v="ANKEFR-2"/>
    <s v="Abschuss"/>
  </r>
  <r>
    <x v="343"/>
    <s v="ScoRus"/>
    <n v="0"/>
    <x v="1"/>
    <x v="1"/>
    <x v="0"/>
    <x v="0"/>
    <x v="339"/>
    <n v="-23.06"/>
    <x v="341"/>
    <x v="6"/>
    <m/>
    <x v="1"/>
    <x v="1"/>
    <s v="Medeglia"/>
    <s v="Cugnolo"/>
    <n v="46.109477839999997"/>
    <n v="8.9719995249999993"/>
    <n v="5"/>
    <n v="22"/>
    <x v="0"/>
    <n v="2016"/>
    <x v="25"/>
    <x v="21"/>
    <n v="37"/>
    <x v="4"/>
    <x v="0"/>
    <x v="0"/>
    <n v="718550"/>
    <n v="107600"/>
    <n v="71851076"/>
    <n v="718107"/>
    <n v="715105"/>
    <n v="717500"/>
    <n v="107500"/>
    <n v="300"/>
    <x v="0"/>
    <n v="0"/>
    <n v="0"/>
    <n v="0"/>
    <n v="-98.701996800000003"/>
    <n v="-98.701996800000003"/>
    <s v="NA"/>
    <s v="NA"/>
    <m/>
    <x v="2"/>
    <s v="Nord de la Fennoscandinavie et Russie"/>
    <n v="10"/>
    <s v="GRUBLO-4"/>
    <s v="Abschuss"/>
  </r>
  <r>
    <x v="344"/>
    <s v="ScoRus"/>
    <n v="0"/>
    <x v="1"/>
    <x v="1"/>
    <x v="0"/>
    <x v="0"/>
    <x v="340"/>
    <n v="-24.49"/>
    <x v="342"/>
    <x v="6"/>
    <m/>
    <x v="1"/>
    <x v="1"/>
    <s v="Miglieglia"/>
    <s v="Sasso Galline"/>
    <n v="46.039925269999998"/>
    <n v="8.8309731500000002"/>
    <n v="6"/>
    <n v="10"/>
    <x v="1"/>
    <n v="2016"/>
    <x v="169"/>
    <x v="19"/>
    <n v="55"/>
    <x v="2"/>
    <x v="2"/>
    <x v="1"/>
    <n v="707785"/>
    <n v="99666"/>
    <n v="70770996"/>
    <n v="707099"/>
    <n v="705095"/>
    <n v="707500"/>
    <n v="97500"/>
    <n v="298"/>
    <x v="0"/>
    <n v="0"/>
    <n v="0"/>
    <n v="0"/>
    <n v="-98.641008299999996"/>
    <n v="-98.641008299999996"/>
    <s v="NA"/>
    <s v="NA"/>
    <m/>
    <x v="2"/>
    <s v="Nord de la Fennoscandinavie et Russie"/>
    <n v="10"/>
    <s v="MORAMA-4"/>
    <s v="Abschuss"/>
  </r>
  <r>
    <x v="345"/>
    <s v="ScoRus"/>
    <n v="0"/>
    <x v="1"/>
    <x v="1"/>
    <x v="0"/>
    <x v="0"/>
    <x v="341"/>
    <n v="-24.7698"/>
    <x v="343"/>
    <x v="6"/>
    <m/>
    <x v="2"/>
    <x v="3"/>
    <s v="Ballens"/>
    <s v="Les Tailles"/>
    <n v="46.54141473"/>
    <n v="6.3858937769999997"/>
    <n v="4"/>
    <n v="2"/>
    <x v="9"/>
    <n v="2014"/>
    <x v="170"/>
    <x v="92"/>
    <n v="77"/>
    <x v="34"/>
    <x v="5"/>
    <x v="3"/>
    <n v="519250"/>
    <n v="155000"/>
    <n v="51921550"/>
    <n v="519155"/>
    <n v="515155"/>
    <n v="517500"/>
    <n v="157500"/>
    <n v="315"/>
    <x v="0"/>
    <n v="0"/>
    <n v="0"/>
    <n v="0"/>
    <n v="-98.61"/>
    <n v="-98.61"/>
    <n v="-121.9"/>
    <s v="NA"/>
    <m/>
    <x v="2"/>
    <s v="Nord de la Fennoscandinavie et Russie"/>
    <n v="10"/>
    <s v="PILLJE-2"/>
    <s v="Abschuss"/>
  </r>
  <r>
    <x v="346"/>
    <s v="ScoRus"/>
    <n v="0"/>
    <x v="1"/>
    <x v="1"/>
    <x v="0"/>
    <x v="0"/>
    <x v="342"/>
    <n v="-23.7"/>
    <x v="344"/>
    <x v="6"/>
    <m/>
    <x v="1"/>
    <x v="1"/>
    <s v="Novaggio"/>
    <s v="Forcole"/>
    <n v="46.024622770000001"/>
    <n v="8.8823484189999995"/>
    <n v="6"/>
    <n v="16"/>
    <x v="1"/>
    <n v="2016"/>
    <x v="171"/>
    <x v="28"/>
    <n v="61"/>
    <x v="6"/>
    <x v="2"/>
    <x v="2"/>
    <n v="711793"/>
    <n v="98037"/>
    <n v="71170980"/>
    <n v="711098"/>
    <n v="710095"/>
    <n v="712500"/>
    <n v="97500"/>
    <n v="333"/>
    <x v="0"/>
    <n v="0"/>
    <n v="0"/>
    <n v="0"/>
    <n v="-98.549683900000005"/>
    <n v="-98.549683900000005"/>
    <s v="NA"/>
    <s v="NA"/>
    <m/>
    <x v="2"/>
    <s v="Nord de la Fennoscandinavie et Russie"/>
    <n v="10"/>
    <s v="MORAMA-5"/>
    <s v="Abschuss"/>
  </r>
  <r>
    <x v="347"/>
    <s v="ScoRus"/>
    <n v="0"/>
    <x v="1"/>
    <x v="1"/>
    <x v="0"/>
    <x v="0"/>
    <x v="343"/>
    <n v="-24.9788"/>
    <x v="345"/>
    <x v="6"/>
    <m/>
    <x v="1"/>
    <x v="1"/>
    <s v="Gamborogno"/>
    <s v="Monte Sciaga"/>
    <n v="46.091382379999999"/>
    <n v="8.8415311019999994"/>
    <n v="4"/>
    <n v="19"/>
    <x v="1"/>
    <n v="2015"/>
    <x v="57"/>
    <x v="37"/>
    <n v="64"/>
    <x v="5"/>
    <x v="3"/>
    <x v="2"/>
    <n v="708500"/>
    <n v="105400"/>
    <n v="70851054"/>
    <n v="708105"/>
    <n v="705105"/>
    <n v="707500"/>
    <n v="107500"/>
    <n v="285"/>
    <x v="0"/>
    <n v="0"/>
    <n v="0"/>
    <n v="0"/>
    <n v="-98.47"/>
    <n v="-98.47"/>
    <n v="-121.7"/>
    <s v="NA"/>
    <m/>
    <x v="2"/>
    <s v="Nord de la Fennoscandinavie et Russie"/>
    <n v="10"/>
    <s v="GNOSDA-12"/>
    <s v="Abschuss"/>
  </r>
  <r>
    <x v="348"/>
    <s v="ScoRus"/>
    <n v="0"/>
    <x v="1"/>
    <x v="1"/>
    <x v="0"/>
    <x v="0"/>
    <x v="344"/>
    <n v="-25.49"/>
    <x v="346"/>
    <x v="6"/>
    <m/>
    <x v="1"/>
    <x v="1"/>
    <s v="Gambarogno"/>
    <s v="Piano Lunga"/>
    <n v="46.08588924"/>
    <n v="8.8491479050000006"/>
    <n v="4"/>
    <n v="13"/>
    <x v="1"/>
    <n v="2016"/>
    <x v="172"/>
    <x v="15"/>
    <n v="58"/>
    <x v="6"/>
    <x v="2"/>
    <x v="2"/>
    <n v="709100"/>
    <n v="104800"/>
    <n v="70911048"/>
    <n v="709104"/>
    <n v="705100"/>
    <n v="707500"/>
    <n v="102500"/>
    <n v="345"/>
    <x v="0"/>
    <n v="0"/>
    <n v="0"/>
    <n v="0"/>
    <n v="-98.345552900000001"/>
    <n v="-98.345552900000001"/>
    <s v="NA"/>
    <s v="NA"/>
    <m/>
    <x v="2"/>
    <s v="Nord de la Fennoscandinavie et Russie"/>
    <n v="10"/>
    <s v="GNOSDA-12"/>
    <s v="Abschuss"/>
  </r>
  <r>
    <x v="349"/>
    <s v="ScoRus"/>
    <n v="0"/>
    <x v="1"/>
    <x v="1"/>
    <x v="0"/>
    <x v="0"/>
    <x v="345"/>
    <n v="-23.157"/>
    <x v="347"/>
    <x v="6"/>
    <m/>
    <x v="2"/>
    <x v="2"/>
    <s v="Vuisternens-devant-Romont"/>
    <s v="Bois de Lieffrens"/>
    <n v="46.62568375"/>
    <n v="6.8958532259999998"/>
    <n v="5"/>
    <n v="18"/>
    <x v="0"/>
    <n v="2014"/>
    <x v="173"/>
    <x v="89"/>
    <n v="33"/>
    <x v="4"/>
    <x v="0"/>
    <x v="0"/>
    <n v="558430"/>
    <n v="163970"/>
    <n v="55841639"/>
    <n v="558163"/>
    <n v="555160"/>
    <n v="557500"/>
    <n v="162500"/>
    <n v="320"/>
    <x v="0"/>
    <n v="0"/>
    <n v="0"/>
    <n v="0"/>
    <n v="-98.21"/>
    <n v="-98.21"/>
    <n v="-121.5"/>
    <s v="NA"/>
    <m/>
    <x v="2"/>
    <s v="Nord de la Fennoscandinavie et Russie"/>
    <n v="10"/>
    <s v="DUMAPI2"/>
    <s v="Abschuss"/>
  </r>
  <r>
    <x v="350"/>
    <s v="ScoRus"/>
    <n v="0"/>
    <x v="1"/>
    <x v="1"/>
    <x v="0"/>
    <x v="0"/>
    <x v="346"/>
    <s v="NA"/>
    <x v="348"/>
    <x v="6"/>
    <m/>
    <x v="0"/>
    <x v="0"/>
    <s v="Le Locle"/>
    <s v="Les Simeons"/>
    <n v="47.079612959999999"/>
    <n v="6.7492935640000002"/>
    <n v="5"/>
    <n v="2"/>
    <x v="1"/>
    <n v="2017"/>
    <x v="26"/>
    <x v="4"/>
    <n v="47"/>
    <x v="3"/>
    <x v="1"/>
    <x v="1"/>
    <n v="547649"/>
    <n v="214519"/>
    <n v="54762145"/>
    <n v="547214"/>
    <n v="545210"/>
    <n v="547500"/>
    <n v="212500"/>
    <n v="298"/>
    <x v="0"/>
    <n v="0"/>
    <n v="0"/>
    <n v="0"/>
    <n v="-98.142097100000001"/>
    <n v="-98.142097100000001"/>
    <s v="NA"/>
    <s v="NA"/>
    <m/>
    <x v="2"/>
    <s v="Nord de la Fennoscandinavie et Russie"/>
    <n v="10"/>
    <s v="PRETFA-4"/>
    <s v="Abschuss"/>
  </r>
  <r>
    <x v="351"/>
    <s v="ScoRus"/>
    <n v="0"/>
    <x v="1"/>
    <x v="1"/>
    <x v="0"/>
    <x v="0"/>
    <x v="347"/>
    <n v="-23.603200000000001"/>
    <x v="349"/>
    <x v="6"/>
    <m/>
    <x v="1"/>
    <x v="1"/>
    <s v="Isorno"/>
    <s v="Campo"/>
    <n v="46.224248520000003"/>
    <n v="8.6833107999999992"/>
    <n v="6"/>
    <n v="14"/>
    <x v="1"/>
    <n v="2015"/>
    <x v="174"/>
    <x v="18"/>
    <n v="59"/>
    <x v="6"/>
    <x v="2"/>
    <x v="2"/>
    <n v="696030"/>
    <n v="119962"/>
    <n v="69601199"/>
    <n v="696119"/>
    <n v="695115"/>
    <n v="697500"/>
    <n v="117500"/>
    <n v="314"/>
    <x v="0"/>
    <n v="0"/>
    <n v="0"/>
    <n v="0"/>
    <n v="-98.09"/>
    <n v="-98.09"/>
    <n v="-121.3"/>
    <s v="NA"/>
    <m/>
    <x v="2"/>
    <s v="Nord de la Fennoscandinavie et Russie"/>
    <n v="10"/>
    <s v="CAVALLIMA8"/>
    <s v="Abschuss"/>
  </r>
  <r>
    <x v="352"/>
    <s v="ScoRus"/>
    <n v="0"/>
    <x v="1"/>
    <x v="1"/>
    <x v="0"/>
    <x v="0"/>
    <x v="348"/>
    <n v="-24.592285709999999"/>
    <x v="350"/>
    <x v="6"/>
    <m/>
    <x v="0"/>
    <x v="0"/>
    <s v="La Brévine"/>
    <s v="La Paroisse"/>
    <n v="46.958211990000002"/>
    <n v="6.6426036599999998"/>
    <n v="6"/>
    <n v="17"/>
    <x v="0"/>
    <n v="2014"/>
    <x v="175"/>
    <x v="34"/>
    <n v="32"/>
    <x v="8"/>
    <x v="4"/>
    <x v="0"/>
    <n v="539410"/>
    <n v="201100"/>
    <n v="53942011"/>
    <n v="539201"/>
    <n v="535200"/>
    <n v="537500"/>
    <n v="202500"/>
    <n v="260"/>
    <x v="0"/>
    <n v="0"/>
    <n v="0"/>
    <n v="0"/>
    <n v="-98.03"/>
    <n v="-98.03"/>
    <n v="-121.3"/>
    <s v="NA"/>
    <m/>
    <x v="2"/>
    <s v="Nord de la Fennoscandinavie et Russie"/>
    <n v="10"/>
    <s v="ANKEFR1"/>
    <s v="Abschuss"/>
  </r>
  <r>
    <x v="353"/>
    <s v="ScoRus"/>
    <n v="0"/>
    <x v="1"/>
    <x v="1"/>
    <x v="0"/>
    <x v="0"/>
    <x v="348"/>
    <n v="-24.521578160000001"/>
    <x v="351"/>
    <x v="6"/>
    <m/>
    <x v="1"/>
    <x v="1"/>
    <s v="Arogno"/>
    <s v="Costa Bue"/>
    <n v="45.952338359999999"/>
    <n v="9.0146779489999993"/>
    <n v="6"/>
    <n v="28"/>
    <x v="0"/>
    <n v="2015"/>
    <x v="164"/>
    <x v="16"/>
    <n v="43"/>
    <x v="1"/>
    <x v="1"/>
    <x v="1"/>
    <n v="722200"/>
    <n v="90200"/>
    <n v="72220902"/>
    <n v="722090"/>
    <n v="720090"/>
    <n v="722500"/>
    <n v="92500"/>
    <n v="340"/>
    <x v="0"/>
    <n v="0"/>
    <n v="0"/>
    <n v="0"/>
    <n v="-98.03"/>
    <n v="-98.03"/>
    <n v="-121.3"/>
    <s v="NA"/>
    <m/>
    <x v="2"/>
    <s v="Nord de la Fennoscandinavie et Russie"/>
    <n v="10"/>
    <s v="TANTST2"/>
    <s v="Abschuss"/>
  </r>
  <r>
    <x v="354"/>
    <s v="ScoRus"/>
    <n v="0"/>
    <x v="1"/>
    <x v="1"/>
    <x v="0"/>
    <x v="0"/>
    <x v="349"/>
    <n v="-23.29"/>
    <x v="275"/>
    <x v="6"/>
    <m/>
    <x v="1"/>
    <x v="1"/>
    <s v="Centovalli"/>
    <s v="NA"/>
    <n v="46.175476860000003"/>
    <n v="8.6494320099999999"/>
    <n v="3"/>
    <n v="25"/>
    <x v="0"/>
    <n v="2016"/>
    <x v="157"/>
    <x v="8"/>
    <n v="40"/>
    <x v="0"/>
    <x v="0"/>
    <x v="0"/>
    <n v="693500"/>
    <n v="114500"/>
    <n v="69351145"/>
    <n v="693114"/>
    <n v="690110"/>
    <n v="692500"/>
    <n v="112500"/>
    <n v="280"/>
    <x v="0"/>
    <n v="0"/>
    <n v="0"/>
    <n v="0"/>
    <n v="-97.953871199999995"/>
    <n v="-97.953871199999995"/>
    <s v="NA"/>
    <s v="NA"/>
    <m/>
    <x v="2"/>
    <s v="Nord de la Fennoscandinavie et Russie"/>
    <n v="10"/>
    <s v="FISCIV-5"/>
    <s v="Abschuss"/>
  </r>
  <r>
    <x v="355"/>
    <s v="ScoRus"/>
    <n v="0"/>
    <x v="1"/>
    <x v="1"/>
    <x v="0"/>
    <x v="0"/>
    <x v="350"/>
    <n v="-24.26"/>
    <x v="352"/>
    <x v="6"/>
    <m/>
    <x v="1"/>
    <x v="1"/>
    <s v="Monteceneri"/>
    <s v="Nagra"/>
    <n v="46.128451750000004"/>
    <n v="8.8981264580000001"/>
    <n v="5"/>
    <n v="17"/>
    <x v="1"/>
    <n v="2016"/>
    <x v="176"/>
    <x v="10"/>
    <n v="62"/>
    <x v="5"/>
    <x v="3"/>
    <x v="2"/>
    <n v="712800"/>
    <n v="109600"/>
    <n v="71281096"/>
    <n v="712109"/>
    <n v="710105"/>
    <n v="712500"/>
    <n v="107500"/>
    <n v="290"/>
    <x v="0"/>
    <n v="0"/>
    <n v="0"/>
    <n v="0"/>
    <n v="-97.950001599999993"/>
    <n v="-97.950001599999993"/>
    <s v="NA"/>
    <s v="NA"/>
    <m/>
    <x v="2"/>
    <s v="Nord de la Fennoscandinavie et Russie"/>
    <n v="10"/>
    <s v="BELLEN-2"/>
    <s v="Abschuss"/>
  </r>
  <r>
    <x v="356"/>
    <s v="ScoRus"/>
    <n v="0"/>
    <x v="1"/>
    <x v="1"/>
    <x v="0"/>
    <x v="0"/>
    <x v="351"/>
    <n v="-25.09504218"/>
    <x v="353"/>
    <x v="6"/>
    <m/>
    <x v="1"/>
    <x v="1"/>
    <s v="Cadenazzo"/>
    <s v="Prato Grasso"/>
    <n v="46.137005670000001"/>
    <n v="8.9320050630000001"/>
    <n v="5"/>
    <n v="24"/>
    <x v="0"/>
    <n v="2015"/>
    <x v="165"/>
    <x v="14"/>
    <n v="39"/>
    <x v="0"/>
    <x v="0"/>
    <x v="0"/>
    <n v="715400"/>
    <n v="110600"/>
    <n v="71541106"/>
    <n v="715110"/>
    <n v="715110"/>
    <n v="717500"/>
    <n v="112500"/>
    <n v="325"/>
    <x v="0"/>
    <n v="0"/>
    <n v="0"/>
    <n v="0"/>
    <n v="-97.76"/>
    <n v="-97.76"/>
    <n v="-121"/>
    <s v="NA"/>
    <m/>
    <x v="2"/>
    <s v="Nord de la Fennoscandinavie et Russie"/>
    <n v="10"/>
    <s v="PURASA-7"/>
    <s v="Abschuss"/>
  </r>
  <r>
    <x v="357"/>
    <s v="ScoRus"/>
    <n v="0"/>
    <x v="1"/>
    <x v="1"/>
    <x v="0"/>
    <x v="0"/>
    <x v="352"/>
    <n v="-24.209399999999999"/>
    <x v="354"/>
    <x v="6"/>
    <m/>
    <x v="1"/>
    <x v="1"/>
    <s v="Onsernone"/>
    <s v="Monte Calcima"/>
    <n v="46.206950550000002"/>
    <n v="8.6210534899999995"/>
    <n v="6"/>
    <n v="7"/>
    <x v="1"/>
    <n v="2015"/>
    <x v="177"/>
    <x v="12"/>
    <n v="52"/>
    <x v="2"/>
    <x v="2"/>
    <x v="1"/>
    <n v="691256"/>
    <n v="117965"/>
    <n v="69121179"/>
    <n v="691117"/>
    <n v="690115"/>
    <n v="692500"/>
    <n v="117500"/>
    <n v="344"/>
    <x v="0"/>
    <n v="0"/>
    <n v="0"/>
    <n v="0"/>
    <n v="-97.67"/>
    <n v="-97.67"/>
    <n v="-120.9"/>
    <s v="NA"/>
    <m/>
    <x v="2"/>
    <s v="Nord de la Fennoscandinavie et Russie"/>
    <n v="10"/>
    <s v="ROSS-Gi9"/>
    <s v="Abschuss"/>
  </r>
  <r>
    <x v="358"/>
    <s v="ScoRus"/>
    <n v="0"/>
    <x v="1"/>
    <x v="1"/>
    <x v="0"/>
    <x v="0"/>
    <x v="353"/>
    <n v="-24.95050041"/>
    <x v="355"/>
    <x v="6"/>
    <m/>
    <x v="1"/>
    <x v="1"/>
    <s v="Tesserete"/>
    <s v="Pian Bello - Gola di Lago"/>
    <n v="46.10662095"/>
    <n v="8.9835609250000008"/>
    <n v="5"/>
    <n v="24"/>
    <x v="0"/>
    <n v="2015"/>
    <x v="165"/>
    <x v="14"/>
    <n v="39"/>
    <x v="0"/>
    <x v="0"/>
    <x v="0"/>
    <n v="719450"/>
    <n v="107300"/>
    <n v="71941073"/>
    <n v="719107"/>
    <n v="715105"/>
    <n v="717500"/>
    <n v="107500"/>
    <n v="272"/>
    <x v="0"/>
    <n v="0"/>
    <n v="0"/>
    <n v="0"/>
    <n v="-97.66"/>
    <n v="-97.66"/>
    <n v="-120.9"/>
    <s v="NA"/>
    <m/>
    <x v="2"/>
    <s v="Nord de la Fennoscandinavie et Russie"/>
    <n v="10"/>
    <s v="GRUBLO-2"/>
    <s v="Abschuss"/>
  </r>
  <r>
    <x v="359"/>
    <s v="ScoRus"/>
    <n v="0"/>
    <x v="1"/>
    <x v="1"/>
    <x v="0"/>
    <x v="0"/>
    <x v="354"/>
    <n v="-24.29"/>
    <x v="356"/>
    <x v="6"/>
    <m/>
    <x v="2"/>
    <x v="2"/>
    <s v="Noréaz"/>
    <s v="Piamont"/>
    <n v="46.806501410000003"/>
    <n v="7.0490565910000003"/>
    <n v="5"/>
    <n v="2"/>
    <x v="1"/>
    <n v="2016"/>
    <x v="4"/>
    <x v="4"/>
    <n v="47"/>
    <x v="3"/>
    <x v="1"/>
    <x v="1"/>
    <n v="570263"/>
    <n v="184001"/>
    <n v="57021840"/>
    <n v="570184"/>
    <n v="570180"/>
    <n v="572500"/>
    <n v="182500"/>
    <n v="292"/>
    <x v="0"/>
    <n v="0"/>
    <n v="0"/>
    <n v="0"/>
    <n v="-97.599145199999995"/>
    <n v="-97.599145199999995"/>
    <s v="NA"/>
    <s v="NA"/>
    <m/>
    <x v="2"/>
    <s v="Nord de la Fennoscandinavie et Russie"/>
    <n v="10"/>
    <s v="SAVARBR-1"/>
    <s v="Abschuss"/>
  </r>
  <r>
    <x v="360"/>
    <s v="ScoRus"/>
    <n v="0"/>
    <x v="1"/>
    <x v="1"/>
    <x v="0"/>
    <x v="0"/>
    <x v="355"/>
    <s v="NA"/>
    <x v="357"/>
    <x v="6"/>
    <m/>
    <x v="2"/>
    <x v="2"/>
    <s v="Vuisternens / Romont"/>
    <s v="NA"/>
    <n v="46.661484000000002"/>
    <n v="6.9783799999999996"/>
    <n v="5"/>
    <n v="9"/>
    <x v="1"/>
    <n v="2017"/>
    <x v="49"/>
    <x v="5"/>
    <n v="54"/>
    <x v="2"/>
    <x v="2"/>
    <x v="1"/>
    <n v="564773"/>
    <n v="167909"/>
    <n v="56471679"/>
    <n v="564167"/>
    <n v="560165"/>
    <n v="562500"/>
    <n v="167500"/>
    <n v="327"/>
    <x v="0"/>
    <n v="0"/>
    <n v="0"/>
    <n v="0"/>
    <n v="-97.525045599999999"/>
    <n v="-97.525045599999999"/>
    <s v="NA"/>
    <s v="NA"/>
    <m/>
    <x v="2"/>
    <s v="Nord de la Fennoscandinavie et Russie"/>
    <n v="10"/>
    <s v="YERLMI-3"/>
    <s v="Abschuss"/>
  </r>
  <r>
    <x v="361"/>
    <s v="ScoRus"/>
    <n v="0"/>
    <x v="1"/>
    <x v="1"/>
    <x v="0"/>
    <x v="0"/>
    <x v="356"/>
    <n v="-25.111999999999998"/>
    <x v="358"/>
    <x v="6"/>
    <m/>
    <x v="0"/>
    <x v="3"/>
    <s v="Mont-la-Ville"/>
    <s v="La Sauge"/>
    <n v="46.654508139999997"/>
    <n v="6.3771575370000004"/>
    <n v="6"/>
    <n v="13"/>
    <x v="1"/>
    <n v="2015"/>
    <x v="178"/>
    <x v="15"/>
    <n v="58"/>
    <x v="6"/>
    <x v="2"/>
    <x v="2"/>
    <n v="518750"/>
    <n v="167580"/>
    <n v="51871675"/>
    <n v="518167"/>
    <n v="515165"/>
    <n v="517500"/>
    <n v="167500"/>
    <n v="325"/>
    <x v="0"/>
    <n v="0"/>
    <n v="0"/>
    <n v="0"/>
    <n v="-97.3"/>
    <n v="-97.3"/>
    <n v="-120.5"/>
    <s v="NA"/>
    <m/>
    <x v="2"/>
    <s v="Nord de la Fennoscandinavie et Russie"/>
    <n v="10"/>
    <s v="UELTYV-1"/>
    <s v="Abschuss"/>
  </r>
  <r>
    <x v="362"/>
    <s v="ScoRus"/>
    <n v="0"/>
    <x v="1"/>
    <x v="1"/>
    <x v="0"/>
    <x v="0"/>
    <x v="357"/>
    <n v="-25.731906120000001"/>
    <x v="359"/>
    <x v="6"/>
    <m/>
    <x v="0"/>
    <x v="0"/>
    <s v="Rochefort"/>
    <s v="Cucheroux-Dessous"/>
    <n v="47.006095510000002"/>
    <n v="6.8090969379999997"/>
    <n v="6"/>
    <n v="20"/>
    <x v="1"/>
    <n v="2015"/>
    <x v="179"/>
    <x v="32"/>
    <n v="65"/>
    <x v="5"/>
    <x v="3"/>
    <x v="2"/>
    <n v="552125"/>
    <n v="206308"/>
    <n v="55212063"/>
    <n v="552206"/>
    <n v="550205"/>
    <n v="552500"/>
    <n v="207500"/>
    <n v="332"/>
    <x v="0"/>
    <n v="0"/>
    <n v="0"/>
    <n v="0"/>
    <n v="-96.9"/>
    <n v="-96.9"/>
    <n v="-120.1"/>
    <s v="NA"/>
    <m/>
    <x v="2"/>
    <s v="Nord de la Fennoscandinavie et Russie"/>
    <n v="10"/>
    <s v="MEISHE-13"/>
    <s v="Abschuss"/>
  </r>
  <r>
    <x v="363"/>
    <s v="ScoRus"/>
    <n v="0"/>
    <x v="1"/>
    <x v="1"/>
    <x v="0"/>
    <x v="0"/>
    <x v="358"/>
    <n v="-24.931799999999999"/>
    <x v="360"/>
    <x v="6"/>
    <m/>
    <x v="1"/>
    <x v="1"/>
    <s v="Gamborogno"/>
    <s v="Cedullo"/>
    <n v="46.113286799999997"/>
    <n v="8.8162214859999999"/>
    <n v="5"/>
    <n v="31"/>
    <x v="0"/>
    <n v="2015"/>
    <x v="27"/>
    <x v="17"/>
    <n v="46"/>
    <x v="1"/>
    <x v="1"/>
    <x v="1"/>
    <n v="706500"/>
    <n v="107800"/>
    <n v="70651078"/>
    <n v="706107"/>
    <n v="705105"/>
    <n v="707500"/>
    <n v="107500"/>
    <n v="304"/>
    <x v="0"/>
    <n v="0"/>
    <n v="0"/>
    <n v="0"/>
    <n v="-96.79"/>
    <n v="-96.79"/>
    <n v="-120"/>
    <s v="NA"/>
    <m/>
    <x v="2"/>
    <s v="Nord de la Fennoscandinavie et Russie"/>
    <n v="10"/>
    <s v="GNOSDA-4"/>
    <s v="Abschuss"/>
  </r>
  <r>
    <x v="364"/>
    <s v="ScoRus"/>
    <n v="0"/>
    <x v="1"/>
    <x v="1"/>
    <x v="0"/>
    <x v="0"/>
    <x v="359"/>
    <n v="-24.3"/>
    <x v="361"/>
    <x v="6"/>
    <m/>
    <x v="1"/>
    <x v="1"/>
    <s v="Lodano"/>
    <s v="NA"/>
    <n v="46.236471520000002"/>
    <n v="8.6828122850000007"/>
    <n v="5"/>
    <n v="1"/>
    <x v="1"/>
    <n v="2016"/>
    <x v="147"/>
    <x v="17"/>
    <n v="46"/>
    <x v="1"/>
    <x v="1"/>
    <x v="1"/>
    <n v="695970"/>
    <n v="121320"/>
    <n v="69591213"/>
    <n v="695121"/>
    <n v="695120"/>
    <n v="697500"/>
    <n v="122500"/>
    <n v="297"/>
    <x v="0"/>
    <n v="0"/>
    <n v="0"/>
    <n v="0"/>
    <n v="-96.399342099999998"/>
    <n v="-96.399342099999998"/>
    <s v="NA"/>
    <s v="NA"/>
    <m/>
    <x v="2"/>
    <s v="Nord de la Fennoscandinavie et Russie"/>
    <n v="10"/>
    <s v="CAVAMA-3"/>
    <s v="Abschuss"/>
  </r>
  <r>
    <x v="365"/>
    <s v="ScoRus"/>
    <n v="0"/>
    <x v="1"/>
    <x v="1"/>
    <x v="0"/>
    <x v="0"/>
    <x v="360"/>
    <s v="NA"/>
    <x v="362"/>
    <x v="6"/>
    <m/>
    <x v="2"/>
    <x v="2"/>
    <s v="Brünisried"/>
    <s v="Buechechäppeli"/>
    <n v="46.759383890000002"/>
    <n v="7.2705826360000003"/>
    <n v="5"/>
    <n v="9"/>
    <x v="1"/>
    <n v="2017"/>
    <x v="49"/>
    <x v="5"/>
    <n v="54"/>
    <x v="2"/>
    <x v="2"/>
    <x v="1"/>
    <n v="587161"/>
    <n v="178703"/>
    <n v="58711787"/>
    <n v="587178"/>
    <n v="585175"/>
    <n v="587500"/>
    <n v="177500"/>
    <n v="332"/>
    <x v="0"/>
    <n v="0"/>
    <n v="0"/>
    <n v="0"/>
    <n v="-96.3854264"/>
    <n v="-96.3854264"/>
    <s v="NA"/>
    <s v="NA"/>
    <m/>
    <x v="2"/>
    <s v="Nord de la Fennoscandinavie et Russie"/>
    <n v="10"/>
    <s v="DUCHPA-3"/>
    <s v="Abschuss"/>
  </r>
  <r>
    <x v="366"/>
    <s v="ScoRus"/>
    <n v="0"/>
    <x v="1"/>
    <x v="1"/>
    <x v="0"/>
    <x v="0"/>
    <x v="361"/>
    <n v="-14.17077205"/>
    <x v="363"/>
    <x v="6"/>
    <m/>
    <x v="0"/>
    <x v="0"/>
    <s v="Les Bayards"/>
    <s v="La Place Jeanin"/>
    <n v="46.935988049999999"/>
    <n v="6.544407863"/>
    <n v="5"/>
    <n v="9"/>
    <x v="1"/>
    <n v="2013"/>
    <x v="5"/>
    <x v="5"/>
    <n v="54"/>
    <x v="2"/>
    <x v="2"/>
    <x v="1"/>
    <n v="531908"/>
    <n v="198710"/>
    <n v="53191987"/>
    <n v="531198"/>
    <n v="530195"/>
    <n v="532500"/>
    <n v="197500"/>
    <n v="300"/>
    <x v="0"/>
    <n v="0"/>
    <n v="0"/>
    <n v="0"/>
    <n v="-96.37"/>
    <n v="-96.37"/>
    <n v="-119.6"/>
    <s v="NA"/>
    <m/>
    <x v="2"/>
    <s v="Nord de la Fennoscandinavie et Russie"/>
    <n v="10"/>
    <s v="ANKEFR-5"/>
    <s v="Abschuss"/>
  </r>
  <r>
    <x v="367"/>
    <s v="ScoRus"/>
    <n v="0"/>
    <x v="1"/>
    <x v="1"/>
    <x v="0"/>
    <x v="0"/>
    <x v="362"/>
    <n v="-25.1282"/>
    <x v="364"/>
    <x v="6"/>
    <m/>
    <x v="1"/>
    <x v="1"/>
    <s v="Alto Malcantone"/>
    <s v="Breno-Cassinelle"/>
    <n v="46.03138526"/>
    <n v="8.8613818030000004"/>
    <n v="5"/>
    <n v="28"/>
    <x v="0"/>
    <n v="2015"/>
    <x v="164"/>
    <x v="16"/>
    <n v="43"/>
    <x v="1"/>
    <x v="1"/>
    <x v="1"/>
    <n v="710156"/>
    <n v="98759"/>
    <n v="71010987"/>
    <n v="710098"/>
    <n v="710095"/>
    <n v="712500"/>
    <n v="97500"/>
    <n v="290"/>
    <x v="0"/>
    <n v="0"/>
    <n v="0"/>
    <n v="0"/>
    <n v="-96.24"/>
    <n v="-96.24"/>
    <n v="-119.4"/>
    <s v="NA"/>
    <m/>
    <x v="2"/>
    <s v="Nord de la Fennoscandinavie et Russie"/>
    <n v="10"/>
    <s v="GIAMGI-3"/>
    <s v="Abschuss"/>
  </r>
  <r>
    <x v="368"/>
    <s v="ScoRus"/>
    <n v="0"/>
    <x v="1"/>
    <x v="1"/>
    <x v="0"/>
    <x v="0"/>
    <x v="363"/>
    <n v="-24.46"/>
    <x v="365"/>
    <x v="6"/>
    <s v="Sud de la Fennoscandinavie, Pays baltes et ouest de la Russie"/>
    <x v="1"/>
    <x v="1"/>
    <s v="Cadro"/>
    <s v="Alpe Bolla"/>
    <n v="46.036246939999998"/>
    <n v="9.0081579059999992"/>
    <n v="5"/>
    <n v="29"/>
    <x v="0"/>
    <n v="2016"/>
    <x v="180"/>
    <x v="1"/>
    <n v="44"/>
    <x v="1"/>
    <x v="1"/>
    <x v="1"/>
    <n v="721508"/>
    <n v="99516"/>
    <n v="72150995"/>
    <n v="721099"/>
    <n v="720095"/>
    <n v="722500"/>
    <n v="97500"/>
    <n v="335"/>
    <x v="0"/>
    <n v="0"/>
    <n v="0"/>
    <n v="0"/>
    <n v="-96.147256299999995"/>
    <n v="-96.147256299999995"/>
    <s v="NA"/>
    <s v="NA"/>
    <m/>
    <x v="2"/>
    <s v="Nord de la Fennoscandinavie et Russie"/>
    <n v="10"/>
    <s v="REZZRO-4"/>
    <s v="Abschuss"/>
  </r>
  <r>
    <x v="369"/>
    <s v="ScoRus"/>
    <n v="0"/>
    <x v="1"/>
    <x v="1"/>
    <x v="0"/>
    <x v="0"/>
    <x v="364"/>
    <s v="NA"/>
    <x v="366"/>
    <x v="6"/>
    <s v="Sud de la Fennoscandinavie, Pays baltes et ouest de la Russie"/>
    <x v="0"/>
    <x v="0"/>
    <s v="Le Locle"/>
    <s v="La Paroisse"/>
    <n v="46.968594379999999"/>
    <n v="6.6480084689999996"/>
    <n v="6"/>
    <n v="21"/>
    <x v="0"/>
    <n v="2017"/>
    <x v="64"/>
    <x v="11"/>
    <n v="36"/>
    <x v="4"/>
    <x v="0"/>
    <x v="0"/>
    <n v="539833"/>
    <n v="202250"/>
    <n v="53982022"/>
    <n v="539202"/>
    <n v="535200"/>
    <n v="537500"/>
    <n v="202500"/>
    <n v="277"/>
    <x v="0"/>
    <n v="0"/>
    <n v="0"/>
    <n v="0"/>
    <n v="-96.027029600000006"/>
    <n v="-96.027029600000006"/>
    <s v="NA"/>
    <s v="NA"/>
    <m/>
    <x v="2"/>
    <s v="Nord de la Fennoscandinavie et Russie"/>
    <n v="10"/>
    <s v="MEISHE-3"/>
    <s v="Abschuss"/>
  </r>
  <r>
    <x v="370"/>
    <s v="ScoRus"/>
    <n v="0"/>
    <x v="1"/>
    <x v="1"/>
    <x v="0"/>
    <x v="0"/>
    <x v="365"/>
    <n v="-24.8504"/>
    <x v="367"/>
    <x v="6"/>
    <s v="Sud de la Fennoscandinavie, Pays baltes et ouest de la Russie"/>
    <x v="1"/>
    <x v="1"/>
    <s v="Mugena"/>
    <s v="Predascio"/>
    <n v="46.057474919999997"/>
    <n v="8.8904147949999999"/>
    <n v="5"/>
    <n v="16"/>
    <x v="0"/>
    <n v="2015"/>
    <x v="181"/>
    <x v="33"/>
    <n v="31"/>
    <x v="8"/>
    <x v="4"/>
    <x v="0"/>
    <n v="712350"/>
    <n v="101700"/>
    <n v="71231017"/>
    <n v="712101"/>
    <n v="710100"/>
    <n v="712500"/>
    <n v="102500"/>
    <n v="320"/>
    <x v="0"/>
    <n v="0"/>
    <n v="0"/>
    <n v="0"/>
    <n v="-95.94"/>
    <n v="-95.94"/>
    <n v="-119.1"/>
    <s v="NA"/>
    <m/>
    <x v="2"/>
    <s v="Nord de la Fennoscandinavie et Russie"/>
    <n v="10"/>
    <s v="Devise-1"/>
    <s v="Abschuss"/>
  </r>
  <r>
    <x v="371"/>
    <s v="ScoRus"/>
    <n v="0"/>
    <x v="1"/>
    <x v="1"/>
    <x v="0"/>
    <x v="0"/>
    <x v="366"/>
    <n v="-24.074999999999999"/>
    <x v="368"/>
    <x v="6"/>
    <s v="Sud de la Fennoscandinavie, Pays baltes et ouest de la Russie"/>
    <x v="1"/>
    <x v="1"/>
    <s v="Signôra"/>
    <s v="Costa dei Badairoli"/>
    <n v="46.105753909999997"/>
    <n v="9.0456248099999996"/>
    <n v="5"/>
    <n v="7"/>
    <x v="1"/>
    <n v="2015"/>
    <x v="177"/>
    <x v="12"/>
    <n v="52"/>
    <x v="2"/>
    <x v="2"/>
    <x v="1"/>
    <n v="724250"/>
    <n v="107300"/>
    <n v="72421073"/>
    <n v="724107"/>
    <n v="720105"/>
    <n v="722500"/>
    <n v="107500"/>
    <n v="300"/>
    <x v="0"/>
    <n v="0"/>
    <n v="0"/>
    <n v="0"/>
    <n v="-95.88"/>
    <n v="-95.88"/>
    <n v="-119.1"/>
    <s v="NA"/>
    <m/>
    <x v="2"/>
    <s v="Nord de la Fennoscandinavie et Russie"/>
    <n v="10"/>
    <s v="ROSAOR-6"/>
    <s v="Abschuss"/>
  </r>
  <r>
    <x v="372"/>
    <s v="ScoRus"/>
    <n v="0"/>
    <x v="1"/>
    <x v="1"/>
    <x v="0"/>
    <x v="0"/>
    <x v="367"/>
    <n v="-23.722999999999999"/>
    <x v="369"/>
    <x v="6"/>
    <s v="Sud de la Fennoscandinavie, Pays baltes et ouest de la Russie"/>
    <x v="1"/>
    <x v="1"/>
    <s v="Certara"/>
    <s v="Prato bello"/>
    <n v="46.0773042"/>
    <n v="9.0531910549999992"/>
    <n v="5"/>
    <n v="22"/>
    <x v="1"/>
    <n v="2015"/>
    <x v="34"/>
    <x v="27"/>
    <n v="67"/>
    <x v="7"/>
    <x v="3"/>
    <x v="2"/>
    <n v="724900"/>
    <n v="104150"/>
    <n v="72491041"/>
    <n v="724104"/>
    <n v="720100"/>
    <n v="722500"/>
    <n v="102500"/>
    <n v="300"/>
    <x v="0"/>
    <n v="0"/>
    <n v="0"/>
    <n v="0"/>
    <n v="-95.87"/>
    <n v="-95.87"/>
    <n v="-119.1"/>
    <s v="NA"/>
    <m/>
    <x v="2"/>
    <s v="Nord de la Fennoscandinavie et Russie"/>
    <n v="10"/>
    <s v="ANARGI-9"/>
    <s v="Abschuss"/>
  </r>
  <r>
    <x v="373"/>
    <s v="ScoRus"/>
    <n v="0"/>
    <x v="1"/>
    <x v="1"/>
    <x v="0"/>
    <x v="0"/>
    <x v="368"/>
    <n v="-24.37"/>
    <x v="370"/>
    <x v="6"/>
    <s v="Sud de la Fennoscandinavie, Pays baltes et ouest de la Russie"/>
    <x v="1"/>
    <x v="1"/>
    <s v="Sonvico"/>
    <s v="Pain"/>
    <n v="46.072078959999999"/>
    <n v="9.0090842369999997"/>
    <n v="3"/>
    <n v="16"/>
    <x v="1"/>
    <n v="2016"/>
    <x v="171"/>
    <x v="28"/>
    <n v="61"/>
    <x v="6"/>
    <x v="2"/>
    <x v="2"/>
    <n v="721500"/>
    <n v="103500"/>
    <n v="72151035"/>
    <n v="721103"/>
    <n v="720100"/>
    <n v="722500"/>
    <n v="102500"/>
    <n v="280"/>
    <x v="0"/>
    <n v="0"/>
    <n v="0"/>
    <n v="0"/>
    <n v="-95.713803999999996"/>
    <n v="-95.713803999999996"/>
    <s v="NA"/>
    <s v="NA"/>
    <m/>
    <x v="2"/>
    <s v="Nord de la Fennoscandinavie et Russie"/>
    <n v="10"/>
    <s v="ANARGI-4"/>
    <s v="Abschuss"/>
  </r>
  <r>
    <x v="374"/>
    <s v="ScoRus"/>
    <n v="0"/>
    <x v="1"/>
    <x v="1"/>
    <x v="0"/>
    <x v="0"/>
    <x v="369"/>
    <n v="-24.841799999999999"/>
    <x v="371"/>
    <x v="6"/>
    <s v="Sud de la Fennoscandinavie, Pays baltes et ouest de la Russie"/>
    <x v="1"/>
    <x v="1"/>
    <s v="Gamborogno"/>
    <s v="Alpe Heggia"/>
    <n v="46.113915650000003"/>
    <n v="8.8382293759999992"/>
    <n v="4"/>
    <n v="14"/>
    <x v="1"/>
    <n v="2015"/>
    <x v="174"/>
    <x v="18"/>
    <n v="59"/>
    <x v="6"/>
    <x v="2"/>
    <x v="2"/>
    <n v="708200"/>
    <n v="107900"/>
    <n v="70821079"/>
    <n v="708107"/>
    <n v="705105"/>
    <n v="707500"/>
    <n v="107500"/>
    <n v="314"/>
    <x v="0"/>
    <n v="0"/>
    <n v="0"/>
    <n v="0"/>
    <n v="-95.61"/>
    <n v="-95.61"/>
    <n v="-118.8"/>
    <s v="NA"/>
    <m/>
    <x v="2"/>
    <s v="Nord de la Fennoscandinavie et Russie"/>
    <n v="10"/>
    <s v="GNOSDA-10"/>
    <s v="Abschuss"/>
  </r>
  <r>
    <x v="375"/>
    <s v="ScoRus"/>
    <n v="0"/>
    <x v="1"/>
    <x v="1"/>
    <x v="0"/>
    <x v="0"/>
    <x v="370"/>
    <n v="-24.35125"/>
    <x v="372"/>
    <x v="6"/>
    <s v="Sud de la Fennoscandinavie, Pays baltes et ouest de la Russie"/>
    <x v="1"/>
    <x v="1"/>
    <s v="NA"/>
    <s v="NA"/>
    <n v="46.177372349999999"/>
    <n v="8.6429597149999999"/>
    <n v="3"/>
    <s v="NA"/>
    <x v="2"/>
    <n v="2015"/>
    <x v="69"/>
    <x v="40"/>
    <s v=""/>
    <x v="11"/>
    <x v="7"/>
    <x v="5"/>
    <n v="692997"/>
    <n v="114703"/>
    <n v="69291147"/>
    <n v="692114"/>
    <n v="690110"/>
    <n v="692500"/>
    <n v="112500"/>
    <n v="298"/>
    <x v="0"/>
    <n v="0"/>
    <n v="0"/>
    <n v="0"/>
    <n v="-95.49"/>
    <n v="-95.49"/>
    <n v="-118.7"/>
    <s v="NA"/>
    <m/>
    <x v="2"/>
    <s v="Nord de la Fennoscandinavie et Russie"/>
    <n v="10"/>
    <s v="FISCIV13"/>
    <s v="Abschuss"/>
  </r>
  <r>
    <x v="376"/>
    <s v="ScoRus"/>
    <n v="0"/>
    <x v="1"/>
    <x v="1"/>
    <x v="0"/>
    <x v="0"/>
    <x v="371"/>
    <n v="-24.9102134"/>
    <x v="373"/>
    <x v="6"/>
    <s v="Sud de la Fennoscandinavie, Pays baltes et ouest de la Russie"/>
    <x v="1"/>
    <x v="1"/>
    <s v="Cadenazzo"/>
    <s v="Prato Grasso"/>
    <n v="46.22802394"/>
    <n v="8.9345011900000006"/>
    <n v="5"/>
    <n v="29"/>
    <x v="0"/>
    <n v="2015"/>
    <x v="182"/>
    <x v="1"/>
    <n v="44"/>
    <x v="1"/>
    <x v="1"/>
    <x v="1"/>
    <n v="715400"/>
    <n v="120720"/>
    <n v="71541207"/>
    <n v="715120"/>
    <n v="715120"/>
    <n v="717500"/>
    <n v="122500"/>
    <n v="290"/>
    <x v="0"/>
    <n v="0"/>
    <n v="0"/>
    <n v="0"/>
    <n v="-95.44"/>
    <n v="-95.44"/>
    <n v="-118.6"/>
    <s v="NA"/>
    <m/>
    <x v="2"/>
    <s v="Nord de la Fennoscandinavie et Russie"/>
    <n v="10"/>
    <s v="PURASA-13"/>
    <s v="Abschuss"/>
  </r>
  <r>
    <x v="377"/>
    <s v="ScoRus"/>
    <n v="0"/>
    <x v="1"/>
    <x v="1"/>
    <x v="0"/>
    <x v="0"/>
    <x v="372"/>
    <n v="-24.747"/>
    <x v="374"/>
    <x v="6"/>
    <s v="Sud de la Fennoscandinavie, Pays baltes et ouest de la Russie"/>
    <x v="2"/>
    <x v="3"/>
    <s v="Pampigny"/>
    <s v="Fermens"/>
    <n v="46.561424000000002"/>
    <n v="6.4096334370000001"/>
    <n v="4"/>
    <n v="7"/>
    <x v="9"/>
    <n v="2015"/>
    <x v="183"/>
    <x v="93"/>
    <n v="82"/>
    <x v="35"/>
    <x v="20"/>
    <x v="3"/>
    <n v="521100"/>
    <n v="157200"/>
    <n v="52111572"/>
    <n v="521157"/>
    <n v="520155"/>
    <n v="522500"/>
    <n v="157500"/>
    <n v="320"/>
    <x v="0"/>
    <n v="0"/>
    <n v="0"/>
    <n v="0"/>
    <n v="-95.41"/>
    <n v="-95.41"/>
    <n v="-118.6"/>
    <s v="NA"/>
    <m/>
    <x v="2"/>
    <s v="Nord de la Fennoscandinavie et Russie"/>
    <n v="10"/>
    <s v="Rothmi-5"/>
    <s v="Abschuss"/>
  </r>
  <r>
    <x v="378"/>
    <s v="ScoRus"/>
    <n v="0"/>
    <x v="1"/>
    <x v="1"/>
    <x v="0"/>
    <x v="0"/>
    <x v="373"/>
    <n v="-23.885000000000002"/>
    <x v="375"/>
    <x v="6"/>
    <s v="Sud de la Fennoscandinavie, Pays baltes et ouest de la Russie"/>
    <x v="0"/>
    <x v="3"/>
    <s v="Premier"/>
    <s v="Buclards"/>
    <n v="46.707117680000003"/>
    <n v="6.4245109109999996"/>
    <n v="6"/>
    <n v="17"/>
    <x v="1"/>
    <n v="2015"/>
    <x v="184"/>
    <x v="10"/>
    <n v="62"/>
    <x v="5"/>
    <x v="3"/>
    <x v="2"/>
    <n v="522450"/>
    <n v="173380"/>
    <n v="52241733"/>
    <n v="522173"/>
    <n v="520170"/>
    <n v="522500"/>
    <n v="172500"/>
    <n v="315"/>
    <x v="0"/>
    <n v="0"/>
    <n v="0"/>
    <n v="0"/>
    <n v="-95.19"/>
    <n v="-95.19"/>
    <n v="-118.4"/>
    <s v="NA"/>
    <m/>
    <x v="2"/>
    <s v="Nord de la Fennoscandinavie et Russie"/>
    <n v="10"/>
    <s v="UELTYV-2"/>
    <s v="Abschuss"/>
  </r>
  <r>
    <x v="379"/>
    <s v="ScoRus"/>
    <n v="0"/>
    <x v="1"/>
    <x v="1"/>
    <x v="0"/>
    <x v="0"/>
    <x v="374"/>
    <n v="-23.62"/>
    <x v="376"/>
    <x v="6"/>
    <s v="Sud de la Fennoscandinavie, Pays baltes et ouest de la Russie"/>
    <x v="1"/>
    <x v="1"/>
    <s v="Lugano"/>
    <s v="Val di Cozzo"/>
    <n v="46.091197870000002"/>
    <n v="9.0568349030000004"/>
    <n v="5"/>
    <n v="9"/>
    <x v="1"/>
    <n v="2016"/>
    <x v="185"/>
    <x v="5"/>
    <n v="54"/>
    <x v="2"/>
    <x v="2"/>
    <x v="1"/>
    <n v="725150"/>
    <n v="105700"/>
    <n v="72511057"/>
    <n v="725105"/>
    <n v="725105"/>
    <n v="727500"/>
    <n v="107500"/>
    <n v="317"/>
    <x v="0"/>
    <n v="0"/>
    <n v="0"/>
    <n v="0"/>
    <n v="-95.170454399999997"/>
    <n v="-95.170454399999997"/>
    <s v="NA"/>
    <s v="NA"/>
    <m/>
    <x v="2"/>
    <s v="Nord de la Fennoscandinavie et Russie"/>
    <n v="10"/>
    <s v="ROSAOR-2"/>
    <s v="Abschuss"/>
  </r>
  <r>
    <x v="380"/>
    <s v="ScoRus"/>
    <n v="0"/>
    <x v="1"/>
    <x v="1"/>
    <x v="0"/>
    <x v="0"/>
    <x v="375"/>
    <s v="NA"/>
    <x v="377"/>
    <x v="6"/>
    <s v="Sud de la Fennoscandinavie, Pays baltes et ouest de la Russie"/>
    <x v="0"/>
    <x v="0"/>
    <s v="Val de Travers"/>
    <s v="La Baume"/>
    <n v="46.936981369999998"/>
    <n v="6.5565004030000003"/>
    <n v="6"/>
    <n v="2"/>
    <x v="1"/>
    <n v="2017"/>
    <x v="26"/>
    <x v="4"/>
    <n v="47"/>
    <x v="3"/>
    <x v="1"/>
    <x v="1"/>
    <n v="532830"/>
    <n v="198810"/>
    <n v="53281988"/>
    <n v="532198"/>
    <n v="530195"/>
    <n v="532500"/>
    <n v="197500"/>
    <n v="347"/>
    <x v="0"/>
    <n v="0"/>
    <n v="0"/>
    <n v="0"/>
    <n v="-95.158173300000001"/>
    <n v="-95.158173300000001"/>
    <s v="NA"/>
    <s v="NA"/>
    <m/>
    <x v="2"/>
    <s v="Nord de la Fennoscandinavie et Russie"/>
    <n v="10"/>
    <s v="MEISHE-9"/>
    <s v="Abschuss"/>
  </r>
  <r>
    <x v="381"/>
    <s v="ScoRus"/>
    <n v="0"/>
    <x v="1"/>
    <x v="1"/>
    <x v="0"/>
    <x v="0"/>
    <x v="376"/>
    <n v="-24.76"/>
    <x v="378"/>
    <x v="6"/>
    <s v="Sud de la Fennoscandinavie, Pays baltes et ouest de la Russie"/>
    <x v="1"/>
    <x v="1"/>
    <s v="Medeglia"/>
    <s v="NA"/>
    <n v="46.108455079999999"/>
    <n v="8.9810257189999998"/>
    <n v="5"/>
    <n v="22"/>
    <x v="0"/>
    <n v="2016"/>
    <x v="25"/>
    <x v="21"/>
    <n v="37"/>
    <x v="4"/>
    <x v="0"/>
    <x v="0"/>
    <n v="719250"/>
    <n v="107500"/>
    <n v="71921075"/>
    <n v="719107"/>
    <n v="715105"/>
    <n v="717500"/>
    <n v="107500"/>
    <n v="344"/>
    <x v="0"/>
    <n v="0"/>
    <n v="0"/>
    <n v="0"/>
    <n v="-94.976457100000005"/>
    <n v="-94.976457100000005"/>
    <s v="NA"/>
    <s v="NA"/>
    <m/>
    <x v="3"/>
    <s v="Sud de la Fennoscandinavie, Pays baltes et ouest de la Russie"/>
    <n v="9"/>
    <s v="GRUBLO-3"/>
    <s v="Abschuss"/>
  </r>
  <r>
    <x v="382"/>
    <s v="ScoRus"/>
    <n v="0"/>
    <x v="1"/>
    <x v="1"/>
    <x v="0"/>
    <x v="0"/>
    <x v="377"/>
    <n v="-24.51"/>
    <x v="296"/>
    <x v="6"/>
    <s v="Sud de la Fennoscandinavie, Pays baltes et ouest de la Russie"/>
    <x v="1"/>
    <x v="1"/>
    <s v="Monteceneri"/>
    <s v="Robasano"/>
    <n v="46.133033599999997"/>
    <n v="8.9262021520000001"/>
    <n v="5"/>
    <n v="16"/>
    <x v="1"/>
    <n v="2016"/>
    <x v="171"/>
    <x v="28"/>
    <n v="61"/>
    <x v="6"/>
    <x v="2"/>
    <x v="2"/>
    <n v="714960"/>
    <n v="110150"/>
    <n v="71491101"/>
    <n v="714110"/>
    <n v="710110"/>
    <n v="712500"/>
    <n v="112500"/>
    <n v="325"/>
    <x v="0"/>
    <n v="0"/>
    <n v="0"/>
    <n v="0"/>
    <n v="-94.831884799999997"/>
    <n v="-94.831884799999997"/>
    <s v="NA"/>
    <s v="NA"/>
    <m/>
    <x v="3"/>
    <s v="Sud de la Fennoscandinavie, Pays baltes et ouest de la Russie"/>
    <n v="9"/>
    <s v="PURASA-17"/>
    <s v="Abschuss"/>
  </r>
  <r>
    <x v="383"/>
    <s v="ScoRus"/>
    <n v="0"/>
    <x v="1"/>
    <x v="1"/>
    <x v="0"/>
    <x v="0"/>
    <x v="378"/>
    <n v="-23.64"/>
    <x v="379"/>
    <x v="6"/>
    <s v="Sud de la Fennoscandinavie, Pays baltes et ouest de la Russie"/>
    <x v="1"/>
    <x v="1"/>
    <s v="Centovalli"/>
    <s v="NA"/>
    <n v="46.152682519999999"/>
    <n v="8.6773537580000006"/>
    <n v="5"/>
    <n v="8"/>
    <x v="1"/>
    <n v="2016"/>
    <x v="186"/>
    <x v="2"/>
    <n v="53"/>
    <x v="2"/>
    <x v="2"/>
    <x v="1"/>
    <n v="695696"/>
    <n v="112000"/>
    <n v="69561120"/>
    <n v="695112"/>
    <n v="695110"/>
    <n v="697500"/>
    <n v="112500"/>
    <n v="307"/>
    <x v="0"/>
    <n v="0"/>
    <n v="0"/>
    <n v="0"/>
    <n v="-94.595437799999999"/>
    <n v="-94.595437799999999"/>
    <s v="NA"/>
    <s v="NA"/>
    <m/>
    <x v="3"/>
    <s v="Sud de la Fennoscandinavie, Pays baltes et ouest de la Russie"/>
    <n v="9"/>
    <s v="FiSCIV-18"/>
    <s v="Abschuss"/>
  </r>
  <r>
    <x v="384"/>
    <s v="ScoRus"/>
    <n v="0"/>
    <x v="1"/>
    <x v="1"/>
    <x v="0"/>
    <x v="0"/>
    <x v="379"/>
    <n v="-23.14"/>
    <x v="380"/>
    <x v="6"/>
    <s v="Sud de la Fennoscandinavie, Pays baltes et ouest de la Russie"/>
    <x v="1"/>
    <x v="1"/>
    <s v="Gambarogno"/>
    <s v="Neggia"/>
    <n v="46.108535259999996"/>
    <n v="8.8367978849999993"/>
    <n v="4"/>
    <n v="17"/>
    <x v="0"/>
    <n v="2016"/>
    <x v="187"/>
    <x v="34"/>
    <n v="32"/>
    <x v="8"/>
    <x v="4"/>
    <x v="0"/>
    <n v="708100"/>
    <n v="107300"/>
    <n v="70811073"/>
    <n v="708107"/>
    <n v="705105"/>
    <n v="707500"/>
    <n v="107500"/>
    <n v="325"/>
    <x v="0"/>
    <n v="0"/>
    <n v="0"/>
    <n v="0"/>
    <n v="-94.473460799999998"/>
    <n v="-94.473460799999998"/>
    <s v="NA"/>
    <s v="NA"/>
    <m/>
    <x v="3"/>
    <s v="Sud de la Fennoscandinavie, Pays baltes et ouest de la Russie"/>
    <n v="9"/>
    <s v="GNOSDA-1"/>
    <s v="Abschuss"/>
  </r>
  <r>
    <x v="385"/>
    <s v="ScoRus"/>
    <n v="0"/>
    <x v="1"/>
    <x v="1"/>
    <x v="0"/>
    <x v="0"/>
    <x v="380"/>
    <n v="-24.39425"/>
    <x v="381"/>
    <x v="6"/>
    <s v="Sud de la Fennoscandinavie, Pays baltes et ouest de la Russie"/>
    <x v="1"/>
    <x v="1"/>
    <s v="Centovalli"/>
    <s v="Romo"/>
    <n v="46.155125929999997"/>
    <n v="8.6899279309999997"/>
    <n v="6"/>
    <n v="21"/>
    <x v="0"/>
    <n v="2015"/>
    <x v="166"/>
    <x v="11"/>
    <n v="36"/>
    <x v="4"/>
    <x v="0"/>
    <x v="0"/>
    <n v="696663"/>
    <n v="112287"/>
    <n v="69661122"/>
    <n v="696112"/>
    <n v="695110"/>
    <n v="697500"/>
    <n v="112500"/>
    <n v="360"/>
    <x v="0"/>
    <n v="0"/>
    <n v="0"/>
    <n v="0"/>
    <n v="-94.11"/>
    <n v="-94.11"/>
    <n v="-117.3"/>
    <s v="NA"/>
    <m/>
    <x v="3"/>
    <s v="Sud de la Fennoscandinavie, Pays baltes et ouest de la Russie"/>
    <n v="9"/>
    <s v="FISCIV-6"/>
    <s v="Abschuss"/>
  </r>
  <r>
    <x v="386"/>
    <s v="ScoRus"/>
    <n v="0"/>
    <x v="1"/>
    <x v="1"/>
    <x v="0"/>
    <x v="0"/>
    <x v="381"/>
    <n v="-24.673249999999999"/>
    <x v="382"/>
    <x v="6"/>
    <s v="Sud de la Fennoscandinavie, Pays baltes et ouest de la Russie"/>
    <x v="0"/>
    <x v="0"/>
    <s v="Val-de-Travers"/>
    <s v="Grande Charbonnière"/>
    <n v="46.937004999999999"/>
    <n v="6.5713802220000002"/>
    <n v="6"/>
    <n v="14"/>
    <x v="1"/>
    <n v="2015"/>
    <x v="174"/>
    <x v="18"/>
    <n v="59"/>
    <x v="6"/>
    <x v="2"/>
    <x v="2"/>
    <n v="533963"/>
    <n v="198800"/>
    <n v="53391988"/>
    <n v="533198"/>
    <n v="530195"/>
    <n v="532500"/>
    <n v="197500"/>
    <n v="310"/>
    <x v="0"/>
    <n v="0"/>
    <n v="0"/>
    <n v="0"/>
    <n v="-94.1"/>
    <n v="-94.1"/>
    <n v="-117.3"/>
    <s v="NA"/>
    <m/>
    <x v="3"/>
    <s v="Sud de la Fennoscandinavie, Pays baltes et ouest de la Russie"/>
    <n v="9"/>
    <s v="MEISHE-9"/>
    <s v="Abschuss"/>
  </r>
  <r>
    <x v="387"/>
    <s v="ScoRus"/>
    <n v="0"/>
    <x v="1"/>
    <x v="1"/>
    <x v="0"/>
    <x v="0"/>
    <x v="382"/>
    <n v="-24.21"/>
    <x v="383"/>
    <x v="6"/>
    <s v="Sud de la Fennoscandinavie, Pays baltes et ouest de la Russie"/>
    <x v="1"/>
    <x v="1"/>
    <s v="Monteceneri"/>
    <s v="Robasano"/>
    <n v="46.132345479999998"/>
    <n v="8.9441715990000006"/>
    <n v="5"/>
    <n v="15"/>
    <x v="1"/>
    <n v="2016"/>
    <x v="188"/>
    <x v="29"/>
    <n v="60"/>
    <x v="6"/>
    <x v="2"/>
    <x v="2"/>
    <n v="716350"/>
    <n v="110100"/>
    <n v="71631101"/>
    <n v="716110"/>
    <n v="715110"/>
    <n v="717500"/>
    <n v="112500"/>
    <n v="330"/>
    <x v="0"/>
    <n v="0"/>
    <n v="0"/>
    <n v="0"/>
    <n v="-93.98"/>
    <n v="-93.98"/>
    <s v="NA"/>
    <s v="NA"/>
    <m/>
    <x v="3"/>
    <s v="Sud de la Fennoscandinavie, Pays baltes et ouest de la Russie"/>
    <n v="9"/>
    <s v="PURASA-16"/>
    <s v="Abschuss"/>
  </r>
  <r>
    <x v="388"/>
    <s v="ScoRus"/>
    <n v="0"/>
    <x v="1"/>
    <x v="1"/>
    <x v="0"/>
    <x v="0"/>
    <x v="383"/>
    <s v="NA"/>
    <x v="384"/>
    <x v="6"/>
    <s v="Sud de la Fennoscandinavie, Pays baltes et ouest de la Russie"/>
    <x v="2"/>
    <x v="2"/>
    <s v="Giffers"/>
    <s v="Guglera"/>
    <n v="46.752138029999998"/>
    <n v="7.255933958"/>
    <n v="5"/>
    <n v="2"/>
    <x v="1"/>
    <n v="2017"/>
    <x v="26"/>
    <x v="4"/>
    <n v="47"/>
    <x v="3"/>
    <x v="1"/>
    <x v="1"/>
    <n v="586040"/>
    <n v="177900"/>
    <n v="58601779"/>
    <n v="586177"/>
    <n v="585175"/>
    <n v="587500"/>
    <n v="177500"/>
    <n v="300"/>
    <x v="0"/>
    <n v="0"/>
    <n v="0"/>
    <n v="0"/>
    <n v="-93.909437600000004"/>
    <n v="-93.909437600000004"/>
    <s v="NA"/>
    <s v="NA"/>
    <m/>
    <x v="3"/>
    <s v="Sud de la Fennoscandinavie, Pays baltes et ouest de la Russie"/>
    <n v="9"/>
    <s v="DUCHPA-1"/>
    <s v="Abschuss"/>
  </r>
  <r>
    <x v="389"/>
    <s v="ScoRus"/>
    <n v="0"/>
    <x v="1"/>
    <x v="1"/>
    <x v="0"/>
    <x v="0"/>
    <x v="384"/>
    <n v="-24.001999999999999"/>
    <x v="385"/>
    <x v="6"/>
    <s v="Sud de la Fennoscandinavie, Pays baltes et ouest de la Russie"/>
    <x v="2"/>
    <x v="3"/>
    <s v="Mauraz"/>
    <s v="Taillis"/>
    <n v="46.597520490000001"/>
    <n v="6.4219979819999997"/>
    <n v="4"/>
    <n v="14"/>
    <x v="9"/>
    <n v="2015"/>
    <x v="189"/>
    <x v="94"/>
    <n v="89"/>
    <x v="36"/>
    <x v="20"/>
    <x v="15"/>
    <n v="522100"/>
    <n v="161200"/>
    <n v="52211612"/>
    <n v="522161"/>
    <n v="520160"/>
    <n v="522500"/>
    <n v="162500"/>
    <n v="340"/>
    <x v="0"/>
    <n v="0"/>
    <n v="0"/>
    <n v="0"/>
    <n v="-93.88"/>
    <n v="-93.88"/>
    <n v="-117"/>
    <s v="NA"/>
    <m/>
    <x v="3"/>
    <s v="Sud de la Fennoscandinavie, Pays baltes et ouest de la Russie"/>
    <n v="9"/>
    <s v="Fvui-2"/>
    <s v="Abschuss"/>
  </r>
  <r>
    <x v="390"/>
    <s v="ScoRus"/>
    <n v="0"/>
    <x v="1"/>
    <x v="1"/>
    <x v="0"/>
    <x v="0"/>
    <x v="385"/>
    <n v="-23.17"/>
    <x v="386"/>
    <x v="6"/>
    <s v="Sud de la Fennoscandinavie, Pays baltes et ouest de la Russie"/>
    <x v="1"/>
    <x v="1"/>
    <s v="Cadenazzo"/>
    <s v="Pianturin"/>
    <n v="46.141908100000002"/>
    <n v="8.969028196"/>
    <n v="5"/>
    <n v="29"/>
    <x v="0"/>
    <n v="2016"/>
    <x v="180"/>
    <x v="1"/>
    <n v="44"/>
    <x v="1"/>
    <x v="1"/>
    <x v="1"/>
    <n v="718250"/>
    <n v="111200"/>
    <n v="71821112"/>
    <n v="718111"/>
    <n v="715110"/>
    <n v="717500"/>
    <n v="112500"/>
    <n v="275"/>
    <x v="0"/>
    <n v="0"/>
    <n v="0"/>
    <n v="0"/>
    <n v="-93.746550799999994"/>
    <n v="-93.746550799999994"/>
    <s v="NA"/>
    <s v="NA"/>
    <m/>
    <x v="3"/>
    <s v="Sud de la Fennoscandinavie, Pays baltes et ouest de la Russie"/>
    <n v="9"/>
    <s v="BOIAOR-1"/>
    <s v="Abschuss"/>
  </r>
  <r>
    <x v="391"/>
    <s v="ScoRus"/>
    <n v="0"/>
    <x v="1"/>
    <x v="1"/>
    <x v="0"/>
    <x v="0"/>
    <x v="386"/>
    <n v="-23.48"/>
    <x v="387"/>
    <x v="6"/>
    <s v="Sud de la Fennoscandinavie, Pays baltes et ouest de la Russie"/>
    <x v="0"/>
    <x v="4"/>
    <s v="Rebeuvelier"/>
    <s v="Prés des Auges"/>
    <n v="47.310245770000002"/>
    <n v="7.437394126"/>
    <s v="NA"/>
    <n v="17"/>
    <x v="0"/>
    <n v="2016"/>
    <x v="187"/>
    <x v="34"/>
    <n v="32"/>
    <x v="8"/>
    <x v="4"/>
    <x v="0"/>
    <n v="599906"/>
    <n v="239930"/>
    <n v="59992399"/>
    <n v="599239"/>
    <n v="595235"/>
    <n v="597500"/>
    <n v="237500"/>
    <n v="275"/>
    <x v="0"/>
    <n v="0"/>
    <n v="0"/>
    <n v="0"/>
    <n v="-93.714856400000002"/>
    <n v="-93.714856400000002"/>
    <s v="NA"/>
    <s v="NA"/>
    <m/>
    <x v="3"/>
    <s v="Sud de la Fennoscandinavie, Pays baltes et ouest de la Russie"/>
    <n v="9"/>
    <s v="Buchmi1"/>
    <s v="Abschuss"/>
  </r>
  <r>
    <x v="392"/>
    <s v="ScoRus"/>
    <n v="0"/>
    <x v="1"/>
    <x v="1"/>
    <x v="0"/>
    <x v="0"/>
    <x v="387"/>
    <n v="-23.868652610000002"/>
    <x v="388"/>
    <x v="6"/>
    <s v="Sud de la Fennoscandinavie, Pays baltes et ouest de la Russie"/>
    <x v="0"/>
    <x v="3"/>
    <s v="Le Lieu"/>
    <s v="Petit Risoud"/>
    <n v="46.663831680000001"/>
    <n v="6.2992226850000002"/>
    <n v="4"/>
    <n v="16"/>
    <x v="1"/>
    <n v="2015"/>
    <x v="190"/>
    <x v="28"/>
    <n v="61"/>
    <x v="6"/>
    <x v="2"/>
    <x v="2"/>
    <n v="512800"/>
    <n v="168700"/>
    <n v="51281687"/>
    <n v="512168"/>
    <n v="510165"/>
    <n v="512500"/>
    <n v="167500"/>
    <n v="348"/>
    <x v="0"/>
    <n v="0"/>
    <n v="0"/>
    <n v="0"/>
    <n v="-93.65"/>
    <n v="-93.65"/>
    <n v="-116.8"/>
    <s v="NA"/>
    <m/>
    <x v="3"/>
    <s v="Sud de la Fennoscandinavie, Pays baltes et ouest de la Russie"/>
    <n v="9"/>
    <s v="Roch-2"/>
    <s v="Abschuss"/>
  </r>
  <r>
    <x v="393"/>
    <s v="ScoRus"/>
    <n v="0"/>
    <x v="1"/>
    <x v="1"/>
    <x v="0"/>
    <x v="0"/>
    <x v="388"/>
    <n v="-23.5044"/>
    <x v="389"/>
    <x v="6"/>
    <s v="Sud de la Fennoscandinavie, Pays baltes et ouest de la Russie"/>
    <x v="1"/>
    <x v="1"/>
    <s v="Lugano"/>
    <s v="Alpe Bolla"/>
    <n v="46.040218430000003"/>
    <n v="9.0124062269999996"/>
    <n v="6"/>
    <n v="29"/>
    <x v="0"/>
    <n v="2015"/>
    <x v="182"/>
    <x v="1"/>
    <n v="44"/>
    <x v="1"/>
    <x v="1"/>
    <x v="1"/>
    <n v="721828"/>
    <n v="99964"/>
    <n v="72180999"/>
    <n v="721099"/>
    <n v="720095"/>
    <n v="722500"/>
    <n v="97500"/>
    <n v="310"/>
    <x v="0"/>
    <n v="0"/>
    <n v="0"/>
    <n v="0"/>
    <n v="-93.61"/>
    <n v="-93.61"/>
    <n v="-116.8"/>
    <s v="NA"/>
    <m/>
    <x v="3"/>
    <s v="Sud de la Fennoscandinavie, Pays baltes et ouest de la Russie"/>
    <n v="9"/>
    <s v="REZZONICOMA1"/>
    <s v="Abschuss"/>
  </r>
  <r>
    <x v="394"/>
    <s v="ScoRus"/>
    <n v="0"/>
    <x v="1"/>
    <x v="1"/>
    <x v="0"/>
    <x v="0"/>
    <x v="389"/>
    <n v="-24.592285709999999"/>
    <x v="390"/>
    <x v="6"/>
    <s v="Sud de la Fennoscandinavie, Pays baltes et ouest de la Russie"/>
    <x v="0"/>
    <x v="0"/>
    <s v="Cernier"/>
    <s v="Combe d Amin"/>
    <n v="47.079706170000001"/>
    <n v="6.8808275889999999"/>
    <n v="6"/>
    <n v="11"/>
    <x v="0"/>
    <n v="2014"/>
    <x v="191"/>
    <x v="95"/>
    <n v="26"/>
    <x v="37"/>
    <x v="4"/>
    <x v="4"/>
    <n v="557638"/>
    <n v="214450"/>
    <n v="55762144"/>
    <n v="557214"/>
    <n v="555210"/>
    <n v="557500"/>
    <n v="212500"/>
    <n v="322"/>
    <x v="0"/>
    <n v="0"/>
    <n v="0"/>
    <n v="0"/>
    <n v="-93.49"/>
    <n v="-93.49"/>
    <n v="-116.6"/>
    <s v="NA"/>
    <m/>
    <x v="3"/>
    <s v="Sud de la Fennoscandinavie, Pays baltes et ouest de la Russie"/>
    <n v="9"/>
    <s v="POSIAN-1"/>
    <s v="Abschuss"/>
  </r>
  <r>
    <x v="395"/>
    <s v="ScoRus"/>
    <n v="0"/>
    <x v="1"/>
    <x v="1"/>
    <x v="0"/>
    <x v="0"/>
    <x v="390"/>
    <n v="-23.582852769999999"/>
    <x v="391"/>
    <x v="6"/>
    <s v="Sud de la Fennoscandinavie, Pays baltes et ouest de la Russie"/>
    <x v="1"/>
    <x v="1"/>
    <s v="Tesserete"/>
    <s v="Gola du Lago"/>
    <n v="46.104160520000001"/>
    <n v="8.9660295849999994"/>
    <n v="5"/>
    <n v="11"/>
    <x v="1"/>
    <n v="2015"/>
    <x v="32"/>
    <x v="7"/>
    <n v="56"/>
    <x v="2"/>
    <x v="2"/>
    <x v="1"/>
    <n v="718100"/>
    <n v="107000"/>
    <n v="71811070"/>
    <n v="718107"/>
    <n v="715105"/>
    <n v="717500"/>
    <n v="107500"/>
    <n v="291"/>
    <x v="0"/>
    <n v="0"/>
    <n v="0"/>
    <n v="0"/>
    <n v="-93.15"/>
    <n v="-93.15"/>
    <n v="-116.3"/>
    <s v="NA"/>
    <m/>
    <x v="3"/>
    <s v="Sud de la Fennoscandinavie, Pays baltes et ouest de la Russie"/>
    <n v="9"/>
    <s v="GRUBLO-7"/>
    <s v="Abschuss"/>
  </r>
  <r>
    <x v="396"/>
    <s v="ScoRus"/>
    <n v="0"/>
    <x v="1"/>
    <x v="1"/>
    <x v="0"/>
    <x v="0"/>
    <x v="391"/>
    <n v="-24.251999999999999"/>
    <x v="392"/>
    <x v="6"/>
    <s v="Sud de la Fennoscandinavie, Pays baltes et ouest de la Russie"/>
    <x v="2"/>
    <x v="2"/>
    <s v="Sâles"/>
    <s v="La Crebillette"/>
    <n v="46.657195880000003"/>
    <n v="6.9731421119999997"/>
    <n v="5"/>
    <n v="18"/>
    <x v="0"/>
    <n v="2014"/>
    <x v="173"/>
    <x v="89"/>
    <n v="33"/>
    <x v="4"/>
    <x v="0"/>
    <x v="0"/>
    <n v="564370"/>
    <n v="167435"/>
    <n v="56431674"/>
    <n v="564167"/>
    <n v="560165"/>
    <n v="562500"/>
    <n v="167500"/>
    <n v="280"/>
    <x v="0"/>
    <n v="0"/>
    <n v="0"/>
    <n v="0"/>
    <n v="-93.01"/>
    <n v="-93.01"/>
    <n v="-116.2"/>
    <s v="NA"/>
    <m/>
    <x v="3"/>
    <s v="Sud de la Fennoscandinavie, Pays baltes et ouest de la Russie"/>
    <n v="9"/>
    <s v="DUMAPI1"/>
    <s v="Abschuss"/>
  </r>
  <r>
    <x v="397"/>
    <s v="ScoRus"/>
    <n v="0"/>
    <x v="1"/>
    <x v="1"/>
    <x v="0"/>
    <x v="0"/>
    <x v="392"/>
    <n v="-22.02"/>
    <x v="393"/>
    <x v="6"/>
    <s v="Sud de la Fennoscandinavie, Pays baltes et ouest de la Russie"/>
    <x v="1"/>
    <x v="1"/>
    <s v="Lugano"/>
    <s v="Le Spine"/>
    <n v="46.069733589999998"/>
    <n v="9.0477965789999999"/>
    <n v="5"/>
    <n v="16"/>
    <x v="0"/>
    <n v="2016"/>
    <x v="160"/>
    <x v="33"/>
    <n v="31"/>
    <x v="8"/>
    <x v="4"/>
    <x v="0"/>
    <n v="724500"/>
    <n v="103300"/>
    <n v="72451033"/>
    <n v="724103"/>
    <n v="720100"/>
    <n v="722500"/>
    <n v="102500"/>
    <n v="360"/>
    <x v="0"/>
    <n v="0"/>
    <n v="0"/>
    <n v="0"/>
    <n v="-92.969752"/>
    <n v="-92.969752"/>
    <s v="NA"/>
    <s v="NA"/>
    <m/>
    <x v="3"/>
    <s v="Sud de la Fennoscandinavie, Pays baltes et ouest de la Russie"/>
    <n v="9"/>
    <s v="BIGNCA-1"/>
    <s v="Abschuss"/>
  </r>
  <r>
    <x v="398"/>
    <s v="ScoRus"/>
    <n v="0"/>
    <x v="1"/>
    <x v="1"/>
    <x v="0"/>
    <x v="0"/>
    <x v="393"/>
    <n v="-24.36"/>
    <x v="394"/>
    <x v="6"/>
    <s v="Sud de la Fennoscandinavie, Pays baltes et ouest de la Russie"/>
    <x v="1"/>
    <x v="1"/>
    <s v="Gambarogno"/>
    <s v="Lierna"/>
    <n v="46.083158679999997"/>
    <n v="8.8516632249999994"/>
    <n v="4"/>
    <n v="20"/>
    <x v="0"/>
    <n v="2016"/>
    <x v="153"/>
    <x v="30"/>
    <n v="35"/>
    <x v="4"/>
    <x v="0"/>
    <x v="0"/>
    <n v="709300"/>
    <n v="104500"/>
    <n v="70931045"/>
    <n v="709104"/>
    <n v="705100"/>
    <n v="707500"/>
    <n v="102500"/>
    <n v="332"/>
    <x v="0"/>
    <n v="0"/>
    <n v="0"/>
    <n v="0"/>
    <n v="-92.880983299999997"/>
    <n v="-92.880983299999997"/>
    <s v="NA"/>
    <s v="NA"/>
    <m/>
    <x v="3"/>
    <s v="Sud de la Fennoscandinavie, Pays baltes et ouest de la Russie"/>
    <n v="9"/>
    <s v="GNOSDA-8"/>
    <s v="Abschuss"/>
  </r>
  <r>
    <x v="399"/>
    <s v="ScoRus"/>
    <n v="0"/>
    <x v="1"/>
    <x v="1"/>
    <x v="0"/>
    <x v="0"/>
    <x v="394"/>
    <n v="-23.73"/>
    <x v="76"/>
    <x v="6"/>
    <s v="Sud de la Fennoscandinavie, Pays baltes et ouest de la Russie"/>
    <x v="1"/>
    <x v="1"/>
    <s v="Centovalli"/>
    <s v="NA"/>
    <n v="46.163580949999997"/>
    <n v="8.5903074129999997"/>
    <n v="5"/>
    <n v="5"/>
    <x v="1"/>
    <n v="2016"/>
    <x v="144"/>
    <x v="22"/>
    <n v="50"/>
    <x v="3"/>
    <x v="1"/>
    <x v="1"/>
    <n v="688954"/>
    <n v="113109"/>
    <n v="68891131"/>
    <n v="688113"/>
    <n v="685110"/>
    <n v="687500"/>
    <n v="112500"/>
    <n v="341"/>
    <x v="0"/>
    <n v="0"/>
    <n v="0"/>
    <n v="0"/>
    <n v="-92.809152400000002"/>
    <n v="-92.809152400000002"/>
    <s v="NA"/>
    <s v="NA"/>
    <m/>
    <x v="3"/>
    <s v="Sud de la Fennoscandinavie, Pays baltes et ouest de la Russie"/>
    <n v="9"/>
    <s v="FISCIV-15"/>
    <s v="Abschuss"/>
  </r>
  <r>
    <x v="400"/>
    <s v="ScoRus"/>
    <n v="0"/>
    <x v="1"/>
    <x v="1"/>
    <x v="0"/>
    <x v="0"/>
    <x v="395"/>
    <n v="-25.136285709999999"/>
    <x v="395"/>
    <x v="6"/>
    <s v="Sud de la Fennoscandinavie, Pays baltes et ouest de la Russie"/>
    <x v="0"/>
    <x v="0"/>
    <s v="Lignières"/>
    <s v="Chuffort"/>
    <n v="47.09847405"/>
    <n v="7.0095510990000003"/>
    <n v="6"/>
    <n v="17"/>
    <x v="0"/>
    <n v="2014"/>
    <x v="175"/>
    <x v="34"/>
    <n v="32"/>
    <x v="8"/>
    <x v="4"/>
    <x v="0"/>
    <n v="567425"/>
    <n v="216475"/>
    <n v="56742164"/>
    <n v="567216"/>
    <n v="565215"/>
    <n v="567500"/>
    <n v="217500"/>
    <n v="348"/>
    <x v="0"/>
    <n v="0"/>
    <n v="0"/>
    <n v="0"/>
    <n v="-92.73"/>
    <n v="-92.73"/>
    <n v="-115.9"/>
    <s v="NA"/>
    <m/>
    <x v="3"/>
    <s v="Sud de la Fennoscandinavie, Pays baltes et ouest de la Russie"/>
    <n v="9"/>
    <s v="MEISHE6"/>
    <s v="Abschuss"/>
  </r>
  <r>
    <x v="401"/>
    <s v="ScoRus"/>
    <n v="0"/>
    <x v="1"/>
    <x v="1"/>
    <x v="0"/>
    <x v="0"/>
    <x v="396"/>
    <n v="-24.0672"/>
    <x v="396"/>
    <x v="6"/>
    <s v="Sud de la Fennoscandinavie, Pays baltes et ouest de la Russie"/>
    <x v="1"/>
    <x v="1"/>
    <s v="Alto Malcantone"/>
    <s v="NA"/>
    <n v="46.049159170000003"/>
    <n v="8.8602681870000009"/>
    <n v="5"/>
    <n v="8"/>
    <x v="1"/>
    <n v="2015"/>
    <x v="192"/>
    <x v="2"/>
    <n v="53"/>
    <x v="2"/>
    <x v="2"/>
    <x v="1"/>
    <n v="710034"/>
    <n v="100733"/>
    <n v="71001007"/>
    <n v="710100"/>
    <n v="710100"/>
    <n v="712500"/>
    <n v="102500"/>
    <n v="220"/>
    <x v="0"/>
    <n v="0"/>
    <n v="0"/>
    <n v="0"/>
    <n v="-92.54"/>
    <n v="-92.54"/>
    <n v="-115.7"/>
    <s v="NA"/>
    <m/>
    <x v="3"/>
    <s v="Sud de la Fennoscandinavie, Pays baltes et ouest de la Russie"/>
    <n v="9"/>
    <s v="GIAMGI9"/>
    <s v="Abschuss"/>
  </r>
  <r>
    <x v="402"/>
    <s v="ScoRus"/>
    <n v="0"/>
    <x v="1"/>
    <x v="1"/>
    <x v="0"/>
    <x v="0"/>
    <x v="397"/>
    <n v="-22.81"/>
    <x v="336"/>
    <x v="6"/>
    <s v="Sud de la Fennoscandinavie, Pays baltes et ouest de la Russie"/>
    <x v="1"/>
    <x v="1"/>
    <s v="Centovalli"/>
    <s v="NA"/>
    <n v="46.166756929999998"/>
    <n v="8.6233412969999996"/>
    <n v="3"/>
    <n v="12"/>
    <x v="1"/>
    <n v="2016"/>
    <x v="193"/>
    <x v="26"/>
    <n v="57"/>
    <x v="6"/>
    <x v="2"/>
    <x v="2"/>
    <n v="691500"/>
    <n v="113500"/>
    <n v="69151135"/>
    <n v="691113"/>
    <n v="690110"/>
    <n v="692500"/>
    <n v="112500"/>
    <n v="338"/>
    <x v="0"/>
    <n v="0"/>
    <n v="0"/>
    <n v="0"/>
    <n v="-92.476330899999994"/>
    <n v="-92.476330899999994"/>
    <s v="NA"/>
    <s v="NA"/>
    <m/>
    <x v="3"/>
    <s v="Sud de la Fennoscandinavie, Pays baltes et ouest de la Russie"/>
    <n v="9"/>
    <s v="FISCIV-20"/>
    <s v="Abschuss"/>
  </r>
  <r>
    <x v="403"/>
    <s v="ScoRus"/>
    <n v="0"/>
    <x v="1"/>
    <x v="1"/>
    <x v="0"/>
    <x v="0"/>
    <x v="398"/>
    <n v="-23.01"/>
    <x v="397"/>
    <x v="6"/>
    <s v="Sud de la Fennoscandinavie, Pays baltes et ouest de la Russie"/>
    <x v="1"/>
    <x v="1"/>
    <s v="Di Lugaggia"/>
    <s v="Gola di Lago"/>
    <n v="46.10502485"/>
    <n v="8.9686407270000004"/>
    <n v="5"/>
    <n v="8"/>
    <x v="1"/>
    <n v="2016"/>
    <x v="186"/>
    <x v="2"/>
    <n v="53"/>
    <x v="2"/>
    <x v="2"/>
    <x v="1"/>
    <n v="718300"/>
    <n v="107100"/>
    <n v="71831071"/>
    <n v="718107"/>
    <n v="715105"/>
    <n v="717500"/>
    <n v="107500"/>
    <n v="300"/>
    <x v="0"/>
    <n v="0"/>
    <n v="0"/>
    <n v="0"/>
    <n v="-92.445185499999994"/>
    <n v="-92.445185499999994"/>
    <s v="NA"/>
    <s v="NA"/>
    <m/>
    <x v="3"/>
    <s v="Sud de la Fennoscandinavie, Pays baltes et ouest de la Russie"/>
    <n v="9"/>
    <s v="GRUBLO-6"/>
    <s v="Abschuss"/>
  </r>
  <r>
    <x v="404"/>
    <s v="ScoRus"/>
    <n v="0"/>
    <x v="1"/>
    <x v="1"/>
    <x v="0"/>
    <x v="0"/>
    <x v="399"/>
    <s v="NA"/>
    <x v="398"/>
    <x v="6"/>
    <s v="Sud de la Fennoscandinavie, Pays baltes et ouest de la Russie"/>
    <x v="2"/>
    <x v="2"/>
    <s v="Maules"/>
    <s v="Maules"/>
    <n v="46.650453290000002"/>
    <n v="6.99911759"/>
    <n v="5"/>
    <n v="11"/>
    <x v="1"/>
    <n v="2017"/>
    <x v="77"/>
    <x v="7"/>
    <n v="56"/>
    <x v="2"/>
    <x v="2"/>
    <x v="1"/>
    <n v="566354"/>
    <n v="166674"/>
    <n v="56631666"/>
    <n v="566166"/>
    <n v="565165"/>
    <n v="567500"/>
    <n v="167500"/>
    <n v="339"/>
    <x v="0"/>
    <n v="0"/>
    <n v="0"/>
    <n v="0"/>
    <n v="-92.4448474"/>
    <n v="-92.4448474"/>
    <s v="NA"/>
    <s v="NA"/>
    <m/>
    <x v="3"/>
    <s v="Sud de la Fennoscandinavie, Pays baltes et ouest de la Russie"/>
    <n v="9"/>
    <s v="SAVAJE-1"/>
    <s v="Abschuss"/>
  </r>
  <r>
    <x v="405"/>
    <s v="ScoRus"/>
    <n v="0"/>
    <x v="1"/>
    <x v="1"/>
    <x v="0"/>
    <x v="0"/>
    <x v="400"/>
    <n v="-24.1"/>
    <x v="399"/>
    <x v="6"/>
    <s v="Sud de la Fennoscandinavie, Pays baltes et ouest de la Russie"/>
    <x v="1"/>
    <x v="1"/>
    <s v="Gambarogno"/>
    <s v="Neggia"/>
    <n v="46.107587709999997"/>
    <n v="8.8406541159999996"/>
    <n v="4"/>
    <n v="6"/>
    <x v="1"/>
    <n v="2016"/>
    <x v="194"/>
    <x v="13"/>
    <n v="51"/>
    <x v="3"/>
    <x v="1"/>
    <x v="1"/>
    <n v="708400"/>
    <n v="107200"/>
    <n v="70841072"/>
    <n v="708107"/>
    <n v="705105"/>
    <n v="707500"/>
    <n v="107500"/>
    <n v="317"/>
    <x v="0"/>
    <n v="0"/>
    <n v="0"/>
    <n v="0"/>
    <n v="-92.439155499999998"/>
    <n v="-92.439155499999998"/>
    <s v="NA"/>
    <s v="NA"/>
    <m/>
    <x v="3"/>
    <s v="Sud de la Fennoscandinavie, Pays baltes et ouest de la Russie"/>
    <n v="9"/>
    <s v="GNOSDA-10"/>
    <s v="Abschuss"/>
  </r>
  <r>
    <x v="406"/>
    <s v="ScoRus"/>
    <n v="0"/>
    <x v="1"/>
    <x v="1"/>
    <x v="0"/>
    <x v="0"/>
    <x v="401"/>
    <s v="NA"/>
    <x v="400"/>
    <x v="7"/>
    <s v="Sud de la Fennoscandinavie, Pays baltes et ouest de la Russie"/>
    <x v="2"/>
    <x v="2"/>
    <s v="Farvagny"/>
    <s v="Posat"/>
    <n v="46.734281000000003"/>
    <n v="7.0497170000000002"/>
    <n v="5"/>
    <n v="28"/>
    <x v="0"/>
    <n v="2017"/>
    <x v="59"/>
    <x v="16"/>
    <n v="43"/>
    <x v="1"/>
    <x v="1"/>
    <x v="1"/>
    <n v="570273"/>
    <n v="175972"/>
    <n v="57021759"/>
    <n v="570175"/>
    <n v="570175"/>
    <n v="572500"/>
    <n v="177500"/>
    <n v="320"/>
    <x v="0"/>
    <n v="0"/>
    <n v="0"/>
    <n v="0"/>
    <n v="-92.090135200000006"/>
    <n v="-92.090135200000006"/>
    <s v="NA"/>
    <s v="NA"/>
    <m/>
    <x v="3"/>
    <s v="Sud de la Fennoscandinavie, Pays baltes et ouest de la Russie"/>
    <n v="9"/>
    <s v="YERLMI-1"/>
    <s v="Abschuss"/>
  </r>
  <r>
    <x v="407"/>
    <s v="ScoRus"/>
    <n v="0"/>
    <x v="1"/>
    <x v="1"/>
    <x v="0"/>
    <x v="0"/>
    <x v="402"/>
    <n v="-23.600999999999999"/>
    <x v="401"/>
    <x v="7"/>
    <s v="Sud de la Fennoscandinavie, Pays baltes et ouest de la Russie"/>
    <x v="0"/>
    <x v="3"/>
    <s v="St-Georges"/>
    <s v="Mont Bally"/>
    <n v="46.536055820000001"/>
    <n v="6.2966969380000002"/>
    <n v="4"/>
    <n v="12"/>
    <x v="1"/>
    <n v="2015"/>
    <x v="195"/>
    <x v="26"/>
    <n v="57"/>
    <x v="6"/>
    <x v="2"/>
    <x v="2"/>
    <n v="512400"/>
    <n v="154500"/>
    <n v="51241545"/>
    <n v="512154"/>
    <n v="510150"/>
    <n v="512500"/>
    <n v="152500"/>
    <n v="310"/>
    <x v="0"/>
    <n v="0"/>
    <n v="0"/>
    <n v="0"/>
    <n v="-92.01"/>
    <n v="-92.01"/>
    <n v="-115.1"/>
    <s v="NA"/>
    <m/>
    <x v="3"/>
    <s v="Sud de la Fennoscandinavie, Pays baltes et ouest de la Russie"/>
    <n v="9"/>
    <s v="PillJL-1"/>
    <s v="Abschuss"/>
  </r>
  <r>
    <x v="408"/>
    <s v="ScoRus"/>
    <n v="0"/>
    <x v="1"/>
    <x v="1"/>
    <x v="0"/>
    <x v="0"/>
    <x v="403"/>
    <n v="-24.495481389999998"/>
    <x v="402"/>
    <x v="7"/>
    <s v="Sud de la Fennoscandinavie, Pays baltes et ouest de la Russie"/>
    <x v="1"/>
    <x v="1"/>
    <s v="Cadenazzo"/>
    <s v="Prato Grasso"/>
    <n v="46.13281242"/>
    <n v="8.9428903559999995"/>
    <n v="5"/>
    <n v="24"/>
    <x v="0"/>
    <n v="2015"/>
    <x v="165"/>
    <x v="14"/>
    <n v="39"/>
    <x v="0"/>
    <x v="0"/>
    <x v="0"/>
    <n v="716250"/>
    <n v="110150"/>
    <n v="71621101"/>
    <n v="716110"/>
    <n v="715110"/>
    <n v="717500"/>
    <n v="112500"/>
    <n v="325"/>
    <x v="0"/>
    <n v="0"/>
    <n v="0"/>
    <n v="0"/>
    <n v="-91.99"/>
    <n v="-91.99"/>
    <n v="-115.1"/>
    <s v="NA"/>
    <m/>
    <x v="3"/>
    <s v="Sud de la Fennoscandinavie, Pays baltes et ouest de la Russie"/>
    <n v="9"/>
    <s v="PURASA-6"/>
    <s v="Abschuss"/>
  </r>
  <r>
    <x v="409"/>
    <s v="ScoRus"/>
    <n v="0"/>
    <x v="1"/>
    <x v="1"/>
    <x v="0"/>
    <x v="0"/>
    <x v="404"/>
    <n v="-24.090800000000002"/>
    <x v="403"/>
    <x v="7"/>
    <s v="Sud de la Fennoscandinavie, Pays baltes et ouest de la Russie"/>
    <x v="1"/>
    <x v="1"/>
    <s v="Cimadera"/>
    <s v="NA"/>
    <n v="46.076965280000003"/>
    <n v="9.0454240109999997"/>
    <n v="4"/>
    <n v="18"/>
    <x v="1"/>
    <n v="2015"/>
    <x v="30"/>
    <x v="24"/>
    <n v="63"/>
    <x v="5"/>
    <x v="3"/>
    <x v="2"/>
    <n v="724300"/>
    <n v="104100"/>
    <n v="72431041"/>
    <n v="724104"/>
    <n v="720100"/>
    <n v="722500"/>
    <n v="102500"/>
    <n v="270"/>
    <x v="0"/>
    <n v="0"/>
    <n v="0"/>
    <n v="0"/>
    <n v="-91.94"/>
    <n v="-91.94"/>
    <n v="-115.1"/>
    <s v="NA"/>
    <m/>
    <x v="3"/>
    <s v="Sud de la Fennoscandinavie, Pays baltes et ouest de la Russie"/>
    <n v="9"/>
    <s v="ROSAOR-8"/>
    <s v="Abschuss"/>
  </r>
  <r>
    <x v="410"/>
    <s v="ScoRus"/>
    <n v="0"/>
    <x v="1"/>
    <x v="1"/>
    <x v="0"/>
    <x v="0"/>
    <x v="405"/>
    <n v="-23.82"/>
    <x v="404"/>
    <x v="7"/>
    <s v="Sud de la Fennoscandinavie, Pays baltes et ouest de la Russie"/>
    <x v="0"/>
    <x v="0"/>
    <s v="Valangin"/>
    <s v="Forêt de Bussy"/>
    <n v="47.006569730000002"/>
    <n v="6.8798253689999997"/>
    <n v="6"/>
    <n v="14"/>
    <x v="1"/>
    <n v="2016"/>
    <x v="196"/>
    <x v="18"/>
    <n v="59"/>
    <x v="6"/>
    <x v="2"/>
    <x v="2"/>
    <n v="557504"/>
    <n v="206320"/>
    <n v="55752063"/>
    <n v="557206"/>
    <n v="555205"/>
    <n v="557500"/>
    <n v="207500"/>
    <n v="297"/>
    <x v="0"/>
    <n v="0"/>
    <n v="0"/>
    <n v="0"/>
    <n v="-91.780602999999999"/>
    <n v="-91.780602999999999"/>
    <s v="NA"/>
    <s v="NA"/>
    <m/>
    <x v="3"/>
    <s v="Sud de la Fennoscandinavie, Pays baltes et ouest de la Russie"/>
    <n v="9"/>
    <s v="MEISHE 6"/>
    <s v="Abschuss"/>
  </r>
  <r>
    <x v="411"/>
    <s v="ScoRus"/>
    <n v="0"/>
    <x v="1"/>
    <x v="1"/>
    <x v="0"/>
    <x v="0"/>
    <x v="406"/>
    <n v="-23.51"/>
    <x v="405"/>
    <x v="7"/>
    <s v="Sud de la Fennoscandinavie, Pays baltes et ouest de la Russie"/>
    <x v="1"/>
    <x v="1"/>
    <s v="Airolo"/>
    <s v="Roncaccio"/>
    <n v="46.52063046"/>
    <n v="8.5997497240000005"/>
    <n v="5"/>
    <n v="30"/>
    <x v="0"/>
    <n v="2016"/>
    <x v="197"/>
    <x v="23"/>
    <n v="45"/>
    <x v="1"/>
    <x v="1"/>
    <x v="1"/>
    <n v="689096"/>
    <n v="152807"/>
    <n v="68901528"/>
    <n v="689152"/>
    <n v="685150"/>
    <n v="687500"/>
    <n v="152500"/>
    <n v="310"/>
    <x v="0"/>
    <n v="0"/>
    <n v="0"/>
    <n v="0"/>
    <n v="-91.7373355"/>
    <n v="-91.7373355"/>
    <s v="NA"/>
    <s v="NA"/>
    <m/>
    <x v="3"/>
    <s v="Sud de la Fennoscandinavie, Pays baltes et ouest de la Russie"/>
    <n v="9"/>
    <s v="BIANRO-5"/>
    <s v="Abschuss"/>
  </r>
  <r>
    <x v="412"/>
    <s v="ScoRus"/>
    <n v="0"/>
    <x v="1"/>
    <x v="1"/>
    <x v="0"/>
    <x v="0"/>
    <x v="407"/>
    <n v="-23"/>
    <x v="406"/>
    <x v="7"/>
    <s v="Sud de la Fennoscandinavie, Pays baltes et ouest de la Russie"/>
    <x v="1"/>
    <x v="1"/>
    <s v="Onsernone"/>
    <s v="Calagno"/>
    <n v="46.213881800000003"/>
    <n v="8.6900593009999998"/>
    <n v="6"/>
    <n v="8"/>
    <x v="1"/>
    <n v="2016"/>
    <x v="186"/>
    <x v="2"/>
    <n v="53"/>
    <x v="2"/>
    <x v="2"/>
    <x v="1"/>
    <n v="696569"/>
    <n v="118818"/>
    <n v="69651188"/>
    <n v="696118"/>
    <n v="695115"/>
    <n v="697500"/>
    <n v="117500"/>
    <n v="285"/>
    <x v="0"/>
    <n v="0"/>
    <n v="0"/>
    <n v="0"/>
    <n v="-91.705938200000006"/>
    <n v="-91.705938200000006"/>
    <s v="NA"/>
    <s v="NA"/>
    <m/>
    <x v="3"/>
    <s v="Sud de la Fennoscandinavie, Pays baltes et ouest de la Russie"/>
    <n v="9"/>
    <s v="CAVACO-7"/>
    <s v="Abschuss"/>
  </r>
  <r>
    <x v="413"/>
    <s v="ScoRus"/>
    <n v="0"/>
    <x v="1"/>
    <x v="1"/>
    <x v="0"/>
    <x v="0"/>
    <x v="408"/>
    <n v="-24.06"/>
    <x v="407"/>
    <x v="7"/>
    <s v="Sud de la Fennoscandinavie, Pays baltes et ouest de la Russie"/>
    <x v="2"/>
    <x v="2"/>
    <s v="La Brillaz"/>
    <s v="Les possessions "/>
    <n v="46.766774400000003"/>
    <n v="7.0430204830000003"/>
    <n v="5"/>
    <n v="7"/>
    <x v="1"/>
    <n v="2016"/>
    <x v="65"/>
    <x v="12"/>
    <n v="52"/>
    <x v="2"/>
    <x v="2"/>
    <x v="1"/>
    <n v="569780"/>
    <n v="179587"/>
    <n v="56971795"/>
    <n v="569179"/>
    <n v="565175"/>
    <n v="567500"/>
    <n v="177500"/>
    <n v="330"/>
    <x v="0"/>
    <n v="0"/>
    <n v="0"/>
    <n v="0"/>
    <n v="-91.686464000000001"/>
    <n v="-91.686464000000001"/>
    <s v="NA"/>
    <s v="NA"/>
    <m/>
    <x v="3"/>
    <s v="Sud de la Fennoscandinavie, Pays baltes et ouest de la Russie"/>
    <n v="9"/>
    <s v="SAVALU-1"/>
    <s v="Abschuss"/>
  </r>
  <r>
    <x v="414"/>
    <s v="ScoRus"/>
    <n v="0"/>
    <x v="1"/>
    <x v="1"/>
    <x v="0"/>
    <x v="0"/>
    <x v="409"/>
    <n v="-48.11537191"/>
    <x v="408"/>
    <x v="7"/>
    <s v="Sud de la Fennoscandinavie, Pays baltes et ouest de la Russie"/>
    <x v="2"/>
    <x v="2"/>
    <s v="Riaz"/>
    <s v="Le Réservoir"/>
    <n v="46.644415889999998"/>
    <n v="7.0227430970000002"/>
    <n v="6"/>
    <n v="5"/>
    <x v="1"/>
    <n v="2013"/>
    <x v="28"/>
    <x v="22"/>
    <n v="50"/>
    <x v="3"/>
    <x v="1"/>
    <x v="1"/>
    <n v="568159"/>
    <n v="165993"/>
    <n v="56811659"/>
    <n v="568165"/>
    <n v="565165"/>
    <n v="567500"/>
    <n v="167500"/>
    <n v="330"/>
    <x v="0"/>
    <n v="0"/>
    <n v="0"/>
    <n v="0"/>
    <n v="-91.48"/>
    <n v="-91.48"/>
    <n v="-114.6"/>
    <s v="NA"/>
    <m/>
    <x v="3"/>
    <s v="Sud de la Fennoscandinavie, Pays baltes et ouest de la Russie"/>
    <n v="9"/>
    <s v="ZUEBAR-4"/>
    <s v="Abschuss"/>
  </r>
  <r>
    <x v="415"/>
    <s v="ScoRus"/>
    <n v="0"/>
    <x v="1"/>
    <x v="1"/>
    <x v="0"/>
    <x v="0"/>
    <x v="410"/>
    <n v="-24.751999999999999"/>
    <x v="409"/>
    <x v="7"/>
    <s v="Sud de la Fennoscandinavie, Pays baltes et ouest de la Russie"/>
    <x v="0"/>
    <x v="3"/>
    <s v="Les Bayards"/>
    <s v="Bois des Envers"/>
    <n v="46.933621930000001"/>
    <n v="6.4983120029999997"/>
    <n v="5"/>
    <n v="10"/>
    <x v="0"/>
    <n v="2015"/>
    <x v="198"/>
    <x v="96"/>
    <n v="25"/>
    <x v="37"/>
    <x v="4"/>
    <x v="4"/>
    <n v="528395"/>
    <n v="198488"/>
    <n v="52831984"/>
    <n v="528198"/>
    <n v="525195"/>
    <n v="527500"/>
    <n v="197500"/>
    <n v="347"/>
    <x v="0"/>
    <n v="0"/>
    <n v="0"/>
    <n v="0"/>
    <n v="-91.41"/>
    <n v="-91.41"/>
    <n v="-114.5"/>
    <s v="NA"/>
    <m/>
    <x v="3"/>
    <s v="Sud de la Fennoscandinavie, Pays baltes et ouest de la Russie"/>
    <n v="9"/>
    <s v="GARIJE-2"/>
    <s v="Abschuss"/>
  </r>
  <r>
    <x v="416"/>
    <s v="ScoRus"/>
    <n v="0"/>
    <x v="1"/>
    <x v="1"/>
    <x v="0"/>
    <x v="0"/>
    <x v="411"/>
    <n v="-24.719285710000001"/>
    <x v="410"/>
    <x v="7"/>
    <s v="Sud de la Fennoscandinavie, Pays baltes et ouest de la Russie"/>
    <x v="0"/>
    <x v="0"/>
    <s v="Buttes"/>
    <s v="Montagne de Buttes, Mont Barré"/>
    <n v="46.894147359999998"/>
    <n v="6.5114821359999997"/>
    <n v="6"/>
    <n v="29"/>
    <x v="0"/>
    <n v="2014"/>
    <x v="1"/>
    <x v="1"/>
    <n v="44"/>
    <x v="1"/>
    <x v="1"/>
    <x v="1"/>
    <n v="529346"/>
    <n v="194088"/>
    <n v="52931940"/>
    <n v="529194"/>
    <n v="525190"/>
    <n v="527500"/>
    <n v="192500"/>
    <n v="340"/>
    <x v="0"/>
    <n v="0"/>
    <n v="0"/>
    <n v="0"/>
    <n v="-91.37"/>
    <n v="-91.37"/>
    <n v="-114.5"/>
    <s v="NA"/>
    <m/>
    <x v="3"/>
    <s v="Sud de la Fennoscandinavie, Pays baltes et ouest de la Russie"/>
    <n v="9"/>
    <s v="ANKEFR-5"/>
    <s v="Abschuss"/>
  </r>
  <r>
    <x v="417"/>
    <s v="ScoRus"/>
    <n v="0"/>
    <x v="1"/>
    <x v="1"/>
    <x v="0"/>
    <x v="0"/>
    <x v="412"/>
    <s v="NA"/>
    <x v="112"/>
    <x v="7"/>
    <s v="Sud de la Fennoscandinavie, Pays baltes et ouest de la Russie"/>
    <x v="2"/>
    <x v="2"/>
    <s v="Sorens"/>
    <s v="Prary"/>
    <n v="46.662220730000001"/>
    <n v="7.0136427540000001"/>
    <n v="4"/>
    <n v="25"/>
    <x v="0"/>
    <n v="2014"/>
    <x v="8"/>
    <x v="8"/>
    <n v="40"/>
    <x v="0"/>
    <x v="0"/>
    <x v="0"/>
    <n v="567473"/>
    <n v="167976"/>
    <n v="56741679"/>
    <n v="567167"/>
    <n v="565165"/>
    <n v="567500"/>
    <n v="167500"/>
    <n v="303"/>
    <x v="0"/>
    <n v="0"/>
    <n v="0"/>
    <n v="0"/>
    <n v="-91.29"/>
    <n v="-91.29"/>
    <n v="-114.4"/>
    <s v="NA"/>
    <m/>
    <x v="3"/>
    <s v="Sud de la Fennoscandinavie, Pays baltes et ouest de la Russie"/>
    <n v="9"/>
    <s v="SAVAJE-1"/>
    <s v="Abschuss"/>
  </r>
  <r>
    <x v="418"/>
    <s v="ScoRus"/>
    <n v="0"/>
    <x v="1"/>
    <x v="1"/>
    <x v="0"/>
    <x v="0"/>
    <x v="413"/>
    <n v="-24.68"/>
    <x v="411"/>
    <x v="7"/>
    <s v="Sud de la Fennoscandinavie, Pays baltes et ouest de la Russie"/>
    <x v="1"/>
    <x v="1"/>
    <s v="Lodano"/>
    <s v="Mugnèedi sotto"/>
    <n v="46.256461909999999"/>
    <n v="8.6746312119999995"/>
    <n v="6"/>
    <n v="5"/>
    <x v="1"/>
    <n v="2016"/>
    <x v="144"/>
    <x v="22"/>
    <n v="50"/>
    <x v="3"/>
    <x v="1"/>
    <x v="1"/>
    <n v="695304"/>
    <n v="123532"/>
    <n v="69531235"/>
    <n v="695123"/>
    <n v="695120"/>
    <n v="697500"/>
    <n v="122500"/>
    <n v="310"/>
    <x v="0"/>
    <n v="0"/>
    <n v="0"/>
    <n v="0"/>
    <n v="-91.251912700000005"/>
    <n v="-91.251912700000005"/>
    <s v="NA"/>
    <s v="NA"/>
    <m/>
    <x v="3"/>
    <s v="Sud de la Fennoscandinavie, Pays baltes et ouest de la Russie"/>
    <n v="9"/>
    <s v="CAVAMA-5"/>
    <s v="Abschuss"/>
  </r>
  <r>
    <x v="419"/>
    <s v="ScoRus"/>
    <n v="0"/>
    <x v="1"/>
    <x v="1"/>
    <x v="0"/>
    <x v="0"/>
    <x v="414"/>
    <n v="-24.277750000000001"/>
    <x v="412"/>
    <x v="7"/>
    <s v="Sud de la Fennoscandinavie, Pays baltes et ouest de la Russie"/>
    <x v="1"/>
    <x v="1"/>
    <s v="Bogno"/>
    <s v="Cugnolo Corto"/>
    <n v="46.084915940000002"/>
    <n v="9.0867763789999998"/>
    <n v="5"/>
    <n v="28"/>
    <x v="0"/>
    <n v="2014"/>
    <x v="39"/>
    <x v="16"/>
    <n v="43"/>
    <x v="1"/>
    <x v="1"/>
    <x v="1"/>
    <n v="727480"/>
    <n v="105050"/>
    <n v="72741050"/>
    <n v="727105"/>
    <n v="725105"/>
    <n v="727500"/>
    <n v="107500"/>
    <n v="360"/>
    <x v="0"/>
    <n v="0"/>
    <n v="0"/>
    <n v="0"/>
    <n v="-91.21"/>
    <n v="-91.21"/>
    <n v="-114.3"/>
    <s v="NA"/>
    <m/>
    <x v="3"/>
    <s v="Sud de la Fennoscandinavie, Pays baltes et ouest de la Russie"/>
    <n v="9"/>
    <s v="ANARGI-1"/>
    <s v="Abschuss"/>
  </r>
  <r>
    <x v="420"/>
    <s v="ScoRus"/>
    <n v="0"/>
    <x v="1"/>
    <x v="1"/>
    <x v="0"/>
    <x v="0"/>
    <x v="415"/>
    <n v="-24.68"/>
    <x v="413"/>
    <x v="7"/>
    <s v="Sud de la Fennoscandinavie, Pays baltes et ouest de la Russie"/>
    <x v="1"/>
    <x v="1"/>
    <s v="Novaggio"/>
    <s v="Cima Piencie"/>
    <n v="46.025250970000002"/>
    <n v="8.8368246920000004"/>
    <n v="6"/>
    <n v="23"/>
    <x v="1"/>
    <n v="2016"/>
    <x v="199"/>
    <x v="20"/>
    <n v="68"/>
    <x v="7"/>
    <x v="3"/>
    <x v="2"/>
    <n v="708267"/>
    <n v="98043"/>
    <n v="70820980"/>
    <n v="708098"/>
    <n v="705095"/>
    <n v="707500"/>
    <n v="97500"/>
    <n v="314"/>
    <x v="0"/>
    <n v="0"/>
    <n v="0"/>
    <n v="0"/>
    <n v="-91.180081799999996"/>
    <n v="-91.180081799999996"/>
    <s v="NA"/>
    <s v="NA"/>
    <m/>
    <x v="3"/>
    <s v="Sud de la Fennoscandinavie, Pays baltes et ouest de la Russie"/>
    <n v="9"/>
    <s v="MORAMA-7"/>
    <s v="Abschuss"/>
  </r>
  <r>
    <x v="421"/>
    <s v="ScoRus"/>
    <n v="0"/>
    <x v="1"/>
    <x v="1"/>
    <x v="0"/>
    <x v="0"/>
    <x v="416"/>
    <n v="-24.779943759999998"/>
    <x v="414"/>
    <x v="7"/>
    <s v="Sud de la Fennoscandinavie, Pays baltes et ouest de la Russie"/>
    <x v="1"/>
    <x v="1"/>
    <s v="Torricella"/>
    <s v="Monti di Torricella"/>
    <n v="46.070111439999998"/>
    <n v="8.9046464350000001"/>
    <n v="4"/>
    <n v="10"/>
    <x v="1"/>
    <n v="2015"/>
    <x v="200"/>
    <x v="19"/>
    <n v="55"/>
    <x v="2"/>
    <x v="2"/>
    <x v="1"/>
    <n v="713425"/>
    <n v="103125"/>
    <n v="71341031"/>
    <n v="713103"/>
    <n v="710100"/>
    <n v="712500"/>
    <n v="102500"/>
    <n v="290"/>
    <x v="0"/>
    <n v="0"/>
    <n v="0"/>
    <n v="0"/>
    <n v="-91.16"/>
    <n v="-91.16"/>
    <n v="-114.3"/>
    <s v="NA"/>
    <m/>
    <x v="3"/>
    <s v="Sud de la Fennoscandinavie, Pays baltes et ouest de la Russie"/>
    <n v="9"/>
    <s v="RICHAD-7"/>
    <s v="Abschuss"/>
  </r>
  <r>
    <x v="422"/>
    <s v="ScoRus"/>
    <n v="0"/>
    <x v="1"/>
    <x v="1"/>
    <x v="0"/>
    <x v="0"/>
    <x v="417"/>
    <n v="-38.357839650000003"/>
    <x v="415"/>
    <x v="7"/>
    <s v="Sud de la Fennoscandinavie, Pays baltes et ouest de la Russie"/>
    <x v="3"/>
    <x v="2"/>
    <s v="Cerniat"/>
    <s v="Les Bothey"/>
    <n v="46.663077440000002"/>
    <n v="7.1752383929999999"/>
    <n v="6"/>
    <n v="31"/>
    <x v="0"/>
    <n v="2013"/>
    <x v="18"/>
    <x v="17"/>
    <n v="46"/>
    <x v="1"/>
    <x v="1"/>
    <x v="1"/>
    <n v="579841"/>
    <n v="168017"/>
    <n v="57981680"/>
    <n v="579168"/>
    <n v="575165"/>
    <n v="577500"/>
    <n v="167500"/>
    <n v="330"/>
    <x v="0"/>
    <n v="0"/>
    <n v="0"/>
    <n v="0"/>
    <n v="-91.09"/>
    <n v="-91.09"/>
    <n v="-114.2"/>
    <s v="NA"/>
    <m/>
    <x v="3"/>
    <s v="Sud de la Fennoscandinavie, Pays baltes et ouest de la Russie"/>
    <n v="9"/>
    <s v="ZUEBAR-2"/>
    <s v="Abschuss"/>
  </r>
  <r>
    <x v="423"/>
    <s v="ScoRus"/>
    <n v="0"/>
    <x v="1"/>
    <x v="1"/>
    <x v="0"/>
    <x v="0"/>
    <x v="418"/>
    <s v="NA"/>
    <x v="416"/>
    <x v="7"/>
    <s v="Sud de la Fennoscandinavie, Pays baltes et ouest de la Russie"/>
    <x v="0"/>
    <x v="0"/>
    <s v="NA"/>
    <s v="NA"/>
    <n v="46.961441630000003"/>
    <n v="6.5911810150000001"/>
    <n v="3"/>
    <n v="25"/>
    <x v="0"/>
    <n v="2017"/>
    <x v="76"/>
    <x v="8"/>
    <n v="40"/>
    <x v="0"/>
    <x v="0"/>
    <x v="0"/>
    <n v="535500"/>
    <n v="201500"/>
    <n v="53552015"/>
    <n v="535201"/>
    <n v="535200"/>
    <n v="537500"/>
    <n v="202500"/>
    <n v="352"/>
    <x v="0"/>
    <n v="0"/>
    <n v="0"/>
    <n v="0"/>
    <n v="-91.038274000000001"/>
    <n v="-91.038274000000001"/>
    <s v="NA"/>
    <s v="NA"/>
    <m/>
    <x v="3"/>
    <s v="Sud de la Fennoscandinavie, Pays baltes et ouest de la Russie"/>
    <n v="9"/>
    <s v="GARIJC-4"/>
    <s v="Abschuss"/>
  </r>
  <r>
    <x v="424"/>
    <s v="ScoRus"/>
    <n v="0"/>
    <x v="1"/>
    <x v="1"/>
    <x v="0"/>
    <x v="0"/>
    <x v="419"/>
    <n v="-25.1635062"/>
    <x v="417"/>
    <x v="7"/>
    <s v="Sud de la Fennoscandinavie, Pays baltes et ouest de la Russie"/>
    <x v="2"/>
    <x v="3"/>
    <s v="Pampigny"/>
    <s v="La Bouennaz"/>
    <n v="46.582023149999998"/>
    <n v="6.399455949"/>
    <n v="6"/>
    <n v="23"/>
    <x v="1"/>
    <n v="2015"/>
    <x v="201"/>
    <x v="20"/>
    <n v="68"/>
    <x v="7"/>
    <x v="3"/>
    <x v="2"/>
    <n v="520350"/>
    <n v="159500"/>
    <n v="52031595"/>
    <n v="520159"/>
    <n v="520155"/>
    <n v="522500"/>
    <n v="157500"/>
    <n v="316"/>
    <x v="0"/>
    <n v="0"/>
    <n v="0"/>
    <n v="0"/>
    <n v="-90.95"/>
    <n v="-90.95"/>
    <n v="-114"/>
    <s v="NA"/>
    <m/>
    <x v="3"/>
    <s v="Sud de la Fennoscandinavie, Pays baltes et ouest de la Russie"/>
    <n v="9"/>
    <s v="PRIOJE-5"/>
    <s v="Abschuss"/>
  </r>
  <r>
    <x v="425"/>
    <s v="ScoRus"/>
    <n v="0"/>
    <x v="1"/>
    <x v="1"/>
    <x v="0"/>
    <x v="0"/>
    <x v="419"/>
    <n v="-25.234400000000001"/>
    <x v="418"/>
    <x v="7"/>
    <s v="Sud de la Fennoscandinavie, Pays baltes et ouest de la Russie"/>
    <x v="1"/>
    <x v="1"/>
    <s v="Novaggio"/>
    <s v="Forcora"/>
    <n v="46.02579626"/>
    <n v="8.8240005079999992"/>
    <n v="5"/>
    <n v="18"/>
    <x v="0"/>
    <n v="2015"/>
    <x v="202"/>
    <x v="89"/>
    <n v="33"/>
    <x v="4"/>
    <x v="0"/>
    <x v="0"/>
    <n v="707273"/>
    <n v="98086"/>
    <n v="70720980"/>
    <n v="707098"/>
    <n v="705095"/>
    <n v="707500"/>
    <n v="97500"/>
    <s v="NA"/>
    <x v="0"/>
    <n v="0"/>
    <n v="0"/>
    <n v="0"/>
    <n v="-90.95"/>
    <n v="-90.95"/>
    <n v="-114"/>
    <s v="NA"/>
    <m/>
    <x v="3"/>
    <s v="Sud de la Fennoscandinavie, Pays baltes et ouest de la Russie"/>
    <n v="9"/>
    <s v="MORAMA-8"/>
    <s v="Abschuss"/>
  </r>
  <r>
    <x v="426"/>
    <s v="ScoRus"/>
    <n v="0"/>
    <x v="1"/>
    <x v="1"/>
    <x v="0"/>
    <x v="0"/>
    <x v="420"/>
    <n v="-8.8112100130000002"/>
    <x v="419"/>
    <x v="7"/>
    <s v="Sud de la Fennoscandinavie, Pays baltes et ouest de la Russie"/>
    <x v="0"/>
    <x v="0"/>
    <s v="NA"/>
    <s v="Grandes Pradières"/>
    <n v="47.03698103"/>
    <n v="6.8316286320000001"/>
    <n v="6"/>
    <n v="28"/>
    <x v="0"/>
    <n v="2013"/>
    <x v="203"/>
    <x v="16"/>
    <n v="43"/>
    <x v="1"/>
    <x v="1"/>
    <x v="1"/>
    <n v="553865"/>
    <n v="209728"/>
    <n v="55382097"/>
    <n v="553209"/>
    <n v="550205"/>
    <n v="552500"/>
    <n v="207500"/>
    <n v="324"/>
    <x v="0"/>
    <n v="0"/>
    <n v="0"/>
    <n v="0"/>
    <n v="-90.61"/>
    <n v="-90.61"/>
    <n v="-113.7"/>
    <s v="NA"/>
    <m/>
    <x v="3"/>
    <s v="Sud de la Fennoscandinavie, Pays baltes et ouest de la Russie"/>
    <n v="9"/>
    <s v="MEISTHE6"/>
    <s v="Abschuss"/>
  </r>
  <r>
    <x v="427"/>
    <s v="ScoRus"/>
    <n v="0"/>
    <x v="1"/>
    <x v="1"/>
    <x v="0"/>
    <x v="0"/>
    <x v="420"/>
    <n v="-25.0258"/>
    <x v="420"/>
    <x v="7"/>
    <s v="Sud de la Fennoscandinavie, Pays baltes et ouest de la Russie"/>
    <x v="1"/>
    <x v="1"/>
    <s v="Gamborogno"/>
    <s v="Alpe Lierna"/>
    <n v="46.122106299999999"/>
    <n v="8.8306763929999992"/>
    <n v="5"/>
    <n v="21"/>
    <x v="0"/>
    <n v="2015"/>
    <x v="166"/>
    <x v="11"/>
    <n v="36"/>
    <x v="4"/>
    <x v="0"/>
    <x v="0"/>
    <n v="707600"/>
    <n v="108800"/>
    <n v="70761088"/>
    <n v="707108"/>
    <n v="705105"/>
    <n v="707500"/>
    <n v="107500"/>
    <n v="361"/>
    <x v="0"/>
    <n v="0"/>
    <n v="0"/>
    <n v="0"/>
    <n v="-90.61"/>
    <n v="-90.61"/>
    <n v="-113.7"/>
    <s v="NA"/>
    <m/>
    <x v="3"/>
    <s v="Sud de la Fennoscandinavie, Pays baltes et ouest de la Russie"/>
    <n v="9"/>
    <s v="GNOSDA-1"/>
    <s v="Abschuss"/>
  </r>
  <r>
    <x v="428"/>
    <s v="ScoRus"/>
    <n v="0"/>
    <x v="1"/>
    <x v="1"/>
    <x v="0"/>
    <x v="0"/>
    <x v="421"/>
    <n v="-25.462800000000001"/>
    <x v="421"/>
    <x v="7"/>
    <s v="Sud de la Fennoscandinavie, Pays baltes et ouest de la Russie"/>
    <x v="1"/>
    <x v="1"/>
    <s v="Bruzzella"/>
    <s v="Roccolo"/>
    <n v="45.883653160000001"/>
    <n v="9.0721181039999994"/>
    <n v="5"/>
    <n v="3"/>
    <x v="1"/>
    <n v="2015"/>
    <x v="204"/>
    <x v="25"/>
    <n v="48"/>
    <x v="3"/>
    <x v="1"/>
    <x v="1"/>
    <n v="726812"/>
    <n v="82657"/>
    <n v="72680826"/>
    <n v="726082"/>
    <n v="725080"/>
    <n v="727500"/>
    <n v="82500"/>
    <n v="360"/>
    <x v="0"/>
    <n v="0"/>
    <n v="0"/>
    <n v="0"/>
    <n v="-90.56"/>
    <n v="-90.56"/>
    <n v="-113.6"/>
    <s v="NA"/>
    <m/>
    <x v="3"/>
    <s v="Sud de la Fennoscandinavie, Pays baltes et ouest de la Russie"/>
    <n v="9"/>
    <s v="REZZONICORO-9"/>
    <s v="Abschuss"/>
  </r>
  <r>
    <x v="429"/>
    <s v="ScoRus"/>
    <n v="0"/>
    <x v="1"/>
    <x v="1"/>
    <x v="0"/>
    <x v="0"/>
    <x v="422"/>
    <n v="-24.54"/>
    <x v="422"/>
    <x v="7"/>
    <s v="Sud de la Fennoscandinavie, Pays baltes et ouest de la Russie"/>
    <x v="1"/>
    <x v="1"/>
    <s v="Prato"/>
    <s v="Garolgé"/>
    <n v="46.482254769999997"/>
    <n v="8.7318246120000005"/>
    <n v="4"/>
    <n v="22"/>
    <x v="0"/>
    <n v="2016"/>
    <x v="25"/>
    <x v="21"/>
    <n v="37"/>
    <x v="4"/>
    <x v="0"/>
    <x v="0"/>
    <n v="699300"/>
    <n v="148700"/>
    <n v="69931487"/>
    <n v="699148"/>
    <n v="695145"/>
    <n v="697500"/>
    <n v="147500"/>
    <n v="298"/>
    <x v="0"/>
    <n v="0"/>
    <n v="0"/>
    <n v="0"/>
    <n v="-90.467340399999998"/>
    <n v="-90.467340399999998"/>
    <s v="NA"/>
    <s v="NA"/>
    <m/>
    <x v="3"/>
    <s v="Sud de la Fennoscandinavie, Pays baltes et ouest de la Russie"/>
    <n v="9"/>
    <s v="ALTIAN-1"/>
    <s v="Abschuss"/>
  </r>
  <r>
    <x v="430"/>
    <s v="ScoRus"/>
    <n v="0"/>
    <x v="1"/>
    <x v="1"/>
    <x v="0"/>
    <x v="0"/>
    <x v="423"/>
    <n v="-23.97728571"/>
    <x v="423"/>
    <x v="7"/>
    <s v="Sud de la Fennoscandinavie, Pays baltes et ouest de la Russie"/>
    <x v="0"/>
    <x v="0"/>
    <s v="La Brévine"/>
    <s v="La Paroisse"/>
    <n v="46.966826779999998"/>
    <n v="6.6525942679999996"/>
    <n v="6"/>
    <n v="14"/>
    <x v="0"/>
    <n v="2014"/>
    <x v="205"/>
    <x v="97"/>
    <n v="29"/>
    <x v="8"/>
    <x v="4"/>
    <x v="0"/>
    <n v="540180"/>
    <n v="202050"/>
    <n v="54012020"/>
    <n v="540202"/>
    <n v="540200"/>
    <n v="542500"/>
    <n v="202500"/>
    <n v="315"/>
    <x v="0"/>
    <n v="0"/>
    <n v="0"/>
    <n v="0"/>
    <n v="-90.4"/>
    <n v="-90.4"/>
    <n v="-113.5"/>
    <s v="NA"/>
    <m/>
    <x v="3"/>
    <s v="Sud de la Fennoscandinavie, Pays baltes et ouest de la Russie"/>
    <n v="9"/>
    <s v="MEISHE4"/>
    <s v="Abschuss"/>
  </r>
  <r>
    <x v="431"/>
    <s v="ScoRus"/>
    <n v="0"/>
    <x v="1"/>
    <x v="1"/>
    <x v="0"/>
    <x v="0"/>
    <x v="424"/>
    <n v="-23.45"/>
    <x v="424"/>
    <x v="7"/>
    <s v="Sud de la Fennoscandinavie, Pays baltes et ouest de la Russie"/>
    <x v="1"/>
    <x v="1"/>
    <s v="Carena"/>
    <s v="Bassa di carena"/>
    <n v="46.173919400000003"/>
    <n v="9.0916694549999999"/>
    <n v="5"/>
    <n v="2"/>
    <x v="1"/>
    <n v="2016"/>
    <x v="4"/>
    <x v="4"/>
    <n v="47"/>
    <x v="3"/>
    <x v="1"/>
    <x v="1"/>
    <n v="727650"/>
    <n v="114950"/>
    <n v="72761149"/>
    <n v="727114"/>
    <n v="725110"/>
    <n v="727500"/>
    <n v="112500"/>
    <n v="312"/>
    <x v="0"/>
    <n v="0"/>
    <n v="0"/>
    <n v="0"/>
    <n v="-90.385428399999995"/>
    <n v="-90.385428399999995"/>
    <s v="NA"/>
    <s v="NA"/>
    <m/>
    <x v="3"/>
    <s v="Sud de la Fennoscandinavie, Pays baltes et ouest de la Russie"/>
    <n v="9"/>
    <s v="ROSARE-1"/>
    <s v="Abschuss"/>
  </r>
  <r>
    <x v="432"/>
    <s v="ScoRus"/>
    <n v="0"/>
    <x v="1"/>
    <x v="1"/>
    <x v="0"/>
    <x v="0"/>
    <x v="425"/>
    <n v="-24.095334990000001"/>
    <x v="425"/>
    <x v="7"/>
    <s v="Sud de la Fennoscandinavie, Pays baltes et ouest de la Russie"/>
    <x v="1"/>
    <x v="1"/>
    <s v="Cadenazzo"/>
    <s v="Prato Grasso"/>
    <n v="46.134289580000001"/>
    <n v="8.9468135849999992"/>
    <n v="5"/>
    <n v="24"/>
    <x v="0"/>
    <n v="2015"/>
    <x v="165"/>
    <x v="14"/>
    <n v="39"/>
    <x v="0"/>
    <x v="0"/>
    <x v="0"/>
    <n v="716550"/>
    <n v="110320"/>
    <n v="71651103"/>
    <n v="716110"/>
    <n v="715110"/>
    <n v="717500"/>
    <n v="112500"/>
    <n v="320"/>
    <x v="0"/>
    <n v="0"/>
    <n v="0"/>
    <n v="0"/>
    <n v="-90.14"/>
    <n v="-90.14"/>
    <n v="-113.2"/>
    <s v="NA"/>
    <m/>
    <x v="3"/>
    <s v="Sud de la Fennoscandinavie, Pays baltes et ouest de la Russie"/>
    <n v="9"/>
    <s v="PURASA-4"/>
    <s v="Abschuss"/>
  </r>
  <r>
    <x v="433"/>
    <s v="ScoRus"/>
    <n v="0"/>
    <x v="1"/>
    <x v="1"/>
    <x v="0"/>
    <x v="0"/>
    <x v="426"/>
    <s v="NA"/>
    <x v="112"/>
    <x v="7"/>
    <s v="Sud de la Fennoscandinavie, Pays baltes et ouest de la Russie"/>
    <x v="3"/>
    <x v="2"/>
    <s v="Hauteville"/>
    <s v="Le Saut"/>
    <n v="46.668968970000002"/>
    <n v="7.1490353710000001"/>
    <n v="4"/>
    <n v="22"/>
    <x v="0"/>
    <n v="2014"/>
    <x v="206"/>
    <x v="21"/>
    <n v="37"/>
    <x v="4"/>
    <x v="0"/>
    <x v="0"/>
    <n v="577838"/>
    <n v="168679"/>
    <n v="57781686"/>
    <n v="577168"/>
    <n v="575165"/>
    <n v="577500"/>
    <n v="167500"/>
    <n v="310"/>
    <x v="0"/>
    <n v="0"/>
    <n v="0"/>
    <n v="0"/>
    <n v="-90.02"/>
    <n v="-90.02"/>
    <n v="-113.1"/>
    <s v="NA"/>
    <m/>
    <x v="3"/>
    <s v="Sud de la Fennoscandinavie, Pays baltes et ouest de la Russie"/>
    <n v="9"/>
    <s v="YERMI002"/>
    <s v="Abschuss"/>
  </r>
  <r>
    <x v="434"/>
    <s v="ScoRus"/>
    <n v="0"/>
    <x v="1"/>
    <x v="1"/>
    <x v="0"/>
    <x v="0"/>
    <x v="427"/>
    <s v="NA"/>
    <x v="426"/>
    <x v="7"/>
    <s v="Sud de la Fennoscandinavie, Pays baltes et ouest de la Russie"/>
    <x v="1"/>
    <x v="1"/>
    <s v="Capriasca"/>
    <s v="Pian Passamonte"/>
    <n v="46.0976626"/>
    <n v="8.9807207699999996"/>
    <n v="5"/>
    <n v="31"/>
    <x v="0"/>
    <n v="2017"/>
    <x v="67"/>
    <x v="17"/>
    <n v="46"/>
    <x v="1"/>
    <x v="1"/>
    <x v="1"/>
    <n v="719250"/>
    <n v="106300"/>
    <n v="71921063"/>
    <n v="719106"/>
    <n v="715105"/>
    <n v="717500"/>
    <n v="107500"/>
    <n v="284"/>
    <x v="0"/>
    <n v="0"/>
    <n v="0"/>
    <n v="0"/>
    <n v="-89.923196399999995"/>
    <n v="-89.923196399999995"/>
    <s v="NA"/>
    <s v="NA"/>
    <m/>
    <x v="3"/>
    <s v="Sud de la Fennoscandinavie, Pays baltes et ouest de la Russie"/>
    <n v="9"/>
    <s v="TANTMAN-1"/>
    <s v="Abschuss"/>
  </r>
  <r>
    <x v="435"/>
    <s v="ScoRus"/>
    <n v="0"/>
    <x v="1"/>
    <x v="1"/>
    <x v="0"/>
    <x v="0"/>
    <x v="428"/>
    <n v="-24.456199999999999"/>
    <x v="427"/>
    <x v="7"/>
    <s v="Sud de la Fennoscandinavie, Pays baltes et ouest de la Russie"/>
    <x v="2"/>
    <x v="2"/>
    <s v="Riaz"/>
    <s v="Monts de Riaz"/>
    <n v="46.639997319999999"/>
    <n v="7.0272307730000003"/>
    <n v="3"/>
    <n v="4"/>
    <x v="1"/>
    <n v="2015"/>
    <x v="3"/>
    <x v="3"/>
    <n v="49"/>
    <x v="3"/>
    <x v="1"/>
    <x v="1"/>
    <n v="568500"/>
    <n v="165500"/>
    <n v="56851655"/>
    <n v="568165"/>
    <n v="565165"/>
    <n v="567500"/>
    <n v="167500"/>
    <n v="318"/>
    <x v="0"/>
    <n v="0"/>
    <n v="0"/>
    <n v="0"/>
    <n v="-89.9"/>
    <n v="-89.9"/>
    <n v="-113"/>
    <s v="NA"/>
    <m/>
    <x v="3"/>
    <s v="Sud de la Fennoscandinavie, Pays baltes et ouest de la Russie"/>
    <n v="9"/>
    <s v="DENEPA5"/>
    <s v="Abschuss"/>
  </r>
  <r>
    <x v="436"/>
    <s v="ScoRus"/>
    <n v="0"/>
    <x v="1"/>
    <x v="1"/>
    <x v="0"/>
    <x v="0"/>
    <x v="429"/>
    <n v="-23.041799999999999"/>
    <x v="428"/>
    <x v="7"/>
    <s v="Sud de la Fennoscandinavie, Pays baltes et ouest de la Russie"/>
    <x v="1"/>
    <x v="1"/>
    <s v="Lugano"/>
    <s v="Soragno"/>
    <n v="46.029926400000001"/>
    <n v="8.9824393610000008"/>
    <n v="5"/>
    <n v="28"/>
    <x v="1"/>
    <n v="2015"/>
    <x v="158"/>
    <x v="42"/>
    <n v="73"/>
    <x v="9"/>
    <x v="5"/>
    <x v="3"/>
    <n v="719531"/>
    <n v="98774"/>
    <n v="71950987"/>
    <n v="719098"/>
    <n v="715095"/>
    <n v="717500"/>
    <n v="97500"/>
    <n v="350"/>
    <x v="0"/>
    <n v="0"/>
    <n v="0"/>
    <n v="0"/>
    <n v="-89.86"/>
    <n v="-89.86"/>
    <n v="-112.9"/>
    <s v="NA"/>
    <m/>
    <x v="3"/>
    <s v="Sud de la Fennoscandinavie, Pays baltes et ouest de la Russie"/>
    <n v="9"/>
    <s v="REZZONICORO-19"/>
    <s v="Abschuss"/>
  </r>
  <r>
    <x v="437"/>
    <s v="ScoRus"/>
    <n v="0"/>
    <x v="1"/>
    <x v="1"/>
    <x v="0"/>
    <x v="0"/>
    <x v="430"/>
    <n v="-23.95"/>
    <x v="429"/>
    <x v="7"/>
    <s v="Sud de la Fennoscandinavie, Pays baltes et ouest de la Russie"/>
    <x v="2"/>
    <x v="2"/>
    <s v="Marsens"/>
    <s v="Monts de Riaz"/>
    <n v="46.653513840000002"/>
    <n v="7.0336598219999997"/>
    <n v="3"/>
    <n v="26"/>
    <x v="0"/>
    <n v="2016"/>
    <x v="0"/>
    <x v="0"/>
    <n v="41"/>
    <x v="0"/>
    <x v="0"/>
    <x v="0"/>
    <n v="569000"/>
    <n v="167000"/>
    <n v="56901670"/>
    <n v="569167"/>
    <n v="565165"/>
    <n v="567500"/>
    <n v="167500"/>
    <n v="325"/>
    <x v="0"/>
    <n v="0"/>
    <n v="0"/>
    <n v="0"/>
    <n v="-89.757436400000003"/>
    <n v="-89.757436400000003"/>
    <s v="NA"/>
    <s v="NA"/>
    <m/>
    <x v="3"/>
    <s v="Sud de la Fennoscandinavie, Pays baltes et ouest de la Russie"/>
    <n v="9"/>
    <s v="DENEPA-5"/>
    <s v="Abschuss"/>
  </r>
  <r>
    <x v="438"/>
    <s v="ScoRus"/>
    <n v="0"/>
    <x v="1"/>
    <x v="1"/>
    <x v="0"/>
    <x v="0"/>
    <x v="431"/>
    <n v="-22.867769769999999"/>
    <x v="430"/>
    <x v="7"/>
    <s v="Sud de la Fennoscandinavie, Pays baltes et ouest de la Russie"/>
    <x v="2"/>
    <x v="2"/>
    <s v="Onnens"/>
    <s v="Onnens"/>
    <n v="46.764277239999998"/>
    <n v="7.038889041"/>
    <n v="6"/>
    <n v="6"/>
    <x v="1"/>
    <n v="2013"/>
    <x v="19"/>
    <x v="13"/>
    <n v="51"/>
    <x v="3"/>
    <x v="1"/>
    <x v="1"/>
    <n v="569463"/>
    <n v="179311"/>
    <n v="56941793"/>
    <n v="569179"/>
    <n v="565175"/>
    <n v="567500"/>
    <n v="177500"/>
    <n v="381"/>
    <x v="0"/>
    <n v="0"/>
    <n v="0"/>
    <n v="0"/>
    <n v="-89.71"/>
    <n v="-89.71"/>
    <n v="-112.8"/>
    <s v="NA"/>
    <m/>
    <x v="3"/>
    <s v="Sud de la Fennoscandinavie, Pays baltes et ouest de la Russie"/>
    <n v="9"/>
    <s v="SAVABR-1"/>
    <s v="Abschuss"/>
  </r>
  <r>
    <x v="439"/>
    <s v="ScoRus"/>
    <n v="0"/>
    <x v="1"/>
    <x v="1"/>
    <x v="0"/>
    <x v="0"/>
    <x v="432"/>
    <n v="-23.1524"/>
    <x v="431"/>
    <x v="7"/>
    <s v="Sud de la Fennoscandinavie, Pays baltes et ouest de la Russie"/>
    <x v="1"/>
    <x v="1"/>
    <s v="Bruzzella"/>
    <s v="Paradiso"/>
    <n v="45.885967020000002"/>
    <n v="9.0664282089999997"/>
    <n v="5"/>
    <n v="3"/>
    <x v="1"/>
    <n v="2015"/>
    <x v="204"/>
    <x v="25"/>
    <n v="48"/>
    <x v="3"/>
    <x v="1"/>
    <x v="1"/>
    <n v="726365"/>
    <n v="82905"/>
    <n v="72630829"/>
    <n v="726082"/>
    <n v="725080"/>
    <n v="727500"/>
    <n v="82500"/>
    <n v="295"/>
    <x v="0"/>
    <n v="0"/>
    <n v="0"/>
    <n v="0"/>
    <n v="-89.56"/>
    <n v="-89.56"/>
    <n v="-112.6"/>
    <s v="NA"/>
    <m/>
    <x v="3"/>
    <s v="Sud de la Fennoscandinavie, Pays baltes et ouest de la Russie"/>
    <n v="9"/>
    <s v="REZZONICORO-10"/>
    <s v="Abschuss"/>
  </r>
  <r>
    <x v="440"/>
    <s v="ScoRus"/>
    <n v="0"/>
    <x v="1"/>
    <x v="1"/>
    <x v="0"/>
    <x v="0"/>
    <x v="433"/>
    <n v="-25.244800000000001"/>
    <x v="432"/>
    <x v="7"/>
    <s v="Sud de la Fennoscandinavie, Pays baltes et ouest de la Russie"/>
    <x v="2"/>
    <x v="2"/>
    <s v="Le Flon"/>
    <s v="La Tossaire"/>
    <n v="46.616925090000002"/>
    <n v="6.889021885"/>
    <n v="5"/>
    <n v="31"/>
    <x v="0"/>
    <n v="2015"/>
    <x v="27"/>
    <x v="17"/>
    <n v="46"/>
    <x v="1"/>
    <x v="1"/>
    <x v="1"/>
    <n v="557900"/>
    <n v="163000"/>
    <n v="55791630"/>
    <n v="557163"/>
    <n v="555160"/>
    <n v="557500"/>
    <n v="162500"/>
    <n v="320"/>
    <x v="0"/>
    <n v="0"/>
    <n v="0"/>
    <n v="0"/>
    <n v="-89.55"/>
    <n v="-89.55"/>
    <n v="-112.6"/>
    <s v="NA"/>
    <m/>
    <x v="3"/>
    <s v="Sud de la Fennoscandinavie, Pays baltes et ouest de la Russie"/>
    <n v="9"/>
    <s v="Dumapi-2"/>
    <s v="Abschuss"/>
  </r>
  <r>
    <x v="441"/>
    <s v="ScoRus"/>
    <n v="0"/>
    <x v="1"/>
    <x v="1"/>
    <x v="0"/>
    <x v="0"/>
    <x v="433"/>
    <n v="-24.574410050000001"/>
    <x v="433"/>
    <x v="7"/>
    <s v="Sud de la Fennoscandinavie, Pays baltes et ouest de la Russie"/>
    <x v="2"/>
    <x v="2"/>
    <s v="Riaz"/>
    <s v="Monts de Riaz"/>
    <n v="46.64903915"/>
    <n v="7.0402247630000003"/>
    <n v="3"/>
    <n v="19"/>
    <x v="0"/>
    <n v="2015"/>
    <x v="207"/>
    <x v="9"/>
    <n v="34"/>
    <x v="4"/>
    <x v="0"/>
    <x v="0"/>
    <n v="569500"/>
    <n v="166500"/>
    <n v="56951665"/>
    <n v="569166"/>
    <n v="565165"/>
    <n v="567500"/>
    <n v="167500"/>
    <n v="342"/>
    <x v="0"/>
    <n v="0"/>
    <n v="0"/>
    <n v="0"/>
    <n v="-89.55"/>
    <n v="-89.55"/>
    <n v="-112.6"/>
    <s v="NA"/>
    <m/>
    <x v="3"/>
    <s v="Sud de la Fennoscandinavie, Pays baltes et ouest de la Russie"/>
    <n v="9"/>
    <s v="DENEPA1"/>
    <s v="Abschuss"/>
  </r>
  <r>
    <x v="442"/>
    <s v="ScoRus"/>
    <n v="0"/>
    <x v="1"/>
    <x v="1"/>
    <x v="0"/>
    <x v="0"/>
    <x v="434"/>
    <n v="-23.970400000000001"/>
    <x v="434"/>
    <x v="7"/>
    <s v="Sud de la Fennoscandinavie, Pays baltes et ouest de la Russie"/>
    <x v="1"/>
    <x v="1"/>
    <s v="Capriasca"/>
    <s v="Bedolascia"/>
    <n v="46.08142969"/>
    <n v="8.9834946379999998"/>
    <n v="3"/>
    <n v="21"/>
    <x v="0"/>
    <n v="2015"/>
    <x v="166"/>
    <x v="11"/>
    <n v="36"/>
    <x v="4"/>
    <x v="0"/>
    <x v="0"/>
    <n v="719500"/>
    <n v="104500"/>
    <n v="71951045"/>
    <n v="719104"/>
    <n v="715100"/>
    <n v="717500"/>
    <n v="102500"/>
    <n v="320"/>
    <x v="0"/>
    <n v="0"/>
    <n v="0"/>
    <n v="0"/>
    <n v="-89.54"/>
    <n v="-89.54"/>
    <n v="-112.6"/>
    <s v="NA"/>
    <m/>
    <x v="3"/>
    <s v="Sud de la Fennoscandinavie, Pays baltes et ouest de la Russie"/>
    <n v="9"/>
    <s v="TANTMA-1"/>
    <s v="Abschuss"/>
  </r>
  <r>
    <x v="443"/>
    <s v="ScoRus"/>
    <n v="0"/>
    <x v="1"/>
    <x v="1"/>
    <x v="0"/>
    <x v="0"/>
    <x v="435"/>
    <n v="-23.8"/>
    <x v="435"/>
    <x v="7"/>
    <s v="Sud de la Fennoscandinavie, Pays baltes et ouest de la Russie"/>
    <x v="1"/>
    <x v="1"/>
    <s v="Lugano"/>
    <s v="Cucco"/>
    <n v="46.077623969999998"/>
    <n v="9.0622504989999992"/>
    <n v="5"/>
    <n v="20"/>
    <x v="1"/>
    <n v="2016"/>
    <x v="208"/>
    <x v="32"/>
    <n v="65"/>
    <x v="5"/>
    <x v="3"/>
    <x v="2"/>
    <n v="725600"/>
    <n v="104200"/>
    <n v="72561042"/>
    <n v="725104"/>
    <n v="725100"/>
    <n v="727500"/>
    <n v="102500"/>
    <n v="300"/>
    <x v="0"/>
    <n v="0"/>
    <n v="0"/>
    <n v="0"/>
    <n v="-89.534908799999997"/>
    <n v="-89.534908799999997"/>
    <s v="NA"/>
    <s v="NA"/>
    <m/>
    <x v="3"/>
    <s v="Sud de la Fennoscandinavie, Pays baltes et ouest de la Russie"/>
    <n v="9"/>
    <s v="ROSAOR-3"/>
    <s v="Abschuss"/>
  </r>
  <r>
    <x v="444"/>
    <s v="ScoRus"/>
    <n v="0"/>
    <x v="1"/>
    <x v="1"/>
    <x v="0"/>
    <x v="0"/>
    <x v="436"/>
    <n v="-23.85"/>
    <x v="436"/>
    <x v="7"/>
    <s v="Sud de la Fennoscandinavie, Pays baltes et ouest de la Russie"/>
    <x v="1"/>
    <x v="1"/>
    <s v="Novaggio"/>
    <s v="Forcole"/>
    <n v="46.024620059999997"/>
    <n v="8.8223433720000006"/>
    <n v="6"/>
    <n v="18"/>
    <x v="0"/>
    <n v="2016"/>
    <x v="151"/>
    <x v="89"/>
    <n v="33"/>
    <x v="4"/>
    <x v="0"/>
    <x v="0"/>
    <n v="707147"/>
    <n v="97953"/>
    <n v="70710979"/>
    <n v="707097"/>
    <n v="705095"/>
    <n v="707500"/>
    <n v="97500"/>
    <n v="314"/>
    <x v="0"/>
    <n v="0"/>
    <n v="0"/>
    <n v="0"/>
    <n v="-89.429034200000004"/>
    <n v="-89.429034200000004"/>
    <s v="NA"/>
    <s v="NA"/>
    <m/>
    <x v="3"/>
    <s v="Sud de la Fennoscandinavie, Pays baltes et ouest de la Russie"/>
    <n v="9"/>
    <s v="MORAMA-1"/>
    <s v="Abschuss"/>
  </r>
  <r>
    <x v="445"/>
    <s v="ScoRus"/>
    <n v="0"/>
    <x v="1"/>
    <x v="1"/>
    <x v="0"/>
    <x v="0"/>
    <x v="437"/>
    <s v="NA"/>
    <x v="437"/>
    <x v="7"/>
    <s v="Sud de la Fennoscandinavie, Pays baltes et ouest de la Russie"/>
    <x v="1"/>
    <x v="1"/>
    <s v="Mugena"/>
    <s v="Alpe Conansuq"/>
    <n v="46.058544079999997"/>
    <n v="8.8771966009999996"/>
    <n v="5"/>
    <n v="12"/>
    <x v="1"/>
    <n v="2017"/>
    <x v="88"/>
    <x v="26"/>
    <n v="57"/>
    <x v="6"/>
    <x v="2"/>
    <x v="2"/>
    <n v="711325"/>
    <n v="101800"/>
    <n v="71131018"/>
    <n v="711101"/>
    <n v="710100"/>
    <n v="712500"/>
    <n v="102500"/>
    <n v="308"/>
    <x v="0"/>
    <n v="0"/>
    <n v="0"/>
    <n v="0"/>
    <n v="-89.366918999999996"/>
    <n v="-89.366918999999996"/>
    <s v="NA"/>
    <s v="NA"/>
    <m/>
    <x v="3"/>
    <s v="Sud de la Fennoscandinavie, Pays baltes et ouest de la Russie"/>
    <n v="9"/>
    <s v="CISTAR-2"/>
    <s v="Abschuss"/>
  </r>
  <r>
    <x v="446"/>
    <s v="ScoRus"/>
    <n v="0"/>
    <x v="1"/>
    <x v="1"/>
    <x v="0"/>
    <x v="0"/>
    <x v="438"/>
    <n v="-23.6"/>
    <x v="438"/>
    <x v="7"/>
    <s v="Sud de la Fennoscandinavie, Pays baltes et ouest de la Russie"/>
    <x v="1"/>
    <x v="1"/>
    <s v="Tessebete"/>
    <s v="Piancone"/>
    <n v="46.106823599999998"/>
    <n v="8.9686911519999999"/>
    <n v="5"/>
    <n v="18"/>
    <x v="0"/>
    <n v="2016"/>
    <x v="151"/>
    <x v="89"/>
    <n v="33"/>
    <x v="4"/>
    <x v="0"/>
    <x v="0"/>
    <n v="718300"/>
    <n v="107300"/>
    <n v="71831073"/>
    <n v="718107"/>
    <n v="715105"/>
    <n v="717500"/>
    <n v="107500"/>
    <n v="302"/>
    <x v="0"/>
    <n v="0"/>
    <n v="0"/>
    <n v="0"/>
    <n v="-89.151197699999997"/>
    <n v="-89.151197699999997"/>
    <s v="NA"/>
    <s v="NA"/>
    <m/>
    <x v="3"/>
    <s v="Sud de la Fennoscandinavie, Pays baltes et ouest de la Russie"/>
    <n v="9"/>
    <s v="GRUBLO-1"/>
    <s v="Abschuss"/>
  </r>
  <r>
    <x v="447"/>
    <s v="ScoRus"/>
    <n v="0"/>
    <x v="1"/>
    <x v="1"/>
    <x v="0"/>
    <x v="0"/>
    <x v="439"/>
    <n v="-23.618400000000001"/>
    <x v="439"/>
    <x v="7"/>
    <s v="Sud de la Fennoscandinavie, Pays baltes et ouest de la Russie"/>
    <x v="1"/>
    <x v="1"/>
    <s v="Capriasca"/>
    <s v="Bedolascia"/>
    <n v="46.08142969"/>
    <n v="8.9834946379999998"/>
    <n v="3"/>
    <n v="3"/>
    <x v="1"/>
    <n v="2015"/>
    <x v="204"/>
    <x v="25"/>
    <n v="48"/>
    <x v="3"/>
    <x v="1"/>
    <x v="1"/>
    <n v="719500"/>
    <n v="104500"/>
    <n v="71951045"/>
    <n v="719104"/>
    <n v="715100"/>
    <n v="717500"/>
    <n v="102500"/>
    <n v="312"/>
    <x v="0"/>
    <n v="0"/>
    <n v="0"/>
    <n v="0"/>
    <n v="-89.07"/>
    <n v="-89.07"/>
    <n v="-112.1"/>
    <s v="NA"/>
    <m/>
    <x v="3"/>
    <s v="Sud de la Fennoscandinavie, Pays baltes et ouest de la Russie"/>
    <n v="9"/>
    <s v="TANTMA-3"/>
    <s v="Abschuss"/>
  </r>
  <r>
    <x v="448"/>
    <s v="ScoRus"/>
    <n v="0"/>
    <x v="1"/>
    <x v="1"/>
    <x v="0"/>
    <x v="0"/>
    <x v="440"/>
    <n v="-25.13"/>
    <x v="440"/>
    <x v="7"/>
    <s v="Sud de la Fennoscandinavie, Pays baltes et ouest de la Russie"/>
    <x v="2"/>
    <x v="2"/>
    <s v="Hauterive"/>
    <s v="NA"/>
    <n v="46.746889529999997"/>
    <n v="7.0656881760000001"/>
    <n v="5"/>
    <n v="10"/>
    <x v="1"/>
    <n v="2016"/>
    <x v="169"/>
    <x v="19"/>
    <n v="55"/>
    <x v="2"/>
    <x v="2"/>
    <x v="1"/>
    <n v="571501"/>
    <n v="177368"/>
    <n v="57151773"/>
    <n v="571177"/>
    <n v="570175"/>
    <n v="572500"/>
    <n v="177500"/>
    <n v="342"/>
    <x v="0"/>
    <n v="0"/>
    <n v="0"/>
    <n v="0"/>
    <n v="-88.988828799999993"/>
    <n v="-88.988828799999993"/>
    <s v="NA"/>
    <s v="NA"/>
    <m/>
    <x v="3"/>
    <s v="Sud de la Fennoscandinavie, Pays baltes et ouest de la Russie"/>
    <n v="9"/>
    <s v="SAVABR-7"/>
    <s v="Abschuss"/>
  </r>
  <r>
    <x v="449"/>
    <s v="ScoRus"/>
    <n v="0"/>
    <x v="1"/>
    <x v="1"/>
    <x v="0"/>
    <x v="0"/>
    <x v="441"/>
    <n v="-24.396249999999998"/>
    <x v="441"/>
    <x v="7"/>
    <s v="Sud de la Fennoscandinavie, Pays baltes et ouest de la Russie"/>
    <x v="0"/>
    <x v="0"/>
    <s v="Val-de-Ruz"/>
    <s v="Prés-Devant"/>
    <n v="47.001625519999997"/>
    <n v="6.8275314419999997"/>
    <n v="6"/>
    <n v="21"/>
    <x v="1"/>
    <n v="2015"/>
    <x v="209"/>
    <x v="36"/>
    <n v="66"/>
    <x v="5"/>
    <x v="3"/>
    <x v="2"/>
    <n v="553523"/>
    <n v="205800"/>
    <n v="55352058"/>
    <n v="553205"/>
    <n v="550205"/>
    <n v="552500"/>
    <n v="207500"/>
    <n v="347"/>
    <x v="0"/>
    <n v="0"/>
    <n v="0"/>
    <n v="0"/>
    <n v="-88.92"/>
    <n v="-88.92"/>
    <n v="-112"/>
    <s v="NA"/>
    <m/>
    <x v="3"/>
    <s v="Sud de la Fennoscandinavie, Pays baltes et ouest de la Russie"/>
    <n v="9"/>
    <s v="MEISHE-14"/>
    <s v="Abschuss"/>
  </r>
  <r>
    <x v="450"/>
    <s v="ScoRus"/>
    <n v="0"/>
    <x v="1"/>
    <x v="1"/>
    <x v="0"/>
    <x v="0"/>
    <x v="442"/>
    <n v="-23.83"/>
    <x v="442"/>
    <x v="7"/>
    <s v="Sud de la Fennoscandinavie, Pays baltes et ouest de la Russie"/>
    <x v="1"/>
    <x v="1"/>
    <s v="Italia RE"/>
    <s v="Alpino"/>
    <n v="46.129781639999997"/>
    <n v="8.5999198850000003"/>
    <n v="6"/>
    <n v="9"/>
    <x v="0"/>
    <n v="2016"/>
    <x v="210"/>
    <x v="98"/>
    <n v="24"/>
    <x v="37"/>
    <x v="4"/>
    <x v="4"/>
    <n v="689752"/>
    <n v="109363"/>
    <n v="68971093"/>
    <n v="689109"/>
    <n v="685105"/>
    <n v="687500"/>
    <n v="107500"/>
    <n v="353"/>
    <x v="0"/>
    <n v="0"/>
    <n v="0"/>
    <n v="0"/>
    <n v="-88.850723200000004"/>
    <n v="-88.850723200000004"/>
    <s v="NA"/>
    <s v="NA"/>
    <m/>
    <x v="3"/>
    <s v="Sud de la Fennoscandinavie, Pays baltes et ouest de la Russie"/>
    <n v="9"/>
    <s v="FISCIV-1"/>
    <s v="Abschuss"/>
  </r>
  <r>
    <x v="451"/>
    <s v="ScoRus"/>
    <n v="0"/>
    <x v="1"/>
    <x v="1"/>
    <x v="0"/>
    <x v="0"/>
    <x v="443"/>
    <n v="-24.105"/>
    <x v="443"/>
    <x v="7"/>
    <s v="Sud de la Fennoscandinavie, Pays baltes et ouest de la Russie"/>
    <x v="1"/>
    <x v="1"/>
    <s v="Cimadera"/>
    <s v="Pezza"/>
    <n v="46.079552579999998"/>
    <n v="9.0532575370000004"/>
    <n v="5"/>
    <n v="24"/>
    <x v="0"/>
    <n v="2015"/>
    <x v="165"/>
    <x v="14"/>
    <n v="39"/>
    <x v="0"/>
    <x v="0"/>
    <x v="0"/>
    <n v="724900"/>
    <n v="104400"/>
    <n v="72491044"/>
    <n v="724104"/>
    <n v="720100"/>
    <n v="722500"/>
    <n v="102500"/>
    <n v="295"/>
    <x v="0"/>
    <n v="0"/>
    <n v="0"/>
    <n v="0"/>
    <n v="-88.85"/>
    <n v="-88.85"/>
    <n v="-111.9"/>
    <s v="NA"/>
    <m/>
    <x v="3"/>
    <s v="Sud de la Fennoscandinavie, Pays baltes et ouest de la Russie"/>
    <n v="9"/>
    <s v="ROSAOR-3"/>
    <s v="Abschuss"/>
  </r>
  <r>
    <x v="452"/>
    <s v="ScoRus"/>
    <n v="0"/>
    <x v="1"/>
    <x v="1"/>
    <x v="0"/>
    <x v="0"/>
    <x v="444"/>
    <n v="-24.88"/>
    <x v="332"/>
    <x v="7"/>
    <s v="Sud de la Fennoscandinavie, Pays baltes et ouest de la Russie"/>
    <x v="1"/>
    <x v="1"/>
    <s v="Arosio"/>
    <s v="Böscion"/>
    <n v="46.062033759999998"/>
    <n v="8.9031372189999995"/>
    <n v="4"/>
    <n v="30"/>
    <x v="1"/>
    <n v="2016"/>
    <x v="211"/>
    <x v="38"/>
    <n v="75"/>
    <x v="9"/>
    <x v="5"/>
    <x v="3"/>
    <n v="713325"/>
    <n v="102225"/>
    <n v="71331022"/>
    <n v="713102"/>
    <n v="710100"/>
    <n v="712500"/>
    <n v="102500"/>
    <n v="310"/>
    <x v="0"/>
    <n v="0"/>
    <n v="0"/>
    <n v="0"/>
    <n v="-88.720478799999995"/>
    <n v="-88.720478799999995"/>
    <s v="NA"/>
    <s v="NA"/>
    <m/>
    <x v="3"/>
    <s v="Sud de la Fennoscandinavie, Pays baltes et ouest de la Russie"/>
    <n v="9"/>
    <s v="RICHAD-10"/>
    <s v="Abschuss"/>
  </r>
  <r>
    <x v="453"/>
    <s v="ScoRus"/>
    <n v="0"/>
    <x v="1"/>
    <x v="1"/>
    <x v="0"/>
    <x v="0"/>
    <x v="445"/>
    <s v="NA"/>
    <x v="444"/>
    <x v="7"/>
    <s v="Sud de la Fennoscandinavie, Pays baltes et ouest de la Russie"/>
    <x v="1"/>
    <x v="1"/>
    <s v="Gambarogno"/>
    <s v="A. Neggia"/>
    <n v="46.11571446"/>
    <n v="8.8382755080000006"/>
    <n v="4"/>
    <n v="22"/>
    <x v="0"/>
    <n v="2017"/>
    <x v="78"/>
    <x v="21"/>
    <n v="37"/>
    <x v="4"/>
    <x v="0"/>
    <x v="0"/>
    <n v="708200"/>
    <n v="108100"/>
    <n v="70821081"/>
    <n v="708108"/>
    <n v="705105"/>
    <n v="707500"/>
    <n v="107500"/>
    <n v="262"/>
    <x v="0"/>
    <n v="0"/>
    <n v="0"/>
    <n v="0"/>
    <n v="-88.710434399999997"/>
    <n v="-88.710434399999997"/>
    <s v="NA"/>
    <s v="NA"/>
    <m/>
    <x v="3"/>
    <s v="Sud de la Fennoscandinavie, Pays baltes et ouest de la Russie"/>
    <n v="9"/>
    <s v="GNOSDA-2"/>
    <s v="Abschuss"/>
  </r>
  <r>
    <x v="454"/>
    <s v="ScoRus"/>
    <n v="0"/>
    <x v="1"/>
    <x v="1"/>
    <x v="0"/>
    <x v="0"/>
    <x v="446"/>
    <s v="NA"/>
    <x v="112"/>
    <x v="7"/>
    <s v="Sud de la Fennoscandinavie, Pays baltes et ouest de la Russie"/>
    <x v="2"/>
    <x v="2"/>
    <s v="Chatônnaye"/>
    <s v="Les Esserts"/>
    <n v="46.741931379999997"/>
    <n v="6.946541184"/>
    <n v="4"/>
    <n v="9"/>
    <x v="9"/>
    <n v="2014"/>
    <x v="212"/>
    <x v="99"/>
    <n v="84"/>
    <x v="35"/>
    <x v="20"/>
    <x v="3"/>
    <n v="562393"/>
    <n v="176867"/>
    <n v="56231768"/>
    <n v="562176"/>
    <n v="560175"/>
    <n v="562500"/>
    <n v="177500"/>
    <n v="370"/>
    <x v="0"/>
    <n v="0"/>
    <n v="0"/>
    <n v="0"/>
    <n v="-88.71"/>
    <n v="-88.71"/>
    <n v="-111.8"/>
    <s v="NA"/>
    <m/>
    <x v="3"/>
    <s v="Sud de la Fennoscandinavie, Pays baltes et ouest de la Russie"/>
    <n v="9"/>
    <s v="YERMI-11"/>
    <s v="Abschuss"/>
  </r>
  <r>
    <x v="455"/>
    <s v="ScoRus"/>
    <n v="0"/>
    <x v="1"/>
    <x v="1"/>
    <x v="0"/>
    <x v="0"/>
    <x v="446"/>
    <n v="-23.793800000000001"/>
    <x v="445"/>
    <x v="7"/>
    <s v="Sud de la Fennoscandinavie, Pays baltes et ouest de la Russie"/>
    <x v="1"/>
    <x v="1"/>
    <s v="Cimadera"/>
    <s v="Le Spine"/>
    <n v="46.075175780000002"/>
    <n v="9.0447249599999999"/>
    <n v="5"/>
    <n v="4"/>
    <x v="1"/>
    <n v="2015"/>
    <x v="3"/>
    <x v="3"/>
    <n v="49"/>
    <x v="3"/>
    <x v="1"/>
    <x v="1"/>
    <n v="724250"/>
    <n v="103900"/>
    <n v="72421039"/>
    <n v="724103"/>
    <n v="720100"/>
    <n v="722500"/>
    <n v="102500"/>
    <n v="310"/>
    <x v="0"/>
    <n v="0"/>
    <n v="0"/>
    <n v="0"/>
    <n v="-88.71"/>
    <n v="-88.71"/>
    <n v="-111.8"/>
    <s v="NA"/>
    <m/>
    <x v="3"/>
    <s v="Sud de la Fennoscandinavie, Pays baltes et ouest de la Russie"/>
    <n v="9"/>
    <s v="ROSAOR-5"/>
    <s v="Abschuss"/>
  </r>
  <r>
    <x v="456"/>
    <s v="ScoRus"/>
    <n v="0"/>
    <x v="1"/>
    <x v="1"/>
    <x v="0"/>
    <x v="0"/>
    <x v="447"/>
    <n v="-24.014800000000001"/>
    <x v="446"/>
    <x v="7"/>
    <s v="Sud de la Fennoscandinavie, Pays baltes et ouest de la Russie"/>
    <x v="0"/>
    <x v="3"/>
    <s v="Bullet"/>
    <s v="Bullet"/>
    <n v="46.838890540000001"/>
    <n v="6.5472264320000004"/>
    <n v="6"/>
    <n v="20"/>
    <x v="1"/>
    <n v="2014"/>
    <x v="46"/>
    <x v="32"/>
    <n v="65"/>
    <x v="5"/>
    <x v="3"/>
    <x v="2"/>
    <n v="532000"/>
    <n v="187914"/>
    <n v="53201879"/>
    <n v="532187"/>
    <n v="530185"/>
    <n v="532500"/>
    <n v="187500"/>
    <n v="303"/>
    <x v="0"/>
    <n v="0"/>
    <n v="0"/>
    <n v="0"/>
    <n v="-88.68"/>
    <n v="-88.68"/>
    <n v="-111.7"/>
    <s v="NA"/>
    <m/>
    <x v="3"/>
    <s v="Sud de la Fennoscandinavie, Pays baltes et ouest de la Russie"/>
    <n v="9"/>
    <s v="GARIJE02"/>
    <s v="Abschuss"/>
  </r>
  <r>
    <x v="457"/>
    <s v="ScoRus"/>
    <n v="0"/>
    <x v="1"/>
    <x v="1"/>
    <x v="0"/>
    <x v="0"/>
    <x v="448"/>
    <n v="-24.232600000000001"/>
    <x v="447"/>
    <x v="7"/>
    <s v="Sud de la Fennoscandinavie, Pays baltes et ouest de la Russie"/>
    <x v="1"/>
    <x v="1"/>
    <s v="Centovalli"/>
    <s v="Rasa"/>
    <n v="46.157495230000002"/>
    <n v="8.6642059410000005"/>
    <n v="6"/>
    <n v="28"/>
    <x v="0"/>
    <n v="2015"/>
    <x v="164"/>
    <x v="16"/>
    <n v="43"/>
    <x v="1"/>
    <x v="1"/>
    <x v="1"/>
    <n v="694672"/>
    <n v="112519"/>
    <n v="69461125"/>
    <n v="694112"/>
    <n v="690110"/>
    <n v="692500"/>
    <n v="112500"/>
    <n v="311"/>
    <x v="0"/>
    <n v="0"/>
    <n v="0"/>
    <n v="0"/>
    <n v="-88.67"/>
    <n v="-88.67"/>
    <n v="-111.7"/>
    <s v="NA"/>
    <m/>
    <x v="3"/>
    <s v="Sud de la Fennoscandinavie, Pays baltes et ouest de la Russie"/>
    <n v="9"/>
    <s v="FISCIV-8"/>
    <s v="Abschuss"/>
  </r>
  <r>
    <x v="458"/>
    <s v="ScoRus"/>
    <n v="0"/>
    <x v="1"/>
    <x v="1"/>
    <x v="0"/>
    <x v="0"/>
    <x v="449"/>
    <n v="-23.67"/>
    <x v="448"/>
    <x v="7"/>
    <s v="Sud de la Fennoscandinavie, Pays baltes et ouest de la Russie"/>
    <x v="3"/>
    <x v="1"/>
    <s v="Torricella-tavenne"/>
    <s v="Pianone"/>
    <n v="46.956932520000002"/>
    <n v="8.9272066149999993"/>
    <n v="4"/>
    <n v="30"/>
    <x v="0"/>
    <n v="2016"/>
    <x v="197"/>
    <x v="23"/>
    <n v="45"/>
    <x v="1"/>
    <x v="1"/>
    <x v="1"/>
    <n v="713300"/>
    <n v="201725"/>
    <n v="71332017"/>
    <n v="713201"/>
    <n v="710200"/>
    <n v="712500"/>
    <n v="202500"/>
    <n v="350"/>
    <x v="0"/>
    <n v="0"/>
    <n v="0"/>
    <n v="0"/>
    <n v="-88.668097900000006"/>
    <n v="-88.668097900000006"/>
    <s v="NA"/>
    <s v="NA"/>
    <m/>
    <x v="3"/>
    <s v="Sud de la Fennoscandinavie, Pays baltes et ouest de la Russie"/>
    <n v="9"/>
    <s v="RICHAD-6"/>
    <s v="Abschuss"/>
  </r>
  <r>
    <x v="459"/>
    <s v="ScoRus"/>
    <n v="0"/>
    <x v="1"/>
    <x v="1"/>
    <x v="0"/>
    <x v="0"/>
    <x v="450"/>
    <n v="-24.05"/>
    <x v="449"/>
    <x v="7"/>
    <s v="Sud de la Fennoscandinavie, Pays baltes et ouest de la Russie"/>
    <x v="1"/>
    <x v="1"/>
    <s v="Prato"/>
    <s v="Casoréi"/>
    <n v="46.481715850000001"/>
    <n v="8.7396261909999993"/>
    <n v="5"/>
    <n v="15"/>
    <x v="1"/>
    <n v="2016"/>
    <x v="188"/>
    <x v="29"/>
    <n v="60"/>
    <x v="6"/>
    <x v="2"/>
    <x v="2"/>
    <n v="699900"/>
    <n v="148650"/>
    <n v="69991486"/>
    <n v="699148"/>
    <n v="695145"/>
    <n v="697500"/>
    <n v="147500"/>
    <n v="282"/>
    <x v="0"/>
    <n v="0"/>
    <n v="0"/>
    <n v="0"/>
    <n v="-88.661180799999997"/>
    <n v="-88.661180799999997"/>
    <s v="NA"/>
    <s v="NA"/>
    <m/>
    <x v="3"/>
    <s v="Sud de la Fennoscandinavie, Pays baltes et ouest de la Russie"/>
    <n v="9"/>
    <s v="ALTIAN-2"/>
    <s v="Abschuss"/>
  </r>
  <r>
    <x v="460"/>
    <s v="ScoRus"/>
    <n v="0"/>
    <x v="1"/>
    <x v="1"/>
    <x v="0"/>
    <x v="0"/>
    <x v="451"/>
    <n v="-24.407800000000002"/>
    <x v="450"/>
    <x v="7"/>
    <s v="Sud de la Fennoscandinavie, Pays baltes et ouest de la Russie"/>
    <x v="0"/>
    <x v="3"/>
    <s v="Bullet"/>
    <s v="Grandsonne"/>
    <n v="46.855282770000002"/>
    <n v="6.5555574620000003"/>
    <n v="5"/>
    <n v="14"/>
    <x v="1"/>
    <n v="2014"/>
    <x v="21"/>
    <x v="18"/>
    <n v="59"/>
    <x v="6"/>
    <x v="2"/>
    <x v="2"/>
    <n v="532656"/>
    <n v="189729"/>
    <n v="53261897"/>
    <n v="532189"/>
    <n v="530185"/>
    <n v="532500"/>
    <n v="187500"/>
    <n v="310"/>
    <x v="0"/>
    <n v="0"/>
    <n v="0"/>
    <n v="0"/>
    <n v="-88.66"/>
    <n v="-88.66"/>
    <n v="-111.7"/>
    <s v="NA"/>
    <m/>
    <x v="3"/>
    <s v="Sud de la Fennoscandinavie, Pays baltes et ouest de la Russie"/>
    <n v="9"/>
    <s v="GARIJE01"/>
    <s v="Abschuss"/>
  </r>
  <r>
    <x v="461"/>
    <s v="ScoRus"/>
    <n v="0"/>
    <x v="1"/>
    <x v="1"/>
    <x v="0"/>
    <x v="0"/>
    <x v="452"/>
    <n v="-24.674138339999999"/>
    <x v="451"/>
    <x v="7"/>
    <s v="Sud de la Fennoscandinavie, Pays baltes et ouest de la Russie"/>
    <x v="2"/>
    <x v="2"/>
    <s v="Ecuvillens"/>
    <s v="Brillons"/>
    <n v="46.751170289999997"/>
    <n v="7.0571778590000003"/>
    <n v="5"/>
    <n v="18"/>
    <x v="1"/>
    <n v="2015"/>
    <x v="30"/>
    <x v="24"/>
    <n v="63"/>
    <x v="5"/>
    <x v="3"/>
    <x v="2"/>
    <n v="570853"/>
    <n v="177847"/>
    <n v="57081778"/>
    <n v="570177"/>
    <n v="570175"/>
    <n v="572500"/>
    <n v="177500"/>
    <n v="329"/>
    <x v="0"/>
    <n v="0"/>
    <n v="0"/>
    <n v="0"/>
    <n v="-88.62"/>
    <n v="-88.62"/>
    <n v="-111.7"/>
    <s v="NA"/>
    <m/>
    <x v="3"/>
    <s v="Sud de la Fennoscandinavie, Pays baltes et ouest de la Russie"/>
    <n v="9"/>
    <s v="SAVABR-12"/>
    <s v="Abschuss"/>
  </r>
  <r>
    <x v="462"/>
    <s v="ScoRus"/>
    <n v="0"/>
    <x v="1"/>
    <x v="1"/>
    <x v="0"/>
    <x v="0"/>
    <x v="453"/>
    <n v="-24.8338"/>
    <x v="452"/>
    <x v="7"/>
    <s v="Sud de la Fennoscandinavie, Pays baltes et ouest de la Russie"/>
    <x v="1"/>
    <x v="1"/>
    <s v="Cadenazzo"/>
    <s v="Corte"/>
    <n v="46.136374490000001"/>
    <n v="8.9624018379999999"/>
    <n v="5"/>
    <n v="1"/>
    <x v="1"/>
    <n v="2015"/>
    <x v="167"/>
    <x v="17"/>
    <n v="46"/>
    <x v="1"/>
    <x v="1"/>
    <x v="1"/>
    <n v="717750"/>
    <n v="110575"/>
    <n v="71771105"/>
    <n v="717110"/>
    <n v="715110"/>
    <n v="717500"/>
    <n v="112500"/>
    <n v="300"/>
    <x v="0"/>
    <n v="0"/>
    <n v="0"/>
    <n v="0"/>
    <n v="-88.46"/>
    <n v="-88.46"/>
    <n v="-111.5"/>
    <s v="NA"/>
    <m/>
    <x v="3"/>
    <s v="Sud de la Fennoscandinavie, Pays baltes et ouest de la Russie"/>
    <n v="9"/>
    <s v="ALBEFE-2"/>
    <s v="Abschuss"/>
  </r>
  <r>
    <x v="463"/>
    <s v="ScoRus"/>
    <n v="0"/>
    <x v="1"/>
    <x v="1"/>
    <x v="0"/>
    <x v="0"/>
    <x v="454"/>
    <n v="-23.74"/>
    <x v="453"/>
    <x v="7"/>
    <s v="Sud de la Fennoscandinavie, Pays baltes et ouest de la Russie"/>
    <x v="1"/>
    <x v="1"/>
    <s v="Alto Malcantone"/>
    <s v="NA"/>
    <n v="46.048600620000002"/>
    <n v="8.8780460429999994"/>
    <n v="5"/>
    <n v="16"/>
    <x v="1"/>
    <n v="2016"/>
    <x v="171"/>
    <x v="28"/>
    <n v="61"/>
    <x v="6"/>
    <x v="2"/>
    <x v="2"/>
    <n v="711411"/>
    <n v="100696"/>
    <n v="71141006"/>
    <n v="711100"/>
    <n v="710100"/>
    <n v="712500"/>
    <n v="102500"/>
    <n v="320"/>
    <x v="0"/>
    <n v="0"/>
    <n v="0"/>
    <n v="0"/>
    <n v="-88.455742900000004"/>
    <n v="-88.455742900000004"/>
    <s v="NA"/>
    <s v="NA"/>
    <m/>
    <x v="3"/>
    <s v="Sud de la Fennoscandinavie, Pays baltes et ouest de la Russie"/>
    <n v="9"/>
    <s v="GIAMGI-18"/>
    <s v="Abschuss"/>
  </r>
  <r>
    <x v="464"/>
    <s v="ScoRus"/>
    <n v="0"/>
    <x v="1"/>
    <x v="1"/>
    <x v="0"/>
    <x v="0"/>
    <x v="455"/>
    <n v="-24.141225810000002"/>
    <x v="454"/>
    <x v="7"/>
    <s v="Sud de la Fennoscandinavie, Pays baltes et ouest de la Russie"/>
    <x v="1"/>
    <x v="1"/>
    <s v="Medeglia"/>
    <s v="Cugnolo - Medeglia"/>
    <n v="46.109486629999999"/>
    <n v="8.9713529800000007"/>
    <n v="5"/>
    <n v="7"/>
    <x v="1"/>
    <n v="2015"/>
    <x v="177"/>
    <x v="12"/>
    <n v="52"/>
    <x v="2"/>
    <x v="2"/>
    <x v="1"/>
    <n v="718500"/>
    <n v="107600"/>
    <n v="71851076"/>
    <n v="718107"/>
    <n v="715105"/>
    <n v="717500"/>
    <n v="107500"/>
    <n v="289"/>
    <x v="0"/>
    <n v="0"/>
    <n v="0"/>
    <n v="0"/>
    <n v="-88.45"/>
    <n v="-88.45"/>
    <n v="-111.5"/>
    <s v="NA"/>
    <m/>
    <x v="3"/>
    <s v="Sud de la Fennoscandinavie, Pays baltes et ouest de la Russie"/>
    <n v="9"/>
    <s v="GRUBLO-6"/>
    <s v="Abschuss"/>
  </r>
  <r>
    <x v="465"/>
    <s v="ScoRus"/>
    <n v="0"/>
    <x v="1"/>
    <x v="1"/>
    <x v="0"/>
    <x v="0"/>
    <x v="456"/>
    <s v="NA"/>
    <x v="455"/>
    <x v="7"/>
    <s v="Sud de la Fennoscandinavie, Pays baltes et ouest de la Russie"/>
    <x v="1"/>
    <x v="1"/>
    <s v="Breno"/>
    <s v="Alpe Mageno"/>
    <n v="46.050245480000001"/>
    <n v="8.85759586"/>
    <n v="5"/>
    <n v="14"/>
    <x v="1"/>
    <n v="2017"/>
    <x v="91"/>
    <x v="18"/>
    <n v="59"/>
    <x v="6"/>
    <x v="2"/>
    <x v="2"/>
    <n v="709825"/>
    <n v="100850"/>
    <n v="70981008"/>
    <n v="709100"/>
    <n v="705100"/>
    <n v="707500"/>
    <n v="102500"/>
    <n v="304"/>
    <x v="0"/>
    <n v="0"/>
    <n v="0"/>
    <n v="0"/>
    <n v="-88.4176188"/>
    <n v="-88.4176188"/>
    <s v="NA"/>
    <s v="NA"/>
    <m/>
    <x v="3"/>
    <s v="Sud de la Fennoscandinavie, Pays baltes et ouest de la Russie"/>
    <n v="9"/>
    <s v="CISTAR-3"/>
    <s v="Abschuss"/>
  </r>
  <r>
    <x v="466"/>
    <s v="ScoRus"/>
    <n v="0"/>
    <x v="1"/>
    <x v="1"/>
    <x v="0"/>
    <x v="0"/>
    <x v="457"/>
    <n v="-23.331019850000001"/>
    <x v="456"/>
    <x v="7"/>
    <s v="Sud de la Fennoscandinavie, Pays baltes et ouest de la Russie"/>
    <x v="3"/>
    <x v="2"/>
    <s v="Les Paccots"/>
    <s v="Grand Niremont"/>
    <n v="46.542081359999997"/>
    <n v="6.9675088430000001"/>
    <n v="6"/>
    <s v="NA"/>
    <x v="2"/>
    <n v="2015"/>
    <x v="69"/>
    <x v="40"/>
    <s v=""/>
    <x v="11"/>
    <x v="7"/>
    <x v="5"/>
    <n v="563862"/>
    <n v="154641"/>
    <n v="56381546"/>
    <n v="563154"/>
    <n v="560150"/>
    <n v="562500"/>
    <n v="152500"/>
    <n v="318"/>
    <x v="0"/>
    <n v="0"/>
    <n v="0"/>
    <n v="0"/>
    <n v="-88.35"/>
    <n v="-88.35"/>
    <n v="-111.4"/>
    <s v="NA"/>
    <m/>
    <x v="3"/>
    <s v="Sud de la Fennoscandinavie, Pays baltes et ouest de la Russie"/>
    <n v="9"/>
    <s v="DUCHPA-1"/>
    <s v="Abschuss"/>
  </r>
  <r>
    <x v="467"/>
    <s v="ScoRus"/>
    <n v="0"/>
    <x v="1"/>
    <x v="1"/>
    <x v="0"/>
    <x v="0"/>
    <x v="458"/>
    <n v="-24.57"/>
    <x v="457"/>
    <x v="7"/>
    <s v="Sud de la Fennoscandinavie, Pays baltes et ouest de la Russie"/>
    <x v="1"/>
    <x v="1"/>
    <s v="Capriasca"/>
    <s v="Lelgio"/>
    <n v="46.090599750000003"/>
    <n v="8.9708227390000008"/>
    <n v="3"/>
    <n v="26"/>
    <x v="1"/>
    <n v="2016"/>
    <x v="213"/>
    <x v="31"/>
    <n v="71"/>
    <x v="7"/>
    <x v="3"/>
    <x v="2"/>
    <n v="718500"/>
    <n v="105500"/>
    <n v="71851055"/>
    <n v="718105"/>
    <n v="715105"/>
    <n v="717500"/>
    <n v="107500"/>
    <n v="239"/>
    <x v="0"/>
    <n v="0"/>
    <n v="0"/>
    <n v="0"/>
    <n v="-88.340358800000004"/>
    <n v="-88.340358800000004"/>
    <s v="NA"/>
    <s v="NA"/>
    <m/>
    <x v="3"/>
    <s v="Sud de la Fennoscandinavie, Pays baltes et ouest de la Russie"/>
    <n v="9"/>
    <s v="TANTMA-2"/>
    <s v="Abschuss"/>
  </r>
  <r>
    <x v="468"/>
    <s v="ScoRus"/>
    <n v="0"/>
    <x v="1"/>
    <x v="1"/>
    <x v="0"/>
    <x v="0"/>
    <x v="459"/>
    <n v="-23.51530356"/>
    <x v="458"/>
    <x v="7"/>
    <s v="Sud de la Fennoscandinavie, Pays baltes et ouest de la Russie"/>
    <x v="1"/>
    <x v="1"/>
    <s v="Arogno"/>
    <s v="Cima Bue"/>
    <n v="45.960000880000003"/>
    <n v="9.0136085300000008"/>
    <n v="6"/>
    <n v="20"/>
    <x v="0"/>
    <n v="2015"/>
    <x v="38"/>
    <x v="30"/>
    <n v="35"/>
    <x v="4"/>
    <x v="0"/>
    <x v="0"/>
    <n v="722100"/>
    <n v="91050"/>
    <n v="72210910"/>
    <n v="722091"/>
    <n v="720090"/>
    <n v="722500"/>
    <n v="92500"/>
    <n v="350"/>
    <x v="0"/>
    <n v="0"/>
    <n v="0"/>
    <n v="0"/>
    <n v="-88.24"/>
    <n v="-88.24"/>
    <n v="-111.3"/>
    <s v="NA"/>
    <m/>
    <x v="3"/>
    <s v="Sud de la Fennoscandinavie, Pays baltes et ouest de la Russie"/>
    <n v="9"/>
    <s v="TANTST1"/>
    <s v="Abschuss"/>
  </r>
  <r>
    <x v="469"/>
    <s v="ScoRus"/>
    <n v="0"/>
    <x v="1"/>
    <x v="1"/>
    <x v="0"/>
    <x v="0"/>
    <x v="460"/>
    <n v="-23.285799999999998"/>
    <x v="459"/>
    <x v="7"/>
    <s v="Sud de la Fennoscandinavie, Pays baltes et ouest de la Russie"/>
    <x v="2"/>
    <x v="2"/>
    <s v="La Folliaz"/>
    <s v="NA"/>
    <n v="46.730666960000001"/>
    <n v="6.9461075210000001"/>
    <n v="4"/>
    <n v="11"/>
    <x v="1"/>
    <n v="2015"/>
    <x v="32"/>
    <x v="7"/>
    <n v="56"/>
    <x v="2"/>
    <x v="2"/>
    <x v="1"/>
    <n v="562352"/>
    <n v="175615"/>
    <n v="56231756"/>
    <n v="562175"/>
    <n v="560175"/>
    <n v="562500"/>
    <n v="177500"/>
    <n v="372"/>
    <x v="0"/>
    <n v="0"/>
    <n v="0"/>
    <n v="0"/>
    <n v="-88.21"/>
    <n v="-88.21"/>
    <n v="-111.2"/>
    <s v="NA"/>
    <m/>
    <x v="3"/>
    <s v="Sud de la Fennoscandinavie, Pays baltes et ouest de la Russie"/>
    <n v="9"/>
    <s v="YERLMI-3"/>
    <s v="Abschuss"/>
  </r>
  <r>
    <x v="470"/>
    <s v="ScoRus"/>
    <n v="0"/>
    <x v="1"/>
    <x v="1"/>
    <x v="0"/>
    <x v="0"/>
    <x v="461"/>
    <n v="-36.540841380000003"/>
    <x v="460"/>
    <x v="7"/>
    <s v="Sud de la Fennoscandinavie, Pays baltes et ouest de la Russie"/>
    <x v="0"/>
    <x v="0"/>
    <s v="NA"/>
    <s v="Les Jordans"/>
    <n v="46.948680830000001"/>
    <n v="6.5059960339999998"/>
    <n v="6"/>
    <n v="16"/>
    <x v="1"/>
    <n v="2013"/>
    <x v="214"/>
    <x v="28"/>
    <n v="61"/>
    <x v="6"/>
    <x v="2"/>
    <x v="2"/>
    <n v="529000"/>
    <n v="200155"/>
    <n v="52902001"/>
    <n v="529200"/>
    <n v="525200"/>
    <n v="527500"/>
    <n v="202500"/>
    <n v="317"/>
    <x v="0"/>
    <n v="0"/>
    <n v="0"/>
    <n v="0"/>
    <n v="-88.19"/>
    <n v="-88.19"/>
    <n v="-111.2"/>
    <s v="NA"/>
    <m/>
    <x v="3"/>
    <s v="Sud de la Fennoscandinavie, Pays baltes et ouest de la Russie"/>
    <n v="9"/>
    <s v="MEISTHE8"/>
    <s v="Abschuss"/>
  </r>
  <r>
    <x v="471"/>
    <s v="ScoRus"/>
    <n v="0"/>
    <x v="1"/>
    <x v="1"/>
    <x v="0"/>
    <x v="0"/>
    <x v="462"/>
    <n v="-23.4"/>
    <x v="461"/>
    <x v="7"/>
    <s v="Sud de la Fennoscandinavie, Pays baltes et ouest de la Russie"/>
    <x v="1"/>
    <x v="1"/>
    <s v="Onsernone"/>
    <s v="Passo Gavina"/>
    <n v="46.224319119999997"/>
    <n v="8.6801625649999998"/>
    <n v="6"/>
    <n v="8"/>
    <x v="1"/>
    <n v="2016"/>
    <x v="186"/>
    <x v="2"/>
    <n v="53"/>
    <x v="2"/>
    <x v="2"/>
    <x v="1"/>
    <n v="695787"/>
    <n v="119966"/>
    <n v="69571199"/>
    <n v="695119"/>
    <n v="695115"/>
    <n v="697500"/>
    <n v="117500"/>
    <n v="327"/>
    <x v="0"/>
    <n v="0"/>
    <n v="0"/>
    <n v="0"/>
    <n v="-88.061536500000003"/>
    <n v="-88.061536500000003"/>
    <s v="NA"/>
    <s v="NA"/>
    <m/>
    <x v="3"/>
    <s v="Sud de la Fennoscandinavie, Pays baltes et ouest de la Russie"/>
    <n v="9"/>
    <s v="CAVACO-9"/>
    <s v="Abschuss"/>
  </r>
  <r>
    <x v="472"/>
    <s v="ScoRus"/>
    <n v="0"/>
    <x v="1"/>
    <x v="1"/>
    <x v="0"/>
    <x v="0"/>
    <x v="463"/>
    <n v="-24.382399499999998"/>
    <x v="462"/>
    <x v="7"/>
    <s v="Sud de la Fennoscandinavie, Pays baltes et ouest de la Russie"/>
    <x v="1"/>
    <x v="1"/>
    <s v="Monteceneri"/>
    <s v="Rivera, Monte di Spina"/>
    <n v="46.127502100000001"/>
    <n v="8.901983027"/>
    <n v="4"/>
    <n v="28"/>
    <x v="0"/>
    <n v="2015"/>
    <x v="164"/>
    <x v="16"/>
    <n v="43"/>
    <x v="1"/>
    <x v="1"/>
    <x v="1"/>
    <n v="713100"/>
    <n v="109500"/>
    <n v="71311095"/>
    <n v="713109"/>
    <n v="710105"/>
    <n v="712500"/>
    <n v="107500"/>
    <n v="260"/>
    <x v="0"/>
    <n v="0"/>
    <n v="0"/>
    <n v="0"/>
    <n v="-87.97"/>
    <n v="-87.97"/>
    <n v="-111"/>
    <s v="NA"/>
    <m/>
    <x v="3"/>
    <s v="Sud de la Fennoscandinavie, Pays baltes et ouest de la Russie"/>
    <n v="9"/>
    <s v="RICHAD-4"/>
    <s v="Abschuss"/>
  </r>
  <r>
    <x v="473"/>
    <s v="ScoRus"/>
    <n v="0"/>
    <x v="1"/>
    <x v="1"/>
    <x v="0"/>
    <x v="0"/>
    <x v="464"/>
    <n v="-23.379028949999999"/>
    <x v="463"/>
    <x v="7"/>
    <s v="Sud de la Fennoscandinavie, Pays baltes et ouest de la Russie"/>
    <x v="1"/>
    <x v="1"/>
    <s v="Arogno"/>
    <s v="Alpe di Arogno"/>
    <n v="45.95424517"/>
    <n v="9.0069933019999997"/>
    <n v="6"/>
    <n v="14"/>
    <x v="1"/>
    <n v="2015"/>
    <x v="174"/>
    <x v="18"/>
    <n v="59"/>
    <x v="6"/>
    <x v="2"/>
    <x v="2"/>
    <n v="721600"/>
    <n v="90400"/>
    <n v="72160904"/>
    <n v="721090"/>
    <n v="720090"/>
    <n v="722500"/>
    <n v="92500"/>
    <n v="340"/>
    <x v="0"/>
    <n v="0"/>
    <n v="0"/>
    <n v="0"/>
    <n v="-87.93"/>
    <n v="-87.93"/>
    <n v="-111"/>
    <s v="NA"/>
    <m/>
    <x v="3"/>
    <s v="Sud de la Fennoscandinavie, Pays baltes et ouest de la Russie"/>
    <n v="9"/>
    <s v="TANTST3"/>
    <s v="Abschuss"/>
  </r>
  <r>
    <x v="474"/>
    <s v="ScoRus"/>
    <n v="0"/>
    <x v="1"/>
    <x v="1"/>
    <x v="0"/>
    <x v="0"/>
    <x v="465"/>
    <n v="-22.75"/>
    <x v="464"/>
    <x v="7"/>
    <s v="Sud de la Fennoscandinavie, Pays baltes et ouest de la Russie"/>
    <x v="4"/>
    <x v="6"/>
    <s v="Ayent"/>
    <s v="Serin"/>
    <n v="46.325892170000003"/>
    <n v="7.4191597030000001"/>
    <n v="3"/>
    <n v="5"/>
    <x v="1"/>
    <n v="2016"/>
    <x v="144"/>
    <x v="22"/>
    <n v="50"/>
    <x v="3"/>
    <x v="1"/>
    <x v="1"/>
    <n v="598500"/>
    <n v="130500"/>
    <n v="59851305"/>
    <n v="598130"/>
    <n v="595130"/>
    <n v="597500"/>
    <n v="132500"/>
    <n v="298"/>
    <x v="0"/>
    <n v="0"/>
    <n v="0"/>
    <n v="0"/>
    <n v="-87.908226499999998"/>
    <n v="-87.908226499999998"/>
    <s v="NA"/>
    <s v="NA"/>
    <m/>
    <x v="3"/>
    <s v="Sud de la Fennoscandinavie, Pays baltes et ouest de la Russie"/>
    <n v="9"/>
    <s v="CRETFH1-1"/>
    <s v="Abschuss"/>
  </r>
  <r>
    <x v="475"/>
    <s v="ScoRus"/>
    <n v="0"/>
    <x v="1"/>
    <x v="1"/>
    <x v="0"/>
    <x v="0"/>
    <x v="466"/>
    <n v="-23.13"/>
    <x v="465"/>
    <x v="7"/>
    <s v="Sud de la Fennoscandinavie, Pays baltes et ouest de la Russie"/>
    <x v="1"/>
    <x v="1"/>
    <s v="Centovalli"/>
    <s v="NA"/>
    <n v="46.152682519999999"/>
    <n v="8.6773537580000006"/>
    <n v="5"/>
    <n v="8"/>
    <x v="1"/>
    <n v="2016"/>
    <x v="186"/>
    <x v="2"/>
    <n v="53"/>
    <x v="2"/>
    <x v="2"/>
    <x v="1"/>
    <n v="695696"/>
    <n v="112000"/>
    <n v="69561120"/>
    <n v="695112"/>
    <n v="695110"/>
    <n v="697500"/>
    <n v="112500"/>
    <n v="303"/>
    <x v="0"/>
    <n v="0"/>
    <n v="0"/>
    <n v="0"/>
    <n v="-87.878570999999994"/>
    <n v="-87.878570999999994"/>
    <s v="NA"/>
    <s v="NA"/>
    <m/>
    <x v="3"/>
    <s v="Sud de la Fennoscandinavie, Pays baltes et ouest de la Russie"/>
    <n v="9"/>
    <s v="FISCIV-17"/>
    <s v="Abschuss"/>
  </r>
  <r>
    <x v="476"/>
    <s v="ScoRus"/>
    <n v="0"/>
    <x v="1"/>
    <x v="1"/>
    <x v="0"/>
    <x v="0"/>
    <x v="467"/>
    <n v="-23.53"/>
    <x v="466"/>
    <x v="7"/>
    <s v="Sud de la Fennoscandinavie, Pays baltes et ouest de la Russie"/>
    <x v="1"/>
    <x v="1"/>
    <s v="Peccia"/>
    <s v="NA"/>
    <n v="46.399647549999997"/>
    <n v="8.634925655"/>
    <n v="3"/>
    <n v="3"/>
    <x v="1"/>
    <n v="2016"/>
    <x v="162"/>
    <x v="25"/>
    <n v="48"/>
    <x v="3"/>
    <x v="1"/>
    <x v="1"/>
    <n v="692000"/>
    <n v="139400"/>
    <n v="69201394"/>
    <n v="692139"/>
    <n v="690135"/>
    <n v="692500"/>
    <n v="137500"/>
    <n v="367"/>
    <x v="0"/>
    <n v="0"/>
    <n v="0"/>
    <n v="0"/>
    <n v="-87.8162272"/>
    <n v="-87.8162272"/>
    <s v="NA"/>
    <s v="NA"/>
    <m/>
    <x v="3"/>
    <s v="Sud de la Fennoscandinavie, Pays baltes et ouest de la Russie"/>
    <n v="9"/>
    <s v="CAVAMA-4"/>
    <s v="Abschuss"/>
  </r>
  <r>
    <x v="477"/>
    <s v="ScoRus"/>
    <n v="0"/>
    <x v="1"/>
    <x v="1"/>
    <x v="0"/>
    <x v="0"/>
    <x v="468"/>
    <n v="-33.289396170000003"/>
    <x v="467"/>
    <x v="7"/>
    <s v="Sud de la Fennoscandinavie, Pays baltes et ouest de la Russie"/>
    <x v="2"/>
    <x v="2"/>
    <s v="La Verrerie"/>
    <s v="NA"/>
    <n v="46.595512569999997"/>
    <n v="6.9270844880000002"/>
    <n v="4"/>
    <n v="31"/>
    <x v="0"/>
    <n v="2013"/>
    <x v="18"/>
    <x v="17"/>
    <n v="46"/>
    <x v="1"/>
    <x v="1"/>
    <x v="1"/>
    <n v="560800"/>
    <n v="160600"/>
    <n v="56081606"/>
    <n v="560160"/>
    <n v="560160"/>
    <n v="562500"/>
    <n v="162500"/>
    <n v="304"/>
    <x v="0"/>
    <n v="0"/>
    <n v="0"/>
    <n v="0"/>
    <n v="-87.7"/>
    <n v="-87.7"/>
    <n v="-110.7"/>
    <s v="NA"/>
    <m/>
    <x v="3"/>
    <s v="Sud de la Fennoscandinavie, Pays baltes et ouest de la Russie"/>
    <n v="9"/>
    <s v="BLANDA3"/>
    <s v="Abschuss"/>
  </r>
  <r>
    <x v="478"/>
    <s v="ScoRus"/>
    <n v="0"/>
    <x v="1"/>
    <x v="1"/>
    <x v="0"/>
    <x v="0"/>
    <x v="468"/>
    <n v="-23.773399999999999"/>
    <x v="468"/>
    <x v="7"/>
    <s v="Sud de la Fennoscandinavie, Pays baltes et ouest de la Russie"/>
    <x v="1"/>
    <x v="1"/>
    <s v="Mosogno"/>
    <s v="Monte Frascheine"/>
    <n v="46.148837290000003"/>
    <n v="8.6385369829999998"/>
    <n v="6"/>
    <n v="11"/>
    <x v="1"/>
    <n v="2015"/>
    <x v="32"/>
    <x v="7"/>
    <n v="56"/>
    <x v="2"/>
    <x v="2"/>
    <x v="1"/>
    <n v="692704"/>
    <n v="111526"/>
    <n v="69271115"/>
    <n v="692111"/>
    <n v="690110"/>
    <n v="692500"/>
    <n v="112500"/>
    <n v="297"/>
    <x v="0"/>
    <n v="0"/>
    <n v="0"/>
    <n v="0"/>
    <n v="-87.7"/>
    <n v="-87.7"/>
    <n v="-110.7"/>
    <s v="NA"/>
    <m/>
    <x v="3"/>
    <s v="Sud de la Fennoscandinavie, Pays baltes et ouest de la Russie"/>
    <n v="9"/>
    <s v="ROSS-GI15"/>
    <s v="Abschuss"/>
  </r>
  <r>
    <x v="479"/>
    <s v="ScoRus"/>
    <n v="0"/>
    <x v="1"/>
    <x v="1"/>
    <x v="0"/>
    <x v="0"/>
    <x v="469"/>
    <n v="-24.453399999999998"/>
    <x v="469"/>
    <x v="7"/>
    <s v="Sud de la Fennoscandinavie, Pays baltes et ouest de la Russie"/>
    <x v="1"/>
    <x v="1"/>
    <s v="Onsernone"/>
    <s v="Monte Calcima"/>
    <n v="46.207898739999997"/>
    <n v="8.6155408839999996"/>
    <n v="6"/>
    <n v="24"/>
    <x v="1"/>
    <n v="2015"/>
    <x v="215"/>
    <x v="43"/>
    <n v="69"/>
    <x v="7"/>
    <x v="3"/>
    <x v="2"/>
    <n v="690829"/>
    <n v="118064"/>
    <n v="69081180"/>
    <n v="690118"/>
    <n v="690115"/>
    <n v="692500"/>
    <n v="117500"/>
    <n v="322"/>
    <x v="0"/>
    <n v="0"/>
    <n v="0"/>
    <n v="0"/>
    <n v="-87.43"/>
    <n v="-87.43"/>
    <n v="-110.5"/>
    <s v="NA"/>
    <m/>
    <x v="3"/>
    <s v="Sud de la Fennoscandinavie, Pays baltes et ouest de la Russie"/>
    <n v="9"/>
    <s v="ROSS-Gi19"/>
    <s v="Abschuss"/>
  </r>
  <r>
    <x v="480"/>
    <s v="ScoRus"/>
    <n v="0"/>
    <x v="1"/>
    <x v="1"/>
    <x v="0"/>
    <x v="0"/>
    <x v="470"/>
    <n v="-24.13"/>
    <x v="470"/>
    <x v="7"/>
    <s v="Sud de la Fennoscandinavie, Pays baltes et ouest de la Russie"/>
    <x v="1"/>
    <x v="1"/>
    <s v="Onsernone"/>
    <s v="Larasit"/>
    <n v="46.219300269999998"/>
    <n v="8.6906503920000002"/>
    <n v="6"/>
    <n v="19"/>
    <x v="0"/>
    <n v="2016"/>
    <x v="155"/>
    <x v="9"/>
    <n v="34"/>
    <x v="4"/>
    <x v="0"/>
    <x v="0"/>
    <n v="696605"/>
    <n v="119421"/>
    <n v="69661194"/>
    <n v="696119"/>
    <n v="695115"/>
    <n v="697500"/>
    <n v="117500"/>
    <n v="338"/>
    <x v="0"/>
    <n v="0"/>
    <n v="0"/>
    <n v="0"/>
    <n v="-87.103339399999996"/>
    <n v="-87.103339399999996"/>
    <s v="NA"/>
    <s v="NA"/>
    <m/>
    <x v="3"/>
    <s v="Sud de la Fennoscandinavie, Pays baltes et ouest de la Russie"/>
    <n v="9"/>
    <s v="CAVACO-2"/>
    <s v="Abschuss"/>
  </r>
  <r>
    <x v="481"/>
    <s v="ScoRus"/>
    <n v="0"/>
    <x v="1"/>
    <x v="1"/>
    <x v="0"/>
    <x v="0"/>
    <x v="471"/>
    <n v="-24.719715879999999"/>
    <x v="471"/>
    <x v="7"/>
    <s v="Sud de la Fennoscandinavie, Pays baltes et ouest de la Russie"/>
    <x v="1"/>
    <x v="1"/>
    <s v="Monteceneri"/>
    <s v="Rivera, Monte di Spina"/>
    <n v="46.125411270000001"/>
    <n v="8.9071027189999992"/>
    <n v="4"/>
    <n v="24"/>
    <x v="0"/>
    <n v="2015"/>
    <x v="165"/>
    <x v="14"/>
    <n v="39"/>
    <x v="0"/>
    <x v="0"/>
    <x v="0"/>
    <n v="713500"/>
    <n v="109275"/>
    <n v="71351092"/>
    <n v="713109"/>
    <n v="710105"/>
    <n v="712500"/>
    <n v="107500"/>
    <n v="260"/>
    <x v="0"/>
    <n v="0"/>
    <n v="0"/>
    <n v="0"/>
    <n v="-87.07"/>
    <n v="-87.07"/>
    <n v="-110.1"/>
    <s v="NA"/>
    <m/>
    <x v="3"/>
    <s v="Sud de la Fennoscandinavie, Pays baltes et ouest de la Russie"/>
    <n v="9"/>
    <s v="RICHAD-2"/>
    <s v="Abschuss"/>
  </r>
  <r>
    <x v="482"/>
    <s v="ScoRus"/>
    <n v="0"/>
    <x v="1"/>
    <x v="1"/>
    <x v="0"/>
    <x v="0"/>
    <x v="472"/>
    <n v="-25.11525"/>
    <x v="472"/>
    <x v="7"/>
    <s v="Sud de la Fennoscandinavie, Pays baltes et ouest de la Russie"/>
    <x v="1"/>
    <x v="1"/>
    <s v="Mosogno"/>
    <s v="NA"/>
    <n v="46.208162350000002"/>
    <n v="8.6315890189999998"/>
    <n v="6"/>
    <n v="14"/>
    <x v="1"/>
    <n v="2015"/>
    <x v="174"/>
    <x v="18"/>
    <n v="59"/>
    <x v="6"/>
    <x v="2"/>
    <x v="2"/>
    <n v="692067"/>
    <n v="118112"/>
    <n v="69201181"/>
    <n v="692118"/>
    <n v="690115"/>
    <n v="692500"/>
    <n v="117500"/>
    <n v="310"/>
    <x v="0"/>
    <n v="0"/>
    <n v="0"/>
    <n v="0"/>
    <n v="-87.06"/>
    <n v="-87.06"/>
    <n v="-110.1"/>
    <s v="NA"/>
    <m/>
    <x v="3"/>
    <s v="Sud de la Fennoscandinavie, Pays baltes et ouest de la Russie"/>
    <n v="9"/>
    <s v="FISCIV18"/>
    <s v="Abschuss"/>
  </r>
  <r>
    <x v="483"/>
    <s v="ScoRus"/>
    <n v="0"/>
    <x v="1"/>
    <x v="1"/>
    <x v="0"/>
    <x v="0"/>
    <x v="473"/>
    <s v="NA"/>
    <x v="112"/>
    <x v="7"/>
    <s v="Sud de la Fennoscandinavie, Pays baltes et ouest de la Russie"/>
    <x v="2"/>
    <x v="2"/>
    <s v="Villarimboud"/>
    <s v="Au Bois"/>
    <n v="46.733599159999997"/>
    <n v="6.9418679079999999"/>
    <n v="4"/>
    <n v="4"/>
    <x v="9"/>
    <n v="2014"/>
    <x v="216"/>
    <x v="100"/>
    <n v="79"/>
    <x v="34"/>
    <x v="5"/>
    <x v="3"/>
    <n v="562030"/>
    <n v="175943"/>
    <n v="56201759"/>
    <n v="562175"/>
    <n v="560175"/>
    <n v="562500"/>
    <n v="177500"/>
    <n v="332"/>
    <x v="0"/>
    <n v="0"/>
    <n v="0"/>
    <n v="0"/>
    <n v="-86.86"/>
    <n v="-86.86"/>
    <n v="-109.9"/>
    <s v="NA"/>
    <m/>
    <x v="3"/>
    <s v="Sud de la Fennoscandinavie, Pays baltes et ouest de la Russie"/>
    <n v="9"/>
    <s v="YERMI-10"/>
    <s v="Abschuss"/>
  </r>
  <r>
    <x v="484"/>
    <s v="ScoRus"/>
    <n v="0"/>
    <x v="1"/>
    <x v="1"/>
    <x v="0"/>
    <x v="0"/>
    <x v="473"/>
    <n v="-22.099710389999998"/>
    <x v="473"/>
    <x v="7"/>
    <s v="Sud de la Fennoscandinavie, Pays baltes et ouest de la Russie"/>
    <x v="3"/>
    <x v="2"/>
    <s v="NA"/>
    <s v="NA"/>
    <n v="46.587277180000001"/>
    <n v="6.969972802"/>
    <n v="6"/>
    <n v="2"/>
    <x v="1"/>
    <n v="2013"/>
    <x v="86"/>
    <x v="4"/>
    <n v="47"/>
    <x v="3"/>
    <x v="1"/>
    <x v="1"/>
    <n v="564081"/>
    <n v="159664"/>
    <n v="56401596"/>
    <n v="564159"/>
    <n v="560155"/>
    <n v="562500"/>
    <n v="157500"/>
    <n v="316"/>
    <x v="0"/>
    <n v="0"/>
    <n v="0"/>
    <n v="0"/>
    <n v="-86.86"/>
    <n v="-86.86"/>
    <n v="-109.9"/>
    <s v="NA"/>
    <m/>
    <x v="3"/>
    <s v="Sud de la Fennoscandinavie, Pays baltes et ouest de la Russie"/>
    <n v="9"/>
    <s v="DENEPA4"/>
    <s v="Abschuss"/>
  </r>
  <r>
    <x v="485"/>
    <s v="ScoRus"/>
    <n v="0"/>
    <x v="1"/>
    <x v="1"/>
    <x v="0"/>
    <x v="0"/>
    <x v="474"/>
    <n v="-24.553000000000001"/>
    <x v="474"/>
    <x v="7"/>
    <s v="Sud de la Fennoscandinavie, Pays baltes et ouest de la Russie"/>
    <x v="0"/>
    <x v="0"/>
    <s v="Les Verrières"/>
    <s v="Mont Châtin"/>
    <n v="46.891953940000001"/>
    <n v="6.5116774120000001"/>
    <n v="5"/>
    <n v="14"/>
    <x v="1"/>
    <n v="2015"/>
    <x v="174"/>
    <x v="18"/>
    <n v="59"/>
    <x v="6"/>
    <x v="2"/>
    <x v="2"/>
    <n v="529358"/>
    <n v="193844"/>
    <n v="52931938"/>
    <n v="529193"/>
    <n v="525190"/>
    <n v="527500"/>
    <n v="192500"/>
    <n v="327"/>
    <x v="0"/>
    <n v="0"/>
    <n v="0"/>
    <n v="0"/>
    <n v="-86.82"/>
    <n v="-86.82"/>
    <n v="-109.8"/>
    <s v="NA"/>
    <m/>
    <x v="3"/>
    <s v="Sud de la Fennoscandinavie, Pays baltes et ouest de la Russie"/>
    <n v="9"/>
    <s v="GARIGR-2"/>
    <s v="Abschuss"/>
  </r>
  <r>
    <x v="486"/>
    <s v="ScoRus"/>
    <n v="0"/>
    <x v="1"/>
    <x v="1"/>
    <x v="0"/>
    <x v="0"/>
    <x v="475"/>
    <n v="-24.9848"/>
    <x v="475"/>
    <x v="7"/>
    <s v="Sud de la Fennoscandinavie, Pays baltes et ouest de la Russie"/>
    <x v="1"/>
    <x v="1"/>
    <s v="Cimadera"/>
    <s v="Volpera"/>
    <n v="46.082728060000001"/>
    <n v="9.0514119789999992"/>
    <n v="6"/>
    <n v="26"/>
    <x v="1"/>
    <n v="2015"/>
    <x v="217"/>
    <x v="31"/>
    <n v="71"/>
    <x v="7"/>
    <x v="3"/>
    <x v="2"/>
    <n v="724750"/>
    <n v="104750"/>
    <n v="72471047"/>
    <n v="724104"/>
    <n v="720100"/>
    <n v="722500"/>
    <n v="102500"/>
    <n v="300"/>
    <x v="0"/>
    <n v="0"/>
    <n v="0"/>
    <n v="0"/>
    <n v="-86.6"/>
    <n v="-86.6"/>
    <n v="-109.6"/>
    <s v="NA"/>
    <m/>
    <x v="3"/>
    <s v="Sud de la Fennoscandinavie, Pays baltes et ouest de la Russie"/>
    <n v="9"/>
    <s v="ROSAOR-9"/>
    <s v="Abschuss"/>
  </r>
  <r>
    <x v="487"/>
    <s v="ScoRus"/>
    <n v="0"/>
    <x v="1"/>
    <x v="1"/>
    <x v="0"/>
    <x v="0"/>
    <x v="476"/>
    <n v="-23.934999999999999"/>
    <x v="476"/>
    <x v="7"/>
    <s v="Sud de la Fennoscandinavie, Pays baltes et ouest de la Russie"/>
    <x v="0"/>
    <x v="3"/>
    <s v="Premier"/>
    <s v="Sur Grati"/>
    <n v="46.69757285"/>
    <n v="6.4184793600000001"/>
    <n v="6"/>
    <n v="6"/>
    <x v="1"/>
    <n v="2015"/>
    <x v="218"/>
    <x v="13"/>
    <n v="51"/>
    <x v="3"/>
    <x v="1"/>
    <x v="1"/>
    <n v="521975"/>
    <n v="172325"/>
    <n v="52191723"/>
    <n v="521172"/>
    <n v="520170"/>
    <n v="522500"/>
    <n v="172500"/>
    <n v="309"/>
    <x v="0"/>
    <n v="0"/>
    <n v="0"/>
    <n v="0"/>
    <n v="-86.47"/>
    <n v="-86.47"/>
    <n v="-109.5"/>
    <s v="NA"/>
    <m/>
    <x v="3"/>
    <s v="Sud de la Fennoscandinavie, Pays baltes et ouest de la Russie"/>
    <n v="9"/>
    <s v="PRIOJE-2"/>
    <s v="Abschuss"/>
  </r>
  <r>
    <x v="488"/>
    <s v="ScoRus"/>
    <n v="0"/>
    <x v="1"/>
    <x v="1"/>
    <x v="0"/>
    <x v="0"/>
    <x v="477"/>
    <n v="-24.869199999999999"/>
    <x v="477"/>
    <x v="7"/>
    <s v="Sud de la Fennoscandinavie, Pays baltes et ouest de la Russie"/>
    <x v="0"/>
    <x v="3"/>
    <s v="Baulmes"/>
    <s v="Le Corbet"/>
    <n v="46.805772380000001"/>
    <n v="6.4401054110000002"/>
    <n v="6"/>
    <n v="20"/>
    <x v="1"/>
    <n v="2014"/>
    <x v="46"/>
    <x v="32"/>
    <n v="65"/>
    <x v="5"/>
    <x v="3"/>
    <x v="2"/>
    <n v="523782"/>
    <n v="184331"/>
    <n v="52371843"/>
    <n v="523184"/>
    <n v="520180"/>
    <n v="522500"/>
    <n v="182500"/>
    <n v="330"/>
    <x v="0"/>
    <n v="0"/>
    <n v="0"/>
    <n v="0"/>
    <n v="-86.42"/>
    <n v="-86.42"/>
    <n v="-109.4"/>
    <s v="NA"/>
    <m/>
    <x v="3"/>
    <s v="Sud de la Fennoscandinavie, Pays baltes et ouest de la Russie"/>
    <n v="9"/>
    <s v="JOSEDA-2"/>
    <s v="Abschuss"/>
  </r>
  <r>
    <x v="489"/>
    <s v="ScoRus"/>
    <n v="0"/>
    <x v="1"/>
    <x v="1"/>
    <x v="0"/>
    <x v="0"/>
    <x v="478"/>
    <n v="-11.83"/>
    <x v="478"/>
    <x v="7"/>
    <s v="Sud de la Fennoscandinavie, Pays baltes et ouest de la Russie"/>
    <x v="1"/>
    <x v="1"/>
    <s v="Monteceneri"/>
    <s v="Robasano"/>
    <n v="46.133507139999999"/>
    <n v="8.9244032680000007"/>
    <n v="5"/>
    <n v="24"/>
    <x v="1"/>
    <n v="2016"/>
    <x v="219"/>
    <x v="43"/>
    <n v="69"/>
    <x v="7"/>
    <x v="3"/>
    <x v="2"/>
    <n v="714820"/>
    <n v="110200"/>
    <n v="71481102"/>
    <n v="714110"/>
    <n v="710110"/>
    <n v="712500"/>
    <n v="112500"/>
    <n v="300"/>
    <x v="0"/>
    <n v="0"/>
    <n v="0"/>
    <n v="0"/>
    <n v="-86.382661999999996"/>
    <n v="-86.382661999999996"/>
    <s v="NA"/>
    <s v="NA"/>
    <m/>
    <x v="3"/>
    <s v="Sud de la Fennoscandinavie, Pays baltes et ouest de la Russie"/>
    <n v="9"/>
    <s v="PURASA-19"/>
    <s v="Abschuss"/>
  </r>
  <r>
    <x v="490"/>
    <s v="ScoRus"/>
    <n v="0"/>
    <x v="1"/>
    <x v="1"/>
    <x v="0"/>
    <x v="0"/>
    <x v="479"/>
    <n v="-23.81"/>
    <x v="479"/>
    <x v="7"/>
    <s v="Sud de la Fennoscandinavie, Pays baltes et ouest de la Russie"/>
    <x v="1"/>
    <x v="1"/>
    <s v="Gambarogno"/>
    <s v="Lierna"/>
    <n v="46.11937614"/>
    <n v="8.8331943059999993"/>
    <n v="4"/>
    <n v="20"/>
    <x v="0"/>
    <n v="2016"/>
    <x v="153"/>
    <x v="30"/>
    <n v="35"/>
    <x v="4"/>
    <x v="0"/>
    <x v="0"/>
    <n v="707800"/>
    <n v="108500"/>
    <n v="70781085"/>
    <n v="707108"/>
    <n v="705105"/>
    <n v="707500"/>
    <n v="107500"/>
    <n v="280"/>
    <x v="0"/>
    <n v="0"/>
    <n v="0"/>
    <n v="0"/>
    <n v="-86.353858500000001"/>
    <n v="-86.353858500000001"/>
    <s v="NA"/>
    <s v="NA"/>
    <m/>
    <x v="3"/>
    <s v="Sud de la Fennoscandinavie, Pays baltes et ouest de la Russie"/>
    <n v="9"/>
    <s v="GNOSDA-4"/>
    <s v="Abschuss"/>
  </r>
  <r>
    <x v="491"/>
    <s v="ScoRus"/>
    <n v="0"/>
    <x v="1"/>
    <x v="1"/>
    <x v="0"/>
    <x v="0"/>
    <x v="480"/>
    <n v="-23.91"/>
    <x v="478"/>
    <x v="7"/>
    <s v="Sud de la Fennoscandinavie, Pays baltes et ouest de la Russie"/>
    <x v="1"/>
    <x v="1"/>
    <s v="Bruzella"/>
    <s v="Alpe Nuovo"/>
    <n v="45.894131170000001"/>
    <n v="9.0810120219999995"/>
    <n v="5"/>
    <n v="6"/>
    <x v="1"/>
    <n v="2016"/>
    <x v="194"/>
    <x v="13"/>
    <n v="51"/>
    <x v="3"/>
    <x v="1"/>
    <x v="1"/>
    <n v="727478"/>
    <n v="83836"/>
    <n v="72740838"/>
    <n v="727083"/>
    <n v="725080"/>
    <n v="727500"/>
    <n v="82500"/>
    <n v="300"/>
    <x v="0"/>
    <n v="0"/>
    <n v="0"/>
    <n v="0"/>
    <n v="-86.312373100000002"/>
    <n v="-86.312373100000002"/>
    <s v="NA"/>
    <s v="NA"/>
    <m/>
    <x v="3"/>
    <s v="Sud de la Fennoscandinavie, Pays baltes et ouest de la Russie"/>
    <n v="9"/>
    <s v="BIANRO-8"/>
    <s v="Abschuss"/>
  </r>
  <r>
    <x v="492"/>
    <s v="ScoRus"/>
    <n v="0"/>
    <x v="1"/>
    <x v="1"/>
    <x v="0"/>
    <x v="0"/>
    <x v="481"/>
    <n v="-23.9"/>
    <x v="480"/>
    <x v="7"/>
    <s v="Sud de la Fennoscandinavie, Pays baltes et ouest de la Russie"/>
    <x v="1"/>
    <x v="1"/>
    <s v="Onsernone"/>
    <s v="Mte la Böta"/>
    <n v="46.209410570000003"/>
    <n v="8.6900473050000002"/>
    <n v="6"/>
    <n v="18"/>
    <x v="0"/>
    <n v="2016"/>
    <x v="151"/>
    <x v="89"/>
    <n v="33"/>
    <x v="4"/>
    <x v="0"/>
    <x v="0"/>
    <n v="696576"/>
    <n v="118321"/>
    <n v="69651183"/>
    <n v="696118"/>
    <n v="695115"/>
    <n v="697500"/>
    <n v="117500"/>
    <n v="330"/>
    <x v="0"/>
    <n v="0"/>
    <n v="0"/>
    <n v="0"/>
    <n v="-86.288804099999993"/>
    <n v="-86.288804099999993"/>
    <s v="NA"/>
    <s v="NA"/>
    <m/>
    <x v="3"/>
    <s v="Sud de la Fennoscandinavie, Pays baltes et ouest de la Russie"/>
    <n v="9"/>
    <s v="CAVACO-1"/>
    <s v="Abschuss"/>
  </r>
  <r>
    <x v="493"/>
    <s v="ScoRus"/>
    <n v="0"/>
    <x v="1"/>
    <x v="1"/>
    <x v="0"/>
    <x v="0"/>
    <x v="482"/>
    <s v="NA"/>
    <x v="481"/>
    <x v="7"/>
    <s v="Sud de la Fennoscandinavie, Pays baltes et ouest de la Russie"/>
    <x v="1"/>
    <x v="1"/>
    <s v="Arbedo"/>
    <s v="Gesero"/>
    <n v="46.181955860000002"/>
    <n v="9.1262399900000002"/>
    <n v="4"/>
    <n v="2"/>
    <x v="1"/>
    <n v="2017"/>
    <x v="26"/>
    <x v="4"/>
    <n v="47"/>
    <x v="3"/>
    <x v="1"/>
    <x v="1"/>
    <n v="730300"/>
    <n v="115900"/>
    <n v="73031159"/>
    <n v="730115"/>
    <n v="730115"/>
    <n v="732500"/>
    <n v="117500"/>
    <n v="283"/>
    <x v="0"/>
    <n v="0"/>
    <n v="0"/>
    <n v="0"/>
    <n v="-86.256360799999996"/>
    <n v="-86.256360799999996"/>
    <s v="NA"/>
    <s v="NA"/>
    <m/>
    <x v="3"/>
    <s v="Sud de la Fennoscandinavie, Pays baltes et ouest de la Russie"/>
    <n v="9"/>
    <s v="GNOSDA-4"/>
    <s v="Abschuss"/>
  </r>
  <r>
    <x v="494"/>
    <s v="ScoRus"/>
    <n v="0"/>
    <x v="1"/>
    <x v="1"/>
    <x v="0"/>
    <x v="0"/>
    <x v="483"/>
    <s v="NA"/>
    <x v="482"/>
    <x v="7"/>
    <s v="Sud de la Fennoscandinavie, Pays baltes et ouest de la Russie"/>
    <x v="2"/>
    <x v="2"/>
    <s v="Salvenach / Morat"/>
    <s v="NA"/>
    <n v="46.91554"/>
    <n v="7.164326"/>
    <n v="5"/>
    <n v="5"/>
    <x v="9"/>
    <n v="2017"/>
    <x v="220"/>
    <x v="101"/>
    <n v="80"/>
    <x v="34"/>
    <x v="5"/>
    <x v="3"/>
    <n v="579104"/>
    <n v="196085"/>
    <n v="57911960"/>
    <n v="579196"/>
    <n v="575195"/>
    <n v="577500"/>
    <n v="197500"/>
    <n v="302"/>
    <x v="0"/>
    <n v="0"/>
    <n v="0"/>
    <n v="0"/>
    <n v="-86.102024"/>
    <n v="-86.102024"/>
    <s v="NA"/>
    <s v="NA"/>
    <m/>
    <x v="3"/>
    <s v="Sud de la Fennoscandinavie, Pays baltes et ouest de la Russie"/>
    <n v="9"/>
    <s v="YERLMI-6"/>
    <s v="Abschuss"/>
  </r>
  <r>
    <x v="495"/>
    <s v="ScoRus"/>
    <n v="0"/>
    <x v="1"/>
    <x v="1"/>
    <x v="0"/>
    <x v="0"/>
    <x v="484"/>
    <s v="NA"/>
    <x v="112"/>
    <x v="7"/>
    <s v="Sud de la Fennoscandinavie, Pays baltes et ouest de la Russie"/>
    <x v="3"/>
    <x v="2"/>
    <s v="Treyevaux"/>
    <s v="La Combert"/>
    <n v="46.711803140000001"/>
    <n v="7.144450623"/>
    <n v="4"/>
    <n v="13"/>
    <x v="1"/>
    <n v="2014"/>
    <x v="221"/>
    <x v="15"/>
    <n v="58"/>
    <x v="6"/>
    <x v="2"/>
    <x v="2"/>
    <n v="577505"/>
    <n v="173442"/>
    <n v="57751734"/>
    <n v="577173"/>
    <n v="575170"/>
    <n v="577500"/>
    <n v="172500"/>
    <n v="330"/>
    <x v="0"/>
    <n v="0"/>
    <n v="0"/>
    <n v="0"/>
    <n v="-86.08"/>
    <n v="-86.08"/>
    <n v="-109.1"/>
    <s v="NA"/>
    <m/>
    <x v="3"/>
    <s v="Sud de la Fennoscandinavie, Pays baltes et ouest de la Russie"/>
    <n v="9"/>
    <s v="YERMI-009"/>
    <s v="Abschuss"/>
  </r>
  <r>
    <x v="496"/>
    <s v="ScoRus"/>
    <n v="0"/>
    <x v="1"/>
    <x v="1"/>
    <x v="0"/>
    <x v="0"/>
    <x v="485"/>
    <n v="-24.21"/>
    <x v="483"/>
    <x v="7"/>
    <s v="Sud de la Fennoscandinavie, Pays baltes et ouest de la Russie"/>
    <x v="1"/>
    <x v="1"/>
    <s v="Gambarogno"/>
    <s v="Liernaa"/>
    <n v="46.119360149999999"/>
    <n v="8.8344876770000003"/>
    <n v="4"/>
    <n v="29"/>
    <x v="0"/>
    <n v="2016"/>
    <x v="180"/>
    <x v="1"/>
    <n v="44"/>
    <x v="1"/>
    <x v="1"/>
    <x v="1"/>
    <n v="707900"/>
    <n v="108500"/>
    <n v="70791085"/>
    <n v="707108"/>
    <n v="705105"/>
    <n v="707500"/>
    <n v="107500"/>
    <n v="327"/>
    <x v="0"/>
    <n v="0"/>
    <n v="0"/>
    <n v="0"/>
    <n v="-86.044850100000005"/>
    <n v="-86.044850100000005"/>
    <s v="NA"/>
    <s v="NA"/>
    <m/>
    <x v="3"/>
    <s v="Sud de la Fennoscandinavie, Pays baltes et ouest de la Russie"/>
    <n v="9"/>
    <s v="GNOSDA-7"/>
    <s v="Abschuss"/>
  </r>
  <r>
    <x v="497"/>
    <s v="ScoRus"/>
    <n v="0"/>
    <x v="1"/>
    <x v="1"/>
    <x v="0"/>
    <x v="0"/>
    <x v="486"/>
    <n v="-23.8"/>
    <x v="484"/>
    <x v="7"/>
    <s v="Sud de la Fennoscandinavie, Pays baltes et ouest de la Russie"/>
    <x v="0"/>
    <x v="0"/>
    <s v="Saint-Aubin-Sauge"/>
    <s v="Les Râpes"/>
    <n v="46.918619679999999"/>
    <n v="6.750556574"/>
    <n v="6"/>
    <n v="15"/>
    <x v="1"/>
    <n v="2016"/>
    <x v="188"/>
    <x v="29"/>
    <n v="60"/>
    <x v="6"/>
    <x v="2"/>
    <x v="2"/>
    <n v="547588"/>
    <n v="196621"/>
    <n v="54751966"/>
    <n v="547196"/>
    <n v="545195"/>
    <n v="547500"/>
    <n v="197500"/>
    <n v="282"/>
    <x v="0"/>
    <n v="0"/>
    <n v="0"/>
    <n v="0"/>
    <n v="-85.967808599999998"/>
    <n v="-85.967808599999998"/>
    <s v="NA"/>
    <s v="NA"/>
    <m/>
    <x v="3"/>
    <s v="Sud de la Fennoscandinavie, Pays baltes et ouest de la Russie"/>
    <n v="9"/>
    <s v="MEISHE 7"/>
    <s v="Abschuss"/>
  </r>
  <r>
    <x v="498"/>
    <s v="ScoRus"/>
    <n v="0"/>
    <x v="1"/>
    <x v="1"/>
    <x v="0"/>
    <x v="0"/>
    <x v="487"/>
    <n v="-24.2"/>
    <x v="485"/>
    <x v="7"/>
    <s v="Sud de la Fennoscandinavie, Pays baltes et ouest de la Russie"/>
    <x v="1"/>
    <x v="1"/>
    <s v="Monteceneri"/>
    <s v="Robasano"/>
    <n v="46.132072729999997"/>
    <n v="8.9308347369999996"/>
    <n v="5"/>
    <n v="10"/>
    <x v="1"/>
    <n v="2016"/>
    <x v="169"/>
    <x v="19"/>
    <n v="55"/>
    <x v="2"/>
    <x v="2"/>
    <x v="1"/>
    <n v="715320"/>
    <n v="110050"/>
    <n v="71531100"/>
    <n v="715110"/>
    <n v="715110"/>
    <n v="717500"/>
    <n v="112500"/>
    <n v="330"/>
    <x v="0"/>
    <n v="0"/>
    <n v="0"/>
    <n v="0"/>
    <n v="-85.958084799999995"/>
    <n v="-85.958084799999995"/>
    <s v="NA"/>
    <s v="NA"/>
    <m/>
    <x v="3"/>
    <s v="Sud de la Fennoscandinavie, Pays baltes et ouest de la Russie"/>
    <n v="9"/>
    <s v="PURASA-13"/>
    <s v="Abschuss"/>
  </r>
  <r>
    <x v="499"/>
    <s v="ScoRus"/>
    <n v="0"/>
    <x v="1"/>
    <x v="1"/>
    <x v="0"/>
    <x v="0"/>
    <x v="488"/>
    <n v="-43.627556820000002"/>
    <x v="486"/>
    <x v="7"/>
    <s v="Sud de la Fennoscandinavie, Pays baltes et ouest de la Russie"/>
    <x v="0"/>
    <x v="0"/>
    <s v="Gorgier"/>
    <s v="Bois du Devens"/>
    <n v="46.913305880000003"/>
    <n v="6.7615596399999998"/>
    <n v="6"/>
    <n v="13"/>
    <x v="9"/>
    <n v="2013"/>
    <x v="222"/>
    <x v="102"/>
    <n v="88"/>
    <x v="36"/>
    <x v="20"/>
    <x v="15"/>
    <n v="548421"/>
    <n v="196023"/>
    <n v="54841960"/>
    <n v="548196"/>
    <n v="545195"/>
    <n v="547500"/>
    <n v="197500"/>
    <n v="327"/>
    <x v="0"/>
    <n v="0"/>
    <n v="0"/>
    <n v="0"/>
    <n v="-85.92"/>
    <n v="-85.92"/>
    <n v="-108.9"/>
    <s v="NA"/>
    <m/>
    <x v="3"/>
    <s v="Sud de la Fennoscandinavie, Pays baltes et ouest de la Russie"/>
    <n v="9"/>
    <s v="MEISTHE9"/>
    <s v="Abschuss"/>
  </r>
  <r>
    <x v="500"/>
    <s v="ScoRus"/>
    <n v="0"/>
    <x v="1"/>
    <x v="1"/>
    <x v="0"/>
    <x v="0"/>
    <x v="489"/>
    <n v="-23.472999999999999"/>
    <x v="487"/>
    <x v="7"/>
    <s v="Sud de la Fennoscandinavie, Pays baltes et ouest de la Russie"/>
    <x v="0"/>
    <x v="0"/>
    <s v="Les Bayards"/>
    <s v="Haut des Econduits"/>
    <n v="46.930241019999997"/>
    <n v="6.5422710510000002"/>
    <n v="5"/>
    <n v="4"/>
    <x v="1"/>
    <n v="2015"/>
    <x v="3"/>
    <x v="3"/>
    <n v="49"/>
    <x v="3"/>
    <x v="1"/>
    <x v="1"/>
    <n v="531738"/>
    <n v="198073"/>
    <n v="53171980"/>
    <n v="531198"/>
    <n v="530195"/>
    <n v="532500"/>
    <n v="197500"/>
    <n v="332"/>
    <x v="0"/>
    <n v="0"/>
    <n v="0"/>
    <n v="0"/>
    <n v="-85.86"/>
    <n v="-85.86"/>
    <n v="-108.8"/>
    <s v="NA"/>
    <m/>
    <x v="3"/>
    <s v="Sud de la Fennoscandinavie, Pays baltes et ouest de la Russie"/>
    <n v="9"/>
    <s v="Garije-5"/>
    <s v="Abschuss"/>
  </r>
  <r>
    <x v="501"/>
    <s v="ScoRus"/>
    <n v="0"/>
    <x v="1"/>
    <x v="1"/>
    <x v="0"/>
    <x v="0"/>
    <x v="490"/>
    <n v="-23.614799999999999"/>
    <x v="488"/>
    <x v="7"/>
    <s v="Sud de la Fennoscandinavie, Pays baltes et ouest de la Russie"/>
    <x v="1"/>
    <x v="1"/>
    <s v="Bruzzella"/>
    <s v="Loasa"/>
    <n v="45.88294415"/>
    <n v="9.0701388139999999"/>
    <n v="5"/>
    <n v="10"/>
    <x v="1"/>
    <n v="2015"/>
    <x v="200"/>
    <x v="19"/>
    <n v="55"/>
    <x v="2"/>
    <x v="2"/>
    <x v="1"/>
    <n v="726660"/>
    <n v="82575"/>
    <n v="72660825"/>
    <n v="726082"/>
    <n v="725080"/>
    <n v="727500"/>
    <n v="82500"/>
    <n v="340"/>
    <x v="0"/>
    <n v="0"/>
    <n v="0"/>
    <n v="0"/>
    <n v="-85.84"/>
    <n v="-85.84"/>
    <n v="-108.8"/>
    <s v="NA"/>
    <m/>
    <x v="3"/>
    <s v="Sud de la Fennoscandinavie, Pays baltes et ouest de la Russie"/>
    <n v="9"/>
    <s v="REZZONICORO-14"/>
    <s v="Abschuss"/>
  </r>
  <r>
    <x v="502"/>
    <s v="ScoRus"/>
    <n v="0"/>
    <x v="1"/>
    <x v="1"/>
    <x v="0"/>
    <x v="0"/>
    <x v="491"/>
    <n v="-23.31"/>
    <x v="453"/>
    <x v="7"/>
    <s v="Sud de la Fennoscandinavie, Pays baltes et ouest de la Russie"/>
    <x v="1"/>
    <x v="1"/>
    <s v="Lugano"/>
    <s v="Carbonera"/>
    <n v="46.022956319999999"/>
    <n v="9.0005178299999997"/>
    <n v="5"/>
    <n v="12"/>
    <x v="1"/>
    <n v="2016"/>
    <x v="193"/>
    <x v="26"/>
    <n v="57"/>
    <x v="6"/>
    <x v="2"/>
    <x v="2"/>
    <n v="720946"/>
    <n v="98027"/>
    <n v="72090980"/>
    <n v="720098"/>
    <n v="720095"/>
    <n v="722500"/>
    <n v="97500"/>
    <n v="360"/>
    <x v="0"/>
    <n v="0"/>
    <n v="0"/>
    <n v="0"/>
    <n v="-85.834778600000007"/>
    <n v="-85.834778600000007"/>
    <s v="NA"/>
    <s v="NA"/>
    <m/>
    <x v="3"/>
    <s v="Sud de la Fennoscandinavie, Pays baltes et ouest de la Russie"/>
    <n v="9"/>
    <s v="REZZRO-11"/>
    <s v="Abschuss"/>
  </r>
  <r>
    <x v="503"/>
    <s v="ScoRus"/>
    <n v="0"/>
    <x v="1"/>
    <x v="1"/>
    <x v="0"/>
    <x v="0"/>
    <x v="492"/>
    <n v="-24.191400000000002"/>
    <x v="489"/>
    <x v="7"/>
    <s v="Sud de la Fennoscandinavie, Pays baltes et ouest de la Russie"/>
    <x v="1"/>
    <x v="1"/>
    <s v="Arosio"/>
    <s v="Piové"/>
    <n v="46.05807025"/>
    <n v="8.8965692460000003"/>
    <n v="5"/>
    <n v="18"/>
    <x v="0"/>
    <n v="2015"/>
    <x v="202"/>
    <x v="89"/>
    <n v="33"/>
    <x v="4"/>
    <x v="0"/>
    <x v="0"/>
    <n v="712825"/>
    <n v="101775"/>
    <n v="71281017"/>
    <n v="712101"/>
    <n v="710100"/>
    <n v="712500"/>
    <n v="102500"/>
    <n v="328"/>
    <x v="0"/>
    <n v="0"/>
    <n v="0"/>
    <n v="0"/>
    <n v="-85.8"/>
    <n v="-85.8"/>
    <n v="-108.8"/>
    <s v="NA"/>
    <m/>
    <x v="3"/>
    <s v="Sud de la Fennoscandinavie, Pays baltes et ouest de la Russie"/>
    <n v="9"/>
    <s v="Devise-4"/>
    <s v="Abschuss"/>
  </r>
  <r>
    <x v="504"/>
    <s v="ScoRus"/>
    <n v="0"/>
    <x v="1"/>
    <x v="1"/>
    <x v="0"/>
    <x v="0"/>
    <x v="493"/>
    <n v="-23.81"/>
    <x v="490"/>
    <x v="7"/>
    <s v="Sud de la Fennoscandinavie, Pays baltes et ouest de la Russie"/>
    <x v="1"/>
    <x v="1"/>
    <s v="Centovalli"/>
    <s v="NA"/>
    <n v="46.157065090000003"/>
    <n v="8.6878621680000006"/>
    <n v="3"/>
    <n v="26"/>
    <x v="0"/>
    <n v="2016"/>
    <x v="0"/>
    <x v="0"/>
    <n v="41"/>
    <x v="0"/>
    <x v="0"/>
    <x v="0"/>
    <n v="696500"/>
    <n v="112500"/>
    <n v="69651125"/>
    <n v="696112"/>
    <n v="695110"/>
    <n v="697500"/>
    <n v="112500"/>
    <n v="326"/>
    <x v="0"/>
    <n v="0"/>
    <n v="0"/>
    <n v="0"/>
    <n v="-85.795474900000002"/>
    <n v="-85.795474900000002"/>
    <s v="NA"/>
    <s v="NA"/>
    <m/>
    <x v="3"/>
    <s v="Sud de la Fennoscandinavie, Pays baltes et ouest de la Russie"/>
    <n v="9"/>
    <s v="FISCIV-7"/>
    <s v="Abschuss"/>
  </r>
  <r>
    <x v="505"/>
    <s v="ScoRus"/>
    <n v="0"/>
    <x v="1"/>
    <x v="1"/>
    <x v="0"/>
    <x v="0"/>
    <x v="494"/>
    <n v="-23.728000000000002"/>
    <x v="491"/>
    <x v="7"/>
    <s v="Sud de la Fennoscandinavie, Pays baltes et ouest de la Russie"/>
    <x v="0"/>
    <x v="3"/>
    <s v="Le Lieu"/>
    <s v="Forêt du Risoux"/>
    <n v="46.677284290000003"/>
    <n v="6.2950175829999999"/>
    <n v="5"/>
    <n v="13"/>
    <x v="1"/>
    <n v="2014"/>
    <x v="221"/>
    <x v="15"/>
    <n v="58"/>
    <x v="6"/>
    <x v="2"/>
    <x v="2"/>
    <n v="512500"/>
    <n v="170200"/>
    <n v="51251702"/>
    <n v="512170"/>
    <n v="510170"/>
    <n v="512500"/>
    <n v="172500"/>
    <n v="319"/>
    <x v="0"/>
    <n v="0"/>
    <n v="0"/>
    <n v="0"/>
    <n v="-85.67"/>
    <n v="-85.67"/>
    <n v="-108.7"/>
    <s v="NA"/>
    <m/>
    <x v="3"/>
    <s v="Sud de la Fennoscandinavie, Pays baltes et ouest de la Russie"/>
    <n v="9"/>
    <s v="ROCHCH-3"/>
    <s v="Abschuss"/>
  </r>
  <r>
    <x v="506"/>
    <s v="ScoRus"/>
    <n v="0"/>
    <x v="1"/>
    <x v="1"/>
    <x v="0"/>
    <x v="0"/>
    <x v="495"/>
    <n v="-23.63"/>
    <x v="492"/>
    <x v="7"/>
    <s v="Sud de la Fennoscandinavie, Pays baltes et ouest de la Russie"/>
    <x v="1"/>
    <x v="1"/>
    <s v="Sonvico"/>
    <s v="Pairolo"/>
    <n v="46.063052159999998"/>
    <n v="9.0469147139999997"/>
    <n v="3"/>
    <n v="5"/>
    <x v="1"/>
    <n v="2016"/>
    <x v="144"/>
    <x v="22"/>
    <n v="50"/>
    <x v="3"/>
    <x v="1"/>
    <x v="1"/>
    <n v="724447"/>
    <n v="102556"/>
    <n v="72441025"/>
    <n v="724102"/>
    <n v="720100"/>
    <n v="722500"/>
    <n v="102500"/>
    <n v="345"/>
    <x v="0"/>
    <n v="0"/>
    <n v="0"/>
    <n v="0"/>
    <n v="-85.631421399999994"/>
    <n v="-85.631421399999994"/>
    <s v="NA"/>
    <s v="NA"/>
    <m/>
    <x v="3"/>
    <s v="Sud de la Fennoscandinavie, Pays baltes et ouest de la Russie"/>
    <n v="9"/>
    <s v="BURMA-7"/>
    <s v="Abschuss"/>
  </r>
  <r>
    <x v="507"/>
    <s v="ScoRus"/>
    <n v="0"/>
    <x v="1"/>
    <x v="1"/>
    <x v="0"/>
    <x v="0"/>
    <x v="496"/>
    <n v="-24.446200000000001"/>
    <x v="493"/>
    <x v="7"/>
    <s v="Sud de la Fennoscandinavie, Pays baltes et ouest de la Russie"/>
    <x v="1"/>
    <x v="1"/>
    <s v="Alto Malcantone"/>
    <s v="Vezio-Cassinello"/>
    <n v="46.049716019999998"/>
    <n v="8.8766540700000007"/>
    <n v="5"/>
    <n v="1"/>
    <x v="1"/>
    <n v="2015"/>
    <x v="167"/>
    <x v="17"/>
    <n v="46"/>
    <x v="1"/>
    <x v="1"/>
    <x v="1"/>
    <n v="711301"/>
    <n v="100818"/>
    <n v="71131008"/>
    <n v="711100"/>
    <n v="710100"/>
    <n v="712500"/>
    <n v="102500"/>
    <n v="290"/>
    <x v="0"/>
    <n v="0"/>
    <n v="0"/>
    <n v="0"/>
    <n v="-85.63"/>
    <n v="-85.63"/>
    <n v="-108.6"/>
    <s v="NA"/>
    <m/>
    <x v="3"/>
    <s v="Sud de la Fennoscandinavie, Pays baltes et ouest de la Russie"/>
    <n v="9"/>
    <s v="GIAMGI-4"/>
    <s v="Abschuss"/>
  </r>
  <r>
    <x v="508"/>
    <s v="ScoRus"/>
    <n v="0"/>
    <x v="1"/>
    <x v="1"/>
    <x v="0"/>
    <x v="0"/>
    <x v="497"/>
    <n v="-24.52174814"/>
    <x v="494"/>
    <x v="7"/>
    <s v="Sud de la Fennoscandinavie, Pays baltes et ouest de la Russie"/>
    <x v="2"/>
    <x v="2"/>
    <s v="Ecuvillens"/>
    <s v="Praz Novi"/>
    <n v="46.764720410000002"/>
    <n v="7.0774120480000002"/>
    <n v="5"/>
    <n v="12"/>
    <x v="1"/>
    <n v="2015"/>
    <x v="195"/>
    <x v="26"/>
    <n v="57"/>
    <x v="6"/>
    <x v="2"/>
    <x v="2"/>
    <n v="572406"/>
    <n v="179346"/>
    <n v="57241793"/>
    <n v="572179"/>
    <n v="570175"/>
    <n v="572500"/>
    <n v="177500"/>
    <n v="343"/>
    <x v="0"/>
    <n v="0"/>
    <n v="0"/>
    <n v="0"/>
    <n v="-85.55"/>
    <n v="-85.55"/>
    <n v="-108.5"/>
    <s v="NA"/>
    <m/>
    <x v="3"/>
    <s v="Sud de la Fennoscandinavie, Pays baltes et ouest de la Russie"/>
    <n v="9"/>
    <s v="SAVABR-10"/>
    <s v="Abschuss"/>
  </r>
  <r>
    <x v="509"/>
    <s v="ScoRus"/>
    <n v="0"/>
    <x v="1"/>
    <x v="1"/>
    <x v="0"/>
    <x v="0"/>
    <x v="498"/>
    <n v="-23.77512076"/>
    <x v="495"/>
    <x v="7"/>
    <s v="Sud de la Fennoscandinavie, Pays baltes et ouest de la Russie"/>
    <x v="1"/>
    <x v="1"/>
    <s v="Isorno"/>
    <s v="Calagno"/>
    <n v="46.214636400000003"/>
    <n v="8.6885343899999992"/>
    <n v="5"/>
    <n v="18"/>
    <x v="0"/>
    <n v="2015"/>
    <x v="202"/>
    <x v="89"/>
    <n v="33"/>
    <x v="4"/>
    <x v="0"/>
    <x v="0"/>
    <n v="696450"/>
    <n v="118900"/>
    <n v="69641189"/>
    <n v="696118"/>
    <n v="695115"/>
    <n v="697500"/>
    <n v="117500"/>
    <n v="375"/>
    <x v="0"/>
    <n v="0"/>
    <n v="0"/>
    <n v="0"/>
    <n v="-85.48"/>
    <n v="-85.48"/>
    <n v="-108.5"/>
    <s v="NA"/>
    <m/>
    <x v="3"/>
    <s v="Sud de la Fennoscandinavie, Pays baltes et ouest de la Russie"/>
    <n v="9"/>
    <s v="CAVALLIMA01"/>
    <s v="Abschuss"/>
  </r>
  <r>
    <x v="510"/>
    <s v="ScoRus"/>
    <n v="0"/>
    <x v="1"/>
    <x v="1"/>
    <x v="0"/>
    <x v="0"/>
    <x v="499"/>
    <n v="-22.658000000000001"/>
    <x v="496"/>
    <x v="7"/>
    <s v="Sud de la Fennoscandinavie, Pays baltes et ouest de la Russie"/>
    <x v="0"/>
    <x v="0"/>
    <s v="Val-de-Ruz"/>
    <s v="Le Gurnigel"/>
    <n v="47.088725050000001"/>
    <n v="6.9028200359999996"/>
    <n v="5"/>
    <n v="10"/>
    <x v="0"/>
    <n v="2015"/>
    <x v="198"/>
    <x v="96"/>
    <n v="25"/>
    <x v="37"/>
    <x v="4"/>
    <x v="4"/>
    <n v="559315"/>
    <n v="215441"/>
    <n v="55932154"/>
    <n v="559215"/>
    <n v="555215"/>
    <n v="557500"/>
    <n v="217500"/>
    <n v="256"/>
    <x v="0"/>
    <n v="0"/>
    <n v="0"/>
    <n v="0"/>
    <n v="-85.47"/>
    <n v="-85.47"/>
    <n v="-108.5"/>
    <s v="NA"/>
    <m/>
    <x v="3"/>
    <s v="Sud de la Fennoscandinavie, Pays baltes et ouest de la Russie"/>
    <n v="9"/>
    <s v="BARBTH-1"/>
    <s v="Abschuss"/>
  </r>
  <r>
    <x v="511"/>
    <s v="ScoRus"/>
    <n v="0"/>
    <x v="1"/>
    <x v="1"/>
    <x v="0"/>
    <x v="0"/>
    <x v="500"/>
    <n v="-24.322665010000001"/>
    <x v="497"/>
    <x v="7"/>
    <s v="Sud de la Fennoscandinavie, Pays baltes et ouest de la Russie"/>
    <x v="1"/>
    <x v="1"/>
    <s v="Moghegno"/>
    <s v="Cortone"/>
    <n v="46.241667960000001"/>
    <n v="8.6912944139999997"/>
    <n v="6"/>
    <n v="4"/>
    <x v="1"/>
    <n v="2015"/>
    <x v="3"/>
    <x v="3"/>
    <n v="49"/>
    <x v="3"/>
    <x v="1"/>
    <x v="1"/>
    <n v="696615"/>
    <n v="121908"/>
    <n v="69661219"/>
    <n v="696121"/>
    <n v="695120"/>
    <n v="697500"/>
    <n v="122500"/>
    <n v="282"/>
    <x v="0"/>
    <n v="0"/>
    <n v="0"/>
    <n v="0"/>
    <n v="-85.42"/>
    <n v="-85.42"/>
    <n v="-108.4"/>
    <s v="NA"/>
    <m/>
    <x v="3"/>
    <s v="Sud de la Fennoscandinavie, Pays baltes et ouest de la Russie"/>
    <n v="9"/>
    <s v="CavalliMa4"/>
    <s v="Abschuss"/>
  </r>
  <r>
    <x v="512"/>
    <s v="ScoRus"/>
    <n v="0"/>
    <x v="1"/>
    <x v="1"/>
    <x v="0"/>
    <x v="0"/>
    <x v="501"/>
    <n v="-22.45"/>
    <x v="498"/>
    <x v="7"/>
    <s v="Sud de la Fennoscandinavie, Pays baltes et ouest de la Russie"/>
    <x v="1"/>
    <x v="1"/>
    <s v="Alto Malcantone"/>
    <s v="NA"/>
    <n v="46.055440760000003"/>
    <n v="8.8806686520000007"/>
    <n v="2"/>
    <n v="29"/>
    <x v="0"/>
    <n v="2016"/>
    <x v="180"/>
    <x v="1"/>
    <n v="44"/>
    <x v="1"/>
    <x v="1"/>
    <x v="1"/>
    <n v="711600"/>
    <n v="101460"/>
    <n v="71161014"/>
    <n v="711101"/>
    <n v="710100"/>
    <n v="712500"/>
    <n v="102500"/>
    <n v="300"/>
    <x v="0"/>
    <n v="0"/>
    <n v="0"/>
    <n v="0"/>
    <n v="-85.414819300000005"/>
    <n v="-85.414819300000005"/>
    <s v="NA"/>
    <s v="NA"/>
    <m/>
    <x v="3"/>
    <s v="Sud de la Fennoscandinavie, Pays baltes et ouest de la Russie"/>
    <n v="9"/>
    <s v="GIAMGI-8"/>
    <s v="Abschuss"/>
  </r>
  <r>
    <x v="513"/>
    <s v="ScoRus"/>
    <n v="0"/>
    <x v="1"/>
    <x v="1"/>
    <x v="0"/>
    <x v="0"/>
    <x v="502"/>
    <n v="-24.61"/>
    <x v="499"/>
    <x v="7"/>
    <s v="Sud de la Fennoscandinavie, Pays baltes et ouest de la Russie"/>
    <x v="1"/>
    <x v="1"/>
    <s v="Alto Malcantone"/>
    <s v="NA"/>
    <n v="46.055440760000003"/>
    <n v="8.8806686520000007"/>
    <n v="2"/>
    <n v="6"/>
    <x v="1"/>
    <n v="2016"/>
    <x v="194"/>
    <x v="13"/>
    <n v="51"/>
    <x v="3"/>
    <x v="1"/>
    <x v="1"/>
    <n v="711600"/>
    <n v="101460"/>
    <n v="71161014"/>
    <n v="711101"/>
    <n v="710100"/>
    <n v="712500"/>
    <n v="102500"/>
    <n v="320"/>
    <x v="0"/>
    <n v="0"/>
    <n v="0"/>
    <n v="0"/>
    <n v="-85.317136000000005"/>
    <n v="-85.317136000000005"/>
    <s v="NA"/>
    <s v="NA"/>
    <m/>
    <x v="3"/>
    <s v="Sud de la Fennoscandinavie, Pays baltes et ouest de la Russie"/>
    <n v="9"/>
    <s v="GIAMGI-14"/>
    <s v="Abschuss"/>
  </r>
  <r>
    <x v="514"/>
    <s v="ScoRus"/>
    <n v="0"/>
    <x v="1"/>
    <x v="1"/>
    <x v="0"/>
    <x v="0"/>
    <x v="503"/>
    <n v="-23.178249999999998"/>
    <x v="500"/>
    <x v="7"/>
    <s v="Sud de la Fennoscandinavie, Pays baltes et ouest de la Russie"/>
    <x v="0"/>
    <x v="0"/>
    <s v="Val-de-Travers"/>
    <s v="Prise Fège"/>
    <n v="46.929643640000002"/>
    <n v="6.5580390340000001"/>
    <n v="6"/>
    <n v="17"/>
    <x v="1"/>
    <n v="2015"/>
    <x v="184"/>
    <x v="10"/>
    <n v="62"/>
    <x v="5"/>
    <x v="3"/>
    <x v="2"/>
    <n v="532938"/>
    <n v="197993"/>
    <n v="53291979"/>
    <n v="532197"/>
    <n v="530195"/>
    <n v="532500"/>
    <n v="197500"/>
    <n v="297"/>
    <x v="0"/>
    <n v="0"/>
    <n v="0"/>
    <n v="0"/>
    <n v="-84.98"/>
    <n v="-84.98"/>
    <n v="-107.9"/>
    <s v="NA"/>
    <m/>
    <x v="4"/>
    <s v="Europe centrale"/>
    <n v="8"/>
    <s v="MEISHE-11"/>
    <s v="Abschuss"/>
  </r>
  <r>
    <x v="515"/>
    <s v="ScoRus"/>
    <n v="0"/>
    <x v="1"/>
    <x v="1"/>
    <x v="0"/>
    <x v="0"/>
    <x v="504"/>
    <s v="NA"/>
    <x v="112"/>
    <x v="7"/>
    <s v="Sud de la Fennoscandinavie, Pays baltes et ouest de la Russie"/>
    <x v="3"/>
    <x v="2"/>
    <s v="Châtel-St-Denis"/>
    <s v="Les Paccots, [Niremont]"/>
    <n v="46.537521609999999"/>
    <n v="6.9656061490000001"/>
    <n v="3"/>
    <n v="3"/>
    <x v="1"/>
    <n v="2014"/>
    <x v="223"/>
    <x v="25"/>
    <n v="48"/>
    <x v="3"/>
    <x v="1"/>
    <x v="1"/>
    <n v="563713"/>
    <n v="154135"/>
    <n v="56371541"/>
    <n v="563154"/>
    <n v="560150"/>
    <n v="562500"/>
    <n v="152500"/>
    <n v="318"/>
    <x v="0"/>
    <n v="0"/>
    <n v="0"/>
    <n v="0"/>
    <n v="-84.96"/>
    <n v="-84.96"/>
    <n v="-107.9"/>
    <s v="NA"/>
    <m/>
    <x v="4"/>
    <s v="Europe centrale"/>
    <n v="8"/>
    <s v="DUCHPA-2"/>
    <s v="Abschuss"/>
  </r>
  <r>
    <x v="516"/>
    <s v="ScoRus"/>
    <n v="0"/>
    <x v="1"/>
    <x v="1"/>
    <x v="0"/>
    <x v="0"/>
    <x v="505"/>
    <n v="-24.593800000000002"/>
    <x v="501"/>
    <x v="7"/>
    <s v="Sud de la Fennoscandinavie, Pays baltes et ouest de la Russie"/>
    <x v="1"/>
    <x v="1"/>
    <s v="Airolo"/>
    <s v="Albinasca"/>
    <n v="46.524995359999998"/>
    <n v="8.5755607749999996"/>
    <n v="5"/>
    <n v="18"/>
    <x v="0"/>
    <n v="2015"/>
    <x v="202"/>
    <x v="89"/>
    <n v="33"/>
    <x v="4"/>
    <x v="0"/>
    <x v="0"/>
    <n v="687233"/>
    <n v="153265"/>
    <n v="68721532"/>
    <n v="687153"/>
    <n v="685150"/>
    <n v="687500"/>
    <n v="152500"/>
    <n v="330"/>
    <x v="0"/>
    <n v="0"/>
    <n v="0"/>
    <n v="0"/>
    <n v="-84.94"/>
    <n v="-84.94"/>
    <n v="-107.9"/>
    <s v="NA"/>
    <m/>
    <x v="4"/>
    <s v="Europe centrale"/>
    <n v="8"/>
    <s v="REZZONICORO-1"/>
    <s v="Abschuss"/>
  </r>
  <r>
    <x v="517"/>
    <s v="ScoRus"/>
    <n v="0"/>
    <x v="1"/>
    <x v="1"/>
    <x v="0"/>
    <x v="0"/>
    <x v="506"/>
    <n v="-24.131399999999999"/>
    <x v="502"/>
    <x v="7"/>
    <s v="Sud de la Fennoscandinavie, Pays baltes et ouest de la Russie"/>
    <x v="1"/>
    <x v="1"/>
    <s v="Arosio"/>
    <s v="Piové"/>
    <n v="46.056275659999997"/>
    <n v="8.8961982810000002"/>
    <n v="5"/>
    <n v="17"/>
    <x v="0"/>
    <n v="2015"/>
    <x v="47"/>
    <x v="34"/>
    <n v="32"/>
    <x v="8"/>
    <x v="4"/>
    <x v="0"/>
    <n v="712800"/>
    <n v="101575"/>
    <n v="71281015"/>
    <n v="712101"/>
    <n v="710100"/>
    <n v="712500"/>
    <n v="102500"/>
    <n v="309"/>
    <x v="0"/>
    <n v="0"/>
    <n v="0"/>
    <n v="0"/>
    <n v="-84.91"/>
    <n v="-84.91"/>
    <n v="-107.9"/>
    <s v="NA"/>
    <m/>
    <x v="4"/>
    <s v="Europe centrale"/>
    <n v="8"/>
    <s v="Devise-3"/>
    <s v="Abschuss"/>
  </r>
  <r>
    <x v="518"/>
    <s v="ScoRus"/>
    <n v="0"/>
    <x v="1"/>
    <x v="1"/>
    <x v="0"/>
    <x v="0"/>
    <x v="507"/>
    <n v="-24.238067000000001"/>
    <x v="503"/>
    <x v="7"/>
    <s v="Sud de la Fennoscandinavie, Pays baltes et ouest de la Russie"/>
    <x v="1"/>
    <x v="1"/>
    <s v="Cadenazzo"/>
    <s v="Prato Grasso"/>
    <n v="46.138003550000001"/>
    <n v="8.9313852580000006"/>
    <n v="5"/>
    <n v="29"/>
    <x v="0"/>
    <n v="2015"/>
    <x v="182"/>
    <x v="1"/>
    <n v="44"/>
    <x v="1"/>
    <x v="1"/>
    <x v="1"/>
    <n v="715350"/>
    <n v="110710"/>
    <n v="71531107"/>
    <n v="715110"/>
    <n v="715110"/>
    <n v="717500"/>
    <n v="112500"/>
    <n v="295"/>
    <x v="0"/>
    <n v="0"/>
    <n v="0"/>
    <n v="0"/>
    <n v="-84.88"/>
    <n v="-84.88"/>
    <n v="-107.8"/>
    <s v="NA"/>
    <m/>
    <x v="4"/>
    <s v="Europe centrale"/>
    <n v="8"/>
    <s v="PURASA-12"/>
    <s v="Abschuss"/>
  </r>
  <r>
    <x v="519"/>
    <s v="ScoRus"/>
    <n v="0"/>
    <x v="1"/>
    <x v="1"/>
    <x v="0"/>
    <x v="0"/>
    <x v="508"/>
    <n v="-23.396285710000001"/>
    <x v="504"/>
    <x v="7"/>
    <s v="Sud de la Fennoscandinavie, Pays baltes et ouest de la Russie"/>
    <x v="0"/>
    <x v="0"/>
    <s v="La Chaux-de-Fonds"/>
    <s v="Le Maillard"/>
    <n v="47.09760309"/>
    <n v="6.778318251"/>
    <n v="6"/>
    <n v="16"/>
    <x v="0"/>
    <n v="2014"/>
    <x v="45"/>
    <x v="33"/>
    <n v="31"/>
    <x v="8"/>
    <x v="4"/>
    <x v="0"/>
    <n v="549870"/>
    <n v="216500"/>
    <n v="54982165"/>
    <n v="549216"/>
    <n v="545215"/>
    <n v="547500"/>
    <n v="217500"/>
    <n v="347"/>
    <x v="0"/>
    <n v="0"/>
    <n v="0"/>
    <n v="0"/>
    <n v="-84.85"/>
    <n v="-84.85"/>
    <n v="-107.8"/>
    <s v="NA"/>
    <m/>
    <x v="4"/>
    <s v="Europe centrale"/>
    <n v="8"/>
    <s v="MEISHE5"/>
    <s v="Abschuss"/>
  </r>
  <r>
    <x v="520"/>
    <s v="ScoRus"/>
    <n v="0"/>
    <x v="1"/>
    <x v="1"/>
    <x v="0"/>
    <x v="0"/>
    <x v="509"/>
    <n v="-24.34"/>
    <x v="505"/>
    <x v="7"/>
    <s v="Sud de la Fennoscandinavie, Pays baltes et ouest de la Russie"/>
    <x v="1"/>
    <x v="1"/>
    <s v="Cabbio"/>
    <s v="Piancabella"/>
    <n v="45.906849940000001"/>
    <n v="9.0639039140000008"/>
    <n v="5"/>
    <n v="16"/>
    <x v="1"/>
    <n v="2016"/>
    <x v="171"/>
    <x v="28"/>
    <n v="61"/>
    <x v="6"/>
    <x v="2"/>
    <x v="2"/>
    <n v="726121"/>
    <n v="85222"/>
    <n v="72610852"/>
    <n v="726085"/>
    <n v="725085"/>
    <n v="727500"/>
    <n v="87500"/>
    <n v="370"/>
    <x v="0"/>
    <n v="0"/>
    <n v="0"/>
    <n v="0"/>
    <n v="-84.774934000000002"/>
    <n v="-84.774934000000002"/>
    <s v="NA"/>
    <s v="NA"/>
    <m/>
    <x v="4"/>
    <s v="Europe centrale"/>
    <n v="8"/>
    <s v="REZZRO-13"/>
    <s v="Abschuss"/>
  </r>
  <r>
    <x v="521"/>
    <s v="ScoRus"/>
    <n v="0"/>
    <x v="1"/>
    <x v="1"/>
    <x v="0"/>
    <x v="0"/>
    <x v="510"/>
    <n v="-24.51"/>
    <x v="506"/>
    <x v="7"/>
    <s v="Sud de la Fennoscandinavie, Pays baltes et ouest de la Russie"/>
    <x v="1"/>
    <x v="1"/>
    <s v="Monteceneri"/>
    <s v="Mt Fornè"/>
    <n v="46.080483780000002"/>
    <n v="8.9026623540000003"/>
    <n v="4"/>
    <n v="12"/>
    <x v="1"/>
    <n v="2016"/>
    <x v="193"/>
    <x v="26"/>
    <n v="57"/>
    <x v="6"/>
    <x v="2"/>
    <x v="2"/>
    <n v="713250"/>
    <n v="104275"/>
    <n v="71321042"/>
    <n v="713104"/>
    <n v="710100"/>
    <n v="712500"/>
    <n v="102500"/>
    <n v="320"/>
    <x v="0"/>
    <n v="0"/>
    <n v="0"/>
    <n v="0"/>
    <n v="-84.767844400000001"/>
    <n v="-84.767844400000001"/>
    <s v="NA"/>
    <s v="NA"/>
    <m/>
    <x v="4"/>
    <s v="Europe centrale"/>
    <n v="8"/>
    <s v="RICHAD-9"/>
    <s v="Abschuss"/>
  </r>
  <r>
    <x v="522"/>
    <s v="ScoRus"/>
    <n v="0"/>
    <x v="1"/>
    <x v="1"/>
    <x v="0"/>
    <x v="0"/>
    <x v="511"/>
    <n v="-24.478400000000001"/>
    <x v="507"/>
    <x v="7"/>
    <s v="Sud de la Fennoscandinavie, Pays baltes et ouest de la Russie"/>
    <x v="1"/>
    <x v="1"/>
    <s v="Breno"/>
    <s v="Fontana tamaritt"/>
    <n v="46.05008686"/>
    <n v="8.8371759050000005"/>
    <n v="5"/>
    <n v="27"/>
    <x v="0"/>
    <n v="2015"/>
    <x v="6"/>
    <x v="6"/>
    <n v="42"/>
    <x v="0"/>
    <x v="0"/>
    <x v="0"/>
    <n v="708245"/>
    <n v="100804"/>
    <n v="70821008"/>
    <n v="708100"/>
    <n v="705100"/>
    <n v="707500"/>
    <n v="102500"/>
    <s v="NA"/>
    <x v="0"/>
    <n v="0"/>
    <n v="0"/>
    <n v="0"/>
    <n v="-84.65"/>
    <n v="-84.65"/>
    <n v="-107.6"/>
    <s v="NA"/>
    <m/>
    <x v="4"/>
    <s v="Europe centrale"/>
    <n v="8"/>
    <s v="MORAMA-4"/>
    <s v="Abschuss"/>
  </r>
  <r>
    <x v="523"/>
    <s v="ScoRus"/>
    <n v="0"/>
    <x v="1"/>
    <x v="1"/>
    <x v="0"/>
    <x v="0"/>
    <x v="512"/>
    <n v="-23.34"/>
    <x v="508"/>
    <x v="7"/>
    <s v="Sud de la Fennoscandinavie, Pays baltes et ouest de la Russie"/>
    <x v="0"/>
    <x v="0"/>
    <s v="Les Planchettes"/>
    <s v="Creux Moine"/>
    <n v="47.104271189999999"/>
    <n v="6.7803439450000003"/>
    <n v="6"/>
    <n v="27"/>
    <x v="0"/>
    <n v="2016"/>
    <x v="149"/>
    <x v="6"/>
    <n v="42"/>
    <x v="0"/>
    <x v="0"/>
    <x v="0"/>
    <n v="550030"/>
    <n v="217240"/>
    <n v="55002172"/>
    <n v="550217"/>
    <n v="550215"/>
    <n v="552500"/>
    <n v="217500"/>
    <n v="290"/>
    <x v="0"/>
    <n v="0"/>
    <n v="0"/>
    <n v="0"/>
    <n v="-84.6464718"/>
    <n v="-84.6464718"/>
    <s v="NA"/>
    <s v="NA"/>
    <m/>
    <x v="4"/>
    <s v="Europe centrale"/>
    <n v="8"/>
    <s v="MEISHE-4"/>
    <s v="Abschuss"/>
  </r>
  <r>
    <x v="524"/>
    <s v="ScoRus"/>
    <n v="0"/>
    <x v="1"/>
    <x v="1"/>
    <x v="0"/>
    <x v="0"/>
    <x v="513"/>
    <n v="-22.89"/>
    <x v="509"/>
    <x v="7"/>
    <s v="Sud de la Fennoscandinavie, Pays baltes et ouest de la Russie"/>
    <x v="1"/>
    <x v="1"/>
    <s v="Gambarogno"/>
    <s v="Sanbarsciolo"/>
    <n v="46.122973760000001"/>
    <n v="8.8332862520000006"/>
    <n v="4"/>
    <n v="16"/>
    <x v="1"/>
    <n v="2016"/>
    <x v="171"/>
    <x v="28"/>
    <n v="61"/>
    <x v="6"/>
    <x v="2"/>
    <x v="2"/>
    <n v="707800"/>
    <n v="108900"/>
    <n v="70781089"/>
    <n v="707108"/>
    <n v="705105"/>
    <n v="707500"/>
    <n v="107500"/>
    <n v="309"/>
    <x v="0"/>
    <n v="0"/>
    <n v="0"/>
    <n v="0"/>
    <n v="-84.633982799999998"/>
    <n v="-84.633982799999998"/>
    <s v="NA"/>
    <s v="NA"/>
    <m/>
    <x v="4"/>
    <s v="Europe centrale"/>
    <n v="8"/>
    <s v="GNOSDA-14"/>
    <s v="Abschuss"/>
  </r>
  <r>
    <x v="525"/>
    <s v="ScoRus"/>
    <n v="0"/>
    <x v="1"/>
    <x v="1"/>
    <x v="0"/>
    <x v="0"/>
    <x v="514"/>
    <n v="-24.930399999999999"/>
    <x v="510"/>
    <x v="7"/>
    <s v="Sud de la Fennoscandinavie, Pays baltes et ouest de la Russie"/>
    <x v="1"/>
    <x v="1"/>
    <s v="Lugano"/>
    <s v="Crus"/>
    <n v="46.017329070000002"/>
    <n v="9.0053419179999992"/>
    <n v="5"/>
    <n v="18"/>
    <x v="0"/>
    <n v="2015"/>
    <x v="202"/>
    <x v="89"/>
    <n v="33"/>
    <x v="4"/>
    <x v="0"/>
    <x v="0"/>
    <n v="721332"/>
    <n v="97409"/>
    <n v="72130974"/>
    <n v="721097"/>
    <n v="720095"/>
    <n v="722500"/>
    <n v="97500"/>
    <n v="325"/>
    <x v="0"/>
    <n v="0"/>
    <n v="0"/>
    <n v="0"/>
    <n v="-84.57"/>
    <n v="-84.57"/>
    <n v="-107.5"/>
    <s v="NA"/>
    <m/>
    <x v="4"/>
    <s v="Europe centrale"/>
    <n v="8"/>
    <s v="REZZONICORO-3"/>
    <s v="Abschuss"/>
  </r>
  <r>
    <x v="526"/>
    <s v="ScoRus"/>
    <n v="0"/>
    <x v="1"/>
    <x v="1"/>
    <x v="0"/>
    <x v="0"/>
    <x v="515"/>
    <n v="-24.2"/>
    <x v="511"/>
    <x v="7"/>
    <s v="Sud de la Fennoscandinavie, Pays baltes et ouest de la Russie"/>
    <x v="0"/>
    <x v="4"/>
    <s v="Les Enfers"/>
    <s v="Les Tourbières des Enfers"/>
    <n v="47.28135546"/>
    <n v="7.0236391029999998"/>
    <n v="5"/>
    <n v="2"/>
    <x v="1"/>
    <n v="2016"/>
    <x v="4"/>
    <x v="4"/>
    <n v="47"/>
    <x v="3"/>
    <x v="1"/>
    <x v="1"/>
    <n v="568602"/>
    <n v="236801"/>
    <n v="56862368"/>
    <n v="568236"/>
    <n v="565235"/>
    <n v="567500"/>
    <n v="237500"/>
    <n v="350"/>
    <x v="0"/>
    <n v="0"/>
    <n v="0"/>
    <n v="0"/>
    <n v="-84.396150399999996"/>
    <n v="-84.396150399999996"/>
    <s v="NA"/>
    <s v="NA"/>
    <m/>
    <x v="4"/>
    <s v="Europe centrale"/>
    <n v="8"/>
    <s v="Buchmi6"/>
    <s v="Abschuss"/>
  </r>
  <r>
    <x v="527"/>
    <s v="ScoRus"/>
    <n v="0"/>
    <x v="1"/>
    <x v="1"/>
    <x v="0"/>
    <x v="0"/>
    <x v="516"/>
    <n v="-24.123285710000001"/>
    <x v="512"/>
    <x v="7"/>
    <s v="Sud de la Fennoscandinavie, Pays baltes et ouest de la Russie"/>
    <x v="0"/>
    <x v="0"/>
    <s v="La Brévine"/>
    <s v="La Paroisse"/>
    <n v="46.969531500000002"/>
    <n v="6.6534745790000001"/>
    <n v="6"/>
    <n v="14"/>
    <x v="0"/>
    <n v="2014"/>
    <x v="205"/>
    <x v="97"/>
    <n v="29"/>
    <x v="8"/>
    <x v="4"/>
    <x v="0"/>
    <n v="540250"/>
    <n v="202350"/>
    <n v="54022023"/>
    <n v="540202"/>
    <n v="540200"/>
    <n v="542500"/>
    <n v="202500"/>
    <n v="322"/>
    <x v="0"/>
    <n v="0"/>
    <n v="0"/>
    <n v="0"/>
    <n v="-84.38"/>
    <n v="-84.38"/>
    <n v="-107.3"/>
    <s v="NA"/>
    <m/>
    <x v="4"/>
    <s v="Europe centrale"/>
    <n v="8"/>
    <s v="MEISHE3"/>
    <s v="Abschuss"/>
  </r>
  <r>
    <x v="528"/>
    <s v="ScoRus"/>
    <n v="0"/>
    <x v="1"/>
    <x v="1"/>
    <x v="0"/>
    <x v="0"/>
    <x v="517"/>
    <n v="-24.353724570000001"/>
    <x v="513"/>
    <x v="7"/>
    <s v="Sud de la Fennoscandinavie, Pays baltes et ouest de la Russie"/>
    <x v="1"/>
    <x v="1"/>
    <s v="Novaggio"/>
    <s v="Forcora"/>
    <n v="46.02579626"/>
    <n v="8.8240005079999992"/>
    <n v="5"/>
    <n v="25"/>
    <x v="0"/>
    <n v="2015"/>
    <x v="224"/>
    <x v="8"/>
    <n v="40"/>
    <x v="0"/>
    <x v="0"/>
    <x v="0"/>
    <n v="707273"/>
    <n v="98086"/>
    <n v="70720980"/>
    <n v="707098"/>
    <n v="705095"/>
    <n v="707500"/>
    <n v="97500"/>
    <s v="NA"/>
    <x v="0"/>
    <n v="0"/>
    <n v="0"/>
    <n v="0"/>
    <n v="-84.32"/>
    <n v="-84.32"/>
    <n v="-107.3"/>
    <s v="NA"/>
    <m/>
    <x v="4"/>
    <s v="Europe centrale"/>
    <n v="8"/>
    <s v="MORAMA-10"/>
    <s v="Abschuss"/>
  </r>
  <r>
    <x v="529"/>
    <s v="ScoRus"/>
    <n v="0"/>
    <x v="1"/>
    <x v="1"/>
    <x v="0"/>
    <x v="0"/>
    <x v="518"/>
    <n v="-23.36628571"/>
    <x v="514"/>
    <x v="7"/>
    <s v="Sud de la Fennoscandinavie, Pays baltes et ouest de la Russie"/>
    <x v="0"/>
    <x v="0"/>
    <s v="La Brévine"/>
    <s v="Fontenettes"/>
    <n v="46.947804759999997"/>
    <n v="6.5450782140000001"/>
    <n v="6"/>
    <n v="18"/>
    <x v="0"/>
    <n v="2014"/>
    <x v="173"/>
    <x v="89"/>
    <n v="33"/>
    <x v="4"/>
    <x v="0"/>
    <x v="0"/>
    <n v="531974"/>
    <n v="200023"/>
    <n v="53192000"/>
    <n v="531200"/>
    <n v="530200"/>
    <n v="532500"/>
    <n v="202500"/>
    <n v="300"/>
    <x v="0"/>
    <n v="0"/>
    <n v="0"/>
    <n v="0"/>
    <n v="-84.28"/>
    <n v="-84.28"/>
    <n v="-107.2"/>
    <s v="NA"/>
    <m/>
    <x v="4"/>
    <s v="Europe centrale"/>
    <n v="8"/>
    <s v="ANKEFR2"/>
    <s v="Abschuss"/>
  </r>
  <r>
    <x v="530"/>
    <s v="ScoRus"/>
    <n v="0"/>
    <x v="1"/>
    <x v="1"/>
    <x v="0"/>
    <x v="0"/>
    <x v="519"/>
    <n v="-23.628799999999998"/>
    <x v="515"/>
    <x v="8"/>
    <s v="Sud de la Fennoscandinavie, Pays baltes et ouest de la Russie"/>
    <x v="0"/>
    <x v="3"/>
    <s v="Le Lieu"/>
    <s v="Forêt du Risoux"/>
    <n v="46.685007830000004"/>
    <n v="6.2758985010000004"/>
    <n v="5"/>
    <n v="20"/>
    <x v="1"/>
    <n v="2014"/>
    <x v="46"/>
    <x v="32"/>
    <n v="65"/>
    <x v="5"/>
    <x v="3"/>
    <x v="2"/>
    <n v="511050"/>
    <n v="171080"/>
    <n v="51101710"/>
    <n v="511171"/>
    <n v="510170"/>
    <n v="512500"/>
    <n v="172500"/>
    <n v="323"/>
    <x v="0"/>
    <n v="0"/>
    <n v="0"/>
    <n v="0"/>
    <n v="-84.19"/>
    <n v="-84.19"/>
    <n v="-107.1"/>
    <s v="NA"/>
    <m/>
    <x v="4"/>
    <s v="Europe centrale"/>
    <n v="8"/>
    <s v="ROCHCH-6"/>
    <s v="Abschuss"/>
  </r>
  <r>
    <x v="531"/>
    <s v="ScoRus"/>
    <n v="0"/>
    <x v="1"/>
    <x v="1"/>
    <x v="0"/>
    <x v="0"/>
    <x v="520"/>
    <n v="-23.6814"/>
    <x v="516"/>
    <x v="8"/>
    <s v="Sud de la Fennoscandinavie, Pays baltes et ouest de la Russie"/>
    <x v="1"/>
    <x v="1"/>
    <s v="Arosio"/>
    <s v="Piové"/>
    <n v="46.056523210000002"/>
    <n v="8.8944473479999999"/>
    <n v="5"/>
    <n v="22"/>
    <x v="0"/>
    <n v="2015"/>
    <x v="89"/>
    <x v="21"/>
    <n v="37"/>
    <x v="4"/>
    <x v="0"/>
    <x v="0"/>
    <n v="712664"/>
    <n v="101600"/>
    <n v="71261016"/>
    <n v="712101"/>
    <n v="710100"/>
    <n v="712500"/>
    <n v="102500"/>
    <n v="340"/>
    <x v="0"/>
    <n v="0"/>
    <n v="0"/>
    <n v="0"/>
    <n v="-84.18"/>
    <n v="-84.18"/>
    <n v="-107.1"/>
    <s v="NA"/>
    <m/>
    <x v="4"/>
    <s v="Europe centrale"/>
    <n v="8"/>
    <s v="Devise-5"/>
    <s v="Abschuss"/>
  </r>
  <r>
    <x v="532"/>
    <s v="ScoRus"/>
    <n v="0"/>
    <x v="1"/>
    <x v="1"/>
    <x v="0"/>
    <x v="0"/>
    <x v="521"/>
    <n v="-24.076250000000002"/>
    <x v="517"/>
    <x v="8"/>
    <s v="Sud de la Fennoscandinavie, Pays baltes et ouest de la Russie"/>
    <x v="0"/>
    <x v="0"/>
    <s v="Val-de-Travers"/>
    <s v="Crêt Rond"/>
    <n v="46.927987610000002"/>
    <n v="6.4540657220000002"/>
    <n v="6"/>
    <n v="2"/>
    <x v="1"/>
    <n v="2015"/>
    <x v="163"/>
    <x v="4"/>
    <n v="47"/>
    <x v="3"/>
    <x v="1"/>
    <x v="1"/>
    <n v="525018"/>
    <n v="197903"/>
    <n v="52501979"/>
    <n v="525197"/>
    <n v="525195"/>
    <n v="527500"/>
    <n v="197500"/>
    <n v="355"/>
    <x v="0"/>
    <n v="0"/>
    <n v="0"/>
    <n v="0"/>
    <n v="-84.13"/>
    <n v="-84.13"/>
    <n v="-107.1"/>
    <s v="NA"/>
    <m/>
    <x v="4"/>
    <s v="Europe centrale"/>
    <n v="8"/>
    <s v="MEISHE-6"/>
    <s v="Abschuss"/>
  </r>
  <r>
    <x v="533"/>
    <s v="ScoRus"/>
    <n v="0"/>
    <x v="1"/>
    <x v="1"/>
    <x v="0"/>
    <x v="0"/>
    <x v="522"/>
    <n v="-23.844200000000001"/>
    <x v="518"/>
    <x v="8"/>
    <s v="Sud de la Fennoscandinavie, Pays baltes et ouest de la Russie"/>
    <x v="1"/>
    <x v="1"/>
    <s v="Monteceneri"/>
    <s v="Trogiano"/>
    <n v="46.125821539999997"/>
    <n v="8.9469418100000002"/>
    <n v="5"/>
    <s v="NA"/>
    <x v="2"/>
    <n v="2015"/>
    <x v="69"/>
    <x v="40"/>
    <s v=""/>
    <x v="11"/>
    <x v="7"/>
    <x v="5"/>
    <n v="716578"/>
    <n v="109379"/>
    <n v="71651093"/>
    <n v="716109"/>
    <n v="715105"/>
    <n v="717500"/>
    <n v="107500"/>
    <n v="290"/>
    <x v="0"/>
    <n v="0"/>
    <n v="0"/>
    <n v="0"/>
    <n v="-84.08"/>
    <n v="-84.08"/>
    <n v="-107"/>
    <s v="NA"/>
    <m/>
    <x v="4"/>
    <s v="Europe centrale"/>
    <n v="8"/>
    <s v="GIAMGI-7"/>
    <s v="Abschuss"/>
  </r>
  <r>
    <x v="534"/>
    <s v="ScoRus"/>
    <n v="0"/>
    <x v="1"/>
    <x v="1"/>
    <x v="0"/>
    <x v="0"/>
    <x v="523"/>
    <n v="-22.43"/>
    <x v="519"/>
    <x v="8"/>
    <s v="Sud de la Fennoscandinavie, Pays baltes et ouest de la Russie"/>
    <x v="2"/>
    <x v="2"/>
    <s v="Gibloux"/>
    <s v="NA"/>
    <n v="46.750133460000001"/>
    <n v="7.0591744580000002"/>
    <n v="5"/>
    <n v="9"/>
    <x v="1"/>
    <n v="2016"/>
    <x v="185"/>
    <x v="5"/>
    <n v="54"/>
    <x v="2"/>
    <x v="2"/>
    <x v="1"/>
    <n v="571005"/>
    <n v="177731"/>
    <n v="57101777"/>
    <n v="571177"/>
    <n v="570175"/>
    <n v="572500"/>
    <n v="177500"/>
    <n v="300"/>
    <x v="0"/>
    <n v="0"/>
    <n v="0"/>
    <n v="0"/>
    <n v="-84.068647999999996"/>
    <n v="-84.068647999999996"/>
    <s v="NA"/>
    <s v="NA"/>
    <m/>
    <x v="4"/>
    <s v="Europe centrale"/>
    <n v="8"/>
    <s v="SAVARBR-6"/>
    <s v="Abschuss"/>
  </r>
  <r>
    <x v="535"/>
    <s v="ScoRus"/>
    <n v="0"/>
    <x v="1"/>
    <x v="1"/>
    <x v="0"/>
    <x v="0"/>
    <x v="524"/>
    <n v="-25.36"/>
    <x v="520"/>
    <x v="8"/>
    <s v="Sud de la Fennoscandinavie, Pays baltes et ouest de la Russie"/>
    <x v="1"/>
    <x v="1"/>
    <s v="Alto Malcantone"/>
    <s v="NA"/>
    <n v="46.033604410000002"/>
    <n v="8.8772119259999993"/>
    <n v="5"/>
    <n v="30"/>
    <x v="0"/>
    <n v="2016"/>
    <x v="197"/>
    <x v="23"/>
    <n v="45"/>
    <x v="1"/>
    <x v="1"/>
    <x v="1"/>
    <n v="711377"/>
    <n v="99028"/>
    <n v="71130990"/>
    <n v="711099"/>
    <n v="710095"/>
    <n v="712500"/>
    <n v="97500"/>
    <n v="280"/>
    <x v="0"/>
    <n v="0"/>
    <n v="0"/>
    <n v="0"/>
    <n v="-84.065657200000004"/>
    <n v="-84.065657200000004"/>
    <s v="NA"/>
    <s v="NA"/>
    <m/>
    <x v="4"/>
    <s v="Europe centrale"/>
    <n v="8"/>
    <s v="GIAMGI-10"/>
    <s v="Abschuss"/>
  </r>
  <r>
    <x v="536"/>
    <s v="ScoRus"/>
    <n v="0"/>
    <x v="1"/>
    <x v="1"/>
    <x v="0"/>
    <x v="0"/>
    <x v="525"/>
    <n v="-24.890599999999999"/>
    <x v="521"/>
    <x v="8"/>
    <s v="Sud de la Fennoscandinavie, Pays baltes et ouest de la Russie"/>
    <x v="1"/>
    <x v="1"/>
    <s v="Centovalli"/>
    <s v="Metri"/>
    <n v="46.185124279999997"/>
    <n v="8.6625085970000004"/>
    <n v="6"/>
    <n v="20"/>
    <x v="0"/>
    <n v="2015"/>
    <x v="38"/>
    <x v="30"/>
    <n v="35"/>
    <x v="4"/>
    <x v="0"/>
    <x v="0"/>
    <n v="694493"/>
    <n v="115588"/>
    <n v="69441155"/>
    <n v="694115"/>
    <n v="690115"/>
    <n v="692500"/>
    <n v="117500"/>
    <n v="313"/>
    <x v="0"/>
    <n v="0"/>
    <n v="0"/>
    <n v="0"/>
    <n v="-84"/>
    <n v="-84"/>
    <n v="-107"/>
    <s v="NA"/>
    <m/>
    <x v="4"/>
    <s v="Europe centrale"/>
    <n v="8"/>
    <s v="FISCIV-5"/>
    <s v="Abschuss"/>
  </r>
  <r>
    <x v="537"/>
    <s v="ScoRus"/>
    <n v="0"/>
    <x v="1"/>
    <x v="1"/>
    <x v="0"/>
    <x v="0"/>
    <x v="526"/>
    <n v="-23.52"/>
    <x v="522"/>
    <x v="8"/>
    <s v="Sud de la Fennoscandinavie, Pays baltes et ouest de la Russie"/>
    <x v="1"/>
    <x v="1"/>
    <s v="Alto Malcantone"/>
    <s v="NA"/>
    <n v="46.049991370000001"/>
    <n v="8.8769326670000002"/>
    <n v="5"/>
    <n v="29"/>
    <x v="0"/>
    <n v="2016"/>
    <x v="180"/>
    <x v="1"/>
    <n v="44"/>
    <x v="1"/>
    <x v="1"/>
    <x v="1"/>
    <n v="711322"/>
    <n v="100849"/>
    <n v="71131008"/>
    <n v="711100"/>
    <n v="710100"/>
    <n v="712500"/>
    <n v="102500"/>
    <n v="280"/>
    <x v="0"/>
    <n v="0"/>
    <n v="0"/>
    <n v="0"/>
    <n v="-83.861796400000003"/>
    <n v="-83.861796400000003"/>
    <s v="NA"/>
    <s v="NA"/>
    <m/>
    <x v="4"/>
    <s v="Europe centrale"/>
    <n v="8"/>
    <s v="GIAMGI-7"/>
    <s v="Abschuss"/>
  </r>
  <r>
    <x v="538"/>
    <s v="ScoRus"/>
    <n v="0"/>
    <x v="1"/>
    <x v="1"/>
    <x v="0"/>
    <x v="0"/>
    <x v="527"/>
    <n v="-25.172155709999998"/>
    <x v="523"/>
    <x v="8"/>
    <s v="Sud de la Fennoscandinavie, Pays baltes et ouest de la Russie"/>
    <x v="2"/>
    <x v="2"/>
    <s v="Sorens"/>
    <s v="Les Fours"/>
    <n v="46.675978960000002"/>
    <n v="7.0269567249999998"/>
    <n v="3"/>
    <n v="12"/>
    <x v="9"/>
    <n v="2015"/>
    <x v="225"/>
    <x v="103"/>
    <n v="87"/>
    <x v="36"/>
    <x v="20"/>
    <x v="15"/>
    <n v="568500"/>
    <n v="169500"/>
    <n v="56851695"/>
    <n v="568169"/>
    <n v="565165"/>
    <n v="567500"/>
    <n v="167500"/>
    <n v="344"/>
    <x v="0"/>
    <n v="0"/>
    <n v="0"/>
    <n v="0"/>
    <n v="-83.85"/>
    <n v="-83.85"/>
    <n v="-106.8"/>
    <s v="NA"/>
    <m/>
    <x v="4"/>
    <s v="Europe centrale"/>
    <n v="8"/>
    <s v="DENEPA11"/>
    <s v="Abschuss"/>
  </r>
  <r>
    <x v="539"/>
    <s v="ScoRus"/>
    <n v="0"/>
    <x v="1"/>
    <x v="1"/>
    <x v="0"/>
    <x v="0"/>
    <x v="528"/>
    <n v="-24.11"/>
    <x v="524"/>
    <x v="8"/>
    <s v="Sud de la Fennoscandinavie, Pays baltes et ouest de la Russie"/>
    <x v="1"/>
    <x v="1"/>
    <s v="Arogno"/>
    <s v="Bouee"/>
    <n v="45.955988810000001"/>
    <n v="9.0238128329999991"/>
    <n v="6"/>
    <n v="27"/>
    <x v="0"/>
    <n v="2016"/>
    <x v="149"/>
    <x v="6"/>
    <n v="42"/>
    <x v="0"/>
    <x v="0"/>
    <x v="0"/>
    <n v="722900"/>
    <n v="90620"/>
    <n v="72290906"/>
    <n v="722090"/>
    <n v="720090"/>
    <n v="722500"/>
    <n v="92500"/>
    <n v="360"/>
    <x v="0"/>
    <n v="0"/>
    <n v="0"/>
    <n v="0"/>
    <n v="-83.8405609"/>
    <n v="-83.8405609"/>
    <s v="NA"/>
    <s v="NA"/>
    <m/>
    <x v="4"/>
    <s v="Europe centrale"/>
    <n v="8"/>
    <s v="TANTASTE-5"/>
    <s v="Abschuss"/>
  </r>
  <r>
    <x v="540"/>
    <s v="ScoRus"/>
    <n v="0"/>
    <x v="1"/>
    <x v="1"/>
    <x v="0"/>
    <x v="0"/>
    <x v="529"/>
    <s v="NA"/>
    <x v="525"/>
    <x v="8"/>
    <s v="Sud de la Fennoscandinavie, Pays baltes et ouest de la Russie"/>
    <x v="1"/>
    <x v="1"/>
    <s v="Bearetto"/>
    <s v="Tre Croci"/>
    <n v="46.514727350000001"/>
    <n v="8.5540646890000005"/>
    <n v="5"/>
    <n v="25"/>
    <x v="0"/>
    <n v="2017"/>
    <x v="76"/>
    <x v="8"/>
    <n v="40"/>
    <x v="0"/>
    <x v="0"/>
    <x v="0"/>
    <n v="685600"/>
    <n v="152100"/>
    <n v="68561521"/>
    <n v="685152"/>
    <n v="685150"/>
    <n v="687500"/>
    <n v="152500"/>
    <n v="289"/>
    <x v="0"/>
    <n v="0"/>
    <n v="0"/>
    <n v="0"/>
    <n v="-83.801019600000004"/>
    <n v="-83.801019600000004"/>
    <s v="NA"/>
    <s v="NA"/>
    <m/>
    <x v="4"/>
    <s v="Europe centrale"/>
    <n v="8"/>
    <s v="ROSARE-1"/>
    <s v="Abschuss"/>
  </r>
  <r>
    <x v="541"/>
    <s v="ScoRus"/>
    <n v="0"/>
    <x v="1"/>
    <x v="1"/>
    <x v="0"/>
    <x v="0"/>
    <x v="530"/>
    <n v="-22.44"/>
    <x v="526"/>
    <x v="8"/>
    <s v="Sud de la Fennoscandinavie, Pays baltes et ouest de la Russie"/>
    <x v="1"/>
    <x v="1"/>
    <s v="Villa Luganese"/>
    <s v="Creda"/>
    <n v="46.051974000000001"/>
    <n v="9.0042807239999991"/>
    <n v="5"/>
    <n v="3"/>
    <x v="1"/>
    <n v="2016"/>
    <x v="162"/>
    <x v="25"/>
    <n v="48"/>
    <x v="3"/>
    <x v="1"/>
    <x v="1"/>
    <n v="721173"/>
    <n v="101258"/>
    <n v="72111012"/>
    <n v="721101"/>
    <n v="720100"/>
    <n v="722500"/>
    <n v="102500"/>
    <n v="315"/>
    <x v="0"/>
    <n v="0"/>
    <n v="0"/>
    <n v="0"/>
    <n v="-83.782854400000005"/>
    <n v="-83.782854400000005"/>
    <s v="NA"/>
    <s v="NA"/>
    <m/>
    <x v="4"/>
    <s v="Europe centrale"/>
    <n v="8"/>
    <s v="REZZRO-6"/>
    <s v="Abschuss"/>
  </r>
  <r>
    <x v="542"/>
    <s v="ScoRus"/>
    <n v="0"/>
    <x v="1"/>
    <x v="1"/>
    <x v="0"/>
    <x v="0"/>
    <x v="531"/>
    <n v="-23.22"/>
    <x v="527"/>
    <x v="8"/>
    <s v="Sud de la Fennoscandinavie, Pays baltes et ouest de la Russie"/>
    <x v="3"/>
    <x v="1"/>
    <s v="Maggia"/>
    <s v="Marena"/>
    <n v="47.067155659999997"/>
    <n v="8.728264802"/>
    <n v="6"/>
    <n v="6"/>
    <x v="1"/>
    <n v="2016"/>
    <x v="194"/>
    <x v="13"/>
    <n v="51"/>
    <x v="3"/>
    <x v="1"/>
    <x v="1"/>
    <n v="697958"/>
    <n v="213709"/>
    <n v="69792137"/>
    <n v="697213"/>
    <n v="695210"/>
    <n v="697500"/>
    <n v="212500"/>
    <n v="374"/>
    <x v="0"/>
    <n v="0"/>
    <n v="0"/>
    <n v="0"/>
    <n v="-83.766944499999994"/>
    <n v="-83.766944499999994"/>
    <s v="NA"/>
    <s v="NA"/>
    <m/>
    <x v="4"/>
    <s v="Europe centrale"/>
    <n v="8"/>
    <s v="CAVAMA-7"/>
    <s v="Abschuss"/>
  </r>
  <r>
    <x v="543"/>
    <s v="ScoRus"/>
    <n v="0"/>
    <x v="1"/>
    <x v="1"/>
    <x v="0"/>
    <x v="0"/>
    <x v="532"/>
    <n v="-23.17"/>
    <x v="528"/>
    <x v="8"/>
    <s v="Sud de la Fennoscandinavie, Pays baltes et ouest de la Russie"/>
    <x v="2"/>
    <x v="2"/>
    <s v="Riaz"/>
    <s v="NA"/>
    <n v="46.642989329999999"/>
    <n v="7.0140029549999996"/>
    <n v="5"/>
    <n v="3"/>
    <x v="9"/>
    <n v="2016"/>
    <x v="226"/>
    <x v="104"/>
    <n v="78"/>
    <x v="34"/>
    <x v="5"/>
    <x v="3"/>
    <n v="567489"/>
    <n v="165838"/>
    <n v="56741658"/>
    <n v="567165"/>
    <n v="565165"/>
    <n v="567500"/>
    <n v="167500"/>
    <n v="300"/>
    <x v="0"/>
    <n v="0"/>
    <n v="0"/>
    <n v="0"/>
    <n v="-83.678200799999999"/>
    <n v="-83.678200799999999"/>
    <s v="NA"/>
    <s v="NA"/>
    <m/>
    <x v="4"/>
    <s v="Europe centrale"/>
    <n v="8"/>
    <s v="SAVALU-4"/>
    <s v="Abschuss"/>
  </r>
  <r>
    <x v="544"/>
    <s v="ScoRus"/>
    <n v="0"/>
    <x v="1"/>
    <x v="1"/>
    <x v="0"/>
    <x v="0"/>
    <x v="533"/>
    <n v="-21.66"/>
    <x v="529"/>
    <x v="8"/>
    <s v="Sud de la Fennoscandinavie, Pays baltes et ouest de la Russie"/>
    <x v="1"/>
    <x v="1"/>
    <s v="Arogno"/>
    <s v="Albagnoni"/>
    <n v="45.949136840000001"/>
    <n v="9.0055571529999998"/>
    <n v="6"/>
    <n v="18"/>
    <x v="0"/>
    <n v="2016"/>
    <x v="151"/>
    <x v="89"/>
    <n v="33"/>
    <x v="4"/>
    <x v="0"/>
    <x v="0"/>
    <n v="721500"/>
    <n v="89830"/>
    <n v="72150898"/>
    <n v="721089"/>
    <n v="720085"/>
    <n v="722500"/>
    <n v="87500"/>
    <n v="480"/>
    <x v="0"/>
    <n v="0"/>
    <n v="0"/>
    <n v="0"/>
    <n v="-83.619711699999996"/>
    <n v="-83.619711699999996"/>
    <s v="NA"/>
    <s v="NA"/>
    <m/>
    <x v="4"/>
    <s v="Europe centrale"/>
    <n v="8"/>
    <s v="TANTASTE-2"/>
    <s v="Abschuss"/>
  </r>
  <r>
    <x v="545"/>
    <s v="ScoRus"/>
    <n v="0"/>
    <x v="1"/>
    <x v="1"/>
    <x v="0"/>
    <x v="0"/>
    <x v="534"/>
    <n v="-23.44"/>
    <x v="530"/>
    <x v="8"/>
    <s v="Sud de la Fennoscandinavie, Pays baltes et ouest de la Russie"/>
    <x v="1"/>
    <x v="1"/>
    <s v="Bruzella"/>
    <s v="Alpe Nuovo"/>
    <n v="45.897093839999997"/>
    <n v="9.0839099660000002"/>
    <n v="5"/>
    <n v="8"/>
    <x v="1"/>
    <n v="2016"/>
    <x v="186"/>
    <x v="2"/>
    <n v="53"/>
    <x v="2"/>
    <x v="2"/>
    <x v="1"/>
    <n v="727696"/>
    <n v="84170"/>
    <n v="72760841"/>
    <n v="727084"/>
    <n v="725080"/>
    <n v="727500"/>
    <n v="82500"/>
    <n v="325"/>
    <x v="0"/>
    <n v="0"/>
    <n v="0"/>
    <n v="0"/>
    <n v="-83.549742800000004"/>
    <n v="-83.549742800000004"/>
    <s v="NA"/>
    <s v="NA"/>
    <m/>
    <x v="4"/>
    <s v="Europe centrale"/>
    <n v="8"/>
    <s v="REZZRO-8"/>
    <s v="Abschuss"/>
  </r>
  <r>
    <x v="546"/>
    <s v="ScoRus"/>
    <n v="0"/>
    <x v="1"/>
    <x v="1"/>
    <x v="0"/>
    <x v="0"/>
    <x v="535"/>
    <n v="-24.707000000000001"/>
    <x v="531"/>
    <x v="8"/>
    <s v="Sud de la Fennoscandinavie, Pays baltes et ouest de la Russie"/>
    <x v="0"/>
    <x v="3"/>
    <s v="Ste-Croix"/>
    <s v="Mont du Cerf"/>
    <n v="46.81681631"/>
    <n v="6.482869859"/>
    <n v="5"/>
    <n v="27"/>
    <x v="0"/>
    <n v="2015"/>
    <x v="6"/>
    <x v="6"/>
    <n v="42"/>
    <x v="0"/>
    <x v="0"/>
    <x v="0"/>
    <n v="527061"/>
    <n v="185518"/>
    <n v="52701855"/>
    <n v="527185"/>
    <n v="525185"/>
    <n v="527500"/>
    <n v="187500"/>
    <n v="380"/>
    <x v="0"/>
    <n v="0"/>
    <n v="0"/>
    <n v="0"/>
    <n v="-83.47"/>
    <n v="-83.47"/>
    <n v="-106.4"/>
    <s v="NA"/>
    <m/>
    <x v="4"/>
    <s v="Europe centrale"/>
    <n v="8"/>
    <s v="JOSEDA3"/>
    <s v="Abschuss"/>
  </r>
  <r>
    <x v="547"/>
    <s v="ScoRus"/>
    <n v="0"/>
    <x v="1"/>
    <x v="1"/>
    <x v="0"/>
    <x v="0"/>
    <x v="536"/>
    <n v="-23.50525"/>
    <x v="532"/>
    <x v="8"/>
    <s v="Sud de la Fennoscandinavie, Pays baltes et ouest de la Russie"/>
    <x v="1"/>
    <x v="1"/>
    <s v="Centovalli"/>
    <s v="NA"/>
    <n v="46.166015450000003"/>
    <n v="8.6313920030000002"/>
    <n v="6"/>
    <n v="25"/>
    <x v="0"/>
    <n v="2015"/>
    <x v="224"/>
    <x v="8"/>
    <n v="40"/>
    <x v="0"/>
    <x v="0"/>
    <x v="0"/>
    <n v="692123"/>
    <n v="113427"/>
    <n v="69211134"/>
    <n v="692113"/>
    <n v="690110"/>
    <n v="692500"/>
    <n v="112500"/>
    <n v="335"/>
    <x v="0"/>
    <n v="0"/>
    <n v="0"/>
    <n v="0"/>
    <n v="-83.46"/>
    <n v="-83.46"/>
    <n v="-106.4"/>
    <s v="NA"/>
    <m/>
    <x v="4"/>
    <s v="Europe centrale"/>
    <n v="8"/>
    <s v="FISCIV-7"/>
    <s v="Abschuss"/>
  </r>
  <r>
    <x v="548"/>
    <s v="ScoRus"/>
    <n v="0"/>
    <x v="1"/>
    <x v="1"/>
    <x v="0"/>
    <x v="0"/>
    <x v="537"/>
    <n v="-23.81"/>
    <x v="533"/>
    <x v="8"/>
    <s v="Sud de la Fennoscandinavie, Pays baltes et ouest de la Russie"/>
    <x v="1"/>
    <x v="1"/>
    <s v="Capriasca"/>
    <s v="Gola di Lago"/>
    <n v="46.108410839999998"/>
    <n v="8.9842583739999995"/>
    <n v="3"/>
    <n v="15"/>
    <x v="1"/>
    <n v="2016"/>
    <x v="188"/>
    <x v="29"/>
    <n v="60"/>
    <x v="6"/>
    <x v="2"/>
    <x v="2"/>
    <n v="719500"/>
    <n v="107500"/>
    <n v="71951075"/>
    <n v="719107"/>
    <n v="715105"/>
    <n v="717500"/>
    <n v="107500"/>
    <n v="342"/>
    <x v="0"/>
    <n v="0"/>
    <n v="0"/>
    <n v="0"/>
    <n v="-83.313692399999994"/>
    <n v="-83.313692399999994"/>
    <s v="NA"/>
    <s v="NA"/>
    <m/>
    <x v="4"/>
    <s v="Europe centrale"/>
    <n v="8"/>
    <s v="TANTMA-1"/>
    <s v="Abschuss"/>
  </r>
  <r>
    <x v="549"/>
    <s v="ScoRus"/>
    <n v="0"/>
    <x v="1"/>
    <x v="1"/>
    <x v="0"/>
    <x v="0"/>
    <x v="538"/>
    <n v="-23.858799999999999"/>
    <x v="534"/>
    <x v="8"/>
    <s v="Sud de la Fennoscandinavie, Pays baltes et ouest de la Russie"/>
    <x v="2"/>
    <x v="2"/>
    <s v="Châtonnaye"/>
    <s v="NA"/>
    <n v="46.738394890000002"/>
    <n v="6.9400442529999999"/>
    <n v="4"/>
    <n v="3"/>
    <x v="9"/>
    <n v="2015"/>
    <x v="227"/>
    <x v="104"/>
    <n v="78"/>
    <x v="34"/>
    <x v="5"/>
    <x v="3"/>
    <n v="561894"/>
    <n v="176477"/>
    <n v="56181764"/>
    <n v="561176"/>
    <n v="560175"/>
    <n v="562500"/>
    <n v="177500"/>
    <n v="345"/>
    <x v="0"/>
    <n v="0"/>
    <n v="0"/>
    <n v="0"/>
    <n v="-83.25"/>
    <n v="-83.25"/>
    <n v="-106.2"/>
    <s v="NA"/>
    <m/>
    <x v="4"/>
    <s v="Europe centrale"/>
    <n v="8"/>
    <s v="YERLMI-7"/>
    <s v="Abschuss"/>
  </r>
  <r>
    <x v="550"/>
    <s v="ScoRus"/>
    <n v="0"/>
    <x v="1"/>
    <x v="1"/>
    <x v="0"/>
    <x v="0"/>
    <x v="538"/>
    <n v="-24.155799999999999"/>
    <x v="535"/>
    <x v="8"/>
    <s v="Sud de la Fennoscandinavie, Pays baltes et ouest de la Russie"/>
    <x v="1"/>
    <x v="1"/>
    <s v="Gamborogno"/>
    <s v="Alpe Lierna"/>
    <n v="46.122122240000003"/>
    <n v="8.829382957"/>
    <n v="4"/>
    <n v="27"/>
    <x v="0"/>
    <n v="2015"/>
    <x v="6"/>
    <x v="6"/>
    <n v="42"/>
    <x v="0"/>
    <x v="0"/>
    <x v="0"/>
    <n v="707500"/>
    <n v="108800"/>
    <n v="70751088"/>
    <n v="707108"/>
    <n v="705105"/>
    <n v="707500"/>
    <n v="107500"/>
    <n v="283"/>
    <x v="0"/>
    <n v="0"/>
    <n v="0"/>
    <n v="0"/>
    <n v="-83.25"/>
    <n v="-83.25"/>
    <n v="-106.2"/>
    <s v="NA"/>
    <m/>
    <x v="4"/>
    <s v="Europe centrale"/>
    <n v="8"/>
    <s v="GNOSDA-3"/>
    <s v="Abschuss"/>
  </r>
  <r>
    <x v="551"/>
    <s v="ScoRus"/>
    <n v="0"/>
    <x v="1"/>
    <x v="1"/>
    <x v="0"/>
    <x v="0"/>
    <x v="539"/>
    <n v="-25.148260130000001"/>
    <x v="536"/>
    <x v="8"/>
    <s v="Sud de la Fennoscandinavie, Pays baltes et ouest de la Russie"/>
    <x v="1"/>
    <x v="1"/>
    <s v="Torricella"/>
    <s v="Monti di Torricella"/>
    <n v="46.06359089"/>
    <n v="8.9044714420000002"/>
    <n v="4"/>
    <n v="12"/>
    <x v="1"/>
    <n v="2015"/>
    <x v="195"/>
    <x v="26"/>
    <n v="57"/>
    <x v="6"/>
    <x v="2"/>
    <x v="2"/>
    <n v="713425"/>
    <n v="102400"/>
    <n v="71341024"/>
    <n v="713102"/>
    <n v="710100"/>
    <n v="712500"/>
    <n v="102500"/>
    <n v="270"/>
    <x v="0"/>
    <n v="0"/>
    <n v="0"/>
    <n v="0"/>
    <n v="-83.16"/>
    <n v="-83.16"/>
    <n v="-106.1"/>
    <s v="NA"/>
    <m/>
    <x v="4"/>
    <s v="Europe centrale"/>
    <n v="8"/>
    <s v="RICHAD_8"/>
    <s v="Abschuss"/>
  </r>
  <r>
    <x v="552"/>
    <s v="ScoRus"/>
    <n v="0"/>
    <x v="1"/>
    <x v="1"/>
    <x v="0"/>
    <x v="0"/>
    <x v="540"/>
    <n v="-23.137799999999999"/>
    <x v="537"/>
    <x v="8"/>
    <s v="Sud de la Fennoscandinavie, Pays baltes et ouest de la Russie"/>
    <x v="0"/>
    <x v="3"/>
    <s v="Le Lieu"/>
    <s v="Forêt du Risoux, Le Chalottet"/>
    <n v="46.682888849999998"/>
    <n v="6.3158143879999997"/>
    <n v="4"/>
    <n v="28"/>
    <x v="0"/>
    <n v="2014"/>
    <x v="39"/>
    <x v="16"/>
    <n v="43"/>
    <x v="1"/>
    <x v="1"/>
    <x v="1"/>
    <n v="514100"/>
    <n v="170800"/>
    <n v="51411708"/>
    <n v="514170"/>
    <n v="510170"/>
    <n v="512500"/>
    <n v="172500"/>
    <n v="318"/>
    <x v="0"/>
    <n v="0"/>
    <n v="0"/>
    <n v="0"/>
    <n v="-83.14"/>
    <n v="-83.14"/>
    <n v="-106.1"/>
    <s v="NA"/>
    <m/>
    <x v="4"/>
    <s v="Europe centrale"/>
    <n v="8"/>
    <s v="ROCHCH-2"/>
    <s v="Abschuss"/>
  </r>
  <r>
    <x v="553"/>
    <s v="ScoRus"/>
    <n v="0"/>
    <x v="1"/>
    <x v="1"/>
    <x v="0"/>
    <x v="0"/>
    <x v="541"/>
    <n v="-23.498037220000001"/>
    <x v="538"/>
    <x v="8"/>
    <s v="Sud de la Fennoscandinavie, Pays baltes et ouest de la Russie"/>
    <x v="2"/>
    <x v="2"/>
    <s v="Sâle"/>
    <s v="NA"/>
    <n v="46.639900019999999"/>
    <n v="7.0011102559999996"/>
    <n v="3"/>
    <n v="29"/>
    <x v="0"/>
    <n v="2015"/>
    <x v="182"/>
    <x v="1"/>
    <n v="44"/>
    <x v="1"/>
    <x v="1"/>
    <x v="1"/>
    <n v="566500"/>
    <n v="165500"/>
    <n v="56651655"/>
    <n v="566165"/>
    <n v="565165"/>
    <n v="567500"/>
    <n v="167500"/>
    <n v="295"/>
    <x v="0"/>
    <n v="0"/>
    <n v="0"/>
    <n v="0"/>
    <n v="-83.1"/>
    <n v="-83.1"/>
    <n v="-106"/>
    <s v="NA"/>
    <m/>
    <x v="4"/>
    <s v="Europe centrale"/>
    <n v="8"/>
    <s v="DENEPA4"/>
    <s v="Abschuss"/>
  </r>
  <r>
    <x v="554"/>
    <s v="ScoRus"/>
    <n v="0"/>
    <x v="1"/>
    <x v="1"/>
    <x v="0"/>
    <x v="0"/>
    <x v="542"/>
    <n v="-23.75"/>
    <x v="539"/>
    <x v="8"/>
    <s v="Sud de la Fennoscandinavie, Pays baltes et ouest de la Russie"/>
    <x v="1"/>
    <x v="1"/>
    <s v="Onsernone"/>
    <s v="Calagno"/>
    <n v="46.214613880000002"/>
    <n v="8.6873156290000004"/>
    <n v="6"/>
    <n v="15"/>
    <x v="1"/>
    <n v="2016"/>
    <x v="188"/>
    <x v="29"/>
    <n v="60"/>
    <x v="6"/>
    <x v="2"/>
    <x v="2"/>
    <n v="696356"/>
    <n v="118896"/>
    <n v="69631188"/>
    <n v="696118"/>
    <n v="695115"/>
    <n v="697500"/>
    <n v="117500"/>
    <n v="348"/>
    <x v="0"/>
    <n v="0"/>
    <n v="0"/>
    <n v="0"/>
    <n v="-83.011688699999993"/>
    <n v="-83.011688699999993"/>
    <s v="NA"/>
    <s v="NA"/>
    <m/>
    <x v="4"/>
    <s v="Europe centrale"/>
    <n v="8"/>
    <s v="CAVACO-10"/>
    <s v="Abschuss"/>
  </r>
  <r>
    <x v="555"/>
    <s v="ScoRus"/>
    <n v="0"/>
    <x v="1"/>
    <x v="1"/>
    <x v="0"/>
    <x v="0"/>
    <x v="543"/>
    <n v="-22.98"/>
    <x v="540"/>
    <x v="8"/>
    <s v="Sud de la Fennoscandinavie, Pays baltes et ouest de la Russie"/>
    <x v="1"/>
    <x v="1"/>
    <s v="Torricella-tavenne"/>
    <s v="Alborello"/>
    <n v="46.06672614"/>
    <n v="8.9055249910000001"/>
    <n v="4"/>
    <n v="25"/>
    <x v="0"/>
    <n v="2016"/>
    <x v="157"/>
    <x v="8"/>
    <n v="40"/>
    <x v="0"/>
    <x v="0"/>
    <x v="0"/>
    <n v="713500"/>
    <n v="102750"/>
    <n v="71351027"/>
    <n v="713102"/>
    <n v="710100"/>
    <n v="712500"/>
    <n v="102500"/>
    <n v="280"/>
    <x v="0"/>
    <n v="0"/>
    <n v="0"/>
    <n v="0"/>
    <n v="-82.967073999999997"/>
    <n v="-82.967073999999997"/>
    <s v="NA"/>
    <s v="NA"/>
    <m/>
    <x v="4"/>
    <s v="Europe centrale"/>
    <n v="8"/>
    <s v="RICHAD-3"/>
    <s v="Abschuss"/>
  </r>
  <r>
    <x v="556"/>
    <s v="ScoRus"/>
    <n v="0"/>
    <x v="1"/>
    <x v="1"/>
    <x v="0"/>
    <x v="0"/>
    <x v="544"/>
    <n v="-25.031766749999999"/>
    <x v="541"/>
    <x v="8"/>
    <s v="Sud de la Fennoscandinavie, Pays baltes et ouest de la Russie"/>
    <x v="1"/>
    <x v="1"/>
    <s v="Centovalli"/>
    <s v="Comino"/>
    <n v="46.177372349999999"/>
    <n v="8.6429597149999999"/>
    <n v="3"/>
    <n v="4"/>
    <x v="1"/>
    <n v="2015"/>
    <x v="3"/>
    <x v="3"/>
    <n v="49"/>
    <x v="3"/>
    <x v="1"/>
    <x v="1"/>
    <n v="692997"/>
    <n v="114703"/>
    <n v="69291147"/>
    <n v="692114"/>
    <n v="690110"/>
    <n v="692500"/>
    <n v="112500"/>
    <n v="264"/>
    <x v="0"/>
    <n v="0"/>
    <n v="0"/>
    <n v="0"/>
    <n v="-82.94"/>
    <n v="-82.94"/>
    <n v="-105.9"/>
    <s v="NA"/>
    <m/>
    <x v="4"/>
    <s v="Europe centrale"/>
    <n v="8"/>
    <s v="FISCIV12"/>
    <s v="Abschuss"/>
  </r>
  <r>
    <x v="557"/>
    <s v="ScoRus"/>
    <n v="0"/>
    <x v="1"/>
    <x v="1"/>
    <x v="0"/>
    <x v="0"/>
    <x v="545"/>
    <n v="-25.14643714"/>
    <x v="542"/>
    <x v="8"/>
    <s v="Sud de la Fennoscandinavie, Pays baltes et ouest de la Russie"/>
    <x v="1"/>
    <x v="1"/>
    <s v="Isorno"/>
    <s v="Cortone"/>
    <n v="46.208074189999998"/>
    <n v="8.6912994999999995"/>
    <n v="6"/>
    <n v="1"/>
    <x v="1"/>
    <n v="2015"/>
    <x v="167"/>
    <x v="17"/>
    <n v="46"/>
    <x v="1"/>
    <x v="1"/>
    <x v="1"/>
    <n v="696675"/>
    <n v="118174"/>
    <n v="69661181"/>
    <n v="696118"/>
    <n v="695115"/>
    <n v="697500"/>
    <n v="117500"/>
    <n v="280"/>
    <x v="0"/>
    <n v="0"/>
    <n v="0"/>
    <n v="0"/>
    <n v="-82.93"/>
    <n v="-82.93"/>
    <n v="-105.9"/>
    <s v="NA"/>
    <m/>
    <x v="4"/>
    <s v="Europe centrale"/>
    <n v="8"/>
    <s v="CAVALLIMA2"/>
    <s v="Abschuss"/>
  </r>
  <r>
    <x v="558"/>
    <s v="ScoRus"/>
    <n v="0"/>
    <x v="1"/>
    <x v="1"/>
    <x v="0"/>
    <x v="0"/>
    <x v="546"/>
    <n v="-24.441274190000001"/>
    <x v="543"/>
    <x v="8"/>
    <s v="Sud de la Fennoscandinavie, Pays baltes et ouest de la Russie"/>
    <x v="2"/>
    <x v="2"/>
    <s v="Rechtalten"/>
    <s v="Schweni"/>
    <n v="46.755722919999997"/>
    <n v="7.2588929090000001"/>
    <n v="6"/>
    <n v="9"/>
    <x v="1"/>
    <n v="2015"/>
    <x v="228"/>
    <x v="5"/>
    <n v="54"/>
    <x v="2"/>
    <x v="2"/>
    <x v="1"/>
    <n v="586267"/>
    <n v="178298"/>
    <n v="58621782"/>
    <n v="586178"/>
    <n v="585175"/>
    <n v="587500"/>
    <n v="177500"/>
    <n v="360"/>
    <x v="0"/>
    <n v="0"/>
    <n v="0"/>
    <n v="0"/>
    <n v="-82.92"/>
    <n v="-82.92"/>
    <n v="-105.8"/>
    <s v="NA"/>
    <m/>
    <x v="4"/>
    <s v="Europe centrale"/>
    <n v="8"/>
    <s v="DUCHPA-9"/>
    <s v="Abschuss"/>
  </r>
  <r>
    <x v="559"/>
    <s v="ScoRus"/>
    <n v="0"/>
    <x v="1"/>
    <x v="1"/>
    <x v="0"/>
    <x v="0"/>
    <x v="547"/>
    <n v="-24.01"/>
    <x v="544"/>
    <x v="8"/>
    <s v="Sud de la Fennoscandinavie, Pays baltes et ouest de la Russie"/>
    <x v="1"/>
    <x v="1"/>
    <s v="Centovalli"/>
    <s v="NA"/>
    <n v="46.16446646"/>
    <n v="8.6030927469999998"/>
    <n v="5"/>
    <n v="30"/>
    <x v="0"/>
    <n v="2016"/>
    <x v="197"/>
    <x v="23"/>
    <n v="45"/>
    <x v="1"/>
    <x v="1"/>
    <x v="1"/>
    <n v="689940"/>
    <n v="113222"/>
    <n v="68991132"/>
    <n v="689113"/>
    <n v="685110"/>
    <n v="687500"/>
    <n v="112500"/>
    <n v="385"/>
    <x v="0"/>
    <n v="0"/>
    <n v="0"/>
    <n v="0"/>
    <n v="-82.877884899999998"/>
    <n v="-82.877884899999998"/>
    <s v="NA"/>
    <s v="NA"/>
    <m/>
    <x v="4"/>
    <s v="Europe centrale"/>
    <n v="8"/>
    <s v="FISCIV-09"/>
    <s v="Abschuss"/>
  </r>
  <r>
    <x v="560"/>
    <s v="ScoRus"/>
    <n v="0"/>
    <x v="1"/>
    <x v="1"/>
    <x v="0"/>
    <x v="0"/>
    <x v="548"/>
    <n v="-24.373799999999999"/>
    <x v="545"/>
    <x v="8"/>
    <s v="Sud de la Fennoscandinavie, Pays baltes et ouest de la Russie"/>
    <x v="1"/>
    <x v="1"/>
    <s v="Signôra"/>
    <s v="Costa dei Badairoli"/>
    <n v="46.108451989999999"/>
    <n v="9.0457042590000007"/>
    <n v="5"/>
    <n v="20"/>
    <x v="0"/>
    <n v="2015"/>
    <x v="38"/>
    <x v="30"/>
    <n v="35"/>
    <x v="4"/>
    <x v="0"/>
    <x v="0"/>
    <n v="724250"/>
    <n v="107600"/>
    <n v="72421076"/>
    <n v="724107"/>
    <n v="720105"/>
    <n v="722500"/>
    <n v="107500"/>
    <n v="325"/>
    <x v="0"/>
    <n v="0"/>
    <n v="0"/>
    <n v="0"/>
    <n v="-82.78"/>
    <n v="-82.78"/>
    <n v="-105.7"/>
    <s v="NA"/>
    <m/>
    <x v="4"/>
    <s v="Europe centrale"/>
    <n v="8"/>
    <s v="ROSAOR-2"/>
    <s v="Abschuss"/>
  </r>
  <r>
    <x v="561"/>
    <s v="ScoRus"/>
    <n v="0"/>
    <x v="1"/>
    <x v="1"/>
    <x v="0"/>
    <x v="0"/>
    <x v="549"/>
    <n v="-23.63"/>
    <x v="527"/>
    <x v="8"/>
    <s v="Sud de la Fennoscandinavie, Pays baltes et ouest de la Russie"/>
    <x v="3"/>
    <x v="6"/>
    <s v="Vionnaz"/>
    <s v="L Avançon"/>
    <n v="46.324549840000003"/>
    <n v="6.8867834649999997"/>
    <n v="3"/>
    <n v="12"/>
    <x v="1"/>
    <n v="2016"/>
    <x v="193"/>
    <x v="26"/>
    <n v="57"/>
    <x v="6"/>
    <x v="2"/>
    <x v="2"/>
    <n v="557500"/>
    <n v="130500"/>
    <n v="55751305"/>
    <n v="557130"/>
    <n v="555130"/>
    <n v="557500"/>
    <n v="132500"/>
    <n v="287"/>
    <x v="0"/>
    <n v="0"/>
    <n v="0"/>
    <n v="0"/>
    <n v="-82.7575504"/>
    <n v="-82.7575504"/>
    <s v="NA"/>
    <s v="NA"/>
    <m/>
    <x v="4"/>
    <s v="Europe centrale"/>
    <n v="8"/>
    <s v="CRETYC-2"/>
    <s v="Abschuss"/>
  </r>
  <r>
    <x v="562"/>
    <s v="ScoRus"/>
    <n v="0"/>
    <x v="1"/>
    <x v="1"/>
    <x v="0"/>
    <x v="0"/>
    <x v="550"/>
    <n v="-22.93"/>
    <x v="546"/>
    <x v="8"/>
    <s v="Sud de la Fennoscandinavie, Pays baltes et ouest de la Russie"/>
    <x v="1"/>
    <x v="1"/>
    <s v="Lugano"/>
    <s v="Fié"/>
    <n v="46.06900306"/>
    <n v="9.0038252510000003"/>
    <n v="5"/>
    <n v="12"/>
    <x v="1"/>
    <n v="2016"/>
    <x v="193"/>
    <x v="26"/>
    <n v="57"/>
    <x v="6"/>
    <x v="2"/>
    <x v="2"/>
    <n v="721100"/>
    <n v="103150"/>
    <n v="72111031"/>
    <n v="721103"/>
    <n v="720100"/>
    <n v="722500"/>
    <n v="102500"/>
    <n v="340"/>
    <x v="0"/>
    <n v="0"/>
    <n v="0"/>
    <n v="0"/>
    <n v="-82.7334824"/>
    <n v="-82.7334824"/>
    <s v="NA"/>
    <s v="NA"/>
    <m/>
    <x v="4"/>
    <s v="Europe centrale"/>
    <n v="8"/>
    <s v="ANARGI-2"/>
    <s v="Abschuss"/>
  </r>
  <r>
    <x v="563"/>
    <s v="ScoRus"/>
    <n v="0"/>
    <x v="1"/>
    <x v="1"/>
    <x v="0"/>
    <x v="0"/>
    <x v="551"/>
    <n v="-24.172999999999998"/>
    <x v="547"/>
    <x v="8"/>
    <s v="Sud de la Fennoscandinavie, Pays baltes et ouest de la Russie"/>
    <x v="2"/>
    <x v="3"/>
    <s v="Montherod"/>
    <s v="Bois Masson"/>
    <n v="46.499941909999997"/>
    <n v="6.3525013530000001"/>
    <n v="6"/>
    <n v="24"/>
    <x v="1"/>
    <n v="2015"/>
    <x v="215"/>
    <x v="43"/>
    <n v="69"/>
    <x v="7"/>
    <x v="3"/>
    <x v="2"/>
    <n v="516625"/>
    <n v="150425"/>
    <n v="51661504"/>
    <n v="516150"/>
    <n v="515150"/>
    <n v="517500"/>
    <n v="152500"/>
    <n v="323"/>
    <x v="0"/>
    <n v="0"/>
    <n v="0"/>
    <n v="0"/>
    <n v="-82.7"/>
    <n v="-82.7"/>
    <n v="-105.6"/>
    <s v="NA"/>
    <m/>
    <x v="4"/>
    <s v="Europe centrale"/>
    <n v="8"/>
    <s v="PRIOJE-6"/>
    <s v="Abschuss"/>
  </r>
  <r>
    <x v="564"/>
    <s v="ScoRus"/>
    <n v="0"/>
    <x v="1"/>
    <x v="1"/>
    <x v="0"/>
    <x v="0"/>
    <x v="552"/>
    <n v="-23.791"/>
    <x v="548"/>
    <x v="8"/>
    <s v="Sud de la Fennoscandinavie, Pays baltes et ouest de la Russie"/>
    <x v="0"/>
    <x v="0"/>
    <s v="Le Locle"/>
    <s v="Ferme Modèle"/>
    <n v="47.08114733"/>
    <n v="6.7486549179999997"/>
    <n v="6"/>
    <n v="14"/>
    <x v="0"/>
    <n v="2015"/>
    <x v="229"/>
    <x v="97"/>
    <n v="29"/>
    <x v="8"/>
    <x v="4"/>
    <x v="0"/>
    <n v="547602"/>
    <n v="214690"/>
    <n v="54762146"/>
    <n v="547214"/>
    <n v="545210"/>
    <n v="547500"/>
    <n v="212500"/>
    <n v="317"/>
    <x v="0"/>
    <n v="0"/>
    <n v="0"/>
    <n v="0"/>
    <n v="-82.64"/>
    <n v="-82.64"/>
    <n v="-105.6"/>
    <s v="NA"/>
    <m/>
    <x v="4"/>
    <s v="Europe centrale"/>
    <n v="8"/>
    <s v="PRETFA-1"/>
    <s v="Abschuss"/>
  </r>
  <r>
    <x v="565"/>
    <s v="ScoRus"/>
    <n v="0"/>
    <x v="1"/>
    <x v="1"/>
    <x v="0"/>
    <x v="0"/>
    <x v="553"/>
    <n v="-24.972249999999999"/>
    <x v="549"/>
    <x v="8"/>
    <s v="Sud de la Fennoscandinavie, Pays baltes et ouest de la Russie"/>
    <x v="1"/>
    <x v="1"/>
    <s v="Isorno"/>
    <s v="Cortone"/>
    <n v="46.208378840000002"/>
    <n v="8.6889739630000005"/>
    <n v="6"/>
    <n v="8"/>
    <x v="1"/>
    <n v="2015"/>
    <x v="192"/>
    <x v="2"/>
    <n v="53"/>
    <x v="2"/>
    <x v="2"/>
    <x v="1"/>
    <n v="696495"/>
    <n v="118205"/>
    <n v="69641182"/>
    <n v="696118"/>
    <n v="695115"/>
    <n v="697500"/>
    <n v="117500"/>
    <n v="347"/>
    <x v="0"/>
    <n v="0"/>
    <n v="0"/>
    <n v="0"/>
    <n v="-82.55"/>
    <n v="-82.55"/>
    <n v="-105.5"/>
    <s v="NA"/>
    <m/>
    <x v="4"/>
    <s v="Europe centrale"/>
    <n v="8"/>
    <s v="FISCIV16"/>
    <s v="Abschuss"/>
  </r>
  <r>
    <x v="566"/>
    <s v="ScoRus"/>
    <n v="0"/>
    <x v="1"/>
    <x v="1"/>
    <x v="0"/>
    <x v="0"/>
    <x v="554"/>
    <n v="-22.978000000000002"/>
    <x v="550"/>
    <x v="8"/>
    <s v="Sud de la Fennoscandinavie, Pays baltes et ouest de la Russie"/>
    <x v="1"/>
    <x v="1"/>
    <s v="Isorno"/>
    <s v="Bolla"/>
    <n v="46.210446689999998"/>
    <n v="8.6890991759999991"/>
    <n v="6"/>
    <n v="18"/>
    <x v="0"/>
    <n v="2015"/>
    <x v="202"/>
    <x v="89"/>
    <n v="33"/>
    <x v="4"/>
    <x v="0"/>
    <x v="0"/>
    <n v="696501"/>
    <n v="118435"/>
    <n v="69651184"/>
    <n v="696118"/>
    <n v="695115"/>
    <n v="697500"/>
    <n v="117500"/>
    <n v="332"/>
    <x v="0"/>
    <n v="0"/>
    <n v="0"/>
    <n v="0"/>
    <n v="-82.49"/>
    <n v="-82.49"/>
    <n v="-105.4"/>
    <s v="NA"/>
    <m/>
    <x v="4"/>
    <s v="Europe centrale"/>
    <n v="8"/>
    <s v="FISCIV-3"/>
    <s v="Abschuss"/>
  </r>
  <r>
    <x v="567"/>
    <s v="ScoRus"/>
    <n v="0"/>
    <x v="1"/>
    <x v="1"/>
    <x v="0"/>
    <x v="0"/>
    <x v="555"/>
    <n v="-24.237647020000001"/>
    <x v="551"/>
    <x v="8"/>
    <s v="Sud de la Fennoscandinavie, Pays baltes et ouest de la Russie"/>
    <x v="2"/>
    <x v="2"/>
    <s v="Sommentier"/>
    <s v="Bois de Chanez"/>
    <n v="46.628905549999999"/>
    <n v="6.9095188099999998"/>
    <n v="5"/>
    <n v="3"/>
    <x v="1"/>
    <n v="2015"/>
    <x v="204"/>
    <x v="25"/>
    <n v="48"/>
    <x v="3"/>
    <x v="1"/>
    <x v="1"/>
    <n v="559479"/>
    <n v="164321"/>
    <n v="55941643"/>
    <n v="559164"/>
    <n v="555160"/>
    <n v="557500"/>
    <n v="162500"/>
    <n v="302"/>
    <x v="0"/>
    <n v="0"/>
    <n v="0"/>
    <n v="0"/>
    <n v="-82.41"/>
    <n v="-82.41"/>
    <n v="-105.3"/>
    <s v="NA"/>
    <m/>
    <x v="4"/>
    <s v="Europe centrale"/>
    <n v="8"/>
    <s v="DUCHPA-5"/>
    <s v="Abschuss"/>
  </r>
  <r>
    <x v="568"/>
    <s v="ScoRus"/>
    <n v="0"/>
    <x v="1"/>
    <x v="1"/>
    <x v="0"/>
    <x v="0"/>
    <x v="555"/>
    <n v="-24.9864"/>
    <x v="552"/>
    <x v="8"/>
    <s v="Sud de la Fennoscandinavie, Pays baltes et ouest de la Russie"/>
    <x v="1"/>
    <x v="1"/>
    <s v="Sonvico"/>
    <s v="Ova"/>
    <n v="46.06649298"/>
    <n v="9.0224957020000005"/>
    <n v="5"/>
    <n v="1"/>
    <x v="1"/>
    <n v="2015"/>
    <x v="167"/>
    <x v="17"/>
    <n v="46"/>
    <x v="1"/>
    <x v="1"/>
    <x v="1"/>
    <n v="722550"/>
    <n v="102900"/>
    <n v="72251029"/>
    <n v="722102"/>
    <n v="720100"/>
    <n v="722500"/>
    <n v="102500"/>
    <n v="340"/>
    <x v="0"/>
    <n v="0"/>
    <n v="0"/>
    <n v="0"/>
    <n v="-82.41"/>
    <n v="-82.41"/>
    <n v="-105.3"/>
    <s v="NA"/>
    <m/>
    <x v="4"/>
    <s v="Europe centrale"/>
    <n v="8"/>
    <s v="ANARGI-1"/>
    <s v="Abschuss"/>
  </r>
  <r>
    <x v="569"/>
    <s v="ScoRus"/>
    <n v="0"/>
    <x v="1"/>
    <x v="1"/>
    <x v="0"/>
    <x v="0"/>
    <x v="556"/>
    <n v="-25.145399999999999"/>
    <x v="553"/>
    <x v="8"/>
    <s v="Sud de la Fennoscandinavie, Pays baltes et ouest de la Russie"/>
    <x v="1"/>
    <x v="1"/>
    <s v="Bruzzella"/>
    <s v="Roccolo"/>
    <n v="45.885502389999999"/>
    <n v="9.0717867180000002"/>
    <n v="5"/>
    <n v="3"/>
    <x v="1"/>
    <n v="2015"/>
    <x v="204"/>
    <x v="25"/>
    <n v="48"/>
    <x v="3"/>
    <x v="1"/>
    <x v="1"/>
    <n v="726782"/>
    <n v="82862"/>
    <n v="72670828"/>
    <n v="726082"/>
    <n v="725080"/>
    <n v="727500"/>
    <n v="82500"/>
    <n v="300"/>
    <x v="0"/>
    <n v="0"/>
    <n v="0"/>
    <n v="0"/>
    <n v="-82.4"/>
    <n v="-82.4"/>
    <n v="-105.3"/>
    <s v="NA"/>
    <m/>
    <x v="4"/>
    <s v="Europe centrale"/>
    <n v="8"/>
    <s v="REZZONICORO-8"/>
    <s v="Abschuss"/>
  </r>
  <r>
    <x v="570"/>
    <s v="ScoRus"/>
    <n v="0"/>
    <x v="1"/>
    <x v="1"/>
    <x v="0"/>
    <x v="0"/>
    <x v="557"/>
    <n v="-31.974678430000001"/>
    <x v="554"/>
    <x v="8"/>
    <s v="Sud de la Fennoscandinavie, Pays baltes et ouest de la Russie"/>
    <x v="0"/>
    <x v="0"/>
    <s v="Fontaine"/>
    <s v="La Gauteraine"/>
    <n v="47.092600060000002"/>
    <n v="6.8966567569999997"/>
    <n v="6"/>
    <n v="15"/>
    <x v="0"/>
    <n v="2013"/>
    <x v="230"/>
    <x v="105"/>
    <n v="30"/>
    <x v="8"/>
    <x v="4"/>
    <x v="0"/>
    <n v="558850"/>
    <n v="215875"/>
    <n v="55882158"/>
    <n v="558215"/>
    <n v="555215"/>
    <n v="557500"/>
    <n v="217500"/>
    <n v="342"/>
    <x v="0"/>
    <n v="0"/>
    <n v="0"/>
    <n v="0"/>
    <n v="-82.36"/>
    <n v="-82.36"/>
    <n v="-105.3"/>
    <s v="NA"/>
    <m/>
    <x v="4"/>
    <s v="Europe centrale"/>
    <n v="8"/>
    <s v="MEISTHE1"/>
    <s v="Abschuss"/>
  </r>
  <r>
    <x v="571"/>
    <s v="ScoRus"/>
    <n v="0"/>
    <x v="1"/>
    <x v="1"/>
    <x v="0"/>
    <x v="0"/>
    <x v="558"/>
    <n v="-23.42"/>
    <x v="555"/>
    <x v="8"/>
    <s v="Sud de la Fennoscandinavie, Pays baltes et ouest de la Russie"/>
    <x v="1"/>
    <x v="1"/>
    <s v="Monteceneri"/>
    <s v="Monti di Spina"/>
    <n v="46.126035250000001"/>
    <n v="8.9110013890000008"/>
    <n v="5"/>
    <n v="30"/>
    <x v="1"/>
    <n v="2016"/>
    <x v="211"/>
    <x v="38"/>
    <n v="75"/>
    <x v="9"/>
    <x v="5"/>
    <x v="3"/>
    <n v="713800"/>
    <n v="109350"/>
    <n v="71381093"/>
    <n v="713109"/>
    <n v="710105"/>
    <n v="712500"/>
    <n v="107500"/>
    <n v="305"/>
    <x v="0"/>
    <n v="0"/>
    <n v="0"/>
    <n v="0"/>
    <n v="-82.345765599999993"/>
    <n v="-82.345765599999993"/>
    <s v="NA"/>
    <s v="NA"/>
    <m/>
    <x v="4"/>
    <s v="Europe centrale"/>
    <n v="8"/>
    <s v="BELLEN-4"/>
    <s v="Abschuss"/>
  </r>
  <r>
    <x v="572"/>
    <s v="ScoRus"/>
    <n v="0"/>
    <x v="1"/>
    <x v="1"/>
    <x v="0"/>
    <x v="0"/>
    <x v="559"/>
    <n v="-23.32"/>
    <x v="556"/>
    <x v="8"/>
    <s v="Sud de la Fennoscandinavie, Pays baltes et ouest de la Russie"/>
    <x v="1"/>
    <x v="1"/>
    <s v="Fontana"/>
    <s v="Bombel"/>
    <n v="46.515433420000001"/>
    <n v="8.5517856460000008"/>
    <n v="5"/>
    <n v="29"/>
    <x v="0"/>
    <n v="2016"/>
    <x v="180"/>
    <x v="1"/>
    <n v="44"/>
    <x v="1"/>
    <x v="1"/>
    <x v="1"/>
    <n v="685424"/>
    <n v="152176"/>
    <n v="68541521"/>
    <n v="685152"/>
    <n v="685150"/>
    <n v="687500"/>
    <n v="152500"/>
    <n v="325"/>
    <x v="0"/>
    <n v="0"/>
    <n v="0"/>
    <n v="0"/>
    <n v="-82.267628999999999"/>
    <n v="-82.267628999999999"/>
    <s v="NA"/>
    <s v="NA"/>
    <m/>
    <x v="4"/>
    <s v="Europe centrale"/>
    <n v="8"/>
    <s v="BIANRO-3"/>
    <s v="Abschuss"/>
  </r>
  <r>
    <x v="573"/>
    <s v="ScoRus"/>
    <n v="0"/>
    <x v="1"/>
    <x v="1"/>
    <x v="0"/>
    <x v="0"/>
    <x v="560"/>
    <n v="-23.86"/>
    <x v="557"/>
    <x v="8"/>
    <s v="Sud de la Fennoscandinavie, Pays baltes et ouest de la Russie"/>
    <x v="1"/>
    <x v="1"/>
    <s v="Alto Malcantone"/>
    <s v="NA"/>
    <n v="46.055440760000003"/>
    <n v="8.8806686520000007"/>
    <n v="2"/>
    <n v="16"/>
    <x v="0"/>
    <n v="2016"/>
    <x v="160"/>
    <x v="33"/>
    <n v="31"/>
    <x v="8"/>
    <x v="4"/>
    <x v="0"/>
    <n v="711600"/>
    <n v="101460"/>
    <n v="71161014"/>
    <n v="711101"/>
    <n v="710100"/>
    <n v="712500"/>
    <n v="102500"/>
    <n v="330"/>
    <x v="0"/>
    <n v="0"/>
    <n v="0"/>
    <n v="0"/>
    <n v="-82.222415799999993"/>
    <n v="-82.222415799999993"/>
    <s v="NA"/>
    <s v="NA"/>
    <m/>
    <x v="4"/>
    <s v="Europe centrale"/>
    <n v="8"/>
    <s v="GIAMGI-1"/>
    <s v="Abschuss"/>
  </r>
  <r>
    <x v="574"/>
    <s v="ScoRus"/>
    <n v="0"/>
    <x v="1"/>
    <x v="1"/>
    <x v="0"/>
    <x v="0"/>
    <x v="561"/>
    <n v="-23.982598840000001"/>
    <x v="558"/>
    <x v="8"/>
    <s v="Sud de la Fennoscandinavie, Pays baltes et ouest de la Russie"/>
    <x v="1"/>
    <x v="1"/>
    <s v="Gamborogno"/>
    <s v="Alpe Lierna"/>
    <n v="46.118460740000003"/>
    <n v="8.8344646709999992"/>
    <n v="4"/>
    <n v="11"/>
    <x v="1"/>
    <n v="2015"/>
    <x v="32"/>
    <x v="7"/>
    <n v="56"/>
    <x v="2"/>
    <x v="2"/>
    <x v="1"/>
    <n v="707900"/>
    <n v="108400"/>
    <n v="70791084"/>
    <n v="707108"/>
    <n v="705105"/>
    <n v="707500"/>
    <n v="107500"/>
    <n v="320"/>
    <x v="0"/>
    <n v="0"/>
    <n v="0"/>
    <n v="0"/>
    <n v="-82.18"/>
    <n v="-82.18"/>
    <n v="-105.1"/>
    <s v="NA"/>
    <m/>
    <x v="4"/>
    <s v="Europe centrale"/>
    <n v="8"/>
    <s v="GNOSDA-9"/>
    <s v="Abschuss"/>
  </r>
  <r>
    <x v="575"/>
    <s v="ScoRus"/>
    <n v="0"/>
    <x v="1"/>
    <x v="1"/>
    <x v="0"/>
    <x v="0"/>
    <x v="562"/>
    <n v="-24.27"/>
    <x v="559"/>
    <x v="8"/>
    <s v="Sud de la Fennoscandinavie, Pays baltes et ouest de la Russie"/>
    <x v="3"/>
    <x v="2"/>
    <s v="Vuadens"/>
    <s v="NA"/>
    <n v="46.59039997"/>
    <n v="6.9949862200000004"/>
    <n v="3"/>
    <n v="22"/>
    <x v="0"/>
    <n v="2016"/>
    <x v="25"/>
    <x v="21"/>
    <n v="37"/>
    <x v="4"/>
    <x v="0"/>
    <x v="0"/>
    <n v="566000"/>
    <n v="160000"/>
    <n v="56601600"/>
    <n v="566160"/>
    <n v="565160"/>
    <n v="567500"/>
    <n v="162500"/>
    <n v="330"/>
    <x v="0"/>
    <n v="0"/>
    <n v="0"/>
    <n v="0"/>
    <n v="-82.086377600000006"/>
    <n v="-82.086377600000006"/>
    <s v="NA"/>
    <s v="NA"/>
    <m/>
    <x v="4"/>
    <s v="Europe centrale"/>
    <n v="8"/>
    <s v="DENEPA-3"/>
    <s v="Abschuss"/>
  </r>
  <r>
    <x v="576"/>
    <s v="ScoRus"/>
    <n v="0"/>
    <x v="1"/>
    <x v="1"/>
    <x v="0"/>
    <x v="0"/>
    <x v="563"/>
    <s v="NA"/>
    <x v="560"/>
    <x v="8"/>
    <s v="Sud de la Fennoscandinavie, Pays baltes et ouest de la Russie"/>
    <x v="0"/>
    <x v="0"/>
    <s v="Val de Ruz"/>
    <s v="La Gautereine"/>
    <n v="47.093360879999999"/>
    <n v="6.895858789"/>
    <n v="6"/>
    <n v="30"/>
    <x v="0"/>
    <n v="2017"/>
    <x v="231"/>
    <x v="23"/>
    <n v="45"/>
    <x v="1"/>
    <x v="1"/>
    <x v="1"/>
    <n v="558790"/>
    <n v="215960"/>
    <n v="55872159"/>
    <n v="558215"/>
    <n v="555215"/>
    <n v="557500"/>
    <n v="217500"/>
    <n v="305"/>
    <x v="0"/>
    <n v="0"/>
    <n v="0"/>
    <n v="0"/>
    <n v="-81.899721600000007"/>
    <n v="-81.899721600000007"/>
    <s v="NA"/>
    <s v="NA"/>
    <m/>
    <x v="4"/>
    <s v="Europe centrale"/>
    <n v="8"/>
    <s v="MEISHE-7"/>
    <s v="Abschuss"/>
  </r>
  <r>
    <x v="577"/>
    <s v="ScoRus"/>
    <n v="0"/>
    <x v="1"/>
    <x v="1"/>
    <x v="0"/>
    <x v="0"/>
    <x v="564"/>
    <s v="NA"/>
    <x v="561"/>
    <x v="8"/>
    <s v="Sud de la Fennoscandinavie, Pays baltes et ouest de la Russie"/>
    <x v="1"/>
    <x v="1"/>
    <s v="Cimadera"/>
    <s v="Lavinone"/>
    <n v="46.082737299999998"/>
    <n v="9.0507657639999994"/>
    <n v="5"/>
    <n v="25"/>
    <x v="0"/>
    <n v="2017"/>
    <x v="76"/>
    <x v="8"/>
    <n v="40"/>
    <x v="0"/>
    <x v="0"/>
    <x v="0"/>
    <n v="724700"/>
    <n v="104750"/>
    <n v="72471047"/>
    <n v="724104"/>
    <n v="720100"/>
    <n v="722500"/>
    <n v="102500"/>
    <n v="285"/>
    <x v="0"/>
    <n v="0"/>
    <n v="0"/>
    <n v="0"/>
    <n v="-81.886816999999994"/>
    <n v="-81.886816999999994"/>
    <s v="NA"/>
    <s v="NA"/>
    <m/>
    <x v="4"/>
    <s v="Europe centrale"/>
    <n v="8"/>
    <s v="ROSAOR-1"/>
    <s v="Abschuss"/>
  </r>
  <r>
    <x v="578"/>
    <s v="ScoRus"/>
    <n v="0"/>
    <x v="1"/>
    <x v="1"/>
    <x v="0"/>
    <x v="0"/>
    <x v="565"/>
    <n v="-24.086400000000001"/>
    <x v="562"/>
    <x v="8"/>
    <s v="Sud de la Fennoscandinavie, Pays baltes et ouest de la Russie"/>
    <x v="1"/>
    <x v="1"/>
    <s v="Astano"/>
    <s v="Bergen"/>
    <n v="46.02084997"/>
    <n v="8.8113481890000003"/>
    <n v="5"/>
    <n v="31"/>
    <x v="0"/>
    <n v="2015"/>
    <x v="27"/>
    <x v="17"/>
    <n v="46"/>
    <x v="1"/>
    <x v="1"/>
    <x v="1"/>
    <n v="706303"/>
    <n v="97519"/>
    <n v="70630975"/>
    <n v="706097"/>
    <n v="705095"/>
    <n v="707500"/>
    <n v="97500"/>
    <s v="NA"/>
    <x v="0"/>
    <n v="0"/>
    <n v="0"/>
    <n v="0"/>
    <n v="-81.88"/>
    <n v="-81.88"/>
    <n v="-104.8"/>
    <s v="NA"/>
    <m/>
    <x v="4"/>
    <s v="Europe centrale"/>
    <n v="8"/>
    <s v="MORAMA-6"/>
    <s v="Abschuss"/>
  </r>
  <r>
    <x v="579"/>
    <s v="ScoRus"/>
    <n v="0"/>
    <x v="1"/>
    <x v="1"/>
    <x v="0"/>
    <x v="0"/>
    <x v="566"/>
    <n v="-24.3308"/>
    <x v="563"/>
    <x v="8"/>
    <s v="Sud de la Fennoscandinavie, Pays baltes et ouest de la Russie"/>
    <x v="1"/>
    <x v="1"/>
    <s v="Cabbio"/>
    <s v="Fume Breggia"/>
    <n v="45.899060660000004"/>
    <n v="9.0443433189999993"/>
    <n v="5"/>
    <n v="17"/>
    <x v="1"/>
    <n v="2015"/>
    <x v="184"/>
    <x v="10"/>
    <n v="62"/>
    <x v="5"/>
    <x v="3"/>
    <x v="2"/>
    <n v="724621"/>
    <n v="84325"/>
    <n v="72460843"/>
    <n v="724084"/>
    <n v="720080"/>
    <n v="722500"/>
    <n v="82500"/>
    <n v="200"/>
    <x v="0"/>
    <n v="0"/>
    <n v="0"/>
    <n v="0"/>
    <n v="-81.72"/>
    <n v="-81.72"/>
    <n v="-104.6"/>
    <s v="NA"/>
    <m/>
    <x v="4"/>
    <s v="Europe centrale"/>
    <n v="8"/>
    <s v="REZZONICORO-18"/>
    <s v="Abschuss"/>
  </r>
  <r>
    <x v="580"/>
    <s v="ScoRus"/>
    <n v="0"/>
    <x v="1"/>
    <x v="1"/>
    <x v="0"/>
    <x v="0"/>
    <x v="567"/>
    <n v="-24.04"/>
    <x v="564"/>
    <x v="8"/>
    <s v="Sud de la Fennoscandinavie, Pays baltes et ouest de la Russie"/>
    <x v="1"/>
    <x v="1"/>
    <s v="Monteceneri"/>
    <s v="Nagra"/>
    <n v="46.128451750000004"/>
    <n v="8.8981264580000001"/>
    <n v="5"/>
    <n v="17"/>
    <x v="1"/>
    <n v="2016"/>
    <x v="176"/>
    <x v="10"/>
    <n v="62"/>
    <x v="5"/>
    <x v="3"/>
    <x v="2"/>
    <n v="712800"/>
    <n v="109600"/>
    <n v="71281096"/>
    <n v="712109"/>
    <n v="710105"/>
    <n v="712500"/>
    <n v="107500"/>
    <n v="220"/>
    <x v="0"/>
    <n v="0"/>
    <n v="0"/>
    <n v="0"/>
    <n v="-81.700025999999994"/>
    <n v="-81.700025999999994"/>
    <s v="NA"/>
    <s v="NA"/>
    <m/>
    <x v="4"/>
    <s v="Europe centrale"/>
    <n v="8"/>
    <s v="BELLEN-1"/>
    <s v="Abschuss"/>
  </r>
  <r>
    <x v="581"/>
    <s v="ScoRus"/>
    <n v="0"/>
    <x v="1"/>
    <x v="1"/>
    <x v="0"/>
    <x v="0"/>
    <x v="568"/>
    <s v="NA"/>
    <x v="565"/>
    <x v="8"/>
    <s v="Sud de la Fennoscandinavie, Pays baltes et ouest de la Russie"/>
    <x v="1"/>
    <x v="1"/>
    <s v="Breno"/>
    <s v="Alpe Mageno"/>
    <n v="46.050858929999997"/>
    <n v="8.8624574030000005"/>
    <n v="5"/>
    <n v="14"/>
    <x v="1"/>
    <n v="2017"/>
    <x v="91"/>
    <x v="18"/>
    <n v="59"/>
    <x v="6"/>
    <x v="2"/>
    <x v="2"/>
    <n v="710200"/>
    <n v="100925"/>
    <n v="71021009"/>
    <n v="710100"/>
    <n v="710100"/>
    <n v="712500"/>
    <n v="102500"/>
    <n v="324"/>
    <x v="0"/>
    <n v="0"/>
    <n v="0"/>
    <n v="0"/>
    <n v="-81.651169999999993"/>
    <n v="-81.651169999999993"/>
    <s v="NA"/>
    <s v="NA"/>
    <m/>
    <x v="4"/>
    <s v="Europe centrale"/>
    <n v="8"/>
    <s v="CISTAR-4"/>
    <s v="Abschuss"/>
  </r>
  <r>
    <x v="582"/>
    <s v="ScoRus"/>
    <n v="0"/>
    <x v="1"/>
    <x v="1"/>
    <x v="0"/>
    <x v="0"/>
    <x v="569"/>
    <n v="-23.92"/>
    <x v="566"/>
    <x v="8"/>
    <s v="Sud de la Fennoscandinavie, Pays baltes et ouest de la Russie"/>
    <x v="1"/>
    <x v="1"/>
    <s v="Alto Malcantone"/>
    <s v="NA"/>
    <n v="46.048047670000003"/>
    <n v="8.8755506420000003"/>
    <n v="5"/>
    <n v="18"/>
    <x v="0"/>
    <n v="2016"/>
    <x v="151"/>
    <x v="89"/>
    <n v="33"/>
    <x v="4"/>
    <x v="0"/>
    <x v="0"/>
    <n v="711219"/>
    <n v="100631"/>
    <n v="71121006"/>
    <n v="711100"/>
    <n v="710100"/>
    <n v="712500"/>
    <n v="102500"/>
    <n v="320"/>
    <x v="0"/>
    <n v="0"/>
    <n v="0"/>
    <n v="0"/>
    <n v="-81.603754899999998"/>
    <n v="-81.603754899999998"/>
    <s v="NA"/>
    <s v="NA"/>
    <m/>
    <x v="4"/>
    <s v="Europe centrale"/>
    <n v="8"/>
    <s v="GIAMGI-3"/>
    <s v="Abschuss"/>
  </r>
  <r>
    <x v="583"/>
    <s v="ScoRus"/>
    <n v="0"/>
    <x v="1"/>
    <x v="1"/>
    <x v="0"/>
    <x v="0"/>
    <x v="570"/>
    <n v="-24.251999999999999"/>
    <x v="567"/>
    <x v="8"/>
    <s v="Sud de la Fennoscandinavie, Pays baltes et ouest de la Russie"/>
    <x v="0"/>
    <x v="3"/>
    <s v="Le Chenit"/>
    <s v="Bas-du-Chenit"/>
    <n v="46.551776220000001"/>
    <n v="6.1672623849999999"/>
    <n v="4"/>
    <n v="16"/>
    <x v="0"/>
    <n v="2015"/>
    <x v="181"/>
    <x v="33"/>
    <n v="31"/>
    <x v="8"/>
    <x v="4"/>
    <x v="0"/>
    <n v="502500"/>
    <n v="156400"/>
    <n v="50251564"/>
    <n v="502156"/>
    <n v="500155"/>
    <n v="502500"/>
    <n v="157500"/>
    <n v="327"/>
    <x v="0"/>
    <n v="0"/>
    <n v="0"/>
    <n v="0"/>
    <n v="-81.56"/>
    <n v="-81.56"/>
    <n v="-104.4"/>
    <s v="NA"/>
    <m/>
    <x v="4"/>
    <s v="Europe centrale"/>
    <n v="8"/>
    <s v="CORDJP-1"/>
    <s v="Abschuss"/>
  </r>
  <r>
    <x v="584"/>
    <s v="ScoRus"/>
    <n v="0"/>
    <x v="1"/>
    <x v="1"/>
    <x v="0"/>
    <x v="0"/>
    <x v="571"/>
    <n v="-23.544"/>
    <x v="568"/>
    <x v="8"/>
    <s v="Sud de la Fennoscandinavie, Pays baltes et ouest de la Russie"/>
    <x v="2"/>
    <x v="2"/>
    <s v="Marsens"/>
    <s v="Petit Prarys"/>
    <n v="46.658674249999997"/>
    <n v="7.0179037620000004"/>
    <n v="5"/>
    <n v="19"/>
    <x v="1"/>
    <n v="2014"/>
    <x v="58"/>
    <x v="37"/>
    <n v="64"/>
    <x v="5"/>
    <x v="3"/>
    <x v="2"/>
    <n v="567797"/>
    <n v="167580"/>
    <n v="56771675"/>
    <n v="567167"/>
    <n v="565165"/>
    <n v="567500"/>
    <n v="167500"/>
    <n v="330"/>
    <x v="0"/>
    <n v="0"/>
    <n v="0"/>
    <n v="0"/>
    <n v="-81.48"/>
    <n v="-81.48"/>
    <n v="-104.4"/>
    <s v="NA"/>
    <m/>
    <x v="4"/>
    <s v="Europe centrale"/>
    <n v="8"/>
    <s v="Savalu-3."/>
    <s v="Abschuss"/>
  </r>
  <r>
    <x v="585"/>
    <s v="ScoRus"/>
    <n v="0"/>
    <x v="1"/>
    <x v="1"/>
    <x v="0"/>
    <x v="0"/>
    <x v="571"/>
    <n v="-24.167200000000001"/>
    <x v="569"/>
    <x v="8"/>
    <s v="Sud de la Fennoscandinavie, Pays baltes et ouest de la Russie"/>
    <x v="1"/>
    <x v="1"/>
    <s v="Aurigeno"/>
    <s v="Valle della Garina"/>
    <n v="46.22909894"/>
    <n v="8.6823845790000007"/>
    <n v="5"/>
    <n v="14"/>
    <x v="1"/>
    <n v="2015"/>
    <x v="174"/>
    <x v="18"/>
    <n v="59"/>
    <x v="6"/>
    <x v="2"/>
    <x v="2"/>
    <n v="695950"/>
    <n v="120500"/>
    <n v="69591205"/>
    <n v="695120"/>
    <n v="695120"/>
    <n v="697500"/>
    <n v="122500"/>
    <n v="291"/>
    <x v="0"/>
    <n v="0"/>
    <n v="0"/>
    <n v="0"/>
    <n v="-81.48"/>
    <n v="-81.48"/>
    <n v="-104.4"/>
    <s v="NA"/>
    <m/>
    <x v="4"/>
    <s v="Europe centrale"/>
    <n v="8"/>
    <s v="CAVALLIMA9"/>
    <s v="Abschuss"/>
  </r>
  <r>
    <x v="586"/>
    <s v="ScoRus"/>
    <n v="0"/>
    <x v="1"/>
    <x v="1"/>
    <x v="0"/>
    <x v="0"/>
    <x v="572"/>
    <s v="NA"/>
    <x v="570"/>
    <x v="8"/>
    <s v="Sud de la Fennoscandinavie, Pays baltes et ouest de la Russie"/>
    <x v="1"/>
    <x v="1"/>
    <s v="Cadenazzo"/>
    <s v="Rubasacco"/>
    <n v="46.146451489999997"/>
    <n v="8.9835760120000003"/>
    <n v="5"/>
    <n v="19"/>
    <x v="0"/>
    <n v="2017"/>
    <x v="148"/>
    <x v="9"/>
    <n v="34"/>
    <x v="4"/>
    <x v="0"/>
    <x v="0"/>
    <n v="719364"/>
    <n v="111727"/>
    <n v="71931117"/>
    <n v="719111"/>
    <n v="715110"/>
    <n v="717500"/>
    <n v="112500"/>
    <n v="330"/>
    <x v="0"/>
    <n v="0"/>
    <n v="0"/>
    <n v="0"/>
    <n v="-81.458829100000003"/>
    <n v="-81.458829100000003"/>
    <s v="NA"/>
    <s v="NA"/>
    <m/>
    <x v="4"/>
    <s v="Europe centrale"/>
    <n v="8"/>
    <s v="PURASA-4"/>
    <s v="Abschuss"/>
  </r>
  <r>
    <x v="587"/>
    <s v="ScoRus"/>
    <n v="0"/>
    <x v="1"/>
    <x v="1"/>
    <x v="0"/>
    <x v="0"/>
    <x v="573"/>
    <n v="-23.76"/>
    <x v="571"/>
    <x v="8"/>
    <s v="Sud de la Fennoscandinavie, Pays baltes et ouest de la Russie"/>
    <x v="1"/>
    <x v="1"/>
    <s v="Tessebete"/>
    <s v="Gola di Lago"/>
    <n v="46.105147240000001"/>
    <n v="8.9595898040000002"/>
    <n v="5"/>
    <n v="9"/>
    <x v="1"/>
    <n v="2016"/>
    <x v="185"/>
    <x v="5"/>
    <n v="54"/>
    <x v="2"/>
    <x v="2"/>
    <x v="1"/>
    <n v="717600"/>
    <n v="107100"/>
    <n v="71761071"/>
    <n v="717107"/>
    <n v="715105"/>
    <n v="717500"/>
    <n v="107500"/>
    <n v="308"/>
    <x v="0"/>
    <n v="0"/>
    <n v="0"/>
    <n v="0"/>
    <n v="-81.406972600000003"/>
    <n v="-81.406972600000003"/>
    <s v="NA"/>
    <s v="NA"/>
    <m/>
    <x v="4"/>
    <s v="Europe centrale"/>
    <n v="8"/>
    <s v="GRUBLO-7"/>
    <s v="Abschuss"/>
  </r>
  <r>
    <x v="588"/>
    <s v="ScoRus"/>
    <n v="0"/>
    <x v="1"/>
    <x v="1"/>
    <x v="0"/>
    <x v="0"/>
    <x v="574"/>
    <n v="-22.894895779999999"/>
    <x v="572"/>
    <x v="8"/>
    <s v="Sud de la Fennoscandinavie, Pays baltes et ouest de la Russie"/>
    <x v="1"/>
    <x v="1"/>
    <s v="Cadenazzo"/>
    <s v="Prato Grasso"/>
    <n v="46.135570829999999"/>
    <n v="8.9384367440000005"/>
    <n v="5"/>
    <n v="21"/>
    <x v="0"/>
    <n v="2015"/>
    <x v="166"/>
    <x v="11"/>
    <n v="36"/>
    <x v="4"/>
    <x v="0"/>
    <x v="0"/>
    <n v="715900"/>
    <n v="110450"/>
    <n v="71591104"/>
    <n v="715110"/>
    <n v="715110"/>
    <n v="717500"/>
    <n v="112500"/>
    <n v="295"/>
    <x v="0"/>
    <n v="0"/>
    <n v="0"/>
    <n v="0"/>
    <n v="-81.31"/>
    <n v="-81.31"/>
    <n v="-104.2"/>
    <s v="NA"/>
    <m/>
    <x v="4"/>
    <s v="Europe centrale"/>
    <n v="8"/>
    <s v="PURASA-3"/>
    <s v="Abschuss"/>
  </r>
  <r>
    <x v="589"/>
    <s v="ScoRus"/>
    <n v="0"/>
    <x v="1"/>
    <x v="1"/>
    <x v="0"/>
    <x v="0"/>
    <x v="575"/>
    <n v="-22.81"/>
    <x v="448"/>
    <x v="8"/>
    <s v="Sud de la Fennoscandinavie, Pays baltes et ouest de la Russie"/>
    <x v="0"/>
    <x v="0"/>
    <s v="La Brévine"/>
    <s v="Combe Vuillier"/>
    <n v="46.97347577"/>
    <n v="6.6554013999999997"/>
    <n v="6"/>
    <n v="28"/>
    <x v="0"/>
    <n v="2016"/>
    <x v="17"/>
    <x v="16"/>
    <n v="43"/>
    <x v="1"/>
    <x v="1"/>
    <x v="1"/>
    <n v="540401"/>
    <n v="202787"/>
    <n v="54042027"/>
    <n v="540202"/>
    <n v="540200"/>
    <n v="542500"/>
    <n v="202500"/>
    <n v="307"/>
    <x v="0"/>
    <n v="0"/>
    <n v="0"/>
    <n v="0"/>
    <n v="-81.224862000000002"/>
    <n v="-81.224862000000002"/>
    <s v="NA"/>
    <s v="NA"/>
    <m/>
    <x v="4"/>
    <s v="Europe centrale"/>
    <n v="8"/>
    <s v="MEISHE 5"/>
    <s v="Abschuss"/>
  </r>
  <r>
    <x v="590"/>
    <s v="ScoRus"/>
    <n v="0"/>
    <x v="1"/>
    <x v="1"/>
    <x v="0"/>
    <x v="0"/>
    <x v="576"/>
    <n v="-22.58"/>
    <x v="573"/>
    <x v="8"/>
    <s v="Sud de la Fennoscandinavie, Pays baltes et ouest de la Russie"/>
    <x v="1"/>
    <x v="1"/>
    <s v="Alto Malcantone"/>
    <s v="NA"/>
    <n v="46.062494309999998"/>
    <n v="8.8722083999999999"/>
    <n v="5"/>
    <n v="13"/>
    <x v="1"/>
    <n v="2016"/>
    <x v="172"/>
    <x v="15"/>
    <n v="58"/>
    <x v="6"/>
    <x v="2"/>
    <x v="2"/>
    <n v="710931"/>
    <n v="102232"/>
    <n v="71091022"/>
    <n v="710102"/>
    <n v="710100"/>
    <n v="712500"/>
    <n v="102500"/>
    <n v="310"/>
    <x v="0"/>
    <n v="0"/>
    <n v="0"/>
    <n v="0"/>
    <n v="-81.213021699999999"/>
    <n v="-81.213021699999999"/>
    <s v="NA"/>
    <s v="NA"/>
    <m/>
    <x v="4"/>
    <s v="Europe centrale"/>
    <n v="8"/>
    <s v="GIAMGI-17"/>
    <s v="Abschuss"/>
  </r>
  <r>
    <x v="591"/>
    <s v="ScoRus"/>
    <n v="0"/>
    <x v="1"/>
    <x v="1"/>
    <x v="0"/>
    <x v="0"/>
    <x v="577"/>
    <n v="-25.734400000000001"/>
    <x v="574"/>
    <x v="8"/>
    <s v="Sud de la Fennoscandinavie, Pays baltes et ouest de la Russie"/>
    <x v="1"/>
    <x v="1"/>
    <s v="Arosio"/>
    <s v="Piové"/>
    <n v="46.054855869999997"/>
    <n v="8.8925808229999994"/>
    <n v="6"/>
    <n v="3"/>
    <x v="1"/>
    <n v="2015"/>
    <x v="204"/>
    <x v="25"/>
    <n v="48"/>
    <x v="3"/>
    <x v="1"/>
    <x v="1"/>
    <n v="712523"/>
    <n v="101412"/>
    <n v="71251014"/>
    <n v="712101"/>
    <n v="710100"/>
    <n v="712500"/>
    <n v="102500"/>
    <n v="298"/>
    <x v="0"/>
    <n v="0"/>
    <n v="0"/>
    <n v="0"/>
    <n v="-81.180000000000007"/>
    <n v="-81.180000000000007"/>
    <n v="-104.1"/>
    <s v="NA"/>
    <m/>
    <x v="4"/>
    <s v="Europe centrale"/>
    <n v="8"/>
    <s v="Devise-10"/>
    <s v="Abschuss"/>
  </r>
  <r>
    <x v="592"/>
    <s v="ScoRus"/>
    <n v="0"/>
    <x v="1"/>
    <x v="1"/>
    <x v="0"/>
    <x v="0"/>
    <x v="578"/>
    <s v="NA"/>
    <x v="575"/>
    <x v="8"/>
    <s v="Sud de la Fennoscandinavie, Pays baltes et ouest de la Russie"/>
    <x v="2"/>
    <x v="2"/>
    <s v="Montagny"/>
    <s v="NA"/>
    <n v="46.796970000000002"/>
    <n v="6.9859200000000001"/>
    <n v="5"/>
    <n v="2"/>
    <x v="9"/>
    <n v="2017"/>
    <x v="232"/>
    <x v="92"/>
    <n v="77"/>
    <x v="34"/>
    <x v="5"/>
    <x v="3"/>
    <n v="565437"/>
    <n v="182967"/>
    <n v="56541829"/>
    <n v="565182"/>
    <n v="565180"/>
    <n v="567500"/>
    <n v="182500"/>
    <n v="322"/>
    <x v="0"/>
    <n v="0"/>
    <n v="0"/>
    <n v="0"/>
    <n v="-81.106607999999994"/>
    <n v="-81.106607999999994"/>
    <s v="NA"/>
    <s v="NA"/>
    <m/>
    <x v="4"/>
    <s v="Europe centrale"/>
    <n v="8"/>
    <s v="YERLMI-5"/>
    <s v="Abschuss"/>
  </r>
  <r>
    <x v="593"/>
    <s v="ScoRus"/>
    <n v="0"/>
    <x v="1"/>
    <x v="1"/>
    <x v="0"/>
    <x v="0"/>
    <x v="579"/>
    <n v="-24.768799999999999"/>
    <x v="576"/>
    <x v="8"/>
    <s v="Sud de la Fennoscandinavie, Pays baltes et ouest de la Russie"/>
    <x v="2"/>
    <x v="2"/>
    <s v="Sâle"/>
    <s v="Montborget"/>
    <n v="46.609518260000002"/>
    <n v="6.9432034549999999"/>
    <n v="5"/>
    <n v="17"/>
    <x v="0"/>
    <n v="2015"/>
    <x v="47"/>
    <x v="34"/>
    <n v="32"/>
    <x v="8"/>
    <x v="4"/>
    <x v="0"/>
    <n v="562045"/>
    <n v="162149"/>
    <n v="56201621"/>
    <n v="562162"/>
    <n v="560160"/>
    <n v="562500"/>
    <n v="162500"/>
    <n v="330"/>
    <x v="0"/>
    <n v="0"/>
    <n v="0"/>
    <n v="0"/>
    <n v="-81"/>
    <n v="-81"/>
    <n v="-103.9"/>
    <s v="NA"/>
    <m/>
    <x v="4"/>
    <s v="Europe centrale"/>
    <n v="8"/>
    <s v="SAVALU-1"/>
    <s v="Abschuss"/>
  </r>
  <r>
    <x v="594"/>
    <s v="ScoRus"/>
    <n v="0"/>
    <x v="1"/>
    <x v="1"/>
    <x v="0"/>
    <x v="0"/>
    <x v="580"/>
    <n v="-23.56"/>
    <x v="577"/>
    <x v="8"/>
    <s v="Sud de la Fennoscandinavie, Pays baltes et ouest de la Russie"/>
    <x v="3"/>
    <x v="6"/>
    <s v="St-Maurice"/>
    <s v="Bois-Noir"/>
    <n v="46.181180640000001"/>
    <n v="7.017742471"/>
    <n v="3"/>
    <n v="12"/>
    <x v="1"/>
    <n v="2016"/>
    <x v="193"/>
    <x v="26"/>
    <n v="57"/>
    <x v="6"/>
    <x v="2"/>
    <x v="2"/>
    <n v="567500"/>
    <n v="114500"/>
    <n v="56751145"/>
    <n v="567114"/>
    <n v="565110"/>
    <n v="567500"/>
    <n v="112500"/>
    <n v="322"/>
    <x v="0"/>
    <n v="0"/>
    <n v="0"/>
    <n v="0"/>
    <n v="-80.987525899999994"/>
    <n v="-80.987525899999994"/>
    <s v="NA"/>
    <s v="NA"/>
    <m/>
    <x v="4"/>
    <s v="Europe centrale"/>
    <n v="8"/>
    <s v="CRETTH-2"/>
    <s v="Abschuss"/>
  </r>
  <r>
    <x v="595"/>
    <s v="ScoRus"/>
    <n v="0"/>
    <x v="1"/>
    <x v="1"/>
    <x v="0"/>
    <x v="0"/>
    <x v="581"/>
    <n v="-24.7986"/>
    <x v="578"/>
    <x v="8"/>
    <s v="Sud de la Fennoscandinavie, Pays baltes et ouest de la Russie"/>
    <x v="1"/>
    <x v="1"/>
    <s v="Centovalli"/>
    <s v="Cortone"/>
    <n v="46.206016810000001"/>
    <n v="8.6902285139999993"/>
    <n v="3"/>
    <n v="5"/>
    <x v="1"/>
    <n v="2015"/>
    <x v="233"/>
    <x v="22"/>
    <n v="50"/>
    <x v="3"/>
    <x v="1"/>
    <x v="1"/>
    <n v="696596"/>
    <n v="117944"/>
    <n v="69651179"/>
    <n v="696117"/>
    <n v="695115"/>
    <n v="697500"/>
    <n v="117500"/>
    <n v="277"/>
    <x v="0"/>
    <n v="0"/>
    <n v="0"/>
    <n v="0"/>
    <n v="-80.97"/>
    <n v="-80.97"/>
    <n v="-103.9"/>
    <s v="NA"/>
    <m/>
    <x v="4"/>
    <s v="Europe centrale"/>
    <n v="8"/>
    <s v="FISCIV14"/>
    <s v="Abschuss"/>
  </r>
  <r>
    <x v="596"/>
    <s v="ScoRus"/>
    <n v="0"/>
    <x v="1"/>
    <x v="1"/>
    <x v="0"/>
    <x v="0"/>
    <x v="582"/>
    <n v="-23.931799999999999"/>
    <x v="579"/>
    <x v="8"/>
    <s v="Sud de la Fennoscandinavie, Pays baltes et ouest de la Russie"/>
    <x v="1"/>
    <x v="1"/>
    <s v="Gamborogno"/>
    <s v="Monte Sciaga"/>
    <n v="46.09228178"/>
    <n v="8.8415542120000001"/>
    <n v="4"/>
    <n v="8"/>
    <x v="1"/>
    <n v="2015"/>
    <x v="192"/>
    <x v="2"/>
    <n v="53"/>
    <x v="2"/>
    <x v="2"/>
    <x v="1"/>
    <n v="708500"/>
    <n v="105500"/>
    <n v="70851055"/>
    <n v="708105"/>
    <n v="705105"/>
    <n v="707500"/>
    <n v="107500"/>
    <n v="352"/>
    <x v="0"/>
    <n v="0"/>
    <n v="0"/>
    <n v="0"/>
    <n v="-80.95"/>
    <n v="-80.95"/>
    <n v="-103.8"/>
    <s v="NA"/>
    <m/>
    <x v="4"/>
    <s v="Europe centrale"/>
    <n v="8"/>
    <s v="GNOSDA-7"/>
    <s v="Abschuss"/>
  </r>
  <r>
    <x v="597"/>
    <s v="ScoRus"/>
    <n v="0"/>
    <x v="1"/>
    <x v="1"/>
    <x v="0"/>
    <x v="0"/>
    <x v="583"/>
    <n v="-21.82"/>
    <x v="580"/>
    <x v="8"/>
    <s v="Sud de la Fennoscandinavie, Pays baltes et ouest de la Russie"/>
    <x v="2"/>
    <x v="2"/>
    <s v="Sâles"/>
    <s v="Les Monts"/>
    <n v="46.644422609999999"/>
    <n v="7.0076045100000002"/>
    <n v="3"/>
    <n v="19"/>
    <x v="0"/>
    <n v="2016"/>
    <x v="155"/>
    <x v="9"/>
    <n v="34"/>
    <x v="4"/>
    <x v="0"/>
    <x v="0"/>
    <n v="567000"/>
    <n v="166000"/>
    <n v="56701660"/>
    <n v="567166"/>
    <n v="565165"/>
    <n v="567500"/>
    <n v="167500"/>
    <n v="325"/>
    <x v="0"/>
    <n v="0"/>
    <n v="0"/>
    <n v="0"/>
    <n v="-80.842680400000006"/>
    <n v="-80.842680400000006"/>
    <s v="NA"/>
    <s v="NA"/>
    <m/>
    <x v="4"/>
    <s v="Europe centrale"/>
    <n v="8"/>
    <s v="DENEPA-1"/>
    <s v="Abschuss"/>
  </r>
  <r>
    <x v="598"/>
    <s v="ScoRus"/>
    <n v="0"/>
    <x v="1"/>
    <x v="1"/>
    <x v="0"/>
    <x v="0"/>
    <x v="584"/>
    <n v="16.446074230000001"/>
    <x v="581"/>
    <x v="8"/>
    <s v="Sud de la Fennoscandinavie, Pays baltes et ouest de la Russie"/>
    <x v="0"/>
    <x v="0"/>
    <s v="NA"/>
    <s v="Chaux d Amin"/>
    <n v="47.081049210000003"/>
    <n v="6.8945349220000001"/>
    <n v="6"/>
    <n v="18"/>
    <x v="0"/>
    <n v="2013"/>
    <x v="234"/>
    <x v="89"/>
    <n v="33"/>
    <x v="4"/>
    <x v="0"/>
    <x v="0"/>
    <n v="558680"/>
    <n v="214592"/>
    <n v="55862145"/>
    <n v="558214"/>
    <n v="555210"/>
    <n v="557500"/>
    <n v="212500"/>
    <n v="303"/>
    <x v="0"/>
    <n v="0"/>
    <n v="0"/>
    <n v="0"/>
    <n v="-80.760000000000005"/>
    <n v="-80.760000000000005"/>
    <n v="-103.6"/>
    <s v="NA"/>
    <m/>
    <x v="4"/>
    <s v="Europe centrale"/>
    <n v="8"/>
    <s v="MEISTHE3"/>
    <s v="Abschuss"/>
  </r>
  <r>
    <x v="599"/>
    <s v="ScoRus"/>
    <n v="0"/>
    <x v="1"/>
    <x v="1"/>
    <x v="0"/>
    <x v="0"/>
    <x v="585"/>
    <n v="-23.395359800000001"/>
    <x v="582"/>
    <x v="8"/>
    <s v="Sud de la Fennoscandinavie, Pays baltes et ouest de la Russie"/>
    <x v="0"/>
    <x v="3"/>
    <s v="Montrichier"/>
    <s v="Pré Anselme"/>
    <n v="46.605675550000001"/>
    <n v="6.3317765110000002"/>
    <n v="4"/>
    <n v="2"/>
    <x v="1"/>
    <n v="2015"/>
    <x v="163"/>
    <x v="4"/>
    <n v="47"/>
    <x v="3"/>
    <x v="1"/>
    <x v="1"/>
    <n v="515200"/>
    <n v="162200"/>
    <n v="51521622"/>
    <n v="515162"/>
    <n v="515160"/>
    <n v="517500"/>
    <n v="162500"/>
    <n v="281"/>
    <x v="0"/>
    <n v="0"/>
    <n v="0"/>
    <n v="0"/>
    <n v="-80.75"/>
    <n v="-80.75"/>
    <n v="-103.6"/>
    <s v="NA"/>
    <m/>
    <x v="4"/>
    <s v="Europe centrale"/>
    <n v="8"/>
    <s v="LiechJP-1"/>
    <s v="Abschuss"/>
  </r>
  <r>
    <x v="600"/>
    <s v="ScoRus"/>
    <n v="0"/>
    <x v="1"/>
    <x v="1"/>
    <x v="0"/>
    <x v="0"/>
    <x v="586"/>
    <n v="-23.181999999999999"/>
    <x v="583"/>
    <x v="8"/>
    <s v="Sud de la Fennoscandinavie, Pays baltes et ouest de la Russie"/>
    <x v="4"/>
    <x v="6"/>
    <s v="Hérémence"/>
    <s v="Povisse"/>
    <n v="46.167495359999997"/>
    <n v="7.3838442439999996"/>
    <n v="6"/>
    <n v="16"/>
    <x v="0"/>
    <n v="2015"/>
    <x v="181"/>
    <x v="33"/>
    <n v="31"/>
    <x v="8"/>
    <x v="4"/>
    <x v="0"/>
    <n v="595768"/>
    <n v="112893"/>
    <n v="59571128"/>
    <n v="595112"/>
    <n v="595110"/>
    <n v="597500"/>
    <n v="112500"/>
    <n v="304"/>
    <x v="0"/>
    <n v="0"/>
    <n v="0"/>
    <n v="0"/>
    <n v="-80.66"/>
    <n v="-80.66"/>
    <n v="-103.5"/>
    <s v="NA"/>
    <m/>
    <x v="4"/>
    <s v="Europe centrale"/>
    <n v="8"/>
    <s v="CRETYC-1"/>
    <s v="Abschuss"/>
  </r>
  <r>
    <x v="601"/>
    <s v="ScoRus"/>
    <n v="0"/>
    <x v="1"/>
    <x v="1"/>
    <x v="0"/>
    <x v="0"/>
    <x v="587"/>
    <n v="-23.898"/>
    <x v="584"/>
    <x v="8"/>
    <s v="Sud de la Fennoscandinavie, Pays baltes et ouest de la Russie"/>
    <x v="0"/>
    <x v="3"/>
    <s v="Le Lieu"/>
    <s v="Petit Risoud"/>
    <n v="46.659996360000001"/>
    <n v="6.2757835340000003"/>
    <n v="4"/>
    <n v="20"/>
    <x v="1"/>
    <n v="2015"/>
    <x v="179"/>
    <x v="32"/>
    <n v="65"/>
    <x v="5"/>
    <x v="3"/>
    <x v="2"/>
    <n v="511000"/>
    <n v="168300"/>
    <n v="51101683"/>
    <n v="511168"/>
    <n v="510165"/>
    <n v="512500"/>
    <n v="167500"/>
    <n v="322"/>
    <x v="0"/>
    <n v="0"/>
    <n v="0"/>
    <n v="0"/>
    <n v="-80.650000000000006"/>
    <n v="-80.650000000000006"/>
    <n v="-103.5"/>
    <s v="NA"/>
    <m/>
    <x v="4"/>
    <s v="Europe centrale"/>
    <n v="8"/>
    <s v="Roch-1"/>
    <s v="Abschuss"/>
  </r>
  <r>
    <x v="602"/>
    <s v="ScoRus"/>
    <n v="0"/>
    <x v="1"/>
    <x v="1"/>
    <x v="0"/>
    <x v="0"/>
    <x v="588"/>
    <s v="NA"/>
    <x v="585"/>
    <x v="8"/>
    <s v="Sud de la Fennoscandinavie, Pays baltes et ouest de la Russie"/>
    <x v="0"/>
    <x v="0"/>
    <s v="La Brévine"/>
    <s v="NA"/>
    <n v="46.943452280000002"/>
    <n v="6.5914646770000003"/>
    <n v="3"/>
    <n v="2"/>
    <x v="1"/>
    <n v="2017"/>
    <x v="26"/>
    <x v="4"/>
    <n v="47"/>
    <x v="3"/>
    <x v="1"/>
    <x v="1"/>
    <n v="535500"/>
    <n v="199500"/>
    <n v="53551995"/>
    <n v="535199"/>
    <n v="535195"/>
    <n v="537500"/>
    <n v="197500"/>
    <n v="275"/>
    <x v="0"/>
    <n v="0"/>
    <n v="0"/>
    <n v="0"/>
    <n v="-80.5358576"/>
    <n v="-80.5358576"/>
    <s v="NA"/>
    <s v="NA"/>
    <m/>
    <x v="4"/>
    <s v="Europe centrale"/>
    <n v="8"/>
    <s v="GARIJC-6"/>
    <s v="Abschuss"/>
  </r>
  <r>
    <x v="603"/>
    <s v="ScoRus"/>
    <n v="0"/>
    <x v="1"/>
    <x v="1"/>
    <x v="0"/>
    <x v="0"/>
    <x v="589"/>
    <s v="NA"/>
    <x v="112"/>
    <x v="8"/>
    <s v="Sud de la Fennoscandinavie, Pays baltes et ouest de la Russie"/>
    <x v="2"/>
    <x v="2"/>
    <s v="Romanens"/>
    <s v="Monts de Riaz"/>
    <n v="46.644320819999997"/>
    <n v="6.9814818919999997"/>
    <n v="3"/>
    <n v="4"/>
    <x v="1"/>
    <n v="2014"/>
    <x v="63"/>
    <x v="3"/>
    <n v="49"/>
    <x v="3"/>
    <x v="1"/>
    <x v="1"/>
    <n v="565000"/>
    <n v="166000"/>
    <n v="56501660"/>
    <n v="565166"/>
    <n v="565165"/>
    <n v="567500"/>
    <n v="167500"/>
    <n v="324"/>
    <x v="0"/>
    <n v="0"/>
    <n v="0"/>
    <n v="0"/>
    <n v="-80.48"/>
    <n v="-80.48"/>
    <n v="-103.4"/>
    <s v="NA"/>
    <m/>
    <x v="4"/>
    <s v="Europe centrale"/>
    <n v="8"/>
    <s v="BLANDA-2"/>
    <s v="Abschuss"/>
  </r>
  <r>
    <x v="604"/>
    <s v="ScoRus"/>
    <n v="0"/>
    <x v="1"/>
    <x v="1"/>
    <x v="0"/>
    <x v="0"/>
    <x v="590"/>
    <n v="-24.33"/>
    <x v="586"/>
    <x v="8"/>
    <s v="Sud de la Fennoscandinavie, Pays baltes et ouest de la Russie"/>
    <x v="1"/>
    <x v="1"/>
    <s v="Centovalli"/>
    <s v="NA"/>
    <n v="46.174586789999999"/>
    <n v="8.6417973949999993"/>
    <n v="5"/>
    <n v="9"/>
    <x v="1"/>
    <n v="2016"/>
    <x v="185"/>
    <x v="5"/>
    <n v="54"/>
    <x v="2"/>
    <x v="2"/>
    <x v="1"/>
    <n v="692912"/>
    <n v="114392"/>
    <n v="69291143"/>
    <n v="692114"/>
    <n v="690110"/>
    <n v="692500"/>
    <n v="112500"/>
    <n v="317"/>
    <x v="0"/>
    <n v="0"/>
    <n v="0"/>
    <n v="0"/>
    <n v="-80.461285000000004"/>
    <n v="-80.461285000000004"/>
    <s v="NA"/>
    <s v="NA"/>
    <m/>
    <x v="4"/>
    <s v="Europe centrale"/>
    <n v="8"/>
    <s v="FISCIV-19"/>
    <s v="Abschuss"/>
  </r>
  <r>
    <x v="605"/>
    <s v="ScoRus"/>
    <n v="0"/>
    <x v="1"/>
    <x v="1"/>
    <x v="0"/>
    <x v="0"/>
    <x v="591"/>
    <n v="-22.772200000000002"/>
    <x v="587"/>
    <x v="8"/>
    <s v="Sud de la Fennoscandinavie, Pays baltes et ouest de la Russie"/>
    <x v="1"/>
    <x v="1"/>
    <s v="Alto Malcantone"/>
    <s v="Fescoggia-Firinescio"/>
    <n v="46.05360366"/>
    <n v="8.8730476819999993"/>
    <n v="5"/>
    <n v="3"/>
    <x v="1"/>
    <n v="2015"/>
    <x v="204"/>
    <x v="25"/>
    <n v="48"/>
    <x v="3"/>
    <x v="1"/>
    <x v="1"/>
    <n v="711014"/>
    <n v="101245"/>
    <n v="71101012"/>
    <n v="711101"/>
    <n v="710100"/>
    <n v="712500"/>
    <n v="102500"/>
    <n v="300"/>
    <x v="0"/>
    <n v="0"/>
    <n v="0"/>
    <n v="0"/>
    <n v="-80.45"/>
    <n v="-80.45"/>
    <n v="-103.3"/>
    <s v="NA"/>
    <m/>
    <x v="4"/>
    <s v="Europe centrale"/>
    <n v="8"/>
    <s v="GIAMGI-6"/>
    <s v="Abschuss"/>
  </r>
  <r>
    <x v="606"/>
    <s v="ScoRus"/>
    <n v="0"/>
    <x v="1"/>
    <x v="1"/>
    <x v="0"/>
    <x v="0"/>
    <x v="592"/>
    <n v="-23.38494541"/>
    <x v="588"/>
    <x v="8"/>
    <s v="Sud de la Fennoscandinavie, Pays baltes et ouest de la Russie"/>
    <x v="2"/>
    <x v="3"/>
    <s v="Pampigny"/>
    <s v="La Bouennaz"/>
    <n v="46.580460969999997"/>
    <n v="6.4007906769999998"/>
    <n v="6"/>
    <n v="23"/>
    <x v="1"/>
    <n v="2015"/>
    <x v="201"/>
    <x v="20"/>
    <n v="68"/>
    <x v="7"/>
    <x v="3"/>
    <x v="2"/>
    <n v="520450"/>
    <n v="159325"/>
    <n v="52041593"/>
    <n v="520159"/>
    <n v="520155"/>
    <n v="522500"/>
    <n v="157500"/>
    <n v="350"/>
    <x v="0"/>
    <n v="0"/>
    <n v="0"/>
    <n v="0"/>
    <n v="-80.33"/>
    <n v="-80.33"/>
    <n v="-103.2"/>
    <s v="NA"/>
    <m/>
    <x v="4"/>
    <s v="Europe centrale"/>
    <n v="8"/>
    <s v="PRIOJE-4"/>
    <s v="Abschuss"/>
  </r>
  <r>
    <x v="607"/>
    <s v="ScoRus"/>
    <n v="0"/>
    <x v="1"/>
    <x v="1"/>
    <x v="0"/>
    <x v="0"/>
    <x v="593"/>
    <n v="-24.172285710000001"/>
    <x v="589"/>
    <x v="8"/>
    <s v="Sud de la Fennoscandinavie, Pays baltes et ouest de la Russie"/>
    <x v="0"/>
    <x v="0"/>
    <s v="Cernier"/>
    <s v="Chaux-d Amin"/>
    <n v="47.080465050000001"/>
    <n v="6.8815044350000001"/>
    <n v="6"/>
    <n v="11"/>
    <x v="0"/>
    <n v="2014"/>
    <x v="191"/>
    <x v="95"/>
    <n v="26"/>
    <x v="37"/>
    <x v="4"/>
    <x v="4"/>
    <n v="557690"/>
    <n v="214534"/>
    <n v="55762145"/>
    <n v="557214"/>
    <n v="555210"/>
    <n v="557500"/>
    <n v="212500"/>
    <n v="298"/>
    <x v="0"/>
    <n v="0"/>
    <n v="0"/>
    <n v="0"/>
    <n v="-80.28"/>
    <n v="-80.28"/>
    <n v="-103.1"/>
    <s v="NA"/>
    <m/>
    <x v="4"/>
    <s v="Europe centrale"/>
    <n v="8"/>
    <s v="POSIAN-2"/>
    <s v="Abschuss"/>
  </r>
  <r>
    <x v="608"/>
    <s v="ScoRus"/>
    <n v="0"/>
    <x v="1"/>
    <x v="1"/>
    <x v="0"/>
    <x v="0"/>
    <x v="594"/>
    <n v="-23.529017369999998"/>
    <x v="590"/>
    <x v="8"/>
    <s v="Sud de la Fennoscandinavie, Pays baltes et ouest de la Russie"/>
    <x v="1"/>
    <x v="1"/>
    <s v="Cadenazzo"/>
    <s v="Prato Grasso"/>
    <n v="46.137214280000002"/>
    <n v="8.9501300389999994"/>
    <n v="5"/>
    <n v="28"/>
    <x v="0"/>
    <n v="2015"/>
    <x v="164"/>
    <x v="16"/>
    <n v="43"/>
    <x v="1"/>
    <x v="1"/>
    <x v="1"/>
    <n v="716800"/>
    <n v="110650"/>
    <n v="71681106"/>
    <n v="716110"/>
    <n v="715110"/>
    <n v="717500"/>
    <n v="112500"/>
    <n v="290"/>
    <x v="0"/>
    <n v="0"/>
    <n v="0"/>
    <n v="0"/>
    <n v="-80.27"/>
    <n v="-80.27"/>
    <n v="-103.1"/>
    <s v="NA"/>
    <m/>
    <x v="4"/>
    <s v="Europe centrale"/>
    <n v="8"/>
    <s v="PURASA-9"/>
    <s v="Abschuss"/>
  </r>
  <r>
    <x v="609"/>
    <s v="ScoRus"/>
    <n v="0"/>
    <x v="1"/>
    <x v="1"/>
    <x v="0"/>
    <x v="0"/>
    <x v="595"/>
    <s v="NA"/>
    <x v="591"/>
    <x v="8"/>
    <s v="Sud de la Fennoscandinavie, Pays baltes et ouest de la Russie"/>
    <x v="0"/>
    <x v="0"/>
    <s v="Val de Ruz"/>
    <s v="Grande Combe"/>
    <n v="47.086985319999997"/>
    <n v="6.8775516080000001"/>
    <n v="6"/>
    <n v="28"/>
    <x v="0"/>
    <n v="2017"/>
    <x v="59"/>
    <x v="16"/>
    <n v="43"/>
    <x v="1"/>
    <x v="1"/>
    <x v="1"/>
    <n v="557395"/>
    <n v="215261"/>
    <n v="55732152"/>
    <n v="557215"/>
    <n v="555215"/>
    <n v="557500"/>
    <n v="217500"/>
    <n v="315"/>
    <x v="0"/>
    <n v="0"/>
    <n v="0"/>
    <n v="0"/>
    <n v="-80.234525599999998"/>
    <n v="-80.234525599999998"/>
    <s v="NA"/>
    <s v="NA"/>
    <m/>
    <x v="4"/>
    <s v="Europe centrale"/>
    <n v="8"/>
    <s v="MEISHE-6"/>
    <s v="Abschuss"/>
  </r>
  <r>
    <x v="610"/>
    <s v="ScoRus"/>
    <n v="0"/>
    <x v="1"/>
    <x v="1"/>
    <x v="0"/>
    <x v="0"/>
    <x v="596"/>
    <n v="-24.171800000000001"/>
    <x v="592"/>
    <x v="8"/>
    <s v="Sud de la Fennoscandinavie, Pays baltes et ouest de la Russie"/>
    <x v="2"/>
    <x v="2"/>
    <s v="Romanens"/>
    <s v="Les Sudains"/>
    <n v="46.657155379999999"/>
    <n v="6.9742399080000004"/>
    <n v="5"/>
    <n v="29"/>
    <x v="0"/>
    <n v="2015"/>
    <x v="182"/>
    <x v="1"/>
    <n v="44"/>
    <x v="1"/>
    <x v="1"/>
    <x v="1"/>
    <n v="564454"/>
    <n v="167430"/>
    <n v="56441674"/>
    <n v="564167"/>
    <n v="560165"/>
    <n v="562500"/>
    <n v="167500"/>
    <n v="327"/>
    <x v="0"/>
    <n v="0"/>
    <n v="0"/>
    <n v="0"/>
    <n v="-80.16"/>
    <n v="-80.16"/>
    <n v="-103"/>
    <s v="NA"/>
    <m/>
    <x v="4"/>
    <s v="Europe centrale"/>
    <n v="8"/>
    <s v="SAVALU-3"/>
    <s v="Abschuss"/>
  </r>
  <r>
    <x v="611"/>
    <s v="ScoRus"/>
    <n v="0"/>
    <x v="1"/>
    <x v="1"/>
    <x v="0"/>
    <x v="0"/>
    <x v="597"/>
    <n v="-23.68"/>
    <x v="593"/>
    <x v="8"/>
    <s v="Sud de la Fennoscandinavie, Pays baltes et ouest de la Russie"/>
    <x v="1"/>
    <x v="1"/>
    <s v="Arogno"/>
    <s v="Alpe Arogno"/>
    <n v="45.95591786"/>
    <n v="9.0031713419999999"/>
    <n v="6"/>
    <n v="18"/>
    <x v="0"/>
    <n v="2016"/>
    <x v="151"/>
    <x v="89"/>
    <n v="33"/>
    <x v="4"/>
    <x v="0"/>
    <x v="0"/>
    <n v="721300"/>
    <n v="90580"/>
    <n v="72130905"/>
    <n v="721090"/>
    <n v="720090"/>
    <n v="722500"/>
    <n v="92500"/>
    <n v="360"/>
    <x v="0"/>
    <n v="0"/>
    <n v="0"/>
    <n v="0"/>
    <n v="-80.130011199999998"/>
    <n v="-80.130011199999998"/>
    <s v="NA"/>
    <s v="NA"/>
    <m/>
    <x v="4"/>
    <s v="Europe centrale"/>
    <n v="8"/>
    <s v="TANTASTE-1"/>
    <s v="Abschuss"/>
  </r>
  <r>
    <x v="612"/>
    <s v="ScoRus"/>
    <n v="0"/>
    <x v="1"/>
    <x v="1"/>
    <x v="0"/>
    <x v="0"/>
    <x v="598"/>
    <n v="-23.950985110000001"/>
    <x v="594"/>
    <x v="8"/>
    <s v="Sud de la Fennoscandinavie, Pays baltes et ouest de la Russie"/>
    <x v="2"/>
    <x v="2"/>
    <s v="Romanens"/>
    <s v="Les Sudains"/>
    <n v="46.658313970000002"/>
    <n v="6.973785736"/>
    <n v="5"/>
    <n v="29"/>
    <x v="0"/>
    <n v="2015"/>
    <x v="182"/>
    <x v="1"/>
    <n v="44"/>
    <x v="1"/>
    <x v="1"/>
    <x v="1"/>
    <n v="564420"/>
    <n v="167559"/>
    <n v="56441675"/>
    <n v="564167"/>
    <n v="560165"/>
    <n v="562500"/>
    <n v="167500"/>
    <n v="310"/>
    <x v="0"/>
    <n v="0"/>
    <n v="0"/>
    <n v="0"/>
    <n v="-80.069999999999993"/>
    <n v="-80.069999999999993"/>
    <n v="-102.9"/>
    <s v="NA"/>
    <m/>
    <x v="4"/>
    <s v="Europe centrale"/>
    <n v="8"/>
    <s v="SAVAAD-2"/>
    <s v="Abschuss"/>
  </r>
  <r>
    <x v="613"/>
    <s v="ScoRus"/>
    <n v="0"/>
    <x v="1"/>
    <x v="1"/>
    <x v="0"/>
    <x v="0"/>
    <x v="599"/>
    <s v="NA"/>
    <x v="595"/>
    <x v="8"/>
    <s v="Sud de la Fennoscandinavie, Pays baltes et ouest de la Russie"/>
    <x v="0"/>
    <x v="3"/>
    <s v="Le Lieu"/>
    <s v="NA"/>
    <n v="46.67998266"/>
    <n v="6.2949604360000002"/>
    <n v="3"/>
    <n v="20"/>
    <x v="0"/>
    <n v="2017"/>
    <x v="143"/>
    <x v="30"/>
    <n v="35"/>
    <x v="4"/>
    <x v="0"/>
    <x v="0"/>
    <n v="512500"/>
    <n v="170500"/>
    <n v="51251705"/>
    <n v="512170"/>
    <n v="510170"/>
    <n v="512500"/>
    <n v="172500"/>
    <n v="318"/>
    <x v="0"/>
    <n v="0"/>
    <n v="0"/>
    <n v="0"/>
    <n v="-79.920294400000003"/>
    <n v="-79.920294400000003"/>
    <s v="NA"/>
    <s v="NA"/>
    <m/>
    <x v="4"/>
    <s v="Europe centrale"/>
    <n v="8"/>
    <s v="ROCHCL-1"/>
    <s v="Abschuss"/>
  </r>
  <r>
    <x v="614"/>
    <s v="ScoRus"/>
    <n v="0"/>
    <x v="1"/>
    <x v="1"/>
    <x v="0"/>
    <x v="0"/>
    <x v="600"/>
    <s v="NA"/>
    <x v="112"/>
    <x v="8"/>
    <s v="Sud de la Fennoscandinavie, Pays baltes et ouest de la Russie"/>
    <x v="2"/>
    <x v="2"/>
    <s v="Riaz"/>
    <s v="Monts de Riaz"/>
    <n v="46.662413409999999"/>
    <n v="7.0074609849999998"/>
    <n v="3"/>
    <n v="30"/>
    <x v="0"/>
    <n v="2014"/>
    <x v="29"/>
    <x v="23"/>
    <n v="45"/>
    <x v="1"/>
    <x v="1"/>
    <x v="1"/>
    <n v="567000"/>
    <n v="168000"/>
    <n v="56701680"/>
    <n v="567168"/>
    <n v="565165"/>
    <n v="567500"/>
    <n v="167500"/>
    <n v="328"/>
    <x v="0"/>
    <n v="0"/>
    <n v="0"/>
    <n v="0"/>
    <n v="-79.91"/>
    <n v="-79.91"/>
    <n v="-102.8"/>
    <s v="NA"/>
    <m/>
    <x v="4"/>
    <s v="Europe centrale"/>
    <n v="8"/>
    <s v="BLANDA-1"/>
    <s v="Abschuss"/>
  </r>
  <r>
    <x v="615"/>
    <s v="ScoRus"/>
    <n v="0"/>
    <x v="1"/>
    <x v="1"/>
    <x v="0"/>
    <x v="0"/>
    <x v="601"/>
    <n v="-23.968"/>
    <x v="596"/>
    <x v="8"/>
    <s v="Sud de la Fennoscandinavie, Pays baltes et ouest de la Russie"/>
    <x v="1"/>
    <x v="1"/>
    <s v="Sonvico"/>
    <s v="Mator dei Falchetti"/>
    <n v="46.072679299999997"/>
    <n v="9.0304314879999996"/>
    <n v="5"/>
    <n v="14"/>
    <x v="1"/>
    <n v="2015"/>
    <x v="174"/>
    <x v="18"/>
    <n v="59"/>
    <x v="6"/>
    <x v="2"/>
    <x v="2"/>
    <n v="723150"/>
    <n v="103600"/>
    <n v="72311036"/>
    <n v="723103"/>
    <n v="720100"/>
    <n v="722500"/>
    <n v="102500"/>
    <n v="300"/>
    <x v="0"/>
    <n v="0"/>
    <n v="0"/>
    <n v="0"/>
    <n v="-79.709999999999994"/>
    <n v="-79.709999999999994"/>
    <n v="-102.6"/>
    <s v="NA"/>
    <m/>
    <x v="4"/>
    <s v="Europe centrale"/>
    <n v="8"/>
    <s v="ANARGI-8"/>
    <s v="Abschuss"/>
  </r>
  <r>
    <x v="616"/>
    <s v="ScoRus"/>
    <n v="0"/>
    <x v="1"/>
    <x v="1"/>
    <x v="0"/>
    <x v="0"/>
    <x v="602"/>
    <n v="-24.19"/>
    <x v="597"/>
    <x v="8"/>
    <s v="Sud de la Fennoscandinavie, Pays baltes et ouest de la Russie"/>
    <x v="2"/>
    <x v="2"/>
    <s v="Rechthalten"/>
    <s v="Bucha"/>
    <n v="46.757002579999998"/>
    <n v="7.2662183880000004"/>
    <n v="6"/>
    <n v="17"/>
    <x v="0"/>
    <n v="2016"/>
    <x v="187"/>
    <x v="34"/>
    <n v="32"/>
    <x v="8"/>
    <x v="4"/>
    <x v="0"/>
    <n v="586827"/>
    <n v="178439"/>
    <n v="58681784"/>
    <n v="586178"/>
    <n v="585175"/>
    <n v="587500"/>
    <n v="177500"/>
    <n v="342"/>
    <x v="0"/>
    <n v="0"/>
    <n v="0"/>
    <n v="0"/>
    <n v="-79.701373200000006"/>
    <n v="-79.701373200000006"/>
    <s v="NA"/>
    <s v="NA"/>
    <m/>
    <x v="4"/>
    <s v="Europe centrale"/>
    <n v="8"/>
    <s v="DUCHPA-1"/>
    <s v="Abschuss"/>
  </r>
  <r>
    <x v="617"/>
    <s v="ScoRus"/>
    <n v="0"/>
    <x v="1"/>
    <x v="1"/>
    <x v="0"/>
    <x v="0"/>
    <x v="603"/>
    <n v="-24.32"/>
    <x v="598"/>
    <x v="8"/>
    <s v="Sud de la Fennoscandinavie, Pays baltes et ouest de la Russie"/>
    <x v="1"/>
    <x v="1"/>
    <s v="Centovalli"/>
    <s v="NA"/>
    <n v="46.179947140000003"/>
    <n v="8.6520439339999999"/>
    <n v="5"/>
    <n v="2"/>
    <x v="1"/>
    <n v="2016"/>
    <x v="4"/>
    <x v="4"/>
    <n v="47"/>
    <x v="3"/>
    <x v="1"/>
    <x v="1"/>
    <n v="693694"/>
    <n v="115000"/>
    <n v="69361150"/>
    <n v="693115"/>
    <n v="690115"/>
    <n v="692500"/>
    <n v="117500"/>
    <n v="300"/>
    <x v="0"/>
    <n v="0"/>
    <n v="0"/>
    <n v="0"/>
    <n v="-79.5170131"/>
    <n v="-79.5170131"/>
    <s v="NA"/>
    <s v="NA"/>
    <m/>
    <x v="4"/>
    <s v="Europe centrale"/>
    <n v="8"/>
    <s v="FISCIV-12"/>
    <s v="Abschuss"/>
  </r>
  <r>
    <x v="618"/>
    <s v="ScoRus"/>
    <n v="0"/>
    <x v="1"/>
    <x v="1"/>
    <x v="0"/>
    <x v="0"/>
    <x v="604"/>
    <n v="-23.61667825"/>
    <x v="599"/>
    <x v="8"/>
    <s v="Sud de la Fennoscandinavie, Pays baltes et ouest de la Russie"/>
    <x v="0"/>
    <x v="0"/>
    <s v="Val-de-Ruz"/>
    <s v="Grande Racine"/>
    <n v="47.026436609999998"/>
    <n v="6.8161593140000001"/>
    <n v="6"/>
    <n v="19"/>
    <x v="1"/>
    <n v="2015"/>
    <x v="57"/>
    <x v="37"/>
    <n v="64"/>
    <x v="5"/>
    <x v="3"/>
    <x v="2"/>
    <n v="552680"/>
    <n v="208565"/>
    <n v="55262085"/>
    <n v="552208"/>
    <n v="550205"/>
    <n v="552500"/>
    <n v="207500"/>
    <n v="367"/>
    <x v="0"/>
    <n v="0"/>
    <n v="0"/>
    <n v="0"/>
    <n v="-79.510000000000005"/>
    <n v="-79.510000000000005"/>
    <n v="-102.4"/>
    <s v="NA"/>
    <m/>
    <x v="4"/>
    <s v="Europe centrale"/>
    <n v="8"/>
    <s v="MEISHE-12"/>
    <s v="Abschuss"/>
  </r>
  <r>
    <x v="619"/>
    <s v="ScoRus"/>
    <n v="0"/>
    <x v="1"/>
    <x v="1"/>
    <x v="0"/>
    <x v="0"/>
    <x v="605"/>
    <n v="-23.73899462"/>
    <x v="600"/>
    <x v="8"/>
    <s v="Sud de la Fennoscandinavie, Pays baltes et ouest de la Russie"/>
    <x v="1"/>
    <x v="1"/>
    <s v="Centovalli"/>
    <s v="NA"/>
    <n v="46.183553500000002"/>
    <n v="8.6521630740000006"/>
    <n v="6"/>
    <n v="20"/>
    <x v="0"/>
    <n v="2015"/>
    <x v="38"/>
    <x v="30"/>
    <n v="35"/>
    <x v="4"/>
    <x v="0"/>
    <x v="0"/>
    <n v="693697"/>
    <n v="115401"/>
    <n v="69361154"/>
    <n v="693115"/>
    <n v="690115"/>
    <n v="692500"/>
    <n v="117500"/>
    <n v="280"/>
    <x v="0"/>
    <n v="0"/>
    <n v="0"/>
    <n v="0"/>
    <n v="-79.47"/>
    <n v="-79.47"/>
    <n v="-102.3"/>
    <s v="NA"/>
    <m/>
    <x v="4"/>
    <s v="Europe centrale"/>
    <n v="8"/>
    <s v="FISCIV-4"/>
    <s v="Abschuss"/>
  </r>
  <r>
    <x v="620"/>
    <s v="ScoRus"/>
    <n v="0"/>
    <x v="1"/>
    <x v="1"/>
    <x v="0"/>
    <x v="0"/>
    <x v="606"/>
    <n v="-24.285399999999999"/>
    <x v="601"/>
    <x v="8"/>
    <s v="Sud de la Fennoscandinavie, Pays baltes et ouest de la Russie"/>
    <x v="1"/>
    <x v="1"/>
    <s v="Arosio"/>
    <s v="Piové"/>
    <n v="46.055469719999998"/>
    <n v="8.8959054010000003"/>
    <n v="6"/>
    <n v="25"/>
    <x v="0"/>
    <n v="2015"/>
    <x v="224"/>
    <x v="8"/>
    <n v="40"/>
    <x v="0"/>
    <x v="0"/>
    <x v="0"/>
    <n v="712779"/>
    <n v="101485"/>
    <n v="71271014"/>
    <n v="712101"/>
    <n v="710100"/>
    <n v="712500"/>
    <n v="102500"/>
    <n v="262"/>
    <x v="0"/>
    <n v="0"/>
    <n v="0"/>
    <n v="0"/>
    <n v="-79.459999999999994"/>
    <n v="-79.459999999999994"/>
    <n v="-102.3"/>
    <s v="NA"/>
    <m/>
    <x v="4"/>
    <s v="Europe centrale"/>
    <n v="8"/>
    <s v="Devise-8"/>
    <s v="Abschuss"/>
  </r>
  <r>
    <x v="621"/>
    <s v="ScoRus"/>
    <n v="0"/>
    <x v="1"/>
    <x v="1"/>
    <x v="0"/>
    <x v="0"/>
    <x v="607"/>
    <n v="-23.29"/>
    <x v="602"/>
    <x v="8"/>
    <s v="Sud de la Fennoscandinavie, Pays baltes et ouest de la Russie"/>
    <x v="1"/>
    <x v="1"/>
    <s v="Centovalli"/>
    <s v="NA"/>
    <n v="46.175476860000003"/>
    <n v="8.6494320099999999"/>
    <n v="3"/>
    <n v="25"/>
    <x v="0"/>
    <n v="2016"/>
    <x v="157"/>
    <x v="8"/>
    <n v="40"/>
    <x v="0"/>
    <x v="0"/>
    <x v="0"/>
    <n v="693500"/>
    <n v="114500"/>
    <n v="69351145"/>
    <n v="693114"/>
    <n v="690110"/>
    <n v="692500"/>
    <n v="112500"/>
    <n v="294"/>
    <x v="0"/>
    <n v="0"/>
    <n v="0"/>
    <n v="0"/>
    <n v="-79.408004199999993"/>
    <n v="-79.408004199999993"/>
    <s v="NA"/>
    <s v="NA"/>
    <m/>
    <x v="4"/>
    <s v="Europe centrale"/>
    <n v="8"/>
    <s v="FISCIV-06"/>
    <s v="Abschuss"/>
  </r>
  <r>
    <x v="622"/>
    <s v="ScoRus"/>
    <n v="0"/>
    <x v="1"/>
    <x v="1"/>
    <x v="0"/>
    <x v="0"/>
    <x v="608"/>
    <n v="-23.513032259999999"/>
    <x v="603"/>
    <x v="8"/>
    <s v="Sud de la Fennoscandinavie, Pays baltes et ouest de la Russie"/>
    <x v="1"/>
    <x v="1"/>
    <s v="Monteceneri"/>
    <s v="Fontanelle"/>
    <n v="46.127756990000002"/>
    <n v="8.9340164130000002"/>
    <n v="4"/>
    <n v="3"/>
    <x v="1"/>
    <n v="2015"/>
    <x v="204"/>
    <x v="25"/>
    <n v="48"/>
    <x v="3"/>
    <x v="1"/>
    <x v="1"/>
    <n v="715575"/>
    <n v="109575"/>
    <n v="71551095"/>
    <n v="715109"/>
    <n v="715105"/>
    <n v="717500"/>
    <n v="107500"/>
    <n v="310"/>
    <x v="0"/>
    <n v="0"/>
    <n v="0"/>
    <n v="0"/>
    <n v="-79.39"/>
    <n v="-79.39"/>
    <n v="-102.2"/>
    <s v="NA"/>
    <m/>
    <x v="4"/>
    <s v="Europe centrale"/>
    <n v="8"/>
    <s v="RICHAD-5"/>
    <s v="Abschuss"/>
  </r>
  <r>
    <x v="623"/>
    <s v="ScoRus"/>
    <n v="0"/>
    <x v="1"/>
    <x v="1"/>
    <x v="0"/>
    <x v="0"/>
    <x v="609"/>
    <n v="-23.94"/>
    <x v="604"/>
    <x v="8"/>
    <s v="Sud de la Fennoscandinavie, Pays baltes et ouest de la Russie"/>
    <x v="0"/>
    <x v="0"/>
    <s v="Boveresse"/>
    <s v="Le Côtard"/>
    <n v="46.931885889999997"/>
    <n v="6.5966371769999999"/>
    <n v="6"/>
    <n v="18"/>
    <x v="1"/>
    <n v="2016"/>
    <x v="235"/>
    <x v="24"/>
    <n v="63"/>
    <x v="5"/>
    <x v="3"/>
    <x v="2"/>
    <n v="535880"/>
    <n v="198210"/>
    <n v="53581982"/>
    <n v="535198"/>
    <n v="535195"/>
    <n v="537500"/>
    <n v="197500"/>
    <n v="364"/>
    <x v="0"/>
    <n v="0"/>
    <n v="0"/>
    <n v="0"/>
    <n v="-79.380156200000002"/>
    <n v="-79.380156200000002"/>
    <s v="NA"/>
    <s v="NA"/>
    <m/>
    <x v="4"/>
    <s v="Europe centrale"/>
    <n v="8"/>
    <s v="MEISHE 8"/>
    <s v="Abschuss"/>
  </r>
  <r>
    <x v="624"/>
    <s v="ScoRus"/>
    <n v="0"/>
    <x v="1"/>
    <x v="1"/>
    <x v="0"/>
    <x v="0"/>
    <x v="610"/>
    <n v="-23.276"/>
    <x v="605"/>
    <x v="8"/>
    <s v="Sud de la Fennoscandinavie, Pays baltes et ouest de la Russie"/>
    <x v="2"/>
    <x v="2"/>
    <s v="Maules"/>
    <s v="Tourbières"/>
    <n v="46.652197440000002"/>
    <n v="6.9942176119999999"/>
    <n v="4"/>
    <n v="10"/>
    <x v="1"/>
    <n v="2014"/>
    <x v="236"/>
    <x v="19"/>
    <n v="55"/>
    <x v="2"/>
    <x v="2"/>
    <x v="1"/>
    <n v="565980"/>
    <n v="166870"/>
    <n v="56591668"/>
    <n v="565166"/>
    <n v="565165"/>
    <n v="567500"/>
    <n v="167500"/>
    <n v="368"/>
    <x v="0"/>
    <n v="0"/>
    <n v="0"/>
    <n v="0"/>
    <n v="-79.37"/>
    <n v="-79.37"/>
    <n v="-102.2"/>
    <s v="NA"/>
    <m/>
    <x v="4"/>
    <s v="Europe centrale"/>
    <n v="8"/>
    <s v="Savalu-1."/>
    <s v="Abschuss"/>
  </r>
  <r>
    <x v="625"/>
    <s v="ScoRus"/>
    <n v="0"/>
    <x v="1"/>
    <x v="1"/>
    <x v="0"/>
    <x v="0"/>
    <x v="611"/>
    <n v="-23.26943176"/>
    <x v="606"/>
    <x v="8"/>
    <s v="Sud de la Fennoscandinavie, Pays baltes et ouest de la Russie"/>
    <x v="1"/>
    <x v="1"/>
    <s v="Astano"/>
    <s v="Bergen"/>
    <n v="46.02084997"/>
    <n v="8.8113481890000003"/>
    <n v="5"/>
    <n v="31"/>
    <x v="0"/>
    <n v="2015"/>
    <x v="27"/>
    <x v="17"/>
    <n v="46"/>
    <x v="1"/>
    <x v="1"/>
    <x v="1"/>
    <n v="706303"/>
    <n v="97519"/>
    <n v="70630975"/>
    <n v="706097"/>
    <n v="705095"/>
    <n v="707500"/>
    <n v="97500"/>
    <s v="NA"/>
    <x v="0"/>
    <n v="0"/>
    <n v="0"/>
    <n v="0"/>
    <n v="-79.3"/>
    <n v="-79.3"/>
    <n v="-102.2"/>
    <s v="NA"/>
    <m/>
    <x v="4"/>
    <s v="Europe centrale"/>
    <n v="8"/>
    <s v="MORAMA-7"/>
    <s v="Abschuss"/>
  </r>
  <r>
    <x v="626"/>
    <s v="ScoRus"/>
    <n v="0"/>
    <x v="1"/>
    <x v="1"/>
    <x v="0"/>
    <x v="0"/>
    <x v="612"/>
    <n v="-23.28"/>
    <x v="607"/>
    <x v="8"/>
    <s v="Sud de la Fennoscandinavie, Pays baltes et ouest de la Russie"/>
    <x v="1"/>
    <x v="1"/>
    <s v="Lugano"/>
    <s v="Val salina"/>
    <n v="46.093194500000003"/>
    <n v="9.0743526550000002"/>
    <n v="5"/>
    <n v="23"/>
    <x v="0"/>
    <n v="2016"/>
    <x v="146"/>
    <x v="44"/>
    <n v="38"/>
    <x v="0"/>
    <x v="0"/>
    <x v="0"/>
    <n v="726500"/>
    <n v="105950"/>
    <n v="72651059"/>
    <n v="726105"/>
    <n v="725105"/>
    <n v="727500"/>
    <n v="107500"/>
    <n v="280"/>
    <x v="0"/>
    <n v="0"/>
    <n v="0"/>
    <n v="0"/>
    <n v="-79.209901200000004"/>
    <n v="-79.209901200000004"/>
    <s v="NA"/>
    <s v="NA"/>
    <m/>
    <x v="4"/>
    <s v="Europe centrale"/>
    <n v="8"/>
    <s v="BIGNCA-2"/>
    <s v="Abschuss"/>
  </r>
  <r>
    <x v="627"/>
    <s v="ScoRus"/>
    <n v="0"/>
    <x v="1"/>
    <x v="1"/>
    <x v="0"/>
    <x v="0"/>
    <x v="613"/>
    <n v="-23.386600000000001"/>
    <x v="608"/>
    <x v="8"/>
    <s v="Sud de la Fennoscandinavie, Pays baltes et ouest de la Russie"/>
    <x v="1"/>
    <x v="1"/>
    <s v="Centovalli"/>
    <s v="Calascio"/>
    <n v="46.187603330000002"/>
    <n v="8.6686783460000001"/>
    <n v="6"/>
    <n v="17"/>
    <x v="1"/>
    <n v="2015"/>
    <x v="184"/>
    <x v="10"/>
    <n v="62"/>
    <x v="5"/>
    <x v="3"/>
    <x v="2"/>
    <n v="694965"/>
    <n v="115871"/>
    <n v="69491158"/>
    <n v="694115"/>
    <n v="690115"/>
    <n v="692500"/>
    <n v="117500"/>
    <n v="250"/>
    <x v="0"/>
    <n v="0"/>
    <n v="0"/>
    <n v="0"/>
    <n v="-79.180000000000007"/>
    <n v="-79.180000000000007"/>
    <n v="-102"/>
    <s v="NA"/>
    <m/>
    <x v="4"/>
    <s v="Europe centrale"/>
    <n v="8"/>
    <s v="FISCIV19"/>
    <s v="Abschuss"/>
  </r>
  <r>
    <x v="628"/>
    <s v="ScoRus"/>
    <n v="0"/>
    <x v="1"/>
    <x v="1"/>
    <x v="0"/>
    <x v="0"/>
    <x v="614"/>
    <n v="-24.116800000000001"/>
    <x v="609"/>
    <x v="8"/>
    <s v="Sud de la Fennoscandinavie, Pays baltes et ouest de la Russie"/>
    <x v="2"/>
    <x v="2"/>
    <s v="Châtonnaye"/>
    <s v="NA"/>
    <n v="46.735146790000002"/>
    <n v="6.9461058790000001"/>
    <n v="4"/>
    <n v="21"/>
    <x v="1"/>
    <n v="2015"/>
    <x v="209"/>
    <x v="36"/>
    <n v="66"/>
    <x v="5"/>
    <x v="3"/>
    <x v="2"/>
    <n v="562355"/>
    <n v="176113"/>
    <n v="56231761"/>
    <n v="562176"/>
    <n v="560175"/>
    <n v="562500"/>
    <n v="177500"/>
    <n v="332"/>
    <x v="0"/>
    <n v="0"/>
    <n v="0"/>
    <n v="0"/>
    <n v="-79.17"/>
    <n v="-79.17"/>
    <n v="-102"/>
    <s v="NA"/>
    <m/>
    <x v="4"/>
    <s v="Europe centrale"/>
    <n v="8"/>
    <s v="YERLMI-4"/>
    <s v="Abschuss"/>
  </r>
  <r>
    <x v="629"/>
    <s v="ScoRus"/>
    <n v="0"/>
    <x v="1"/>
    <x v="1"/>
    <x v="0"/>
    <x v="0"/>
    <x v="615"/>
    <s v="NA"/>
    <x v="610"/>
    <x v="8"/>
    <s v="Sud de la Fennoscandinavie, Pays baltes et ouest de la Russie"/>
    <x v="1"/>
    <x v="1"/>
    <s v="Cadenazzo"/>
    <s v="Rubasacco"/>
    <n v="46.133151990000002"/>
    <n v="8.9777639199999992"/>
    <n v="5"/>
    <n v="31"/>
    <x v="0"/>
    <n v="2017"/>
    <x v="67"/>
    <x v="17"/>
    <n v="46"/>
    <x v="1"/>
    <x v="1"/>
    <x v="1"/>
    <n v="718944"/>
    <n v="110240"/>
    <n v="71891102"/>
    <n v="718110"/>
    <n v="715110"/>
    <n v="717500"/>
    <n v="112500"/>
    <n v="300"/>
    <x v="0"/>
    <n v="0"/>
    <n v="0"/>
    <n v="0"/>
    <n v="-79.166826099999994"/>
    <n v="-79.166826099999994"/>
    <s v="NA"/>
    <s v="NA"/>
    <m/>
    <x v="4"/>
    <s v="Europe centrale"/>
    <n v="8"/>
    <s v="PURASA-10"/>
    <s v="Abschuss"/>
  </r>
  <r>
    <x v="630"/>
    <s v="ScoRus"/>
    <n v="0"/>
    <x v="1"/>
    <x v="1"/>
    <x v="0"/>
    <x v="0"/>
    <x v="616"/>
    <n v="-23.89"/>
    <x v="611"/>
    <x v="8"/>
    <s v="Sud de la Fennoscandinavie, Pays baltes et ouest de la Russie"/>
    <x v="1"/>
    <x v="1"/>
    <s v="Villa Luganese"/>
    <s v="Canon"/>
    <n v="46.044614699999997"/>
    <n v="9.0120031009999995"/>
    <n v="5"/>
    <n v="9"/>
    <x v="1"/>
    <n v="2016"/>
    <x v="185"/>
    <x v="5"/>
    <n v="54"/>
    <x v="2"/>
    <x v="2"/>
    <x v="1"/>
    <n v="721787"/>
    <n v="100452"/>
    <n v="72171004"/>
    <n v="721100"/>
    <n v="720100"/>
    <n v="722500"/>
    <n v="102500"/>
    <n v="285"/>
    <x v="0"/>
    <n v="0"/>
    <n v="0"/>
    <n v="0"/>
    <n v="-79.1616724"/>
    <n v="-79.1616724"/>
    <s v="NA"/>
    <s v="NA"/>
    <m/>
    <x v="4"/>
    <s v="Europe centrale"/>
    <n v="8"/>
    <s v="REZZMA-1"/>
    <s v="Abschuss"/>
  </r>
  <r>
    <x v="631"/>
    <s v="ScoRus"/>
    <n v="0"/>
    <x v="1"/>
    <x v="1"/>
    <x v="0"/>
    <x v="0"/>
    <x v="617"/>
    <n v="-22.8"/>
    <x v="612"/>
    <x v="8"/>
    <s v="Sud de la Fennoscandinavie, Pays baltes et ouest de la Russie"/>
    <x v="2"/>
    <x v="2"/>
    <s v="Marsens"/>
    <s v="Monts de Riaz"/>
    <n v="46.644518419999997"/>
    <n v="7.0337272249999998"/>
    <n v="3"/>
    <n v="30"/>
    <x v="1"/>
    <n v="2016"/>
    <x v="211"/>
    <x v="38"/>
    <n v="75"/>
    <x v="9"/>
    <x v="5"/>
    <x v="3"/>
    <n v="569000"/>
    <n v="166000"/>
    <n v="56901660"/>
    <n v="569166"/>
    <n v="565165"/>
    <n v="567500"/>
    <n v="167500"/>
    <n v="310"/>
    <x v="0"/>
    <n v="0"/>
    <n v="0"/>
    <n v="0"/>
    <n v="-79.100685200000001"/>
    <n v="-79.100685200000001"/>
    <s v="NA"/>
    <s v="NA"/>
    <m/>
    <x v="4"/>
    <s v="Europe centrale"/>
    <n v="8"/>
    <s v="DENEPA-10"/>
    <s v="Abschuss"/>
  </r>
  <r>
    <x v="632"/>
    <s v="ScoRus"/>
    <n v="0"/>
    <x v="1"/>
    <x v="1"/>
    <x v="0"/>
    <x v="0"/>
    <x v="618"/>
    <n v="-23.803999999999998"/>
    <x v="613"/>
    <x v="8"/>
    <s v="Sud de la Fennoscandinavie, Pays baltes et ouest de la Russie"/>
    <x v="0"/>
    <x v="3"/>
    <s v="Ste-Croix"/>
    <s v="Prise Bornand"/>
    <n v="46.854781410000001"/>
    <n v="6.5026791040000003"/>
    <n v="6"/>
    <n v="23"/>
    <x v="0"/>
    <n v="2014"/>
    <x v="237"/>
    <x v="44"/>
    <n v="38"/>
    <x v="0"/>
    <x v="0"/>
    <x v="0"/>
    <n v="528623"/>
    <n v="189720"/>
    <n v="52861897"/>
    <n v="528189"/>
    <n v="525185"/>
    <n v="527500"/>
    <n v="187500"/>
    <n v="301"/>
    <x v="0"/>
    <n v="0"/>
    <n v="0"/>
    <n v="0"/>
    <n v="-79.099999999999994"/>
    <n v="-79.099999999999994"/>
    <n v="-101.9"/>
    <s v="NA"/>
    <m/>
    <x v="4"/>
    <s v="Europe centrale"/>
    <n v="8"/>
    <s v="GARIJE03"/>
    <s v="Abschuss"/>
  </r>
  <r>
    <x v="633"/>
    <s v="ScoRus"/>
    <n v="0"/>
    <x v="1"/>
    <x v="1"/>
    <x v="0"/>
    <x v="0"/>
    <x v="619"/>
    <n v="-24.64"/>
    <x v="614"/>
    <x v="8"/>
    <s v="Sud de la Fennoscandinavie, Pays baltes et ouest de la Russie"/>
    <x v="0"/>
    <x v="4"/>
    <s v="Les Enfers"/>
    <s v="Les Tourbières des Enfers"/>
    <n v="47.284653370000001"/>
    <n v="7.0380214109999999"/>
    <n v="5"/>
    <n v="2"/>
    <x v="1"/>
    <n v="2016"/>
    <x v="4"/>
    <x v="4"/>
    <n v="47"/>
    <x v="3"/>
    <x v="1"/>
    <x v="1"/>
    <n v="569692"/>
    <n v="237162"/>
    <n v="56962371"/>
    <n v="569237"/>
    <n v="565235"/>
    <n v="567500"/>
    <n v="237500"/>
    <n v="290"/>
    <x v="0"/>
    <n v="0"/>
    <n v="0"/>
    <n v="0"/>
    <n v="-79.0986884"/>
    <n v="-79.0986884"/>
    <s v="NA"/>
    <s v="NA"/>
    <m/>
    <x v="4"/>
    <s v="Europe centrale"/>
    <n v="8"/>
    <s v="Buchmi5"/>
    <s v="Abschuss"/>
  </r>
  <r>
    <x v="634"/>
    <s v="ScoRus"/>
    <n v="0"/>
    <x v="1"/>
    <x v="1"/>
    <x v="0"/>
    <x v="0"/>
    <x v="620"/>
    <n v="-23.34"/>
    <x v="615"/>
    <x v="8"/>
    <s v="Sud de la Fennoscandinavie, Pays baltes et ouest de la Russie"/>
    <x v="1"/>
    <x v="1"/>
    <s v="Arosio"/>
    <s v="Pianca Birora"/>
    <n v="46.060000029999998"/>
    <n v="8.8899520190000008"/>
    <n v="5"/>
    <n v="12"/>
    <x v="1"/>
    <n v="2016"/>
    <x v="193"/>
    <x v="26"/>
    <n v="57"/>
    <x v="6"/>
    <x v="2"/>
    <x v="2"/>
    <n v="712309"/>
    <n v="101980"/>
    <n v="71231019"/>
    <n v="712101"/>
    <n v="710100"/>
    <n v="712500"/>
    <n v="102500"/>
    <n v="285"/>
    <x v="0"/>
    <n v="0"/>
    <n v="0"/>
    <n v="0"/>
    <n v="-79.071831599999996"/>
    <n v="-79.071831599999996"/>
    <s v="NA"/>
    <s v="NA"/>
    <m/>
    <x v="4"/>
    <s v="Europe centrale"/>
    <n v="8"/>
    <s v="DEVISE-11"/>
    <s v="Abschuss"/>
  </r>
  <r>
    <x v="635"/>
    <s v="ScoRus"/>
    <n v="0"/>
    <x v="1"/>
    <x v="1"/>
    <x v="0"/>
    <x v="0"/>
    <x v="621"/>
    <n v="-21.83"/>
    <x v="616"/>
    <x v="8"/>
    <s v="Sud de la Fennoscandinavie, Pays baltes et ouest de la Russie"/>
    <x v="0"/>
    <x v="0"/>
    <s v="Brot-Plamboz"/>
    <s v="Thomasset"/>
    <n v="46.970679730000001"/>
    <n v="6.7631231029999999"/>
    <n v="6"/>
    <n v="20"/>
    <x v="0"/>
    <n v="2016"/>
    <x v="153"/>
    <x v="30"/>
    <n v="35"/>
    <x v="4"/>
    <x v="0"/>
    <x v="0"/>
    <n v="548595"/>
    <n v="202400"/>
    <n v="54852024"/>
    <n v="548202"/>
    <n v="545200"/>
    <n v="547500"/>
    <n v="202500"/>
    <n v="341"/>
    <x v="0"/>
    <n v="0"/>
    <n v="0"/>
    <n v="0"/>
    <n v="-79.059337799999994"/>
    <n v="-79.059337799999994"/>
    <s v="NA"/>
    <s v="NA"/>
    <m/>
    <x v="4"/>
    <s v="Europe centrale"/>
    <n v="8"/>
    <s v="MEISHE-2"/>
    <s v="Abschuss"/>
  </r>
  <r>
    <x v="636"/>
    <s v="ScoRus"/>
    <n v="0"/>
    <x v="1"/>
    <x v="1"/>
    <x v="0"/>
    <x v="0"/>
    <x v="622"/>
    <n v="-22.84"/>
    <x v="617"/>
    <x v="8"/>
    <s v="Sud de la Fennoscandinavie, Pays baltes et ouest de la Russie"/>
    <x v="1"/>
    <x v="1"/>
    <s v="Lugano"/>
    <s v="Val Saslina"/>
    <n v="46.092763570000002"/>
    <n v="9.0730465230000004"/>
    <n v="5"/>
    <n v="27"/>
    <x v="1"/>
    <n v="2016"/>
    <x v="159"/>
    <x v="35"/>
    <n v="72"/>
    <x v="9"/>
    <x v="5"/>
    <x v="3"/>
    <n v="726400"/>
    <n v="105900"/>
    <n v="72641059"/>
    <n v="726105"/>
    <n v="725105"/>
    <n v="727500"/>
    <n v="107500"/>
    <n v="320"/>
    <x v="0"/>
    <n v="0"/>
    <n v="0"/>
    <n v="0"/>
    <n v="-79.0419816"/>
    <n v="-79.0419816"/>
    <s v="NA"/>
    <s v="NA"/>
    <m/>
    <x v="4"/>
    <s v="Europe centrale"/>
    <n v="8"/>
    <s v="ANARGI-7"/>
    <s v="Abschuss"/>
  </r>
  <r>
    <x v="637"/>
    <s v="ScoRus"/>
    <n v="0"/>
    <x v="1"/>
    <x v="1"/>
    <x v="0"/>
    <x v="0"/>
    <x v="623"/>
    <n v="-23.08"/>
    <x v="618"/>
    <x v="8"/>
    <s v="Sud de la Fennoscandinavie, Pays baltes et ouest de la Russie"/>
    <x v="1"/>
    <x v="1"/>
    <s v="Lugano"/>
    <s v="Cadrigna"/>
    <n v="46.070387959999998"/>
    <n v="9.0012796060000007"/>
    <n v="5"/>
    <n v="17"/>
    <x v="1"/>
    <n v="2016"/>
    <x v="176"/>
    <x v="10"/>
    <n v="62"/>
    <x v="5"/>
    <x v="3"/>
    <x v="2"/>
    <n v="720900"/>
    <n v="103300"/>
    <n v="72091033"/>
    <n v="720103"/>
    <n v="720100"/>
    <n v="722500"/>
    <n v="102500"/>
    <n v="310"/>
    <x v="0"/>
    <n v="0"/>
    <n v="0"/>
    <n v="0"/>
    <n v="-79.040993"/>
    <n v="-79.040993"/>
    <s v="NA"/>
    <s v="NA"/>
    <m/>
    <x v="4"/>
    <s v="Europe centrale"/>
    <n v="8"/>
    <s v="ANARGI-5"/>
    <s v="Abschuss"/>
  </r>
  <r>
    <x v="638"/>
    <s v="ScoRus"/>
    <n v="0"/>
    <x v="1"/>
    <x v="1"/>
    <x v="0"/>
    <x v="0"/>
    <x v="624"/>
    <n v="-24.321000000000002"/>
    <x v="619"/>
    <x v="8"/>
    <s v="Sud de la Fennoscandinavie, Pays baltes et ouest de la Russie"/>
    <x v="0"/>
    <x v="3"/>
    <s v="Le Lieu"/>
    <s v="Esserts"/>
    <n v="46.659150099999998"/>
    <n v="6.2810283560000002"/>
    <n v="4"/>
    <n v="10"/>
    <x v="1"/>
    <n v="2015"/>
    <x v="200"/>
    <x v="19"/>
    <n v="55"/>
    <x v="2"/>
    <x v="2"/>
    <x v="1"/>
    <n v="511400"/>
    <n v="168200"/>
    <n v="51141682"/>
    <n v="511168"/>
    <n v="510165"/>
    <n v="512500"/>
    <n v="167500"/>
    <n v="318"/>
    <x v="0"/>
    <n v="0"/>
    <n v="0"/>
    <n v="0"/>
    <n v="-79.03"/>
    <n v="-79.03"/>
    <n v="-101.9"/>
    <s v="NA"/>
    <m/>
    <x v="4"/>
    <s v="Europe centrale"/>
    <n v="8"/>
    <s v="CORDJP-3"/>
    <s v="Abschuss"/>
  </r>
  <r>
    <x v="639"/>
    <s v="ScoRus"/>
    <n v="0"/>
    <x v="1"/>
    <x v="1"/>
    <x v="0"/>
    <x v="0"/>
    <x v="625"/>
    <n v="-23.94"/>
    <x v="620"/>
    <x v="8"/>
    <s v="Sud de la Fennoscandinavie, Pays baltes et ouest de la Russie"/>
    <x v="1"/>
    <x v="1"/>
    <s v="Monteceneri"/>
    <s v="Buiè"/>
    <n v="46.081050580000003"/>
    <n v="8.8936273280000009"/>
    <n v="4"/>
    <n v="8"/>
    <x v="1"/>
    <n v="2016"/>
    <x v="186"/>
    <x v="2"/>
    <n v="53"/>
    <x v="2"/>
    <x v="2"/>
    <x v="1"/>
    <n v="712550"/>
    <n v="104325"/>
    <n v="71251043"/>
    <n v="712104"/>
    <n v="710100"/>
    <n v="712500"/>
    <n v="102500"/>
    <n v="310"/>
    <x v="0"/>
    <n v="0"/>
    <n v="0"/>
    <n v="0"/>
    <n v="-79.004529700000006"/>
    <n v="-79.004529700000006"/>
    <s v="NA"/>
    <s v="NA"/>
    <m/>
    <x v="4"/>
    <s v="Europe centrale"/>
    <n v="8"/>
    <s v="RICHAD-7"/>
    <s v="Abschuss"/>
  </r>
  <r>
    <x v="640"/>
    <s v="ScoRus"/>
    <n v="0"/>
    <x v="1"/>
    <x v="1"/>
    <x v="0"/>
    <x v="0"/>
    <x v="626"/>
    <n v="-23.41"/>
    <x v="621"/>
    <x v="8"/>
    <s v="Sud de la Fennoscandinavie, Pays baltes et ouest de la Russie"/>
    <x v="1"/>
    <x v="1"/>
    <s v="Gambarogno"/>
    <s v="Lierna"/>
    <n v="46.12025955"/>
    <n v="8.8345106829999995"/>
    <n v="4"/>
    <n v="29"/>
    <x v="0"/>
    <n v="2016"/>
    <x v="180"/>
    <x v="1"/>
    <n v="44"/>
    <x v="1"/>
    <x v="1"/>
    <x v="1"/>
    <n v="707900"/>
    <n v="108600"/>
    <n v="70791086"/>
    <n v="707108"/>
    <n v="705105"/>
    <n v="707500"/>
    <n v="107500"/>
    <n v="343"/>
    <x v="0"/>
    <n v="0"/>
    <n v="0"/>
    <n v="0"/>
    <n v="-78.932235700000007"/>
    <n v="-78.932235700000007"/>
    <s v="NA"/>
    <s v="NA"/>
    <m/>
    <x v="4"/>
    <s v="Europe centrale"/>
    <n v="8"/>
    <s v="GNOSDA-6"/>
    <s v="Abschuss"/>
  </r>
  <r>
    <x v="641"/>
    <s v="ScoRus"/>
    <n v="0"/>
    <x v="1"/>
    <x v="1"/>
    <x v="0"/>
    <x v="0"/>
    <x v="627"/>
    <n v="-24.216999999999999"/>
    <x v="622"/>
    <x v="8"/>
    <s v="Sud de la Fennoscandinavie, Pays baltes et ouest de la Russie"/>
    <x v="0"/>
    <x v="0"/>
    <s v="Le Locle"/>
    <s v="Ferme Modèle"/>
    <n v="47.083147750000002"/>
    <n v="6.7567675779999998"/>
    <n v="6"/>
    <n v="2"/>
    <x v="1"/>
    <n v="2015"/>
    <x v="163"/>
    <x v="4"/>
    <n v="47"/>
    <x v="3"/>
    <x v="1"/>
    <x v="1"/>
    <n v="548220"/>
    <n v="214907"/>
    <n v="54822149"/>
    <n v="548214"/>
    <n v="545210"/>
    <n v="547500"/>
    <n v="212500"/>
    <n v="319"/>
    <x v="0"/>
    <n v="0"/>
    <n v="0"/>
    <n v="0"/>
    <n v="-78.92"/>
    <n v="-78.92"/>
    <n v="-101.8"/>
    <s v="NA"/>
    <m/>
    <x v="4"/>
    <s v="Europe centrale"/>
    <n v="8"/>
    <s v="PRETFA-2"/>
    <s v="Abschuss"/>
  </r>
  <r>
    <x v="642"/>
    <s v="ScoRus"/>
    <n v="0"/>
    <x v="1"/>
    <x v="1"/>
    <x v="0"/>
    <x v="0"/>
    <x v="628"/>
    <n v="-24.455400000000001"/>
    <x v="623"/>
    <x v="8"/>
    <s v="Sud de la Fennoscandinavie, Pays baltes et ouest de la Russie"/>
    <x v="1"/>
    <x v="1"/>
    <s v="Airolo"/>
    <s v="Albinasca"/>
    <n v="46.526691249999999"/>
    <n v="8.5795979669999998"/>
    <n v="5"/>
    <n v="21"/>
    <x v="0"/>
    <n v="2015"/>
    <x v="166"/>
    <x v="11"/>
    <n v="36"/>
    <x v="4"/>
    <x v="0"/>
    <x v="0"/>
    <n v="687540"/>
    <n v="153458"/>
    <n v="68751534"/>
    <n v="687153"/>
    <n v="685150"/>
    <n v="687500"/>
    <n v="152500"/>
    <n v="350"/>
    <x v="0"/>
    <n v="0"/>
    <n v="0"/>
    <n v="0"/>
    <n v="-78.89"/>
    <n v="-78.89"/>
    <n v="-101.7"/>
    <s v="NA"/>
    <m/>
    <x v="4"/>
    <s v="Europe centrale"/>
    <n v="8"/>
    <s v="BIANCHIRO-2"/>
    <s v="Abschuss"/>
  </r>
  <r>
    <x v="643"/>
    <s v="ScoRus"/>
    <n v="0"/>
    <x v="1"/>
    <x v="1"/>
    <x v="0"/>
    <x v="0"/>
    <x v="629"/>
    <n v="-23.523285359999999"/>
    <x v="624"/>
    <x v="8"/>
    <s v="Sud de la Fennoscandinavie, Pays baltes et ouest de la Russie"/>
    <x v="1"/>
    <x v="1"/>
    <s v="Novaggio"/>
    <s v="Pian Pilpit"/>
    <n v="46.027493710000002"/>
    <n v="8.8264329860000004"/>
    <n v="5"/>
    <n v="16"/>
    <x v="0"/>
    <n v="2015"/>
    <x v="181"/>
    <x v="33"/>
    <n v="31"/>
    <x v="8"/>
    <x v="4"/>
    <x v="0"/>
    <n v="707458"/>
    <n v="98278"/>
    <n v="70740982"/>
    <n v="707098"/>
    <n v="705095"/>
    <n v="707500"/>
    <n v="97500"/>
    <s v="NA"/>
    <x v="0"/>
    <n v="0"/>
    <n v="0"/>
    <n v="0"/>
    <n v="-78.849999999999994"/>
    <n v="-78.849999999999994"/>
    <n v="-101.7"/>
    <s v="NA"/>
    <m/>
    <x v="4"/>
    <s v="Europe centrale"/>
    <n v="8"/>
    <s v="MOrAMA-3"/>
    <s v="Abschuss"/>
  </r>
  <r>
    <x v="644"/>
    <s v="ScoRus"/>
    <n v="0"/>
    <x v="1"/>
    <x v="1"/>
    <x v="0"/>
    <x v="0"/>
    <x v="630"/>
    <n v="-25.08"/>
    <x v="625"/>
    <x v="8"/>
    <s v="Sud de la Fennoscandinavie, Pays baltes et ouest de la Russie"/>
    <x v="0"/>
    <x v="0"/>
    <s v="Val-de-Ruz"/>
    <s v="Les Grandes Pradières"/>
    <n v="47.026615679999999"/>
    <n v="6.8345215660000003"/>
    <n v="5"/>
    <n v="7"/>
    <x v="1"/>
    <n v="2015"/>
    <x v="177"/>
    <x v="12"/>
    <n v="52"/>
    <x v="2"/>
    <x v="2"/>
    <x v="1"/>
    <n v="554076"/>
    <n v="208574"/>
    <n v="55402085"/>
    <n v="554208"/>
    <n v="550205"/>
    <n v="552500"/>
    <n v="207500"/>
    <n v="340"/>
    <x v="0"/>
    <n v="0"/>
    <n v="0"/>
    <n v="0"/>
    <n v="-78.819999999999993"/>
    <n v="-78.819999999999993"/>
    <n v="-101.7"/>
    <s v="NA"/>
    <m/>
    <x v="4"/>
    <s v="Europe centrale"/>
    <n v="8"/>
    <s v="BarbTh-2"/>
    <s v="Abschuss"/>
  </r>
  <r>
    <x v="645"/>
    <s v="ScoRus"/>
    <n v="0"/>
    <x v="1"/>
    <x v="1"/>
    <x v="0"/>
    <x v="0"/>
    <x v="630"/>
    <n v="-24.574999999999999"/>
    <x v="626"/>
    <x v="8"/>
    <s v="Sud de la Fennoscandinavie, Pays baltes et ouest de la Russie"/>
    <x v="2"/>
    <x v="2"/>
    <s v="Maules"/>
    <s v="Les Communs"/>
    <n v="46.64821886"/>
    <n v="7.0124074109999999"/>
    <n v="4"/>
    <n v="15"/>
    <x v="1"/>
    <n v="2014"/>
    <x v="36"/>
    <x v="29"/>
    <n v="60"/>
    <x v="6"/>
    <x v="2"/>
    <x v="2"/>
    <n v="567370"/>
    <n v="166420"/>
    <n v="56731664"/>
    <n v="567166"/>
    <n v="565165"/>
    <n v="567500"/>
    <n v="167500"/>
    <n v="337"/>
    <x v="0"/>
    <n v="0"/>
    <n v="0"/>
    <n v="0"/>
    <n v="-78.819999999999993"/>
    <n v="-78.819999999999993"/>
    <n v="-101.7"/>
    <s v="NA"/>
    <m/>
    <x v="4"/>
    <s v="Europe centrale"/>
    <n v="8"/>
    <s v="Savalu-2"/>
    <s v="Abschuss"/>
  </r>
  <r>
    <x v="646"/>
    <s v="ScoRus"/>
    <n v="0"/>
    <x v="1"/>
    <x v="1"/>
    <x v="0"/>
    <x v="0"/>
    <x v="631"/>
    <s v="NA"/>
    <x v="627"/>
    <x v="8"/>
    <s v="Sud de la Fennoscandinavie, Pays baltes et ouest de la Russie"/>
    <x v="2"/>
    <x v="2"/>
    <s v="Maules"/>
    <s v="NA"/>
    <n v="46.648895420000002"/>
    <n v="7.0010374310000003"/>
    <n v="3"/>
    <n v="23"/>
    <x v="0"/>
    <n v="2017"/>
    <x v="87"/>
    <x v="44"/>
    <n v="38"/>
    <x v="0"/>
    <x v="0"/>
    <x v="0"/>
    <n v="566500"/>
    <n v="166500"/>
    <n v="56651665"/>
    <n v="566166"/>
    <n v="565165"/>
    <n v="567500"/>
    <n v="167500"/>
    <n v="345"/>
    <x v="0"/>
    <n v="0"/>
    <n v="0"/>
    <n v="0"/>
    <n v="-78.7967072"/>
    <n v="-78.7967072"/>
    <s v="NA"/>
    <s v="NA"/>
    <m/>
    <x v="4"/>
    <s v="Europe centrale"/>
    <n v="8"/>
    <s v="DENEPA-3"/>
    <s v="Abschuss"/>
  </r>
  <r>
    <x v="647"/>
    <s v="ScoRus"/>
    <n v="0"/>
    <x v="1"/>
    <x v="1"/>
    <x v="0"/>
    <x v="0"/>
    <x v="632"/>
    <n v="-24.242999999999999"/>
    <x v="628"/>
    <x v="8"/>
    <s v="Sud de la Fennoscandinavie, Pays baltes et ouest de la Russie"/>
    <x v="0"/>
    <x v="3"/>
    <s v="St-Georges"/>
    <s v="Mont Tendre"/>
    <n v="46.523827400000002"/>
    <n v="6.2448193160000001"/>
    <n v="4"/>
    <n v="17"/>
    <x v="1"/>
    <n v="2015"/>
    <x v="184"/>
    <x v="10"/>
    <n v="62"/>
    <x v="5"/>
    <x v="3"/>
    <x v="2"/>
    <n v="508400"/>
    <n v="153200"/>
    <n v="50841532"/>
    <n v="508153"/>
    <n v="505150"/>
    <n v="507500"/>
    <n v="152500"/>
    <n v="330"/>
    <x v="0"/>
    <n v="0"/>
    <n v="0"/>
    <n v="0"/>
    <n v="-78.709999999999994"/>
    <n v="-78.709999999999994"/>
    <n v="-101.5"/>
    <s v="NA"/>
    <m/>
    <x v="4"/>
    <s v="Europe centrale"/>
    <n v="8"/>
    <s v="PillJL-2"/>
    <s v="Abschuss"/>
  </r>
  <r>
    <x v="648"/>
    <s v="ScoRus"/>
    <n v="0"/>
    <x v="1"/>
    <x v="1"/>
    <x v="0"/>
    <x v="0"/>
    <x v="633"/>
    <n v="-24.786000000000001"/>
    <x v="629"/>
    <x v="8"/>
    <s v="Sud de la Fennoscandinavie, Pays baltes et ouest de la Russie"/>
    <x v="0"/>
    <x v="0"/>
    <s v="St-Sulpice"/>
    <s v="La Corbière"/>
    <n v="46.907175549999998"/>
    <n v="6.5526576629999997"/>
    <n v="3"/>
    <n v="5"/>
    <x v="1"/>
    <n v="2015"/>
    <x v="233"/>
    <x v="22"/>
    <n v="50"/>
    <x v="3"/>
    <x v="1"/>
    <x v="1"/>
    <n v="532500"/>
    <n v="195500"/>
    <n v="53251955"/>
    <n v="532195"/>
    <n v="530195"/>
    <n v="532500"/>
    <n v="197500"/>
    <n v="328"/>
    <x v="0"/>
    <n v="0"/>
    <n v="0"/>
    <n v="0"/>
    <n v="-78.69"/>
    <n v="-78.69"/>
    <n v="-101.5"/>
    <s v="NA"/>
    <m/>
    <x v="4"/>
    <s v="Europe centrale"/>
    <n v="8"/>
    <s v="GARIGR-3"/>
    <s v="Abschuss"/>
  </r>
  <r>
    <x v="649"/>
    <s v="ScoRus"/>
    <n v="0"/>
    <x v="1"/>
    <x v="1"/>
    <x v="0"/>
    <x v="0"/>
    <x v="634"/>
    <n v="-24.780799999999999"/>
    <x v="630"/>
    <x v="8"/>
    <s v="Sud de la Fennoscandinavie, Pays baltes et ouest de la Russie"/>
    <x v="1"/>
    <x v="1"/>
    <s v="Bruzzella"/>
    <s v="Alpe del Corno"/>
    <n v="45.896663770000004"/>
    <n v="9.0745418969999996"/>
    <n v="5"/>
    <n v="11"/>
    <x v="1"/>
    <n v="2015"/>
    <x v="32"/>
    <x v="7"/>
    <n v="56"/>
    <x v="2"/>
    <x v="2"/>
    <x v="1"/>
    <n v="726970"/>
    <n v="84107"/>
    <n v="72690841"/>
    <n v="726084"/>
    <n v="725080"/>
    <n v="727500"/>
    <n v="82500"/>
    <n v="290"/>
    <x v="0"/>
    <n v="0"/>
    <n v="0"/>
    <n v="0"/>
    <n v="-78.66"/>
    <n v="-78.66"/>
    <n v="-101.5"/>
    <s v="NA"/>
    <m/>
    <x v="4"/>
    <s v="Europe centrale"/>
    <n v="8"/>
    <s v="REZZONICORO-15"/>
    <s v="Abschuss"/>
  </r>
  <r>
    <x v="650"/>
    <s v="ScoRus"/>
    <n v="0"/>
    <x v="1"/>
    <x v="1"/>
    <x v="0"/>
    <x v="0"/>
    <x v="635"/>
    <n v="-24.117249999999999"/>
    <x v="631"/>
    <x v="8"/>
    <s v="Sud de la Fennoscandinavie, Pays baltes et ouest de la Russie"/>
    <x v="0"/>
    <x v="0"/>
    <s v="Les Ponts-de-Martel"/>
    <s v="Grand Sommartel"/>
    <n v="46.9789995"/>
    <n v="6.7538443790000002"/>
    <n v="6"/>
    <n v="13"/>
    <x v="0"/>
    <n v="2015"/>
    <x v="238"/>
    <x v="41"/>
    <n v="28"/>
    <x v="8"/>
    <x v="4"/>
    <x v="0"/>
    <n v="547897"/>
    <n v="203331"/>
    <n v="54782033"/>
    <n v="547203"/>
    <n v="545200"/>
    <n v="547500"/>
    <n v="202500"/>
    <n v="296"/>
    <x v="0"/>
    <n v="0"/>
    <n v="0"/>
    <n v="0"/>
    <n v="-78.62"/>
    <n v="-78.62"/>
    <n v="-101.5"/>
    <s v="NA"/>
    <m/>
    <x v="4"/>
    <s v="Europe centrale"/>
    <n v="8"/>
    <s v="MEISHE-1"/>
    <s v="Abschuss"/>
  </r>
  <r>
    <x v="651"/>
    <s v="ScoRus"/>
    <n v="0"/>
    <x v="1"/>
    <x v="1"/>
    <x v="0"/>
    <x v="0"/>
    <x v="636"/>
    <n v="-24.78"/>
    <x v="424"/>
    <x v="8"/>
    <s v="Sud de la Fennoscandinavie, Pays baltes et ouest de la Russie"/>
    <x v="1"/>
    <x v="1"/>
    <s v="Alto Malcantone"/>
    <s v="NA"/>
    <n v="46.055440760000003"/>
    <n v="8.8806686520000007"/>
    <n v="2"/>
    <n v="2"/>
    <x v="1"/>
    <n v="2016"/>
    <x v="4"/>
    <x v="4"/>
    <n v="47"/>
    <x v="3"/>
    <x v="1"/>
    <x v="1"/>
    <n v="711600"/>
    <n v="101460"/>
    <n v="71161014"/>
    <n v="711101"/>
    <n v="710100"/>
    <n v="712500"/>
    <n v="102500"/>
    <n v="320"/>
    <x v="0"/>
    <n v="0"/>
    <n v="0"/>
    <n v="0"/>
    <n v="-78.494877700000004"/>
    <n v="-78.494877700000004"/>
    <s v="NA"/>
    <s v="NA"/>
    <m/>
    <x v="4"/>
    <s v="Europe centrale"/>
    <n v="8"/>
    <s v="GIAMGI-13"/>
    <s v="Abschuss"/>
  </r>
  <r>
    <x v="652"/>
    <s v="ScoRus"/>
    <n v="0"/>
    <x v="1"/>
    <x v="1"/>
    <x v="0"/>
    <x v="0"/>
    <x v="637"/>
    <n v="-23.896000000000001"/>
    <x v="632"/>
    <x v="8"/>
    <s v="Sud de la Fennoscandinavie, Pays baltes et ouest de la Russie"/>
    <x v="0"/>
    <x v="3"/>
    <s v="Mollens"/>
    <s v="Mont Tendre"/>
    <n v="46.581415249999999"/>
    <n v="6.334882393"/>
    <n v="4"/>
    <n v="6"/>
    <x v="1"/>
    <n v="2015"/>
    <x v="218"/>
    <x v="13"/>
    <n v="51"/>
    <x v="3"/>
    <x v="1"/>
    <x v="1"/>
    <n v="515400"/>
    <n v="159500"/>
    <n v="51541595"/>
    <n v="515159"/>
    <n v="515155"/>
    <n v="517500"/>
    <n v="157500"/>
    <n v="287"/>
    <x v="0"/>
    <n v="0"/>
    <n v="0"/>
    <n v="0"/>
    <n v="-78.48"/>
    <n v="-78.48"/>
    <n v="-101.3"/>
    <s v="NA"/>
    <m/>
    <x v="4"/>
    <s v="Europe centrale"/>
    <n v="8"/>
    <s v="LiechJP-2"/>
    <s v="Abschuss"/>
  </r>
  <r>
    <x v="653"/>
    <s v="ScoRus"/>
    <n v="0"/>
    <x v="1"/>
    <x v="1"/>
    <x v="0"/>
    <x v="0"/>
    <x v="638"/>
    <n v="-24.2"/>
    <x v="611"/>
    <x v="8"/>
    <s v="Sud de la Fennoscandinavie, Pays baltes et ouest de la Russie"/>
    <x v="1"/>
    <x v="1"/>
    <s v="Gambarogno"/>
    <s v="Mt Vairano"/>
    <n v="46.126571390000002"/>
    <n v="8.8333782099999993"/>
    <n v="4"/>
    <n v="13"/>
    <x v="1"/>
    <n v="2016"/>
    <x v="172"/>
    <x v="15"/>
    <n v="58"/>
    <x v="6"/>
    <x v="2"/>
    <x v="2"/>
    <n v="707800"/>
    <n v="109300"/>
    <n v="70781093"/>
    <n v="707109"/>
    <n v="705105"/>
    <n v="707500"/>
    <n v="107500"/>
    <n v="282"/>
    <x v="0"/>
    <n v="0"/>
    <n v="0"/>
    <n v="0"/>
    <n v="-78.470078400000006"/>
    <n v="-78.470078400000006"/>
    <s v="NA"/>
    <s v="NA"/>
    <m/>
    <x v="4"/>
    <s v="Europe centrale"/>
    <n v="8"/>
    <s v="GNOSDA-13"/>
    <s v="Abschuss"/>
  </r>
  <r>
    <x v="654"/>
    <s v="ScoRus"/>
    <n v="0"/>
    <x v="1"/>
    <x v="1"/>
    <x v="0"/>
    <x v="0"/>
    <x v="639"/>
    <n v="-24.489285710000001"/>
    <x v="633"/>
    <x v="8"/>
    <s v="Sud de la Fennoscandinavie, Pays baltes et ouest de la Russie"/>
    <x v="0"/>
    <x v="0"/>
    <s v="Buttes"/>
    <s v="Montagne de Buttes, Les Fourneaux"/>
    <n v="46.892391080000003"/>
    <n v="6.4947153740000001"/>
    <n v="6"/>
    <n v="29"/>
    <x v="0"/>
    <n v="2014"/>
    <x v="1"/>
    <x v="1"/>
    <n v="44"/>
    <x v="1"/>
    <x v="1"/>
    <x v="1"/>
    <n v="528066"/>
    <n v="193908"/>
    <n v="52801939"/>
    <n v="528193"/>
    <n v="525190"/>
    <n v="527500"/>
    <n v="192500"/>
    <n v="280"/>
    <x v="0"/>
    <n v="0"/>
    <n v="0"/>
    <n v="0"/>
    <n v="-78.430000000000007"/>
    <n v="-78.430000000000007"/>
    <n v="-101.3"/>
    <s v="NA"/>
    <m/>
    <x v="4"/>
    <s v="Europe centrale"/>
    <n v="8"/>
    <s v="ANKEFR-4"/>
    <s v="Abschuss"/>
  </r>
  <r>
    <x v="655"/>
    <s v="ScoRus"/>
    <n v="0"/>
    <x v="1"/>
    <x v="1"/>
    <x v="0"/>
    <x v="0"/>
    <x v="640"/>
    <n v="-22.592467719999998"/>
    <x v="634"/>
    <x v="8"/>
    <s v="Sud de la Fennoscandinavie, Pays baltes et ouest de la Russie"/>
    <x v="2"/>
    <x v="2"/>
    <s v="Ecuvillens"/>
    <s v="Bois Cornard"/>
    <n v="46.749389000000001"/>
    <n v="7.0680527470000003"/>
    <n v="6"/>
    <n v="7"/>
    <x v="1"/>
    <n v="2013"/>
    <x v="12"/>
    <x v="12"/>
    <n v="52"/>
    <x v="2"/>
    <x v="2"/>
    <x v="1"/>
    <n v="571683"/>
    <n v="177645"/>
    <n v="57161776"/>
    <n v="571177"/>
    <n v="570175"/>
    <n v="572500"/>
    <n v="177500"/>
    <n v="355"/>
    <x v="0"/>
    <n v="0"/>
    <n v="0"/>
    <n v="0"/>
    <n v="-78.41"/>
    <n v="-78.41"/>
    <n v="-101.2"/>
    <s v="NA"/>
    <m/>
    <x v="4"/>
    <s v="Europe centrale"/>
    <n v="8"/>
    <s v="SAVABR-4"/>
    <s v="Abschuss"/>
  </r>
  <r>
    <x v="656"/>
    <s v="ScoRus"/>
    <n v="0"/>
    <x v="1"/>
    <x v="1"/>
    <x v="0"/>
    <x v="0"/>
    <x v="641"/>
    <n v="-24.109000000000002"/>
    <x v="635"/>
    <x v="8"/>
    <s v="Sud de la Fennoscandinavie, Pays baltes et ouest de la Russie"/>
    <x v="0"/>
    <x v="3"/>
    <s v="Le Lieu"/>
    <s v="Poteau"/>
    <n v="46.663197650000001"/>
    <n v="6.2809416120000003"/>
    <n v="5"/>
    <n v="12"/>
    <x v="1"/>
    <n v="2015"/>
    <x v="195"/>
    <x v="26"/>
    <n v="57"/>
    <x v="6"/>
    <x v="2"/>
    <x v="2"/>
    <n v="511400"/>
    <n v="168650"/>
    <n v="51141686"/>
    <n v="511168"/>
    <n v="510165"/>
    <n v="512500"/>
    <n v="167500"/>
    <n v="331"/>
    <x v="0"/>
    <n v="0"/>
    <n v="0"/>
    <n v="0"/>
    <n v="-78.400000000000006"/>
    <n v="-78.400000000000006"/>
    <n v="-101.2"/>
    <s v="NA"/>
    <m/>
    <x v="4"/>
    <s v="Europe centrale"/>
    <n v="8"/>
    <s v="Rothmi-2"/>
    <s v="Abschuss"/>
  </r>
  <r>
    <x v="657"/>
    <s v="ScoRus"/>
    <n v="0"/>
    <x v="1"/>
    <x v="1"/>
    <x v="0"/>
    <x v="0"/>
    <x v="642"/>
    <n v="-24.701000000000001"/>
    <x v="636"/>
    <x v="8"/>
    <s v="Sud de la Fennoscandinavie, Pays baltes et ouest de la Russie"/>
    <x v="2"/>
    <x v="2"/>
    <s v="Sâles"/>
    <s v="Mauborget"/>
    <n v="46.613688009999997"/>
    <n v="6.9484522709999998"/>
    <n v="4"/>
    <n v="4"/>
    <x v="9"/>
    <n v="2014"/>
    <x v="216"/>
    <x v="100"/>
    <n v="79"/>
    <x v="34"/>
    <x v="5"/>
    <x v="3"/>
    <n v="562450"/>
    <n v="162610"/>
    <n v="56241626"/>
    <n v="562162"/>
    <n v="560160"/>
    <n v="562500"/>
    <n v="162500"/>
    <n v="360"/>
    <x v="0"/>
    <n v="0"/>
    <n v="0"/>
    <n v="0"/>
    <n v="-78.38"/>
    <n v="-78.38"/>
    <n v="-101.2"/>
    <s v="NA"/>
    <m/>
    <x v="4"/>
    <s v="Europe centrale"/>
    <n v="8"/>
    <s v="Savalu-5"/>
    <s v="Abschuss"/>
  </r>
  <r>
    <x v="658"/>
    <s v="ScoRus"/>
    <n v="0"/>
    <x v="1"/>
    <x v="1"/>
    <x v="0"/>
    <x v="0"/>
    <x v="642"/>
    <n v="-23.180399999999999"/>
    <x v="637"/>
    <x v="8"/>
    <s v="Sud de la Fennoscandinavie, Pays baltes et ouest de la Russie"/>
    <x v="1"/>
    <x v="1"/>
    <s v="Bedretto"/>
    <s v="Carniscio"/>
    <n v="46.519058479999998"/>
    <n v="8.5248697189999998"/>
    <n v="6"/>
    <n v="3"/>
    <x v="1"/>
    <n v="2015"/>
    <x v="204"/>
    <x v="25"/>
    <n v="48"/>
    <x v="3"/>
    <x v="1"/>
    <x v="1"/>
    <n v="683353"/>
    <n v="152550"/>
    <n v="68331525"/>
    <n v="683152"/>
    <n v="680150"/>
    <n v="682500"/>
    <n v="152500"/>
    <n v="341"/>
    <x v="0"/>
    <n v="0"/>
    <n v="0"/>
    <n v="0"/>
    <n v="-78.38"/>
    <n v="-78.38"/>
    <n v="-101.2"/>
    <s v="NA"/>
    <m/>
    <x v="4"/>
    <s v="Europe centrale"/>
    <n v="8"/>
    <s v="MARCRE-2"/>
    <s v="Abschuss"/>
  </r>
  <r>
    <x v="659"/>
    <s v="ScoRus"/>
    <n v="0"/>
    <x v="1"/>
    <x v="1"/>
    <x v="0"/>
    <x v="0"/>
    <x v="643"/>
    <n v="-23.77"/>
    <x v="638"/>
    <x v="8"/>
    <s v="Sud de la Fennoscandinavie, Pays baltes et ouest de la Russie"/>
    <x v="1"/>
    <x v="1"/>
    <s v="Monteceneri"/>
    <s v="Robasano"/>
    <n v="46.133241409999997"/>
    <n v="8.9444551529999998"/>
    <n v="5"/>
    <n v="5"/>
    <x v="1"/>
    <n v="2016"/>
    <x v="144"/>
    <x v="22"/>
    <n v="50"/>
    <x v="3"/>
    <x v="1"/>
    <x v="1"/>
    <n v="716370"/>
    <n v="110200"/>
    <n v="71631102"/>
    <n v="716110"/>
    <n v="715110"/>
    <n v="717500"/>
    <n v="112500"/>
    <n v="305"/>
    <x v="0"/>
    <n v="0"/>
    <n v="0"/>
    <n v="0"/>
    <n v="-78.379859600000003"/>
    <n v="-78.379859600000003"/>
    <s v="NA"/>
    <s v="NA"/>
    <m/>
    <x v="4"/>
    <s v="Europe centrale"/>
    <n v="8"/>
    <s v="PURASA-5"/>
    <s v="Abschuss"/>
  </r>
  <r>
    <x v="660"/>
    <s v="ScoRus"/>
    <n v="0"/>
    <x v="1"/>
    <x v="1"/>
    <x v="0"/>
    <x v="0"/>
    <x v="644"/>
    <n v="-23.28"/>
    <x v="639"/>
    <x v="8"/>
    <s v="Sud de la Fennoscandinavie, Pays baltes et ouest de la Russie"/>
    <x v="1"/>
    <x v="1"/>
    <s v="Brewgano"/>
    <s v="Monte Pré"/>
    <n v="46.0093915"/>
    <n v="8.9866241910000006"/>
    <n v="5"/>
    <n v="13"/>
    <x v="1"/>
    <n v="2016"/>
    <x v="172"/>
    <x v="15"/>
    <n v="58"/>
    <x v="6"/>
    <x v="2"/>
    <x v="2"/>
    <n v="719900"/>
    <n v="96498"/>
    <n v="71990964"/>
    <n v="719096"/>
    <n v="715095"/>
    <n v="717500"/>
    <n v="97500"/>
    <n v="305"/>
    <x v="0"/>
    <n v="0"/>
    <n v="0"/>
    <n v="0"/>
    <n v="-78.360299100000006"/>
    <n v="-78.360299100000006"/>
    <s v="NA"/>
    <s v="NA"/>
    <m/>
    <x v="4"/>
    <s v="Europe centrale"/>
    <n v="8"/>
    <s v="REZZRO-12"/>
    <s v="Abschuss"/>
  </r>
  <r>
    <x v="661"/>
    <s v="ScoRus"/>
    <n v="0"/>
    <x v="1"/>
    <x v="1"/>
    <x v="0"/>
    <x v="0"/>
    <x v="645"/>
    <n v="-23.844285710000001"/>
    <x v="640"/>
    <x v="8"/>
    <s v="Sud de la Fennoscandinavie, Pays baltes et ouest de la Russie"/>
    <x v="0"/>
    <x v="0"/>
    <s v="Cernier"/>
    <s v="Combe-d Amin"/>
    <n v="47.080022589999999"/>
    <n v="6.8905027700000003"/>
    <n v="6"/>
    <n v="16"/>
    <x v="0"/>
    <n v="2014"/>
    <x v="45"/>
    <x v="33"/>
    <n v="31"/>
    <x v="8"/>
    <x v="4"/>
    <x v="0"/>
    <n v="558373"/>
    <n v="214480"/>
    <n v="55832144"/>
    <n v="558214"/>
    <n v="555210"/>
    <n v="557500"/>
    <n v="212500"/>
    <n v="320"/>
    <x v="0"/>
    <n v="0"/>
    <n v="0"/>
    <n v="0"/>
    <n v="-78.36"/>
    <n v="-78.36"/>
    <n v="-101.2"/>
    <s v="NA"/>
    <m/>
    <x v="4"/>
    <s v="Europe centrale"/>
    <n v="8"/>
    <s v="PFISEP-2"/>
    <s v="Abschuss"/>
  </r>
  <r>
    <x v="662"/>
    <s v="ScoRus"/>
    <n v="0"/>
    <x v="1"/>
    <x v="1"/>
    <x v="0"/>
    <x v="0"/>
    <x v="646"/>
    <n v="-23.62466439"/>
    <x v="641"/>
    <x v="8"/>
    <s v="Sud de la Fennoscandinavie, Pays baltes et ouest de la Russie"/>
    <x v="2"/>
    <x v="2"/>
    <s v="Riaz"/>
    <s v="Chalet Neuf"/>
    <n v="46.657988150000001"/>
    <n v="7.0270937949999999"/>
    <n v="3"/>
    <n v="9"/>
    <x v="1"/>
    <n v="2015"/>
    <x v="228"/>
    <x v="5"/>
    <n v="54"/>
    <x v="2"/>
    <x v="2"/>
    <x v="1"/>
    <n v="568500"/>
    <n v="167500"/>
    <n v="56851675"/>
    <n v="568167"/>
    <n v="565165"/>
    <n v="567500"/>
    <n v="167500"/>
    <n v="320"/>
    <x v="0"/>
    <n v="0"/>
    <n v="0"/>
    <n v="0"/>
    <n v="-78.31"/>
    <n v="-78.31"/>
    <n v="-101.1"/>
    <s v="NA"/>
    <m/>
    <x v="4"/>
    <s v="Europe centrale"/>
    <n v="8"/>
    <s v="DENEPA8"/>
    <s v="Abschuss"/>
  </r>
  <r>
    <x v="663"/>
    <s v="ScoRus"/>
    <n v="0"/>
    <x v="1"/>
    <x v="1"/>
    <x v="0"/>
    <x v="0"/>
    <x v="647"/>
    <n v="-24.175799999999999"/>
    <x v="642"/>
    <x v="8"/>
    <s v="Sud de la Fennoscandinavie, Pays baltes et ouest de la Russie"/>
    <x v="1"/>
    <x v="1"/>
    <s v="Monteceneri"/>
    <s v="Tornago"/>
    <n v="46.12928411"/>
    <n v="8.9033248589999996"/>
    <n v="5"/>
    <n v="18"/>
    <x v="1"/>
    <n v="2015"/>
    <x v="30"/>
    <x v="24"/>
    <n v="63"/>
    <x v="5"/>
    <x v="3"/>
    <x v="2"/>
    <n v="713200"/>
    <n v="109700"/>
    <n v="71321097"/>
    <n v="713109"/>
    <n v="710105"/>
    <n v="712500"/>
    <n v="107500"/>
    <n v="240"/>
    <x v="0"/>
    <n v="0"/>
    <n v="0"/>
    <n v="0"/>
    <n v="-78.3"/>
    <n v="-78.3"/>
    <n v="-101.1"/>
    <s v="NA"/>
    <m/>
    <x v="4"/>
    <s v="Europe centrale"/>
    <n v="8"/>
    <s v="BELLIEN-3"/>
    <s v="Abschuss"/>
  </r>
  <r>
    <x v="664"/>
    <s v="ScoRus"/>
    <n v="0"/>
    <x v="1"/>
    <x v="1"/>
    <x v="0"/>
    <x v="0"/>
    <x v="648"/>
    <n v="-23.912800000000001"/>
    <x v="643"/>
    <x v="8"/>
    <s v="Sud de la Fennoscandinavie, Pays baltes et ouest de la Russie"/>
    <x v="0"/>
    <x v="3"/>
    <s v="Ste-Croix"/>
    <s v="Prise Bornand"/>
    <n v="46.852012090000002"/>
    <n v="6.5072642930000004"/>
    <n v="6"/>
    <n v="23"/>
    <x v="0"/>
    <n v="2014"/>
    <x v="237"/>
    <x v="44"/>
    <n v="38"/>
    <x v="0"/>
    <x v="0"/>
    <x v="0"/>
    <n v="528969"/>
    <n v="189408"/>
    <n v="52891894"/>
    <n v="528189"/>
    <n v="525185"/>
    <n v="527500"/>
    <n v="187500"/>
    <n v="345"/>
    <x v="0"/>
    <n v="0"/>
    <n v="0"/>
    <n v="0"/>
    <n v="-78.25"/>
    <n v="-78.25"/>
    <n v="-101.1"/>
    <s v="NA"/>
    <m/>
    <x v="4"/>
    <s v="Europe centrale"/>
    <n v="8"/>
    <s v="GARIJE04"/>
    <s v="Abschuss"/>
  </r>
  <r>
    <x v="665"/>
    <s v="ScoRus"/>
    <n v="0"/>
    <x v="1"/>
    <x v="1"/>
    <x v="0"/>
    <x v="0"/>
    <x v="649"/>
    <n v="-24.33"/>
    <x v="509"/>
    <x v="8"/>
    <s v="Sud de la Fennoscandinavie, Pays baltes et ouest de la Russie"/>
    <x v="1"/>
    <x v="1"/>
    <s v="Centorelli"/>
    <s v="Vaiarisc"/>
    <n v="46.194959359999999"/>
    <n v="8.6755681980000006"/>
    <n v="5"/>
    <n v="20"/>
    <x v="0"/>
    <n v="2016"/>
    <x v="153"/>
    <x v="30"/>
    <n v="35"/>
    <x v="4"/>
    <x v="0"/>
    <x v="0"/>
    <n v="695484"/>
    <n v="116697"/>
    <n v="69541166"/>
    <n v="695116"/>
    <n v="695115"/>
    <n v="697500"/>
    <n v="117500"/>
    <n v="325"/>
    <x v="0"/>
    <n v="0"/>
    <n v="0"/>
    <n v="0"/>
    <n v="-78.230190300000004"/>
    <n v="-78.230190300000004"/>
    <s v="NA"/>
    <s v="NA"/>
    <m/>
    <x v="4"/>
    <s v="Europe centrale"/>
    <n v="8"/>
    <s v="FISCIV-2"/>
    <s v="Abschuss"/>
  </r>
  <r>
    <x v="666"/>
    <s v="ScoRus"/>
    <n v="0"/>
    <x v="1"/>
    <x v="1"/>
    <x v="0"/>
    <x v="0"/>
    <x v="650"/>
    <n v="-24.471"/>
    <x v="644"/>
    <x v="8"/>
    <s v="Sud de la Fennoscandinavie, Pays baltes et ouest de la Russie"/>
    <x v="2"/>
    <x v="2"/>
    <s v="Onnens"/>
    <s v="Bois d Onnens"/>
    <n v="46.766875140000003"/>
    <n v="7.0383723109999998"/>
    <n v="4"/>
    <n v="25"/>
    <x v="1"/>
    <n v="2014"/>
    <x v="239"/>
    <x v="106"/>
    <n v="70"/>
    <x v="7"/>
    <x v="3"/>
    <x v="2"/>
    <n v="569425"/>
    <n v="179600"/>
    <n v="56941796"/>
    <n v="569179"/>
    <n v="565175"/>
    <n v="567500"/>
    <n v="177500"/>
    <n v="284"/>
    <x v="0"/>
    <n v="0"/>
    <n v="0"/>
    <n v="0"/>
    <n v="-78.22"/>
    <n v="-78.22"/>
    <n v="-101"/>
    <s v="NA"/>
    <m/>
    <x v="4"/>
    <s v="Europe centrale"/>
    <n v="8"/>
    <s v="Savalu-4."/>
    <s v="Abschuss"/>
  </r>
  <r>
    <x v="667"/>
    <s v="ScoRus"/>
    <n v="0"/>
    <x v="1"/>
    <x v="1"/>
    <x v="0"/>
    <x v="0"/>
    <x v="650"/>
    <n v="-24.658627790000001"/>
    <x v="645"/>
    <x v="8"/>
    <s v="Sud de la Fennoscandinavie, Pays baltes et ouest de la Russie"/>
    <x v="1"/>
    <x v="1"/>
    <s v="Cadenazzo"/>
    <s v="Prato Grasso"/>
    <n v="46.132821040000003"/>
    <n v="8.9422435290000006"/>
    <n v="5"/>
    <n v="27"/>
    <x v="0"/>
    <n v="2015"/>
    <x v="6"/>
    <x v="6"/>
    <n v="42"/>
    <x v="0"/>
    <x v="0"/>
    <x v="0"/>
    <n v="716200"/>
    <n v="110150"/>
    <n v="71621101"/>
    <n v="716110"/>
    <n v="715110"/>
    <n v="717500"/>
    <n v="112500"/>
    <n v="325"/>
    <x v="0"/>
    <n v="0"/>
    <n v="0"/>
    <n v="0"/>
    <n v="-78.22"/>
    <n v="-78.22"/>
    <n v="-101"/>
    <s v="NA"/>
    <m/>
    <x v="4"/>
    <s v="Europe centrale"/>
    <n v="8"/>
    <s v="PURASA-8"/>
    <s v="Abschuss"/>
  </r>
  <r>
    <x v="668"/>
    <s v="ScoRus"/>
    <n v="0"/>
    <x v="1"/>
    <x v="1"/>
    <x v="0"/>
    <x v="0"/>
    <x v="651"/>
    <n v="-23.52"/>
    <x v="435"/>
    <x v="8"/>
    <s v="Sud de la Fennoscandinavie, Pays baltes et ouest de la Russie"/>
    <x v="1"/>
    <x v="1"/>
    <s v="Lugano"/>
    <s v="Monte Pré"/>
    <n v="46.00922139"/>
    <n v="8.9859092070000006"/>
    <n v="5"/>
    <n v="12"/>
    <x v="1"/>
    <n v="2016"/>
    <x v="193"/>
    <x v="26"/>
    <n v="57"/>
    <x v="6"/>
    <x v="2"/>
    <x v="2"/>
    <n v="719845"/>
    <n v="96478"/>
    <n v="71980964"/>
    <n v="719096"/>
    <n v="715095"/>
    <n v="717500"/>
    <n v="97500"/>
    <n v="305"/>
    <x v="0"/>
    <n v="0"/>
    <n v="0"/>
    <n v="0"/>
    <n v="-78.219347900000002"/>
    <n v="-78.219347900000002"/>
    <s v="NA"/>
    <s v="NA"/>
    <m/>
    <x v="4"/>
    <s v="Europe centrale"/>
    <n v="8"/>
    <s v="REZZRO-10"/>
    <s v="Abschuss"/>
  </r>
  <r>
    <x v="669"/>
    <s v="ScoRus"/>
    <n v="0"/>
    <x v="1"/>
    <x v="1"/>
    <x v="0"/>
    <x v="0"/>
    <x v="652"/>
    <n v="-23.311800000000002"/>
    <x v="646"/>
    <x v="8"/>
    <s v="Sud de la Fennoscandinavie, Pays baltes et ouest de la Russie"/>
    <x v="1"/>
    <x v="1"/>
    <s v="Gamborogno"/>
    <s v="Pianca Lunga"/>
    <n v="46.088522650000002"/>
    <n v="8.8543881439999996"/>
    <n v="4"/>
    <n v="1"/>
    <x v="1"/>
    <n v="2015"/>
    <x v="167"/>
    <x v="17"/>
    <n v="46"/>
    <x v="1"/>
    <x v="1"/>
    <x v="1"/>
    <n v="709500"/>
    <n v="105100"/>
    <n v="70951051"/>
    <n v="709105"/>
    <n v="705105"/>
    <n v="707500"/>
    <n v="107500"/>
    <n v="294"/>
    <x v="0"/>
    <n v="0"/>
    <n v="0"/>
    <n v="0"/>
    <n v="-78.08"/>
    <n v="-78.08"/>
    <n v="-100.9"/>
    <s v="NA"/>
    <m/>
    <x v="4"/>
    <s v="Europe centrale"/>
    <n v="8"/>
    <s v="GNOSDA-5"/>
    <s v="Abschuss"/>
  </r>
  <r>
    <x v="670"/>
    <s v="ScoRus"/>
    <n v="0"/>
    <x v="1"/>
    <x v="1"/>
    <x v="0"/>
    <x v="0"/>
    <x v="653"/>
    <n v="-23.96"/>
    <x v="647"/>
    <x v="8"/>
    <s v="Sud de la Fennoscandinavie, Pays baltes et ouest de la Russie"/>
    <x v="1"/>
    <x v="1"/>
    <s v="Torricella-tavenne"/>
    <s v="Mt. Di Torricella"/>
    <n v="46.071626469999998"/>
    <n v="8.9092114379999998"/>
    <n v="4"/>
    <n v="22"/>
    <x v="0"/>
    <n v="2016"/>
    <x v="25"/>
    <x v="21"/>
    <n v="37"/>
    <x v="4"/>
    <x v="0"/>
    <x v="0"/>
    <n v="713775"/>
    <n v="103300"/>
    <n v="71371033"/>
    <n v="713103"/>
    <n v="710100"/>
    <n v="712500"/>
    <n v="102500"/>
    <n v="290"/>
    <x v="0"/>
    <n v="0"/>
    <n v="0"/>
    <n v="0"/>
    <n v="-78.012124"/>
    <n v="-78.012124"/>
    <s v="NA"/>
    <s v="NA"/>
    <m/>
    <x v="4"/>
    <s v="Europe centrale"/>
    <n v="8"/>
    <s v="RICHAD-2"/>
    <s v="Abschuss"/>
  </r>
  <r>
    <x v="671"/>
    <s v="ScoRus"/>
    <n v="0"/>
    <x v="1"/>
    <x v="1"/>
    <x v="0"/>
    <x v="0"/>
    <x v="654"/>
    <n v="-23.38"/>
    <x v="648"/>
    <x v="8"/>
    <s v="Sud de la Fennoscandinavie, Pays baltes et ouest de la Russie"/>
    <x v="1"/>
    <x v="1"/>
    <s v="Berzona"/>
    <s v="Aiasco"/>
    <n v="46.209829589999998"/>
    <n v="8.660795792"/>
    <n v="6"/>
    <n v="13"/>
    <x v="1"/>
    <n v="2016"/>
    <x v="172"/>
    <x v="15"/>
    <n v="58"/>
    <x v="6"/>
    <x v="2"/>
    <x v="2"/>
    <n v="694318"/>
    <n v="118332"/>
    <n v="69431183"/>
    <n v="694118"/>
    <n v="690115"/>
    <n v="692500"/>
    <n v="117500"/>
    <n v="312"/>
    <x v="0"/>
    <n v="0"/>
    <n v="0"/>
    <n v="0"/>
    <n v="-77.862059799999997"/>
    <n v="-77.862059799999997"/>
    <s v="NA"/>
    <s v="NA"/>
    <m/>
    <x v="4"/>
    <s v="Europe centrale"/>
    <n v="8"/>
    <s v="CAVAMA-10"/>
    <s v="Abschuss"/>
  </r>
  <r>
    <x v="672"/>
    <s v="ScoRus"/>
    <n v="0"/>
    <x v="1"/>
    <x v="1"/>
    <x v="0"/>
    <x v="0"/>
    <x v="655"/>
    <n v="-23.57"/>
    <x v="649"/>
    <x v="8"/>
    <s v="Sud de la Fennoscandinavie, Pays baltes et ouest de la Russie"/>
    <x v="1"/>
    <x v="1"/>
    <s v="Cadro"/>
    <s v="Pian di Scagn"/>
    <n v="46.039017680000001"/>
    <n v="9.0094777320000006"/>
    <n v="5"/>
    <n v="29"/>
    <x v="0"/>
    <n v="2016"/>
    <x v="180"/>
    <x v="1"/>
    <n v="44"/>
    <x v="1"/>
    <x v="1"/>
    <x v="1"/>
    <n v="721604"/>
    <n v="99826"/>
    <n v="72160998"/>
    <n v="721099"/>
    <n v="720095"/>
    <n v="722500"/>
    <n v="97500"/>
    <n v="340"/>
    <x v="0"/>
    <n v="0"/>
    <n v="0"/>
    <n v="0"/>
    <n v="-77.826953599999996"/>
    <n v="-77.826953599999996"/>
    <s v="NA"/>
    <s v="NA"/>
    <m/>
    <x v="4"/>
    <s v="Europe centrale"/>
    <n v="8"/>
    <s v="REZZRO-3"/>
    <s v="Abschuss"/>
  </r>
  <r>
    <x v="673"/>
    <s v="ScoRus"/>
    <n v="0"/>
    <x v="1"/>
    <x v="1"/>
    <x v="0"/>
    <x v="0"/>
    <x v="656"/>
    <n v="-23.782399999999999"/>
    <x v="650"/>
    <x v="8"/>
    <s v="Sud de la Fennoscandinavie, Pays baltes et ouest de la Russie"/>
    <x v="1"/>
    <x v="1"/>
    <s v="Airolo"/>
    <s v="Fume Ticino"/>
    <n v="46.522699780000003"/>
    <n v="8.5666758640000005"/>
    <n v="5"/>
    <n v="27"/>
    <x v="0"/>
    <n v="2015"/>
    <x v="6"/>
    <x v="6"/>
    <n v="42"/>
    <x v="0"/>
    <x v="0"/>
    <x v="0"/>
    <n v="686555"/>
    <n v="153000"/>
    <n v="68651530"/>
    <n v="686153"/>
    <n v="685150"/>
    <n v="687500"/>
    <n v="152500"/>
    <n v="350"/>
    <x v="0"/>
    <n v="0"/>
    <n v="0"/>
    <n v="0"/>
    <n v="-77.790000000000006"/>
    <n v="-77.790000000000006"/>
    <n v="-100.6"/>
    <s v="NA"/>
    <m/>
    <x v="4"/>
    <s v="Europe centrale"/>
    <n v="8"/>
    <s v="REZZONICORO-6"/>
    <s v="Abschuss"/>
  </r>
  <r>
    <x v="674"/>
    <s v="ScoRus"/>
    <n v="0"/>
    <x v="1"/>
    <x v="1"/>
    <x v="0"/>
    <x v="0"/>
    <x v="657"/>
    <n v="-22.936239449999999"/>
    <x v="651"/>
    <x v="8"/>
    <s v="Sud de la Fennoscandinavie, Pays baltes et ouest de la Russie"/>
    <x v="2"/>
    <x v="2"/>
    <s v="Maules"/>
    <s v="Le Dévin"/>
    <n v="46.64239955"/>
    <n v="7.0031275769999999"/>
    <n v="5"/>
    <n v="3"/>
    <x v="1"/>
    <n v="2015"/>
    <x v="204"/>
    <x v="25"/>
    <n v="48"/>
    <x v="3"/>
    <x v="1"/>
    <x v="1"/>
    <n v="566656"/>
    <n v="165777"/>
    <n v="56661657"/>
    <n v="566165"/>
    <n v="565165"/>
    <n v="567500"/>
    <n v="167500"/>
    <n v="336"/>
    <x v="0"/>
    <n v="0"/>
    <n v="0"/>
    <n v="0"/>
    <n v="-77.77"/>
    <n v="-77.77"/>
    <n v="-100.6"/>
    <s v="NA"/>
    <m/>
    <x v="4"/>
    <s v="Europe centrale"/>
    <n v="8"/>
    <s v="SAVALU-5"/>
    <s v="Abschuss"/>
  </r>
  <r>
    <x v="675"/>
    <s v="ScoRus"/>
    <n v="0"/>
    <x v="1"/>
    <x v="1"/>
    <x v="0"/>
    <x v="0"/>
    <x v="658"/>
    <n v="-24.908000000000001"/>
    <x v="652"/>
    <x v="8"/>
    <s v="Sud de la Fennoscandinavie, Pays baltes et ouest de la Russie"/>
    <x v="2"/>
    <x v="2"/>
    <s v="Le Flon"/>
    <s v="Bouloz"/>
    <n v="46.615846910000002"/>
    <n v="6.8892939430000002"/>
    <n v="5"/>
    <n v="30"/>
    <x v="0"/>
    <n v="2014"/>
    <x v="29"/>
    <x v="23"/>
    <n v="45"/>
    <x v="1"/>
    <x v="1"/>
    <x v="1"/>
    <n v="557920"/>
    <n v="162880"/>
    <n v="55791628"/>
    <n v="557162"/>
    <n v="555160"/>
    <n v="557500"/>
    <n v="162500"/>
    <n v="360"/>
    <x v="0"/>
    <n v="0"/>
    <n v="0"/>
    <n v="0"/>
    <n v="-77.709999999999994"/>
    <n v="-77.709999999999994"/>
    <n v="-100.5"/>
    <s v="NA"/>
    <m/>
    <x v="4"/>
    <s v="Europe centrale"/>
    <n v="8"/>
    <s v="DUMAPI-3"/>
    <s v="Abschuss"/>
  </r>
  <r>
    <x v="676"/>
    <s v="ScoRus"/>
    <n v="0"/>
    <x v="1"/>
    <x v="1"/>
    <x v="0"/>
    <x v="0"/>
    <x v="659"/>
    <n v="-23.911171629999998"/>
    <x v="653"/>
    <x v="8"/>
    <s v="Sud de la Fennoscandinavie, Pays baltes et ouest de la Russie"/>
    <x v="1"/>
    <x v="1"/>
    <s v="Monteceneri"/>
    <s v="Monti di Stairino, Fontanelle"/>
    <n v="46.077698689999998"/>
    <n v="8.8919220160000005"/>
    <n v="4"/>
    <n v="14"/>
    <x v="1"/>
    <n v="2015"/>
    <x v="174"/>
    <x v="18"/>
    <n v="59"/>
    <x v="6"/>
    <x v="2"/>
    <x v="2"/>
    <n v="712425"/>
    <n v="103950"/>
    <n v="71241039"/>
    <n v="712103"/>
    <n v="710100"/>
    <n v="712500"/>
    <n v="102500"/>
    <n v="290"/>
    <x v="0"/>
    <n v="0"/>
    <n v="0"/>
    <n v="0"/>
    <n v="-77.599999999999994"/>
    <n v="-77.599999999999994"/>
    <n v="-100.4"/>
    <s v="NA"/>
    <m/>
    <x v="4"/>
    <s v="Europe centrale"/>
    <n v="8"/>
    <s v="RICHAD-10"/>
    <s v="Abschuss"/>
  </r>
  <r>
    <x v="677"/>
    <s v="ScoRus"/>
    <n v="0"/>
    <x v="1"/>
    <x v="1"/>
    <x v="0"/>
    <x v="0"/>
    <x v="660"/>
    <n v="-24.52"/>
    <x v="654"/>
    <x v="8"/>
    <s v="Sud de la Fennoscandinavie, Pays baltes et ouest de la Russie"/>
    <x v="1"/>
    <x v="1"/>
    <s v="Quninto"/>
    <s v="Giuvett"/>
    <n v="46.506242720000003"/>
    <n v="8.6783232439999995"/>
    <n v="5"/>
    <n v="25"/>
    <x v="0"/>
    <n v="2016"/>
    <x v="157"/>
    <x v="8"/>
    <n v="40"/>
    <x v="0"/>
    <x v="0"/>
    <x v="0"/>
    <n v="695150"/>
    <n v="151300"/>
    <n v="69511513"/>
    <n v="695151"/>
    <n v="695150"/>
    <n v="697500"/>
    <n v="152500"/>
    <n v="298"/>
    <x v="0"/>
    <n v="0"/>
    <n v="0"/>
    <n v="0"/>
    <n v="-77.597234299999997"/>
    <n v="-77.597234299999997"/>
    <s v="NA"/>
    <s v="NA"/>
    <m/>
    <x v="4"/>
    <s v="Europe centrale"/>
    <n v="8"/>
    <s v="TARAAL-1"/>
    <s v="Abschuss"/>
  </r>
  <r>
    <x v="678"/>
    <s v="ScoRus"/>
    <n v="0"/>
    <x v="1"/>
    <x v="1"/>
    <x v="0"/>
    <x v="0"/>
    <x v="661"/>
    <n v="-23.73"/>
    <x v="655"/>
    <x v="8"/>
    <s v="Sud de la Fennoscandinavie, Pays baltes et ouest de la Russie"/>
    <x v="1"/>
    <x v="1"/>
    <s v="Novaggio"/>
    <s v="Cima Piencie"/>
    <n v="46.025250970000002"/>
    <n v="8.8368246920000004"/>
    <n v="5"/>
    <n v="19"/>
    <x v="1"/>
    <n v="2016"/>
    <x v="53"/>
    <x v="37"/>
    <n v="64"/>
    <x v="5"/>
    <x v="3"/>
    <x v="2"/>
    <n v="708267"/>
    <n v="98043"/>
    <n v="70820980"/>
    <n v="708098"/>
    <n v="705095"/>
    <n v="707500"/>
    <n v="97500"/>
    <n v="315"/>
    <x v="0"/>
    <n v="0"/>
    <n v="0"/>
    <n v="0"/>
    <n v="-77.503749499999998"/>
    <n v="-77.503749499999998"/>
    <s v="NA"/>
    <s v="NA"/>
    <m/>
    <x v="4"/>
    <s v="Europe centrale"/>
    <n v="8"/>
    <s v="MORAMA-6"/>
    <s v="Abschuss"/>
  </r>
  <r>
    <x v="679"/>
    <s v="ScoRus"/>
    <n v="0"/>
    <x v="1"/>
    <x v="1"/>
    <x v="0"/>
    <x v="0"/>
    <x v="662"/>
    <n v="-24.017399999999999"/>
    <x v="656"/>
    <x v="8"/>
    <s v="Sud de la Fennoscandinavie, Pays baltes et ouest de la Russie"/>
    <x v="1"/>
    <x v="1"/>
    <s v="Mosogno"/>
    <s v="Monte Frascheine"/>
    <n v="46.193758189999997"/>
    <n v="8.6392928250000001"/>
    <n v="6"/>
    <n v="25"/>
    <x v="1"/>
    <n v="2015"/>
    <x v="240"/>
    <x v="106"/>
    <n v="70"/>
    <x v="7"/>
    <x v="3"/>
    <x v="2"/>
    <n v="692686"/>
    <n v="116520"/>
    <n v="69261165"/>
    <n v="692116"/>
    <n v="690115"/>
    <n v="692500"/>
    <n v="117500"/>
    <n v="348"/>
    <x v="0"/>
    <n v="0"/>
    <n v="0"/>
    <n v="0"/>
    <n v="-77.5"/>
    <n v="-77.5"/>
    <n v="-100.3"/>
    <s v="NA"/>
    <m/>
    <x v="4"/>
    <s v="Europe centrale"/>
    <n v="8"/>
    <s v="ROSS-GI20"/>
    <s v="Abschuss"/>
  </r>
  <r>
    <x v="680"/>
    <s v="ScoRus"/>
    <n v="0"/>
    <x v="1"/>
    <x v="1"/>
    <x v="0"/>
    <x v="0"/>
    <x v="663"/>
    <n v="-59.125289610000003"/>
    <x v="657"/>
    <x v="8"/>
    <s v="Sud de la Fennoscandinavie, Pays baltes et ouest de la Russie"/>
    <x v="0"/>
    <x v="0"/>
    <s v="Fontaine"/>
    <s v="La Gauteraine"/>
    <n v="47.092297709999997"/>
    <n v="6.8935909720000001"/>
    <n v="5"/>
    <n v="30"/>
    <x v="0"/>
    <n v="2013"/>
    <x v="241"/>
    <x v="23"/>
    <n v="45"/>
    <x v="1"/>
    <x v="1"/>
    <x v="1"/>
    <n v="558617"/>
    <n v="215843"/>
    <n v="55862158"/>
    <n v="558215"/>
    <n v="555215"/>
    <n v="557500"/>
    <n v="217500"/>
    <n v="325"/>
    <x v="0"/>
    <n v="0"/>
    <n v="0"/>
    <n v="0"/>
    <n v="-77.489999999999995"/>
    <n v="-77.489999999999995"/>
    <n v="-100.3"/>
    <s v="NA"/>
    <m/>
    <x v="4"/>
    <s v="Europe centrale"/>
    <n v="8"/>
    <s v="PENA_JA1"/>
    <s v="Abschuss"/>
  </r>
  <r>
    <x v="681"/>
    <s v="ScoRus"/>
    <n v="0"/>
    <x v="1"/>
    <x v="1"/>
    <x v="0"/>
    <x v="0"/>
    <x v="663"/>
    <n v="-24.66"/>
    <x v="658"/>
    <x v="8"/>
    <s v="Sud de la Fennoscandinavie, Pays baltes et ouest de la Russie"/>
    <x v="1"/>
    <x v="1"/>
    <s v="Monteceneri"/>
    <s v="Monti di Sigirino"/>
    <n v="46.078493690000002"/>
    <n v="8.9000233439999992"/>
    <n v="4"/>
    <n v="12"/>
    <x v="1"/>
    <n v="2015"/>
    <x v="195"/>
    <x v="26"/>
    <n v="57"/>
    <x v="6"/>
    <x v="2"/>
    <x v="2"/>
    <n v="713050"/>
    <n v="104050"/>
    <n v="71301040"/>
    <n v="713104"/>
    <n v="710100"/>
    <n v="712500"/>
    <n v="102500"/>
    <n v="310"/>
    <x v="0"/>
    <n v="0"/>
    <n v="0"/>
    <n v="0"/>
    <n v="-77.489999999999995"/>
    <n v="-77.489999999999995"/>
    <n v="-100.3"/>
    <s v="NA"/>
    <m/>
    <x v="4"/>
    <s v="Europe centrale"/>
    <n v="8"/>
    <s v="RICHAD-9"/>
    <s v="Abschuss"/>
  </r>
  <r>
    <x v="682"/>
    <s v="ScoRus"/>
    <n v="0"/>
    <x v="1"/>
    <x v="1"/>
    <x v="0"/>
    <x v="0"/>
    <x v="664"/>
    <s v="NA"/>
    <x v="659"/>
    <x v="8"/>
    <s v="Sud de la Fennoscandinavie, Pays baltes et ouest de la Russie"/>
    <x v="1"/>
    <x v="1"/>
    <s v="Sonvico"/>
    <s v="Mugnai"/>
    <n v="46.075963479999999"/>
    <n v="9.0208311729999995"/>
    <n v="5"/>
    <n v="19"/>
    <x v="1"/>
    <n v="2017"/>
    <x v="242"/>
    <x v="37"/>
    <n v="64"/>
    <x v="5"/>
    <x v="3"/>
    <x v="2"/>
    <n v="722400"/>
    <n v="103950"/>
    <n v="72241039"/>
    <n v="722103"/>
    <n v="720100"/>
    <n v="722500"/>
    <n v="102500"/>
    <n v="245"/>
    <x v="0"/>
    <n v="0"/>
    <n v="0"/>
    <n v="0"/>
    <n v="-77.478223999999997"/>
    <n v="-77.478223999999997"/>
    <s v="NA"/>
    <s v="NA"/>
    <m/>
    <x v="4"/>
    <s v="Europe centrale"/>
    <n v="8"/>
    <s v="BIGNCA-1"/>
    <s v="Abschuss, Plume gauche diparue suite au coup de fusil"/>
  </r>
  <r>
    <x v="683"/>
    <s v="ScoRus"/>
    <n v="0"/>
    <x v="1"/>
    <x v="1"/>
    <x v="0"/>
    <x v="0"/>
    <x v="665"/>
    <n v="-25.358799999999999"/>
    <x v="660"/>
    <x v="8"/>
    <s v="Sud de la Fennoscandinavie, Pays baltes et ouest de la Russie"/>
    <x v="1"/>
    <x v="1"/>
    <s v="Gamborogno"/>
    <s v="Alpe Lierna"/>
    <n v="46.118460740000003"/>
    <n v="8.8344646709999992"/>
    <n v="4"/>
    <n v="10"/>
    <x v="1"/>
    <n v="2015"/>
    <x v="200"/>
    <x v="19"/>
    <n v="55"/>
    <x v="2"/>
    <x v="2"/>
    <x v="1"/>
    <n v="707900"/>
    <n v="108400"/>
    <n v="70791084"/>
    <n v="707108"/>
    <n v="705105"/>
    <n v="707500"/>
    <n v="107500"/>
    <n v="337"/>
    <x v="0"/>
    <n v="0"/>
    <n v="0"/>
    <n v="0"/>
    <n v="-77.44"/>
    <n v="-77.44"/>
    <n v="-100.2"/>
    <s v="NA"/>
    <m/>
    <x v="4"/>
    <s v="Europe centrale"/>
    <n v="8"/>
    <s v="GNOSDA-8"/>
    <s v="Abschuss"/>
  </r>
  <r>
    <x v="684"/>
    <s v="ScoRus"/>
    <n v="0"/>
    <x v="1"/>
    <x v="1"/>
    <x v="0"/>
    <x v="0"/>
    <x v="666"/>
    <n v="-23.45"/>
    <x v="661"/>
    <x v="8"/>
    <s v="Sud de la Fennoscandinavie, Pays baltes et ouest de la Russie"/>
    <x v="2"/>
    <x v="2"/>
    <s v="Gibloux"/>
    <s v="NA"/>
    <n v="46.732813909999997"/>
    <n v="7.047599977"/>
    <n v="5"/>
    <n v="2"/>
    <x v="1"/>
    <n v="2016"/>
    <x v="4"/>
    <x v="4"/>
    <n v="47"/>
    <x v="3"/>
    <x v="1"/>
    <x v="1"/>
    <n v="570111"/>
    <n v="175810"/>
    <n v="57011758"/>
    <n v="570175"/>
    <n v="570175"/>
    <n v="572500"/>
    <n v="177500"/>
    <n v="288"/>
    <x v="0"/>
    <n v="0"/>
    <n v="0"/>
    <n v="0"/>
    <n v="-77.435141200000004"/>
    <n v="-77.435141200000004"/>
    <s v="NA"/>
    <s v="NA"/>
    <m/>
    <x v="4"/>
    <s v="Europe centrale"/>
    <n v="8"/>
    <s v="SAVARBR-3"/>
    <s v="Abschuss"/>
  </r>
  <r>
    <x v="685"/>
    <s v="ScoRus"/>
    <n v="0"/>
    <x v="1"/>
    <x v="1"/>
    <x v="0"/>
    <x v="0"/>
    <x v="667"/>
    <n v="-24.14725"/>
    <x v="662"/>
    <x v="8"/>
    <s v="Sud de la Fennoscandinavie, Pays baltes et ouest de la Russie"/>
    <x v="1"/>
    <x v="1"/>
    <s v="Centovalli"/>
    <s v="Costa"/>
    <n v="46.171195619999999"/>
    <n v="8.6074709580000004"/>
    <n v="6"/>
    <n v="16"/>
    <x v="0"/>
    <n v="2015"/>
    <x v="181"/>
    <x v="33"/>
    <n v="31"/>
    <x v="8"/>
    <x v="4"/>
    <x v="0"/>
    <n v="690267"/>
    <n v="113975"/>
    <n v="69021139"/>
    <n v="690113"/>
    <n v="690110"/>
    <n v="692500"/>
    <n v="112500"/>
    <n v="303"/>
    <x v="0"/>
    <n v="0"/>
    <n v="0"/>
    <n v="0"/>
    <n v="-77.42"/>
    <n v="-77.42"/>
    <n v="-100.2"/>
    <s v="NA"/>
    <m/>
    <x v="4"/>
    <s v="Europe centrale"/>
    <n v="8"/>
    <s v="FISCIV-1"/>
    <s v="Abschuss"/>
  </r>
  <r>
    <x v="686"/>
    <s v="ScoRus"/>
    <n v="0"/>
    <x v="1"/>
    <x v="1"/>
    <x v="0"/>
    <x v="0"/>
    <x v="668"/>
    <n v="-23.74"/>
    <x v="663"/>
    <x v="8"/>
    <s v="Sud de la Fennoscandinavie, Pays baltes et ouest de la Russie"/>
    <x v="1"/>
    <x v="1"/>
    <s v="Arosio"/>
    <s v="Piavée"/>
    <n v="46.055380300000003"/>
    <n v="8.8951664160000004"/>
    <n v="5"/>
    <n v="5"/>
    <x v="1"/>
    <n v="2016"/>
    <x v="144"/>
    <x v="22"/>
    <n v="50"/>
    <x v="3"/>
    <x v="1"/>
    <x v="1"/>
    <n v="712722"/>
    <n v="101474"/>
    <n v="71271014"/>
    <n v="712101"/>
    <n v="710100"/>
    <n v="712500"/>
    <n v="102500"/>
    <n v="307"/>
    <x v="0"/>
    <n v="0"/>
    <n v="0"/>
    <n v="0"/>
    <n v="-77.273348499999997"/>
    <n v="-77.273348499999997"/>
    <s v="NA"/>
    <s v="NA"/>
    <m/>
    <x v="4"/>
    <s v="Europe centrale"/>
    <n v="8"/>
    <s v="DEVISE-7"/>
    <s v="Abschuss"/>
  </r>
  <r>
    <x v="687"/>
    <s v="ScoRus"/>
    <n v="0"/>
    <x v="1"/>
    <x v="1"/>
    <x v="0"/>
    <x v="0"/>
    <x v="669"/>
    <n v="-23.398399999999999"/>
    <x v="664"/>
    <x v="8"/>
    <s v="Sud de la Fennoscandinavie, Pays baltes et ouest de la Russie"/>
    <x v="1"/>
    <x v="1"/>
    <s v="Arosio"/>
    <s v="Piové"/>
    <n v="46.054510260000001"/>
    <n v="8.8935666659999999"/>
    <n v="5"/>
    <n v="17"/>
    <x v="0"/>
    <n v="2015"/>
    <x v="47"/>
    <x v="34"/>
    <n v="32"/>
    <x v="8"/>
    <x v="4"/>
    <x v="0"/>
    <n v="712600"/>
    <n v="101375"/>
    <n v="71261013"/>
    <n v="712101"/>
    <n v="710100"/>
    <n v="712500"/>
    <n v="102500"/>
    <n v="288"/>
    <x v="0"/>
    <n v="0"/>
    <n v="0"/>
    <n v="0"/>
    <n v="-77.23"/>
    <n v="-77.23"/>
    <n v="-100"/>
    <s v="NA"/>
    <m/>
    <x v="4"/>
    <s v="Europe centrale"/>
    <n v="8"/>
    <s v="Devise-2"/>
    <s v="Abschuss"/>
  </r>
  <r>
    <x v="688"/>
    <s v="ScoRus"/>
    <n v="0"/>
    <x v="1"/>
    <x v="1"/>
    <x v="0"/>
    <x v="0"/>
    <x v="670"/>
    <n v="-23.753"/>
    <x v="665"/>
    <x v="8"/>
    <s v="Sud de la Fennoscandinavie, Pays baltes et ouest de la Russie"/>
    <x v="0"/>
    <x v="3"/>
    <s v="Provence"/>
    <s v="Les Rochats"/>
    <n v="46.896514230000001"/>
    <n v="6.6601571750000002"/>
    <n v="6"/>
    <n v="10"/>
    <x v="1"/>
    <n v="2015"/>
    <x v="200"/>
    <x v="19"/>
    <n v="55"/>
    <x v="2"/>
    <x v="2"/>
    <x v="1"/>
    <n v="540678"/>
    <n v="194228"/>
    <n v="54061942"/>
    <n v="540194"/>
    <n v="540190"/>
    <n v="542500"/>
    <n v="192500"/>
    <n v="362"/>
    <x v="0"/>
    <n v="0"/>
    <n v="0"/>
    <n v="0"/>
    <n v="-77.11"/>
    <n v="-77.11"/>
    <n v="-99.9"/>
    <s v="NA"/>
    <m/>
    <x v="4"/>
    <s v="Europe centrale"/>
    <n v="8"/>
    <s v="Garije-3"/>
    <s v="Abschuss"/>
  </r>
  <r>
    <x v="689"/>
    <s v="ScoRus"/>
    <n v="0"/>
    <x v="1"/>
    <x v="1"/>
    <x v="0"/>
    <x v="0"/>
    <x v="671"/>
    <n v="-22.803799999999999"/>
    <x v="666"/>
    <x v="8"/>
    <s v="Sud de la Fennoscandinavie, Pays baltes et ouest de la Russie"/>
    <x v="1"/>
    <x v="1"/>
    <s v="Bruzzella"/>
    <s v="Poccolo"/>
    <n v="45.88460156"/>
    <n v="9.0749548690000008"/>
    <n v="5"/>
    <n v="8"/>
    <x v="1"/>
    <n v="2015"/>
    <x v="192"/>
    <x v="2"/>
    <n v="53"/>
    <x v="2"/>
    <x v="2"/>
    <x v="1"/>
    <n v="727030"/>
    <n v="82767"/>
    <n v="72700827"/>
    <n v="727082"/>
    <n v="725080"/>
    <n v="727500"/>
    <n v="82500"/>
    <n v="315"/>
    <x v="0"/>
    <n v="0"/>
    <n v="0"/>
    <n v="0"/>
    <n v="-77.05"/>
    <n v="-77.05"/>
    <n v="-99.8"/>
    <s v="NA"/>
    <m/>
    <x v="4"/>
    <s v="Europe centrale"/>
    <n v="8"/>
    <s v="REZZONICORO-12"/>
    <s v="Abschuss"/>
  </r>
  <r>
    <x v="690"/>
    <s v="ScoRus"/>
    <n v="0"/>
    <x v="1"/>
    <x v="1"/>
    <x v="0"/>
    <x v="0"/>
    <x v="672"/>
    <n v="-23.91"/>
    <x v="667"/>
    <x v="8"/>
    <s v="Sud de la Fennoscandinavie, Pays baltes et ouest de la Russie"/>
    <x v="1"/>
    <x v="1"/>
    <s v="Alto Malcantone"/>
    <s v="NA"/>
    <n v="46.04888081"/>
    <n v="8.8758309749999995"/>
    <n v="5"/>
    <n v="30"/>
    <x v="0"/>
    <n v="2016"/>
    <x v="197"/>
    <x v="23"/>
    <n v="45"/>
    <x v="1"/>
    <x v="1"/>
    <x v="1"/>
    <n v="711239"/>
    <n v="100724"/>
    <n v="71121007"/>
    <n v="711100"/>
    <n v="710100"/>
    <n v="712500"/>
    <n v="102500"/>
    <n v="240"/>
    <x v="0"/>
    <n v="0"/>
    <n v="0"/>
    <n v="0"/>
    <n v="-77.045200899999998"/>
    <n v="-77.045200899999998"/>
    <s v="NA"/>
    <s v="NA"/>
    <m/>
    <x v="4"/>
    <s v="Europe centrale"/>
    <n v="8"/>
    <s v="GIAMGI-11"/>
    <s v="Abschuss"/>
  </r>
  <r>
    <x v="691"/>
    <s v="ScoRus"/>
    <n v="0"/>
    <x v="1"/>
    <x v="1"/>
    <x v="0"/>
    <x v="0"/>
    <x v="673"/>
    <n v="-23.6218"/>
    <x v="668"/>
    <x v="8"/>
    <s v="Sud de la Fennoscandinavie, Pays baltes et ouest de la Russie"/>
    <x v="1"/>
    <x v="1"/>
    <s v="Osco"/>
    <s v="Monda"/>
    <n v="46.498722970000003"/>
    <n v="8.7879654499999997"/>
    <n v="5"/>
    <n v="5"/>
    <x v="1"/>
    <n v="2015"/>
    <x v="233"/>
    <x v="22"/>
    <n v="50"/>
    <x v="3"/>
    <x v="1"/>
    <x v="1"/>
    <n v="703579"/>
    <n v="150603"/>
    <n v="70351506"/>
    <n v="703150"/>
    <n v="700150"/>
    <n v="702500"/>
    <n v="152500"/>
    <n v="280"/>
    <x v="0"/>
    <n v="0"/>
    <n v="0"/>
    <n v="0"/>
    <n v="-77.040000000000006"/>
    <n v="-77.040000000000006"/>
    <n v="-99.8"/>
    <s v="NA"/>
    <m/>
    <x v="4"/>
    <s v="Europe centrale"/>
    <n v="8"/>
    <s v="REZZONICORO-11"/>
    <s v="Abschuss"/>
  </r>
  <r>
    <x v="692"/>
    <s v="ScoRus"/>
    <n v="0"/>
    <x v="1"/>
    <x v="1"/>
    <x v="0"/>
    <x v="0"/>
    <x v="674"/>
    <n v="-23.98"/>
    <x v="556"/>
    <x v="8"/>
    <s v="Sud de la Fennoscandinavie, Pays baltes et ouest de la Russie"/>
    <x v="1"/>
    <x v="1"/>
    <s v="Gambarogno"/>
    <s v="Neggia"/>
    <n v="46.111979959999999"/>
    <n v="8.8491753929999994"/>
    <n v="4"/>
    <n v="6"/>
    <x v="1"/>
    <n v="2016"/>
    <x v="194"/>
    <x v="13"/>
    <n v="51"/>
    <x v="3"/>
    <x v="1"/>
    <x v="1"/>
    <n v="709050"/>
    <n v="107700"/>
    <n v="70901077"/>
    <n v="709107"/>
    <n v="705105"/>
    <n v="707500"/>
    <n v="107500"/>
    <n v="342"/>
    <x v="0"/>
    <n v="0"/>
    <n v="0"/>
    <n v="0"/>
    <n v="-77.029394499999995"/>
    <n v="-77.029394499999995"/>
    <s v="NA"/>
    <s v="NA"/>
    <m/>
    <x v="4"/>
    <s v="Europe centrale"/>
    <n v="8"/>
    <s v="GNASDA-11"/>
    <s v="Abschuss"/>
  </r>
  <r>
    <x v="693"/>
    <s v="ScoRus"/>
    <n v="0"/>
    <x v="1"/>
    <x v="1"/>
    <x v="0"/>
    <x v="0"/>
    <x v="675"/>
    <n v="-24.4742"/>
    <x v="669"/>
    <x v="8"/>
    <s v="Sud de la Fennoscandinavie, Pays baltes et ouest de la Russie"/>
    <x v="3"/>
    <x v="2"/>
    <s v="Vaulruz"/>
    <s v="Cergny"/>
    <n v="46.594819719999997"/>
    <n v="6.9753753170000001"/>
    <n v="3"/>
    <n v="7"/>
    <x v="1"/>
    <n v="2015"/>
    <x v="177"/>
    <x v="12"/>
    <n v="52"/>
    <x v="2"/>
    <x v="2"/>
    <x v="1"/>
    <n v="564500"/>
    <n v="160500"/>
    <n v="56451605"/>
    <n v="564160"/>
    <n v="560160"/>
    <n v="562500"/>
    <n v="162500"/>
    <n v="320"/>
    <x v="0"/>
    <n v="0"/>
    <n v="0"/>
    <n v="0"/>
    <n v="-76.930000000000007"/>
    <n v="-76.930000000000007"/>
    <n v="-99.7"/>
    <s v="NA"/>
    <m/>
    <x v="4"/>
    <s v="Europe centrale"/>
    <n v="8"/>
    <s v="DENEPA7"/>
    <s v="Abschuss"/>
  </r>
  <r>
    <x v="694"/>
    <s v="ScoRus"/>
    <n v="0"/>
    <x v="1"/>
    <x v="1"/>
    <x v="0"/>
    <x v="0"/>
    <x v="676"/>
    <s v="NA"/>
    <x v="670"/>
    <x v="8"/>
    <s v="Sud de la Fennoscandinavie, Pays baltes et ouest de la Russie"/>
    <x v="0"/>
    <x v="0"/>
    <s v="Val de Ruz"/>
    <s v="Pré à l Ours"/>
    <n v="47.086353629999998"/>
    <n v="6.8882914030000002"/>
    <n v="6"/>
    <n v="19"/>
    <x v="0"/>
    <n v="2017"/>
    <x v="148"/>
    <x v="9"/>
    <n v="34"/>
    <x v="4"/>
    <x v="0"/>
    <x v="0"/>
    <n v="558210"/>
    <n v="215185"/>
    <n v="55822151"/>
    <n v="558215"/>
    <n v="555215"/>
    <n v="557500"/>
    <n v="217500"/>
    <n v="299"/>
    <x v="0"/>
    <n v="0"/>
    <n v="0"/>
    <n v="0"/>
    <n v="-76.910848099999995"/>
    <n v="-76.910848099999995"/>
    <s v="NA"/>
    <s v="NA"/>
    <m/>
    <x v="4"/>
    <s v="Europe centrale"/>
    <n v="8"/>
    <s v="MEISHE-1"/>
    <s v="Abschuss"/>
  </r>
  <r>
    <x v="695"/>
    <s v="ScoRus"/>
    <n v="0"/>
    <x v="1"/>
    <x v="1"/>
    <x v="0"/>
    <x v="0"/>
    <x v="677"/>
    <n v="-23.45618859"/>
    <x v="671"/>
    <x v="8"/>
    <s v="Sud de la Fennoscandinavie, Pays baltes et ouest de la Russie"/>
    <x v="1"/>
    <x v="1"/>
    <s v="Cadenazzo"/>
    <s v="Prato Grasso"/>
    <n v="46.13713242"/>
    <n v="8.9360206430000009"/>
    <n v="5"/>
    <n v="21"/>
    <x v="0"/>
    <n v="2015"/>
    <x v="166"/>
    <x v="11"/>
    <n v="36"/>
    <x v="4"/>
    <x v="0"/>
    <x v="0"/>
    <n v="715710"/>
    <n v="110620"/>
    <n v="71571106"/>
    <n v="715110"/>
    <n v="715110"/>
    <n v="717500"/>
    <n v="112500"/>
    <n v="320"/>
    <x v="0"/>
    <n v="0"/>
    <n v="0"/>
    <n v="0"/>
    <n v="-76.87"/>
    <n v="-76.87"/>
    <n v="-99.7"/>
    <s v="NA"/>
    <m/>
    <x v="4"/>
    <s v="Europe centrale"/>
    <n v="8"/>
    <s v="PURASA-2"/>
    <s v="Abschuss"/>
  </r>
  <r>
    <x v="696"/>
    <s v="ScoRus"/>
    <n v="0"/>
    <x v="1"/>
    <x v="1"/>
    <x v="0"/>
    <x v="0"/>
    <x v="678"/>
    <s v="NA"/>
    <x v="672"/>
    <x v="8"/>
    <s v="Sud de la Fennoscandinavie, Pays baltes et ouest de la Russie"/>
    <x v="1"/>
    <x v="1"/>
    <s v="Cadenazzo"/>
    <s v="Rubasacco"/>
    <n v="46.130163000000003"/>
    <n v="8.9639882790000005"/>
    <n v="5"/>
    <n v="2"/>
    <x v="1"/>
    <n v="2017"/>
    <x v="26"/>
    <x v="4"/>
    <n v="47"/>
    <x v="3"/>
    <x v="1"/>
    <x v="1"/>
    <n v="717886"/>
    <n v="109887"/>
    <n v="71781098"/>
    <n v="717109"/>
    <n v="715105"/>
    <n v="717500"/>
    <n v="107500"/>
    <n v="340"/>
    <x v="0"/>
    <n v="0"/>
    <n v="0"/>
    <n v="0"/>
    <n v="-76.792513600000007"/>
    <n v="-76.792513600000007"/>
    <s v="NA"/>
    <s v="NA"/>
    <m/>
    <x v="4"/>
    <s v="Europe centrale"/>
    <n v="8"/>
    <s v="PURASA-11"/>
    <s v="Abschuss"/>
  </r>
  <r>
    <x v="697"/>
    <s v="ScoRus"/>
    <n v="0"/>
    <x v="1"/>
    <x v="1"/>
    <x v="0"/>
    <x v="0"/>
    <x v="679"/>
    <s v="NA"/>
    <x v="673"/>
    <x v="8"/>
    <s v="Sud de la Fennoscandinavie, Pays baltes et ouest de la Russie"/>
    <x v="2"/>
    <x v="2"/>
    <s v="Marsens"/>
    <s v="Chalet-neuf"/>
    <n v="46.657988150000001"/>
    <n v="7.0270937949999999"/>
    <n v="3"/>
    <n v="21"/>
    <x v="0"/>
    <n v="2017"/>
    <x v="64"/>
    <x v="11"/>
    <n v="36"/>
    <x v="4"/>
    <x v="0"/>
    <x v="0"/>
    <n v="568500"/>
    <n v="167500"/>
    <n v="56851675"/>
    <n v="568167"/>
    <n v="565165"/>
    <n v="567500"/>
    <n v="167500"/>
    <n v="324"/>
    <x v="0"/>
    <n v="0"/>
    <n v="0"/>
    <n v="0"/>
    <n v="-76.764045600000003"/>
    <n v="-76.764045600000003"/>
    <s v="NA"/>
    <s v="NA"/>
    <m/>
    <x v="4"/>
    <s v="Europe centrale"/>
    <n v="8"/>
    <s v="DENEPA-2"/>
    <s v="Abschuss"/>
  </r>
  <r>
    <x v="698"/>
    <s v="ScoRus"/>
    <n v="0"/>
    <x v="1"/>
    <x v="1"/>
    <x v="0"/>
    <x v="0"/>
    <x v="680"/>
    <n v="-23.614799999999999"/>
    <x v="674"/>
    <x v="8"/>
    <s v="Sud de la Fennoscandinavie, Pays baltes et ouest de la Russie"/>
    <x v="0"/>
    <x v="3"/>
    <s v="Longirod"/>
    <s v="Les Echadex"/>
    <n v="46.516327140000001"/>
    <n v="6.2163138780000002"/>
    <n v="4"/>
    <n v="10"/>
    <x v="0"/>
    <n v="2014"/>
    <x v="243"/>
    <x v="96"/>
    <n v="25"/>
    <x v="37"/>
    <x v="4"/>
    <x v="4"/>
    <n v="506200"/>
    <n v="152400"/>
    <n v="50621524"/>
    <n v="506152"/>
    <n v="505150"/>
    <n v="507500"/>
    <n v="152500"/>
    <n v="385"/>
    <x v="0"/>
    <n v="0"/>
    <n v="0"/>
    <n v="0"/>
    <n v="-76.75"/>
    <n v="-76.75"/>
    <n v="-99.5"/>
    <s v="NA"/>
    <m/>
    <x v="4"/>
    <s v="Europe centrale"/>
    <n v="8"/>
    <s v="No4ROSSAL"/>
    <s v="Abschuss"/>
  </r>
  <r>
    <x v="699"/>
    <s v="ScoRus"/>
    <n v="0"/>
    <x v="1"/>
    <x v="1"/>
    <x v="0"/>
    <x v="0"/>
    <x v="681"/>
    <n v="-23.49"/>
    <x v="675"/>
    <x v="8"/>
    <s v="Sud de la Fennoscandinavie, Pays baltes et ouest de la Russie"/>
    <x v="1"/>
    <x v="1"/>
    <s v="Onsernone"/>
    <s v="Bola"/>
    <n v="46.210431149999998"/>
    <n v="8.6913148180000004"/>
    <n v="6"/>
    <n v="8"/>
    <x v="1"/>
    <n v="2016"/>
    <x v="186"/>
    <x v="2"/>
    <n v="53"/>
    <x v="2"/>
    <x v="2"/>
    <x v="1"/>
    <n v="696672"/>
    <n v="118436"/>
    <n v="69661184"/>
    <n v="696118"/>
    <n v="695115"/>
    <n v="697500"/>
    <n v="117500"/>
    <n v="335"/>
    <x v="0"/>
    <n v="0"/>
    <n v="0"/>
    <n v="0"/>
    <n v="-76.695990699999996"/>
    <n v="-76.695990699999996"/>
    <s v="NA"/>
    <s v="NA"/>
    <m/>
    <x v="4"/>
    <s v="Europe centrale"/>
    <n v="8"/>
    <s v="CAVACO-6"/>
    <s v="Abschuss"/>
  </r>
  <r>
    <x v="700"/>
    <s v="ScoRus"/>
    <n v="0"/>
    <x v="1"/>
    <x v="1"/>
    <x v="0"/>
    <x v="0"/>
    <x v="682"/>
    <n v="-24.01"/>
    <x v="676"/>
    <x v="8"/>
    <s v="Sud de la Fennoscandinavie, Pays baltes et ouest de la Russie"/>
    <x v="1"/>
    <x v="1"/>
    <s v="Monteceneri"/>
    <s v="Robasano"/>
    <n v="46.13543464"/>
    <n v="8.9283383280000006"/>
    <n v="5"/>
    <n v="30"/>
    <x v="1"/>
    <n v="2016"/>
    <x v="211"/>
    <x v="38"/>
    <n v="75"/>
    <x v="9"/>
    <x v="5"/>
    <x v="3"/>
    <n v="715120"/>
    <n v="110420"/>
    <n v="71511104"/>
    <n v="715110"/>
    <n v="715110"/>
    <n v="717500"/>
    <n v="112500"/>
    <n v="280"/>
    <x v="0"/>
    <n v="0"/>
    <n v="0"/>
    <n v="0"/>
    <n v="-76.631038399999994"/>
    <n v="-76.631038399999994"/>
    <s v="NA"/>
    <s v="NA"/>
    <m/>
    <x v="4"/>
    <s v="Europe centrale"/>
    <n v="8"/>
    <s v="PURASA-24"/>
    <s v="Abschuss"/>
  </r>
  <r>
    <x v="701"/>
    <s v="ScoRus"/>
    <n v="0"/>
    <x v="1"/>
    <x v="1"/>
    <x v="0"/>
    <x v="0"/>
    <x v="683"/>
    <n v="-23.48"/>
    <x v="677"/>
    <x v="8"/>
    <s v="Sud de la Fennoscandinavie, Pays baltes et ouest de la Russie"/>
    <x v="1"/>
    <x v="1"/>
    <s v="Alto Malcantone"/>
    <s v="NA"/>
    <n v="46.055440760000003"/>
    <n v="8.8806686520000007"/>
    <n v="2"/>
    <n v="8"/>
    <x v="1"/>
    <n v="2016"/>
    <x v="186"/>
    <x v="2"/>
    <n v="53"/>
    <x v="2"/>
    <x v="2"/>
    <x v="1"/>
    <n v="711600"/>
    <n v="101460"/>
    <n v="71161014"/>
    <n v="711101"/>
    <n v="710100"/>
    <n v="712500"/>
    <n v="102500"/>
    <n v="330"/>
    <x v="0"/>
    <n v="0"/>
    <n v="0"/>
    <n v="0"/>
    <n v="-76.570941399999995"/>
    <n v="-76.570941399999995"/>
    <s v="NA"/>
    <s v="NA"/>
    <m/>
    <x v="4"/>
    <s v="Europe centrale"/>
    <n v="8"/>
    <s v="GIAMGI-15"/>
    <s v="Abschuss"/>
  </r>
  <r>
    <x v="702"/>
    <s v="ScoRus"/>
    <n v="0"/>
    <x v="1"/>
    <x v="1"/>
    <x v="0"/>
    <x v="0"/>
    <x v="684"/>
    <n v="-23.82"/>
    <x v="678"/>
    <x v="8"/>
    <s v="Sud de la Fennoscandinavie, Pays baltes et ouest de la Russie"/>
    <x v="1"/>
    <x v="1"/>
    <s v="Miglieglia"/>
    <s v="Arasio"/>
    <n v="46.050680630000002"/>
    <n v="8.8371781810000005"/>
    <n v="6"/>
    <n v="29"/>
    <x v="0"/>
    <n v="2016"/>
    <x v="180"/>
    <x v="1"/>
    <n v="44"/>
    <x v="1"/>
    <x v="1"/>
    <x v="1"/>
    <n v="708244"/>
    <n v="100870"/>
    <n v="70821008"/>
    <n v="708100"/>
    <n v="705100"/>
    <n v="707500"/>
    <n v="102500"/>
    <n v="326"/>
    <x v="0"/>
    <n v="0"/>
    <n v="0"/>
    <n v="0"/>
    <n v="-76.515735800000002"/>
    <n v="-76.515735800000002"/>
    <s v="NA"/>
    <s v="NA"/>
    <m/>
    <x v="4"/>
    <s v="Europe centrale"/>
    <n v="8"/>
    <s v="MORAMA-3"/>
    <s v="Abschuss"/>
  </r>
  <r>
    <x v="703"/>
    <s v="ScoRus"/>
    <n v="0"/>
    <x v="1"/>
    <x v="1"/>
    <x v="0"/>
    <x v="0"/>
    <x v="685"/>
    <n v="-39.497540720000003"/>
    <x v="679"/>
    <x v="8"/>
    <s v="Sud de la Fennoscandinavie, Pays baltes et ouest de la Russie"/>
    <x v="0"/>
    <x v="0"/>
    <s v="Les Bayards"/>
    <s v="Chincul"/>
    <n v="46.9300785"/>
    <n v="6.4918736959999999"/>
    <n v="4"/>
    <n v="31"/>
    <x v="0"/>
    <n v="2013"/>
    <x v="18"/>
    <x v="17"/>
    <n v="46"/>
    <x v="1"/>
    <x v="1"/>
    <x v="1"/>
    <n v="527900"/>
    <n v="198100"/>
    <n v="52791981"/>
    <n v="527198"/>
    <n v="525195"/>
    <n v="527500"/>
    <n v="197500"/>
    <n v="300"/>
    <x v="0"/>
    <n v="0"/>
    <n v="0"/>
    <n v="0"/>
    <n v="-76.5"/>
    <n v="-76.5"/>
    <n v="-99.3"/>
    <s v="NA"/>
    <m/>
    <x v="4"/>
    <s v="Europe centrale"/>
    <n v="8"/>
    <s v="ANKEFR1"/>
    <s v="Abschuss"/>
  </r>
  <r>
    <x v="704"/>
    <s v="ScoRus"/>
    <n v="0"/>
    <x v="1"/>
    <x v="1"/>
    <x v="0"/>
    <x v="0"/>
    <x v="686"/>
    <n v="-23.31"/>
    <x v="680"/>
    <x v="8"/>
    <s v="Sud de la Fennoscandinavie, Pays baltes et ouest de la Russie"/>
    <x v="1"/>
    <x v="1"/>
    <s v="Bruzella"/>
    <s v="Alpe Nuovo"/>
    <n v="45.895310549999998"/>
    <n v="9.081575677"/>
    <n v="5"/>
    <n v="2"/>
    <x v="1"/>
    <n v="2016"/>
    <x v="4"/>
    <x v="4"/>
    <n v="47"/>
    <x v="3"/>
    <x v="1"/>
    <x v="1"/>
    <n v="727519"/>
    <n v="83968"/>
    <n v="72750839"/>
    <n v="727083"/>
    <n v="725080"/>
    <n v="727500"/>
    <n v="82500"/>
    <n v="325"/>
    <x v="0"/>
    <n v="0"/>
    <n v="0"/>
    <n v="0"/>
    <n v="-76.494050999999999"/>
    <n v="-76.494050999999999"/>
    <s v="NA"/>
    <s v="NA"/>
    <m/>
    <x v="4"/>
    <s v="Europe centrale"/>
    <n v="8"/>
    <s v="REZZRO-5"/>
    <s v="Abschuss"/>
  </r>
  <r>
    <x v="705"/>
    <s v="ScoRus"/>
    <n v="0"/>
    <x v="1"/>
    <x v="1"/>
    <x v="0"/>
    <x v="0"/>
    <x v="687"/>
    <n v="-22.76"/>
    <x v="681"/>
    <x v="8"/>
    <s v="Sud de la Fennoscandinavie, Pays baltes et ouest de la Russie"/>
    <x v="2"/>
    <x v="2"/>
    <s v="Chatonnaye"/>
    <s v="NA"/>
    <n v="46.734150210000003"/>
    <n v="6.9382779509999999"/>
    <n v="5"/>
    <n v="10"/>
    <x v="1"/>
    <n v="2016"/>
    <x v="169"/>
    <x v="19"/>
    <n v="55"/>
    <x v="2"/>
    <x v="2"/>
    <x v="1"/>
    <n v="561756"/>
    <n v="176006"/>
    <n v="56171760"/>
    <n v="561176"/>
    <n v="560175"/>
    <n v="562500"/>
    <n v="177500"/>
    <n v="318"/>
    <x v="0"/>
    <n v="0"/>
    <n v="0"/>
    <n v="0"/>
    <n v="-76.459023200000004"/>
    <n v="-76.459023200000004"/>
    <s v="NA"/>
    <s v="NA"/>
    <m/>
    <x v="4"/>
    <s v="Europe centrale"/>
    <n v="8"/>
    <s v="YERLMI-1"/>
    <s v="Abschuss"/>
  </r>
  <r>
    <x v="706"/>
    <s v="ScoRus"/>
    <n v="0"/>
    <x v="1"/>
    <x v="1"/>
    <x v="0"/>
    <x v="0"/>
    <x v="688"/>
    <n v="-24.17"/>
    <x v="682"/>
    <x v="8"/>
    <s v="Sud de la Fennoscandinavie, Pays baltes et ouest de la Russie"/>
    <x v="1"/>
    <x v="1"/>
    <s v="Monteceneri"/>
    <s v="Piano di Mora"/>
    <n v="46.121189579999999"/>
    <n v="8.9031075770000001"/>
    <n v="4"/>
    <n v="17"/>
    <x v="1"/>
    <n v="2016"/>
    <x v="176"/>
    <x v="10"/>
    <n v="62"/>
    <x v="5"/>
    <x v="3"/>
    <x v="2"/>
    <n v="713200"/>
    <n v="108800"/>
    <n v="71321088"/>
    <n v="713108"/>
    <n v="710105"/>
    <n v="712500"/>
    <n v="107500"/>
    <n v="300"/>
    <x v="0"/>
    <n v="0"/>
    <n v="0"/>
    <n v="0"/>
    <n v="-76.355267999999995"/>
    <n v="-76.355267999999995"/>
    <s v="NA"/>
    <s v="NA"/>
    <m/>
    <x v="4"/>
    <s v="Europe centrale"/>
    <n v="8"/>
    <s v="BELLEN-3"/>
    <s v="Abschuss"/>
  </r>
  <r>
    <x v="707"/>
    <s v="ScoRus"/>
    <n v="0"/>
    <x v="1"/>
    <x v="1"/>
    <x v="0"/>
    <x v="0"/>
    <x v="689"/>
    <n v="-24.2834"/>
    <x v="683"/>
    <x v="9"/>
    <s v="Sud de la Fennoscandinavie, Pays baltes et ouest de la Russie"/>
    <x v="1"/>
    <x v="1"/>
    <s v="Osco"/>
    <s v="Seira"/>
    <n v="46.495552940000003"/>
    <n v="8.7844342060000002"/>
    <n v="5"/>
    <n v="29"/>
    <x v="0"/>
    <n v="2015"/>
    <x v="182"/>
    <x v="1"/>
    <n v="44"/>
    <x v="1"/>
    <x v="1"/>
    <x v="1"/>
    <n v="703314"/>
    <n v="150246"/>
    <n v="70331502"/>
    <n v="703150"/>
    <n v="700150"/>
    <n v="702500"/>
    <n v="152500"/>
    <n v="290"/>
    <x v="0"/>
    <n v="0"/>
    <n v="0"/>
    <n v="0"/>
    <n v="-76.19"/>
    <n v="-76.19"/>
    <n v="-99"/>
    <s v="NA"/>
    <m/>
    <x v="4"/>
    <s v="Europe centrale"/>
    <n v="8"/>
    <s v="BIANCHIRO-3"/>
    <s v="Abschuss"/>
  </r>
  <r>
    <x v="708"/>
    <s v="ScoRus"/>
    <n v="0"/>
    <x v="1"/>
    <x v="1"/>
    <x v="0"/>
    <x v="0"/>
    <x v="690"/>
    <n v="-24.116199999999999"/>
    <x v="684"/>
    <x v="9"/>
    <s v="Sud de la Fennoscandinavie, Pays baltes et ouest de la Russie"/>
    <x v="1"/>
    <x v="1"/>
    <s v="Alto Malcantone"/>
    <s v="Fescoggia-Vezio"/>
    <n v="46.049433579999999"/>
    <n v="8.8769309070000002"/>
    <n v="5"/>
    <n v="8"/>
    <x v="1"/>
    <n v="2015"/>
    <x v="192"/>
    <x v="2"/>
    <n v="53"/>
    <x v="2"/>
    <x v="2"/>
    <x v="1"/>
    <n v="711323"/>
    <n v="100787"/>
    <n v="71131007"/>
    <n v="711100"/>
    <n v="710100"/>
    <n v="712500"/>
    <n v="102500"/>
    <n v="298"/>
    <x v="0"/>
    <n v="0"/>
    <n v="0"/>
    <n v="0"/>
    <n v="-76.150000000000006"/>
    <n v="-76.150000000000006"/>
    <n v="-98.9"/>
    <s v="NA"/>
    <m/>
    <x v="4"/>
    <s v="Europe centrale"/>
    <n v="8"/>
    <s v="GIAMGI8"/>
    <s v="Abschuss"/>
  </r>
  <r>
    <x v="709"/>
    <s v="ScoRus"/>
    <n v="0"/>
    <x v="1"/>
    <x v="1"/>
    <x v="0"/>
    <x v="0"/>
    <x v="691"/>
    <n v="-24.8"/>
    <x v="685"/>
    <x v="9"/>
    <s v="Sud de la Fennoscandinavie, Pays baltes et ouest de la Russie"/>
    <x v="1"/>
    <x v="1"/>
    <s v="Onsernone"/>
    <s v="Sassello"/>
    <n v="46.21789699"/>
    <n v="8.6643595569999992"/>
    <n v="6"/>
    <n v="23"/>
    <x v="0"/>
    <n v="2016"/>
    <x v="146"/>
    <x v="44"/>
    <n v="38"/>
    <x v="0"/>
    <x v="0"/>
    <x v="0"/>
    <n v="694579"/>
    <n v="119233"/>
    <n v="69451192"/>
    <n v="694119"/>
    <n v="690115"/>
    <n v="692500"/>
    <n v="117500"/>
    <n v="284"/>
    <x v="0"/>
    <n v="0"/>
    <n v="0"/>
    <n v="0"/>
    <n v="-76.118632899999994"/>
    <n v="-76.118632899999994"/>
    <s v="NA"/>
    <s v="NA"/>
    <m/>
    <x v="4"/>
    <s v="Europe centrale"/>
    <n v="8"/>
    <s v="CAVACO-4"/>
    <s v="Abschuss"/>
  </r>
  <r>
    <x v="710"/>
    <s v="ScoRus"/>
    <n v="0"/>
    <x v="1"/>
    <x v="1"/>
    <x v="0"/>
    <x v="0"/>
    <x v="692"/>
    <n v="-23.5"/>
    <x v="686"/>
    <x v="9"/>
    <s v="Sud de la Fennoscandinavie, Pays baltes et ouest de la Russie"/>
    <x v="1"/>
    <x v="1"/>
    <s v="Gambarogno"/>
    <s v="Lierna"/>
    <n v="46.116741730000001"/>
    <n v="8.8279521219999992"/>
    <n v="4"/>
    <n v="17"/>
    <x v="1"/>
    <n v="2016"/>
    <x v="176"/>
    <x v="10"/>
    <n v="62"/>
    <x v="5"/>
    <x v="3"/>
    <x v="2"/>
    <n v="707400"/>
    <n v="108200"/>
    <n v="70741082"/>
    <n v="707108"/>
    <n v="705105"/>
    <n v="707500"/>
    <n v="107500"/>
    <n v="353"/>
    <x v="0"/>
    <n v="0"/>
    <n v="0"/>
    <n v="0"/>
    <n v="-76.061289400000007"/>
    <n v="-76.061289400000007"/>
    <s v="NA"/>
    <s v="NA"/>
    <m/>
    <x v="4"/>
    <s v="Europe centrale"/>
    <n v="8"/>
    <s v="GNOSDA-15"/>
    <s v="Abschuss"/>
  </r>
  <r>
    <x v="711"/>
    <s v="ScoRus"/>
    <n v="0"/>
    <x v="1"/>
    <x v="1"/>
    <x v="0"/>
    <x v="0"/>
    <x v="693"/>
    <n v="-23.699249999999999"/>
    <x v="687"/>
    <x v="9"/>
    <s v="Sud de la Fennoscandinavie, Pays baltes et ouest de la Russie"/>
    <x v="1"/>
    <x v="1"/>
    <s v="Centovalli"/>
    <s v="NA"/>
    <n v="46.150580810000001"/>
    <n v="8.6965679149999993"/>
    <n v="6"/>
    <n v="18"/>
    <x v="1"/>
    <n v="2015"/>
    <x v="30"/>
    <x v="24"/>
    <n v="63"/>
    <x v="5"/>
    <x v="3"/>
    <x v="2"/>
    <n v="697184"/>
    <n v="111790"/>
    <n v="69711117"/>
    <n v="697111"/>
    <n v="695110"/>
    <n v="697500"/>
    <n v="112500"/>
    <n v="300"/>
    <x v="0"/>
    <n v="0"/>
    <n v="0"/>
    <n v="0"/>
    <n v="-76.010000000000005"/>
    <n v="-76.010000000000005"/>
    <n v="-98.8"/>
    <s v="NA"/>
    <m/>
    <x v="4"/>
    <s v="Europe centrale"/>
    <n v="8"/>
    <s v="FISCIV20"/>
    <s v="Abschuss"/>
  </r>
  <r>
    <x v="712"/>
    <s v="ScoRus"/>
    <n v="0"/>
    <x v="1"/>
    <x v="1"/>
    <x v="0"/>
    <x v="0"/>
    <x v="694"/>
    <n v="-24.48"/>
    <x v="688"/>
    <x v="9"/>
    <s v="Sud de la Fennoscandinavie, Pays baltes et ouest de la Russie"/>
    <x v="1"/>
    <x v="1"/>
    <s v="Centovalli"/>
    <s v="NA"/>
    <n v="46.157179720000002"/>
    <n v="8.6774559090000007"/>
    <n v="5"/>
    <n v="8"/>
    <x v="1"/>
    <n v="2016"/>
    <x v="186"/>
    <x v="2"/>
    <n v="53"/>
    <x v="2"/>
    <x v="2"/>
    <x v="1"/>
    <n v="695696"/>
    <n v="112500"/>
    <n v="69561125"/>
    <n v="695112"/>
    <n v="695110"/>
    <n v="697500"/>
    <n v="112500"/>
    <n v="320"/>
    <x v="0"/>
    <n v="0"/>
    <n v="0"/>
    <n v="0"/>
    <n v="-76.003245699999994"/>
    <n v="-76.003245699999994"/>
    <s v="NA"/>
    <s v="NA"/>
    <m/>
    <x v="4"/>
    <s v="Europe centrale"/>
    <n v="8"/>
    <s v="FISCIV-16"/>
    <s v="Abschuss"/>
  </r>
  <r>
    <x v="713"/>
    <s v="ScoRus"/>
    <n v="0"/>
    <x v="1"/>
    <x v="1"/>
    <x v="0"/>
    <x v="0"/>
    <x v="695"/>
    <n v="-22.747870970000001"/>
    <x v="689"/>
    <x v="9"/>
    <s v="Sud de la Fennoscandinavie, Pays baltes et ouest de la Russie"/>
    <x v="1"/>
    <x v="1"/>
    <s v="Cadenazzo"/>
    <s v="Prato Grasso"/>
    <n v="46.137917819999998"/>
    <n v="8.9378541519999999"/>
    <n v="5"/>
    <n v="21"/>
    <x v="0"/>
    <n v="2015"/>
    <x v="166"/>
    <x v="11"/>
    <n v="36"/>
    <x v="4"/>
    <x v="0"/>
    <x v="0"/>
    <n v="715850"/>
    <n v="110710"/>
    <n v="71581107"/>
    <n v="715110"/>
    <n v="715110"/>
    <n v="717500"/>
    <n v="112500"/>
    <n v="300"/>
    <x v="0"/>
    <n v="0"/>
    <n v="0"/>
    <n v="0"/>
    <n v="-75.989999999999995"/>
    <n v="-75.989999999999995"/>
    <n v="-98.8"/>
    <s v="NA"/>
    <m/>
    <x v="4"/>
    <s v="Europe centrale"/>
    <n v="8"/>
    <s v="PURASA-1"/>
    <s v="Abschuss"/>
  </r>
  <r>
    <x v="714"/>
    <s v="ScoRus"/>
    <n v="0"/>
    <x v="1"/>
    <x v="1"/>
    <x v="0"/>
    <x v="0"/>
    <x v="696"/>
    <n v="-24.632392679999999"/>
    <x v="690"/>
    <x v="9"/>
    <s v="Sud de la Fennoscandinavie, Pays baltes et ouest de la Russie"/>
    <x v="2"/>
    <x v="2"/>
    <s v="Mézières"/>
    <s v="NA"/>
    <n v="46.68627755"/>
    <n v="6.9470875210000003"/>
    <n v="6"/>
    <n v="28"/>
    <x v="0"/>
    <n v="2015"/>
    <x v="164"/>
    <x v="16"/>
    <n v="43"/>
    <x v="1"/>
    <x v="1"/>
    <x v="1"/>
    <n v="562396"/>
    <n v="170680"/>
    <n v="56231706"/>
    <n v="562170"/>
    <n v="560170"/>
    <n v="562500"/>
    <n v="172500"/>
    <n v="298"/>
    <x v="0"/>
    <n v="0"/>
    <n v="0"/>
    <n v="0"/>
    <n v="-75.930000000000007"/>
    <n v="-75.930000000000007"/>
    <n v="-98.7"/>
    <s v="NA"/>
    <m/>
    <x v="4"/>
    <s v="Europe centrale"/>
    <n v="8"/>
    <s v="DUCHPA-2"/>
    <s v="Abschuss"/>
  </r>
  <r>
    <x v="715"/>
    <s v="ScoRus"/>
    <n v="0"/>
    <x v="1"/>
    <x v="1"/>
    <x v="0"/>
    <x v="0"/>
    <x v="697"/>
    <n v="-24.984511170000001"/>
    <x v="691"/>
    <x v="9"/>
    <s v="Sud de la Fennoscandinavie, Pays baltes et ouest de la Russie"/>
    <x v="2"/>
    <x v="2"/>
    <s v="Ecuvillens"/>
    <s v="Brillons"/>
    <n v="46.746853659999999"/>
    <n v="7.0629795230000001"/>
    <n v="5"/>
    <n v="2"/>
    <x v="9"/>
    <n v="2015"/>
    <x v="244"/>
    <x v="92"/>
    <n v="77"/>
    <x v="34"/>
    <x v="5"/>
    <x v="3"/>
    <n v="571294"/>
    <n v="177365"/>
    <n v="57121773"/>
    <n v="571177"/>
    <n v="570175"/>
    <n v="572500"/>
    <n v="177500"/>
    <n v="303"/>
    <x v="0"/>
    <n v="0"/>
    <n v="0"/>
    <n v="0"/>
    <n v="-75.849999999999994"/>
    <n v="-75.849999999999994"/>
    <n v="-98.6"/>
    <s v="NA"/>
    <m/>
    <x v="4"/>
    <s v="Europe centrale"/>
    <n v="8"/>
    <s v="SAVABR-14"/>
    <s v="Abschuss"/>
  </r>
  <r>
    <x v="716"/>
    <s v="ScoRus"/>
    <n v="0"/>
    <x v="1"/>
    <x v="1"/>
    <x v="0"/>
    <x v="0"/>
    <x v="698"/>
    <n v="-24.1"/>
    <x v="692"/>
    <x v="9"/>
    <s v="Sud de la Fennoscandinavie, Pays baltes et ouest de la Russie"/>
    <x v="1"/>
    <x v="1"/>
    <s v="Carena"/>
    <s v="Alpe Croveggia"/>
    <n v="46.178894249999999"/>
    <n v="9.0898774489999994"/>
    <n v="4"/>
    <n v="2"/>
    <x v="1"/>
    <n v="2016"/>
    <x v="4"/>
    <x v="4"/>
    <n v="47"/>
    <x v="3"/>
    <x v="1"/>
    <x v="1"/>
    <n v="727500"/>
    <n v="115500"/>
    <n v="72751155"/>
    <n v="727115"/>
    <n v="725115"/>
    <n v="727500"/>
    <n v="117500"/>
    <n v="365"/>
    <x v="0"/>
    <n v="0"/>
    <n v="0"/>
    <n v="0"/>
    <n v="-75.828300799999994"/>
    <n v="-75.828300799999994"/>
    <s v="NA"/>
    <s v="NA"/>
    <m/>
    <x v="4"/>
    <s v="Europe centrale"/>
    <n v="8"/>
    <s v="ROSARE-2"/>
    <s v="Abschuss"/>
  </r>
  <r>
    <x v="717"/>
    <s v="ScoRus"/>
    <n v="0"/>
    <x v="1"/>
    <x v="1"/>
    <x v="0"/>
    <x v="0"/>
    <x v="699"/>
    <n v="-22.59"/>
    <x v="693"/>
    <x v="9"/>
    <s v="Sud de la Fennoscandinavie, Pays baltes et ouest de la Russie"/>
    <x v="1"/>
    <x v="1"/>
    <s v="Monteceneri"/>
    <s v="Robasano"/>
    <n v="46.134623840000003"/>
    <n v="8.9215865169999997"/>
    <n v="5"/>
    <n v="27"/>
    <x v="1"/>
    <n v="2016"/>
    <x v="159"/>
    <x v="35"/>
    <n v="72"/>
    <x v="9"/>
    <x v="5"/>
    <x v="3"/>
    <n v="714600"/>
    <n v="110320"/>
    <n v="71461103"/>
    <n v="714110"/>
    <n v="710110"/>
    <n v="712500"/>
    <n v="112500"/>
    <n v="310"/>
    <x v="0"/>
    <n v="0"/>
    <n v="0"/>
    <n v="0"/>
    <n v="-75.757310399999994"/>
    <n v="-75.757310399999994"/>
    <s v="NA"/>
    <s v="NA"/>
    <m/>
    <x v="4"/>
    <s v="Europe centrale"/>
    <n v="8"/>
    <s v="PURASA-21"/>
    <s v="Abschuss"/>
  </r>
  <r>
    <x v="718"/>
    <s v="ScoRus"/>
    <n v="0"/>
    <x v="1"/>
    <x v="1"/>
    <x v="0"/>
    <x v="0"/>
    <x v="700"/>
    <n v="-22.98"/>
    <x v="694"/>
    <x v="9"/>
    <s v="Sud de la Fennoscandinavie, Pays baltes et ouest de la Russie"/>
    <x v="1"/>
    <x v="1"/>
    <s v="Gambarogno"/>
    <s v="Neggia"/>
    <n v="46.11200419"/>
    <n v="8.847235607"/>
    <n v="4"/>
    <n v="20"/>
    <x v="0"/>
    <n v="2016"/>
    <x v="153"/>
    <x v="30"/>
    <n v="35"/>
    <x v="4"/>
    <x v="0"/>
    <x v="0"/>
    <n v="708900"/>
    <n v="107700"/>
    <n v="70891077"/>
    <n v="708107"/>
    <n v="705105"/>
    <n v="707500"/>
    <n v="107500"/>
    <n v="316"/>
    <x v="0"/>
    <n v="0"/>
    <n v="0"/>
    <n v="0"/>
    <n v="-75.752701900000005"/>
    <n v="-75.752701900000005"/>
    <s v="NA"/>
    <s v="NA"/>
    <m/>
    <x v="4"/>
    <s v="Europe centrale"/>
    <n v="8"/>
    <s v="GNOSDA-3"/>
    <s v="Abschuss"/>
  </r>
  <r>
    <x v="719"/>
    <s v="ScoRus"/>
    <n v="0"/>
    <x v="1"/>
    <x v="1"/>
    <x v="0"/>
    <x v="0"/>
    <x v="701"/>
    <s v="NA"/>
    <x v="695"/>
    <x v="9"/>
    <s v="Sud de la Fennoscandinavie, Pays baltes et ouest de la Russie"/>
    <x v="1"/>
    <x v="1"/>
    <s v="Cadenazzo"/>
    <s v="Rubasacco"/>
    <n v="46.130612919999997"/>
    <n v="8.8951949880000001"/>
    <n v="5"/>
    <n v="25"/>
    <x v="0"/>
    <n v="2017"/>
    <x v="76"/>
    <x v="8"/>
    <n v="40"/>
    <x v="0"/>
    <x v="0"/>
    <x v="0"/>
    <n v="712569"/>
    <n v="109836"/>
    <n v="71251098"/>
    <n v="712109"/>
    <n v="710105"/>
    <n v="712500"/>
    <n v="107500"/>
    <n v="305"/>
    <x v="0"/>
    <n v="0"/>
    <n v="0"/>
    <n v="0"/>
    <n v="-75.680702199999999"/>
    <n v="-75.680702199999999"/>
    <s v="NA"/>
    <s v="NA"/>
    <m/>
    <x v="4"/>
    <s v="Europe centrale"/>
    <n v="8"/>
    <s v="PURASA-7"/>
    <s v="Abschuss"/>
  </r>
  <r>
    <x v="720"/>
    <s v="ScoRus"/>
    <n v="0"/>
    <x v="1"/>
    <x v="1"/>
    <x v="0"/>
    <x v="0"/>
    <x v="702"/>
    <n v="-23.681799999999999"/>
    <x v="696"/>
    <x v="9"/>
    <s v="Sud de la Fennoscandinavie, Pays baltes et ouest de la Russie"/>
    <x v="2"/>
    <x v="2"/>
    <s v="La Brillaz"/>
    <s v="Lentigny"/>
    <n v="46.753888830000001"/>
    <n v="6.9794799989999996"/>
    <n v="4"/>
    <n v="5"/>
    <x v="9"/>
    <n v="2015"/>
    <x v="245"/>
    <x v="101"/>
    <n v="80"/>
    <x v="34"/>
    <x v="5"/>
    <x v="3"/>
    <n v="564918"/>
    <n v="178181"/>
    <n v="56491781"/>
    <n v="564178"/>
    <n v="560175"/>
    <n v="562500"/>
    <n v="177500"/>
    <n v="382"/>
    <x v="0"/>
    <n v="0"/>
    <n v="0"/>
    <n v="0"/>
    <n v="-75.67"/>
    <n v="-75.67"/>
    <n v="-98.4"/>
    <s v="NA"/>
    <m/>
    <x v="4"/>
    <s v="Europe centrale"/>
    <n v="8"/>
    <s v="YERLMI-8"/>
    <s v="Abschuss"/>
  </r>
  <r>
    <x v="721"/>
    <s v="ScoRus"/>
    <n v="0"/>
    <x v="1"/>
    <x v="1"/>
    <x v="0"/>
    <x v="0"/>
    <x v="703"/>
    <n v="-23.412800000000001"/>
    <x v="697"/>
    <x v="9"/>
    <s v="Sud de la Fennoscandinavie, Pays baltes et ouest de la Russie"/>
    <x v="2"/>
    <x v="2"/>
    <s v="La Folliaz"/>
    <s v="NA"/>
    <n v="46.731436819999999"/>
    <n v="6.9410897609999997"/>
    <n v="4"/>
    <n v="21"/>
    <x v="1"/>
    <n v="2015"/>
    <x v="209"/>
    <x v="36"/>
    <n v="66"/>
    <x v="5"/>
    <x v="3"/>
    <x v="2"/>
    <n v="561969"/>
    <n v="175703"/>
    <n v="56191757"/>
    <n v="561175"/>
    <n v="560175"/>
    <n v="562500"/>
    <n v="177500"/>
    <n v="356"/>
    <x v="0"/>
    <n v="0"/>
    <n v="0"/>
    <n v="0"/>
    <n v="-75.650000000000006"/>
    <n v="-75.650000000000006"/>
    <n v="-98.4"/>
    <s v="NA"/>
    <m/>
    <x v="4"/>
    <s v="Europe centrale"/>
    <n v="8"/>
    <s v="YERLMI-5"/>
    <s v="Abschuss"/>
  </r>
  <r>
    <x v="722"/>
    <s v="ScoRus"/>
    <n v="0"/>
    <x v="1"/>
    <x v="1"/>
    <x v="0"/>
    <x v="0"/>
    <x v="704"/>
    <n v="-22.597896769999998"/>
    <x v="698"/>
    <x v="9"/>
    <s v="Sud de la Fennoscandinavie, Pays baltes et ouest de la Russie"/>
    <x v="2"/>
    <x v="2"/>
    <s v="Onnens"/>
    <s v="Onnens"/>
    <n v="46.764277239999998"/>
    <n v="7.038889041"/>
    <n v="6"/>
    <n v="6"/>
    <x v="1"/>
    <n v="2013"/>
    <x v="19"/>
    <x v="13"/>
    <n v="51"/>
    <x v="3"/>
    <x v="1"/>
    <x v="1"/>
    <n v="569463"/>
    <n v="179311"/>
    <n v="56941793"/>
    <n v="569179"/>
    <n v="565175"/>
    <n v="567500"/>
    <n v="177500"/>
    <n v="325"/>
    <x v="0"/>
    <n v="0"/>
    <n v="0"/>
    <n v="0"/>
    <n v="-75.64"/>
    <n v="-75.64"/>
    <n v="-98.4"/>
    <s v="NA"/>
    <m/>
    <x v="4"/>
    <s v="Europe centrale"/>
    <n v="8"/>
    <s v="SAVABR-2"/>
    <s v="Abschuss"/>
  </r>
  <r>
    <x v="723"/>
    <s v="ScoRus"/>
    <n v="0"/>
    <x v="1"/>
    <x v="1"/>
    <x v="0"/>
    <x v="0"/>
    <x v="705"/>
    <n v="-23.35"/>
    <x v="699"/>
    <x v="9"/>
    <s v="Sud de la Fennoscandinavie, Pays baltes et ouest de la Russie"/>
    <x v="1"/>
    <x v="1"/>
    <s v="Gambarogno"/>
    <s v="Lierna"/>
    <n v="46.120291520000002"/>
    <n v="8.8319238989999995"/>
    <n v="4"/>
    <n v="20"/>
    <x v="0"/>
    <n v="2016"/>
    <x v="153"/>
    <x v="30"/>
    <n v="35"/>
    <x v="4"/>
    <x v="0"/>
    <x v="0"/>
    <n v="707700"/>
    <n v="108600"/>
    <n v="70771086"/>
    <n v="707108"/>
    <n v="705105"/>
    <n v="707500"/>
    <n v="107500"/>
    <n v="306"/>
    <x v="0"/>
    <n v="0"/>
    <n v="0"/>
    <n v="0"/>
    <n v="-75.592776499999999"/>
    <n v="-75.592776499999999"/>
    <s v="NA"/>
    <s v="NA"/>
    <m/>
    <x v="4"/>
    <s v="Europe centrale"/>
    <n v="8"/>
    <s v="GNOSDA-5"/>
    <s v="Abschuss"/>
  </r>
  <r>
    <x v="724"/>
    <s v="ScoRus"/>
    <n v="0"/>
    <x v="1"/>
    <x v="1"/>
    <x v="0"/>
    <x v="0"/>
    <x v="706"/>
    <n v="-24.380800000000001"/>
    <x v="700"/>
    <x v="9"/>
    <s v="Sud de la Fennoscandinavie, Pays baltes et ouest de la Russie"/>
    <x v="2"/>
    <x v="2"/>
    <s v="Lieffrens"/>
    <s v="Bois du Chaney"/>
    <n v="46.629317999999998"/>
    <n v="6.9092274930000004"/>
    <n v="5"/>
    <n v="2"/>
    <x v="1"/>
    <n v="2015"/>
    <x v="163"/>
    <x v="4"/>
    <n v="47"/>
    <x v="3"/>
    <x v="1"/>
    <x v="1"/>
    <n v="559457"/>
    <n v="164367"/>
    <n v="55941643"/>
    <n v="559164"/>
    <n v="555160"/>
    <n v="557500"/>
    <n v="162500"/>
    <n v="325"/>
    <x v="0"/>
    <n v="0"/>
    <n v="0"/>
    <n v="0"/>
    <n v="-75.59"/>
    <n v="-75.59"/>
    <n v="-98.4"/>
    <s v="NA"/>
    <m/>
    <x v="4"/>
    <s v="Europe centrale"/>
    <n v="8"/>
    <s v="SAVALU-4"/>
    <s v="Abschuss"/>
  </r>
  <r>
    <x v="725"/>
    <s v="ScoRus"/>
    <n v="0"/>
    <x v="1"/>
    <x v="1"/>
    <x v="0"/>
    <x v="0"/>
    <x v="707"/>
    <s v="NA"/>
    <x v="701"/>
    <x v="9"/>
    <s v="Sud de la Fennoscandinavie, Pays baltes et ouest de la Russie"/>
    <x v="0"/>
    <x v="3"/>
    <s v="Le Chenit"/>
    <s v="NA"/>
    <n v="46.570664469999997"/>
    <n v="6.1668185500000003"/>
    <n v="3"/>
    <n v="30"/>
    <x v="0"/>
    <n v="2017"/>
    <x v="231"/>
    <x v="23"/>
    <n v="45"/>
    <x v="1"/>
    <x v="1"/>
    <x v="1"/>
    <n v="502500"/>
    <n v="158500"/>
    <n v="50251585"/>
    <n v="502158"/>
    <n v="500155"/>
    <n v="502500"/>
    <n v="157500"/>
    <n v="378"/>
    <x v="0"/>
    <n v="0"/>
    <n v="0"/>
    <n v="0"/>
    <n v="-75.486473399999994"/>
    <n v="-75.486473399999994"/>
    <s v="NA"/>
    <s v="NA"/>
    <m/>
    <x v="4"/>
    <s v="Europe centrale"/>
    <n v="8"/>
    <s v="CORDJP-3"/>
    <s v="Abschuss"/>
  </r>
  <r>
    <x v="726"/>
    <s v="ScoRus"/>
    <n v="0"/>
    <x v="1"/>
    <x v="1"/>
    <x v="0"/>
    <x v="0"/>
    <x v="708"/>
    <n v="-22.83"/>
    <x v="702"/>
    <x v="9"/>
    <s v="Sud de la Fennoscandinavie, Pays baltes et ouest de la Russie"/>
    <x v="1"/>
    <x v="1"/>
    <s v="Airolo"/>
    <s v="Cana zora"/>
    <n v="46.517544360000002"/>
    <n v="8.5820247760000008"/>
    <n v="5"/>
    <n v="1"/>
    <x v="1"/>
    <n v="2016"/>
    <x v="147"/>
    <x v="17"/>
    <n v="46"/>
    <x v="1"/>
    <x v="1"/>
    <x v="1"/>
    <n v="687741"/>
    <n v="152444"/>
    <n v="68771524"/>
    <n v="687152"/>
    <n v="685150"/>
    <n v="687500"/>
    <n v="152500"/>
    <n v="315"/>
    <x v="0"/>
    <n v="0"/>
    <n v="0"/>
    <n v="0"/>
    <n v="-75.401679200000004"/>
    <n v="-75.401679200000004"/>
    <s v="NA"/>
    <s v="NA"/>
    <m/>
    <x v="4"/>
    <s v="Europe centrale"/>
    <n v="8"/>
    <s v="BIANRO-7"/>
    <s v="Abschuss"/>
  </r>
  <r>
    <x v="727"/>
    <s v="ScoRus"/>
    <n v="0"/>
    <x v="1"/>
    <x v="1"/>
    <x v="0"/>
    <x v="0"/>
    <x v="709"/>
    <n v="-24.004799999999999"/>
    <x v="703"/>
    <x v="9"/>
    <s v="Sud de la Fennoscandinavie, Pays baltes et ouest de la Russie"/>
    <x v="1"/>
    <x v="1"/>
    <s v="Monteceneri"/>
    <s v="Brumo"/>
    <n v="46.128408649999997"/>
    <n v="8.9692965200000003"/>
    <n v="4"/>
    <n v="24"/>
    <x v="1"/>
    <n v="2015"/>
    <x v="215"/>
    <x v="43"/>
    <n v="69"/>
    <x v="7"/>
    <x v="3"/>
    <x v="2"/>
    <n v="718300"/>
    <n v="109700"/>
    <n v="71831097"/>
    <n v="718109"/>
    <n v="715105"/>
    <n v="717500"/>
    <n v="107500"/>
    <n v="325"/>
    <x v="0"/>
    <n v="0"/>
    <n v="0"/>
    <n v="0"/>
    <n v="-75.400000000000006"/>
    <n v="-75.400000000000006"/>
    <n v="-98.2"/>
    <s v="NA"/>
    <m/>
    <x v="4"/>
    <s v="Europe centrale"/>
    <n v="8"/>
    <s v="GNOSDA-13"/>
    <s v="Abschuss"/>
  </r>
  <r>
    <x v="728"/>
    <s v="ScoRus"/>
    <n v="0"/>
    <x v="1"/>
    <x v="1"/>
    <x v="0"/>
    <x v="0"/>
    <x v="710"/>
    <n v="-23.896799999999999"/>
    <x v="704"/>
    <x v="9"/>
    <s v="Sud de la Fennoscandinavie, Pays baltes et ouest de la Russie"/>
    <x v="1"/>
    <x v="1"/>
    <s v="Lugano"/>
    <s v="Cureggia"/>
    <n v="46.020301359999998"/>
    <n v="8.9862357090000007"/>
    <n v="5"/>
    <n v="11"/>
    <x v="1"/>
    <n v="2015"/>
    <x v="32"/>
    <x v="7"/>
    <n v="56"/>
    <x v="2"/>
    <x v="2"/>
    <x v="1"/>
    <n v="719846"/>
    <n v="97710"/>
    <n v="71980977"/>
    <n v="719097"/>
    <n v="715095"/>
    <n v="717500"/>
    <n v="97500"/>
    <n v="265"/>
    <x v="0"/>
    <n v="0"/>
    <n v="0"/>
    <n v="0"/>
    <n v="-75.38"/>
    <n v="-75.38"/>
    <n v="-98.1"/>
    <s v="NA"/>
    <m/>
    <x v="4"/>
    <s v="Europe centrale"/>
    <n v="8"/>
    <s v="REZZONICORO-17"/>
    <s v="Abschuss"/>
  </r>
  <r>
    <x v="729"/>
    <s v="ScoRus"/>
    <n v="0"/>
    <x v="1"/>
    <x v="1"/>
    <x v="0"/>
    <x v="0"/>
    <x v="711"/>
    <n v="-23.99"/>
    <x v="262"/>
    <x v="9"/>
    <s v="Sud de la Fennoscandinavie, Pays baltes et ouest de la Russie"/>
    <x v="1"/>
    <x v="1"/>
    <s v="Centovalli"/>
    <s v="NA"/>
    <n v="46.179947140000003"/>
    <n v="8.6520439339999999"/>
    <n v="5"/>
    <n v="2"/>
    <x v="1"/>
    <n v="2016"/>
    <x v="4"/>
    <x v="4"/>
    <n v="47"/>
    <x v="3"/>
    <x v="1"/>
    <x v="1"/>
    <n v="693694"/>
    <n v="115000"/>
    <n v="69361150"/>
    <n v="693115"/>
    <n v="690115"/>
    <n v="692500"/>
    <n v="117500"/>
    <n v="297"/>
    <x v="0"/>
    <n v="0"/>
    <n v="0"/>
    <n v="0"/>
    <n v="-75.308163500000006"/>
    <n v="-75.308163500000006"/>
    <s v="NA"/>
    <s v="NA"/>
    <m/>
    <x v="4"/>
    <s v="Europe centrale"/>
    <n v="8"/>
    <s v="FISCIV-11"/>
    <s v="Abschuss"/>
  </r>
  <r>
    <x v="730"/>
    <s v="ScoRus"/>
    <n v="0"/>
    <x v="1"/>
    <x v="1"/>
    <x v="0"/>
    <x v="0"/>
    <x v="712"/>
    <s v="NA"/>
    <x v="705"/>
    <x v="9"/>
    <s v="Sud de la Fennoscandinavie, Pays baltes et ouest de la Russie"/>
    <x v="0"/>
    <x v="0"/>
    <s v="Les Verrières"/>
    <s v="Vers chez le Brandt"/>
    <n v="46.946023289999999"/>
    <n v="6.4708250439999997"/>
    <n v="5"/>
    <n v="11"/>
    <x v="1"/>
    <n v="2017"/>
    <x v="77"/>
    <x v="7"/>
    <n v="56"/>
    <x v="2"/>
    <x v="2"/>
    <x v="1"/>
    <n v="526319"/>
    <n v="199892"/>
    <n v="52631998"/>
    <n v="526199"/>
    <n v="525195"/>
    <n v="527500"/>
    <n v="197500"/>
    <n v="292"/>
    <x v="0"/>
    <n v="0"/>
    <n v="0"/>
    <n v="0"/>
    <n v="-75.277881699999995"/>
    <n v="-75.277881699999995"/>
    <s v="NA"/>
    <s v="NA"/>
    <m/>
    <x v="4"/>
    <s v="Europe centrale"/>
    <n v="8"/>
    <s v="MEISHE-14"/>
    <s v="Abschuss"/>
  </r>
  <r>
    <x v="731"/>
    <s v="ScoRus"/>
    <n v="0"/>
    <x v="1"/>
    <x v="1"/>
    <x v="0"/>
    <x v="0"/>
    <x v="713"/>
    <n v="-24.0214"/>
    <x v="706"/>
    <x v="9"/>
    <s v="Sud de la Fennoscandinavie, Pays baltes et ouest de la Russie"/>
    <x v="1"/>
    <x v="1"/>
    <s v="Sonvico"/>
    <s v="Fanghi"/>
    <n v="46.074386609999998"/>
    <n v="9.0369451099999996"/>
    <n v="5"/>
    <n v="8"/>
    <x v="1"/>
    <n v="2015"/>
    <x v="192"/>
    <x v="2"/>
    <n v="53"/>
    <x v="2"/>
    <x v="2"/>
    <x v="1"/>
    <n v="723650"/>
    <n v="103800"/>
    <n v="72361038"/>
    <n v="723103"/>
    <n v="720100"/>
    <n v="722500"/>
    <n v="102500"/>
    <n v="320"/>
    <x v="0"/>
    <n v="0"/>
    <n v="0"/>
    <n v="0"/>
    <n v="-75.239999999999995"/>
    <n v="-75.239999999999995"/>
    <n v="-98"/>
    <s v="NA"/>
    <m/>
    <x v="4"/>
    <s v="Europe centrale"/>
    <n v="8"/>
    <s v="ANARGI-6"/>
    <s v="Abschuss"/>
  </r>
  <r>
    <x v="732"/>
    <s v="ScoRus"/>
    <n v="0"/>
    <x v="1"/>
    <x v="1"/>
    <x v="0"/>
    <x v="0"/>
    <x v="714"/>
    <n v="-23.14"/>
    <x v="530"/>
    <x v="9"/>
    <s v="Sud de la Fennoscandinavie, Pays baltes et ouest de la Russie"/>
    <x v="2"/>
    <x v="2"/>
    <s v="La Brillaz"/>
    <s v="Les possessions "/>
    <n v="46.766412590000002"/>
    <n v="7.0424471229999996"/>
    <n v="5"/>
    <n v="12"/>
    <x v="1"/>
    <n v="2016"/>
    <x v="193"/>
    <x v="26"/>
    <n v="57"/>
    <x v="6"/>
    <x v="2"/>
    <x v="2"/>
    <n v="569736"/>
    <n v="179547"/>
    <n v="56971795"/>
    <n v="569179"/>
    <n v="565175"/>
    <n v="567500"/>
    <n v="177500"/>
    <n v="313"/>
    <x v="0"/>
    <n v="0"/>
    <n v="0"/>
    <n v="0"/>
    <n v="-75.223517200000003"/>
    <n v="-75.223517200000003"/>
    <s v="NA"/>
    <s v="NA"/>
    <m/>
    <x v="4"/>
    <s v="Europe centrale"/>
    <n v="8"/>
    <s v="SAVALU-3"/>
    <s v="Abschuss"/>
  </r>
  <r>
    <x v="733"/>
    <s v="ScoRus"/>
    <n v="0"/>
    <x v="1"/>
    <x v="1"/>
    <x v="0"/>
    <x v="0"/>
    <x v="715"/>
    <n v="-24.463000000000001"/>
    <x v="707"/>
    <x v="9"/>
    <s v="Sud de la Fennoscandinavie, Pays baltes et ouest de la Russie"/>
    <x v="1"/>
    <x v="1"/>
    <s v="Curtina"/>
    <s v="Moncecco"/>
    <n v="46.080232430000002"/>
    <n v="9.0371162229999999"/>
    <n v="6"/>
    <n v="29"/>
    <x v="1"/>
    <n v="2015"/>
    <x v="246"/>
    <x v="107"/>
    <n v="74"/>
    <x v="9"/>
    <x v="5"/>
    <x v="3"/>
    <n v="723650"/>
    <n v="104450"/>
    <n v="72361044"/>
    <n v="723104"/>
    <n v="720100"/>
    <n v="722500"/>
    <n v="102500"/>
    <n v="300"/>
    <x v="0"/>
    <n v="0"/>
    <n v="0"/>
    <n v="0"/>
    <n v="-75.13"/>
    <n v="-75.13"/>
    <n v="-97.9"/>
    <s v="NA"/>
    <m/>
    <x v="4"/>
    <s v="Europe centrale"/>
    <n v="8"/>
    <s v="ROSAOR-10"/>
    <s v="Abschuss"/>
  </r>
  <r>
    <x v="734"/>
    <s v="ScoRus"/>
    <n v="0"/>
    <x v="1"/>
    <x v="1"/>
    <x v="0"/>
    <x v="0"/>
    <x v="716"/>
    <n v="-6.5620291569999996"/>
    <x v="708"/>
    <x v="9"/>
    <s v="Sud de la Fennoscandinavie, Pays baltes et ouest de la Russie"/>
    <x v="0"/>
    <x v="0"/>
    <s v="NA"/>
    <s v="La Glacière"/>
    <n v="46.93845314"/>
    <n v="6.5869466550000002"/>
    <n v="6"/>
    <n v="24"/>
    <x v="0"/>
    <n v="2013"/>
    <x v="55"/>
    <x v="14"/>
    <n v="39"/>
    <x v="0"/>
    <x v="0"/>
    <x v="0"/>
    <n v="535150"/>
    <n v="198948"/>
    <n v="53511989"/>
    <n v="535198"/>
    <n v="535195"/>
    <n v="537500"/>
    <n v="197500"/>
    <n v="307"/>
    <x v="0"/>
    <n v="0"/>
    <n v="0"/>
    <n v="0"/>
    <n v="-75.09"/>
    <n v="-75.09"/>
    <n v="-97.8"/>
    <s v="NA"/>
    <m/>
    <x v="4"/>
    <s v="Europe centrale"/>
    <n v="8"/>
    <s v="MEISTHE4"/>
    <s v="Abschuss"/>
  </r>
  <r>
    <x v="735"/>
    <s v="ScoRus"/>
    <n v="0"/>
    <x v="1"/>
    <x v="1"/>
    <x v="0"/>
    <x v="0"/>
    <x v="717"/>
    <s v="NA"/>
    <x v="709"/>
    <x v="9"/>
    <s v="Sud de la Fennoscandinavie, Pays baltes et ouest de la Russie"/>
    <x v="1"/>
    <x v="1"/>
    <s v="Gambarogno"/>
    <s v="Neggia"/>
    <n v="46.116581750000002"/>
    <n v="8.8408851819999992"/>
    <n v="5"/>
    <n v="17"/>
    <x v="0"/>
    <n v="2017"/>
    <x v="92"/>
    <x v="34"/>
    <n v="32"/>
    <x v="8"/>
    <x v="4"/>
    <x v="0"/>
    <n v="708400"/>
    <n v="108200"/>
    <n v="70841082"/>
    <n v="708108"/>
    <n v="705105"/>
    <n v="707500"/>
    <n v="107500"/>
    <n v="339"/>
    <x v="0"/>
    <n v="0"/>
    <n v="0"/>
    <n v="0"/>
    <n v="-75.067255599999996"/>
    <n v="-75.067255599999996"/>
    <s v="NA"/>
    <s v="NA"/>
    <m/>
    <x v="4"/>
    <s v="Europe centrale"/>
    <n v="8"/>
    <s v="GNOSDA-1"/>
    <s v="Abschuss"/>
  </r>
  <r>
    <x v="736"/>
    <s v="ScoRus"/>
    <n v="0"/>
    <x v="1"/>
    <x v="1"/>
    <x v="0"/>
    <x v="0"/>
    <x v="718"/>
    <s v="NA"/>
    <x v="710"/>
    <x v="9"/>
    <s v="Sud de la Fennoscandinavie, Pays baltes et ouest de la Russie"/>
    <x v="1"/>
    <x v="1"/>
    <s v="Cadenazzo"/>
    <s v="Rubasacco"/>
    <n v="46.124882229999997"/>
    <n v="8.9818136049999993"/>
    <n v="5"/>
    <n v="19"/>
    <x v="0"/>
    <n v="2017"/>
    <x v="148"/>
    <x v="9"/>
    <n v="34"/>
    <x v="4"/>
    <x v="0"/>
    <x v="0"/>
    <n v="719275"/>
    <n v="109327"/>
    <n v="71921093"/>
    <n v="719109"/>
    <n v="715105"/>
    <n v="717500"/>
    <n v="107500"/>
    <n v="330"/>
    <x v="0"/>
    <n v="0"/>
    <n v="0"/>
    <n v="0"/>
    <n v="-75.045019600000003"/>
    <n v="-75.045019600000003"/>
    <s v="NA"/>
    <s v="NA"/>
    <m/>
    <x v="4"/>
    <s v="Europe centrale"/>
    <n v="8"/>
    <s v="PURASA-3"/>
    <s v="Abschuss"/>
  </r>
  <r>
    <x v="737"/>
    <s v="ScoRus"/>
    <n v="0"/>
    <x v="1"/>
    <x v="1"/>
    <x v="0"/>
    <x v="0"/>
    <x v="719"/>
    <n v="-25.131799999999998"/>
    <x v="711"/>
    <x v="9"/>
    <s v="Sud de la Fennoscandinavie, Pays baltes et ouest de la Russie"/>
    <x v="2"/>
    <x v="2"/>
    <s v="Sâle"/>
    <s v="Montborget"/>
    <n v="46.615210759999997"/>
    <n v="6.9532295519999998"/>
    <n v="5"/>
    <n v="24"/>
    <x v="0"/>
    <n v="2015"/>
    <x v="165"/>
    <x v="14"/>
    <n v="39"/>
    <x v="0"/>
    <x v="0"/>
    <x v="0"/>
    <n v="562817"/>
    <n v="162777"/>
    <n v="56281627"/>
    <n v="562162"/>
    <n v="560160"/>
    <n v="562500"/>
    <n v="162500"/>
    <n v="285"/>
    <x v="0"/>
    <n v="0"/>
    <n v="0"/>
    <n v="0"/>
    <n v="-75.040000000000006"/>
    <n v="-75.040000000000006"/>
    <n v="-97.8"/>
    <s v="NA"/>
    <m/>
    <x v="4"/>
    <s v="Europe centrale"/>
    <n v="8"/>
    <s v="SAVALU-2"/>
    <s v="Abschuss"/>
  </r>
  <r>
    <x v="738"/>
    <s v="ScoRus"/>
    <n v="0"/>
    <x v="1"/>
    <x v="1"/>
    <x v="0"/>
    <x v="0"/>
    <x v="720"/>
    <n v="87.854290860000006"/>
    <x v="712"/>
    <x v="9"/>
    <s v="Sud de la Fennoscandinavie, Pays baltes et ouest de la Russie"/>
    <x v="0"/>
    <x v="0"/>
    <s v="NA"/>
    <s v="Jogne"/>
    <n v="46.972385260000003"/>
    <n v="6.7625102760000004"/>
    <n v="6"/>
    <n v="26"/>
    <x v="0"/>
    <n v="2013"/>
    <x v="42"/>
    <x v="0"/>
    <n v="41"/>
    <x v="0"/>
    <x v="0"/>
    <x v="0"/>
    <n v="548550"/>
    <n v="202590"/>
    <n v="54852025"/>
    <n v="548202"/>
    <n v="545200"/>
    <n v="547500"/>
    <n v="202500"/>
    <n v="334"/>
    <x v="0"/>
    <n v="0"/>
    <n v="0"/>
    <n v="0"/>
    <n v="-75.010000000000005"/>
    <n v="-75.010000000000005"/>
    <n v="-97.8"/>
    <s v="NA"/>
    <m/>
    <x v="4"/>
    <s v="Europe centrale"/>
    <n v="8"/>
    <s v="MEISTHE5"/>
    <s v="Abschuss"/>
  </r>
  <r>
    <x v="739"/>
    <s v="ScoRus"/>
    <n v="0"/>
    <x v="1"/>
    <x v="1"/>
    <x v="0"/>
    <x v="0"/>
    <x v="721"/>
    <n v="-24.064800000000002"/>
    <x v="713"/>
    <x v="9"/>
    <s v="Sud de la Fennoscandinavie, Pays baltes et ouest de la Russie"/>
    <x v="0"/>
    <x v="3"/>
    <s v="Le Lieu"/>
    <s v="Forêt du Risoux, Chalet de la Muratte"/>
    <n v="46.690058749999999"/>
    <n v="6.3130504930000004"/>
    <n v="4"/>
    <n v="22"/>
    <x v="0"/>
    <n v="2014"/>
    <x v="206"/>
    <x v="21"/>
    <n v="37"/>
    <x v="4"/>
    <x v="0"/>
    <x v="0"/>
    <n v="513900"/>
    <n v="171600"/>
    <n v="51391716"/>
    <n v="513171"/>
    <n v="510170"/>
    <n v="512500"/>
    <n v="172500"/>
    <n v="328"/>
    <x v="0"/>
    <n v="0"/>
    <n v="0"/>
    <n v="0"/>
    <n v="-74.989999999999995"/>
    <n v="-74.989999999999995"/>
    <n v="-97.7"/>
    <s v="NA"/>
    <m/>
    <x v="5"/>
    <s v="Europe centrale"/>
    <n v="7"/>
    <s v="ROCHCH-1"/>
    <s v="Abschuss"/>
  </r>
  <r>
    <x v="740"/>
    <s v="ScoRus"/>
    <n v="0"/>
    <x v="1"/>
    <x v="1"/>
    <x v="0"/>
    <x v="0"/>
    <x v="722"/>
    <n v="-24.34"/>
    <x v="435"/>
    <x v="9"/>
    <s v="Sud de la Fennoscandinavie, Pays baltes et ouest de la Russie"/>
    <x v="1"/>
    <x v="1"/>
    <s v="Arosio"/>
    <s v="Piavée"/>
    <n v="46.056110259999997"/>
    <n v="8.8964652510000004"/>
    <n v="5"/>
    <n v="22"/>
    <x v="0"/>
    <n v="2016"/>
    <x v="25"/>
    <x v="21"/>
    <n v="37"/>
    <x v="4"/>
    <x v="0"/>
    <x v="0"/>
    <n v="712821"/>
    <n v="101557"/>
    <n v="71281015"/>
    <n v="712101"/>
    <n v="710100"/>
    <n v="712500"/>
    <n v="102500"/>
    <n v="345"/>
    <x v="0"/>
    <n v="0"/>
    <n v="0"/>
    <n v="0"/>
    <n v="-74.978825599999993"/>
    <n v="-74.978825599999993"/>
    <s v="NA"/>
    <s v="NA"/>
    <m/>
    <x v="5"/>
    <s v="Europe centrale"/>
    <n v="7"/>
    <s v="DEVISE-2"/>
    <s v="Abschuss"/>
  </r>
  <r>
    <x v="741"/>
    <s v="ScoRus"/>
    <n v="0"/>
    <x v="1"/>
    <x v="1"/>
    <x v="0"/>
    <x v="0"/>
    <x v="723"/>
    <s v="NA"/>
    <x v="714"/>
    <x v="9"/>
    <s v="Sud de la Fennoscandinavie, Pays baltes et ouest de la Russie"/>
    <x v="0"/>
    <x v="0"/>
    <s v="Les Verrières"/>
    <s v="Le Pussin"/>
    <n v="46.934423860000003"/>
    <n v="6.4640208660000003"/>
    <n v="6"/>
    <n v="16"/>
    <x v="0"/>
    <n v="2017"/>
    <x v="56"/>
    <x v="33"/>
    <n v="31"/>
    <x v="8"/>
    <x v="4"/>
    <x v="0"/>
    <n v="525786"/>
    <n v="198610"/>
    <n v="52571986"/>
    <n v="525198"/>
    <n v="525195"/>
    <n v="527500"/>
    <n v="197500"/>
    <s v="NA"/>
    <x v="0"/>
    <n v="0"/>
    <n v="0"/>
    <n v="0"/>
    <n v="-74.925284399999995"/>
    <n v="-74.925284399999995"/>
    <s v="NA"/>
    <s v="NA"/>
    <m/>
    <x v="5"/>
    <s v="Europe centrale"/>
    <n v="7"/>
    <s v="K116328"/>
    <s v="Abschuss, Daniel Demontrond"/>
  </r>
  <r>
    <x v="742"/>
    <s v="ScoRus"/>
    <n v="0"/>
    <x v="1"/>
    <x v="1"/>
    <x v="0"/>
    <x v="0"/>
    <x v="724"/>
    <n v="-23.413399999999999"/>
    <x v="715"/>
    <x v="9"/>
    <s v="Sud de la Fennoscandinavie, Pays baltes et ouest de la Russie"/>
    <x v="1"/>
    <x v="1"/>
    <s v="Arosio"/>
    <s v="Piové"/>
    <n v="46.054627969999999"/>
    <n v="8.8955986520000003"/>
    <n v="6"/>
    <n v="25"/>
    <x v="0"/>
    <n v="2015"/>
    <x v="224"/>
    <x v="8"/>
    <n v="40"/>
    <x v="0"/>
    <x v="0"/>
    <x v="0"/>
    <n v="712757"/>
    <n v="101391"/>
    <n v="71271013"/>
    <n v="712101"/>
    <n v="710100"/>
    <n v="712500"/>
    <n v="102500"/>
    <n v="324"/>
    <x v="0"/>
    <n v="0"/>
    <n v="0"/>
    <n v="0"/>
    <n v="-74.92"/>
    <n v="-74.92"/>
    <n v="-97.7"/>
    <s v="NA"/>
    <m/>
    <x v="5"/>
    <s v="Europe centrale"/>
    <n v="7"/>
    <s v="Devise-7"/>
    <s v="Abschuss"/>
  </r>
  <r>
    <x v="743"/>
    <s v="ScoRus"/>
    <n v="0"/>
    <x v="1"/>
    <x v="1"/>
    <x v="0"/>
    <x v="0"/>
    <x v="725"/>
    <n v="-25.155799999999999"/>
    <x v="716"/>
    <x v="9"/>
    <s v="Sud de la Fennoscandinavie, Pays baltes et ouest de la Russie"/>
    <x v="1"/>
    <x v="1"/>
    <s v="Lugano"/>
    <s v="Lurenzin"/>
    <n v="46.02094237"/>
    <n v="9.007537696"/>
    <n v="5"/>
    <n v="18"/>
    <x v="1"/>
    <n v="2015"/>
    <x v="30"/>
    <x v="24"/>
    <n v="63"/>
    <x v="5"/>
    <x v="3"/>
    <x v="2"/>
    <n v="721494"/>
    <n v="97814"/>
    <n v="72140978"/>
    <n v="721097"/>
    <n v="720095"/>
    <n v="722500"/>
    <n v="97500"/>
    <n v="350"/>
    <x v="0"/>
    <n v="0"/>
    <n v="0"/>
    <n v="0"/>
    <n v="-74.78"/>
    <n v="-74.78"/>
    <n v="-97.5"/>
    <s v="NA"/>
    <m/>
    <x v="5"/>
    <s v="Europe centrale"/>
    <n v="7"/>
    <s v="REZZONICORO-2"/>
    <s v="Abschuss"/>
  </r>
  <r>
    <x v="744"/>
    <s v="ScoRus"/>
    <n v="0"/>
    <x v="1"/>
    <x v="1"/>
    <x v="0"/>
    <x v="0"/>
    <x v="726"/>
    <n v="-23.13"/>
    <x v="370"/>
    <x v="9"/>
    <s v="Sud de la Fennoscandinavie, Pays baltes et ouest de la Russie"/>
    <x v="1"/>
    <x v="1"/>
    <s v="Capriasca"/>
    <s v="Scampo"/>
    <n v="46.072612290000002"/>
    <n v="8.9703181010000002"/>
    <n v="3"/>
    <n v="29"/>
    <x v="1"/>
    <n v="2016"/>
    <x v="247"/>
    <x v="107"/>
    <n v="74"/>
    <x v="9"/>
    <x v="5"/>
    <x v="3"/>
    <n v="718500"/>
    <n v="103500"/>
    <n v="71851035"/>
    <n v="718103"/>
    <n v="715100"/>
    <n v="717500"/>
    <n v="102500"/>
    <n v="287"/>
    <x v="0"/>
    <n v="0"/>
    <n v="0"/>
    <n v="0"/>
    <n v="-74.755253600000003"/>
    <n v="-74.755253600000003"/>
    <s v="NA"/>
    <s v="NA"/>
    <m/>
    <x v="5"/>
    <s v="Europe centrale"/>
    <n v="7"/>
    <s v="TANTMA-3"/>
    <s v="Abschuss"/>
  </r>
  <r>
    <x v="745"/>
    <s v="ScoRus"/>
    <n v="0"/>
    <x v="1"/>
    <x v="1"/>
    <x v="0"/>
    <x v="0"/>
    <x v="727"/>
    <n v="-23.567127379999999"/>
    <x v="717"/>
    <x v="9"/>
    <s v="Sud de la Fennoscandinavie, Pays baltes et ouest de la Russie"/>
    <x v="1"/>
    <x v="1"/>
    <s v="Bigorio"/>
    <s v="Monti di Brena"/>
    <n v="46.089149249999998"/>
    <n v="8.9449200720000004"/>
    <n v="5"/>
    <n v="4"/>
    <x v="1"/>
    <n v="2015"/>
    <x v="3"/>
    <x v="3"/>
    <n v="49"/>
    <x v="3"/>
    <x v="1"/>
    <x v="1"/>
    <n v="716500"/>
    <n v="105300"/>
    <n v="71651053"/>
    <n v="716105"/>
    <n v="715105"/>
    <n v="717500"/>
    <n v="107500"/>
    <n v="278"/>
    <x v="0"/>
    <n v="0"/>
    <n v="0"/>
    <n v="0"/>
    <n v="-74.7"/>
    <n v="-74.7"/>
    <n v="-97.4"/>
    <s v="NA"/>
    <m/>
    <x v="5"/>
    <s v="Europe centrale"/>
    <n v="7"/>
    <s v="GRUBLO-5"/>
    <s v="Abschuss"/>
  </r>
  <r>
    <x v="746"/>
    <s v="ScoRus"/>
    <n v="0"/>
    <x v="1"/>
    <x v="1"/>
    <x v="0"/>
    <x v="0"/>
    <x v="728"/>
    <s v="NA"/>
    <x v="112"/>
    <x v="9"/>
    <s v="Sud de la Fennoscandinavie, Pays baltes et ouest de la Russie"/>
    <x v="3"/>
    <x v="2"/>
    <s v="Plaffein"/>
    <s v="Gurli/Schwyberg"/>
    <n v="46.703392239999999"/>
    <n v="7.2742220150000003"/>
    <n v="4"/>
    <n v="30"/>
    <x v="0"/>
    <n v="2014"/>
    <x v="29"/>
    <x v="23"/>
    <n v="45"/>
    <x v="1"/>
    <x v="1"/>
    <x v="1"/>
    <n v="587426"/>
    <n v="172478"/>
    <n v="58741724"/>
    <n v="587172"/>
    <n v="585170"/>
    <n v="587500"/>
    <n v="172500"/>
    <n v="284"/>
    <x v="0"/>
    <n v="0"/>
    <n v="0"/>
    <n v="0"/>
    <n v="-74.599999999999994"/>
    <n v="-74.599999999999994"/>
    <n v="-97.3"/>
    <s v="NA"/>
    <m/>
    <x v="5"/>
    <s v="Europe centrale"/>
    <n v="7"/>
    <s v="YERMI-005"/>
    <s v="Abschuss"/>
  </r>
  <r>
    <x v="747"/>
    <s v="ScoRus"/>
    <n v="0"/>
    <x v="1"/>
    <x v="1"/>
    <x v="0"/>
    <x v="0"/>
    <x v="729"/>
    <n v="-23.827000000000002"/>
    <x v="718"/>
    <x v="9"/>
    <s v="Sud de la Fennoscandinavie, Pays baltes et ouest de la Russie"/>
    <x v="0"/>
    <x v="0"/>
    <s v="Val-de-Travers"/>
    <s v="La Grandsonnaz"/>
    <n v="46.873895089999998"/>
    <n v="6.5532056049999996"/>
    <n v="4"/>
    <n v="27"/>
    <x v="1"/>
    <n v="2015"/>
    <x v="248"/>
    <x v="35"/>
    <n v="72"/>
    <x v="9"/>
    <x v="5"/>
    <x v="3"/>
    <n v="532500"/>
    <n v="191800"/>
    <n v="53251918"/>
    <n v="532191"/>
    <n v="530190"/>
    <n v="532500"/>
    <n v="192500"/>
    <n v="305"/>
    <x v="0"/>
    <n v="0"/>
    <n v="0"/>
    <n v="0"/>
    <n v="-74.52"/>
    <n v="-74.52"/>
    <n v="-97.3"/>
    <s v="NA"/>
    <m/>
    <x v="5"/>
    <s v="Europe centrale"/>
    <n v="7"/>
    <s v="PillJL-3"/>
    <s v="Abschuss"/>
  </r>
  <r>
    <x v="748"/>
    <s v="ScoRus"/>
    <n v="0"/>
    <x v="1"/>
    <x v="1"/>
    <x v="0"/>
    <x v="0"/>
    <x v="730"/>
    <n v="-23.58"/>
    <x v="719"/>
    <x v="9"/>
    <s v="Sud de la Fennoscandinavie, Pays baltes et ouest de la Russie"/>
    <x v="1"/>
    <x v="1"/>
    <s v="Monteceneri"/>
    <s v="Robasano"/>
    <n v="46.131973289999998"/>
    <n v="8.9383378370000006"/>
    <n v="5"/>
    <n v="8"/>
    <x v="1"/>
    <n v="2016"/>
    <x v="186"/>
    <x v="2"/>
    <n v="53"/>
    <x v="2"/>
    <x v="2"/>
    <x v="1"/>
    <n v="715900"/>
    <n v="110050"/>
    <n v="71591100"/>
    <n v="715110"/>
    <n v="715110"/>
    <n v="717500"/>
    <n v="112500"/>
    <n v="315"/>
    <x v="0"/>
    <n v="0"/>
    <n v="0"/>
    <n v="0"/>
    <n v="-74.504056800000001"/>
    <n v="-74.504056800000001"/>
    <s v="NA"/>
    <s v="NA"/>
    <m/>
    <x v="5"/>
    <s v="Europe centrale"/>
    <n v="7"/>
    <s v="PURASA-9"/>
    <s v="Abschuss"/>
  </r>
  <r>
    <x v="749"/>
    <s v="ScoRus"/>
    <n v="0"/>
    <x v="1"/>
    <x v="1"/>
    <x v="0"/>
    <x v="0"/>
    <x v="731"/>
    <n v="-22.99"/>
    <x v="720"/>
    <x v="9"/>
    <s v="Sud de la Fennoscandinavie, Pays baltes et ouest de la Russie"/>
    <x v="1"/>
    <x v="1"/>
    <s v="Gambarogno"/>
    <s v="Neggia"/>
    <n v="46.108519219999998"/>
    <n v="8.8380909970000001"/>
    <n v="4"/>
    <n v="17"/>
    <x v="0"/>
    <n v="2016"/>
    <x v="187"/>
    <x v="34"/>
    <n v="32"/>
    <x v="8"/>
    <x v="4"/>
    <x v="0"/>
    <n v="708200"/>
    <n v="107300"/>
    <n v="70821073"/>
    <n v="708107"/>
    <n v="705105"/>
    <n v="707500"/>
    <n v="107500"/>
    <n v="293"/>
    <x v="0"/>
    <n v="0"/>
    <n v="0"/>
    <n v="0"/>
    <n v="-74.470588100000001"/>
    <n v="-74.470588100000001"/>
    <s v="NA"/>
    <s v="NA"/>
    <m/>
    <x v="5"/>
    <s v="Europe centrale"/>
    <n v="7"/>
    <s v="GNOSDA-2"/>
    <s v="Abschuss"/>
  </r>
  <r>
    <x v="750"/>
    <s v="ScoRus"/>
    <n v="0"/>
    <x v="1"/>
    <x v="1"/>
    <x v="0"/>
    <x v="0"/>
    <x v="732"/>
    <n v="-23.461285709999999"/>
    <x v="721"/>
    <x v="9"/>
    <s v="Sud de la Fennoscandinavie, Pays baltes et ouest de la Russie"/>
    <x v="0"/>
    <x v="0"/>
    <s v="Couvet"/>
    <s v="Mont Brenin"/>
    <n v="46.956015890000003"/>
    <n v="6.6181995479999998"/>
    <n v="6"/>
    <n v="11"/>
    <x v="0"/>
    <n v="2014"/>
    <x v="191"/>
    <x v="95"/>
    <n v="26"/>
    <x v="37"/>
    <x v="4"/>
    <x v="4"/>
    <n v="537550"/>
    <n v="200875"/>
    <n v="53752008"/>
    <n v="537200"/>
    <n v="535200"/>
    <n v="537500"/>
    <n v="202500"/>
    <n v="297"/>
    <x v="0"/>
    <n v="0"/>
    <n v="0"/>
    <n v="0"/>
    <n v="-74.459999999999994"/>
    <n v="-74.459999999999994"/>
    <n v="-97.2"/>
    <s v="NA"/>
    <m/>
    <x v="5"/>
    <s v="Europe centrale"/>
    <n v="7"/>
    <s v="MEISHE2"/>
    <s v="Abschuss"/>
  </r>
  <r>
    <x v="751"/>
    <s v="ScoRus"/>
    <n v="0"/>
    <x v="1"/>
    <x v="1"/>
    <x v="0"/>
    <x v="0"/>
    <x v="733"/>
    <n v="-24.776199999999999"/>
    <x v="722"/>
    <x v="9"/>
    <s v="Sud de la Fennoscandinavie, Pays baltes et ouest de la Russie"/>
    <x v="1"/>
    <x v="1"/>
    <s v="Alto Malcantone"/>
    <s v="Vezio-Cassinello"/>
    <n v="46.049987739999999"/>
    <n v="8.8772168439999994"/>
    <n v="5"/>
    <n v="10"/>
    <x v="1"/>
    <n v="2015"/>
    <x v="200"/>
    <x v="19"/>
    <n v="55"/>
    <x v="2"/>
    <x v="2"/>
    <x v="1"/>
    <n v="711344"/>
    <n v="100849"/>
    <n v="71131008"/>
    <n v="711100"/>
    <n v="710100"/>
    <n v="712500"/>
    <n v="102500"/>
    <n v="277"/>
    <x v="0"/>
    <n v="0"/>
    <n v="0"/>
    <n v="0"/>
    <n v="-74.37"/>
    <n v="-74.37"/>
    <n v="-97.1"/>
    <s v="NA"/>
    <m/>
    <x v="5"/>
    <s v="Europe centrale"/>
    <n v="7"/>
    <s v="GIAMGI10"/>
    <s v="Abschuss"/>
  </r>
  <r>
    <x v="752"/>
    <s v="ScoRus"/>
    <n v="0"/>
    <x v="1"/>
    <x v="1"/>
    <x v="0"/>
    <x v="0"/>
    <x v="734"/>
    <n v="-23.774799999999999"/>
    <x v="723"/>
    <x v="9"/>
    <s v="Sud de la Fennoscandinavie, Pays baltes et ouest de la Russie"/>
    <x v="1"/>
    <x v="1"/>
    <s v="Greciano"/>
    <s v="Monti Garetto"/>
    <n v="46.28757117"/>
    <n v="9.0202638680000007"/>
    <n v="6"/>
    <n v="21"/>
    <x v="1"/>
    <n v="2015"/>
    <x v="209"/>
    <x v="36"/>
    <n v="66"/>
    <x v="5"/>
    <x v="3"/>
    <x v="2"/>
    <n v="721882"/>
    <n v="127468"/>
    <n v="72181274"/>
    <n v="721127"/>
    <n v="720125"/>
    <n v="722500"/>
    <n v="127500"/>
    <n v="250"/>
    <x v="0"/>
    <n v="0"/>
    <n v="0"/>
    <n v="0"/>
    <n v="-74.31"/>
    <n v="-74.31"/>
    <n v="-97"/>
    <s v="NA"/>
    <m/>
    <x v="5"/>
    <s v="Europe centrale"/>
    <n v="7"/>
    <s v="MENGOMA-1"/>
    <s v="Abschuss"/>
  </r>
  <r>
    <x v="753"/>
    <s v="ScoRus"/>
    <n v="0"/>
    <x v="1"/>
    <x v="1"/>
    <x v="0"/>
    <x v="0"/>
    <x v="734"/>
    <n v="-22.452400000000001"/>
    <x v="724"/>
    <x v="9"/>
    <s v="Sud de la Fennoscandinavie, Pays baltes et ouest de la Russie"/>
    <x v="1"/>
    <x v="1"/>
    <s v="Sonvico"/>
    <s v="Treció"/>
    <n v="46.077589250000003"/>
    <n v="9.0331603069999993"/>
    <n v="5"/>
    <n v="7"/>
    <x v="1"/>
    <n v="2015"/>
    <x v="177"/>
    <x v="12"/>
    <n v="52"/>
    <x v="2"/>
    <x v="2"/>
    <x v="1"/>
    <n v="723350"/>
    <n v="104150"/>
    <n v="72331041"/>
    <n v="723104"/>
    <n v="720100"/>
    <n v="722500"/>
    <n v="102500"/>
    <n v="320"/>
    <x v="0"/>
    <n v="0"/>
    <n v="0"/>
    <n v="0"/>
    <n v="-74.31"/>
    <n v="-74.31"/>
    <n v="-97.1"/>
    <s v="NA"/>
    <m/>
    <x v="5"/>
    <s v="Europe centrale"/>
    <n v="7"/>
    <s v="ANARGI-3"/>
    <s v="Abschuss"/>
  </r>
  <r>
    <x v="754"/>
    <s v="ScoRus"/>
    <n v="0"/>
    <x v="1"/>
    <x v="1"/>
    <x v="0"/>
    <x v="0"/>
    <x v="734"/>
    <n v="-23.6128"/>
    <x v="725"/>
    <x v="9"/>
    <s v="Sud de la Fennoscandinavie, Pays baltes et ouest de la Russie"/>
    <x v="1"/>
    <x v="1"/>
    <s v="Bruzzella"/>
    <s v="Alpe del Corno"/>
    <n v="45.895787110000001"/>
    <n v="9.0748120970000006"/>
    <n v="5"/>
    <n v="11"/>
    <x v="1"/>
    <n v="2015"/>
    <x v="32"/>
    <x v="7"/>
    <n v="56"/>
    <x v="2"/>
    <x v="2"/>
    <x v="1"/>
    <n v="726993"/>
    <n v="84010"/>
    <n v="72690840"/>
    <n v="726084"/>
    <n v="725080"/>
    <n v="727500"/>
    <n v="82500"/>
    <n v="310"/>
    <x v="0"/>
    <n v="0"/>
    <n v="0"/>
    <n v="0"/>
    <n v="-74.31"/>
    <n v="-74.31"/>
    <n v="-97.1"/>
    <s v="NA"/>
    <m/>
    <x v="5"/>
    <s v="Europe centrale"/>
    <n v="7"/>
    <s v="REZZONICORO-16"/>
    <s v="Abschuss"/>
  </r>
  <r>
    <x v="755"/>
    <s v="ScoRus"/>
    <n v="0"/>
    <x v="1"/>
    <x v="1"/>
    <x v="0"/>
    <x v="0"/>
    <x v="735"/>
    <n v="-23.705749999999998"/>
    <x v="726"/>
    <x v="9"/>
    <s v="Sud de la Fennoscandinavie, Pays baltes et ouest de la Russie"/>
    <x v="1"/>
    <x v="1"/>
    <s v="Bogno"/>
    <s v="Alpe Cottino"/>
    <n v="46.089753459999997"/>
    <n v="9.0477401000000004"/>
    <n v="5"/>
    <n v="28"/>
    <x v="0"/>
    <n v="2014"/>
    <x v="39"/>
    <x v="16"/>
    <n v="43"/>
    <x v="1"/>
    <x v="1"/>
    <x v="1"/>
    <n v="724450"/>
    <n v="105525"/>
    <n v="72441055"/>
    <n v="724105"/>
    <n v="720105"/>
    <n v="722500"/>
    <n v="107500"/>
    <n v="270"/>
    <x v="0"/>
    <n v="0"/>
    <n v="0"/>
    <n v="0"/>
    <n v="-74.3"/>
    <n v="-74.3"/>
    <n v="-97"/>
    <s v="NA"/>
    <m/>
    <x v="5"/>
    <s v="Europe centrale"/>
    <n v="7"/>
    <s v="ANARGI-2"/>
    <s v="Abschuss"/>
  </r>
  <r>
    <x v="756"/>
    <s v="ScoRus"/>
    <n v="0"/>
    <x v="1"/>
    <x v="1"/>
    <x v="0"/>
    <x v="0"/>
    <x v="736"/>
    <n v="-23.62"/>
    <x v="727"/>
    <x v="9"/>
    <s v="Sud de la Fennoscandinavie, Pays baltes et ouest de la Russie"/>
    <x v="1"/>
    <x v="1"/>
    <s v="Lugano"/>
    <s v="Bascomuni"/>
    <n v="46.095068079999997"/>
    <n v="9.0692357040000005"/>
    <n v="5"/>
    <n v="26"/>
    <x v="1"/>
    <n v="2016"/>
    <x v="213"/>
    <x v="31"/>
    <n v="71"/>
    <x v="7"/>
    <x v="3"/>
    <x v="2"/>
    <n v="726100"/>
    <n v="106150"/>
    <n v="72611061"/>
    <n v="726106"/>
    <n v="725105"/>
    <n v="727500"/>
    <n v="107500"/>
    <n v="310"/>
    <x v="0"/>
    <n v="0"/>
    <n v="0"/>
    <n v="0"/>
    <n v="-74.160026400000007"/>
    <n v="-74.160026400000007"/>
    <s v="NA"/>
    <s v="NA"/>
    <m/>
    <x v="5"/>
    <s v="Europe centrale"/>
    <n v="7"/>
    <s v="BIGNCA-3"/>
    <s v="Abschuss"/>
  </r>
  <r>
    <x v="757"/>
    <s v="ScoRus"/>
    <n v="0"/>
    <x v="1"/>
    <x v="1"/>
    <x v="0"/>
    <x v="0"/>
    <x v="737"/>
    <n v="-23.39"/>
    <x v="728"/>
    <x v="9"/>
    <s v="Sud de la Fennoscandinavie, Pays baltes et ouest de la Russie"/>
    <x v="1"/>
    <x v="1"/>
    <s v="Lugano"/>
    <s v="Fanghi"/>
    <n v="46.077093840000003"/>
    <n v="9.0363779300000004"/>
    <n v="5"/>
    <n v="13"/>
    <x v="1"/>
    <n v="2016"/>
    <x v="172"/>
    <x v="15"/>
    <n v="58"/>
    <x v="6"/>
    <x v="2"/>
    <x v="2"/>
    <n v="723600"/>
    <n v="104100"/>
    <n v="72361041"/>
    <n v="723104"/>
    <n v="720100"/>
    <n v="722500"/>
    <n v="102500"/>
    <n v="290"/>
    <x v="0"/>
    <n v="0"/>
    <n v="0"/>
    <n v="0"/>
    <n v="-74.093131600000007"/>
    <n v="-74.093131600000007"/>
    <s v="NA"/>
    <s v="NA"/>
    <m/>
    <x v="5"/>
    <s v="Europe centrale"/>
    <n v="7"/>
    <s v="ANARGI-3"/>
    <s v="Abschuss"/>
  </r>
  <r>
    <x v="758"/>
    <s v="ScoRus"/>
    <n v="0"/>
    <x v="1"/>
    <x v="1"/>
    <x v="0"/>
    <x v="0"/>
    <x v="738"/>
    <n v="-45.634638510000002"/>
    <x v="729"/>
    <x v="9"/>
    <s v="Sud de la Fennoscandinavie, Pays baltes et ouest de la Russie"/>
    <x v="0"/>
    <x v="0"/>
    <s v="NA"/>
    <s v="Grand Somartel"/>
    <n v="47.023205259999997"/>
    <n v="6.764829733"/>
    <n v="6"/>
    <n v="16"/>
    <x v="0"/>
    <n v="2013"/>
    <x v="249"/>
    <x v="33"/>
    <n v="31"/>
    <x v="8"/>
    <x v="4"/>
    <x v="0"/>
    <n v="548775"/>
    <n v="208238"/>
    <n v="54872082"/>
    <n v="548208"/>
    <n v="545205"/>
    <n v="547500"/>
    <n v="207500"/>
    <n v="382"/>
    <x v="0"/>
    <n v="0"/>
    <n v="0"/>
    <n v="0"/>
    <n v="-74.069999999999993"/>
    <n v="-74.069999999999993"/>
    <n v="-96.8"/>
    <s v="NA"/>
    <m/>
    <x v="5"/>
    <s v="Europe centrale"/>
    <n v="7"/>
    <s v="MEISTHE2"/>
    <s v="Abschuss"/>
  </r>
  <r>
    <x v="759"/>
    <s v="ScoRus"/>
    <n v="0"/>
    <x v="1"/>
    <x v="1"/>
    <x v="0"/>
    <x v="0"/>
    <x v="739"/>
    <n v="-21.460662079999999"/>
    <x v="730"/>
    <x v="9"/>
    <s v="Sud de la Fennoscandinavie, Pays baltes et ouest de la Russie"/>
    <x v="2"/>
    <x v="2"/>
    <s v="Noréaz"/>
    <s v="Piamont"/>
    <n v="46.804493360000002"/>
    <n v="7.0511016849999999"/>
    <n v="6"/>
    <n v="7"/>
    <x v="1"/>
    <n v="2013"/>
    <x v="12"/>
    <x v="12"/>
    <n v="52"/>
    <x v="2"/>
    <x v="2"/>
    <x v="1"/>
    <n v="570418"/>
    <n v="183777"/>
    <n v="57041837"/>
    <n v="570183"/>
    <n v="570180"/>
    <n v="572500"/>
    <n v="182500"/>
    <n v="333"/>
    <x v="0"/>
    <n v="0"/>
    <n v="0"/>
    <n v="0"/>
    <n v="-73.92"/>
    <n v="-73.92"/>
    <n v="-96.6"/>
    <s v="NA"/>
    <m/>
    <x v="5"/>
    <s v="Europe centrale"/>
    <n v="7"/>
    <s v="SAVABR-3"/>
    <s v="Abschuss"/>
  </r>
  <r>
    <x v="760"/>
    <s v="ScoRus"/>
    <n v="0"/>
    <x v="1"/>
    <x v="1"/>
    <x v="0"/>
    <x v="0"/>
    <x v="740"/>
    <s v="NA"/>
    <x v="112"/>
    <x v="9"/>
    <s v="Sud de la Fennoscandinavie, Pays baltes et ouest de la Russie"/>
    <x v="2"/>
    <x v="2"/>
    <s v="Maules"/>
    <s v="Maules, [Le Dévin Dessus]"/>
    <n v="46.64032083"/>
    <n v="7.0052993480000003"/>
    <n v="4"/>
    <n v="29"/>
    <x v="0"/>
    <n v="2014"/>
    <x v="1"/>
    <x v="1"/>
    <n v="44"/>
    <x v="1"/>
    <x v="1"/>
    <x v="1"/>
    <n v="566821"/>
    <n v="165545"/>
    <n v="56681655"/>
    <n v="566165"/>
    <n v="565165"/>
    <n v="567500"/>
    <n v="167500"/>
    <n v="307"/>
    <x v="0"/>
    <n v="0"/>
    <n v="0"/>
    <n v="0"/>
    <n v="-73.91"/>
    <n v="-73.91"/>
    <n v="-96.6"/>
    <s v="NA"/>
    <m/>
    <x v="5"/>
    <s v="Europe centrale"/>
    <n v="7"/>
    <s v="SAVABR-1"/>
    <s v="Abschuss"/>
  </r>
  <r>
    <x v="761"/>
    <s v="ScoRus"/>
    <n v="0"/>
    <x v="1"/>
    <x v="1"/>
    <x v="0"/>
    <x v="0"/>
    <x v="741"/>
    <n v="-22.521999999999998"/>
    <x v="731"/>
    <x v="9"/>
    <s v="Sud de la Fennoscandinavie, Pays baltes et ouest de la Russie"/>
    <x v="0"/>
    <x v="0"/>
    <s v="Les Verrières"/>
    <s v="La Planée"/>
    <n v="46.929369270000002"/>
    <n v="6.4823000139999998"/>
    <n v="5"/>
    <n v="14"/>
    <x v="1"/>
    <n v="2015"/>
    <x v="174"/>
    <x v="18"/>
    <n v="59"/>
    <x v="6"/>
    <x v="2"/>
    <x v="2"/>
    <n v="527170"/>
    <n v="198030"/>
    <n v="52711980"/>
    <n v="527198"/>
    <n v="525195"/>
    <n v="527500"/>
    <n v="197500"/>
    <n v="341"/>
    <x v="0"/>
    <n v="0"/>
    <n v="0"/>
    <n v="0"/>
    <n v="-73.81"/>
    <n v="-73.81"/>
    <n v="-96.5"/>
    <s v="NA"/>
    <m/>
    <x v="5"/>
    <s v="Europe centrale"/>
    <n v="7"/>
    <s v="GARIGR-1"/>
    <s v="Abschuss"/>
  </r>
  <r>
    <x v="762"/>
    <s v="ScoRus"/>
    <n v="0"/>
    <x v="1"/>
    <x v="1"/>
    <x v="0"/>
    <x v="0"/>
    <x v="742"/>
    <n v="-24.572285709999999"/>
    <x v="732"/>
    <x v="9"/>
    <s v="Sud de la Fennoscandinavie, Pays baltes et ouest de la Russie"/>
    <x v="0"/>
    <x v="0"/>
    <s v="Cernier"/>
    <s v="La Gautereine"/>
    <n v="47.088038230000002"/>
    <n v="6.8832036739999998"/>
    <n v="6"/>
    <n v="24"/>
    <x v="0"/>
    <n v="2014"/>
    <x v="250"/>
    <x v="14"/>
    <n v="39"/>
    <x v="0"/>
    <x v="0"/>
    <x v="0"/>
    <n v="557825"/>
    <n v="215375"/>
    <n v="55782153"/>
    <n v="557215"/>
    <n v="555215"/>
    <n v="557500"/>
    <n v="217500"/>
    <n v="315"/>
    <x v="0"/>
    <n v="0"/>
    <n v="0"/>
    <n v="0"/>
    <n v="-73.77"/>
    <n v="-73.77"/>
    <n v="-96.5"/>
    <s v="NA"/>
    <m/>
    <x v="5"/>
    <s v="Europe centrale"/>
    <n v="7"/>
    <s v="MEISHE7"/>
    <s v="Abschuss"/>
  </r>
  <r>
    <x v="763"/>
    <s v="ScoRus"/>
    <n v="0"/>
    <x v="1"/>
    <x v="1"/>
    <x v="0"/>
    <x v="0"/>
    <x v="743"/>
    <n v="-23.49"/>
    <x v="404"/>
    <x v="9"/>
    <s v="Sud de la Fennoscandinavie, Pays baltes et ouest de la Russie"/>
    <x v="1"/>
    <x v="1"/>
    <s v="Medeglia"/>
    <s v="Mt Dana"/>
    <n v="46.109432769999998"/>
    <n v="8.9739903769999998"/>
    <n v="5"/>
    <n v="22"/>
    <x v="0"/>
    <n v="2016"/>
    <x v="25"/>
    <x v="21"/>
    <n v="37"/>
    <x v="4"/>
    <x v="0"/>
    <x v="0"/>
    <n v="718704"/>
    <n v="107598"/>
    <n v="71871075"/>
    <n v="718107"/>
    <n v="715105"/>
    <n v="717500"/>
    <n v="107500"/>
    <n v="305"/>
    <x v="0"/>
    <n v="0"/>
    <n v="0"/>
    <n v="0"/>
    <n v="-73.764476799999997"/>
    <n v="-73.764476799999997"/>
    <s v="NA"/>
    <s v="NA"/>
    <m/>
    <x v="5"/>
    <s v="Europe centrale"/>
    <n v="7"/>
    <s v="BURIMA-2"/>
    <s v="Abschuss"/>
  </r>
  <r>
    <x v="764"/>
    <s v="ScoRus"/>
    <n v="0"/>
    <x v="1"/>
    <x v="1"/>
    <x v="0"/>
    <x v="0"/>
    <x v="744"/>
    <n v="-24.48"/>
    <x v="733"/>
    <x v="9"/>
    <s v="Sud de la Fennoscandinavie, Pays baltes et ouest de la Russie"/>
    <x v="1"/>
    <x v="1"/>
    <s v="Onsernone"/>
    <s v="Salmone"/>
    <n v="46.208113580000003"/>
    <n v="8.6934256009999995"/>
    <n v="5"/>
    <n v="22"/>
    <x v="0"/>
    <n v="2016"/>
    <x v="25"/>
    <x v="21"/>
    <n v="37"/>
    <x v="4"/>
    <x v="0"/>
    <x v="0"/>
    <n v="696839"/>
    <n v="118181"/>
    <n v="69681181"/>
    <n v="696118"/>
    <n v="695115"/>
    <n v="697500"/>
    <n v="117500"/>
    <n v="330"/>
    <x v="0"/>
    <n v="0"/>
    <n v="0"/>
    <n v="0"/>
    <n v="-73.761766199999997"/>
    <n v="-73.761766199999997"/>
    <s v="NA"/>
    <s v="NA"/>
    <m/>
    <x v="5"/>
    <s v="Europe centrale"/>
    <n v="7"/>
    <s v="FISCIV-4"/>
    <s v="Abschuss"/>
  </r>
  <r>
    <x v="765"/>
    <s v="ScoRus"/>
    <n v="0"/>
    <x v="1"/>
    <x v="1"/>
    <x v="0"/>
    <x v="0"/>
    <x v="745"/>
    <n v="-24.06"/>
    <x v="649"/>
    <x v="9"/>
    <s v="Sud de la Fennoscandinavie, Pays baltes et ouest de la Russie"/>
    <x v="0"/>
    <x v="0"/>
    <s v="La Brévine"/>
    <s v="Les Coeudres"/>
    <n v="46.9919425"/>
    <n v="6.6902468800000001"/>
    <n v="6"/>
    <n v="1"/>
    <x v="1"/>
    <n v="2016"/>
    <x v="147"/>
    <x v="17"/>
    <n v="46"/>
    <x v="1"/>
    <x v="1"/>
    <x v="1"/>
    <n v="543072"/>
    <n v="204814"/>
    <n v="54302048"/>
    <n v="543204"/>
    <n v="540200"/>
    <n v="542500"/>
    <n v="202500"/>
    <n v="300"/>
    <x v="0"/>
    <n v="0"/>
    <n v="0"/>
    <n v="0"/>
    <n v="-73.746802599999995"/>
    <n v="-73.746802599999995"/>
    <s v="NA"/>
    <s v="NA"/>
    <m/>
    <x v="5"/>
    <s v="Europe centrale"/>
    <n v="7"/>
    <s v="ANKEFR-3"/>
    <s v="Abschuss"/>
  </r>
  <r>
    <x v="766"/>
    <s v="ScoRus"/>
    <n v="0"/>
    <x v="1"/>
    <x v="1"/>
    <x v="0"/>
    <x v="0"/>
    <x v="746"/>
    <n v="-23.540401989999999"/>
    <x v="734"/>
    <x v="9"/>
    <s v="Sud de la Fennoscandinavie, Pays baltes et ouest de la Russie"/>
    <x v="1"/>
    <x v="1"/>
    <s v="Tesserete"/>
    <s v="Ranscea - Gola di Lago"/>
    <n v="46.101964529999997"/>
    <n v="8.9620879240000004"/>
    <n v="5"/>
    <n v="3"/>
    <x v="1"/>
    <n v="2015"/>
    <x v="204"/>
    <x v="25"/>
    <n v="48"/>
    <x v="3"/>
    <x v="1"/>
    <x v="1"/>
    <n v="717800"/>
    <n v="106750"/>
    <n v="71781067"/>
    <n v="717106"/>
    <n v="715105"/>
    <n v="717500"/>
    <n v="107500"/>
    <n v="304"/>
    <x v="0"/>
    <n v="0"/>
    <n v="0"/>
    <n v="0"/>
    <n v="-73.739999999999995"/>
    <n v="-73.739999999999995"/>
    <n v="-96.5"/>
    <s v="NA"/>
    <m/>
    <x v="5"/>
    <s v="Europe centrale"/>
    <n v="7"/>
    <s v="GRUBLO-4"/>
    <s v="Abschuss"/>
  </r>
  <r>
    <x v="767"/>
    <s v="ScoRus"/>
    <n v="0"/>
    <x v="1"/>
    <x v="1"/>
    <x v="0"/>
    <x v="0"/>
    <x v="747"/>
    <n v="-23.152774189999999"/>
    <x v="735"/>
    <x v="9"/>
    <s v="Sud de la Fennoscandinavie, Pays baltes et ouest de la Russie"/>
    <x v="1"/>
    <x v="1"/>
    <s v="Cadenazzo"/>
    <s v="Prato Grasso"/>
    <n v="46.135189779999997"/>
    <n v="8.9332495329999997"/>
    <n v="5"/>
    <n v="24"/>
    <x v="0"/>
    <n v="2015"/>
    <x v="165"/>
    <x v="14"/>
    <n v="39"/>
    <x v="0"/>
    <x v="0"/>
    <x v="0"/>
    <n v="715500"/>
    <n v="110400"/>
    <n v="71551104"/>
    <n v="715110"/>
    <n v="715110"/>
    <n v="717500"/>
    <n v="112500"/>
    <n v="275"/>
    <x v="0"/>
    <n v="0"/>
    <n v="0"/>
    <n v="0"/>
    <n v="-73.680000000000007"/>
    <n v="-73.680000000000007"/>
    <n v="-96.4"/>
    <s v="NA"/>
    <m/>
    <x v="5"/>
    <s v="Europe centrale"/>
    <n v="7"/>
    <s v="PURASA-5"/>
    <s v="Abschuss"/>
  </r>
  <r>
    <x v="768"/>
    <s v="ScoRus"/>
    <n v="0"/>
    <x v="1"/>
    <x v="1"/>
    <x v="0"/>
    <x v="0"/>
    <x v="748"/>
    <n v="-23.98"/>
    <x v="736"/>
    <x v="9"/>
    <s v="Sud de la Fennoscandinavie, Pays baltes et ouest de la Russie"/>
    <x v="1"/>
    <x v="1"/>
    <s v="Lugano"/>
    <s v="Alpe cottino"/>
    <n v="46.091273630000003"/>
    <n v="9.0827008060000001"/>
    <n v="5"/>
    <n v="27"/>
    <x v="1"/>
    <n v="2016"/>
    <x v="159"/>
    <x v="35"/>
    <n v="72"/>
    <x v="9"/>
    <x v="5"/>
    <x v="3"/>
    <n v="727150"/>
    <n v="105750"/>
    <n v="72711057"/>
    <n v="727105"/>
    <n v="725105"/>
    <n v="727500"/>
    <n v="107500"/>
    <n v="320"/>
    <x v="0"/>
    <n v="0"/>
    <n v="0"/>
    <n v="0"/>
    <n v="-73.642615599999999"/>
    <n v="-73.642615599999999"/>
    <s v="NA"/>
    <s v="NA"/>
    <m/>
    <x v="5"/>
    <s v="Europe centrale"/>
    <n v="7"/>
    <s v="ANARGI-6"/>
    <s v="Abschuss"/>
  </r>
  <r>
    <x v="769"/>
    <s v="ScoRus"/>
    <n v="0"/>
    <x v="1"/>
    <x v="1"/>
    <x v="0"/>
    <x v="0"/>
    <x v="749"/>
    <n v="-24.431285710000001"/>
    <x v="737"/>
    <x v="9"/>
    <s v="Sud de la Fennoscandinavie, Pays baltes et ouest de la Russie"/>
    <x v="0"/>
    <x v="0"/>
    <s v="Cernier"/>
    <s v="Combe-d Amin"/>
    <n v="47.079077150000003"/>
    <n v="6.8846791200000004"/>
    <n v="6"/>
    <n v="13"/>
    <x v="0"/>
    <n v="2014"/>
    <x v="251"/>
    <x v="41"/>
    <n v="28"/>
    <x v="8"/>
    <x v="4"/>
    <x v="0"/>
    <n v="557930"/>
    <n v="214378"/>
    <n v="55792143"/>
    <n v="557214"/>
    <n v="555210"/>
    <n v="557500"/>
    <n v="212500"/>
    <n v="370"/>
    <x v="0"/>
    <n v="0"/>
    <n v="0"/>
    <n v="0"/>
    <n v="-73.58"/>
    <n v="-73.58"/>
    <n v="-96.3"/>
    <s v="NA"/>
    <m/>
    <x v="5"/>
    <s v="Europe centrale"/>
    <n v="7"/>
    <s v="PFISEP-1"/>
    <s v="Abschuss"/>
  </r>
  <r>
    <x v="770"/>
    <s v="ScoRus"/>
    <n v="0"/>
    <x v="1"/>
    <x v="1"/>
    <x v="0"/>
    <x v="0"/>
    <x v="750"/>
    <n v="-23.08"/>
    <x v="738"/>
    <x v="9"/>
    <s v="Sud de la Fennoscandinavie, Pays baltes et ouest de la Russie"/>
    <x v="1"/>
    <x v="1"/>
    <s v="Monteceneri"/>
    <s v="Mt Fornè"/>
    <n v="46.081158330000001"/>
    <n v="8.9026804380000009"/>
    <n v="4"/>
    <n v="27"/>
    <x v="0"/>
    <n v="2016"/>
    <x v="149"/>
    <x v="6"/>
    <n v="42"/>
    <x v="0"/>
    <x v="0"/>
    <x v="0"/>
    <n v="713250"/>
    <n v="104350"/>
    <n v="71321043"/>
    <n v="713104"/>
    <n v="710100"/>
    <n v="712500"/>
    <n v="102500"/>
    <n v="290"/>
    <x v="0"/>
    <n v="0"/>
    <n v="0"/>
    <n v="0"/>
    <n v="-73.510198000000003"/>
    <n v="-73.510198000000003"/>
    <s v="NA"/>
    <s v="NA"/>
    <m/>
    <x v="5"/>
    <s v="Europe centrale"/>
    <n v="7"/>
    <s v="RICHAD-4"/>
    <s v="Abschuss"/>
  </r>
  <r>
    <x v="771"/>
    <s v="ScoRus"/>
    <n v="0"/>
    <x v="1"/>
    <x v="1"/>
    <x v="0"/>
    <x v="0"/>
    <x v="751"/>
    <s v="NA"/>
    <x v="739"/>
    <x v="9"/>
    <s v="Sud de la Fennoscandinavie, Pays baltes et ouest de la Russie"/>
    <x v="1"/>
    <x v="1"/>
    <s v="Gambarogno"/>
    <s v="Brono"/>
    <n v="46.143173109999999"/>
    <n v="8.8684265599999996"/>
    <n v="6"/>
    <n v="11"/>
    <x v="1"/>
    <n v="2017"/>
    <x v="77"/>
    <x v="7"/>
    <n v="56"/>
    <x v="2"/>
    <x v="2"/>
    <x v="1"/>
    <n v="710475"/>
    <n v="111194"/>
    <n v="71041111"/>
    <n v="710111"/>
    <n v="710110"/>
    <n v="712500"/>
    <n v="112500"/>
    <n v="285"/>
    <x v="0"/>
    <n v="0"/>
    <n v="0"/>
    <n v="0"/>
    <n v="-73.363537199999996"/>
    <n v="-73.363537199999996"/>
    <s v="NA"/>
    <s v="NA"/>
    <m/>
    <x v="5"/>
    <s v="Europe centrale"/>
    <n v="7"/>
    <s v="ESPOMA-2"/>
    <s v="Abschuss"/>
  </r>
  <r>
    <x v="772"/>
    <s v="ScoRus"/>
    <n v="0"/>
    <x v="1"/>
    <x v="1"/>
    <x v="0"/>
    <x v="0"/>
    <x v="752"/>
    <n v="-24.22"/>
    <x v="740"/>
    <x v="9"/>
    <s v="Sud de la Fennoscandinavie, Pays baltes et ouest de la Russie"/>
    <x v="1"/>
    <x v="1"/>
    <s v="Centovalli"/>
    <s v="NA"/>
    <n v="46.179947140000003"/>
    <n v="8.6520439339999999"/>
    <n v="5"/>
    <n v="2"/>
    <x v="1"/>
    <n v="2016"/>
    <x v="4"/>
    <x v="4"/>
    <n v="47"/>
    <x v="3"/>
    <x v="1"/>
    <x v="1"/>
    <n v="693694"/>
    <n v="115000"/>
    <n v="69361150"/>
    <n v="693115"/>
    <n v="690115"/>
    <n v="692500"/>
    <n v="117500"/>
    <n v="273"/>
    <x v="0"/>
    <n v="0"/>
    <n v="0"/>
    <n v="0"/>
    <n v="-73.324004299999999"/>
    <n v="-73.324004299999999"/>
    <s v="NA"/>
    <s v="NA"/>
    <m/>
    <x v="5"/>
    <s v="Europe centrale"/>
    <n v="7"/>
    <s v="FISCIV-13"/>
    <s v="Abschuss"/>
  </r>
  <r>
    <x v="773"/>
    <s v="ScoRus"/>
    <n v="0"/>
    <x v="1"/>
    <x v="1"/>
    <x v="0"/>
    <x v="0"/>
    <x v="753"/>
    <n v="-22.631"/>
    <x v="741"/>
    <x v="9"/>
    <s v="Sud de la Fennoscandinavie, Pays baltes et ouest de la Russie"/>
    <x v="0"/>
    <x v="3"/>
    <s v="Bullet"/>
    <s v="Haut de la Grandsonnaz"/>
    <n v="46.862167929999998"/>
    <n v="6.5524935749999997"/>
    <n v="6"/>
    <n v="3"/>
    <x v="1"/>
    <n v="2015"/>
    <x v="204"/>
    <x v="25"/>
    <n v="48"/>
    <x v="3"/>
    <x v="1"/>
    <x v="1"/>
    <n v="532431"/>
    <n v="190497"/>
    <n v="53241904"/>
    <n v="532190"/>
    <n v="530190"/>
    <n v="532500"/>
    <n v="192500"/>
    <n v="312"/>
    <x v="0"/>
    <n v="0"/>
    <n v="0"/>
    <n v="0"/>
    <n v="-73.290000000000006"/>
    <n v="-73.290000000000006"/>
    <n v="-96"/>
    <s v="NA"/>
    <m/>
    <x v="5"/>
    <s v="Europe centrale"/>
    <n v="7"/>
    <s v="GARIJE-1"/>
    <s v="Abschuss"/>
  </r>
  <r>
    <x v="774"/>
    <s v="ScoRus"/>
    <n v="0"/>
    <x v="1"/>
    <x v="1"/>
    <x v="0"/>
    <x v="0"/>
    <x v="754"/>
    <n v="-25.457576509999999"/>
    <x v="742"/>
    <x v="9"/>
    <s v="Sud de la Fennoscandinavie, Pays baltes et ouest de la Russie"/>
    <x v="1"/>
    <x v="1"/>
    <s v="Torricella"/>
    <s v="Monti di Torricella"/>
    <n v="46.071065359999999"/>
    <n v="8.9004709149999996"/>
    <n v="4"/>
    <n v="5"/>
    <x v="1"/>
    <n v="2015"/>
    <x v="233"/>
    <x v="22"/>
    <n v="50"/>
    <x v="3"/>
    <x v="1"/>
    <x v="1"/>
    <n v="713100"/>
    <n v="103225"/>
    <n v="71311032"/>
    <n v="713103"/>
    <n v="710100"/>
    <n v="712500"/>
    <n v="102500"/>
    <n v="310"/>
    <x v="0"/>
    <n v="0"/>
    <n v="0"/>
    <n v="0"/>
    <n v="-73.22"/>
    <n v="-73.22"/>
    <n v="-95.9"/>
    <s v="NA"/>
    <m/>
    <x v="5"/>
    <s v="Europe centrale"/>
    <n v="7"/>
    <s v="RICHAD-6"/>
    <s v="Abschuss"/>
  </r>
  <r>
    <x v="775"/>
    <s v="ScoRus"/>
    <n v="0"/>
    <x v="1"/>
    <x v="1"/>
    <x v="0"/>
    <x v="0"/>
    <x v="755"/>
    <n v="-23.37"/>
    <x v="743"/>
    <x v="9"/>
    <s v="Sud de la Fennoscandinavie, Pays baltes et ouest de la Russie"/>
    <x v="1"/>
    <x v="1"/>
    <s v="Bruzella"/>
    <s v="Alpe Nuovo"/>
    <n v="45.896091679999998"/>
    <n v="9.0835319610000003"/>
    <n v="5"/>
    <n v="8"/>
    <x v="1"/>
    <n v="2016"/>
    <x v="186"/>
    <x v="2"/>
    <n v="53"/>
    <x v="2"/>
    <x v="2"/>
    <x v="1"/>
    <n v="727669"/>
    <n v="84058"/>
    <n v="72760840"/>
    <n v="727084"/>
    <n v="725080"/>
    <n v="727500"/>
    <n v="82500"/>
    <n v="310"/>
    <x v="0"/>
    <n v="0"/>
    <n v="0"/>
    <n v="0"/>
    <n v="-73.174921299999994"/>
    <n v="-73.174921299999994"/>
    <s v="NA"/>
    <s v="NA"/>
    <m/>
    <x v="5"/>
    <s v="Europe centrale"/>
    <n v="7"/>
    <s v="REZZRO-9"/>
    <s v="Abschuss"/>
  </r>
  <r>
    <x v="776"/>
    <s v="ScoRus"/>
    <n v="0"/>
    <x v="1"/>
    <x v="1"/>
    <x v="0"/>
    <x v="0"/>
    <x v="756"/>
    <n v="-79.121606720000003"/>
    <x v="744"/>
    <x v="9"/>
    <s v="Sud de la Fennoscandinavie, Pays baltes et ouest de la Russie"/>
    <x v="2"/>
    <x v="2"/>
    <s v="Auboranges"/>
    <s v="NA"/>
    <n v="46.59123864"/>
    <n v="6.794024662"/>
    <n v="4"/>
    <n v="7"/>
    <x v="1"/>
    <n v="2013"/>
    <x v="12"/>
    <x v="12"/>
    <n v="52"/>
    <x v="2"/>
    <x v="2"/>
    <x v="1"/>
    <n v="550600"/>
    <n v="160200"/>
    <n v="55061602"/>
    <n v="550160"/>
    <n v="550160"/>
    <n v="552500"/>
    <n v="162500"/>
    <n v="328"/>
    <x v="0"/>
    <n v="0"/>
    <n v="0"/>
    <n v="0"/>
    <n v="-73.08"/>
    <n v="-73.08"/>
    <n v="-95.8"/>
    <s v="NA"/>
    <m/>
    <x v="5"/>
    <s v="Europe centrale"/>
    <n v="7"/>
    <s v="BLANDA4"/>
    <s v="Abschuss"/>
  </r>
  <r>
    <x v="777"/>
    <s v="ScoRus"/>
    <n v="0"/>
    <x v="1"/>
    <x v="1"/>
    <x v="0"/>
    <x v="0"/>
    <x v="757"/>
    <n v="-23.42"/>
    <x v="745"/>
    <x v="9"/>
    <s v="Sud de la Fennoscandinavie, Pays baltes et ouest de la Russie"/>
    <x v="0"/>
    <x v="0"/>
    <s v="Les Bayards"/>
    <s v="Les Econduits"/>
    <n v="46.93102047"/>
    <n v="6.541864093"/>
    <s v="NA"/>
    <n v="15"/>
    <x v="0"/>
    <n v="2016"/>
    <x v="252"/>
    <x v="105"/>
    <n v="30"/>
    <x v="8"/>
    <x v="4"/>
    <x v="0"/>
    <n v="531708"/>
    <n v="198160"/>
    <n v="53171981"/>
    <n v="531198"/>
    <n v="530195"/>
    <n v="532500"/>
    <n v="197500"/>
    <n v="280"/>
    <x v="0"/>
    <n v="0"/>
    <n v="0"/>
    <n v="0"/>
    <n v="-73.077977799999999"/>
    <n v="-73.077977799999999"/>
    <s v="NA"/>
    <s v="NA"/>
    <m/>
    <x v="5"/>
    <s v="Europe centrale"/>
    <n v="7"/>
    <s v="ANKEFR-1"/>
    <s v="Abschuss"/>
  </r>
  <r>
    <x v="778"/>
    <s v="ScoRus"/>
    <n v="0"/>
    <x v="1"/>
    <x v="1"/>
    <x v="0"/>
    <x v="0"/>
    <x v="758"/>
    <n v="-23.285133999999999"/>
    <x v="746"/>
    <x v="9"/>
    <s v="Sud de la Fennoscandinavie, Pays baltes et ouest de la Russie"/>
    <x v="0"/>
    <x v="0"/>
    <s v="Val-de-Travers"/>
    <s v="Chez le Brandt"/>
    <n v="46.937379649999997"/>
    <n v="6.4688661539999996"/>
    <n v="6"/>
    <n v="3"/>
    <x v="1"/>
    <n v="2015"/>
    <x v="204"/>
    <x v="25"/>
    <n v="48"/>
    <x v="3"/>
    <x v="1"/>
    <x v="1"/>
    <n v="526158"/>
    <n v="198933"/>
    <n v="52611989"/>
    <n v="526198"/>
    <n v="525195"/>
    <n v="527500"/>
    <n v="197500"/>
    <n v="321"/>
    <x v="0"/>
    <n v="0"/>
    <n v="0"/>
    <n v="0"/>
    <n v="-73.06"/>
    <n v="-73.06"/>
    <n v="-95.8"/>
    <s v="NA"/>
    <m/>
    <x v="5"/>
    <s v="Europe centrale"/>
    <n v="7"/>
    <s v="MEISHE-7"/>
    <s v="Abschuss"/>
  </r>
  <r>
    <x v="779"/>
    <s v="ScoRus"/>
    <n v="0"/>
    <x v="1"/>
    <x v="1"/>
    <x v="0"/>
    <x v="0"/>
    <x v="759"/>
    <n v="-46.572207499999998"/>
    <x v="747"/>
    <x v="9"/>
    <s v="Sud de la Fennoscandinavie, Pays baltes et ouest de la Russie"/>
    <x v="2"/>
    <x v="2"/>
    <s v="Marsens"/>
    <s v="NA"/>
    <n v="46.648526369999999"/>
    <n v="7.0225939000000004"/>
    <n v="6"/>
    <n v="9"/>
    <x v="1"/>
    <n v="2013"/>
    <x v="5"/>
    <x v="5"/>
    <n v="54"/>
    <x v="2"/>
    <x v="2"/>
    <x v="1"/>
    <n v="568150"/>
    <n v="166450"/>
    <n v="56811664"/>
    <n v="568166"/>
    <n v="565165"/>
    <n v="567500"/>
    <n v="167500"/>
    <n v="295"/>
    <x v="0"/>
    <n v="0"/>
    <n v="0"/>
    <n v="0"/>
    <n v="-73.05"/>
    <n v="-73.05"/>
    <n v="-95.8"/>
    <s v="NA"/>
    <m/>
    <x v="5"/>
    <s v="Europe centrale"/>
    <n v="7"/>
    <s v="SAVALU2"/>
    <s v="Abschuss"/>
  </r>
  <r>
    <x v="780"/>
    <s v="ScoRus"/>
    <n v="0"/>
    <x v="1"/>
    <x v="1"/>
    <x v="0"/>
    <x v="0"/>
    <x v="760"/>
    <n v="-23.671775019999998"/>
    <x v="748"/>
    <x v="9"/>
    <s v="Sud de la Fennoscandinavie, Pays baltes et ouest de la Russie"/>
    <x v="1"/>
    <x v="1"/>
    <s v="Tesserete"/>
    <s v="Gola di lago - Altari"/>
    <n v="46.108463919999998"/>
    <n v="8.9803791870000005"/>
    <n v="5"/>
    <n v="17"/>
    <x v="0"/>
    <n v="2015"/>
    <x v="47"/>
    <x v="34"/>
    <n v="32"/>
    <x v="8"/>
    <x v="4"/>
    <x v="0"/>
    <n v="719200"/>
    <n v="107500"/>
    <n v="71921075"/>
    <n v="719107"/>
    <n v="715105"/>
    <n v="717500"/>
    <n v="107500"/>
    <n v="316"/>
    <x v="0"/>
    <n v="0"/>
    <n v="0"/>
    <n v="0"/>
    <n v="-72.95"/>
    <n v="-72.95"/>
    <n v="-95.7"/>
    <s v="NA"/>
    <m/>
    <x v="5"/>
    <s v="Europe centrale"/>
    <n v="7"/>
    <s v="GRUBLO-1"/>
    <s v="Abschuss"/>
  </r>
  <r>
    <x v="781"/>
    <s v="ScoRus"/>
    <n v="0"/>
    <x v="1"/>
    <x v="1"/>
    <x v="0"/>
    <x v="0"/>
    <x v="761"/>
    <n v="-24.484285710000002"/>
    <x v="749"/>
    <x v="9"/>
    <s v="Sud de la Fennoscandinavie, Pays baltes et ouest de la Russie"/>
    <x v="0"/>
    <x v="0"/>
    <s v="Rochefort"/>
    <s v="Combe-aux-Fées"/>
    <n v="46.971571849999997"/>
    <n v="6.7618634350000004"/>
    <n v="6"/>
    <n v="3"/>
    <x v="1"/>
    <n v="2014"/>
    <x v="223"/>
    <x v="25"/>
    <n v="48"/>
    <x v="3"/>
    <x v="1"/>
    <x v="1"/>
    <n v="548500"/>
    <n v="202500"/>
    <n v="54852025"/>
    <n v="548202"/>
    <n v="545200"/>
    <n v="547500"/>
    <n v="202500"/>
    <n v="286"/>
    <x v="0"/>
    <n v="0"/>
    <n v="0"/>
    <n v="0"/>
    <n v="-72.900000000000006"/>
    <n v="-72.900000000000006"/>
    <n v="-95.6"/>
    <s v="NA"/>
    <m/>
    <x v="5"/>
    <s v="Europe centrale"/>
    <n v="7"/>
    <s v="MEISHE9"/>
    <s v="Abschuss"/>
  </r>
  <r>
    <x v="782"/>
    <s v="ScoRus"/>
    <n v="0"/>
    <x v="1"/>
    <x v="1"/>
    <x v="0"/>
    <x v="0"/>
    <x v="762"/>
    <n v="-23.46"/>
    <x v="694"/>
    <x v="9"/>
    <s v="Sud de la Fennoscandinavie, Pays baltes et ouest de la Russie"/>
    <x v="2"/>
    <x v="2"/>
    <s v="Neyruz"/>
    <s v="NA"/>
    <n v="46.76700881"/>
    <n v="7.0457810470000002"/>
    <n v="5"/>
    <n v="19"/>
    <x v="1"/>
    <n v="2016"/>
    <x v="53"/>
    <x v="37"/>
    <n v="64"/>
    <x v="5"/>
    <x v="3"/>
    <x v="2"/>
    <n v="569991"/>
    <n v="179612"/>
    <n v="56991796"/>
    <n v="569179"/>
    <n v="565175"/>
    <n v="567500"/>
    <n v="177500"/>
    <n v="331"/>
    <x v="0"/>
    <n v="0"/>
    <n v="0"/>
    <n v="0"/>
    <n v="-72.875373199999999"/>
    <n v="-72.875373199999999"/>
    <s v="NA"/>
    <s v="NA"/>
    <m/>
    <x v="5"/>
    <s v="Europe centrale"/>
    <n v="7"/>
    <s v="SAVARBR-10"/>
    <s v="Abschuss"/>
  </r>
  <r>
    <x v="783"/>
    <s v="ScoRus"/>
    <n v="0"/>
    <x v="1"/>
    <x v="1"/>
    <x v="0"/>
    <x v="0"/>
    <x v="763"/>
    <n v="-24.14"/>
    <x v="688"/>
    <x v="9"/>
    <s v="Sud de la Fennoscandinavie, Pays baltes et ouest de la Russie"/>
    <x v="2"/>
    <x v="2"/>
    <s v="Neyruz"/>
    <s v="Les possessions "/>
    <n v="46.76863917"/>
    <n v="7.0464106659999999"/>
    <n v="5"/>
    <n v="12"/>
    <x v="1"/>
    <n v="2016"/>
    <x v="193"/>
    <x v="26"/>
    <n v="57"/>
    <x v="6"/>
    <x v="2"/>
    <x v="2"/>
    <n v="570040"/>
    <n v="179793"/>
    <n v="57001797"/>
    <n v="570179"/>
    <n v="570175"/>
    <n v="572500"/>
    <n v="177500"/>
    <n v="339"/>
    <x v="0"/>
    <n v="0"/>
    <n v="0"/>
    <n v="0"/>
    <n v="-72.822130400000006"/>
    <n v="-72.822130400000006"/>
    <s v="NA"/>
    <s v="NA"/>
    <m/>
    <x v="5"/>
    <s v="Europe centrale"/>
    <n v="7"/>
    <s v="SAVALU-2"/>
    <s v="Abschuss"/>
  </r>
  <r>
    <x v="784"/>
    <s v="ScoRus"/>
    <n v="0"/>
    <x v="1"/>
    <x v="1"/>
    <x v="0"/>
    <x v="0"/>
    <x v="764"/>
    <n v="-24.05"/>
    <x v="508"/>
    <x v="9"/>
    <s v="Sud de la Fennoscandinavie, Pays baltes et ouest de la Russie"/>
    <x v="1"/>
    <x v="1"/>
    <s v="Redemonte"/>
    <s v="NA"/>
    <n v="46.192037229999997"/>
    <n v="8.7030435149999992"/>
    <n v="6"/>
    <n v="25"/>
    <x v="0"/>
    <n v="2016"/>
    <x v="157"/>
    <x v="8"/>
    <n v="40"/>
    <x v="0"/>
    <x v="0"/>
    <x v="0"/>
    <n v="697610"/>
    <n v="116406"/>
    <n v="69761164"/>
    <n v="697116"/>
    <n v="695115"/>
    <n v="697500"/>
    <n v="117500"/>
    <n v="303"/>
    <x v="0"/>
    <n v="0"/>
    <n v="0"/>
    <n v="0"/>
    <n v="-72.731738199999995"/>
    <n v="-72.731738199999995"/>
    <s v="NA"/>
    <s v="NA"/>
    <m/>
    <x v="5"/>
    <s v="Europe centrale"/>
    <n v="7"/>
    <s v="CAVACO-5"/>
    <s v="Abschuss"/>
  </r>
  <r>
    <x v="785"/>
    <s v="ScoRus"/>
    <n v="0"/>
    <x v="1"/>
    <x v="1"/>
    <x v="0"/>
    <x v="0"/>
    <x v="765"/>
    <n v="-23.172348639999999"/>
    <x v="750"/>
    <x v="9"/>
    <s v="Sud de la Fennoscandinavie, Pays baltes et ouest de la Russie"/>
    <x v="1"/>
    <x v="1"/>
    <s v="Aurigeno"/>
    <s v="Gacina"/>
    <n v="46.226024420000002"/>
    <n v="8.6838050819999992"/>
    <n v="6"/>
    <n v="14"/>
    <x v="1"/>
    <n v="2015"/>
    <x v="174"/>
    <x v="18"/>
    <n v="59"/>
    <x v="6"/>
    <x v="2"/>
    <x v="2"/>
    <n v="696065"/>
    <n v="120160"/>
    <n v="69601201"/>
    <n v="696120"/>
    <n v="695120"/>
    <n v="697500"/>
    <n v="122500"/>
    <n v="328"/>
    <x v="0"/>
    <n v="0"/>
    <n v="0"/>
    <n v="0"/>
    <n v="-72.680000000000007"/>
    <n v="-72.680000000000007"/>
    <n v="-95.4"/>
    <s v="NA"/>
    <m/>
    <x v="5"/>
    <s v="Europe centrale"/>
    <n v="7"/>
    <s v="CAVALLIMA7"/>
    <s v="Abschuss"/>
  </r>
  <r>
    <x v="786"/>
    <s v="ScoRus"/>
    <n v="0"/>
    <x v="1"/>
    <x v="1"/>
    <x v="0"/>
    <x v="0"/>
    <x v="766"/>
    <n v="-23.827999999999999"/>
    <x v="751"/>
    <x v="9"/>
    <s v="Sud de la Fennoscandinavie, Pays baltes et ouest de la Russie"/>
    <x v="2"/>
    <x v="3"/>
    <s v="La Rippe"/>
    <s v="Vandôme"/>
    <n v="46.391134450000003"/>
    <n v="6.2035300290000004"/>
    <n v="4"/>
    <n v="4"/>
    <x v="9"/>
    <n v="2015"/>
    <x v="253"/>
    <x v="100"/>
    <n v="79"/>
    <x v="34"/>
    <x v="5"/>
    <x v="3"/>
    <n v="505000"/>
    <n v="138500"/>
    <n v="50501385"/>
    <n v="505138"/>
    <n v="505135"/>
    <n v="507500"/>
    <n v="137500"/>
    <n v="364"/>
    <x v="0"/>
    <n v="0"/>
    <n v="0"/>
    <n v="0"/>
    <n v="-72.489999999999995"/>
    <n v="-72.489999999999995"/>
    <n v="-95.2"/>
    <s v="NA"/>
    <m/>
    <x v="5"/>
    <s v="Europe centrale"/>
    <n v="7"/>
    <s v="ROSSAL-1"/>
    <s v="Abschuss"/>
  </r>
  <r>
    <x v="787"/>
    <s v="ScoRus"/>
    <n v="0"/>
    <x v="1"/>
    <x v="1"/>
    <x v="0"/>
    <x v="0"/>
    <x v="767"/>
    <n v="-24.674528540000001"/>
    <x v="752"/>
    <x v="9"/>
    <s v="Sud de la Fennoscandinavie, Pays baltes et ouest de la Russie"/>
    <x v="2"/>
    <x v="2"/>
    <s v="Bouloz"/>
    <s v="La Tossaire"/>
    <n v="46.617385239999997"/>
    <n v="6.8893044249999997"/>
    <n v="5"/>
    <n v="2"/>
    <x v="1"/>
    <n v="2015"/>
    <x v="163"/>
    <x v="4"/>
    <n v="47"/>
    <x v="3"/>
    <x v="1"/>
    <x v="1"/>
    <n v="557922"/>
    <n v="163051"/>
    <n v="55791630"/>
    <n v="557163"/>
    <n v="555160"/>
    <n v="557500"/>
    <n v="162500"/>
    <n v="294"/>
    <x v="0"/>
    <n v="0"/>
    <n v="0"/>
    <n v="0"/>
    <n v="-72.44"/>
    <n v="-72.44"/>
    <n v="-95.1"/>
    <s v="NA"/>
    <m/>
    <x v="5"/>
    <s v="Europe centrale"/>
    <n v="7"/>
    <s v="DUCHPA-3"/>
    <s v="Abschuss"/>
  </r>
  <r>
    <x v="788"/>
    <s v="ScoRus"/>
    <n v="0"/>
    <x v="1"/>
    <x v="1"/>
    <x v="0"/>
    <x v="0"/>
    <x v="768"/>
    <n v="-24.970800000000001"/>
    <x v="753"/>
    <x v="9"/>
    <s v="Sud de la Fennoscandinavie, Pays baltes et ouest de la Russie"/>
    <x v="1"/>
    <x v="1"/>
    <s v="Cadenazzo"/>
    <s v="Fontanacce"/>
    <n v="46.136300130000002"/>
    <n v="8.967900191"/>
    <n v="4"/>
    <n v="27"/>
    <x v="0"/>
    <n v="2015"/>
    <x v="6"/>
    <x v="6"/>
    <n v="42"/>
    <x v="0"/>
    <x v="0"/>
    <x v="0"/>
    <n v="718175"/>
    <n v="110575"/>
    <n v="71811105"/>
    <n v="718110"/>
    <n v="715110"/>
    <n v="717500"/>
    <n v="112500"/>
    <n v="290"/>
    <x v="0"/>
    <n v="0"/>
    <n v="0"/>
    <n v="0"/>
    <n v="-72.41"/>
    <n v="-72.41"/>
    <n v="-95.1"/>
    <s v="NA"/>
    <m/>
    <x v="5"/>
    <s v="Europe centrale"/>
    <n v="7"/>
    <s v="ALBEFE-1"/>
    <s v="Abschuss"/>
  </r>
  <r>
    <x v="789"/>
    <s v="ScoRus"/>
    <n v="0"/>
    <x v="1"/>
    <x v="1"/>
    <x v="0"/>
    <x v="0"/>
    <x v="769"/>
    <n v="-23.5794"/>
    <x v="754"/>
    <x v="9"/>
    <s v="Sud de la Fennoscandinavie, Pays baltes et ouest de la Russie"/>
    <x v="1"/>
    <x v="1"/>
    <s v="Bruzzella"/>
    <s v="Roccolo"/>
    <n v="45.884041310000001"/>
    <n v="9.0695530929999997"/>
    <n v="5"/>
    <n v="3"/>
    <x v="1"/>
    <n v="2015"/>
    <x v="204"/>
    <x v="25"/>
    <n v="48"/>
    <x v="3"/>
    <x v="1"/>
    <x v="1"/>
    <n v="726612"/>
    <n v="82696"/>
    <n v="72660826"/>
    <n v="726082"/>
    <n v="725080"/>
    <n v="727500"/>
    <n v="82500"/>
    <n v="300"/>
    <x v="0"/>
    <n v="0"/>
    <n v="0"/>
    <n v="0"/>
    <n v="-72.39"/>
    <n v="-72.39"/>
    <n v="-95.1"/>
    <s v="NA"/>
    <m/>
    <x v="5"/>
    <s v="Europe centrale"/>
    <n v="7"/>
    <s v="BIANCHIRO-5"/>
    <s v="Abschuss"/>
  </r>
  <r>
    <x v="790"/>
    <s v="ScoRus"/>
    <n v="0"/>
    <x v="1"/>
    <x v="1"/>
    <x v="0"/>
    <x v="0"/>
    <x v="770"/>
    <n v="-22.798249999999999"/>
    <x v="755"/>
    <x v="9"/>
    <s v="Sud de la Fennoscandinavie, Pays baltes et ouest de la Russie"/>
    <x v="1"/>
    <x v="1"/>
    <s v="Centovalli"/>
    <s v="Costa"/>
    <n v="46.159744490000001"/>
    <n v="8.6064616610000009"/>
    <n v="6"/>
    <n v="3"/>
    <x v="1"/>
    <n v="2015"/>
    <x v="204"/>
    <x v="25"/>
    <n v="48"/>
    <x v="3"/>
    <x v="1"/>
    <x v="1"/>
    <n v="690208"/>
    <n v="112701"/>
    <n v="69021127"/>
    <n v="690112"/>
    <n v="690110"/>
    <n v="692500"/>
    <n v="112500"/>
    <n v="311"/>
    <x v="0"/>
    <n v="0"/>
    <n v="0"/>
    <n v="0"/>
    <n v="-72.38"/>
    <n v="-72.38"/>
    <n v="-95.1"/>
    <s v="NA"/>
    <m/>
    <x v="5"/>
    <s v="Europe centrale"/>
    <n v="7"/>
    <s v="FISCIV9"/>
    <s v="Abschuss"/>
  </r>
  <r>
    <x v="791"/>
    <s v="ScoRus"/>
    <n v="0"/>
    <x v="1"/>
    <x v="1"/>
    <x v="0"/>
    <x v="0"/>
    <x v="771"/>
    <n v="-23.74"/>
    <x v="756"/>
    <x v="9"/>
    <m/>
    <x v="1"/>
    <x v="1"/>
    <s v="Monteceneri"/>
    <s v="Robasano"/>
    <n v="46.13218088"/>
    <n v="8.9564611630000002"/>
    <n v="5"/>
    <n v="8"/>
    <x v="1"/>
    <n v="2016"/>
    <x v="186"/>
    <x v="2"/>
    <n v="53"/>
    <x v="2"/>
    <x v="2"/>
    <x v="1"/>
    <n v="717300"/>
    <n v="110100"/>
    <n v="71731101"/>
    <n v="717110"/>
    <n v="715110"/>
    <n v="717500"/>
    <n v="112500"/>
    <n v="320"/>
    <x v="0"/>
    <n v="0"/>
    <n v="0"/>
    <n v="0"/>
    <n v="-72.108130799999998"/>
    <n v="-72.108130799999998"/>
    <s v="NA"/>
    <s v="NA"/>
    <m/>
    <x v="5"/>
    <s v="Europe centrale"/>
    <n v="7"/>
    <s v="PURASA-10"/>
    <s v="Abschuss"/>
  </r>
  <r>
    <x v="792"/>
    <s v="ScoRus"/>
    <n v="0"/>
    <x v="1"/>
    <x v="1"/>
    <x v="0"/>
    <x v="0"/>
    <x v="772"/>
    <n v="-23.81"/>
    <x v="757"/>
    <x v="9"/>
    <m/>
    <x v="1"/>
    <x v="1"/>
    <s v="Onsernone"/>
    <s v="NA"/>
    <n v="46.202598369999997"/>
    <n v="8.6370776060000001"/>
    <n v="3"/>
    <n v="29"/>
    <x v="0"/>
    <n v="2016"/>
    <x v="180"/>
    <x v="1"/>
    <n v="44"/>
    <x v="1"/>
    <x v="1"/>
    <x v="1"/>
    <n v="692500"/>
    <n v="117500"/>
    <n v="69251175"/>
    <n v="692117"/>
    <n v="690115"/>
    <n v="692500"/>
    <n v="117500"/>
    <n v="306"/>
    <x v="0"/>
    <n v="0"/>
    <n v="0"/>
    <n v="0"/>
    <n v="-72.059105500000001"/>
    <n v="-72.059105500000001"/>
    <s v="NA"/>
    <s v="NA"/>
    <m/>
    <x v="5"/>
    <s v="Europe centrale"/>
    <n v="7"/>
    <s v="FISCIV-8"/>
    <s v="Abschuss"/>
  </r>
  <r>
    <x v="793"/>
    <s v="ScoRus"/>
    <n v="0"/>
    <x v="1"/>
    <x v="1"/>
    <x v="0"/>
    <x v="0"/>
    <x v="773"/>
    <n v="-24.94"/>
    <x v="614"/>
    <x v="9"/>
    <m/>
    <x v="1"/>
    <x v="1"/>
    <s v="Alto Malcantone"/>
    <s v="NA"/>
    <n v="46.055440760000003"/>
    <n v="8.8806686520000007"/>
    <n v="2"/>
    <n v="18"/>
    <x v="0"/>
    <n v="2016"/>
    <x v="151"/>
    <x v="89"/>
    <n v="33"/>
    <x v="4"/>
    <x v="0"/>
    <x v="0"/>
    <n v="711600"/>
    <n v="101460"/>
    <n v="71161014"/>
    <n v="711101"/>
    <n v="710100"/>
    <n v="712500"/>
    <n v="102500"/>
    <n v="270"/>
    <x v="0"/>
    <n v="0"/>
    <n v="0"/>
    <n v="0"/>
    <n v="-72.013803100000004"/>
    <n v="-72.013803100000004"/>
    <s v="NA"/>
    <s v="NA"/>
    <m/>
    <x v="5"/>
    <s v="Europe centrale"/>
    <n v="7"/>
    <s v="GIAMGI-4"/>
    <s v="Abschuss"/>
  </r>
  <r>
    <x v="794"/>
    <s v="ScoRus"/>
    <n v="0"/>
    <x v="1"/>
    <x v="1"/>
    <x v="0"/>
    <x v="0"/>
    <x v="774"/>
    <n v="-43.399810930000001"/>
    <x v="758"/>
    <x v="9"/>
    <s v="Sud de la Fennoscandinavie, Pays baltes et ouest de la Russie"/>
    <x v="0"/>
    <x v="0"/>
    <s v="Les Bayards"/>
    <s v="Econduits"/>
    <n v="46.938363449999997"/>
    <n v="6.5444734130000004"/>
    <n v="5"/>
    <n v="9"/>
    <x v="1"/>
    <n v="2013"/>
    <x v="5"/>
    <x v="5"/>
    <n v="54"/>
    <x v="2"/>
    <x v="2"/>
    <x v="1"/>
    <n v="531916"/>
    <n v="198974"/>
    <n v="53191989"/>
    <n v="531198"/>
    <n v="530195"/>
    <n v="532500"/>
    <n v="197500"/>
    <n v="360"/>
    <x v="0"/>
    <n v="0"/>
    <n v="0"/>
    <n v="0"/>
    <n v="-71.91"/>
    <n v="-71.91"/>
    <n v="-94.6"/>
    <s v="NA"/>
    <m/>
    <x v="5"/>
    <s v="Europe centrale"/>
    <n v="7"/>
    <s v="ANKEFR-4"/>
    <s v="Abschuss"/>
  </r>
  <r>
    <x v="795"/>
    <s v="ScoRus"/>
    <n v="0"/>
    <x v="1"/>
    <x v="1"/>
    <x v="0"/>
    <x v="0"/>
    <x v="775"/>
    <n v="-25.013000000000002"/>
    <x v="759"/>
    <x v="9"/>
    <m/>
    <x v="0"/>
    <x v="0"/>
    <s v="Val-de-Ruz"/>
    <s v="La Grande Racine"/>
    <n v="47.021788870000002"/>
    <n v="6.8150293770000001"/>
    <n v="6"/>
    <n v="21"/>
    <x v="1"/>
    <n v="2015"/>
    <x v="209"/>
    <x v="36"/>
    <n v="66"/>
    <x v="5"/>
    <x v="3"/>
    <x v="2"/>
    <n v="552590"/>
    <n v="208049"/>
    <n v="55252080"/>
    <n v="552208"/>
    <n v="550205"/>
    <n v="552500"/>
    <n v="207500"/>
    <n v="310"/>
    <x v="0"/>
    <n v="0"/>
    <n v="0"/>
    <n v="0"/>
    <n v="-71.83"/>
    <n v="-71.83"/>
    <n v="-94.5"/>
    <s v="NA"/>
    <m/>
    <x v="5"/>
    <s v="Europe centrale"/>
    <n v="7"/>
    <s v="PENAJA-2"/>
    <s v="Abschuss"/>
  </r>
  <r>
    <x v="796"/>
    <s v="ScoRus"/>
    <n v="0"/>
    <x v="1"/>
    <x v="1"/>
    <x v="0"/>
    <x v="0"/>
    <x v="775"/>
    <n v="-24.310400000000001"/>
    <x v="760"/>
    <x v="9"/>
    <m/>
    <x v="1"/>
    <x v="1"/>
    <s v="Bruzzella"/>
    <s v="Loasa"/>
    <n v="45.882950430000001"/>
    <n v="9.0678458929999994"/>
    <n v="5"/>
    <n v="3"/>
    <x v="1"/>
    <n v="2015"/>
    <x v="204"/>
    <x v="25"/>
    <n v="48"/>
    <x v="3"/>
    <x v="1"/>
    <x v="1"/>
    <n v="726482"/>
    <n v="82572"/>
    <n v="72640825"/>
    <n v="726082"/>
    <n v="725080"/>
    <n v="727500"/>
    <n v="82500"/>
    <n v="320"/>
    <x v="0"/>
    <n v="0"/>
    <n v="0"/>
    <n v="0"/>
    <n v="-71.83"/>
    <n v="-71.83"/>
    <n v="-94.5"/>
    <s v="NA"/>
    <m/>
    <x v="5"/>
    <s v="Europe centrale"/>
    <n v="7"/>
    <s v="BIANCHIRO-4"/>
    <s v="Abschuss"/>
  </r>
  <r>
    <x v="797"/>
    <s v="ScoRus"/>
    <n v="0"/>
    <x v="1"/>
    <x v="1"/>
    <x v="0"/>
    <x v="0"/>
    <x v="776"/>
    <s v="NA"/>
    <x v="112"/>
    <x v="9"/>
    <m/>
    <x v="3"/>
    <x v="2"/>
    <s v="Hauteville"/>
    <s v="Les Fornys"/>
    <n v="46.676489189999998"/>
    <n v="7.1420029359999999"/>
    <n v="4"/>
    <n v="23"/>
    <x v="0"/>
    <n v="2014"/>
    <x v="237"/>
    <x v="44"/>
    <n v="38"/>
    <x v="0"/>
    <x v="0"/>
    <x v="0"/>
    <n v="577303"/>
    <n v="169517"/>
    <n v="57731695"/>
    <n v="577169"/>
    <n v="575165"/>
    <n v="577500"/>
    <n v="167500"/>
    <n v="306"/>
    <x v="0"/>
    <n v="0"/>
    <n v="0"/>
    <n v="0"/>
    <n v="-71.78"/>
    <n v="-71.78"/>
    <n v="-94.5"/>
    <s v="NA"/>
    <m/>
    <x v="5"/>
    <s v="Europe centrale"/>
    <n v="7"/>
    <s v="YERMI003"/>
    <s v="Abschuss"/>
  </r>
  <r>
    <x v="798"/>
    <s v="ScoRus"/>
    <n v="0"/>
    <x v="1"/>
    <x v="1"/>
    <x v="0"/>
    <x v="0"/>
    <x v="777"/>
    <s v="NA"/>
    <x v="761"/>
    <x v="9"/>
    <m/>
    <x v="1"/>
    <x v="1"/>
    <s v="Bearetto"/>
    <s v="Carnisc"/>
    <n v="46.476890240000003"/>
    <n v="8.4640829750000002"/>
    <n v="5"/>
    <n v="28"/>
    <x v="0"/>
    <n v="2017"/>
    <x v="59"/>
    <x v="16"/>
    <n v="43"/>
    <x v="1"/>
    <x v="1"/>
    <x v="1"/>
    <n v="678750"/>
    <n v="147800"/>
    <n v="67871478"/>
    <n v="678147"/>
    <n v="675145"/>
    <n v="677500"/>
    <n v="147500"/>
    <n v="336"/>
    <x v="0"/>
    <n v="0"/>
    <n v="0"/>
    <n v="0"/>
    <n v="-71.771495599999994"/>
    <n v="-71.771495599999994"/>
    <s v="NA"/>
    <s v="NA"/>
    <m/>
    <x v="5"/>
    <s v="Europe centrale"/>
    <n v="7"/>
    <s v="ROSARE-3"/>
    <s v="Abschuss"/>
  </r>
  <r>
    <x v="799"/>
    <s v="ScoRus"/>
    <n v="0"/>
    <x v="1"/>
    <x v="1"/>
    <x v="0"/>
    <x v="0"/>
    <x v="778"/>
    <n v="-23.12"/>
    <x v="762"/>
    <x v="9"/>
    <m/>
    <x v="1"/>
    <x v="1"/>
    <s v="Cadenazzo"/>
    <s v="Robasano"/>
    <n v="46.135059149999996"/>
    <n v="8.9430817309999995"/>
    <n v="5"/>
    <n v="8"/>
    <x v="1"/>
    <n v="2016"/>
    <x v="186"/>
    <x v="2"/>
    <n v="53"/>
    <x v="2"/>
    <x v="2"/>
    <x v="1"/>
    <n v="716260"/>
    <n v="110400"/>
    <n v="71621104"/>
    <n v="716110"/>
    <n v="715110"/>
    <n v="717500"/>
    <n v="112500"/>
    <n v="400"/>
    <x v="0"/>
    <n v="0"/>
    <n v="0"/>
    <n v="0"/>
    <n v="-71.742257199999997"/>
    <n v="-71.742257199999997"/>
    <s v="NA"/>
    <s v="NA"/>
    <m/>
    <x v="5"/>
    <s v="Europe centrale"/>
    <n v="7"/>
    <s v="PURASA-8"/>
    <s v="Abschuss"/>
  </r>
  <r>
    <x v="800"/>
    <s v="ScoRus"/>
    <n v="0"/>
    <x v="1"/>
    <x v="1"/>
    <x v="0"/>
    <x v="0"/>
    <x v="779"/>
    <n v="-24"/>
    <x v="763"/>
    <x v="9"/>
    <m/>
    <x v="1"/>
    <x v="1"/>
    <s v="Monteceneri"/>
    <s v="Mt. Di Spina"/>
    <n v="46.124745140000002"/>
    <n v="8.9064378269999995"/>
    <n v="4"/>
    <n v="29"/>
    <x v="0"/>
    <n v="2016"/>
    <x v="180"/>
    <x v="1"/>
    <n v="44"/>
    <x v="1"/>
    <x v="1"/>
    <x v="1"/>
    <n v="713450"/>
    <n v="109200"/>
    <n v="71341092"/>
    <n v="713109"/>
    <n v="710105"/>
    <n v="712500"/>
    <n v="107500"/>
    <n v="300"/>
    <x v="0"/>
    <n v="0"/>
    <n v="0"/>
    <n v="0"/>
    <n v="-71.739157300000002"/>
    <n v="-71.739157300000002"/>
    <s v="NA"/>
    <s v="NA"/>
    <m/>
    <x v="5"/>
    <s v="Europe centrale"/>
    <n v="7"/>
    <s v="RICHAD-5"/>
    <s v="Abschuss"/>
  </r>
  <r>
    <x v="801"/>
    <s v="ScoRus"/>
    <n v="0"/>
    <x v="1"/>
    <x v="1"/>
    <x v="0"/>
    <x v="0"/>
    <x v="780"/>
    <n v="-22.622"/>
    <x v="764"/>
    <x v="9"/>
    <m/>
    <x v="1"/>
    <x v="1"/>
    <s v="Cimadera"/>
    <s v="Gardana"/>
    <n v="46.081659260000002"/>
    <n v="9.0475015639999992"/>
    <n v="5"/>
    <n v="17"/>
    <x v="0"/>
    <n v="2015"/>
    <x v="47"/>
    <x v="34"/>
    <n v="32"/>
    <x v="8"/>
    <x v="4"/>
    <x v="0"/>
    <n v="724450"/>
    <n v="104625"/>
    <n v="72441046"/>
    <n v="724104"/>
    <n v="720100"/>
    <n v="722500"/>
    <n v="102500"/>
    <n v="329"/>
    <x v="0"/>
    <n v="0"/>
    <n v="0"/>
    <n v="0"/>
    <n v="-71.53"/>
    <n v="-71.53"/>
    <n v="-94.2"/>
    <s v="NA"/>
    <m/>
    <x v="5"/>
    <s v="Europe centrale"/>
    <n v="7"/>
    <s v="ROSAOR-1"/>
    <s v="Abschuss"/>
  </r>
  <r>
    <x v="802"/>
    <s v="ScoRus"/>
    <n v="0"/>
    <x v="1"/>
    <x v="1"/>
    <x v="0"/>
    <x v="0"/>
    <x v="781"/>
    <n v="-23.88"/>
    <x v="765"/>
    <x v="9"/>
    <m/>
    <x v="2"/>
    <x v="2"/>
    <s v="La Brillaz"/>
    <s v="NA"/>
    <n v="46.765321040000003"/>
    <n v="7.023839755"/>
    <n v="5"/>
    <n v="16"/>
    <x v="1"/>
    <n v="2016"/>
    <x v="171"/>
    <x v="28"/>
    <n v="61"/>
    <x v="6"/>
    <x v="2"/>
    <x v="2"/>
    <n v="568314"/>
    <n v="179433"/>
    <n v="56831794"/>
    <n v="568179"/>
    <n v="565175"/>
    <n v="567500"/>
    <n v="177500"/>
    <n v="330"/>
    <x v="0"/>
    <n v="0"/>
    <n v="0"/>
    <n v="0"/>
    <n v="-71.503347199999993"/>
    <n v="-71.503347199999993"/>
    <s v="NA"/>
    <s v="NA"/>
    <m/>
    <x v="5"/>
    <s v="Europe centrale"/>
    <n v="7"/>
    <s v="SAVARBR-9"/>
    <s v="Abschuss"/>
  </r>
  <r>
    <x v="803"/>
    <s v="ScoRus"/>
    <n v="0"/>
    <x v="1"/>
    <x v="1"/>
    <x v="0"/>
    <x v="0"/>
    <x v="782"/>
    <n v="-23.89"/>
    <x v="766"/>
    <x v="9"/>
    <m/>
    <x v="1"/>
    <x v="1"/>
    <s v="Airolo"/>
    <s v="Gerora"/>
    <n v="46.517939339999998"/>
    <n v="8.5677105349999998"/>
    <s v="NA"/>
    <n v="18"/>
    <x v="0"/>
    <n v="2016"/>
    <x v="151"/>
    <x v="89"/>
    <n v="33"/>
    <x v="4"/>
    <x v="0"/>
    <x v="0"/>
    <n v="686642"/>
    <n v="152472"/>
    <n v="68661524"/>
    <n v="686152"/>
    <n v="685150"/>
    <n v="687500"/>
    <n v="152500"/>
    <n v="305"/>
    <x v="0"/>
    <n v="0"/>
    <n v="0"/>
    <n v="0"/>
    <n v="-71.495155999999994"/>
    <n v="-71.495155999999994"/>
    <s v="NA"/>
    <s v="NA"/>
    <m/>
    <x v="5"/>
    <s v="Europe centrale"/>
    <n v="7"/>
    <s v="REZZRO-1"/>
    <s v="Abschuss"/>
  </r>
  <r>
    <x v="804"/>
    <s v="ScoRus"/>
    <n v="0"/>
    <x v="1"/>
    <x v="1"/>
    <x v="0"/>
    <x v="0"/>
    <x v="783"/>
    <s v="NA"/>
    <x v="767"/>
    <x v="9"/>
    <m/>
    <x v="1"/>
    <x v="1"/>
    <s v="Cimanera"/>
    <s v="Cugnoli Corti"/>
    <n v="46.074550549999998"/>
    <n v="9.0569879869999994"/>
    <n v="5"/>
    <n v="26"/>
    <x v="0"/>
    <n v="2017"/>
    <x v="83"/>
    <x v="0"/>
    <n v="41"/>
    <x v="0"/>
    <x v="0"/>
    <x v="0"/>
    <n v="725200"/>
    <n v="103850"/>
    <n v="72521038"/>
    <n v="725103"/>
    <n v="725100"/>
    <n v="727500"/>
    <n v="102500"/>
    <n v="360"/>
    <x v="0"/>
    <n v="0"/>
    <n v="0"/>
    <n v="0"/>
    <n v="-71.465130200000004"/>
    <n v="-71.465130200000004"/>
    <s v="NA"/>
    <s v="NA"/>
    <m/>
    <x v="5"/>
    <s v="Europe centrale"/>
    <n v="7"/>
    <s v="ROSAOR-2"/>
    <s v="Abschuss"/>
  </r>
  <r>
    <x v="805"/>
    <s v="ScoRus"/>
    <n v="0"/>
    <x v="1"/>
    <x v="1"/>
    <x v="0"/>
    <x v="0"/>
    <x v="784"/>
    <n v="-23.37"/>
    <x v="314"/>
    <x v="9"/>
    <m/>
    <x v="1"/>
    <x v="1"/>
    <s v="Centovalli"/>
    <s v="NA"/>
    <n v="46.18447132"/>
    <n v="8.6496318100000007"/>
    <n v="3"/>
    <n v="2"/>
    <x v="1"/>
    <n v="2016"/>
    <x v="4"/>
    <x v="4"/>
    <n v="47"/>
    <x v="3"/>
    <x v="1"/>
    <x v="1"/>
    <n v="693500"/>
    <n v="115500"/>
    <n v="69351155"/>
    <n v="693115"/>
    <n v="690115"/>
    <n v="692500"/>
    <n v="117500"/>
    <n v="405"/>
    <x v="0"/>
    <n v="0"/>
    <n v="0"/>
    <n v="0"/>
    <n v="-71.420624799999999"/>
    <n v="-71.420624799999999"/>
    <s v="NA"/>
    <s v="NA"/>
    <m/>
    <x v="5"/>
    <s v="Europe centrale"/>
    <n v="7"/>
    <s v="FISCIV-14"/>
    <s v="Abschuss"/>
  </r>
  <r>
    <x v="806"/>
    <s v="ScoRus"/>
    <n v="0"/>
    <x v="1"/>
    <x v="1"/>
    <x v="0"/>
    <x v="0"/>
    <x v="785"/>
    <n v="-23.62"/>
    <x v="768"/>
    <x v="9"/>
    <m/>
    <x v="1"/>
    <x v="1"/>
    <s v="Gambarogno"/>
    <s v="Neggia"/>
    <n v="46.112984140000002"/>
    <n v="8.840792746"/>
    <n v="4"/>
    <n v="2"/>
    <x v="1"/>
    <n v="2016"/>
    <x v="4"/>
    <x v="4"/>
    <n v="47"/>
    <x v="3"/>
    <x v="1"/>
    <x v="1"/>
    <n v="708400"/>
    <n v="107800"/>
    <n v="70841078"/>
    <n v="708107"/>
    <n v="705105"/>
    <n v="707500"/>
    <n v="107500"/>
    <n v="313"/>
    <x v="0"/>
    <n v="0"/>
    <n v="0"/>
    <n v="0"/>
    <n v="-71.327647400000004"/>
    <n v="-71.327647400000004"/>
    <s v="NA"/>
    <s v="NA"/>
    <m/>
    <x v="5"/>
    <s v="Europe centrale"/>
    <n v="7"/>
    <s v="GNOSDA-9"/>
    <s v="Abschuss"/>
  </r>
  <r>
    <x v="807"/>
    <s v="ScoRus"/>
    <n v="0"/>
    <x v="1"/>
    <x v="1"/>
    <x v="0"/>
    <x v="0"/>
    <x v="786"/>
    <n v="-23.8584"/>
    <x v="769"/>
    <x v="9"/>
    <m/>
    <x v="1"/>
    <x v="1"/>
    <s v="Bruzzella"/>
    <s v="Loasa"/>
    <n v="45.880200389999999"/>
    <n v="9.0682536739999993"/>
    <n v="5"/>
    <n v="3"/>
    <x v="1"/>
    <n v="2015"/>
    <x v="204"/>
    <x v="25"/>
    <n v="48"/>
    <x v="3"/>
    <x v="1"/>
    <x v="1"/>
    <n v="726520"/>
    <n v="82267"/>
    <n v="72650822"/>
    <n v="726082"/>
    <n v="725080"/>
    <n v="727500"/>
    <n v="82500"/>
    <n v="295"/>
    <x v="0"/>
    <n v="0"/>
    <n v="0"/>
    <n v="0"/>
    <n v="-71.28"/>
    <n v="-71.28"/>
    <n v="-93.9"/>
    <s v="NA"/>
    <m/>
    <x v="5"/>
    <s v="Europe centrale"/>
    <n v="7"/>
    <s v="REZZONICORO-7"/>
    <s v="Abschuss"/>
  </r>
  <r>
    <x v="808"/>
    <s v="ScoRus"/>
    <n v="0"/>
    <x v="1"/>
    <x v="1"/>
    <x v="0"/>
    <x v="0"/>
    <x v="787"/>
    <s v="NA"/>
    <x v="770"/>
    <x v="9"/>
    <m/>
    <x v="0"/>
    <x v="0"/>
    <s v="La Brévine"/>
    <s v="NA"/>
    <n v="46.952249729999998"/>
    <n v="6.5650516659999996"/>
    <n v="3"/>
    <n v="30"/>
    <x v="0"/>
    <n v="2017"/>
    <x v="231"/>
    <x v="23"/>
    <n v="45"/>
    <x v="1"/>
    <x v="1"/>
    <x v="1"/>
    <n v="533500"/>
    <n v="200500"/>
    <n v="53352005"/>
    <n v="533200"/>
    <n v="530200"/>
    <n v="532500"/>
    <n v="202500"/>
    <n v="325"/>
    <x v="0"/>
    <n v="0"/>
    <n v="0"/>
    <n v="0"/>
    <n v="-71.139689000000004"/>
    <n v="-71.139689000000004"/>
    <s v="NA"/>
    <s v="NA"/>
    <m/>
    <x v="5"/>
    <s v="Europe centrale"/>
    <n v="7"/>
    <s v="GARJC-5"/>
    <s v="Abschuss"/>
  </r>
  <r>
    <x v="809"/>
    <s v="ScoRus"/>
    <n v="0"/>
    <x v="1"/>
    <x v="1"/>
    <x v="0"/>
    <x v="0"/>
    <x v="788"/>
    <n v="-23.932400000000001"/>
    <x v="771"/>
    <x v="9"/>
    <m/>
    <x v="1"/>
    <x v="1"/>
    <s v="Airolo"/>
    <s v="Closs di Dentro"/>
    <n v="46.51950549"/>
    <n v="8.5748590609999997"/>
    <n v="6"/>
    <n v="7"/>
    <x v="1"/>
    <n v="2015"/>
    <x v="177"/>
    <x v="12"/>
    <n v="52"/>
    <x v="2"/>
    <x v="2"/>
    <x v="1"/>
    <n v="687188"/>
    <n v="152654"/>
    <n v="68711526"/>
    <n v="687152"/>
    <n v="685150"/>
    <n v="687500"/>
    <n v="152500"/>
    <n v="280"/>
    <x v="0"/>
    <n v="0"/>
    <n v="0"/>
    <n v="0"/>
    <n v="-70.959999999999994"/>
    <n v="-70.959999999999994"/>
    <n v="-93.6"/>
    <s v="NA"/>
    <m/>
    <x v="5"/>
    <s v="Europe centrale"/>
    <n v="7"/>
    <s v="MARCRE-3"/>
    <s v="Abschuss"/>
  </r>
  <r>
    <x v="810"/>
    <s v="ScoRus"/>
    <n v="0"/>
    <x v="1"/>
    <x v="1"/>
    <x v="0"/>
    <x v="0"/>
    <x v="789"/>
    <s v="NA"/>
    <x v="772"/>
    <x v="9"/>
    <m/>
    <x v="1"/>
    <x v="1"/>
    <s v="Cadenazzo"/>
    <s v="Rubasacco"/>
    <n v="46.137569239999998"/>
    <n v="8.9691911940000004"/>
    <n v="5"/>
    <n v="17"/>
    <x v="0"/>
    <n v="2017"/>
    <x v="92"/>
    <x v="34"/>
    <n v="32"/>
    <x v="8"/>
    <x v="4"/>
    <x v="0"/>
    <n v="718272"/>
    <n v="110718"/>
    <n v="71821107"/>
    <n v="718110"/>
    <n v="715110"/>
    <n v="717500"/>
    <n v="112500"/>
    <n v="380"/>
    <x v="0"/>
    <n v="0"/>
    <n v="0"/>
    <n v="0"/>
    <n v="-70.927273999999997"/>
    <n v="-70.927273999999997"/>
    <s v="NA"/>
    <s v="NA"/>
    <m/>
    <x v="5"/>
    <s v="Europe centrale"/>
    <n v="7"/>
    <s v="PURASA-2"/>
    <s v="Abschuss"/>
  </r>
  <r>
    <x v="811"/>
    <s v="ScoRus"/>
    <n v="0"/>
    <x v="1"/>
    <x v="1"/>
    <x v="0"/>
    <x v="0"/>
    <x v="790"/>
    <n v="-24.288399999999999"/>
    <x v="773"/>
    <x v="9"/>
    <m/>
    <x v="1"/>
    <x v="1"/>
    <s v="Novaggio"/>
    <s v="Forcora"/>
    <n v="46.027456399999998"/>
    <n v="8.8236163510000001"/>
    <n v="5"/>
    <n v="16"/>
    <x v="0"/>
    <n v="2015"/>
    <x v="181"/>
    <x v="33"/>
    <n v="31"/>
    <x v="8"/>
    <x v="4"/>
    <x v="0"/>
    <n v="707240"/>
    <n v="98270"/>
    <n v="70720982"/>
    <n v="707098"/>
    <n v="705095"/>
    <n v="707500"/>
    <n v="97500"/>
    <s v="NA"/>
    <x v="0"/>
    <n v="0"/>
    <n v="0"/>
    <n v="0"/>
    <n v="-70.92"/>
    <n v="-70.92"/>
    <n v="-93.6"/>
    <s v="NA"/>
    <m/>
    <x v="5"/>
    <s v="Europe centrale"/>
    <n v="7"/>
    <s v="MORAMA-1"/>
    <s v="Abschuss"/>
  </r>
  <r>
    <x v="812"/>
    <s v="ScoRus"/>
    <n v="0"/>
    <x v="1"/>
    <x v="1"/>
    <x v="0"/>
    <x v="0"/>
    <x v="791"/>
    <n v="-23.53"/>
    <x v="774"/>
    <x v="9"/>
    <m/>
    <x v="0"/>
    <x v="0"/>
    <s v="Couvet"/>
    <s v="Mont Brenin"/>
    <n v="46.947765400000002"/>
    <n v="6.605531043"/>
    <n v="6"/>
    <n v="21"/>
    <x v="0"/>
    <n v="2016"/>
    <x v="254"/>
    <x v="11"/>
    <n v="36"/>
    <x v="4"/>
    <x v="0"/>
    <x v="0"/>
    <n v="536576"/>
    <n v="199968"/>
    <n v="53651999"/>
    <n v="536199"/>
    <n v="535195"/>
    <n v="537500"/>
    <n v="197500"/>
    <n v="369"/>
    <x v="0"/>
    <n v="0"/>
    <n v="0"/>
    <n v="0"/>
    <n v="-70.688152599999995"/>
    <n v="-70.688152599999995"/>
    <s v="NA"/>
    <s v="NA"/>
    <m/>
    <x v="5"/>
    <s v="Europe centrale"/>
    <n v="7"/>
    <s v="MEISHE-3"/>
    <s v="Abschuss"/>
  </r>
  <r>
    <x v="813"/>
    <s v="ScoRus"/>
    <n v="0"/>
    <x v="1"/>
    <x v="1"/>
    <x v="0"/>
    <x v="0"/>
    <x v="792"/>
    <n v="-23.520800000000001"/>
    <x v="775"/>
    <x v="9"/>
    <m/>
    <x v="1"/>
    <x v="1"/>
    <s v="Bruzzella"/>
    <s v="Val Rema"/>
    <n v="45.888725209999997"/>
    <n v="9.0790720290000007"/>
    <n v="5"/>
    <n v="8"/>
    <x v="1"/>
    <n v="2015"/>
    <x v="192"/>
    <x v="2"/>
    <n v="53"/>
    <x v="2"/>
    <x v="2"/>
    <x v="1"/>
    <n v="727340"/>
    <n v="83232"/>
    <n v="72730832"/>
    <n v="727083"/>
    <n v="725080"/>
    <n v="727500"/>
    <n v="82500"/>
    <n v="325"/>
    <x v="0"/>
    <n v="0"/>
    <n v="0"/>
    <n v="0"/>
    <n v="-70.540000000000006"/>
    <n v="-70.540000000000006"/>
    <n v="-93.2"/>
    <s v="NA"/>
    <m/>
    <x v="5"/>
    <s v="Europe centrale"/>
    <n v="7"/>
    <s v="REZZONICORO-13"/>
    <s v="Abschuss"/>
  </r>
  <r>
    <x v="814"/>
    <s v="ScoRus"/>
    <n v="0"/>
    <x v="1"/>
    <x v="1"/>
    <x v="0"/>
    <x v="0"/>
    <x v="793"/>
    <s v="NA"/>
    <x v="776"/>
    <x v="9"/>
    <m/>
    <x v="0"/>
    <x v="0"/>
    <s v="Val de Travers"/>
    <s v="Bois de l halle"/>
    <n v="46.954978670000003"/>
    <n v="6.6178212519999997"/>
    <n v="6"/>
    <s v="NA"/>
    <x v="2"/>
    <n v="2017"/>
    <x v="69"/>
    <x v="40"/>
    <s v=""/>
    <x v="11"/>
    <x v="7"/>
    <x v="5"/>
    <n v="537520"/>
    <n v="200760"/>
    <n v="53752007"/>
    <n v="537200"/>
    <n v="535200"/>
    <n v="537500"/>
    <n v="202500"/>
    <n v="357"/>
    <x v="0"/>
    <n v="0"/>
    <n v="0"/>
    <n v="0"/>
    <n v="-70.451499100000007"/>
    <n v="-70.451499100000007"/>
    <s v="NA"/>
    <s v="NA"/>
    <m/>
    <x v="5"/>
    <s v="Europe centrale"/>
    <n v="7"/>
    <s v="MEISHE-12"/>
    <s v="Abschuss"/>
  </r>
  <r>
    <x v="815"/>
    <s v="ScoRus"/>
    <n v="0"/>
    <x v="1"/>
    <x v="1"/>
    <x v="0"/>
    <x v="0"/>
    <x v="794"/>
    <n v="-23.27"/>
    <x v="777"/>
    <x v="9"/>
    <m/>
    <x v="1"/>
    <x v="1"/>
    <s v="Lugano"/>
    <s v="Pezza"/>
    <n v="46.079552579999998"/>
    <n v="9.0532575370000004"/>
    <n v="5"/>
    <n v="15"/>
    <x v="1"/>
    <n v="2016"/>
    <x v="188"/>
    <x v="29"/>
    <n v="60"/>
    <x v="6"/>
    <x v="2"/>
    <x v="2"/>
    <n v="724900"/>
    <n v="104400"/>
    <n v="72491044"/>
    <n v="724104"/>
    <n v="720100"/>
    <n v="722500"/>
    <n v="102500"/>
    <n v="315"/>
    <x v="0"/>
    <n v="0"/>
    <n v="0"/>
    <n v="0"/>
    <n v="-70.420743599999994"/>
    <n v="-70.420743599999994"/>
    <s v="NA"/>
    <s v="NA"/>
    <m/>
    <x v="5"/>
    <s v="Europe centrale"/>
    <n v="7"/>
    <s v="LIMOMA-1"/>
    <s v="Abschuss"/>
  </r>
  <r>
    <x v="816"/>
    <s v="ScoRus"/>
    <n v="0"/>
    <x v="1"/>
    <x v="1"/>
    <x v="0"/>
    <x v="0"/>
    <x v="795"/>
    <n v="-23.16"/>
    <x v="778"/>
    <x v="9"/>
    <m/>
    <x v="1"/>
    <x v="1"/>
    <s v="Arogno"/>
    <s v="Bouee"/>
    <n v="45.955836779999998"/>
    <n v="9.0154236599999997"/>
    <n v="6"/>
    <n v="28"/>
    <x v="0"/>
    <n v="2016"/>
    <x v="17"/>
    <x v="16"/>
    <n v="43"/>
    <x v="1"/>
    <x v="1"/>
    <x v="1"/>
    <n v="722250"/>
    <n v="90590"/>
    <n v="72220905"/>
    <n v="722090"/>
    <n v="720090"/>
    <n v="722500"/>
    <n v="92500"/>
    <n v="350"/>
    <x v="0"/>
    <n v="0"/>
    <n v="0"/>
    <n v="0"/>
    <n v="-70.378669599999995"/>
    <n v="-70.378669599999995"/>
    <s v="NA"/>
    <s v="NA"/>
    <m/>
    <x v="5"/>
    <s v="Europe centrale"/>
    <n v="7"/>
    <s v="TANTASTE-3"/>
    <s v="Abschuss"/>
  </r>
  <r>
    <x v="817"/>
    <s v="ScoRus"/>
    <n v="0"/>
    <x v="1"/>
    <x v="1"/>
    <x v="0"/>
    <x v="0"/>
    <x v="796"/>
    <n v="-22.91"/>
    <x v="779"/>
    <x v="9"/>
    <m/>
    <x v="1"/>
    <x v="1"/>
    <s v="Maggia"/>
    <s v="Garna"/>
    <n v="46.22531729"/>
    <n v="8.6842944559999999"/>
    <n v="6"/>
    <n v="8"/>
    <x v="1"/>
    <n v="2016"/>
    <x v="186"/>
    <x v="2"/>
    <n v="53"/>
    <x v="2"/>
    <x v="2"/>
    <x v="1"/>
    <n v="696104"/>
    <n v="120082"/>
    <n v="69611200"/>
    <n v="696120"/>
    <n v="695120"/>
    <n v="697500"/>
    <n v="122500"/>
    <n v="371"/>
    <x v="0"/>
    <n v="0"/>
    <n v="0"/>
    <n v="0"/>
    <n v="-70.304395900000003"/>
    <n v="-70.304395900000003"/>
    <s v="NA"/>
    <s v="NA"/>
    <m/>
    <x v="5"/>
    <s v="Europe centrale"/>
    <n v="7"/>
    <s v="CAVACO-8"/>
    <s v="Abschuss"/>
  </r>
  <r>
    <x v="818"/>
    <s v="ScoRus"/>
    <n v="0"/>
    <x v="1"/>
    <x v="1"/>
    <x v="0"/>
    <x v="0"/>
    <x v="797"/>
    <n v="-23.603291559999999"/>
    <x v="780"/>
    <x v="9"/>
    <m/>
    <x v="3"/>
    <x v="2"/>
    <s v="Vaulruz"/>
    <s v="Delorida"/>
    <n v="46.594819719999997"/>
    <n v="6.9753753170000001"/>
    <n v="3"/>
    <n v="14"/>
    <x v="1"/>
    <n v="2015"/>
    <x v="174"/>
    <x v="18"/>
    <n v="59"/>
    <x v="6"/>
    <x v="2"/>
    <x v="2"/>
    <n v="564500"/>
    <n v="160500"/>
    <n v="56451605"/>
    <n v="564160"/>
    <n v="560160"/>
    <n v="562500"/>
    <n v="162500"/>
    <n v="326"/>
    <x v="0"/>
    <n v="0"/>
    <n v="0"/>
    <n v="0"/>
    <n v="-70.239999999999995"/>
    <n v="-70.239999999999995"/>
    <n v="-92.9"/>
    <s v="NA"/>
    <m/>
    <x v="5"/>
    <s v="Europe centrale"/>
    <n v="7"/>
    <s v="DENEPA10"/>
    <s v="Abschuss"/>
  </r>
  <r>
    <x v="819"/>
    <s v="ScoRus"/>
    <n v="0"/>
    <x v="1"/>
    <x v="1"/>
    <x v="0"/>
    <x v="0"/>
    <x v="798"/>
    <n v="-22.983325730000001"/>
    <x v="781"/>
    <x v="9"/>
    <s v="Sud de la Fennoscandinavie, Pays baltes et ouest de la Russie"/>
    <x v="2"/>
    <x v="2"/>
    <s v="Riaz"/>
    <s v="NA"/>
    <n v="46.646485480000003"/>
    <n v="7.0155690760000002"/>
    <n v="6"/>
    <n v="16"/>
    <x v="1"/>
    <n v="2013"/>
    <x v="214"/>
    <x v="28"/>
    <n v="61"/>
    <x v="6"/>
    <x v="2"/>
    <x v="2"/>
    <n v="567611"/>
    <n v="166226"/>
    <n v="56761662"/>
    <n v="567166"/>
    <n v="565165"/>
    <n v="567500"/>
    <n v="167500"/>
    <n v="318"/>
    <x v="0"/>
    <n v="0"/>
    <n v="0"/>
    <n v="0"/>
    <n v="-70.16"/>
    <n v="-70.16"/>
    <n v="-92.8"/>
    <s v="NA"/>
    <m/>
    <x v="5"/>
    <s v="Europe centrale"/>
    <n v="7"/>
    <s v="DENEPA10"/>
    <s v="Abschuss"/>
  </r>
  <r>
    <x v="820"/>
    <s v="ScoRus"/>
    <n v="0"/>
    <x v="1"/>
    <x v="1"/>
    <x v="0"/>
    <x v="0"/>
    <x v="799"/>
    <n v="-22.73028571"/>
    <x v="782"/>
    <x v="9"/>
    <m/>
    <x v="0"/>
    <x v="0"/>
    <s v="Buttes"/>
    <s v="Montagne de Buttes, Mont Barré"/>
    <n v="46.8937539"/>
    <n v="6.4963449610000001"/>
    <n v="6"/>
    <n v="29"/>
    <x v="0"/>
    <n v="2014"/>
    <x v="1"/>
    <x v="1"/>
    <n v="44"/>
    <x v="1"/>
    <x v="1"/>
    <x v="1"/>
    <n v="528192"/>
    <n v="194058"/>
    <n v="52811940"/>
    <n v="528194"/>
    <n v="525190"/>
    <n v="527500"/>
    <n v="192500"/>
    <n v="300"/>
    <x v="0"/>
    <n v="0"/>
    <n v="0"/>
    <n v="0"/>
    <n v="-70.069999999999993"/>
    <n v="-70.069999999999993"/>
    <n v="-92.7"/>
    <s v="NA"/>
    <m/>
    <x v="5"/>
    <s v="Europe centrale"/>
    <n v="7"/>
    <s v="ANKEFR-3"/>
    <s v="Abschuss"/>
  </r>
  <r>
    <x v="821"/>
    <s v="ScoRus"/>
    <n v="0"/>
    <x v="1"/>
    <x v="1"/>
    <x v="0"/>
    <x v="0"/>
    <x v="800"/>
    <n v="-22.63"/>
    <x v="783"/>
    <x v="9"/>
    <m/>
    <x v="1"/>
    <x v="1"/>
    <s v="Arosio"/>
    <s v="Arosio"/>
    <n v="46.060655939999997"/>
    <n v="8.8976851000000003"/>
    <n v="5"/>
    <n v="22"/>
    <x v="0"/>
    <n v="2016"/>
    <x v="25"/>
    <x v="21"/>
    <n v="37"/>
    <x v="4"/>
    <x v="0"/>
    <x v="0"/>
    <n v="712906"/>
    <n v="102064"/>
    <n v="71291020"/>
    <n v="712102"/>
    <n v="710100"/>
    <n v="712500"/>
    <n v="102500"/>
    <n v="280"/>
    <x v="0"/>
    <n v="0"/>
    <n v="0"/>
    <n v="0"/>
    <n v="-69.892384699999994"/>
    <n v="-69.892384699999994"/>
    <s v="NA"/>
    <s v="NA"/>
    <m/>
    <x v="5"/>
    <s v="Europe centrale"/>
    <n v="7"/>
    <s v="DEVISE-3"/>
    <s v="Abschuss"/>
  </r>
  <r>
    <x v="822"/>
    <s v="ScoRus"/>
    <n v="0"/>
    <x v="1"/>
    <x v="1"/>
    <x v="0"/>
    <x v="0"/>
    <x v="801"/>
    <n v="-24.5258"/>
    <x v="784"/>
    <x v="9"/>
    <m/>
    <x v="1"/>
    <x v="1"/>
    <s v="Cimadera"/>
    <s v="Pezza"/>
    <n v="46.077772369999998"/>
    <n v="9.0519120409999996"/>
    <n v="5"/>
    <n v="31"/>
    <x v="0"/>
    <n v="2015"/>
    <x v="27"/>
    <x v="17"/>
    <n v="46"/>
    <x v="1"/>
    <x v="1"/>
    <x v="1"/>
    <n v="724800"/>
    <n v="104200"/>
    <n v="72481042"/>
    <n v="724104"/>
    <n v="720100"/>
    <n v="722500"/>
    <n v="102500"/>
    <n v="340"/>
    <x v="0"/>
    <n v="0"/>
    <n v="0"/>
    <n v="0"/>
    <n v="-69.78"/>
    <n v="-69.78"/>
    <n v="-92.4"/>
    <s v="NA"/>
    <m/>
    <x v="5"/>
    <s v="Europe centrale"/>
    <n v="7"/>
    <s v="ROSAOR-4"/>
    <s v="Abschuss"/>
  </r>
  <r>
    <x v="823"/>
    <s v="ScoRus"/>
    <n v="0"/>
    <x v="1"/>
    <x v="1"/>
    <x v="0"/>
    <x v="0"/>
    <x v="802"/>
    <n v="-24.1"/>
    <x v="785"/>
    <x v="9"/>
    <m/>
    <x v="1"/>
    <x v="1"/>
    <s v="Arosio"/>
    <s v="Böscio-Triem"/>
    <n v="46.061627979999997"/>
    <n v="8.8969614529999994"/>
    <n v="5"/>
    <n v="2"/>
    <x v="1"/>
    <n v="2016"/>
    <x v="4"/>
    <x v="4"/>
    <n v="47"/>
    <x v="3"/>
    <x v="1"/>
    <x v="1"/>
    <n v="712848"/>
    <n v="102171"/>
    <n v="71281021"/>
    <n v="712102"/>
    <n v="710100"/>
    <n v="712500"/>
    <n v="102500"/>
    <n v="265"/>
    <x v="0"/>
    <n v="0"/>
    <n v="0"/>
    <n v="0"/>
    <n v="-69.774473599999993"/>
    <n v="-69.774473599999993"/>
    <s v="NA"/>
    <s v="NA"/>
    <m/>
    <x v="5"/>
    <s v="Europe centrale"/>
    <n v="7"/>
    <s v="DEVISE-4"/>
    <s v="Abschuss"/>
  </r>
  <r>
    <x v="824"/>
    <s v="ScoRus"/>
    <n v="0"/>
    <x v="1"/>
    <x v="1"/>
    <x v="0"/>
    <x v="0"/>
    <x v="803"/>
    <n v="-24.17625"/>
    <x v="786"/>
    <x v="9"/>
    <m/>
    <x v="0"/>
    <x v="0"/>
    <s v="Val-de-Ruz"/>
    <s v="Mont Racine"/>
    <n v="47.023072839999998"/>
    <n v="6.8162509440000001"/>
    <n v="6"/>
    <n v="27"/>
    <x v="0"/>
    <n v="2015"/>
    <x v="6"/>
    <x v="6"/>
    <n v="42"/>
    <x v="0"/>
    <x v="0"/>
    <x v="0"/>
    <n v="552684"/>
    <n v="208191"/>
    <n v="55262081"/>
    <n v="552208"/>
    <n v="550205"/>
    <n v="552500"/>
    <n v="207500"/>
    <n v="296"/>
    <x v="0"/>
    <n v="0"/>
    <n v="0"/>
    <n v="0"/>
    <n v="-69.69"/>
    <n v="-69.69"/>
    <n v="-92.3"/>
    <s v="NA"/>
    <m/>
    <x v="5"/>
    <s v="Europe centrale"/>
    <n v="7"/>
    <s v="MEISHE-5"/>
    <s v="Abschuss"/>
  </r>
  <r>
    <x v="825"/>
    <s v="ScoRus"/>
    <n v="0"/>
    <x v="1"/>
    <x v="1"/>
    <x v="0"/>
    <x v="0"/>
    <x v="804"/>
    <n v="-24.222999999999999"/>
    <x v="787"/>
    <x v="9"/>
    <m/>
    <x v="0"/>
    <x v="0"/>
    <s v="Val-de-Ruz"/>
    <s v="Grande Racine"/>
    <n v="47.034746910000003"/>
    <n v="6.8344168639999996"/>
    <n v="5"/>
    <n v="14"/>
    <x v="1"/>
    <n v="2015"/>
    <x v="174"/>
    <x v="18"/>
    <n v="59"/>
    <x v="6"/>
    <x v="2"/>
    <x v="2"/>
    <n v="554075"/>
    <n v="209478"/>
    <n v="55402094"/>
    <n v="554209"/>
    <n v="550205"/>
    <n v="552500"/>
    <n v="207500"/>
    <n v="324"/>
    <x v="0"/>
    <n v="0"/>
    <n v="0"/>
    <n v="0"/>
    <n v="-69.66"/>
    <n v="-69.66"/>
    <n v="-92.3"/>
    <s v="NA"/>
    <m/>
    <x v="5"/>
    <s v="Europe centrale"/>
    <n v="7"/>
    <s v="BarbTh-3"/>
    <s v="Abschuss"/>
  </r>
  <r>
    <x v="826"/>
    <s v="ScoRus"/>
    <n v="0"/>
    <x v="1"/>
    <x v="1"/>
    <x v="0"/>
    <x v="0"/>
    <x v="804"/>
    <n v="-24.842400000000001"/>
    <x v="788"/>
    <x v="9"/>
    <m/>
    <x v="1"/>
    <x v="1"/>
    <s v="Capriasca"/>
    <s v="Bedolascia"/>
    <n v="46.08142969"/>
    <n v="8.9834946379999998"/>
    <n v="3"/>
    <n v="29"/>
    <x v="0"/>
    <n v="2015"/>
    <x v="182"/>
    <x v="1"/>
    <n v="44"/>
    <x v="1"/>
    <x v="1"/>
    <x v="1"/>
    <n v="719500"/>
    <n v="104500"/>
    <n v="71951045"/>
    <n v="719104"/>
    <n v="715100"/>
    <n v="717500"/>
    <n v="102500"/>
    <n v="327"/>
    <x v="0"/>
    <n v="0"/>
    <n v="0"/>
    <n v="0"/>
    <n v="-69.66"/>
    <n v="-69.66"/>
    <n v="-92.3"/>
    <s v="NA"/>
    <m/>
    <x v="5"/>
    <s v="Europe centrale"/>
    <n v="7"/>
    <s v="TANTMA-2"/>
    <s v="Abschuss"/>
  </r>
  <r>
    <x v="827"/>
    <s v="ScoRus"/>
    <n v="0"/>
    <x v="1"/>
    <x v="1"/>
    <x v="0"/>
    <x v="0"/>
    <x v="805"/>
    <n v="-24.31"/>
    <x v="602"/>
    <x v="9"/>
    <m/>
    <x v="1"/>
    <x v="1"/>
    <s v="Airolo"/>
    <s v="Roncaccio"/>
    <n v="46.519153690000003"/>
    <n v="8.6007606830000007"/>
    <n v="5"/>
    <n v="1"/>
    <x v="1"/>
    <n v="2016"/>
    <x v="147"/>
    <x v="17"/>
    <n v="46"/>
    <x v="1"/>
    <x v="1"/>
    <x v="1"/>
    <n v="689176"/>
    <n v="152644"/>
    <n v="68911526"/>
    <n v="689152"/>
    <n v="685150"/>
    <n v="687500"/>
    <n v="152500"/>
    <n v="310"/>
    <x v="0"/>
    <n v="0"/>
    <n v="0"/>
    <n v="0"/>
    <n v="-69.6269329"/>
    <n v="-69.6269329"/>
    <s v="NA"/>
    <s v="NA"/>
    <m/>
    <x v="5"/>
    <s v="Europe centrale"/>
    <n v="7"/>
    <s v="BIANRO-6"/>
    <s v="Abschuss"/>
  </r>
  <r>
    <x v="828"/>
    <s v="ScoRus"/>
    <n v="0"/>
    <x v="1"/>
    <x v="1"/>
    <x v="0"/>
    <x v="0"/>
    <x v="806"/>
    <n v="-24.058488010000001"/>
    <x v="789"/>
    <x v="9"/>
    <m/>
    <x v="1"/>
    <x v="1"/>
    <s v="Monteceneri"/>
    <s v="Rivera, Sasso di Spina"/>
    <n v="46.122505070000003"/>
    <n v="8.9057306310000008"/>
    <n v="4"/>
    <n v="24"/>
    <x v="0"/>
    <n v="2015"/>
    <x v="165"/>
    <x v="14"/>
    <n v="39"/>
    <x v="0"/>
    <x v="0"/>
    <x v="0"/>
    <n v="713400"/>
    <n v="108950"/>
    <n v="71341089"/>
    <n v="713108"/>
    <n v="710105"/>
    <n v="712500"/>
    <n v="107500"/>
    <n v="320"/>
    <x v="0"/>
    <n v="0"/>
    <n v="0"/>
    <n v="0"/>
    <n v="-69.459999999999994"/>
    <n v="-69.459999999999994"/>
    <n v="-92.1"/>
    <s v="NA"/>
    <m/>
    <x v="5"/>
    <s v="Europe centrale"/>
    <n v="7"/>
    <s v="RICHAD-3"/>
    <s v="Abschuss"/>
  </r>
  <r>
    <x v="829"/>
    <s v="ScoRus"/>
    <n v="0"/>
    <x v="1"/>
    <x v="1"/>
    <x v="0"/>
    <x v="0"/>
    <x v="807"/>
    <n v="-23.076000000000001"/>
    <x v="790"/>
    <x v="9"/>
    <m/>
    <x v="0"/>
    <x v="3"/>
    <s v="Ballens"/>
    <s v="Monod"/>
    <n v="46.560136589999999"/>
    <n v="6.2759728360000002"/>
    <n v="4"/>
    <n v="1"/>
    <x v="9"/>
    <n v="2015"/>
    <x v="255"/>
    <x v="108"/>
    <n v="76"/>
    <x v="9"/>
    <x v="5"/>
    <x v="3"/>
    <n v="510850"/>
    <n v="157200"/>
    <n v="51081572"/>
    <n v="510157"/>
    <n v="510155"/>
    <n v="512500"/>
    <n v="157500"/>
    <n v="325"/>
    <x v="0"/>
    <n v="0"/>
    <n v="0"/>
    <n v="0"/>
    <n v="-69.34"/>
    <n v="-69.34"/>
    <n v="-92"/>
    <s v="NA"/>
    <m/>
    <x v="5"/>
    <s v="Europe centrale"/>
    <n v="7"/>
    <s v="Rothmi/4"/>
    <s v="Abschuss"/>
  </r>
  <r>
    <x v="830"/>
    <s v="ScoRus"/>
    <n v="0"/>
    <x v="1"/>
    <x v="1"/>
    <x v="0"/>
    <x v="0"/>
    <x v="808"/>
    <n v="-24.201209259999999"/>
    <x v="791"/>
    <x v="9"/>
    <m/>
    <x v="1"/>
    <x v="1"/>
    <s v="Moghegno"/>
    <s v="Campei"/>
    <n v="46.237111349999999"/>
    <n v="8.6933029479999995"/>
    <n v="6"/>
    <n v="4"/>
    <x v="1"/>
    <n v="2015"/>
    <x v="3"/>
    <x v="3"/>
    <n v="49"/>
    <x v="3"/>
    <x v="1"/>
    <x v="1"/>
    <n v="696778"/>
    <n v="121404"/>
    <n v="69671214"/>
    <n v="696121"/>
    <n v="695120"/>
    <n v="697500"/>
    <n v="122500"/>
    <n v="303"/>
    <x v="0"/>
    <n v="0"/>
    <n v="0"/>
    <n v="0"/>
    <n v="-69.3"/>
    <n v="-69.3"/>
    <n v="-91.9"/>
    <s v="NA"/>
    <m/>
    <x v="5"/>
    <s v="Europe centrale"/>
    <n v="7"/>
    <s v="CavalliMa6"/>
    <s v="Abschuss"/>
  </r>
  <r>
    <x v="831"/>
    <s v="ScoRus"/>
    <n v="0"/>
    <x v="1"/>
    <x v="1"/>
    <x v="0"/>
    <x v="0"/>
    <x v="809"/>
    <n v="-23.969000000000001"/>
    <x v="792"/>
    <x v="9"/>
    <m/>
    <x v="1"/>
    <x v="1"/>
    <s v="Sonvico"/>
    <s v="Arla"/>
    <n v="46.07559526"/>
    <n v="9.0150029269999994"/>
    <n v="5"/>
    <n v="8"/>
    <x v="1"/>
    <n v="2015"/>
    <x v="192"/>
    <x v="2"/>
    <n v="53"/>
    <x v="2"/>
    <x v="2"/>
    <x v="1"/>
    <n v="721950"/>
    <n v="103900"/>
    <n v="72191039"/>
    <n v="721103"/>
    <n v="720100"/>
    <n v="722500"/>
    <n v="102500"/>
    <n v="310"/>
    <x v="0"/>
    <n v="0"/>
    <n v="0"/>
    <n v="0"/>
    <n v="-68.98"/>
    <n v="-68.98"/>
    <n v="-91.6"/>
    <s v="NA"/>
    <m/>
    <x v="5"/>
    <s v="Europe centrale"/>
    <n v="7"/>
    <s v="ANARGI-5"/>
    <s v="Abschuss"/>
  </r>
  <r>
    <x v="832"/>
    <s v="ScoRus"/>
    <n v="0"/>
    <x v="1"/>
    <x v="1"/>
    <x v="0"/>
    <x v="0"/>
    <x v="810"/>
    <n v="-23.734999999999999"/>
    <x v="793"/>
    <x v="9"/>
    <m/>
    <x v="0"/>
    <x v="0"/>
    <s v="Val-de-Ruz"/>
    <s v="Grande Racine"/>
    <n v="47.013666839999999"/>
    <n v="6.8285648669999999"/>
    <n v="5"/>
    <n v="21"/>
    <x v="1"/>
    <n v="2015"/>
    <x v="209"/>
    <x v="36"/>
    <n v="66"/>
    <x v="5"/>
    <x v="3"/>
    <x v="2"/>
    <n v="553612"/>
    <n v="207138"/>
    <n v="55362071"/>
    <n v="553207"/>
    <n v="550205"/>
    <n v="552500"/>
    <n v="207500"/>
    <n v="304"/>
    <x v="0"/>
    <n v="0"/>
    <n v="0"/>
    <n v="0"/>
    <n v="-68.89"/>
    <n v="-68.89"/>
    <n v="-91.5"/>
    <s v="NA"/>
    <m/>
    <x v="5"/>
    <s v="Europe centrale"/>
    <n v="7"/>
    <s v="BarbTh-5"/>
    <s v="Abschuss"/>
  </r>
  <r>
    <x v="833"/>
    <s v="ScoRus"/>
    <n v="0"/>
    <x v="1"/>
    <x v="1"/>
    <x v="0"/>
    <x v="0"/>
    <x v="170"/>
    <n v="-24.41225"/>
    <x v="794"/>
    <x v="9"/>
    <m/>
    <x v="0"/>
    <x v="0"/>
    <s v="La Brévine"/>
    <s v="Les Bans"/>
    <n v="46.95502123"/>
    <n v="6.5806406419999997"/>
    <n v="6"/>
    <n v="16"/>
    <x v="0"/>
    <n v="2015"/>
    <x v="181"/>
    <x v="33"/>
    <n v="31"/>
    <x v="8"/>
    <x v="4"/>
    <x v="0"/>
    <n v="534690"/>
    <n v="200795"/>
    <n v="53462007"/>
    <n v="534200"/>
    <n v="530200"/>
    <n v="532500"/>
    <n v="202500"/>
    <n v="275"/>
    <x v="0"/>
    <n v="0"/>
    <n v="0"/>
    <n v="0"/>
    <n v="-68.849999999999994"/>
    <n v="-68.849999999999994"/>
    <n v="-91.5"/>
    <s v="NA"/>
    <m/>
    <x v="5"/>
    <s v="Europe centrale"/>
    <n v="7"/>
    <s v="MEISHE-2"/>
    <s v="Abschuss"/>
  </r>
  <r>
    <x v="834"/>
    <s v="ScoRus"/>
    <n v="0"/>
    <x v="1"/>
    <x v="1"/>
    <x v="0"/>
    <x v="0"/>
    <x v="811"/>
    <n v="-22.707249999999998"/>
    <x v="795"/>
    <x v="9"/>
    <m/>
    <x v="0"/>
    <x v="0"/>
    <s v="Val-de-Travers"/>
    <s v="Les Charbonnières"/>
    <n v="46.933648570000003"/>
    <n v="6.5736275219999998"/>
    <n v="6"/>
    <n v="16"/>
    <x v="1"/>
    <n v="2015"/>
    <x v="190"/>
    <x v="28"/>
    <n v="61"/>
    <x v="6"/>
    <x v="2"/>
    <x v="2"/>
    <n v="534130"/>
    <n v="198425"/>
    <n v="53411984"/>
    <n v="534198"/>
    <n v="530195"/>
    <n v="532500"/>
    <n v="197500"/>
    <n v="372"/>
    <x v="0"/>
    <n v="0"/>
    <n v="0"/>
    <n v="0"/>
    <n v="-68.819999999999993"/>
    <n v="-68.819999999999993"/>
    <n v="-91.4"/>
    <s v="NA"/>
    <m/>
    <x v="5"/>
    <s v="Europe centrale"/>
    <n v="7"/>
    <s v="MEISHE-10"/>
    <s v="Abschuss"/>
  </r>
  <r>
    <x v="835"/>
    <s v="ScoRus"/>
    <n v="0"/>
    <x v="1"/>
    <x v="1"/>
    <x v="0"/>
    <x v="0"/>
    <x v="812"/>
    <s v="NA"/>
    <x v="796"/>
    <x v="9"/>
    <m/>
    <x v="2"/>
    <x v="2"/>
    <s v="Maules"/>
    <s v="Commune de Maules"/>
    <n v="46.644213030000003"/>
    <n v="7.0092780760000002"/>
    <n v="5"/>
    <n v="7"/>
    <x v="1"/>
    <n v="2017"/>
    <x v="256"/>
    <x v="12"/>
    <n v="52"/>
    <x v="2"/>
    <x v="2"/>
    <x v="1"/>
    <n v="567128"/>
    <n v="165976"/>
    <n v="56711659"/>
    <n v="567165"/>
    <n v="565165"/>
    <n v="567500"/>
    <n v="167500"/>
    <n v="353"/>
    <x v="0"/>
    <n v="0"/>
    <n v="0"/>
    <n v="0"/>
    <n v="-68.799570399999993"/>
    <n v="-68.799570399999993"/>
    <s v="NA"/>
    <s v="NA"/>
    <m/>
    <x v="5"/>
    <s v="Europe centrale"/>
    <n v="7"/>
    <s v="SAVALU-1"/>
    <s v="Abschuss, femelle"/>
  </r>
  <r>
    <x v="836"/>
    <s v="ScoRus"/>
    <n v="0"/>
    <x v="1"/>
    <x v="1"/>
    <x v="0"/>
    <x v="0"/>
    <x v="813"/>
    <n v="-24.873200000000001"/>
    <x v="797"/>
    <x v="9"/>
    <m/>
    <x v="1"/>
    <x v="1"/>
    <s v="Alto Malcantone"/>
    <s v="Fescoggia"/>
    <n v="46.044158199999998"/>
    <n v="8.8708229830000001"/>
    <n v="5"/>
    <n v="16"/>
    <x v="0"/>
    <n v="2015"/>
    <x v="181"/>
    <x v="33"/>
    <n v="31"/>
    <x v="8"/>
    <x v="4"/>
    <x v="0"/>
    <n v="710861"/>
    <n v="100192"/>
    <n v="71081001"/>
    <n v="710100"/>
    <n v="710100"/>
    <n v="712500"/>
    <n v="102500"/>
    <n v="271"/>
    <x v="0"/>
    <n v="0"/>
    <n v="0"/>
    <n v="0"/>
    <n v="-68.69"/>
    <n v="-68.69"/>
    <n v="-91.3"/>
    <s v="NA"/>
    <m/>
    <x v="5"/>
    <s v="Europe centrale"/>
    <n v="7"/>
    <s v="GIAMGI-1"/>
    <s v="Abschuss"/>
  </r>
  <r>
    <x v="837"/>
    <s v="ScoRus"/>
    <n v="0"/>
    <x v="1"/>
    <x v="1"/>
    <x v="0"/>
    <x v="0"/>
    <x v="814"/>
    <s v="NA"/>
    <x v="798"/>
    <x v="9"/>
    <m/>
    <x v="0"/>
    <x v="0"/>
    <s v="Le Locle"/>
    <s v="Les Cottards dessus"/>
    <n v="46.961999290000001"/>
    <n v="6.5754967579999999"/>
    <n v="5"/>
    <n v="28"/>
    <x v="0"/>
    <n v="2017"/>
    <x v="59"/>
    <x v="16"/>
    <n v="43"/>
    <x v="1"/>
    <x v="1"/>
    <x v="1"/>
    <n v="534307"/>
    <n v="201575"/>
    <n v="53432015"/>
    <n v="534201"/>
    <n v="530200"/>
    <n v="532500"/>
    <n v="202500"/>
    <n v="288"/>
    <x v="0"/>
    <n v="0"/>
    <n v="0"/>
    <n v="0"/>
    <n v="-68.664822200000003"/>
    <n v="-68.664822200000003"/>
    <s v="NA"/>
    <s v="NA"/>
    <m/>
    <x v="5"/>
    <s v="Europe centrale"/>
    <n v="7"/>
    <s v="PRETFA-3"/>
    <s v="Abschuss"/>
  </r>
  <r>
    <x v="838"/>
    <s v="ScoRus"/>
    <n v="0"/>
    <x v="1"/>
    <x v="1"/>
    <x v="0"/>
    <x v="0"/>
    <x v="815"/>
    <n v="-22.975999999999999"/>
    <x v="799"/>
    <x v="9"/>
    <m/>
    <x v="0"/>
    <x v="0"/>
    <s v="St-Sulpice"/>
    <s v="La Corbière"/>
    <n v="46.903182569999998"/>
    <n v="6.547013969"/>
    <n v="5"/>
    <n v="30"/>
    <x v="0"/>
    <n v="2015"/>
    <x v="84"/>
    <x v="23"/>
    <n v="45"/>
    <x v="1"/>
    <x v="1"/>
    <x v="1"/>
    <n v="532065"/>
    <n v="195061"/>
    <n v="53201950"/>
    <n v="532195"/>
    <n v="530195"/>
    <n v="532500"/>
    <n v="197500"/>
    <n v="280"/>
    <x v="0"/>
    <n v="0"/>
    <n v="0"/>
    <n v="0"/>
    <n v="-68.53"/>
    <n v="-68.53"/>
    <n v="-91.1"/>
    <s v="NA"/>
    <m/>
    <x v="5"/>
    <s v="Europe centrale"/>
    <n v="7"/>
    <s v="Garije-4"/>
    <s v="Abschuss"/>
  </r>
  <r>
    <x v="839"/>
    <s v="ScoRus"/>
    <n v="0"/>
    <x v="1"/>
    <x v="1"/>
    <x v="0"/>
    <x v="0"/>
    <x v="816"/>
    <n v="-24.16328571"/>
    <x v="800"/>
    <x v="9"/>
    <m/>
    <x v="0"/>
    <x v="0"/>
    <s v="Cernier"/>
    <s v="La Gautereine"/>
    <n v="47.088041410000002"/>
    <n v="6.8838621389999997"/>
    <n v="6"/>
    <n v="10"/>
    <x v="0"/>
    <n v="2014"/>
    <x v="243"/>
    <x v="96"/>
    <n v="25"/>
    <x v="37"/>
    <x v="4"/>
    <x v="4"/>
    <n v="557875"/>
    <n v="215375"/>
    <n v="55782153"/>
    <n v="557215"/>
    <n v="555215"/>
    <n v="557500"/>
    <n v="217500"/>
    <n v="321"/>
    <x v="0"/>
    <n v="0"/>
    <n v="0"/>
    <n v="0"/>
    <n v="-68.459999999999994"/>
    <n v="-68.459999999999994"/>
    <n v="-91.1"/>
    <s v="NA"/>
    <m/>
    <x v="5"/>
    <s v="Europe centrale"/>
    <n v="7"/>
    <s v="MEISHE1"/>
    <s v="Abschuss"/>
  </r>
  <r>
    <x v="840"/>
    <s v="ScoRus"/>
    <n v="0"/>
    <x v="1"/>
    <x v="1"/>
    <x v="0"/>
    <x v="0"/>
    <x v="817"/>
    <n v="-23.827000000000002"/>
    <x v="801"/>
    <x v="9"/>
    <m/>
    <x v="0"/>
    <x v="3"/>
    <s v="Baulmes"/>
    <s v="La Limasse"/>
    <n v="46.803213309999997"/>
    <n v="6.4427206510000001"/>
    <n v="5"/>
    <n v="30"/>
    <x v="0"/>
    <n v="2015"/>
    <x v="84"/>
    <x v="23"/>
    <n v="45"/>
    <x v="1"/>
    <x v="1"/>
    <x v="1"/>
    <n v="523978"/>
    <n v="184044"/>
    <n v="52391840"/>
    <n v="523184"/>
    <n v="520180"/>
    <n v="522500"/>
    <n v="182500"/>
    <n v="365"/>
    <x v="0"/>
    <n v="0"/>
    <n v="0"/>
    <n v="0"/>
    <n v="-68.25"/>
    <n v="-68.25"/>
    <n v="-90.9"/>
    <s v="NA"/>
    <m/>
    <x v="5"/>
    <s v="Europe centrale"/>
    <n v="7"/>
    <s v="JOSEDA-4"/>
    <s v="Abschuss"/>
  </r>
  <r>
    <x v="841"/>
    <s v="ScoRus"/>
    <n v="0"/>
    <x v="1"/>
    <x v="1"/>
    <x v="0"/>
    <x v="0"/>
    <x v="818"/>
    <n v="-23.681120969999998"/>
    <x v="802"/>
    <x v="9"/>
    <m/>
    <x v="2"/>
    <x v="2"/>
    <s v="Sorens"/>
    <s v="Petits Praty"/>
    <n v="46.662139660000001"/>
    <n v="7.0160344710000002"/>
    <n v="5"/>
    <n v="24"/>
    <x v="0"/>
    <n v="2015"/>
    <x v="165"/>
    <x v="14"/>
    <n v="39"/>
    <x v="0"/>
    <x v="0"/>
    <x v="0"/>
    <n v="567656"/>
    <n v="167966"/>
    <n v="56761679"/>
    <n v="567167"/>
    <n v="565165"/>
    <n v="567500"/>
    <n v="167500"/>
    <n v="330"/>
    <x v="0"/>
    <n v="0"/>
    <n v="0"/>
    <n v="0"/>
    <n v="-68.23"/>
    <n v="-68.23"/>
    <n v="-90.8"/>
    <s v="NA"/>
    <m/>
    <x v="5"/>
    <s v="Europe centrale"/>
    <n v="7"/>
    <s v="SAVAJE-1"/>
    <s v="Abschuss"/>
  </r>
  <r>
    <x v="842"/>
    <s v="ScoRus"/>
    <n v="0"/>
    <x v="1"/>
    <x v="1"/>
    <x v="0"/>
    <x v="0"/>
    <x v="819"/>
    <n v="-24.9"/>
    <x v="803"/>
    <x v="10"/>
    <m/>
    <x v="1"/>
    <x v="1"/>
    <s v="Vaglio"/>
    <s v="Stinché"/>
    <n v="46.09717449"/>
    <n v="8.9503146529999995"/>
    <n v="5"/>
    <n v="29"/>
    <x v="0"/>
    <n v="2016"/>
    <x v="180"/>
    <x v="1"/>
    <n v="44"/>
    <x v="1"/>
    <x v="1"/>
    <x v="1"/>
    <n v="716900"/>
    <n v="106200"/>
    <n v="71691062"/>
    <n v="716106"/>
    <n v="715105"/>
    <n v="717500"/>
    <n v="107500"/>
    <n v="285"/>
    <x v="0"/>
    <n v="0"/>
    <n v="0"/>
    <n v="0"/>
    <n v="-67.792185700000005"/>
    <n v="-67.792185700000005"/>
    <s v="NA"/>
    <s v="NA"/>
    <m/>
    <x v="5"/>
    <s v="Europe centrale"/>
    <n v="7"/>
    <s v="GRUBLO-5"/>
    <s v="Abschuss"/>
  </r>
  <r>
    <x v="843"/>
    <s v="ScoRus"/>
    <n v="0"/>
    <x v="1"/>
    <x v="1"/>
    <x v="0"/>
    <x v="0"/>
    <x v="820"/>
    <n v="-24.010676589999999"/>
    <x v="804"/>
    <x v="10"/>
    <m/>
    <x v="1"/>
    <x v="1"/>
    <s v="Tesserete"/>
    <s v="Gola di Lago"/>
    <n v="46.103261140000001"/>
    <n v="8.9660044170000006"/>
    <n v="5"/>
    <n v="3"/>
    <x v="1"/>
    <n v="2015"/>
    <x v="204"/>
    <x v="25"/>
    <n v="48"/>
    <x v="3"/>
    <x v="1"/>
    <x v="1"/>
    <n v="718100"/>
    <n v="106900"/>
    <n v="71811069"/>
    <n v="718106"/>
    <n v="715105"/>
    <n v="717500"/>
    <n v="107500"/>
    <n v="283"/>
    <x v="0"/>
    <n v="0"/>
    <n v="0"/>
    <n v="0"/>
    <n v="-67.680000000000007"/>
    <n v="-67.680000000000007"/>
    <n v="-90.3"/>
    <s v="NA"/>
    <m/>
    <x v="5"/>
    <s v="Europe centrale"/>
    <n v="7"/>
    <s v="GRUBLO-3"/>
    <s v="Abschuss"/>
  </r>
  <r>
    <x v="844"/>
    <s v="ScoRus"/>
    <n v="0"/>
    <x v="1"/>
    <x v="1"/>
    <x v="0"/>
    <x v="0"/>
    <x v="821"/>
    <n v="-23.48"/>
    <x v="805"/>
    <x v="10"/>
    <m/>
    <x v="1"/>
    <x v="1"/>
    <s v="Monteceneri"/>
    <s v="Spina"/>
    <n v="46.075766190000003"/>
    <n v="8.9022126969999995"/>
    <n v="4"/>
    <n v="8"/>
    <x v="1"/>
    <n v="2016"/>
    <x v="186"/>
    <x v="2"/>
    <n v="53"/>
    <x v="2"/>
    <x v="2"/>
    <x v="1"/>
    <n v="713225"/>
    <n v="103750"/>
    <n v="71321037"/>
    <n v="713103"/>
    <n v="710100"/>
    <n v="712500"/>
    <n v="102500"/>
    <n v="300"/>
    <x v="0"/>
    <n v="0"/>
    <n v="0"/>
    <n v="0"/>
    <n v="-67.663357000000005"/>
    <n v="-67.663357000000005"/>
    <s v="NA"/>
    <s v="NA"/>
    <m/>
    <x v="5"/>
    <s v="Europe centrale"/>
    <n v="7"/>
    <s v="RICHAD-8"/>
    <s v="Abschuss"/>
  </r>
  <r>
    <x v="845"/>
    <s v="ScoRus"/>
    <n v="0"/>
    <x v="1"/>
    <x v="1"/>
    <x v="0"/>
    <x v="0"/>
    <x v="822"/>
    <n v="-22.550999999999998"/>
    <x v="806"/>
    <x v="10"/>
    <m/>
    <x v="0"/>
    <x v="0"/>
    <s v="Val-de-Ruz"/>
    <s v="La Vy Neuve"/>
    <n v="47.007701769999997"/>
    <n v="6.8166263999999996"/>
    <n v="6"/>
    <n v="10"/>
    <x v="1"/>
    <n v="2015"/>
    <x v="200"/>
    <x v="19"/>
    <n v="55"/>
    <x v="2"/>
    <x v="2"/>
    <x v="1"/>
    <n v="552699"/>
    <n v="206482"/>
    <n v="55262064"/>
    <n v="552206"/>
    <n v="550205"/>
    <n v="552500"/>
    <n v="207500"/>
    <n v="330"/>
    <x v="0"/>
    <n v="0"/>
    <n v="0"/>
    <n v="0"/>
    <n v="-67.599999999999994"/>
    <n v="-67.599999999999994"/>
    <n v="-90.2"/>
    <s v="NA"/>
    <m/>
    <x v="5"/>
    <s v="Europe centrale"/>
    <n v="7"/>
    <s v="PENAJA-3"/>
    <s v="Abschuss"/>
  </r>
  <r>
    <x v="846"/>
    <s v="ScoRus"/>
    <n v="0"/>
    <x v="1"/>
    <x v="1"/>
    <x v="0"/>
    <x v="0"/>
    <x v="823"/>
    <n v="-24.164285710000001"/>
    <x v="807"/>
    <x v="10"/>
    <m/>
    <x v="0"/>
    <x v="0"/>
    <s v="Fontainemelon"/>
    <s v="La Vue-des-Alpes"/>
    <n v="47.073500430000003"/>
    <n v="6.8718336610000001"/>
    <n v="6"/>
    <n v="16"/>
    <x v="0"/>
    <n v="2014"/>
    <x v="45"/>
    <x v="33"/>
    <n v="31"/>
    <x v="8"/>
    <x v="4"/>
    <x v="0"/>
    <n v="556950"/>
    <n v="213765"/>
    <n v="55692137"/>
    <n v="556213"/>
    <n v="555210"/>
    <n v="557500"/>
    <n v="212500"/>
    <n v="310"/>
    <x v="0"/>
    <n v="0"/>
    <n v="0"/>
    <n v="0"/>
    <n v="-67.39"/>
    <n v="-67.39"/>
    <n v="-90"/>
    <s v="NA"/>
    <m/>
    <x v="5"/>
    <s v="Europe centrale"/>
    <n v="7"/>
    <s v="POSIAN-3"/>
    <s v="Abschuss"/>
  </r>
  <r>
    <x v="847"/>
    <s v="ScoRus"/>
    <n v="0"/>
    <x v="1"/>
    <x v="1"/>
    <x v="0"/>
    <x v="0"/>
    <x v="824"/>
    <n v="-23.97"/>
    <x v="808"/>
    <x v="10"/>
    <m/>
    <x v="1"/>
    <x v="1"/>
    <s v="Monteceneri"/>
    <s v="Robasano"/>
    <n v="46.133699729999996"/>
    <n v="8.9438207300000006"/>
    <n v="5"/>
    <n v="8"/>
    <x v="1"/>
    <n v="2016"/>
    <x v="186"/>
    <x v="2"/>
    <n v="53"/>
    <x v="2"/>
    <x v="2"/>
    <x v="1"/>
    <n v="716320"/>
    <n v="110250"/>
    <n v="71631102"/>
    <n v="716110"/>
    <n v="715110"/>
    <n v="717500"/>
    <n v="112500"/>
    <n v="315"/>
    <x v="0"/>
    <n v="0"/>
    <n v="0"/>
    <n v="0"/>
    <n v="-67.175663200000002"/>
    <n v="-67.175663200000002"/>
    <s v="NA"/>
    <s v="NA"/>
    <m/>
    <x v="5"/>
    <s v="Europe centrale"/>
    <n v="7"/>
    <s v="PURASA-11"/>
    <s v="Abschuss"/>
  </r>
  <r>
    <x v="848"/>
    <s v="ScoRus"/>
    <n v="0"/>
    <x v="1"/>
    <x v="1"/>
    <x v="0"/>
    <x v="0"/>
    <x v="825"/>
    <n v="-23.25"/>
    <x v="809"/>
    <x v="10"/>
    <m/>
    <x v="1"/>
    <x v="1"/>
    <s v="Monteceneri"/>
    <s v="Robasano"/>
    <n v="46.134298219999998"/>
    <n v="8.9461667410000008"/>
    <n v="5"/>
    <n v="10"/>
    <x v="1"/>
    <n v="2016"/>
    <x v="169"/>
    <x v="19"/>
    <n v="55"/>
    <x v="2"/>
    <x v="2"/>
    <x v="1"/>
    <n v="716500"/>
    <n v="110320"/>
    <n v="71651103"/>
    <n v="716110"/>
    <n v="715110"/>
    <n v="717500"/>
    <n v="112500"/>
    <n v="275"/>
    <x v="0"/>
    <n v="0"/>
    <n v="0"/>
    <n v="0"/>
    <n v="-67.149724399999997"/>
    <n v="-67.149724399999997"/>
    <s v="NA"/>
    <s v="NA"/>
    <m/>
    <x v="5"/>
    <s v="Europe centrale"/>
    <n v="7"/>
    <s v="PURASA-14"/>
    <s v="Abschuss"/>
  </r>
  <r>
    <x v="849"/>
    <s v="ScoRus"/>
    <n v="0"/>
    <x v="1"/>
    <x v="1"/>
    <x v="0"/>
    <x v="0"/>
    <x v="826"/>
    <n v="-58.64548585"/>
    <x v="810"/>
    <x v="10"/>
    <m/>
    <x v="2"/>
    <x v="2"/>
    <s v="Maules"/>
    <s v="Etangs de Maules"/>
    <n v="46.652036270000004"/>
    <n v="6.9990524609999998"/>
    <n v="6"/>
    <n v="2"/>
    <x v="1"/>
    <n v="2013"/>
    <x v="86"/>
    <x v="4"/>
    <n v="47"/>
    <x v="3"/>
    <x v="1"/>
    <x v="1"/>
    <n v="566350"/>
    <n v="166850"/>
    <n v="56631668"/>
    <n v="566166"/>
    <n v="565165"/>
    <n v="567500"/>
    <n v="167500"/>
    <n v="277"/>
    <x v="0"/>
    <n v="0"/>
    <n v="0"/>
    <n v="0"/>
    <n v="-67.11"/>
    <n v="-67.11"/>
    <n v="-89.7"/>
    <s v="NA"/>
    <m/>
    <x v="5"/>
    <s v="Europe centrale"/>
    <n v="7"/>
    <s v="SAVALU1"/>
    <s v="Abschuss"/>
  </r>
  <r>
    <x v="850"/>
    <s v="ScoRus"/>
    <n v="0"/>
    <x v="1"/>
    <x v="1"/>
    <x v="0"/>
    <x v="0"/>
    <x v="827"/>
    <s v="NA"/>
    <x v="811"/>
    <x v="10"/>
    <m/>
    <x v="0"/>
    <x v="3"/>
    <s v="Le Chenit"/>
    <s v="NA"/>
    <n v="46.570953029999998"/>
    <n v="6.1929026729999999"/>
    <n v="3"/>
    <n v="28"/>
    <x v="0"/>
    <n v="2017"/>
    <x v="59"/>
    <x v="16"/>
    <n v="43"/>
    <x v="1"/>
    <x v="1"/>
    <x v="1"/>
    <n v="504500"/>
    <n v="158500"/>
    <n v="50451585"/>
    <n v="504158"/>
    <n v="500155"/>
    <n v="502500"/>
    <n v="157500"/>
    <n v="304"/>
    <x v="0"/>
    <n v="0"/>
    <n v="0"/>
    <n v="0"/>
    <n v="-66.734880200000006"/>
    <n v="-66.734880200000006"/>
    <s v="NA"/>
    <s v="NA"/>
    <m/>
    <x v="5"/>
    <s v="Europe centrale"/>
    <n v="7"/>
    <s v="CORDJC-2"/>
    <s v="Abschuss"/>
  </r>
  <r>
    <x v="851"/>
    <s v="ScoRus"/>
    <n v="0"/>
    <x v="1"/>
    <x v="1"/>
    <x v="0"/>
    <x v="0"/>
    <x v="828"/>
    <n v="-23.12"/>
    <x v="812"/>
    <x v="10"/>
    <m/>
    <x v="1"/>
    <x v="1"/>
    <s v="Loco"/>
    <s v="Gerbi"/>
    <n v="46.220154299999997"/>
    <n v="8.6776438630000001"/>
    <n v="4"/>
    <n v="9"/>
    <x v="1"/>
    <n v="2016"/>
    <x v="185"/>
    <x v="5"/>
    <n v="54"/>
    <x v="2"/>
    <x v="2"/>
    <x v="1"/>
    <n v="695600"/>
    <n v="119500"/>
    <n v="69561195"/>
    <n v="695119"/>
    <n v="695115"/>
    <n v="697500"/>
    <n v="117500"/>
    <n v="354"/>
    <x v="0"/>
    <n v="0"/>
    <n v="0"/>
    <n v="0"/>
    <n v="-66.561942400000007"/>
    <n v="-66.561942400000007"/>
    <s v="NA"/>
    <s v="NA"/>
    <m/>
    <x v="5"/>
    <s v="Europe centrale"/>
    <n v="7"/>
    <s v="CAVAMA-8"/>
    <s v="Abschuss"/>
  </r>
  <r>
    <x v="852"/>
    <s v="ScoRus"/>
    <n v="0"/>
    <x v="1"/>
    <x v="1"/>
    <x v="0"/>
    <x v="0"/>
    <x v="829"/>
    <n v="-24.276"/>
    <x v="813"/>
    <x v="10"/>
    <m/>
    <x v="2"/>
    <x v="3"/>
    <s v="Mauraz"/>
    <s v="Taillis"/>
    <n v="46.593044030000001"/>
    <n v="6.4244311559999998"/>
    <n v="4"/>
    <n v="14"/>
    <x v="9"/>
    <n v="2015"/>
    <x v="189"/>
    <x v="94"/>
    <n v="89"/>
    <x v="36"/>
    <x v="20"/>
    <x v="15"/>
    <n v="522280"/>
    <n v="160700"/>
    <n v="52221607"/>
    <n v="522160"/>
    <n v="520160"/>
    <n v="522500"/>
    <n v="162500"/>
    <n v="327"/>
    <x v="0"/>
    <n v="0"/>
    <n v="0"/>
    <n v="0"/>
    <n v="-66.37"/>
    <n v="-66.37"/>
    <n v="-88.9"/>
    <s v="NA"/>
    <m/>
    <x v="5"/>
    <s v="Europe centrale"/>
    <n v="7"/>
    <s v="Fvui-3"/>
    <s v="Abschuss"/>
  </r>
  <r>
    <x v="853"/>
    <s v="ScoRus"/>
    <n v="0"/>
    <x v="1"/>
    <x v="1"/>
    <x v="0"/>
    <x v="0"/>
    <x v="830"/>
    <n v="-24.006"/>
    <x v="814"/>
    <x v="10"/>
    <m/>
    <x v="0"/>
    <x v="0"/>
    <s v="Les Geneveys-sur-Coffrane"/>
    <s v="Mont-Racine"/>
    <n v="47.024224029999999"/>
    <n v="6.8145538319999996"/>
    <n v="6"/>
    <n v="25"/>
    <x v="0"/>
    <n v="2014"/>
    <x v="8"/>
    <x v="8"/>
    <n v="40"/>
    <x v="0"/>
    <x v="0"/>
    <x v="0"/>
    <n v="552556"/>
    <n v="208320"/>
    <n v="55252083"/>
    <n v="552208"/>
    <n v="550205"/>
    <n v="552500"/>
    <n v="207500"/>
    <n v="300"/>
    <x v="0"/>
    <n v="0"/>
    <n v="0"/>
    <n v="0"/>
    <n v="-66.36"/>
    <n v="-66.36"/>
    <n v="-88.9"/>
    <s v="NA"/>
    <m/>
    <x v="5"/>
    <s v="Europe centrale"/>
    <n v="7"/>
    <s v="PFISEP-4"/>
    <s v="Abschuss"/>
  </r>
  <r>
    <x v="854"/>
    <s v="ScoRus"/>
    <n v="0"/>
    <x v="1"/>
    <x v="1"/>
    <x v="0"/>
    <x v="0"/>
    <x v="831"/>
    <n v="-23.986599999999999"/>
    <x v="815"/>
    <x v="10"/>
    <m/>
    <x v="1"/>
    <x v="1"/>
    <s v="Isone"/>
    <s v="Caneggio, Corte di mezzo"/>
    <n v="46.149148029999999"/>
    <n v="9.0469035919999996"/>
    <n v="4"/>
    <n v="22"/>
    <x v="0"/>
    <n v="2015"/>
    <x v="89"/>
    <x v="21"/>
    <n v="37"/>
    <x v="4"/>
    <x v="0"/>
    <x v="0"/>
    <n v="724250"/>
    <n v="112125"/>
    <n v="72421121"/>
    <n v="724112"/>
    <n v="720110"/>
    <n v="722500"/>
    <n v="112500"/>
    <n v="300"/>
    <x v="0"/>
    <n v="0"/>
    <n v="0"/>
    <n v="0"/>
    <n v="-66.28"/>
    <n v="-66.28"/>
    <n v="-88.8"/>
    <s v="NA"/>
    <m/>
    <x v="5"/>
    <s v="Europe centrale"/>
    <n v="7"/>
    <s v="RICHAD-1"/>
    <s v="Abschuss"/>
  </r>
  <r>
    <x v="855"/>
    <s v="ScoRus"/>
    <n v="0"/>
    <x v="1"/>
    <x v="1"/>
    <x v="0"/>
    <x v="0"/>
    <x v="832"/>
    <n v="-21.467312459999999"/>
    <x v="816"/>
    <x v="10"/>
    <m/>
    <x v="0"/>
    <x v="0"/>
    <s v="NA"/>
    <s v="Crêt du Vent"/>
    <n v="46.965379609999999"/>
    <n v="6.6488310540000004"/>
    <n v="6"/>
    <n v="5"/>
    <x v="1"/>
    <n v="2013"/>
    <x v="28"/>
    <x v="22"/>
    <n v="50"/>
    <x v="3"/>
    <x v="1"/>
    <x v="1"/>
    <n v="539892"/>
    <n v="201892"/>
    <n v="53982018"/>
    <n v="539201"/>
    <n v="535200"/>
    <n v="537500"/>
    <n v="202500"/>
    <n v="351"/>
    <x v="0"/>
    <n v="0"/>
    <n v="0"/>
    <n v="0"/>
    <n v="-66.260000000000005"/>
    <n v="-66.260000000000005"/>
    <n v="-88.8"/>
    <s v="NA"/>
    <m/>
    <x v="5"/>
    <s v="Europe centrale"/>
    <n v="7"/>
    <s v="MEISTHE7"/>
    <s v="Abschuss"/>
  </r>
  <r>
    <x v="856"/>
    <s v="ScoRus"/>
    <n v="0"/>
    <x v="1"/>
    <x v="1"/>
    <x v="0"/>
    <x v="0"/>
    <x v="833"/>
    <n v="-22.514399999999998"/>
    <x v="817"/>
    <x v="10"/>
    <m/>
    <x v="1"/>
    <x v="1"/>
    <s v="Arosio"/>
    <s v="Piové"/>
    <n v="46.055162799999998"/>
    <n v="8.8945920170000008"/>
    <n v="6"/>
    <n v="1"/>
    <x v="1"/>
    <n v="2015"/>
    <x v="167"/>
    <x v="17"/>
    <n v="46"/>
    <x v="1"/>
    <x v="1"/>
    <x v="1"/>
    <n v="712678"/>
    <n v="101449"/>
    <n v="71261014"/>
    <n v="712101"/>
    <n v="710100"/>
    <n v="712500"/>
    <n v="102500"/>
    <n v="308"/>
    <x v="0"/>
    <n v="0"/>
    <n v="0"/>
    <n v="0"/>
    <n v="-66.239999999999995"/>
    <n v="-66.239999999999995"/>
    <n v="-88.8"/>
    <s v="NA"/>
    <m/>
    <x v="5"/>
    <s v="Europe centrale"/>
    <n v="7"/>
    <s v="Devise-9"/>
    <s v="Abschuss"/>
  </r>
  <r>
    <x v="857"/>
    <s v="ScoRus"/>
    <n v="0"/>
    <x v="1"/>
    <x v="1"/>
    <x v="0"/>
    <x v="0"/>
    <x v="834"/>
    <n v="-22.7"/>
    <x v="818"/>
    <x v="10"/>
    <m/>
    <x v="1"/>
    <x v="1"/>
    <s v="Airolo"/>
    <s v="Albinasca"/>
    <n v="46.527364929999997"/>
    <n v="8.5797034029999999"/>
    <s v="NA"/>
    <n v="18"/>
    <x v="0"/>
    <n v="2016"/>
    <x v="151"/>
    <x v="89"/>
    <n v="33"/>
    <x v="4"/>
    <x v="0"/>
    <x v="0"/>
    <n v="687547"/>
    <n v="153533"/>
    <n v="68751535"/>
    <n v="687153"/>
    <n v="685150"/>
    <n v="687500"/>
    <n v="152500"/>
    <n v="325"/>
    <x v="0"/>
    <n v="0"/>
    <n v="0"/>
    <n v="0"/>
    <n v="-66.020292600000005"/>
    <n v="-66.020292600000005"/>
    <s v="NA"/>
    <s v="NA"/>
    <m/>
    <x v="5"/>
    <s v="Europe centrale"/>
    <n v="7"/>
    <s v="BIANRO-2"/>
    <s v="Abschuss"/>
  </r>
  <r>
    <x v="858"/>
    <s v="ScoRus"/>
    <n v="0"/>
    <x v="1"/>
    <x v="1"/>
    <x v="0"/>
    <x v="0"/>
    <x v="835"/>
    <n v="-23.27"/>
    <x v="819"/>
    <x v="10"/>
    <m/>
    <x v="1"/>
    <x v="1"/>
    <s v="Cabbbio"/>
    <s v="Piancabella"/>
    <n v="45.90766232"/>
    <n v="9.0662092659999995"/>
    <n v="5"/>
    <n v="25"/>
    <x v="0"/>
    <n v="2016"/>
    <x v="157"/>
    <x v="8"/>
    <n v="40"/>
    <x v="0"/>
    <x v="0"/>
    <x v="0"/>
    <n v="726298"/>
    <n v="85316"/>
    <n v="72620853"/>
    <n v="726085"/>
    <n v="725085"/>
    <n v="727500"/>
    <n v="87500"/>
    <n v="330"/>
    <x v="0"/>
    <n v="0"/>
    <n v="0"/>
    <n v="0"/>
    <n v="-65.998860800000003"/>
    <n v="-65.998860800000003"/>
    <s v="NA"/>
    <s v="NA"/>
    <m/>
    <x v="5"/>
    <s v="Europe centrale"/>
    <n v="7"/>
    <s v="REZZRO-2"/>
    <s v="Abschuss"/>
  </r>
  <r>
    <x v="859"/>
    <s v="ScoRus"/>
    <n v="0"/>
    <x v="1"/>
    <x v="1"/>
    <x v="0"/>
    <x v="0"/>
    <x v="836"/>
    <n v="-23.75"/>
    <x v="498"/>
    <x v="10"/>
    <m/>
    <x v="1"/>
    <x v="1"/>
    <s v="Moghegno"/>
    <s v="Cortone"/>
    <n v="46.231518880000003"/>
    <n v="8.6832176919999995"/>
    <n v="6"/>
    <n v="10"/>
    <x v="1"/>
    <n v="2016"/>
    <x v="169"/>
    <x v="19"/>
    <n v="55"/>
    <x v="2"/>
    <x v="2"/>
    <x v="1"/>
    <n v="696010"/>
    <n v="120770"/>
    <n v="69601207"/>
    <n v="696120"/>
    <n v="695120"/>
    <n v="697500"/>
    <n v="122500"/>
    <n v="307"/>
    <x v="0"/>
    <n v="0"/>
    <n v="0"/>
    <n v="0"/>
    <n v="-65.769150400000001"/>
    <n v="-65.769150400000001"/>
    <s v="NA"/>
    <s v="NA"/>
    <m/>
    <x v="5"/>
    <s v="Europe centrale"/>
    <n v="7"/>
    <s v="CAVAMA-9"/>
    <s v="Abschuss"/>
  </r>
  <r>
    <x v="860"/>
    <s v="ScoRus"/>
    <n v="0"/>
    <x v="1"/>
    <x v="1"/>
    <x v="0"/>
    <x v="0"/>
    <x v="837"/>
    <s v="NA"/>
    <x v="820"/>
    <x v="10"/>
    <m/>
    <x v="0"/>
    <x v="0"/>
    <s v="Val de Ruz"/>
    <s v="La Rasereule"/>
    <n v="47.000410809999998"/>
    <n v="6.8394052429999999"/>
    <n v="6"/>
    <n v="7"/>
    <x v="1"/>
    <n v="2017"/>
    <x v="256"/>
    <x v="12"/>
    <n v="52"/>
    <x v="2"/>
    <x v="2"/>
    <x v="1"/>
    <n v="554425"/>
    <n v="205658"/>
    <n v="55442056"/>
    <n v="554205"/>
    <n v="550205"/>
    <n v="552500"/>
    <n v="207500"/>
    <n v="372"/>
    <x v="0"/>
    <n v="0"/>
    <n v="0"/>
    <n v="0"/>
    <n v="-65.674803800000007"/>
    <n v="-65.674803800000007"/>
    <s v="NA"/>
    <s v="NA"/>
    <m/>
    <x v="5"/>
    <s v="Europe centrale"/>
    <n v="7"/>
    <s v="MEISHE-11"/>
    <s v="Abschuss"/>
  </r>
  <r>
    <x v="861"/>
    <s v="ScoRus"/>
    <n v="0"/>
    <x v="1"/>
    <x v="1"/>
    <x v="0"/>
    <x v="0"/>
    <x v="838"/>
    <s v="NA"/>
    <x v="821"/>
    <x v="10"/>
    <m/>
    <x v="0"/>
    <x v="3"/>
    <s v="Vaulion"/>
    <s v="NA"/>
    <n v="46.671747500000002"/>
    <n v="6.373551387"/>
    <n v="3"/>
    <n v="26"/>
    <x v="0"/>
    <n v="2017"/>
    <x v="83"/>
    <x v="0"/>
    <n v="41"/>
    <x v="0"/>
    <x v="0"/>
    <x v="0"/>
    <n v="518500"/>
    <n v="169500"/>
    <n v="51851695"/>
    <n v="518169"/>
    <n v="515165"/>
    <n v="517500"/>
    <n v="167500"/>
    <n v="304"/>
    <x v="0"/>
    <n v="0"/>
    <n v="0"/>
    <n v="0"/>
    <n v="-65.551687000000001"/>
    <n v="-65.551687000000001"/>
    <s v="NA"/>
    <s v="NA"/>
    <m/>
    <x v="5"/>
    <s v="Europe centrale"/>
    <n v="7"/>
    <s v="CORDJP-1"/>
    <s v="Abschuss"/>
  </r>
  <r>
    <x v="862"/>
    <s v="ScoRus"/>
    <n v="0"/>
    <x v="1"/>
    <x v="1"/>
    <x v="0"/>
    <x v="0"/>
    <x v="839"/>
    <n v="-23.77"/>
    <x v="379"/>
    <x v="10"/>
    <m/>
    <x v="2"/>
    <x v="2"/>
    <s v="Sâles"/>
    <s v="Les Bugnons"/>
    <n v="46.653367860000003"/>
    <n v="6.9944692640000001"/>
    <n v="3"/>
    <n v="21"/>
    <x v="1"/>
    <n v="2016"/>
    <x v="257"/>
    <x v="36"/>
    <n v="66"/>
    <x v="5"/>
    <x v="3"/>
    <x v="2"/>
    <n v="566000"/>
    <n v="167000"/>
    <n v="56601670"/>
    <n v="566167"/>
    <n v="565165"/>
    <n v="567500"/>
    <n v="167500"/>
    <n v="348"/>
    <x v="0"/>
    <n v="0"/>
    <n v="0"/>
    <n v="0"/>
    <n v="-65.374964399999996"/>
    <n v="-65.374964399999996"/>
    <s v="NA"/>
    <s v="NA"/>
    <m/>
    <x v="5"/>
    <s v="Europe centrale"/>
    <n v="7"/>
    <s v="DENEPA-9"/>
    <s v="Abschuss"/>
  </r>
  <r>
    <x v="863"/>
    <s v="ScoRus"/>
    <n v="0"/>
    <x v="1"/>
    <x v="1"/>
    <x v="0"/>
    <x v="0"/>
    <x v="840"/>
    <n v="-19.858719350000001"/>
    <x v="822"/>
    <x v="10"/>
    <m/>
    <x v="0"/>
    <x v="0"/>
    <s v="Fleurier"/>
    <s v="Forêt de la Font"/>
    <n v="46.878063949999998"/>
    <n v="6.5665840559999999"/>
    <n v="6"/>
    <n v="25"/>
    <x v="8"/>
    <n v="2013"/>
    <x v="258"/>
    <x v="109"/>
    <n v="10"/>
    <x v="38"/>
    <x v="19"/>
    <x v="14"/>
    <n v="533525"/>
    <n v="192252"/>
    <n v="53351922"/>
    <n v="533192"/>
    <n v="530190"/>
    <n v="532500"/>
    <n v="192500"/>
    <n v="326"/>
    <x v="0"/>
    <n v="0"/>
    <n v="0"/>
    <n v="0"/>
    <n v="-65.33"/>
    <n v="-65.33"/>
    <n v="-87.9"/>
    <s v="NA"/>
    <m/>
    <x v="5"/>
    <s v="Europe centrale"/>
    <n v="7"/>
    <s v="GARIJE-1"/>
    <s v="Abschuss"/>
  </r>
  <r>
    <x v="864"/>
    <s v="ScoRus"/>
    <n v="0"/>
    <x v="1"/>
    <x v="1"/>
    <x v="0"/>
    <x v="0"/>
    <x v="841"/>
    <n v="-22.41825"/>
    <x v="823"/>
    <x v="10"/>
    <m/>
    <x v="0"/>
    <x v="0"/>
    <s v="Val-de-Ruz"/>
    <s v="La Charbonnière"/>
    <n v="47.033170009999999"/>
    <n v="6.8254223730000003"/>
    <n v="6"/>
    <n v="7"/>
    <x v="1"/>
    <n v="2015"/>
    <x v="177"/>
    <x v="12"/>
    <n v="52"/>
    <x v="2"/>
    <x v="2"/>
    <x v="1"/>
    <n v="553390"/>
    <n v="209308"/>
    <n v="55332093"/>
    <n v="553209"/>
    <n v="550205"/>
    <n v="552500"/>
    <n v="207500"/>
    <n v="305"/>
    <x v="0"/>
    <n v="0"/>
    <n v="0"/>
    <n v="0"/>
    <n v="-64.930000000000007"/>
    <n v="-64.930000000000007"/>
    <n v="-87.5"/>
    <s v="NA"/>
    <m/>
    <x v="6"/>
    <s v="Ouest de la France, Espagne ou Italie"/>
    <n v="6"/>
    <s v="MEISHE-8"/>
    <s v="Abschuss"/>
  </r>
  <r>
    <x v="865"/>
    <s v="ScoRus"/>
    <n v="0"/>
    <x v="1"/>
    <x v="1"/>
    <x v="0"/>
    <x v="0"/>
    <x v="842"/>
    <n v="-23.34"/>
    <x v="824"/>
    <x v="10"/>
    <m/>
    <x v="1"/>
    <x v="1"/>
    <s v="Alto Malcantone"/>
    <s v="NA"/>
    <n v="46.049990649999998"/>
    <n v="8.8663758159999997"/>
    <n v="5"/>
    <n v="13"/>
    <x v="1"/>
    <n v="2016"/>
    <x v="172"/>
    <x v="15"/>
    <n v="58"/>
    <x v="6"/>
    <x v="2"/>
    <x v="2"/>
    <n v="710505"/>
    <n v="100834"/>
    <n v="71051008"/>
    <n v="710100"/>
    <n v="710100"/>
    <n v="712500"/>
    <n v="102500"/>
    <n v="310"/>
    <x v="0"/>
    <n v="0"/>
    <n v="0"/>
    <n v="0"/>
    <n v="-64.663488700000002"/>
    <n v="-64.663488700000002"/>
    <s v="NA"/>
    <s v="NA"/>
    <m/>
    <x v="6"/>
    <s v="Ouest de la France, Espagne ou Italie"/>
    <n v="6"/>
    <s v="GIAMGI-16"/>
    <s v="Abschuss"/>
  </r>
  <r>
    <x v="866"/>
    <s v="ScoRus"/>
    <n v="0"/>
    <x v="1"/>
    <x v="1"/>
    <x v="0"/>
    <x v="0"/>
    <x v="843"/>
    <n v="-23.29"/>
    <x v="825"/>
    <x v="10"/>
    <m/>
    <x v="1"/>
    <x v="1"/>
    <s v="Lugano"/>
    <s v="Fanghi"/>
    <n v="46.07526764"/>
    <n v="9.0382636890000008"/>
    <n v="5"/>
    <n v="6"/>
    <x v="1"/>
    <n v="2016"/>
    <x v="194"/>
    <x v="13"/>
    <n v="51"/>
    <x v="3"/>
    <x v="1"/>
    <x v="1"/>
    <n v="723750"/>
    <n v="103900"/>
    <n v="72371039"/>
    <n v="723103"/>
    <n v="720100"/>
    <n v="722500"/>
    <n v="102500"/>
    <n v="310"/>
    <x v="0"/>
    <n v="0"/>
    <n v="0"/>
    <n v="0"/>
    <n v="-64.095771999999997"/>
    <n v="-64.095771999999997"/>
    <s v="NA"/>
    <s v="NA"/>
    <m/>
    <x v="6"/>
    <s v="Ouest de la France, Espagne ou Italie"/>
    <n v="6"/>
    <s v="ANARGI-1"/>
    <s v="Abschuss"/>
  </r>
  <r>
    <x v="867"/>
    <s v="ScoRus"/>
    <n v="0"/>
    <x v="1"/>
    <x v="1"/>
    <x v="0"/>
    <x v="0"/>
    <x v="844"/>
    <n v="-23.67"/>
    <x v="826"/>
    <x v="10"/>
    <m/>
    <x v="1"/>
    <x v="1"/>
    <s v="Onsernone"/>
    <s v="Calagno"/>
    <n v="46.215557160000003"/>
    <n v="8.6906939619999992"/>
    <n v="6"/>
    <n v="29"/>
    <x v="0"/>
    <n v="2016"/>
    <x v="180"/>
    <x v="1"/>
    <n v="44"/>
    <x v="1"/>
    <x v="1"/>
    <x v="1"/>
    <n v="696615"/>
    <n v="119005"/>
    <n v="69661190"/>
    <n v="696119"/>
    <n v="695115"/>
    <n v="697500"/>
    <n v="117500"/>
    <n v="330"/>
    <x v="0"/>
    <n v="0"/>
    <n v="0"/>
    <n v="0"/>
    <n v="-63.965657800000002"/>
    <n v="-63.965657800000002"/>
    <s v="NA"/>
    <s v="NA"/>
    <m/>
    <x v="6"/>
    <s v="Ouest de la France, Espagne ou Italie"/>
    <n v="6"/>
    <s v="CAVAMA-2"/>
    <s v="Abschuss"/>
  </r>
  <r>
    <x v="868"/>
    <s v="ScoRus"/>
    <n v="0"/>
    <x v="1"/>
    <x v="1"/>
    <x v="0"/>
    <x v="0"/>
    <x v="845"/>
    <n v="-24.221399999999999"/>
    <x v="827"/>
    <x v="10"/>
    <m/>
    <x v="1"/>
    <x v="1"/>
    <s v="Osco"/>
    <s v="Ronco"/>
    <n v="46.497211870000001"/>
    <n v="8.7665490239999997"/>
    <n v="5"/>
    <n v="24"/>
    <x v="0"/>
    <n v="2015"/>
    <x v="165"/>
    <x v="14"/>
    <n v="39"/>
    <x v="0"/>
    <x v="0"/>
    <x v="0"/>
    <n v="701938"/>
    <n v="150407"/>
    <n v="70191504"/>
    <n v="701150"/>
    <n v="700150"/>
    <n v="702500"/>
    <n v="152500"/>
    <n v="340"/>
    <x v="0"/>
    <n v="0"/>
    <n v="0"/>
    <n v="0"/>
    <n v="-63.85"/>
    <n v="-63.85"/>
    <n v="-86.4"/>
    <s v="NA"/>
    <m/>
    <x v="6"/>
    <s v="Ouest de la France, Espagne ou Italie"/>
    <n v="6"/>
    <s v="REZZONICORO-05"/>
    <s v="Abschuss"/>
  </r>
  <r>
    <x v="869"/>
    <s v="ScoRus"/>
    <n v="0"/>
    <x v="1"/>
    <x v="1"/>
    <x v="0"/>
    <x v="0"/>
    <x v="846"/>
    <n v="-23.185400000000001"/>
    <x v="828"/>
    <x v="10"/>
    <m/>
    <x v="1"/>
    <x v="1"/>
    <s v="Sonvico"/>
    <s v="Treció"/>
    <n v="46.078048070000001"/>
    <n v="9.0325272759999997"/>
    <n v="5"/>
    <n v="7"/>
    <x v="1"/>
    <n v="2015"/>
    <x v="177"/>
    <x v="12"/>
    <n v="52"/>
    <x v="2"/>
    <x v="2"/>
    <x v="1"/>
    <n v="723300"/>
    <n v="104200"/>
    <n v="72331042"/>
    <n v="723104"/>
    <n v="720100"/>
    <n v="722500"/>
    <n v="102500"/>
    <n v="320"/>
    <x v="0"/>
    <n v="0"/>
    <n v="0"/>
    <n v="0"/>
    <n v="-63.78"/>
    <n v="-63.78"/>
    <n v="-86.3"/>
    <s v="NA"/>
    <m/>
    <x v="6"/>
    <s v="Ouest de la France, Espagne ou Italie"/>
    <n v="6"/>
    <s v="ANARGI-4"/>
    <s v="Abschuss"/>
  </r>
  <r>
    <x v="870"/>
    <s v="ScoRus"/>
    <n v="0"/>
    <x v="1"/>
    <x v="1"/>
    <x v="0"/>
    <x v="0"/>
    <x v="847"/>
    <n v="-24.998285710000001"/>
    <x v="829"/>
    <x v="10"/>
    <m/>
    <x v="0"/>
    <x v="0"/>
    <s v="La Brévine"/>
    <s v="La Paroisse"/>
    <n v="46.967609510000003"/>
    <n v="6.647379065"/>
    <n v="5"/>
    <n v="11"/>
    <x v="1"/>
    <n v="2014"/>
    <x v="7"/>
    <x v="7"/>
    <n v="56"/>
    <x v="2"/>
    <x v="2"/>
    <x v="1"/>
    <n v="539784"/>
    <n v="202141"/>
    <n v="53972021"/>
    <n v="539202"/>
    <n v="535200"/>
    <n v="537500"/>
    <n v="202500"/>
    <n v="315"/>
    <x v="0"/>
    <n v="0"/>
    <n v="0"/>
    <n v="0"/>
    <n v="-63.76"/>
    <n v="-63.76"/>
    <n v="-86.3"/>
    <s v="NA"/>
    <m/>
    <x v="6"/>
    <s v="Ouest de la France, Espagne ou Italie"/>
    <n v="6"/>
    <s v="No3 VIKTOR ULR."/>
    <s v="Abschuss"/>
  </r>
  <r>
    <x v="871"/>
    <s v="ScoRus"/>
    <n v="0"/>
    <x v="1"/>
    <x v="1"/>
    <x v="0"/>
    <x v="0"/>
    <x v="848"/>
    <s v="NA"/>
    <x v="830"/>
    <x v="10"/>
    <m/>
    <x v="1"/>
    <x v="1"/>
    <s v="Cimanera"/>
    <s v="Volpèra"/>
    <n v="46.082250639999998"/>
    <n v="9.0533373220000009"/>
    <n v="5"/>
    <n v="28"/>
    <x v="0"/>
    <n v="2017"/>
    <x v="59"/>
    <x v="16"/>
    <n v="43"/>
    <x v="1"/>
    <x v="1"/>
    <x v="1"/>
    <n v="724900"/>
    <n v="104700"/>
    <n v="72491047"/>
    <n v="724104"/>
    <n v="720100"/>
    <n v="722500"/>
    <n v="102500"/>
    <n v="320"/>
    <x v="0"/>
    <n v="0"/>
    <n v="0"/>
    <n v="0"/>
    <n v="-63.191607599999998"/>
    <n v="-63.191607599999998"/>
    <s v="NA"/>
    <s v="NA"/>
    <m/>
    <x v="6"/>
    <s v="Ouest de la France, Espagne ou Italie"/>
    <n v="6"/>
    <s v="ROSAOR-3"/>
    <s v="Abschuss"/>
  </r>
  <r>
    <x v="872"/>
    <s v="ScoRus"/>
    <n v="0"/>
    <x v="1"/>
    <x v="1"/>
    <x v="0"/>
    <x v="0"/>
    <x v="849"/>
    <n v="-23.327324229999999"/>
    <x v="831"/>
    <x v="10"/>
    <m/>
    <x v="1"/>
    <x v="1"/>
    <s v="Monteceneri"/>
    <s v="Nagra"/>
    <n v="46.128451750000004"/>
    <n v="8.8981264580000001"/>
    <n v="5"/>
    <n v="5"/>
    <x v="1"/>
    <n v="2015"/>
    <x v="233"/>
    <x v="22"/>
    <n v="50"/>
    <x v="3"/>
    <x v="1"/>
    <x v="1"/>
    <n v="712800"/>
    <n v="109600"/>
    <n v="71281096"/>
    <n v="712109"/>
    <n v="710105"/>
    <n v="712500"/>
    <n v="107500"/>
    <n v="230"/>
    <x v="0"/>
    <n v="0"/>
    <n v="0"/>
    <n v="0"/>
    <n v="-63.03"/>
    <n v="-63.03"/>
    <n v="-85.5"/>
    <s v="NA"/>
    <m/>
    <x v="6"/>
    <s v="Ouest de la France, Espagne ou Italie"/>
    <n v="6"/>
    <s v="BELLEN-2"/>
    <s v="Abschuss"/>
  </r>
  <r>
    <x v="873"/>
    <s v="ScoRus"/>
    <n v="0"/>
    <x v="1"/>
    <x v="1"/>
    <x v="0"/>
    <x v="0"/>
    <x v="850"/>
    <n v="-24.308138960000001"/>
    <x v="832"/>
    <x v="10"/>
    <m/>
    <x v="1"/>
    <x v="1"/>
    <s v="Breno"/>
    <s v="Fontana tamaritt"/>
    <n v="46.05008686"/>
    <n v="8.8371759050000005"/>
    <n v="5"/>
    <n v="27"/>
    <x v="0"/>
    <n v="2015"/>
    <x v="6"/>
    <x v="6"/>
    <n v="42"/>
    <x v="0"/>
    <x v="0"/>
    <x v="0"/>
    <n v="708245"/>
    <n v="100804"/>
    <n v="70821008"/>
    <n v="708100"/>
    <n v="705100"/>
    <n v="707500"/>
    <n v="102500"/>
    <s v="NA"/>
    <x v="0"/>
    <n v="0"/>
    <n v="0"/>
    <n v="0"/>
    <n v="-62.97"/>
    <n v="-62.97"/>
    <n v="-85.5"/>
    <s v="NA"/>
    <m/>
    <x v="6"/>
    <s v="Ouest de la France, Espagne ou Italie"/>
    <n v="6"/>
    <s v="MORAMA-5"/>
    <s v="Abschuss"/>
  </r>
  <r>
    <x v="874"/>
    <s v="ScoRus"/>
    <n v="0"/>
    <x v="1"/>
    <x v="1"/>
    <x v="0"/>
    <x v="0"/>
    <x v="851"/>
    <n v="-24.06428571"/>
    <x v="833"/>
    <x v="10"/>
    <m/>
    <x v="0"/>
    <x v="0"/>
    <s v="Fontainemelon"/>
    <s v="La Vue-des-Alpes"/>
    <n v="47.073641840000001"/>
    <n v="6.8731488110000001"/>
    <n v="6"/>
    <n v="27"/>
    <x v="0"/>
    <n v="2014"/>
    <x v="259"/>
    <x v="6"/>
    <n v="42"/>
    <x v="0"/>
    <x v="0"/>
    <x v="0"/>
    <n v="557050"/>
    <n v="213780"/>
    <n v="55702137"/>
    <n v="557213"/>
    <n v="555210"/>
    <n v="557500"/>
    <n v="212500"/>
    <n v="305"/>
    <x v="0"/>
    <n v="0"/>
    <n v="0"/>
    <n v="0"/>
    <n v="-62.83"/>
    <n v="-62.83"/>
    <n v="-85.3"/>
    <s v="NA"/>
    <m/>
    <x v="6"/>
    <s v="Ouest de la France, Espagne ou Italie"/>
    <n v="6"/>
    <s v="POSIAN-4"/>
    <s v="Abschuss"/>
  </r>
  <r>
    <x v="875"/>
    <s v="ScoRus"/>
    <n v="0"/>
    <x v="1"/>
    <x v="1"/>
    <x v="0"/>
    <x v="0"/>
    <x v="852"/>
    <s v="NA"/>
    <x v="834"/>
    <x v="10"/>
    <m/>
    <x v="4"/>
    <x v="6"/>
    <s v="Ayent"/>
    <s v="Le Tsijiri"/>
    <n v="46.172967270000001"/>
    <n v="7.4192143230000003"/>
    <n v="3"/>
    <n v="26"/>
    <x v="0"/>
    <n v="2017"/>
    <x v="83"/>
    <x v="0"/>
    <n v="41"/>
    <x v="0"/>
    <x v="0"/>
    <x v="0"/>
    <n v="598500"/>
    <n v="113500"/>
    <n v="59851135"/>
    <n v="598113"/>
    <n v="595110"/>
    <n v="597500"/>
    <n v="112500"/>
    <n v="248"/>
    <x v="0"/>
    <n v="0"/>
    <n v="0"/>
    <n v="0"/>
    <n v="-62.796969099999998"/>
    <n v="-62.796969099999998"/>
    <s v="NA"/>
    <s v="NA"/>
    <m/>
    <x v="6"/>
    <s v="Ouest de la France, Espagne ou Italie"/>
    <n v="6"/>
    <s v="CREYVO-2"/>
    <s v="Abschuss"/>
  </r>
  <r>
    <x v="876"/>
    <s v="ScoRus"/>
    <n v="0"/>
    <x v="1"/>
    <x v="1"/>
    <x v="0"/>
    <x v="0"/>
    <x v="853"/>
    <s v="NA"/>
    <x v="835"/>
    <x v="10"/>
    <m/>
    <x v="1"/>
    <x v="1"/>
    <s v="Bellinzona"/>
    <s v="Carena"/>
    <n v="46.166625529999997"/>
    <n v="9.1073635880000001"/>
    <n v="6"/>
    <n v="28"/>
    <x v="0"/>
    <n v="2017"/>
    <x v="59"/>
    <x v="16"/>
    <n v="43"/>
    <x v="1"/>
    <x v="1"/>
    <x v="1"/>
    <n v="728879"/>
    <n v="114165"/>
    <n v="72881141"/>
    <n v="728114"/>
    <n v="725110"/>
    <n v="727500"/>
    <n v="112500"/>
    <n v="260"/>
    <x v="0"/>
    <n v="0"/>
    <n v="0"/>
    <n v="0"/>
    <n v="-62.760208800000001"/>
    <n v="-62.760208800000001"/>
    <s v="NA"/>
    <s v="NA"/>
    <m/>
    <x v="6"/>
    <s v="Ouest de la France, Espagne ou Italie"/>
    <n v="6"/>
    <s v="PEDRAN-2"/>
    <s v="Abschuss"/>
  </r>
  <r>
    <x v="877"/>
    <s v="ScoRus"/>
    <n v="0"/>
    <x v="1"/>
    <x v="1"/>
    <x v="0"/>
    <x v="0"/>
    <x v="854"/>
    <s v="NA"/>
    <x v="836"/>
    <x v="10"/>
    <m/>
    <x v="1"/>
    <x v="1"/>
    <s v="Sonvico"/>
    <s v="Cugno da ra mardel"/>
    <n v="46.079093100000001"/>
    <n v="9.0222147330000002"/>
    <n v="5"/>
    <n v="16"/>
    <x v="1"/>
    <n v="2017"/>
    <x v="161"/>
    <x v="28"/>
    <n v="61"/>
    <x v="6"/>
    <x v="2"/>
    <x v="2"/>
    <n v="722500"/>
    <n v="104300"/>
    <n v="72251043"/>
    <n v="722104"/>
    <n v="720100"/>
    <n v="722500"/>
    <n v="102500"/>
    <n v="320"/>
    <x v="0"/>
    <n v="0"/>
    <n v="0"/>
    <n v="0"/>
    <n v="-62.688308999999997"/>
    <n v="-62.688308999999997"/>
    <s v="NA"/>
    <s v="NA"/>
    <m/>
    <x v="6"/>
    <s v="Ouest de la France, Espagne ou Italie"/>
    <n v="6"/>
    <s v="ANARGI-4"/>
    <s v="Abschuss"/>
  </r>
  <r>
    <x v="878"/>
    <s v="ScoRus"/>
    <n v="0"/>
    <x v="1"/>
    <x v="1"/>
    <x v="0"/>
    <x v="0"/>
    <x v="855"/>
    <s v="NA"/>
    <x v="837"/>
    <x v="10"/>
    <m/>
    <x v="0"/>
    <x v="3"/>
    <s v="Ste-Croix"/>
    <s v="NA"/>
    <n v="46.798820970000001"/>
    <n v="6.5020398190000002"/>
    <n v="3"/>
    <n v="16"/>
    <x v="0"/>
    <n v="2017"/>
    <x v="56"/>
    <x v="33"/>
    <n v="31"/>
    <x v="8"/>
    <x v="4"/>
    <x v="0"/>
    <n v="528500"/>
    <n v="183500"/>
    <n v="52851835"/>
    <n v="528183"/>
    <n v="525180"/>
    <n v="527500"/>
    <n v="182500"/>
    <n v="320"/>
    <x v="0"/>
    <n v="0"/>
    <n v="0"/>
    <n v="0"/>
    <n v="-62.504144599999997"/>
    <n v="-62.504144599999997"/>
    <s v="NA"/>
    <s v="NA"/>
    <m/>
    <x v="6"/>
    <s v="Ouest de la France, Espagne ou Italie"/>
    <n v="6"/>
    <s v="JOSEDA-1"/>
    <s v="Abschuss"/>
  </r>
  <r>
    <x v="879"/>
    <s v="ScoRus"/>
    <n v="0"/>
    <x v="1"/>
    <x v="1"/>
    <x v="0"/>
    <x v="0"/>
    <x v="856"/>
    <n v="-22.97"/>
    <x v="326"/>
    <x v="10"/>
    <m/>
    <x v="1"/>
    <x v="1"/>
    <s v="Prato Leventina"/>
    <s v="Trenta Valli"/>
    <n v="46.476257879999999"/>
    <n v="8.7603967619999992"/>
    <n v="5"/>
    <n v="29"/>
    <x v="0"/>
    <n v="2016"/>
    <x v="180"/>
    <x v="1"/>
    <n v="44"/>
    <x v="1"/>
    <x v="1"/>
    <x v="1"/>
    <n v="701505"/>
    <n v="148070"/>
    <n v="70151480"/>
    <n v="701148"/>
    <n v="700145"/>
    <n v="702500"/>
    <n v="147500"/>
    <n v="290"/>
    <x v="0"/>
    <n v="0"/>
    <n v="0"/>
    <n v="0"/>
    <n v="-62.400286299999998"/>
    <n v="-62.400286299999998"/>
    <s v="NA"/>
    <s v="NA"/>
    <m/>
    <x v="6"/>
    <s v="Ouest de la France, Espagne ou Italie"/>
    <n v="6"/>
    <s v="BIANRO-4"/>
    <s v="Abschuss"/>
  </r>
  <r>
    <x v="880"/>
    <s v="ScoRus"/>
    <n v="0"/>
    <x v="1"/>
    <x v="1"/>
    <x v="0"/>
    <x v="0"/>
    <x v="857"/>
    <s v="NA"/>
    <x v="838"/>
    <x v="10"/>
    <m/>
    <x v="0"/>
    <x v="0"/>
    <s v="Gorgier"/>
    <s v="Grand Vy"/>
    <n v="46.934799679999998"/>
    <n v="6.7500474160000001"/>
    <n v="6"/>
    <n v="20"/>
    <x v="0"/>
    <n v="2017"/>
    <x v="143"/>
    <x v="30"/>
    <n v="35"/>
    <x v="4"/>
    <x v="0"/>
    <x v="0"/>
    <n v="547565"/>
    <n v="198420"/>
    <n v="54751984"/>
    <n v="547198"/>
    <n v="545195"/>
    <n v="547500"/>
    <n v="197500"/>
    <n v="327"/>
    <x v="0"/>
    <n v="0"/>
    <n v="0"/>
    <n v="0"/>
    <n v="-62.348440500000002"/>
    <n v="-62.348440500000002"/>
    <s v="NA"/>
    <s v="NA"/>
    <m/>
    <x v="6"/>
    <s v="Ouest de la France, Espagne ou Italie"/>
    <n v="6"/>
    <s v="MEISHE-2"/>
    <s v="Abschuss"/>
  </r>
  <r>
    <x v="881"/>
    <s v="ScoRus"/>
    <n v="0"/>
    <x v="1"/>
    <x v="1"/>
    <x v="0"/>
    <x v="0"/>
    <x v="858"/>
    <s v="NA"/>
    <x v="839"/>
    <x v="10"/>
    <m/>
    <x v="1"/>
    <x v="1"/>
    <s v="Capriasca"/>
    <s v="Daura"/>
    <n v="46.10308534"/>
    <n v="8.9789338250000004"/>
    <n v="5"/>
    <n v="7"/>
    <x v="1"/>
    <n v="2017"/>
    <x v="256"/>
    <x v="12"/>
    <n v="52"/>
    <x v="2"/>
    <x v="2"/>
    <x v="1"/>
    <n v="719100"/>
    <n v="106900"/>
    <n v="71911069"/>
    <n v="719106"/>
    <n v="715105"/>
    <n v="717500"/>
    <n v="107500"/>
    <n v="302"/>
    <x v="0"/>
    <n v="0"/>
    <n v="0"/>
    <n v="0"/>
    <n v="-62.251819599999997"/>
    <n v="-62.251819599999997"/>
    <s v="NA"/>
    <s v="NA"/>
    <m/>
    <x v="6"/>
    <s v="Ouest de la France, Espagne ou Italie"/>
    <n v="6"/>
    <s v="TANTMA-2"/>
    <s v="Abschuss"/>
  </r>
  <r>
    <x v="882"/>
    <s v="ScoRus"/>
    <n v="0"/>
    <x v="1"/>
    <x v="1"/>
    <x v="0"/>
    <x v="0"/>
    <x v="859"/>
    <n v="-24.261450369999999"/>
    <x v="840"/>
    <x v="10"/>
    <m/>
    <x v="0"/>
    <x v="0"/>
    <s v="Val-de-Ruz"/>
    <s v="Mont d Amin"/>
    <n v="47.07826669"/>
    <n v="6.8807767269999998"/>
    <n v="6"/>
    <s v="NA"/>
    <x v="2"/>
    <n v="2015"/>
    <x v="69"/>
    <x v="40"/>
    <s v=""/>
    <x v="11"/>
    <x v="7"/>
    <x v="5"/>
    <n v="557633"/>
    <n v="214290"/>
    <n v="55762142"/>
    <n v="557214"/>
    <n v="555210"/>
    <n v="557500"/>
    <n v="212500"/>
    <n v="326"/>
    <x v="0"/>
    <n v="0"/>
    <n v="0"/>
    <n v="0"/>
    <n v="-62.23"/>
    <n v="-62.23"/>
    <n v="-84.7"/>
    <s v="NA"/>
    <m/>
    <x v="6"/>
    <s v="Ouest de la France, Espagne ou Italie"/>
    <n v="6"/>
    <s v="MEISHE-4"/>
    <s v="Abschuss"/>
  </r>
  <r>
    <x v="883"/>
    <s v="ScoRus"/>
    <n v="0"/>
    <x v="1"/>
    <x v="1"/>
    <x v="0"/>
    <x v="0"/>
    <x v="860"/>
    <n v="92.172688669999999"/>
    <x v="841"/>
    <x v="10"/>
    <m/>
    <x v="2"/>
    <x v="2"/>
    <s v="La Brillaz"/>
    <s v="Pré-Blanc"/>
    <n v="46.759853980000003"/>
    <n v="6.9797433660000001"/>
    <n v="3"/>
    <n v="19"/>
    <x v="1"/>
    <n v="2013"/>
    <x v="260"/>
    <x v="37"/>
    <n v="64"/>
    <x v="5"/>
    <x v="3"/>
    <x v="2"/>
    <n v="564942"/>
    <n v="178844"/>
    <n v="56491788"/>
    <n v="564178"/>
    <n v="560175"/>
    <n v="562500"/>
    <n v="177500"/>
    <n v="363"/>
    <x v="0"/>
    <n v="0"/>
    <n v="0"/>
    <n v="0"/>
    <n v="-62.19"/>
    <n v="-62.19"/>
    <n v="-84.7"/>
    <s v="NA"/>
    <m/>
    <x v="6"/>
    <s v="Ouest de la France, Espagne ou Italie"/>
    <n v="6"/>
    <s v="YERLMI-4"/>
    <s v="Abschuss"/>
  </r>
  <r>
    <x v="884"/>
    <s v="ScoRus"/>
    <n v="0"/>
    <x v="1"/>
    <x v="1"/>
    <x v="0"/>
    <x v="0"/>
    <x v="861"/>
    <n v="-23.9724"/>
    <x v="842"/>
    <x v="10"/>
    <m/>
    <x v="1"/>
    <x v="1"/>
    <s v="Onsernone"/>
    <s v="Monte Pombino"/>
    <n v="46.215443919999998"/>
    <n v="8.6132285209999999"/>
    <n v="6"/>
    <n v="24"/>
    <x v="1"/>
    <n v="2015"/>
    <x v="215"/>
    <x v="43"/>
    <n v="69"/>
    <x v="7"/>
    <x v="3"/>
    <x v="2"/>
    <n v="690638"/>
    <n v="118900"/>
    <n v="69061189"/>
    <n v="690118"/>
    <n v="690115"/>
    <n v="692500"/>
    <n v="117500"/>
    <n v="318"/>
    <x v="0"/>
    <n v="0"/>
    <n v="0"/>
    <n v="0"/>
    <n v="-62.18"/>
    <n v="-62.18"/>
    <n v="-84.7"/>
    <s v="NA"/>
    <m/>
    <x v="6"/>
    <s v="Ouest de la France, Espagne ou Italie"/>
    <n v="6"/>
    <s v="ROSS-GI18"/>
    <s v="Abschuss"/>
  </r>
  <r>
    <x v="885"/>
    <s v="ScoRus"/>
    <n v="0"/>
    <x v="1"/>
    <x v="1"/>
    <x v="0"/>
    <x v="0"/>
    <x v="862"/>
    <n v="-24.295999999999999"/>
    <x v="843"/>
    <x v="10"/>
    <m/>
    <x v="0"/>
    <x v="3"/>
    <s v="Le Lieu"/>
    <s v="Combenoire"/>
    <n v="46.639911609999999"/>
    <n v="6.2474795600000004"/>
    <n v="4"/>
    <n v="16"/>
    <x v="1"/>
    <n v="2015"/>
    <x v="190"/>
    <x v="28"/>
    <n v="61"/>
    <x v="6"/>
    <x v="2"/>
    <x v="2"/>
    <n v="508800"/>
    <n v="166100"/>
    <n v="50881661"/>
    <n v="508166"/>
    <n v="505165"/>
    <n v="507500"/>
    <n v="167500"/>
    <n v="310"/>
    <x v="0"/>
    <n v="0"/>
    <n v="0"/>
    <n v="0"/>
    <n v="-61.89"/>
    <n v="-61.89"/>
    <n v="-84.4"/>
    <s v="NA"/>
    <m/>
    <x v="6"/>
    <s v="Ouest de la France, Espagne ou Italie"/>
    <n v="6"/>
    <s v="Rothmi/3"/>
    <s v="Abschuss"/>
  </r>
  <r>
    <x v="886"/>
    <s v="ScoRus"/>
    <n v="0"/>
    <x v="1"/>
    <x v="1"/>
    <x v="0"/>
    <x v="0"/>
    <x v="863"/>
    <n v="-23.422599999999999"/>
    <x v="844"/>
    <x v="10"/>
    <m/>
    <x v="1"/>
    <x v="1"/>
    <s v="Centovalli"/>
    <s v="NA"/>
    <n v="46.16351418"/>
    <n v="8.6245785670000004"/>
    <n v="6"/>
    <n v="7"/>
    <x v="1"/>
    <n v="2015"/>
    <x v="177"/>
    <x v="12"/>
    <n v="52"/>
    <x v="2"/>
    <x v="2"/>
    <x v="1"/>
    <n v="691601"/>
    <n v="113141"/>
    <n v="69161131"/>
    <n v="691113"/>
    <n v="690110"/>
    <n v="692500"/>
    <n v="112500"/>
    <n v="332"/>
    <x v="0"/>
    <n v="0"/>
    <n v="0"/>
    <n v="0"/>
    <n v="-61.78"/>
    <n v="-61.78"/>
    <n v="-84.3"/>
    <s v="NA"/>
    <m/>
    <x v="6"/>
    <s v="Ouest de la France, Espagne ou Italie"/>
    <n v="6"/>
    <s v="FISCIV15"/>
    <s v="Abschuss"/>
  </r>
  <r>
    <x v="887"/>
    <s v="ScoRus"/>
    <n v="0"/>
    <x v="1"/>
    <x v="1"/>
    <x v="0"/>
    <x v="0"/>
    <x v="864"/>
    <n v="-24.67"/>
    <x v="845"/>
    <x v="10"/>
    <m/>
    <x v="1"/>
    <x v="1"/>
    <s v="Maggia"/>
    <s v="Garina"/>
    <n v="46.226036839999999"/>
    <n v="8.6851275670000003"/>
    <n v="6"/>
    <n v="22"/>
    <x v="0"/>
    <n v="2016"/>
    <x v="25"/>
    <x v="21"/>
    <n v="37"/>
    <x v="4"/>
    <x v="0"/>
    <x v="0"/>
    <n v="696167"/>
    <n v="120163"/>
    <n v="69611201"/>
    <n v="696120"/>
    <n v="695120"/>
    <n v="697500"/>
    <n v="122500"/>
    <n v="285"/>
    <x v="0"/>
    <n v="0"/>
    <n v="0"/>
    <n v="0"/>
    <n v="-61.717215099999997"/>
    <n v="-61.717215099999997"/>
    <s v="NA"/>
    <s v="NA"/>
    <m/>
    <x v="6"/>
    <s v="Ouest de la France, Espagne ou Italie"/>
    <n v="6"/>
    <s v="CAVACO-3"/>
    <s v="Abschuss"/>
  </r>
  <r>
    <x v="888"/>
    <s v="ScoRus"/>
    <n v="0"/>
    <x v="1"/>
    <x v="1"/>
    <x v="0"/>
    <x v="0"/>
    <x v="865"/>
    <n v="-23.388400000000001"/>
    <x v="846"/>
    <x v="10"/>
    <m/>
    <x v="1"/>
    <x v="1"/>
    <s v="Novaggio"/>
    <s v="Forcora"/>
    <n v="46.027456399999998"/>
    <n v="8.8236163510000001"/>
    <n v="5"/>
    <n v="16"/>
    <x v="0"/>
    <n v="2015"/>
    <x v="181"/>
    <x v="33"/>
    <n v="31"/>
    <x v="8"/>
    <x v="4"/>
    <x v="0"/>
    <n v="707240"/>
    <n v="98270"/>
    <n v="70720982"/>
    <n v="707098"/>
    <n v="705095"/>
    <n v="707500"/>
    <n v="97500"/>
    <s v="NA"/>
    <x v="0"/>
    <n v="0"/>
    <n v="0"/>
    <n v="0"/>
    <n v="-61.54"/>
    <n v="-61.54"/>
    <n v="-84"/>
    <s v="NA"/>
    <m/>
    <x v="6"/>
    <s v="Ouest de la France, Espagne ou Italie"/>
    <n v="6"/>
    <s v="MORAMA-2"/>
    <s v="Abschuss"/>
  </r>
  <r>
    <x v="889"/>
    <s v="ScoRus"/>
    <n v="0"/>
    <x v="1"/>
    <x v="1"/>
    <x v="0"/>
    <x v="0"/>
    <x v="866"/>
    <n v="-22.44"/>
    <x v="847"/>
    <x v="10"/>
    <m/>
    <x v="1"/>
    <x v="1"/>
    <s v="Onsernone"/>
    <s v="NA"/>
    <n v="46.210037870000001"/>
    <n v="8.6870163599999994"/>
    <n v="5"/>
    <n v="1"/>
    <x v="1"/>
    <n v="2016"/>
    <x v="147"/>
    <x v="17"/>
    <n v="46"/>
    <x v="1"/>
    <x v="1"/>
    <x v="1"/>
    <n v="696341"/>
    <n v="118387"/>
    <n v="69631183"/>
    <n v="696118"/>
    <n v="695115"/>
    <n v="697500"/>
    <n v="117500"/>
    <n v="335"/>
    <x v="0"/>
    <n v="0"/>
    <n v="0"/>
    <n v="0"/>
    <n v="-61.411625800000003"/>
    <n v="-61.411625800000003"/>
    <s v="NA"/>
    <s v="NA"/>
    <m/>
    <x v="6"/>
    <s v="Ouest de la France, Espagne ou Italie"/>
    <n v="6"/>
    <s v="FISCIV-10"/>
    <s v="Abschuss"/>
  </r>
  <r>
    <x v="890"/>
    <s v="ScoRus"/>
    <n v="0"/>
    <x v="1"/>
    <x v="1"/>
    <x v="0"/>
    <x v="0"/>
    <x v="867"/>
    <n v="-23.720800000000001"/>
    <x v="848"/>
    <x v="10"/>
    <m/>
    <x v="0"/>
    <x v="3"/>
    <s v="Longirod"/>
    <s v="Les Echadex"/>
    <n v="46.516327140000001"/>
    <n v="6.2163138780000002"/>
    <n v="4"/>
    <n v="11"/>
    <x v="1"/>
    <n v="2014"/>
    <x v="7"/>
    <x v="7"/>
    <n v="56"/>
    <x v="2"/>
    <x v="2"/>
    <x v="1"/>
    <n v="506200"/>
    <n v="152400"/>
    <n v="50621524"/>
    <n v="506152"/>
    <n v="505150"/>
    <n v="507500"/>
    <n v="152500"/>
    <n v="336"/>
    <x v="0"/>
    <n v="0"/>
    <n v="0"/>
    <n v="0"/>
    <n v="-61.32"/>
    <n v="-61.32"/>
    <n v="-83.8"/>
    <s v="NA"/>
    <m/>
    <x v="6"/>
    <s v="Ouest de la France, Espagne ou Italie"/>
    <n v="6"/>
    <s v="No5ROSSAL"/>
    <s v="Abschuss"/>
  </r>
  <r>
    <x v="891"/>
    <s v="ScoRus"/>
    <n v="0"/>
    <x v="1"/>
    <x v="1"/>
    <x v="0"/>
    <x v="0"/>
    <x v="868"/>
    <n v="-23.17"/>
    <x v="849"/>
    <x v="10"/>
    <m/>
    <x v="1"/>
    <x v="1"/>
    <s v="Monteceneri"/>
    <s v="Robasano"/>
    <n v="46.13288446"/>
    <n v="8.9170097990000006"/>
    <n v="5"/>
    <n v="9"/>
    <x v="1"/>
    <n v="2016"/>
    <x v="185"/>
    <x v="5"/>
    <n v="54"/>
    <x v="2"/>
    <x v="2"/>
    <x v="1"/>
    <n v="714250"/>
    <n v="110120"/>
    <n v="71421101"/>
    <n v="714110"/>
    <n v="710110"/>
    <n v="712500"/>
    <n v="112500"/>
    <n v="320"/>
    <x v="0"/>
    <n v="0"/>
    <n v="0"/>
    <n v="0"/>
    <n v="-60.838404799999999"/>
    <n v="-60.838404799999999"/>
    <s v="NA"/>
    <s v="NA"/>
    <m/>
    <x v="6"/>
    <s v="Ouest de la France, Espagne ou Italie"/>
    <n v="6"/>
    <s v="PURASA-12"/>
    <s v="Abschuss"/>
  </r>
  <r>
    <x v="892"/>
    <s v="ScoRus"/>
    <n v="0"/>
    <x v="1"/>
    <x v="1"/>
    <x v="0"/>
    <x v="0"/>
    <x v="869"/>
    <n v="-22.5518"/>
    <x v="850"/>
    <x v="10"/>
    <m/>
    <x v="1"/>
    <x v="1"/>
    <s v="Gamborogno"/>
    <s v="Alpe Lierna"/>
    <n v="46.122122240000003"/>
    <n v="8.829382957"/>
    <n v="5"/>
    <n v="27"/>
    <x v="0"/>
    <n v="2015"/>
    <x v="6"/>
    <x v="6"/>
    <n v="42"/>
    <x v="0"/>
    <x v="0"/>
    <x v="0"/>
    <n v="707500"/>
    <n v="108800"/>
    <n v="70751088"/>
    <n v="707108"/>
    <n v="705105"/>
    <n v="707500"/>
    <n v="107500"/>
    <n v="283"/>
    <x v="0"/>
    <n v="0"/>
    <n v="0"/>
    <n v="0"/>
    <n v="-60.74"/>
    <n v="-60.74"/>
    <n v="-83.2"/>
    <s v="NA"/>
    <m/>
    <x v="6"/>
    <s v="Ouest de la France, Espagne ou Italie"/>
    <n v="6"/>
    <s v="GNOSDA-2"/>
    <s v="Abschuss"/>
  </r>
  <r>
    <x v="893"/>
    <s v="ScoRus"/>
    <n v="0"/>
    <x v="1"/>
    <x v="1"/>
    <x v="0"/>
    <x v="0"/>
    <x v="870"/>
    <s v="NA"/>
    <x v="851"/>
    <x v="10"/>
    <m/>
    <x v="0"/>
    <x v="3"/>
    <s v="Ste-Croix"/>
    <s v="NA"/>
    <n v="46.798820970000001"/>
    <n v="6.5020398190000002"/>
    <n v="3"/>
    <n v="23"/>
    <x v="0"/>
    <n v="2017"/>
    <x v="87"/>
    <x v="44"/>
    <n v="38"/>
    <x v="0"/>
    <x v="0"/>
    <x v="0"/>
    <n v="528500"/>
    <n v="183500"/>
    <n v="52851835"/>
    <n v="528183"/>
    <n v="525180"/>
    <n v="527500"/>
    <n v="182500"/>
    <n v="312"/>
    <x v="0"/>
    <n v="0"/>
    <n v="0"/>
    <n v="0"/>
    <n v="-60.643579600000002"/>
    <n v="-60.643579600000002"/>
    <s v="NA"/>
    <s v="NA"/>
    <m/>
    <x v="6"/>
    <s v="Ouest de la France, Espagne ou Italie"/>
    <n v="6"/>
    <s v="JOSEDA-3"/>
    <s v="Abschuss"/>
  </r>
  <r>
    <x v="894"/>
    <s v="ScoRus"/>
    <n v="0"/>
    <x v="1"/>
    <x v="1"/>
    <x v="0"/>
    <x v="0"/>
    <x v="871"/>
    <n v="-23.295892890000001"/>
    <x v="852"/>
    <x v="10"/>
    <m/>
    <x v="1"/>
    <x v="1"/>
    <s v="Lodano"/>
    <s v="NA"/>
    <n v="46.255628260000002"/>
    <n v="8.6833798610000006"/>
    <n v="5"/>
    <n v="14"/>
    <x v="1"/>
    <n v="2015"/>
    <x v="174"/>
    <x v="18"/>
    <n v="59"/>
    <x v="6"/>
    <x v="2"/>
    <x v="2"/>
    <n v="695980"/>
    <n v="123450"/>
    <n v="69591234"/>
    <n v="695123"/>
    <n v="695120"/>
    <n v="697500"/>
    <n v="122500"/>
    <n v="284"/>
    <x v="0"/>
    <n v="0"/>
    <n v="0"/>
    <n v="0"/>
    <n v="-60.61"/>
    <n v="-60.61"/>
    <n v="-83.1"/>
    <s v="NA"/>
    <m/>
    <x v="6"/>
    <s v="Ouest de la France, Espagne ou Italie"/>
    <n v="6"/>
    <s v="CAVALLIMA10"/>
    <s v="Abschuss"/>
  </r>
  <r>
    <x v="895"/>
    <s v="ScoRus"/>
    <n v="0"/>
    <x v="1"/>
    <x v="1"/>
    <x v="0"/>
    <x v="0"/>
    <x v="872"/>
    <n v="-22.847000000000001"/>
    <x v="853"/>
    <x v="11"/>
    <m/>
    <x v="0"/>
    <x v="3"/>
    <s v="Pampigny"/>
    <s v="Monod"/>
    <n v="46.565597490000002"/>
    <n v="6.3743362210000001"/>
    <n v="4"/>
    <n v="14"/>
    <x v="9"/>
    <n v="2015"/>
    <x v="189"/>
    <x v="94"/>
    <n v="89"/>
    <x v="36"/>
    <x v="20"/>
    <x v="15"/>
    <n v="518400"/>
    <n v="157700"/>
    <n v="51841577"/>
    <n v="518157"/>
    <n v="515155"/>
    <n v="517500"/>
    <n v="157500"/>
    <n v="348"/>
    <x v="0"/>
    <n v="0"/>
    <n v="0"/>
    <n v="0"/>
    <n v="-60.16"/>
    <n v="-60.16"/>
    <n v="-82.6"/>
    <s v="NA"/>
    <m/>
    <x v="6"/>
    <s v="Ouest de la France, Espagne ou Italie"/>
    <n v="6"/>
    <s v="Rothmi-6"/>
    <s v="Abschuss"/>
  </r>
  <r>
    <x v="896"/>
    <s v="ScoRus"/>
    <n v="0"/>
    <x v="1"/>
    <x v="1"/>
    <x v="0"/>
    <x v="0"/>
    <x v="873"/>
    <n v="-23.869"/>
    <x v="854"/>
    <x v="11"/>
    <m/>
    <x v="0"/>
    <x v="0"/>
    <s v="Buttes"/>
    <s v="Chez Antoine"/>
    <n v="46.88840897"/>
    <n v="6.5016610269999999"/>
    <n v="6"/>
    <n v="3"/>
    <x v="1"/>
    <n v="2015"/>
    <x v="204"/>
    <x v="25"/>
    <n v="48"/>
    <x v="3"/>
    <x v="1"/>
    <x v="1"/>
    <n v="528590"/>
    <n v="193459"/>
    <n v="52851934"/>
    <n v="528193"/>
    <n v="525190"/>
    <n v="527500"/>
    <n v="192500"/>
    <n v="300"/>
    <x v="0"/>
    <n v="0"/>
    <n v="0"/>
    <n v="0"/>
    <n v="-60.15"/>
    <n v="-60.15"/>
    <n v="-82.6"/>
    <s v="NA"/>
    <m/>
    <x v="6"/>
    <s v="Ouest de la France, Espagne ou Italie"/>
    <n v="6"/>
    <s v="ANKEFR-2"/>
    <s v="Abschuss"/>
  </r>
  <r>
    <x v="897"/>
    <s v="ScoRus"/>
    <n v="0"/>
    <x v="1"/>
    <x v="1"/>
    <x v="0"/>
    <x v="0"/>
    <x v="874"/>
    <n v="-22.6098"/>
    <x v="855"/>
    <x v="11"/>
    <m/>
    <x v="1"/>
    <x v="1"/>
    <s v="Gamborogno"/>
    <s v="Carnasciolo"/>
    <n v="46.07779464"/>
    <n v="8.8489388420000008"/>
    <n v="4"/>
    <n v="15"/>
    <x v="1"/>
    <n v="2015"/>
    <x v="156"/>
    <x v="29"/>
    <n v="60"/>
    <x v="6"/>
    <x v="2"/>
    <x v="2"/>
    <n v="709100"/>
    <n v="103900"/>
    <n v="70911039"/>
    <n v="709103"/>
    <n v="705100"/>
    <n v="707500"/>
    <n v="102500"/>
    <n v="354"/>
    <x v="0"/>
    <n v="0"/>
    <n v="0"/>
    <n v="0"/>
    <n v="-59.84"/>
    <n v="-59.84"/>
    <n v="-82.3"/>
    <s v="NA"/>
    <m/>
    <x v="6"/>
    <s v="Ouest de la France, Espagne ou Italie"/>
    <n v="6"/>
    <s v="GNOSDA-11"/>
    <s v="Abschuss"/>
  </r>
  <r>
    <x v="898"/>
    <s v="ScoRus"/>
    <n v="0"/>
    <x v="1"/>
    <x v="1"/>
    <x v="0"/>
    <x v="0"/>
    <x v="874"/>
    <n v="-23.196000000000002"/>
    <x v="856"/>
    <x v="11"/>
    <m/>
    <x v="1"/>
    <x v="1"/>
    <s v="Sonvico"/>
    <s v="Fanghi"/>
    <n v="46.07529512"/>
    <n v="9.0363253029999999"/>
    <n v="4"/>
    <n v="8"/>
    <x v="1"/>
    <n v="2015"/>
    <x v="192"/>
    <x v="2"/>
    <n v="53"/>
    <x v="2"/>
    <x v="2"/>
    <x v="1"/>
    <n v="723600"/>
    <n v="103900"/>
    <n v="72361039"/>
    <n v="723103"/>
    <n v="720100"/>
    <n v="722500"/>
    <n v="102500"/>
    <n v="320"/>
    <x v="0"/>
    <n v="0"/>
    <n v="0"/>
    <n v="0"/>
    <n v="-59.84"/>
    <n v="-59.84"/>
    <n v="-82.3"/>
    <s v="NA"/>
    <m/>
    <x v="6"/>
    <s v="Ouest de la France, Espagne ou Italie"/>
    <n v="6"/>
    <s v="ANARGI-7"/>
    <s v="Abschuss"/>
  </r>
  <r>
    <x v="899"/>
    <s v="ScoRus"/>
    <n v="0"/>
    <x v="1"/>
    <x v="1"/>
    <x v="0"/>
    <x v="0"/>
    <x v="875"/>
    <n v="-24.526800000000001"/>
    <x v="857"/>
    <x v="11"/>
    <m/>
    <x v="1"/>
    <x v="1"/>
    <s v="Gamborogno"/>
    <s v="Pianca Lunga"/>
    <n v="46.088522650000002"/>
    <n v="8.8543881439999996"/>
    <n v="4"/>
    <n v="1"/>
    <x v="1"/>
    <n v="2015"/>
    <x v="167"/>
    <x v="17"/>
    <n v="46"/>
    <x v="1"/>
    <x v="1"/>
    <x v="1"/>
    <n v="709500"/>
    <n v="105100"/>
    <n v="70951051"/>
    <n v="709105"/>
    <n v="705105"/>
    <n v="707500"/>
    <n v="107500"/>
    <n v="298"/>
    <x v="0"/>
    <n v="0"/>
    <n v="0"/>
    <n v="0"/>
    <n v="-59.82"/>
    <n v="-59.82"/>
    <n v="-82.2"/>
    <s v="NA"/>
    <m/>
    <x v="6"/>
    <s v="Ouest de la France, Espagne ou Italie"/>
    <n v="6"/>
    <s v="GNOSDA-6"/>
    <s v="Abschuss"/>
  </r>
  <r>
    <x v="900"/>
    <s v="ScoRus"/>
    <n v="0"/>
    <x v="1"/>
    <x v="1"/>
    <x v="0"/>
    <x v="0"/>
    <x v="876"/>
    <s v="NA"/>
    <x v="858"/>
    <x v="11"/>
    <m/>
    <x v="2"/>
    <x v="2"/>
    <s v="Riaz"/>
    <s v="Les Monts"/>
    <n v="46.64903915"/>
    <n v="7.0402247630000003"/>
    <n v="3"/>
    <n v="14"/>
    <x v="1"/>
    <n v="2017"/>
    <x v="91"/>
    <x v="18"/>
    <n v="59"/>
    <x v="6"/>
    <x v="2"/>
    <x v="2"/>
    <n v="569500"/>
    <n v="166500"/>
    <n v="56951665"/>
    <n v="569166"/>
    <n v="565165"/>
    <n v="567500"/>
    <n v="167500"/>
    <n v="318"/>
    <x v="0"/>
    <n v="0"/>
    <n v="0"/>
    <n v="0"/>
    <n v="-59.582880799999998"/>
    <n v="-59.582880799999998"/>
    <s v="NA"/>
    <s v="NA"/>
    <m/>
    <x v="6"/>
    <s v="Ouest de la France, Espagne ou Italie"/>
    <n v="6"/>
    <s v="DENEPA-6"/>
    <s v="Abschuss"/>
  </r>
  <r>
    <x v="901"/>
    <s v="ScoRus"/>
    <n v="0"/>
    <x v="1"/>
    <x v="1"/>
    <x v="0"/>
    <x v="0"/>
    <x v="877"/>
    <n v="-23.73"/>
    <x v="859"/>
    <x v="11"/>
    <m/>
    <x v="1"/>
    <x v="1"/>
    <s v="Novaggio"/>
    <s v="Cima Piencie"/>
    <n v="46.025250970000002"/>
    <n v="8.8368246920000004"/>
    <n v="6"/>
    <n v="18"/>
    <x v="0"/>
    <n v="2016"/>
    <x v="151"/>
    <x v="89"/>
    <n v="33"/>
    <x v="4"/>
    <x v="0"/>
    <x v="0"/>
    <n v="708267"/>
    <n v="98043"/>
    <n v="70820980"/>
    <n v="708098"/>
    <n v="705095"/>
    <n v="707500"/>
    <n v="97500"/>
    <n v="310"/>
    <x v="0"/>
    <n v="0"/>
    <n v="0"/>
    <n v="0"/>
    <n v="-59.329176500000003"/>
    <n v="-59.329176500000003"/>
    <s v="NA"/>
    <s v="NA"/>
    <m/>
    <x v="6"/>
    <s v="Ouest de la France, Espagne ou Italie"/>
    <n v="6"/>
    <s v="MORAMA-2"/>
    <s v="Abschuss"/>
  </r>
  <r>
    <x v="902"/>
    <s v="ScoRus"/>
    <n v="0"/>
    <x v="1"/>
    <x v="1"/>
    <x v="0"/>
    <x v="0"/>
    <x v="878"/>
    <s v="NA"/>
    <x v="860"/>
    <x v="11"/>
    <m/>
    <x v="0"/>
    <x v="3"/>
    <s v="Le Lieu"/>
    <s v="NA"/>
    <n v="46.661927810000002"/>
    <n v="6.2888091279999996"/>
    <n v="4"/>
    <n v="24"/>
    <x v="0"/>
    <n v="2017"/>
    <x v="15"/>
    <x v="14"/>
    <n v="39"/>
    <x v="0"/>
    <x v="0"/>
    <x v="0"/>
    <n v="512000"/>
    <n v="168500"/>
    <n v="51201685"/>
    <n v="512168"/>
    <n v="510165"/>
    <n v="512500"/>
    <n v="167500"/>
    <n v="360"/>
    <x v="0"/>
    <n v="0"/>
    <n v="0"/>
    <n v="0"/>
    <n v="-59.240902800000001"/>
    <n v="-59.240902800000001"/>
    <s v="NA"/>
    <s v="NA"/>
    <m/>
    <x v="6"/>
    <s v="Ouest de la France, Espagne ou Italie"/>
    <n v="6"/>
    <s v="RAMAA-1"/>
    <s v="Abschuss"/>
  </r>
  <r>
    <x v="903"/>
    <s v="ScoRus"/>
    <n v="0"/>
    <x v="1"/>
    <x v="1"/>
    <x v="0"/>
    <x v="0"/>
    <x v="879"/>
    <n v="-24.234000000000002"/>
    <x v="861"/>
    <x v="11"/>
    <m/>
    <x v="1"/>
    <x v="1"/>
    <s v="Colla"/>
    <s v="Crana"/>
    <n v="46.098512960000001"/>
    <n v="9.0486449990000004"/>
    <n v="5"/>
    <n v="26"/>
    <x v="1"/>
    <n v="2015"/>
    <x v="217"/>
    <x v="31"/>
    <n v="71"/>
    <x v="7"/>
    <x v="3"/>
    <x v="2"/>
    <n v="724500"/>
    <n v="106500"/>
    <n v="72451065"/>
    <n v="724106"/>
    <n v="720105"/>
    <n v="722500"/>
    <n v="107500"/>
    <n v="300"/>
    <x v="0"/>
    <n v="0"/>
    <n v="0"/>
    <n v="0"/>
    <n v="-59.17"/>
    <n v="-59.17"/>
    <n v="-81.599999999999994"/>
    <s v="NA"/>
    <m/>
    <x v="6"/>
    <s v="Ouest de la France, Espagne ou Italie"/>
    <n v="6"/>
    <s v="ANARGI-10"/>
    <s v="Abschuss"/>
  </r>
  <r>
    <x v="904"/>
    <s v="ScoRus"/>
    <n v="0"/>
    <x v="1"/>
    <x v="1"/>
    <x v="0"/>
    <x v="0"/>
    <x v="880"/>
    <n v="-22.746400000000001"/>
    <x v="862"/>
    <x v="11"/>
    <m/>
    <x v="1"/>
    <x v="1"/>
    <s v="Bogno"/>
    <s v="Alpe Cottino"/>
    <n v="46.089934030000002"/>
    <n v="9.0820138850000003"/>
    <n v="5"/>
    <n v="5"/>
    <x v="1"/>
    <n v="2015"/>
    <x v="233"/>
    <x v="22"/>
    <n v="50"/>
    <x v="3"/>
    <x v="1"/>
    <x v="1"/>
    <n v="727100"/>
    <n v="105600"/>
    <n v="72711056"/>
    <n v="727105"/>
    <n v="725105"/>
    <n v="727500"/>
    <n v="107500"/>
    <n v="320"/>
    <x v="0"/>
    <n v="0"/>
    <n v="0"/>
    <n v="0"/>
    <n v="-59.13"/>
    <n v="-59.13"/>
    <n v="-81.5"/>
    <s v="NA"/>
    <m/>
    <x v="6"/>
    <s v="Ouest de la France, Espagne ou Italie"/>
    <n v="6"/>
    <s v="ANARGI-2"/>
    <s v="Abschuss"/>
  </r>
  <r>
    <x v="905"/>
    <s v="ScoRus"/>
    <n v="0"/>
    <x v="1"/>
    <x v="1"/>
    <x v="0"/>
    <x v="0"/>
    <x v="881"/>
    <n v="-24.88"/>
    <x v="863"/>
    <x v="11"/>
    <m/>
    <x v="1"/>
    <x v="1"/>
    <s v="Bruzella"/>
    <s v="Crotta"/>
    <n v="45.892289099999999"/>
    <n v="9.0715895310000008"/>
    <n v="5"/>
    <n v="8"/>
    <x v="1"/>
    <n v="2016"/>
    <x v="186"/>
    <x v="2"/>
    <n v="53"/>
    <x v="2"/>
    <x v="2"/>
    <x v="1"/>
    <n v="726751"/>
    <n v="83616"/>
    <n v="72670836"/>
    <n v="726083"/>
    <n v="725080"/>
    <n v="727500"/>
    <n v="82500"/>
    <n v="310"/>
    <x v="0"/>
    <n v="0"/>
    <n v="0"/>
    <n v="0"/>
    <n v="-59.125270299999997"/>
    <n v="-59.125270299999997"/>
    <s v="NA"/>
    <s v="NA"/>
    <m/>
    <x v="6"/>
    <s v="Ouest de la France, Espagne ou Italie"/>
    <n v="6"/>
    <s v="REZZRO-7"/>
    <s v="Abschuss"/>
  </r>
  <r>
    <x v="906"/>
    <s v="ScoRus"/>
    <n v="0"/>
    <x v="1"/>
    <x v="1"/>
    <x v="0"/>
    <x v="0"/>
    <x v="882"/>
    <n v="-22.955400000000001"/>
    <x v="864"/>
    <x v="11"/>
    <m/>
    <x v="1"/>
    <x v="1"/>
    <s v="Prato Leventina"/>
    <s v="Boscobello"/>
    <n v="46.474849679999998"/>
    <n v="8.7654281689999998"/>
    <n v="5"/>
    <n v="17"/>
    <x v="0"/>
    <n v="2015"/>
    <x v="47"/>
    <x v="34"/>
    <n v="32"/>
    <x v="8"/>
    <x v="4"/>
    <x v="0"/>
    <n v="701894"/>
    <n v="147920"/>
    <n v="70181479"/>
    <n v="701147"/>
    <n v="700145"/>
    <n v="702500"/>
    <n v="147500"/>
    <n v="280"/>
    <x v="0"/>
    <n v="0"/>
    <n v="0"/>
    <n v="0"/>
    <n v="-58.97"/>
    <n v="-58.97"/>
    <n v="-81.400000000000006"/>
    <s v="NA"/>
    <m/>
    <x v="6"/>
    <s v="Ouest de la France, Espagne ou Italie"/>
    <n v="6"/>
    <s v="BIANCHIRO-1"/>
    <s v="Abschuss"/>
  </r>
  <r>
    <x v="907"/>
    <s v="ScoRus"/>
    <n v="0"/>
    <x v="1"/>
    <x v="1"/>
    <x v="0"/>
    <x v="0"/>
    <x v="883"/>
    <n v="-24.093"/>
    <x v="865"/>
    <x v="11"/>
    <m/>
    <x v="0"/>
    <x v="3"/>
    <s v="Ste-Croix"/>
    <s v="Soquêtre"/>
    <n v="46.847574979999997"/>
    <n v="6.4596141170000001"/>
    <n v="6"/>
    <n v="17"/>
    <x v="1"/>
    <n v="2014"/>
    <x v="261"/>
    <x v="10"/>
    <n v="62"/>
    <x v="5"/>
    <x v="3"/>
    <x v="2"/>
    <n v="525329"/>
    <n v="188959"/>
    <n v="52531889"/>
    <n v="525188"/>
    <n v="525185"/>
    <n v="527500"/>
    <n v="187500"/>
    <n v="335"/>
    <x v="0"/>
    <n v="0"/>
    <n v="0"/>
    <n v="0"/>
    <n v="-58.56"/>
    <n v="-58.56"/>
    <n v="-81"/>
    <s v="NA"/>
    <m/>
    <x v="6"/>
    <s v="Ouest de la France, Espagne ou Italie"/>
    <n v="6"/>
    <s v="JOSEDA3"/>
    <s v="Abschuss"/>
  </r>
  <r>
    <x v="908"/>
    <s v="ScoRus"/>
    <n v="0"/>
    <x v="1"/>
    <x v="1"/>
    <x v="0"/>
    <x v="0"/>
    <x v="884"/>
    <s v="NA"/>
    <x v="866"/>
    <x v="11"/>
    <m/>
    <x v="1"/>
    <x v="1"/>
    <s v="Cadenazzo"/>
    <s v="Rubasacco"/>
    <n v="46.134191629999997"/>
    <n v="8.8995353490000007"/>
    <n v="5"/>
    <n v="22"/>
    <x v="0"/>
    <n v="2017"/>
    <x v="78"/>
    <x v="21"/>
    <n v="37"/>
    <x v="4"/>
    <x v="0"/>
    <x v="0"/>
    <n v="712897"/>
    <n v="110240"/>
    <n v="71281102"/>
    <n v="712110"/>
    <n v="710110"/>
    <n v="712500"/>
    <n v="112500"/>
    <n v="335"/>
    <x v="0"/>
    <n v="0"/>
    <n v="0"/>
    <n v="0"/>
    <n v="-58.1133223"/>
    <n v="-58.1133223"/>
    <s v="NA"/>
    <s v="NA"/>
    <m/>
    <x v="6"/>
    <s v="Ouest de la France, Espagne ou Italie"/>
    <n v="6"/>
    <s v="PURASA-6"/>
    <s v="Abschuss"/>
  </r>
  <r>
    <x v="909"/>
    <s v="ScoRus"/>
    <n v="0"/>
    <x v="1"/>
    <x v="1"/>
    <x v="0"/>
    <x v="0"/>
    <x v="885"/>
    <s v="NA"/>
    <x v="867"/>
    <x v="11"/>
    <m/>
    <x v="0"/>
    <x v="3"/>
    <s v="Ste-Croix"/>
    <s v="NA"/>
    <n v="46.798820970000001"/>
    <n v="6.5020398190000002"/>
    <n v="3"/>
    <n v="19"/>
    <x v="0"/>
    <n v="2017"/>
    <x v="148"/>
    <x v="9"/>
    <n v="34"/>
    <x v="4"/>
    <x v="0"/>
    <x v="0"/>
    <n v="528500"/>
    <n v="183500"/>
    <n v="52851835"/>
    <n v="528183"/>
    <n v="525180"/>
    <n v="527500"/>
    <n v="182500"/>
    <n v="340"/>
    <x v="0"/>
    <n v="0"/>
    <n v="0"/>
    <n v="0"/>
    <n v="-57.283209999999997"/>
    <n v="-57.283209999999997"/>
    <s v="NA"/>
    <s v="NA"/>
    <m/>
    <x v="6"/>
    <s v="Ouest de la France, Espagne ou Italie"/>
    <n v="6"/>
    <s v="JOSEDA-2"/>
    <s v="Abschuss"/>
  </r>
  <r>
    <x v="910"/>
    <s v="ScoRus"/>
    <n v="0"/>
    <x v="1"/>
    <x v="1"/>
    <x v="0"/>
    <x v="0"/>
    <x v="886"/>
    <s v="NA"/>
    <x v="868"/>
    <x v="11"/>
    <m/>
    <x v="1"/>
    <x v="1"/>
    <s v="Cadenazzo"/>
    <s v="Rubasacco"/>
    <n v="46.14840178"/>
    <n v="9.0059228139999998"/>
    <n v="5"/>
    <n v="21"/>
    <x v="0"/>
    <n v="2017"/>
    <x v="64"/>
    <x v="11"/>
    <n v="36"/>
    <x v="4"/>
    <x v="0"/>
    <x v="0"/>
    <n v="721086"/>
    <n v="111978"/>
    <n v="72101119"/>
    <n v="721111"/>
    <n v="720110"/>
    <n v="722500"/>
    <n v="112500"/>
    <n v="300"/>
    <x v="0"/>
    <n v="0"/>
    <n v="0"/>
    <n v="0"/>
    <n v="-56.893875399999999"/>
    <n v="-56.893875399999999"/>
    <s v="NA"/>
    <s v="NA"/>
    <m/>
    <x v="6"/>
    <s v="Ouest de la France, Espagne ou Italie"/>
    <n v="6"/>
    <s v="PURASA-5"/>
    <s v="Abschuss"/>
  </r>
  <r>
    <x v="911"/>
    <s v="ScoRus"/>
    <n v="0"/>
    <x v="1"/>
    <x v="1"/>
    <x v="0"/>
    <x v="0"/>
    <x v="887"/>
    <n v="-22.19"/>
    <x v="869"/>
    <x v="11"/>
    <m/>
    <x v="2"/>
    <x v="2"/>
    <s v="Vuisternens-devant-Romont"/>
    <s v="Défénant"/>
    <n v="46.662311580000001"/>
    <n v="6.981329669"/>
    <n v="3"/>
    <n v="7"/>
    <x v="9"/>
    <n v="2016"/>
    <x v="262"/>
    <x v="93"/>
    <n v="82"/>
    <x v="35"/>
    <x v="20"/>
    <x v="3"/>
    <n v="565000"/>
    <n v="168000"/>
    <n v="56501680"/>
    <n v="565168"/>
    <n v="565165"/>
    <n v="567500"/>
    <n v="167500"/>
    <n v="351"/>
    <x v="0"/>
    <n v="0"/>
    <n v="0"/>
    <n v="0"/>
    <n v="-56.686831599999998"/>
    <n v="-56.686831599999998"/>
    <s v="NA"/>
    <s v="NA"/>
    <m/>
    <x v="6"/>
    <s v="Ouest de la France, Espagne ou Italie"/>
    <n v="6"/>
    <s v="DENEPA-11"/>
    <s v="Abschuss"/>
  </r>
  <r>
    <x v="912"/>
    <s v="ScoRus"/>
    <n v="0"/>
    <x v="1"/>
    <x v="1"/>
    <x v="0"/>
    <x v="0"/>
    <x v="888"/>
    <n v="-18.15111709"/>
    <x v="870"/>
    <x v="11"/>
    <m/>
    <x v="0"/>
    <x v="0"/>
    <s v="La Côte-aux-Fées"/>
    <s v="Grotte aux Fées"/>
    <n v="46.860306350000002"/>
    <n v="6.5083666789999999"/>
    <n v="6"/>
    <n v="16"/>
    <x v="0"/>
    <n v="2013"/>
    <x v="249"/>
    <x v="33"/>
    <n v="31"/>
    <x v="8"/>
    <x v="4"/>
    <x v="0"/>
    <n v="529064"/>
    <n v="190329"/>
    <n v="52901903"/>
    <n v="529190"/>
    <n v="525190"/>
    <n v="527500"/>
    <n v="192500"/>
    <n v="287"/>
    <x v="0"/>
    <n v="0"/>
    <n v="0"/>
    <n v="0"/>
    <n v="-56.46"/>
    <n v="-56.46"/>
    <n v="-78.8"/>
    <s v="NA"/>
    <m/>
    <x v="6"/>
    <s v="Ouest de la France, Espagne ou Italie"/>
    <n v="6"/>
    <s v="GARIJE-2"/>
    <s v="Abschuss"/>
  </r>
  <r>
    <x v="913"/>
    <s v="ScoRus"/>
    <n v="0"/>
    <x v="1"/>
    <x v="1"/>
    <x v="0"/>
    <x v="0"/>
    <x v="889"/>
    <n v="-23.498999999999999"/>
    <x v="871"/>
    <x v="11"/>
    <m/>
    <x v="0"/>
    <x v="3"/>
    <s v="Mont-la-Ville"/>
    <s v="Mollendruz"/>
    <n v="46.651010759999998"/>
    <n v="6.3687344389999998"/>
    <n v="4"/>
    <n v="9"/>
    <x v="1"/>
    <n v="2015"/>
    <x v="228"/>
    <x v="5"/>
    <n v="54"/>
    <x v="2"/>
    <x v="2"/>
    <x v="1"/>
    <n v="518100"/>
    <n v="167200"/>
    <n v="51811672"/>
    <n v="518167"/>
    <n v="515165"/>
    <n v="517500"/>
    <n v="167500"/>
    <n v="360"/>
    <x v="0"/>
    <n v="0"/>
    <n v="0"/>
    <n v="0"/>
    <n v="-56.42"/>
    <n v="-56.42"/>
    <n v="-78.8"/>
    <s v="NA"/>
    <m/>
    <x v="6"/>
    <s v="Ouest de la France, Espagne ou Italie"/>
    <n v="6"/>
    <s v="Fvui-1"/>
    <s v="Abschuss"/>
  </r>
  <r>
    <x v="914"/>
    <s v="ScoRus"/>
    <n v="0"/>
    <x v="1"/>
    <x v="1"/>
    <x v="0"/>
    <x v="0"/>
    <x v="890"/>
    <n v="-23.434000000000001"/>
    <x v="872"/>
    <x v="11"/>
    <m/>
    <x v="0"/>
    <x v="3"/>
    <s v="Le Lieu"/>
    <s v="Forêt du Risoux"/>
    <n v="46.671582139999998"/>
    <n v="6.265078441"/>
    <n v="5"/>
    <n v="14"/>
    <x v="1"/>
    <n v="2014"/>
    <x v="21"/>
    <x v="18"/>
    <n v="59"/>
    <x v="6"/>
    <x v="2"/>
    <x v="2"/>
    <n v="510200"/>
    <n v="169600"/>
    <n v="51021696"/>
    <n v="510169"/>
    <n v="510165"/>
    <n v="512500"/>
    <n v="167500"/>
    <n v="332"/>
    <x v="0"/>
    <n v="0"/>
    <n v="0"/>
    <n v="0"/>
    <n v="-56.39"/>
    <n v="-56.39"/>
    <n v="-78.7"/>
    <s v="NA"/>
    <m/>
    <x v="6"/>
    <s v="Ouest de la France, Espagne ou Italie"/>
    <n v="6"/>
    <s v="ROCHCH-4"/>
    <s v="Abschuss"/>
  </r>
  <r>
    <x v="915"/>
    <s v="ScoRus"/>
    <n v="0"/>
    <x v="1"/>
    <x v="1"/>
    <x v="0"/>
    <x v="0"/>
    <x v="891"/>
    <n v="-22.71"/>
    <x v="873"/>
    <x v="11"/>
    <m/>
    <x v="0"/>
    <x v="3"/>
    <s v="Vaulion"/>
    <s v="Sagnettaz"/>
    <n v="46.66263"/>
    <n v="6.3606640140000001"/>
    <n v="4"/>
    <n v="18"/>
    <x v="0"/>
    <n v="2015"/>
    <x v="202"/>
    <x v="89"/>
    <n v="33"/>
    <x v="4"/>
    <x v="0"/>
    <x v="0"/>
    <n v="517500"/>
    <n v="168500"/>
    <n v="51751685"/>
    <n v="517168"/>
    <n v="515165"/>
    <n v="517500"/>
    <n v="167500"/>
    <n v="304"/>
    <x v="0"/>
    <n v="0"/>
    <n v="0"/>
    <n v="0"/>
    <n v="-55.44"/>
    <n v="-55.44"/>
    <n v="-77.8"/>
    <s v="NA"/>
    <m/>
    <x v="6"/>
    <s v="Ouest de la France, Espagne ou Italie"/>
    <n v="6"/>
    <s v="CORDJP-2"/>
    <s v="Abschuss"/>
  </r>
  <r>
    <x v="916"/>
    <s v="ScoRus"/>
    <n v="0"/>
    <x v="1"/>
    <x v="1"/>
    <x v="0"/>
    <x v="0"/>
    <x v="892"/>
    <n v="-23.41"/>
    <x v="874"/>
    <x v="11"/>
    <m/>
    <x v="0"/>
    <x v="0"/>
    <s v="Le Locle"/>
    <s v="Combe Jeanneret"/>
    <n v="47.039021740000003"/>
    <n v="6.7456176379999997"/>
    <s v="NA"/>
    <n v="6"/>
    <x v="0"/>
    <n v="2016"/>
    <x v="263"/>
    <x v="110"/>
    <n v="21"/>
    <x v="10"/>
    <x v="6"/>
    <x v="4"/>
    <n v="547330"/>
    <n v="210009"/>
    <n v="54732100"/>
    <n v="547210"/>
    <n v="545210"/>
    <n v="547500"/>
    <n v="212500"/>
    <n v="330"/>
    <x v="0"/>
    <n v="0"/>
    <n v="0"/>
    <n v="0"/>
    <n v="-55.31071"/>
    <n v="-55.31071"/>
    <s v="NA"/>
    <s v="NA"/>
    <m/>
    <x v="6"/>
    <s v="Ouest de la France, Espagne ou Italie"/>
    <n v="6"/>
    <s v="PRETFA-1"/>
    <s v="Abschuss"/>
  </r>
  <r>
    <x v="917"/>
    <s v="ScoRus"/>
    <n v="0"/>
    <x v="1"/>
    <x v="1"/>
    <x v="0"/>
    <x v="0"/>
    <x v="893"/>
    <n v="-23.268000000000001"/>
    <x v="875"/>
    <x v="11"/>
    <m/>
    <x v="0"/>
    <x v="3"/>
    <s v="Bière"/>
    <s v="Marchairuz"/>
    <n v="46.566124279999997"/>
    <n v="6.3351942760000002"/>
    <n v="4"/>
    <n v="9"/>
    <x v="1"/>
    <n v="2015"/>
    <x v="228"/>
    <x v="5"/>
    <n v="54"/>
    <x v="2"/>
    <x v="2"/>
    <x v="1"/>
    <n v="515400"/>
    <n v="157800"/>
    <n v="51541578"/>
    <n v="515157"/>
    <n v="515155"/>
    <n v="517500"/>
    <n v="157500"/>
    <n v="340"/>
    <x v="0"/>
    <n v="0"/>
    <n v="0"/>
    <n v="0"/>
    <n v="-55.26"/>
    <n v="-55.26"/>
    <n v="-77.599999999999994"/>
    <s v="NA"/>
    <m/>
    <x v="6"/>
    <s v="Ouest de la France, Espagne ou Italie"/>
    <n v="6"/>
    <s v="RothMi-1"/>
    <s v="Abschuss"/>
  </r>
  <r>
    <x v="918"/>
    <s v="ScoRus"/>
    <n v="0"/>
    <x v="1"/>
    <x v="1"/>
    <x v="0"/>
    <x v="0"/>
    <x v="894"/>
    <n v="-24.74128571"/>
    <x v="876"/>
    <x v="11"/>
    <m/>
    <x v="0"/>
    <x v="0"/>
    <s v="Cernier"/>
    <s v="Montperreux"/>
    <n v="47.086339289999998"/>
    <n v="6.8760438710000003"/>
    <n v="6"/>
    <n v="29"/>
    <x v="0"/>
    <n v="2014"/>
    <x v="1"/>
    <x v="1"/>
    <n v="44"/>
    <x v="1"/>
    <x v="1"/>
    <x v="1"/>
    <n v="557280"/>
    <n v="215190"/>
    <n v="55722151"/>
    <n v="557215"/>
    <n v="555215"/>
    <n v="557500"/>
    <n v="217500"/>
    <n v="366"/>
    <x v="0"/>
    <n v="0"/>
    <n v="0"/>
    <n v="0"/>
    <n v="-54.93"/>
    <n v="-54.93"/>
    <n v="-77.2"/>
    <s v="NA"/>
    <m/>
    <x v="7"/>
    <s v="Ouest de la France, Espagne ou Italie"/>
    <n v="5"/>
    <s v="PENAJA2"/>
    <s v="Abschuss"/>
  </r>
  <r>
    <x v="919"/>
    <s v="ScoRus"/>
    <n v="0"/>
    <x v="1"/>
    <x v="1"/>
    <x v="0"/>
    <x v="0"/>
    <x v="895"/>
    <n v="-23.6662225"/>
    <x v="877"/>
    <x v="11"/>
    <m/>
    <x v="0"/>
    <x v="0"/>
    <s v="Val-de-Ruz"/>
    <s v="Mont Racine"/>
    <n v="47.023107959999997"/>
    <n v="6.8160926880000003"/>
    <n v="6"/>
    <n v="20"/>
    <x v="0"/>
    <n v="2015"/>
    <x v="38"/>
    <x v="30"/>
    <n v="35"/>
    <x v="4"/>
    <x v="0"/>
    <x v="0"/>
    <n v="552672"/>
    <n v="208195"/>
    <n v="55262081"/>
    <n v="552208"/>
    <n v="550205"/>
    <n v="552500"/>
    <n v="207500"/>
    <n v="326"/>
    <x v="0"/>
    <n v="0"/>
    <n v="0"/>
    <n v="0"/>
    <n v="-54.39"/>
    <n v="-54.39"/>
    <n v="-76.7"/>
    <s v="NA"/>
    <m/>
    <x v="7"/>
    <s v="Ouest de la France, Espagne ou Italie"/>
    <n v="5"/>
    <s v="MEISHE-3"/>
    <s v="Abschuss"/>
  </r>
  <r>
    <x v="920"/>
    <s v="ScoRus"/>
    <n v="0"/>
    <x v="1"/>
    <x v="1"/>
    <x v="0"/>
    <x v="0"/>
    <x v="896"/>
    <n v="-24.8796"/>
    <x v="878"/>
    <x v="11"/>
    <m/>
    <x v="1"/>
    <x v="1"/>
    <s v="Centovalli"/>
    <s v="Colla"/>
    <n v="46.190236159999998"/>
    <n v="8.6606802629999997"/>
    <n v="6"/>
    <n v="10"/>
    <x v="1"/>
    <n v="2015"/>
    <x v="200"/>
    <x v="19"/>
    <n v="55"/>
    <x v="2"/>
    <x v="2"/>
    <x v="1"/>
    <n v="694343"/>
    <n v="116154"/>
    <n v="69431161"/>
    <n v="694116"/>
    <n v="690115"/>
    <n v="692500"/>
    <n v="117500"/>
    <n v="280"/>
    <x v="0"/>
    <n v="0"/>
    <n v="0"/>
    <n v="0"/>
    <n v="-54.05"/>
    <n v="-54.05"/>
    <n v="-76.3"/>
    <s v="NA"/>
    <m/>
    <x v="7"/>
    <s v="Ouest de la France, Espagne ou Italie"/>
    <n v="5"/>
    <s v="FISCIV17"/>
    <s v="Abschuss"/>
  </r>
  <r>
    <x v="921"/>
    <s v="ScoRus"/>
    <n v="0"/>
    <x v="1"/>
    <x v="1"/>
    <x v="0"/>
    <x v="0"/>
    <x v="897"/>
    <s v="NA"/>
    <x v="879"/>
    <x v="11"/>
    <m/>
    <x v="1"/>
    <x v="1"/>
    <s v="Vezio"/>
    <s v="Alpe Firinescio"/>
    <n v="46.057939480000002"/>
    <n v="8.8716882590000008"/>
    <n v="5"/>
    <n v="26"/>
    <x v="0"/>
    <n v="2017"/>
    <x v="83"/>
    <x v="0"/>
    <n v="41"/>
    <x v="0"/>
    <x v="0"/>
    <x v="0"/>
    <n v="710900"/>
    <n v="101725"/>
    <n v="71091017"/>
    <n v="710101"/>
    <n v="710100"/>
    <n v="712500"/>
    <n v="102500"/>
    <n v="274"/>
    <x v="0"/>
    <n v="0"/>
    <n v="0"/>
    <n v="0"/>
    <n v="-53.827350000000003"/>
    <n v="-53.827350000000003"/>
    <s v="NA"/>
    <s v="NA"/>
    <m/>
    <x v="7"/>
    <s v="Ouest de la France, Espagne ou Italie"/>
    <n v="5"/>
    <s v="CISTAR-1"/>
    <s v="Abschuss"/>
  </r>
  <r>
    <x v="922"/>
    <s v="ScoRus"/>
    <n v="0"/>
    <x v="1"/>
    <x v="1"/>
    <x v="0"/>
    <x v="0"/>
    <x v="898"/>
    <n v="-24.312285710000001"/>
    <x v="880"/>
    <x v="11"/>
    <m/>
    <x v="0"/>
    <x v="0"/>
    <s v="La Brévine"/>
    <s v="La Paroisse"/>
    <n v="46.967714430000001"/>
    <n v="6.6430410499999999"/>
    <n v="6"/>
    <n v="11"/>
    <x v="1"/>
    <n v="2014"/>
    <x v="7"/>
    <x v="7"/>
    <n v="56"/>
    <x v="2"/>
    <x v="2"/>
    <x v="1"/>
    <n v="539454"/>
    <n v="202156"/>
    <n v="53942021"/>
    <n v="539202"/>
    <n v="535200"/>
    <n v="537500"/>
    <n v="202500"/>
    <n v="302"/>
    <x v="0"/>
    <n v="0"/>
    <n v="0"/>
    <n v="0"/>
    <n v="-53.46"/>
    <n v="-53.46"/>
    <n v="-75.7"/>
    <s v="NA"/>
    <m/>
    <x v="7"/>
    <s v="Ouest de la France, Espagne ou Italie"/>
    <n v="5"/>
    <s v="No2 VIKTOR ULR."/>
    <s v="Abschuss"/>
  </r>
  <r>
    <x v="923"/>
    <s v="ScoRus"/>
    <n v="0"/>
    <x v="1"/>
    <x v="1"/>
    <x v="0"/>
    <x v="0"/>
    <x v="899"/>
    <n v="-23.53"/>
    <x v="881"/>
    <x v="11"/>
    <m/>
    <x v="1"/>
    <x v="1"/>
    <s v="Maggia"/>
    <s v="Cropp"/>
    <n v="46.259093880000002"/>
    <n v="8.7010732619999995"/>
    <n v="6"/>
    <n v="6"/>
    <x v="1"/>
    <n v="2016"/>
    <x v="194"/>
    <x v="13"/>
    <n v="51"/>
    <x v="3"/>
    <x v="1"/>
    <x v="1"/>
    <n v="697338"/>
    <n v="123857"/>
    <n v="69731238"/>
    <n v="697123"/>
    <n v="695120"/>
    <n v="697500"/>
    <n v="122500"/>
    <n v="301"/>
    <x v="0"/>
    <n v="0"/>
    <n v="0"/>
    <n v="0"/>
    <n v="-53.090141199999998"/>
    <n v="-53.090141199999998"/>
    <s v="NA"/>
    <s v="NA"/>
    <m/>
    <x v="7"/>
    <s v="Ouest de la France, Espagne ou Italie"/>
    <n v="5"/>
    <s v="CAVAMA-6"/>
    <s v="Abschuss"/>
  </r>
  <r>
    <x v="924"/>
    <s v="ScoRus"/>
    <n v="0"/>
    <x v="1"/>
    <x v="1"/>
    <x v="0"/>
    <x v="0"/>
    <x v="900"/>
    <s v="NA"/>
    <x v="882"/>
    <x v="11"/>
    <m/>
    <x v="0"/>
    <x v="3"/>
    <s v="Mauborget"/>
    <s v="NA"/>
    <n v="46.844606059999997"/>
    <n v="6.6061308089999997"/>
    <n v="3"/>
    <n v="3"/>
    <x v="1"/>
    <n v="2017"/>
    <x v="31"/>
    <x v="25"/>
    <n v="48"/>
    <x v="3"/>
    <x v="1"/>
    <x v="1"/>
    <n v="536500"/>
    <n v="188500"/>
    <n v="53651885"/>
    <n v="536188"/>
    <n v="535185"/>
    <n v="537500"/>
    <n v="187500"/>
    <n v="368"/>
    <x v="0"/>
    <n v="0"/>
    <n v="0"/>
    <n v="0"/>
    <n v="-52.769920800000001"/>
    <n v="-52.769920800000001"/>
    <s v="NA"/>
    <s v="NA"/>
    <m/>
    <x v="7"/>
    <s v="Ouest de la France, Espagne ou Italie"/>
    <n v="5"/>
    <s v="GARIJC-2"/>
    <s v="Abschuss"/>
  </r>
  <r>
    <x v="925"/>
    <s v="ScoRus"/>
    <n v="0"/>
    <x v="1"/>
    <x v="1"/>
    <x v="0"/>
    <x v="0"/>
    <x v="901"/>
    <n v="-23.4"/>
    <x v="883"/>
    <x v="11"/>
    <m/>
    <x v="1"/>
    <x v="1"/>
    <s v="Airolo"/>
    <s v="Cioss di Sopra"/>
    <n v="46.521588199999997"/>
    <n v="8.586945493"/>
    <s v="NA"/>
    <n v="16"/>
    <x v="0"/>
    <n v="2016"/>
    <x v="160"/>
    <x v="33"/>
    <n v="31"/>
    <x v="8"/>
    <x v="4"/>
    <x v="0"/>
    <n v="688112"/>
    <n v="152899"/>
    <n v="68811528"/>
    <n v="688152"/>
    <n v="685150"/>
    <n v="687500"/>
    <n v="152500"/>
    <n v="310"/>
    <x v="0"/>
    <n v="0"/>
    <n v="0"/>
    <n v="0"/>
    <n v="-52.5784272"/>
    <n v="-52.5784272"/>
    <s v="NA"/>
    <s v="NA"/>
    <m/>
    <x v="7"/>
    <s v="Ouest de la France, Espagne ou Italie"/>
    <n v="5"/>
    <s v="BIANRO-1"/>
    <s v="Abschuss"/>
  </r>
  <r>
    <x v="926"/>
    <s v="ScoRus"/>
    <n v="0"/>
    <x v="1"/>
    <x v="1"/>
    <x v="0"/>
    <x v="0"/>
    <x v="902"/>
    <n v="-25.395049629999999"/>
    <x v="884"/>
    <x v="11"/>
    <m/>
    <x v="1"/>
    <x v="1"/>
    <s v="Monteceneri"/>
    <s v="Alpe Foppa"/>
    <n v="46.121323390000001"/>
    <n v="8.8927604200000001"/>
    <n v="5"/>
    <n v="17"/>
    <x v="0"/>
    <n v="2015"/>
    <x v="47"/>
    <x v="34"/>
    <n v="32"/>
    <x v="8"/>
    <x v="4"/>
    <x v="0"/>
    <n v="712400"/>
    <n v="108800"/>
    <n v="71241088"/>
    <n v="712108"/>
    <n v="710105"/>
    <n v="712500"/>
    <n v="107500"/>
    <n v="320"/>
    <x v="0"/>
    <n v="0"/>
    <n v="0"/>
    <n v="0"/>
    <n v="-52.35"/>
    <n v="-52.35"/>
    <n v="-74.599999999999994"/>
    <s v="NA"/>
    <m/>
    <x v="7"/>
    <s v="Ouest de la France, Espagne ou Italie"/>
    <n v="5"/>
    <s v="BELLEN-1"/>
    <s v="Abschuss"/>
  </r>
  <r>
    <x v="927"/>
    <s v="ScoRus"/>
    <n v="0"/>
    <x v="1"/>
    <x v="1"/>
    <x v="0"/>
    <x v="0"/>
    <x v="903"/>
    <n v="-24.412400000000002"/>
    <x v="885"/>
    <x v="12"/>
    <m/>
    <x v="1"/>
    <x v="1"/>
    <s v="Onsernone"/>
    <s v="Monte Calcima"/>
    <n v="46.206206180000002"/>
    <n v="8.6173832150000003"/>
    <n v="6"/>
    <n v="7"/>
    <x v="1"/>
    <n v="2015"/>
    <x v="177"/>
    <x v="12"/>
    <n v="52"/>
    <x v="2"/>
    <x v="2"/>
    <x v="1"/>
    <n v="690974"/>
    <n v="117878"/>
    <n v="69091178"/>
    <n v="690117"/>
    <n v="690115"/>
    <n v="692500"/>
    <n v="117500"/>
    <n v="325"/>
    <x v="0"/>
    <n v="0"/>
    <n v="0"/>
    <n v="0"/>
    <n v="-52.13"/>
    <n v="-52.13"/>
    <n v="-74.400000000000006"/>
    <s v="NA"/>
    <m/>
    <x v="7"/>
    <s v="Ouest de la France, Espagne ou Italie"/>
    <n v="5"/>
    <s v="Ross.Gi.8"/>
    <s v="Abschuss"/>
  </r>
  <r>
    <x v="928"/>
    <s v="ScoRus"/>
    <n v="0"/>
    <x v="1"/>
    <x v="1"/>
    <x v="0"/>
    <x v="0"/>
    <x v="904"/>
    <n v="-23.876799999999999"/>
    <x v="886"/>
    <x v="12"/>
    <m/>
    <x v="0"/>
    <x v="3"/>
    <s v="Le Lieu"/>
    <s v="Forêt du Risoux"/>
    <n v="46.67060171"/>
    <n v="6.2572581510000003"/>
    <n v="5"/>
    <n v="18"/>
    <x v="1"/>
    <n v="2014"/>
    <x v="54"/>
    <x v="24"/>
    <n v="63"/>
    <x v="5"/>
    <x v="3"/>
    <x v="2"/>
    <n v="509600"/>
    <n v="169500"/>
    <n v="50961695"/>
    <n v="509169"/>
    <n v="505165"/>
    <n v="507500"/>
    <n v="167500"/>
    <n v="304"/>
    <x v="0"/>
    <n v="0"/>
    <n v="0"/>
    <n v="0"/>
    <n v="-52.12"/>
    <n v="-52.12"/>
    <n v="-74.400000000000006"/>
    <s v="NA"/>
    <m/>
    <x v="7"/>
    <s v="Ouest de la France, Espagne ou Italie"/>
    <n v="5"/>
    <s v="ROCHCH-5"/>
    <s v="Abschuss"/>
  </r>
  <r>
    <x v="929"/>
    <s v="ScoRus"/>
    <n v="0"/>
    <x v="1"/>
    <x v="1"/>
    <x v="0"/>
    <x v="0"/>
    <x v="905"/>
    <n v="-22.62528571"/>
    <x v="887"/>
    <x v="12"/>
    <m/>
    <x v="0"/>
    <x v="0"/>
    <s v="La Brévine"/>
    <s v="La Rotte"/>
    <n v="46.985160919999998"/>
    <n v="6.6700060250000002"/>
    <n v="6"/>
    <n v="28"/>
    <x v="0"/>
    <n v="2014"/>
    <x v="39"/>
    <x v="16"/>
    <n v="43"/>
    <x v="1"/>
    <x v="1"/>
    <x v="1"/>
    <n v="541525"/>
    <n v="204075"/>
    <n v="54152040"/>
    <n v="541204"/>
    <n v="540200"/>
    <n v="542500"/>
    <n v="202500"/>
    <n v="300"/>
    <x v="0"/>
    <n v="0"/>
    <n v="0"/>
    <n v="0"/>
    <n v="-51.85"/>
    <n v="-51.85"/>
    <n v="-74.099999999999994"/>
    <s v="NA"/>
    <m/>
    <x v="7"/>
    <s v="Ouest de la France, Espagne ou Italie"/>
    <n v="5"/>
    <s v="MEISHE8"/>
    <s v="Abschuss"/>
  </r>
  <r>
    <x v="930"/>
    <s v="ScoRus"/>
    <n v="0"/>
    <x v="1"/>
    <x v="1"/>
    <x v="0"/>
    <x v="0"/>
    <x v="906"/>
    <n v="-23.98030528"/>
    <x v="888"/>
    <x v="12"/>
    <m/>
    <x v="0"/>
    <x v="0"/>
    <s v="La Sagne"/>
    <s v="Mare de Sommartel"/>
    <n v="47.005340769999997"/>
    <n v="6.7527588410000003"/>
    <n v="5"/>
    <n v="29"/>
    <x v="0"/>
    <n v="2013"/>
    <x v="264"/>
    <x v="1"/>
    <n v="44"/>
    <x v="1"/>
    <x v="1"/>
    <x v="1"/>
    <n v="547840"/>
    <n v="206260"/>
    <n v="54782062"/>
    <n v="547206"/>
    <n v="545205"/>
    <n v="547500"/>
    <n v="207500"/>
    <n v="334"/>
    <x v="0"/>
    <n v="0"/>
    <n v="0"/>
    <n v="0"/>
    <n v="-51.82"/>
    <n v="-51.82"/>
    <n v="-74.099999999999994"/>
    <s v="NA"/>
    <m/>
    <x v="7"/>
    <s v="Ouest de la France, Espagne ou Italie"/>
    <n v="5"/>
    <s v="ULRIVI-2"/>
    <s v="Abschuss"/>
  </r>
  <r>
    <x v="931"/>
    <s v="ScoRus"/>
    <n v="0"/>
    <x v="1"/>
    <x v="1"/>
    <x v="0"/>
    <x v="0"/>
    <x v="907"/>
    <s v="NA"/>
    <x v="889"/>
    <x v="12"/>
    <m/>
    <x v="0"/>
    <x v="3"/>
    <s v="Le Lieu"/>
    <s v="NA"/>
    <n v="46.67998266"/>
    <n v="6.2949604360000002"/>
    <n v="3"/>
    <n v="20"/>
    <x v="0"/>
    <n v="2017"/>
    <x v="143"/>
    <x v="30"/>
    <n v="35"/>
    <x v="4"/>
    <x v="0"/>
    <x v="0"/>
    <n v="512500"/>
    <n v="170500"/>
    <n v="51251705"/>
    <n v="512170"/>
    <n v="510170"/>
    <n v="512500"/>
    <n v="172500"/>
    <n v="310"/>
    <x v="0"/>
    <n v="0"/>
    <n v="0"/>
    <n v="0"/>
    <n v="-51.469417399999998"/>
    <n v="-51.469417399999998"/>
    <s v="NA"/>
    <s v="NA"/>
    <m/>
    <x v="7"/>
    <s v="Ouest de la France, Espagne ou Italie"/>
    <n v="5"/>
    <s v="ROCHCL-2"/>
    <s v="Abschuss"/>
  </r>
  <r>
    <x v="932"/>
    <s v="ScoRus"/>
    <n v="0"/>
    <x v="1"/>
    <x v="1"/>
    <x v="0"/>
    <x v="0"/>
    <x v="908"/>
    <n v="-23.269285709999998"/>
    <x v="890"/>
    <x v="12"/>
    <m/>
    <x v="0"/>
    <x v="0"/>
    <s v="La Brévine"/>
    <s v="Bois de l Halle"/>
    <n v="46.959452949999999"/>
    <n v="6.6021176559999999"/>
    <n v="6"/>
    <n v="3"/>
    <x v="1"/>
    <n v="2014"/>
    <x v="223"/>
    <x v="25"/>
    <n v="48"/>
    <x v="3"/>
    <x v="1"/>
    <x v="1"/>
    <n v="536330"/>
    <n v="201270"/>
    <n v="53632012"/>
    <n v="536201"/>
    <n v="535200"/>
    <n v="537500"/>
    <n v="202500"/>
    <n v="291"/>
    <x v="0"/>
    <n v="0"/>
    <n v="0"/>
    <n v="0"/>
    <n v="-51.28"/>
    <n v="-51.28"/>
    <n v="-73.5"/>
    <s v="NA"/>
    <m/>
    <x v="7"/>
    <s v="Ouest de la France, Espagne ou Italie"/>
    <n v="5"/>
    <s v="No1 VIKTOR ULR."/>
    <s v="Abschuss"/>
  </r>
  <r>
    <x v="933"/>
    <s v="ScoRus"/>
    <n v="0"/>
    <x v="1"/>
    <x v="1"/>
    <x v="0"/>
    <x v="0"/>
    <x v="909"/>
    <n v="-23.741199999999999"/>
    <x v="891"/>
    <x v="12"/>
    <m/>
    <x v="1"/>
    <x v="1"/>
    <s v="Alto Malcantone"/>
    <s v="Sassa-Vezio"/>
    <n v="46.055826209999999"/>
    <n v="8.8744370860000004"/>
    <n v="5"/>
    <n v="17"/>
    <x v="0"/>
    <n v="2015"/>
    <x v="47"/>
    <x v="34"/>
    <n v="32"/>
    <x v="8"/>
    <x v="4"/>
    <x v="0"/>
    <n v="711117"/>
    <n v="101494"/>
    <n v="71111014"/>
    <n v="711101"/>
    <n v="710100"/>
    <n v="712500"/>
    <n v="102500"/>
    <n v="303"/>
    <x v="0"/>
    <n v="0"/>
    <n v="0"/>
    <n v="0"/>
    <n v="-50.72"/>
    <n v="-50.72"/>
    <n v="-73"/>
    <s v="NA"/>
    <m/>
    <x v="7"/>
    <s v="Ouest de la France, Espagne ou Italie"/>
    <n v="5"/>
    <s v="GIAMGI-2"/>
    <s v="Abschuss"/>
  </r>
  <r>
    <x v="934"/>
    <s v="ScoRus"/>
    <n v="0"/>
    <x v="1"/>
    <x v="1"/>
    <x v="0"/>
    <x v="0"/>
    <x v="910"/>
    <n v="-23.57"/>
    <x v="892"/>
    <x v="12"/>
    <m/>
    <x v="1"/>
    <x v="1"/>
    <s v="Alto Malcantone"/>
    <s v="NA"/>
    <n v="46.059992080000001"/>
    <n v="8.8758260320000009"/>
    <n v="5"/>
    <n v="2"/>
    <x v="1"/>
    <n v="2016"/>
    <x v="4"/>
    <x v="4"/>
    <n v="47"/>
    <x v="3"/>
    <x v="1"/>
    <x v="1"/>
    <n v="711216"/>
    <n v="101959"/>
    <n v="71121019"/>
    <n v="711101"/>
    <n v="710100"/>
    <n v="712500"/>
    <n v="102500"/>
    <n v="320"/>
    <x v="0"/>
    <n v="0"/>
    <n v="0"/>
    <n v="0"/>
    <n v="-50.279976699999999"/>
    <n v="-50.279976699999999"/>
    <s v="NA"/>
    <s v="NA"/>
    <m/>
    <x v="7"/>
    <s v="Ouest de la France, Espagne ou Italie"/>
    <n v="5"/>
    <s v="GIAMGI-12"/>
    <s v="Abschuss"/>
  </r>
  <r>
    <x v="935"/>
    <s v="ScoRus"/>
    <n v="0"/>
    <x v="1"/>
    <x v="1"/>
    <x v="0"/>
    <x v="0"/>
    <x v="911"/>
    <n v="-24.36"/>
    <x v="893"/>
    <x v="12"/>
    <m/>
    <x v="2"/>
    <x v="2"/>
    <s v="Gibloux"/>
    <s v="NA"/>
    <n v="46.74744827"/>
    <n v="7.0578192499999997"/>
    <n v="5"/>
    <n v="3"/>
    <x v="1"/>
    <n v="2016"/>
    <x v="162"/>
    <x v="25"/>
    <n v="48"/>
    <x v="3"/>
    <x v="1"/>
    <x v="1"/>
    <n v="570900"/>
    <n v="177433"/>
    <n v="57091774"/>
    <n v="570177"/>
    <n v="570175"/>
    <n v="572500"/>
    <n v="177500"/>
    <n v="342"/>
    <x v="0"/>
    <n v="0"/>
    <n v="0"/>
    <n v="0"/>
    <n v="-49.398028799999999"/>
    <n v="-49.398028799999999"/>
    <s v="NA"/>
    <s v="NA"/>
    <m/>
    <x v="7"/>
    <s v="Ouest de la France, Espagne ou Italie"/>
    <n v="5"/>
    <s v="SAVARBR-2"/>
    <s v="Abschuss"/>
  </r>
  <r>
    <x v="936"/>
    <s v="ScoRus"/>
    <n v="0"/>
    <x v="1"/>
    <x v="1"/>
    <x v="0"/>
    <x v="0"/>
    <x v="912"/>
    <n v="-23.954799999999999"/>
    <x v="894"/>
    <x v="12"/>
    <m/>
    <x v="0"/>
    <x v="3"/>
    <s v="Baulmes"/>
    <s v="Fond du pâturage de la Limasse"/>
    <n v="46.79997942"/>
    <n v="6.4391385400000001"/>
    <n v="6"/>
    <n v="25"/>
    <x v="1"/>
    <n v="2014"/>
    <x v="239"/>
    <x v="106"/>
    <n v="70"/>
    <x v="7"/>
    <x v="3"/>
    <x v="2"/>
    <n v="523700"/>
    <n v="183688"/>
    <n v="52371836"/>
    <n v="523183"/>
    <n v="520180"/>
    <n v="522500"/>
    <n v="182500"/>
    <n v="322"/>
    <x v="0"/>
    <n v="0"/>
    <n v="0"/>
    <n v="0"/>
    <n v="-49.14"/>
    <n v="-49.14"/>
    <n v="-71.3"/>
    <s v="NA"/>
    <m/>
    <x v="7"/>
    <s v="Ouest de la France, Espagne ou Italie"/>
    <n v="5"/>
    <s v="JOSEDA-1"/>
    <s v="Abschuss"/>
  </r>
  <r>
    <x v="937"/>
    <s v="ScoRus"/>
    <n v="0"/>
    <x v="1"/>
    <x v="1"/>
    <x v="0"/>
    <x v="0"/>
    <x v="913"/>
    <n v="-23.32"/>
    <x v="895"/>
    <x v="12"/>
    <m/>
    <x v="1"/>
    <x v="1"/>
    <s v="Alto Malcantone"/>
    <s v="NA"/>
    <n v="46.02610069"/>
    <n v="8.8758262079999994"/>
    <n v="5"/>
    <n v="19"/>
    <x v="1"/>
    <n v="2016"/>
    <x v="53"/>
    <x v="37"/>
    <n v="64"/>
    <x v="5"/>
    <x v="3"/>
    <x v="2"/>
    <n v="711285"/>
    <n v="98192"/>
    <n v="71120981"/>
    <n v="711098"/>
    <n v="710095"/>
    <n v="712500"/>
    <n v="97500"/>
    <s v="??"/>
    <x v="0"/>
    <n v="0"/>
    <n v="0"/>
    <n v="0"/>
    <n v="-49.061059"/>
    <n v="-49.061059"/>
    <s v="NA"/>
    <s v="NA"/>
    <m/>
    <x v="7"/>
    <s v="Ouest de la France, Espagne ou Italie"/>
    <n v="5"/>
    <s v="GIAMGI-19"/>
    <s v="Abschuss"/>
  </r>
  <r>
    <x v="938"/>
    <s v="ScoRus"/>
    <n v="0"/>
    <x v="1"/>
    <x v="1"/>
    <x v="0"/>
    <x v="0"/>
    <x v="914"/>
    <n v="-22.678599999999999"/>
    <x v="896"/>
    <x v="12"/>
    <m/>
    <x v="1"/>
    <x v="1"/>
    <s v="Centovalli"/>
    <s v="Costa"/>
    <n v="46.164360070000001"/>
    <n v="8.6003196269999993"/>
    <n v="6"/>
    <n v="16"/>
    <x v="0"/>
    <n v="2015"/>
    <x v="181"/>
    <x v="33"/>
    <n v="31"/>
    <x v="8"/>
    <x v="4"/>
    <x v="0"/>
    <n v="689726"/>
    <n v="113207"/>
    <n v="68971132"/>
    <n v="689113"/>
    <n v="685110"/>
    <n v="687500"/>
    <n v="112500"/>
    <n v="320"/>
    <x v="0"/>
    <n v="0"/>
    <n v="0"/>
    <n v="0"/>
    <n v="-48.95"/>
    <n v="-48.95"/>
    <n v="-71.099999999999994"/>
    <s v="NA"/>
    <m/>
    <x v="7"/>
    <s v="Ouest de la France, Espagne ou Italie"/>
    <n v="5"/>
    <s v="FISCIV-2"/>
    <s v="Abschuss"/>
  </r>
  <r>
    <x v="939"/>
    <s v="ScoRus"/>
    <n v="0"/>
    <x v="1"/>
    <x v="1"/>
    <x v="0"/>
    <x v="0"/>
    <x v="915"/>
    <n v="-23.40728571"/>
    <x v="897"/>
    <x v="12"/>
    <m/>
    <x v="0"/>
    <x v="0"/>
    <s v="Cernier"/>
    <s v="Combe d Amin"/>
    <n v="47.080945829999997"/>
    <n v="6.8954972510000001"/>
    <n v="6"/>
    <n v="23"/>
    <x v="0"/>
    <n v="2014"/>
    <x v="237"/>
    <x v="44"/>
    <n v="38"/>
    <x v="0"/>
    <x v="0"/>
    <x v="0"/>
    <n v="558753"/>
    <n v="214580"/>
    <n v="55872145"/>
    <n v="558214"/>
    <n v="555210"/>
    <n v="557500"/>
    <n v="212500"/>
    <n v="260"/>
    <x v="0"/>
    <n v="0"/>
    <n v="0"/>
    <n v="0"/>
    <n v="-48.88"/>
    <n v="-48.88"/>
    <n v="-71.099999999999994"/>
    <s v="NA"/>
    <m/>
    <x v="7"/>
    <s v="Ouest de la France, Espagne ou Italie"/>
    <n v="5"/>
    <s v="PFISEP-3"/>
    <s v="Abschuss"/>
  </r>
  <r>
    <x v="940"/>
    <s v="ScoRus"/>
    <n v="0"/>
    <x v="1"/>
    <x v="1"/>
    <x v="0"/>
    <x v="0"/>
    <x v="916"/>
    <n v="-2.4190676080000002"/>
    <x v="898"/>
    <x v="12"/>
    <m/>
    <x v="0"/>
    <x v="0"/>
    <s v="Les Ponts-de-Martel"/>
    <s v="Coeudres"/>
    <n v="46.990201499999998"/>
    <n v="6.6840135289999996"/>
    <n v="5"/>
    <n v="8"/>
    <x v="1"/>
    <n v="2013"/>
    <x v="265"/>
    <x v="2"/>
    <n v="53"/>
    <x v="2"/>
    <x v="2"/>
    <x v="1"/>
    <n v="542596"/>
    <n v="204625"/>
    <n v="54252046"/>
    <n v="542204"/>
    <n v="540200"/>
    <n v="542500"/>
    <n v="202500"/>
    <n v="300"/>
    <x v="0"/>
    <n v="0"/>
    <n v="0"/>
    <n v="0"/>
    <n v="-46.86"/>
    <n v="-46.86"/>
    <n v="-69"/>
    <s v="NA"/>
    <m/>
    <x v="7"/>
    <s v="Ouest de la France, Espagne ou Italie"/>
    <n v="5"/>
    <s v="ANKEFR-3"/>
    <s v="Abschuss"/>
  </r>
  <r>
    <x v="941"/>
    <s v="ScoRus"/>
    <n v="0"/>
    <x v="1"/>
    <x v="1"/>
    <x v="0"/>
    <x v="0"/>
    <x v="917"/>
    <n v="-23.17"/>
    <x v="899"/>
    <x v="12"/>
    <m/>
    <x v="2"/>
    <x v="2"/>
    <s v="Gibloux"/>
    <s v="NA"/>
    <n v="46.749948670000002"/>
    <n v="7.057709987"/>
    <n v="5"/>
    <n v="9"/>
    <x v="1"/>
    <n v="2016"/>
    <x v="185"/>
    <x v="5"/>
    <n v="54"/>
    <x v="2"/>
    <x v="2"/>
    <x v="1"/>
    <n v="570893"/>
    <n v="177711"/>
    <n v="57081777"/>
    <n v="570177"/>
    <n v="570175"/>
    <n v="572500"/>
    <n v="177500"/>
    <n v="304"/>
    <x v="0"/>
    <n v="0"/>
    <n v="0"/>
    <n v="0"/>
    <n v="-45.635537599999999"/>
    <n v="-45.635537599999999"/>
    <s v="NA"/>
    <s v="NA"/>
    <m/>
    <x v="7"/>
    <s v="Ouest de la France, Espagne ou Italie"/>
    <n v="5"/>
    <s v="SAVARBR-5"/>
    <s v="Abschuss"/>
  </r>
  <r>
    <x v="942"/>
    <s v="ScoRus"/>
    <n v="0"/>
    <x v="1"/>
    <x v="1"/>
    <x v="0"/>
    <x v="0"/>
    <x v="918"/>
    <s v="NA"/>
    <x v="900"/>
    <x v="12"/>
    <m/>
    <x v="1"/>
    <x v="1"/>
    <s v="Origlio/Taverne"/>
    <s v="Sanzeno/Bangale"/>
    <n v="46.064208839999999"/>
    <n v="8.9463003249999993"/>
    <n v="6"/>
    <n v="25"/>
    <x v="1"/>
    <n v="2017"/>
    <x v="266"/>
    <x v="106"/>
    <n v="70"/>
    <x v="7"/>
    <x v="3"/>
    <x v="2"/>
    <n v="716660"/>
    <n v="102530"/>
    <n v="71661025"/>
    <n v="716102"/>
    <n v="715100"/>
    <n v="717500"/>
    <n v="102500"/>
    <n v="270"/>
    <x v="0"/>
    <n v="0"/>
    <n v="0"/>
    <n v="0"/>
    <n v="-16.123728"/>
    <n v="-16.123728"/>
    <s v="NA"/>
    <s v="NA"/>
    <m/>
    <x v="10"/>
    <s v="Ouest de la France, Espagne ou Italie"/>
    <n v="2"/>
    <s v="PEDRAN-8"/>
    <s v="Abschuss"/>
  </r>
  <r>
    <x v="943"/>
    <s v="ScoRus"/>
    <n v="0"/>
    <x v="1"/>
    <x v="1"/>
    <x v="0"/>
    <x v="0"/>
    <x v="919"/>
    <n v="-24.001000000000001"/>
    <x v="901"/>
    <x v="12"/>
    <m/>
    <x v="0"/>
    <x v="0"/>
    <s v="Buttes"/>
    <s v="Chez le Gras"/>
    <n v="46.901632169999999"/>
    <n v="6.5260661280000001"/>
    <n v="5"/>
    <n v="2"/>
    <x v="1"/>
    <n v="2015"/>
    <x v="163"/>
    <x v="4"/>
    <n v="47"/>
    <x v="3"/>
    <x v="1"/>
    <x v="1"/>
    <n v="530467"/>
    <n v="194907"/>
    <n v="53041949"/>
    <n v="530194"/>
    <n v="530190"/>
    <n v="532500"/>
    <n v="192500"/>
    <n v="280"/>
    <x v="0"/>
    <n v="0"/>
    <n v="0"/>
    <n v="0"/>
    <n v="-44.39"/>
    <n v="-44.39"/>
    <n v="-66.5"/>
    <s v="NA"/>
    <m/>
    <x v="8"/>
    <s v="Ouest de la France, Espagne ou Italie"/>
    <n v="4"/>
    <s v="ANKEFR-1"/>
    <s v="Abschuss"/>
  </r>
  <r>
    <x v="944"/>
    <s v="ScoRus"/>
    <n v="0"/>
    <x v="1"/>
    <x v="1"/>
    <x v="0"/>
    <x v="0"/>
    <x v="920"/>
    <n v="-22.922799009999999"/>
    <x v="902"/>
    <x v="13"/>
    <m/>
    <x v="0"/>
    <x v="3"/>
    <s v="Le Lieu"/>
    <s v="NA"/>
    <n v="46.643468390000002"/>
    <n v="6.2434823130000003"/>
    <n v="4"/>
    <n v="8"/>
    <x v="1"/>
    <n v="2015"/>
    <x v="192"/>
    <x v="2"/>
    <n v="53"/>
    <x v="2"/>
    <x v="2"/>
    <x v="1"/>
    <n v="508500"/>
    <n v="166500"/>
    <n v="50851665"/>
    <n v="508166"/>
    <n v="505165"/>
    <n v="507500"/>
    <n v="167500"/>
    <n v="322"/>
    <x v="0"/>
    <n v="0"/>
    <n v="0"/>
    <n v="0"/>
    <n v="-43.86"/>
    <n v="-43.86"/>
    <n v="-65.900000000000006"/>
    <s v="NA"/>
    <m/>
    <x v="8"/>
    <s v="Ouest de la France, Espagne ou Italie"/>
    <n v="4"/>
    <s v="Roch-3"/>
    <s v="Abschuss"/>
  </r>
  <r>
    <x v="945"/>
    <s v="ScoRus"/>
    <n v="0"/>
    <x v="1"/>
    <x v="1"/>
    <x v="0"/>
    <x v="0"/>
    <x v="921"/>
    <n v="-24.530999999999999"/>
    <x v="903"/>
    <x v="13"/>
    <m/>
    <x v="0"/>
    <x v="0"/>
    <s v="Val-de-Ruz"/>
    <s v="Grande Racine"/>
    <n v="47.064600179999999"/>
    <n v="6.8655957330000001"/>
    <n v="5"/>
    <n v="14"/>
    <x v="1"/>
    <n v="2015"/>
    <x v="174"/>
    <x v="18"/>
    <n v="59"/>
    <x v="6"/>
    <x v="2"/>
    <x v="2"/>
    <n v="556469"/>
    <n v="212779"/>
    <n v="55642127"/>
    <n v="556212"/>
    <n v="555210"/>
    <n v="557500"/>
    <n v="212500"/>
    <n v="298"/>
    <x v="0"/>
    <n v="0"/>
    <n v="0"/>
    <n v="0"/>
    <n v="-42.9"/>
    <n v="-42.9"/>
    <n v="-65"/>
    <s v="NA"/>
    <m/>
    <x v="8"/>
    <s v="Ouest de la France, Espagne ou Italie"/>
    <n v="4"/>
    <s v="BarbTh-4"/>
    <s v="Abschuss"/>
  </r>
  <r>
    <x v="946"/>
    <s v="ScoRus"/>
    <n v="0"/>
    <x v="1"/>
    <x v="1"/>
    <x v="0"/>
    <x v="0"/>
    <x v="922"/>
    <n v="-23.54"/>
    <x v="904"/>
    <x v="13"/>
    <m/>
    <x v="1"/>
    <x v="1"/>
    <s v="Airolo"/>
    <s v="NA"/>
    <n v="46.539085540000002"/>
    <n v="8.5923751530000008"/>
    <n v="2"/>
    <n v="27"/>
    <x v="0"/>
    <n v="2016"/>
    <x v="149"/>
    <x v="6"/>
    <n v="42"/>
    <x v="0"/>
    <x v="0"/>
    <x v="0"/>
    <n v="688500"/>
    <n v="154850"/>
    <n v="68851548"/>
    <n v="688154"/>
    <n v="685150"/>
    <n v="687500"/>
    <n v="152500"/>
    <n v="300"/>
    <x v="0"/>
    <n v="0"/>
    <n v="0"/>
    <n v="0"/>
    <n v="-39.377670999999999"/>
    <n v="-39.377670999999999"/>
    <s v="NA"/>
    <s v="NA"/>
    <m/>
    <x v="8"/>
    <s v="Ouest de la France, Espagne ou Italie"/>
    <n v="4"/>
    <s v="GIAMGI-6"/>
    <s v="Abschuss"/>
  </r>
  <r>
    <x v="947"/>
    <s v="ScoRus"/>
    <n v="0"/>
    <x v="1"/>
    <x v="1"/>
    <x v="0"/>
    <x v="0"/>
    <x v="923"/>
    <n v="-23.672999999999998"/>
    <x v="905"/>
    <x v="13"/>
    <m/>
    <x v="0"/>
    <x v="0"/>
    <s v="Buttes"/>
    <s v="Chez Antoine"/>
    <n v="46.880820489999998"/>
    <n v="6.4955874800000002"/>
    <n v="6"/>
    <n v="12"/>
    <x v="1"/>
    <n v="2015"/>
    <x v="195"/>
    <x v="26"/>
    <n v="57"/>
    <x v="6"/>
    <x v="2"/>
    <x v="2"/>
    <n v="528117"/>
    <n v="192621"/>
    <n v="52811926"/>
    <n v="528192"/>
    <n v="525190"/>
    <n v="527500"/>
    <n v="192500"/>
    <n v="300"/>
    <x v="0"/>
    <n v="0"/>
    <n v="0"/>
    <n v="0"/>
    <n v="-37.869999999999997"/>
    <n v="-37.869999999999997"/>
    <n v="-59.8"/>
    <s v="NA"/>
    <m/>
    <x v="8"/>
    <s v="Ouest de la France, Espagne ou Italie"/>
    <n v="4"/>
    <s v="ANKEFR-3"/>
    <s v="Abschuss"/>
  </r>
  <r>
    <x v="948"/>
    <s v="ScoRus"/>
    <n v="0"/>
    <x v="1"/>
    <x v="1"/>
    <x v="0"/>
    <x v="0"/>
    <x v="924"/>
    <n v="-22.514399999999998"/>
    <x v="906"/>
    <x v="13"/>
    <m/>
    <x v="1"/>
    <x v="1"/>
    <s v="Onsernone"/>
    <s v="Monte Buritt"/>
    <n v="46.197171859999997"/>
    <n v="8.6080281070000009"/>
    <n v="6"/>
    <n v="10"/>
    <x v="1"/>
    <n v="2015"/>
    <x v="200"/>
    <x v="19"/>
    <n v="55"/>
    <x v="2"/>
    <x v="2"/>
    <x v="1"/>
    <n v="690267"/>
    <n v="116863"/>
    <n v="69021168"/>
    <n v="690116"/>
    <n v="690115"/>
    <n v="692500"/>
    <n v="117500"/>
    <n v="335"/>
    <x v="0"/>
    <n v="0"/>
    <n v="0"/>
    <n v="0"/>
    <n v="-37.659999999999997"/>
    <n v="-37.659999999999997"/>
    <n v="-59.6"/>
    <s v="NA"/>
    <m/>
    <x v="8"/>
    <s v="Ouest de la France, Espagne ou Italie"/>
    <n v="4"/>
    <s v="ROSS-GI-10"/>
    <s v="Abschuss"/>
  </r>
  <r>
    <x v="949"/>
    <s v="ScoRus"/>
    <n v="0"/>
    <x v="1"/>
    <x v="1"/>
    <x v="0"/>
    <x v="0"/>
    <x v="925"/>
    <n v="-23.899249999999999"/>
    <x v="907"/>
    <x v="13"/>
    <m/>
    <x v="1"/>
    <x v="1"/>
    <s v="Centovalli"/>
    <s v="NA"/>
    <n v="46.177372349999999"/>
    <n v="8.6429597149999999"/>
    <n v="3"/>
    <n v="4"/>
    <x v="1"/>
    <n v="2015"/>
    <x v="3"/>
    <x v="3"/>
    <n v="49"/>
    <x v="3"/>
    <x v="1"/>
    <x v="1"/>
    <n v="692997"/>
    <n v="114703"/>
    <n v="69291147"/>
    <n v="692114"/>
    <n v="690110"/>
    <n v="692500"/>
    <n v="112500"/>
    <n v="268"/>
    <x v="0"/>
    <n v="0"/>
    <n v="0"/>
    <n v="0"/>
    <n v="-37.159999999999997"/>
    <n v="-37.159999999999997"/>
    <n v="-59.1"/>
    <s v="NA"/>
    <m/>
    <x v="8"/>
    <s v="Ouest de la France, Espagne ou Italie"/>
    <n v="4"/>
    <s v="FISCIV10"/>
    <s v="Abschuss"/>
  </r>
  <r>
    <x v="950"/>
    <s v="ScoRus"/>
    <n v="0"/>
    <x v="1"/>
    <x v="1"/>
    <x v="0"/>
    <x v="0"/>
    <x v="926"/>
    <n v="-23.314399999999999"/>
    <x v="908"/>
    <x v="13"/>
    <m/>
    <x v="1"/>
    <x v="1"/>
    <s v="Airolo"/>
    <s v="Tamblina"/>
    <n v="46.522638579999999"/>
    <n v="8.5907214239999998"/>
    <n v="6"/>
    <n v="27"/>
    <x v="0"/>
    <n v="2015"/>
    <x v="6"/>
    <x v="6"/>
    <n v="42"/>
    <x v="0"/>
    <x v="0"/>
    <x v="0"/>
    <n v="688400"/>
    <n v="153020"/>
    <n v="68841530"/>
    <n v="688153"/>
    <n v="685150"/>
    <n v="687500"/>
    <n v="152500"/>
    <n v="340"/>
    <x v="0"/>
    <n v="0"/>
    <n v="0"/>
    <n v="0"/>
    <n v="-36.71"/>
    <n v="-36.71"/>
    <n v="-58.6"/>
    <s v="NA"/>
    <m/>
    <x v="8"/>
    <s v="Ouest de la France, Espagne ou Italie"/>
    <n v="4"/>
    <s v="MARCRE-1"/>
    <s v="Abschuss"/>
  </r>
  <r>
    <x v="951"/>
    <s v="ScoRus"/>
    <n v="0"/>
    <x v="1"/>
    <x v="1"/>
    <x v="0"/>
    <x v="0"/>
    <x v="927"/>
    <n v="-25.308199999999999"/>
    <x v="909"/>
    <x v="14"/>
    <m/>
    <x v="1"/>
    <x v="1"/>
    <s v="Alto Malcantone"/>
    <s v="Vezio-Cassinello"/>
    <n v="46.049987739999999"/>
    <n v="8.8772168439999994"/>
    <n v="5"/>
    <n v="1"/>
    <x v="1"/>
    <n v="2015"/>
    <x v="167"/>
    <x v="17"/>
    <n v="46"/>
    <x v="1"/>
    <x v="1"/>
    <x v="1"/>
    <n v="711344"/>
    <n v="100849"/>
    <n v="71131008"/>
    <n v="711100"/>
    <n v="710100"/>
    <n v="712500"/>
    <n v="102500"/>
    <n v="310"/>
    <x v="0"/>
    <n v="0"/>
    <n v="0"/>
    <n v="0"/>
    <n v="-34.21"/>
    <n v="-34.21"/>
    <n v="-56.1"/>
    <s v="NA"/>
    <m/>
    <x v="9"/>
    <s v="Ouest de la France, Espagne ou Italie"/>
    <n v="3"/>
    <s v="GIAMGI-5"/>
    <s v="Abschuss"/>
  </r>
  <r>
    <x v="952"/>
    <s v="ScoRus"/>
    <n v="0"/>
    <x v="1"/>
    <x v="1"/>
    <x v="0"/>
    <x v="0"/>
    <x v="928"/>
    <n v="-24.782800000000002"/>
    <x v="910"/>
    <x v="15"/>
    <m/>
    <x v="0"/>
    <x v="3"/>
    <s v="St-Cergues"/>
    <s v="La Givrine"/>
    <n v="46.459439230000001"/>
    <n v="6.1173527969999997"/>
    <n v="4"/>
    <n v="18"/>
    <x v="1"/>
    <n v="2014"/>
    <x v="54"/>
    <x v="24"/>
    <n v="63"/>
    <x v="5"/>
    <x v="3"/>
    <x v="2"/>
    <n v="498500"/>
    <n v="146200"/>
    <n v="49851462"/>
    <n v="498146"/>
    <n v="495145"/>
    <n v="497500"/>
    <n v="147500"/>
    <n v="334"/>
    <x v="0"/>
    <n v="0"/>
    <n v="0"/>
    <n v="0"/>
    <n v="-26.29"/>
    <n v="-26.29"/>
    <n v="-48"/>
    <s v="NA"/>
    <m/>
    <x v="9"/>
    <s v="Ouest de la France, Espagne ou Italie"/>
    <n v="3"/>
    <s v="No6ROSSAL"/>
    <s v="Abschuss"/>
  </r>
  <r>
    <x v="953"/>
    <s v="ScoRus"/>
    <n v="0"/>
    <x v="1"/>
    <x v="1"/>
    <x v="0"/>
    <x v="0"/>
    <x v="928"/>
    <s v="NA"/>
    <x v="911"/>
    <x v="15"/>
    <m/>
    <x v="0"/>
    <x v="0"/>
    <s v="Val de Travers"/>
    <s v="Place Jeanin"/>
    <n v="46.94029905"/>
    <n v="6.548131948"/>
    <n v="6"/>
    <n v="10"/>
    <x v="1"/>
    <n v="2017"/>
    <x v="145"/>
    <x v="19"/>
    <n v="55"/>
    <x v="2"/>
    <x v="2"/>
    <x v="1"/>
    <n v="532197"/>
    <n v="199186"/>
    <n v="53211991"/>
    <n v="532199"/>
    <n v="530195"/>
    <n v="532500"/>
    <n v="197500"/>
    <n v="336"/>
    <x v="0"/>
    <n v="0"/>
    <n v="0"/>
    <n v="0"/>
    <n v="-29.754914599999999"/>
    <n v="-29.754914599999999"/>
    <s v="NA"/>
    <s v="NA"/>
    <m/>
    <x v="9"/>
    <s v="Ouest de la France, Espagne ou Italie"/>
    <n v="3"/>
    <s v="MEISHE-13"/>
    <s v="Abschuss"/>
  </r>
  <r>
    <x v="954"/>
    <s v="ScoRus"/>
    <n v="0"/>
    <x v="1"/>
    <x v="1"/>
    <x v="0"/>
    <x v="0"/>
    <x v="928"/>
    <n v="-37.013562630000003"/>
    <x v="912"/>
    <x v="15"/>
    <m/>
    <x v="0"/>
    <x v="0"/>
    <s v="Les Ponts-de-Martel"/>
    <s v="Somartel"/>
    <n v="47.024089529999998"/>
    <n v="6.7531374890000002"/>
    <n v="5"/>
    <n v="24"/>
    <x v="0"/>
    <n v="2013"/>
    <x v="55"/>
    <x v="14"/>
    <n v="39"/>
    <x v="0"/>
    <x v="0"/>
    <x v="0"/>
    <n v="547887"/>
    <n v="208344"/>
    <n v="54782083"/>
    <n v="547208"/>
    <n v="545205"/>
    <n v="547500"/>
    <n v="207500"/>
    <n v="335"/>
    <x v="0"/>
    <n v="0"/>
    <n v="0"/>
    <n v="0"/>
    <n v="-22.13"/>
    <n v="-22.13"/>
    <n v="-43.7"/>
    <s v="NA"/>
    <m/>
    <x v="10"/>
    <s v="Ouest de la France, Espagne ou Italie"/>
    <n v="2"/>
    <s v="ULRIVI-1"/>
    <s v="Abschuss"/>
  </r>
  <r>
    <x v="955"/>
    <s v="ScoRus"/>
    <n v="0"/>
    <x v="1"/>
    <x v="1"/>
    <x v="0"/>
    <x v="0"/>
    <x v="928"/>
    <n v="-22.53"/>
    <x v="913"/>
    <x v="15"/>
    <m/>
    <x v="1"/>
    <x v="1"/>
    <s v="Curio"/>
    <s v="NA"/>
    <n v="46.002282049999998"/>
    <n v="8.8633874949999996"/>
    <n v="2"/>
    <n v="26"/>
    <x v="1"/>
    <n v="2016"/>
    <x v="213"/>
    <x v="31"/>
    <n v="71"/>
    <x v="7"/>
    <x v="3"/>
    <x v="2"/>
    <n v="710370"/>
    <n v="95527"/>
    <n v="71030955"/>
    <n v="710095"/>
    <n v="710095"/>
    <n v="712500"/>
    <n v="97500"/>
    <s v="??"/>
    <x v="0"/>
    <n v="0"/>
    <n v="0"/>
    <n v="0"/>
    <n v="-26.438172999999999"/>
    <n v="-26.438172999999999"/>
    <s v="NA"/>
    <s v="NA"/>
    <m/>
    <x v="9"/>
    <s v="Ouest de la France, Espagne ou Italie"/>
    <n v="3"/>
    <s v="GIAMGI-20"/>
    <s v="Abschuss"/>
  </r>
  <r>
    <x v="956"/>
    <s v="ScoRus"/>
    <n v="0"/>
    <x v="1"/>
    <x v="1"/>
    <x v="0"/>
    <x v="0"/>
    <x v="928"/>
    <n v="-23.35"/>
    <x v="914"/>
    <x v="15"/>
    <m/>
    <x v="1"/>
    <x v="1"/>
    <s v="Alto Malcantone"/>
    <s v="NA"/>
    <n v="46.057766989999998"/>
    <n v="8.8711021859999999"/>
    <n v="5"/>
    <n v="29"/>
    <x v="0"/>
    <n v="2016"/>
    <x v="180"/>
    <x v="1"/>
    <n v="44"/>
    <x v="1"/>
    <x v="1"/>
    <x v="1"/>
    <n v="710855"/>
    <n v="101705"/>
    <n v="71081017"/>
    <n v="710101"/>
    <n v="710100"/>
    <n v="712500"/>
    <n v="102500"/>
    <n v="330"/>
    <x v="0"/>
    <n v="0"/>
    <n v="0"/>
    <n v="0"/>
    <n v="-29.3431894"/>
    <n v="-29.3431894"/>
    <s v="NA"/>
    <s v="NA"/>
    <m/>
    <x v="9"/>
    <s v="Ouest de la France, Espagne ou Italie"/>
    <n v="3"/>
    <s v="GIAMGI-9"/>
    <s v="Abschuss"/>
  </r>
  <r>
    <x v="957"/>
    <s v="ScoRus"/>
    <n v="0"/>
    <x v="1"/>
    <x v="1"/>
    <x v="1"/>
    <x v="1"/>
    <x v="929"/>
    <n v="-22.34277419"/>
    <x v="915"/>
    <x v="8"/>
    <m/>
    <x v="0"/>
    <x v="0"/>
    <s v="Gorgier"/>
    <s v="Le Croza"/>
    <n v="46.939315999999998"/>
    <n v="6.7455800000000004"/>
    <n v="6"/>
    <n v="20"/>
    <x v="5"/>
    <n v="2015"/>
    <x v="267"/>
    <x v="85"/>
    <s v=""/>
    <x v="22"/>
    <x v="15"/>
    <x v="8"/>
    <n v="547435"/>
    <n v="198796"/>
    <n v="54741987"/>
    <n v="547198"/>
    <n v="545195"/>
    <n v="547500"/>
    <n v="197500"/>
    <n v="120"/>
    <x v="1"/>
    <n v="0"/>
    <n v="1"/>
    <n v="0"/>
    <n v="-75.09"/>
    <n v="-83.511899999999997"/>
    <n v="-97.8"/>
    <s v="NA"/>
    <n v="-83.511899999999997"/>
    <x v="4"/>
    <s v="Suisse"/>
    <n v="8"/>
    <s v="K112955"/>
    <s v="Fang, Küken"/>
  </r>
  <r>
    <x v="958"/>
    <s v="ScoRus"/>
    <n v="0"/>
    <x v="1"/>
    <x v="1"/>
    <x v="1"/>
    <x v="1"/>
    <x v="930"/>
    <n v="-22.324580650000001"/>
    <x v="916"/>
    <x v="9"/>
    <m/>
    <x v="0"/>
    <x v="0"/>
    <s v="Gorgier"/>
    <s v="Le Croza"/>
    <n v="46.939315999999998"/>
    <n v="6.7455800000000004"/>
    <n v="6"/>
    <n v="20"/>
    <x v="5"/>
    <n v="2015"/>
    <x v="267"/>
    <x v="85"/>
    <s v=""/>
    <x v="22"/>
    <x v="15"/>
    <x v="8"/>
    <n v="547435"/>
    <n v="198796"/>
    <n v="54741987"/>
    <n v="547198"/>
    <n v="545195"/>
    <n v="547500"/>
    <n v="197500"/>
    <n v="122"/>
    <x v="1"/>
    <n v="0"/>
    <n v="1"/>
    <n v="0"/>
    <n v="-71.150000000000006"/>
    <n v="-79.926500000000004"/>
    <n v="-93.8"/>
    <s v="NA"/>
    <n v="-79.926500000000004"/>
    <x v="4"/>
    <s v="Suisse"/>
    <n v="7"/>
    <s v="K112957"/>
    <s v="Fang, Küken"/>
  </r>
  <r>
    <x v="959"/>
    <s v="ScoRus"/>
    <n v="0"/>
    <x v="1"/>
    <x v="1"/>
    <x v="1"/>
    <x v="1"/>
    <x v="931"/>
    <n v="-22.199451610000001"/>
    <x v="917"/>
    <x v="9"/>
    <m/>
    <x v="0"/>
    <x v="0"/>
    <s v="Gorgier"/>
    <s v="Le Croza"/>
    <n v="46.939315999999998"/>
    <n v="6.7455800000000004"/>
    <n v="6"/>
    <n v="19"/>
    <x v="5"/>
    <n v="2015"/>
    <x v="115"/>
    <x v="67"/>
    <s v=""/>
    <x v="15"/>
    <x v="11"/>
    <x v="8"/>
    <n v="547231"/>
    <n v="198925"/>
    <n v="54721989"/>
    <n v="547198"/>
    <n v="545195"/>
    <n v="547500"/>
    <n v="197500"/>
    <n v="255"/>
    <x v="1"/>
    <n v="0"/>
    <n v="1"/>
    <n v="0"/>
    <n v="-66.099999999999994"/>
    <n v="-75.330999999999989"/>
    <n v="-88.7"/>
    <s v="NA"/>
    <n v="-75.330999999999989"/>
    <x v="4"/>
    <s v="Suisse"/>
    <n v="7"/>
    <s v="K112953"/>
    <s v="Fang"/>
  </r>
  <r>
    <x v="960"/>
    <s v="ScoRus"/>
    <n v="0"/>
    <x v="1"/>
    <x v="1"/>
    <x v="1"/>
    <x v="1"/>
    <x v="932"/>
    <n v="-23.20719355"/>
    <x v="918"/>
    <x v="9"/>
    <m/>
    <x v="0"/>
    <x v="0"/>
    <s v="Gorgier"/>
    <s v="Le Croza"/>
    <n v="46.939315999999998"/>
    <n v="6.7455800000000004"/>
    <n v="6"/>
    <n v="27"/>
    <x v="5"/>
    <n v="2015"/>
    <x v="268"/>
    <x v="111"/>
    <s v=""/>
    <x v="24"/>
    <x v="15"/>
    <x v="8"/>
    <n v="547231"/>
    <n v="198925"/>
    <n v="54721989"/>
    <n v="547198"/>
    <n v="545195"/>
    <n v="547500"/>
    <n v="197500"/>
    <n v="277"/>
    <x v="1"/>
    <n v="0"/>
    <n v="1"/>
    <n v="0"/>
    <n v="-64.44"/>
    <n v="-73.820400000000006"/>
    <n v="-87"/>
    <s v="NA"/>
    <n v="-73.820400000000006"/>
    <x v="5"/>
    <s v="Suisse"/>
    <n v="6"/>
    <s v="K112961"/>
    <s v="Fang"/>
  </r>
  <r>
    <x v="961"/>
    <s v="ScoRus"/>
    <n v="0"/>
    <x v="1"/>
    <x v="1"/>
    <x v="1"/>
    <x v="1"/>
    <x v="933"/>
    <n v="-22.852677419999999"/>
    <x v="919"/>
    <x v="9"/>
    <m/>
    <x v="0"/>
    <x v="0"/>
    <s v="Gorgier"/>
    <s v="Le Croza"/>
    <n v="46.939315999999998"/>
    <n v="6.7455800000000004"/>
    <n v="6"/>
    <n v="20"/>
    <x v="5"/>
    <n v="2015"/>
    <x v="267"/>
    <x v="85"/>
    <s v=""/>
    <x v="22"/>
    <x v="15"/>
    <x v="8"/>
    <n v="547435"/>
    <n v="198796"/>
    <n v="54741987"/>
    <n v="547198"/>
    <n v="545195"/>
    <n v="547500"/>
    <n v="197500"/>
    <n v="127"/>
    <x v="1"/>
    <n v="0"/>
    <n v="1"/>
    <n v="0"/>
    <n v="-63.77"/>
    <n v="-73.210700000000003"/>
    <n v="-86.3"/>
    <s v="NA"/>
    <n v="-73.210700000000003"/>
    <x v="5"/>
    <s v="Suisse"/>
    <n v="6"/>
    <s v="K112956"/>
    <s v="Fang, Küken"/>
  </r>
  <r>
    <x v="962"/>
    <s v="ScoRus"/>
    <n v="0"/>
    <x v="1"/>
    <x v="1"/>
    <x v="1"/>
    <x v="1"/>
    <x v="934"/>
    <n v="-22.229354839999999"/>
    <x v="920"/>
    <x v="10"/>
    <m/>
    <x v="0"/>
    <x v="0"/>
    <s v="Gorgier"/>
    <s v="Le Croza"/>
    <n v="46.939315999999998"/>
    <n v="6.7455800000000004"/>
    <n v="6"/>
    <n v="20"/>
    <x v="5"/>
    <n v="2015"/>
    <x v="267"/>
    <x v="85"/>
    <s v=""/>
    <x v="22"/>
    <x v="15"/>
    <x v="8"/>
    <n v="547435"/>
    <n v="198796"/>
    <n v="54741987"/>
    <n v="547198"/>
    <n v="545195"/>
    <n v="547500"/>
    <n v="197500"/>
    <n v="140"/>
    <x v="1"/>
    <n v="0"/>
    <n v="1"/>
    <n v="0"/>
    <n v="-58.78"/>
    <n v="-68.669800000000009"/>
    <n v="-81.2"/>
    <s v="NA"/>
    <n v="-68.669800000000009"/>
    <x v="5"/>
    <s v="Suisse"/>
    <n v="6"/>
    <s v="K112954"/>
    <s v="Fang, Küken"/>
  </r>
  <r>
    <x v="963"/>
    <s v="ScoRus"/>
    <n v="0"/>
    <x v="1"/>
    <x v="1"/>
    <x v="1"/>
    <x v="1"/>
    <x v="935"/>
    <n v="-22.799428571428574"/>
    <x v="921"/>
    <x v="10"/>
    <m/>
    <x v="0"/>
    <x v="0"/>
    <s v="La Chaux-du-Milieu"/>
    <s v="Plans Dernier"/>
    <n v="46.989126734801346"/>
    <n v="6.6765617046630359"/>
    <n v="6"/>
    <n v="7"/>
    <x v="7"/>
    <n v="2018"/>
    <x v="269"/>
    <x v="112"/>
    <s v=""/>
    <x v="31"/>
    <x v="18"/>
    <x v="13"/>
    <n v="542028"/>
    <n v="204511"/>
    <n v="54202045"/>
    <n v="542204"/>
    <n v="540200"/>
    <n v="542500"/>
    <n v="202500"/>
    <s v="NA"/>
    <x v="1"/>
    <n v="0"/>
    <n v="1"/>
    <n v="0"/>
    <n v="-56.098674500000001"/>
    <n v="-66.229793795000006"/>
    <s v="NA"/>
    <s v="NA"/>
    <n v="-66.229793795000006"/>
    <x v="6"/>
    <s v="Suisse"/>
    <m/>
    <s v="K122045"/>
    <s v="Fang"/>
  </r>
  <r>
    <x v="964"/>
    <s v="ScoRus"/>
    <n v="0"/>
    <x v="1"/>
    <x v="1"/>
    <x v="1"/>
    <x v="1"/>
    <x v="936"/>
    <n v="-22.181645159999999"/>
    <x v="922"/>
    <x v="10"/>
    <m/>
    <x v="0"/>
    <x v="0"/>
    <s v="Gorgier"/>
    <s v="La Chaille"/>
    <n v="46.935204280000001"/>
    <n v="6.751513095"/>
    <n v="6"/>
    <n v="13"/>
    <x v="5"/>
    <n v="2015"/>
    <x v="270"/>
    <x v="113"/>
    <s v=""/>
    <x v="15"/>
    <x v="11"/>
    <x v="11"/>
    <n v="547677"/>
    <n v="198464"/>
    <n v="54761984"/>
    <n v="547198"/>
    <n v="545195"/>
    <n v="547500"/>
    <n v="197500"/>
    <n v="260"/>
    <x v="1"/>
    <n v="0"/>
    <n v="1"/>
    <n v="0"/>
    <n v="-55.84"/>
    <n v="-65.994400000000013"/>
    <n v="-78.2"/>
    <s v="NA"/>
    <n v="-65.994400000000013"/>
    <x v="5"/>
    <s v="Suisse"/>
    <n v="6"/>
    <s v="K112951"/>
    <s v="Fang"/>
  </r>
  <r>
    <x v="965"/>
    <s v="ScoRus"/>
    <n v="0"/>
    <x v="1"/>
    <x v="1"/>
    <x v="1"/>
    <x v="1"/>
    <x v="937"/>
    <n v="-23.07229032"/>
    <x v="923"/>
    <x v="10"/>
    <m/>
    <x v="0"/>
    <x v="0"/>
    <s v="Gorgier"/>
    <s v="La Chaille"/>
    <n v="46.932186309999999"/>
    <n v="6.7567913199999996"/>
    <n v="6"/>
    <n v="13"/>
    <x v="10"/>
    <n v="2015"/>
    <x v="271"/>
    <x v="114"/>
    <s v=""/>
    <x v="39"/>
    <x v="21"/>
    <x v="16"/>
    <n v="548076"/>
    <n v="198125"/>
    <n v="54801981"/>
    <n v="548198"/>
    <n v="545195"/>
    <n v="547500"/>
    <n v="197500"/>
    <n v="320"/>
    <x v="1"/>
    <n v="0"/>
    <n v="1"/>
    <n v="0"/>
    <n v="-54.71"/>
    <n v="-64.966100000000012"/>
    <n v="-77"/>
    <s v="NA"/>
    <n v="-64.966100000000012"/>
    <x v="6"/>
    <s v="Suisse"/>
    <n v="5"/>
    <s v="K112962"/>
    <s v="Fang"/>
  </r>
  <r>
    <x v="966"/>
    <s v="ScoRus"/>
    <n v="0"/>
    <x v="1"/>
    <x v="1"/>
    <x v="1"/>
    <x v="1"/>
    <x v="938"/>
    <n v="-21.918428571428574"/>
    <x v="924"/>
    <x v="12"/>
    <m/>
    <x v="0"/>
    <x v="0"/>
    <s v="La Chaux-du-Milieu"/>
    <s v="Plans Dernier"/>
    <n v="46.988923520627239"/>
    <n v="6.6757626852027796"/>
    <n v="6"/>
    <n v="6"/>
    <x v="7"/>
    <n v="2018"/>
    <x v="272"/>
    <x v="115"/>
    <s v=""/>
    <x v="31"/>
    <x v="18"/>
    <x v="13"/>
    <n v="541967"/>
    <n v="204489"/>
    <n v="54192044"/>
    <n v="541204"/>
    <n v="540200"/>
    <n v="542500"/>
    <n v="202500"/>
    <s v="NA"/>
    <x v="1"/>
    <n v="0"/>
    <n v="1"/>
    <n v="0"/>
    <n v="-44.204637000000005"/>
    <n v="-55.406219670000006"/>
    <s v="NA"/>
    <s v="NA"/>
    <n v="-55.406219670000006"/>
    <x v="7"/>
    <s v="Suisse"/>
    <m/>
    <s v="K122044"/>
    <s v="Fang"/>
  </r>
  <r>
    <x v="967"/>
    <s v="ScoRus"/>
    <n v="0"/>
    <x v="1"/>
    <x v="1"/>
    <x v="1"/>
    <x v="1"/>
    <x v="928"/>
    <n v="-22.066428571428574"/>
    <x v="925"/>
    <x v="15"/>
    <m/>
    <x v="0"/>
    <x v="0"/>
    <s v="Gorgier"/>
    <s v="Le Cernu"/>
    <n v="46.937716984073262"/>
    <n v="6.7475147141248577"/>
    <n v="6"/>
    <n v="4"/>
    <x v="7"/>
    <n v="2018"/>
    <x v="273"/>
    <x v="116"/>
    <s v=""/>
    <x v="40"/>
    <x v="18"/>
    <x v="13"/>
    <n v="547375"/>
    <n v="198746"/>
    <n v="54731987"/>
    <n v="547198"/>
    <n v="545195"/>
    <n v="547500"/>
    <n v="197500"/>
    <s v="NA"/>
    <x v="1"/>
    <n v="0"/>
    <n v="1"/>
    <n v="0"/>
    <s v="NA"/>
    <s v="NA"/>
    <s v="NA"/>
    <s v="NA"/>
    <s v="NA"/>
    <x v="12"/>
    <s v="Suisse"/>
    <m/>
    <s v="K122043"/>
    <s v="Fang, Küken"/>
  </r>
  <r>
    <x v="968"/>
    <s v="ScoRus"/>
    <n v="0"/>
    <x v="1"/>
    <x v="1"/>
    <x v="0"/>
    <x v="2"/>
    <x v="939"/>
    <n v="-23.18"/>
    <x v="926"/>
    <x v="7"/>
    <m/>
    <x v="0"/>
    <x v="0"/>
    <s v="Val-de-Travers"/>
    <s v="signal des français"/>
    <n v="46.930569390000002"/>
    <n v="6.5864806270000003"/>
    <n v="6"/>
    <n v="30"/>
    <x v="0"/>
    <n v="2016"/>
    <x v="197"/>
    <x v="23"/>
    <n v="45"/>
    <x v="1"/>
    <x v="1"/>
    <x v="1"/>
    <n v="535105"/>
    <n v="198072"/>
    <n v="53511980"/>
    <n v="535198"/>
    <n v="535195"/>
    <n v="537500"/>
    <n v="197500"/>
    <n v="285"/>
    <x v="1"/>
    <n v="0"/>
    <n v="0"/>
    <n v="1"/>
    <n v="-88.369868400000001"/>
    <n v="-95.596580243999995"/>
    <s v="NA"/>
    <s v="NA"/>
    <n v="-95.596580243999995"/>
    <x v="2"/>
    <s v="Nord de la Fennoscandinavie et Russie"/>
    <n v="9"/>
    <s v="K118462"/>
    <s v="Fang"/>
  </r>
  <r>
    <x v="969"/>
    <s v="ScoRus"/>
    <n v="0"/>
    <x v="1"/>
    <x v="1"/>
    <x v="0"/>
    <x v="2"/>
    <x v="940"/>
    <n v="-25.08"/>
    <x v="280"/>
    <x v="7"/>
    <m/>
    <x v="0"/>
    <x v="0"/>
    <s v="La-Chaux-du-Milieu"/>
    <s v="la Rocheta"/>
    <n v="46.994148090000003"/>
    <n v="6.6974339560000002"/>
    <n v="6"/>
    <n v="5"/>
    <x v="1"/>
    <n v="2016"/>
    <x v="144"/>
    <x v="22"/>
    <n v="50"/>
    <x v="3"/>
    <x v="1"/>
    <x v="1"/>
    <n v="543621"/>
    <n v="205054"/>
    <n v="54362050"/>
    <n v="543205"/>
    <n v="540205"/>
    <n v="542500"/>
    <n v="207500"/>
    <s v="NA"/>
    <x v="1"/>
    <n v="0"/>
    <n v="0"/>
    <n v="1"/>
    <n v="-85.878088199999993"/>
    <n v="-93.329060261999985"/>
    <s v="NA"/>
    <s v="NA"/>
    <n v="-93.329060261999985"/>
    <x v="3"/>
    <s v="Sud de la Fennoscandinavie, Pays baltes et ouest de la Russie"/>
    <n v="9"/>
    <s v="K118496"/>
    <s v="Fang"/>
  </r>
  <r>
    <x v="970"/>
    <s v="ScoRus"/>
    <n v="0"/>
    <x v="1"/>
    <x v="1"/>
    <x v="0"/>
    <x v="2"/>
    <x v="941"/>
    <s v="NA"/>
    <x v="927"/>
    <x v="7"/>
    <m/>
    <x v="0"/>
    <x v="3"/>
    <s v="Provence"/>
    <s v="Bellevue"/>
    <n v="46.901191339999997"/>
    <n v="6.6774532239999997"/>
    <n v="6"/>
    <n v="2"/>
    <x v="1"/>
    <n v="2017"/>
    <x v="26"/>
    <x v="4"/>
    <n v="47"/>
    <x v="3"/>
    <x v="1"/>
    <x v="1"/>
    <n v="542001"/>
    <n v="194736"/>
    <n v="54201947"/>
    <n v="542194"/>
    <n v="540190"/>
    <n v="542500"/>
    <n v="192500"/>
    <s v="NA"/>
    <x v="1"/>
    <n v="0"/>
    <n v="0"/>
    <n v="1"/>
    <n v="-85.635107000000005"/>
    <n v="-93.107947370000005"/>
    <s v="NA"/>
    <s v="NA"/>
    <n v="-93.107947370000005"/>
    <x v="3"/>
    <s v="Sud de la Fennoscandinavie, Pays baltes et ouest de la Russie"/>
    <n v="9"/>
    <s v="K122004"/>
    <s v="Fang"/>
  </r>
  <r>
    <x v="971"/>
    <s v="ScoRus"/>
    <n v="0"/>
    <x v="1"/>
    <x v="1"/>
    <x v="0"/>
    <x v="2"/>
    <x v="942"/>
    <s v="NA"/>
    <x v="928"/>
    <x v="7"/>
    <m/>
    <x v="0"/>
    <x v="3"/>
    <s v="Provence"/>
    <s v="Mouron"/>
    <n v="46.903223359999998"/>
    <n v="6.6732524240000002"/>
    <n v="6"/>
    <n v="28"/>
    <x v="0"/>
    <n v="2017"/>
    <x v="59"/>
    <x v="16"/>
    <n v="43"/>
    <x v="1"/>
    <x v="1"/>
    <x v="1"/>
    <n v="541684"/>
    <n v="194965"/>
    <n v="54161949"/>
    <n v="541194"/>
    <n v="540190"/>
    <n v="542500"/>
    <n v="192500"/>
    <s v="NA"/>
    <x v="1"/>
    <n v="0"/>
    <n v="0"/>
    <n v="1"/>
    <n v="-84.186349199999995"/>
    <n v="-91.789577772000001"/>
    <s v="NA"/>
    <s v="NA"/>
    <n v="-91.789577772000001"/>
    <x v="3"/>
    <s v="Sud de la Fennoscandinavie, Pays baltes et ouest de la Russie"/>
    <n v="8"/>
    <s v="K121993"/>
    <s v="Fang"/>
  </r>
  <r>
    <x v="972"/>
    <s v="ScoRus"/>
    <n v="0"/>
    <x v="1"/>
    <x v="1"/>
    <x v="0"/>
    <x v="2"/>
    <x v="943"/>
    <s v="NA"/>
    <x v="929"/>
    <x v="7"/>
    <m/>
    <x v="0"/>
    <x v="3"/>
    <s v="Provence"/>
    <s v="Prés Cretegny"/>
    <n v="46.905451319999997"/>
    <n v="6.6768547859999998"/>
    <n v="6"/>
    <n v="28"/>
    <x v="0"/>
    <n v="2017"/>
    <x v="59"/>
    <x v="16"/>
    <n v="43"/>
    <x v="1"/>
    <x v="1"/>
    <x v="1"/>
    <n v="541960"/>
    <n v="195210"/>
    <n v="54191952"/>
    <n v="541195"/>
    <n v="540195"/>
    <n v="542500"/>
    <n v="197500"/>
    <s v="NA"/>
    <x v="1"/>
    <n v="0"/>
    <n v="0"/>
    <n v="1"/>
    <n v="-81.652196599999996"/>
    <n v="-89.483498905999994"/>
    <s v="NA"/>
    <s v="NA"/>
    <n v="-89.483498905999994"/>
    <x v="3"/>
    <s v="Sud de la Fennoscandinavie, Pays baltes et ouest de la Russie"/>
    <n v="8"/>
    <s v="K121992"/>
    <s v="Fang"/>
  </r>
  <r>
    <x v="973"/>
    <s v="ScoRus"/>
    <n v="0"/>
    <x v="1"/>
    <x v="1"/>
    <x v="0"/>
    <x v="2"/>
    <x v="944"/>
    <s v="NA"/>
    <x v="930"/>
    <x v="7"/>
    <m/>
    <x v="0"/>
    <x v="0"/>
    <s v="La Chaux-du-Milieu"/>
    <s v="La Rocheta"/>
    <n v="46.994971069999998"/>
    <n v="6.6967201559999996"/>
    <n v="6"/>
    <n v="27"/>
    <x v="0"/>
    <n v="2017"/>
    <x v="142"/>
    <x v="6"/>
    <n v="42"/>
    <x v="0"/>
    <x v="0"/>
    <x v="0"/>
    <n v="543568"/>
    <n v="205147"/>
    <n v="54352051"/>
    <n v="543205"/>
    <n v="540205"/>
    <n v="542500"/>
    <n v="207500"/>
    <s v="NA"/>
    <x v="1"/>
    <n v="0"/>
    <n v="0"/>
    <n v="1"/>
    <n v="-81.049247399999999"/>
    <n v="-88.93481513399999"/>
    <s v="NA"/>
    <s v="NA"/>
    <n v="-88.93481513399999"/>
    <x v="3"/>
    <s v="Sud de la Fennoscandinavie, Pays baltes et ouest de la Russie"/>
    <n v="8"/>
    <s v="K121982"/>
    <s v="Fang"/>
  </r>
  <r>
    <x v="974"/>
    <s v="ScoRus"/>
    <n v="0"/>
    <x v="1"/>
    <x v="1"/>
    <x v="0"/>
    <x v="2"/>
    <x v="945"/>
    <s v="NA"/>
    <x v="931"/>
    <x v="7"/>
    <m/>
    <x v="0"/>
    <x v="0"/>
    <s v="La Chaux-du-Milieu"/>
    <s v="La Rocheta"/>
    <n v="46.996222250000002"/>
    <n v="6.6982371450000002"/>
    <n v="6"/>
    <n v="27"/>
    <x v="0"/>
    <n v="2017"/>
    <x v="142"/>
    <x v="6"/>
    <n v="42"/>
    <x v="0"/>
    <x v="0"/>
    <x v="0"/>
    <n v="543685"/>
    <n v="205285"/>
    <n v="54362052"/>
    <n v="543205"/>
    <n v="540205"/>
    <n v="542500"/>
    <n v="207500"/>
    <s v="NA"/>
    <x v="1"/>
    <n v="0"/>
    <n v="0"/>
    <n v="1"/>
    <n v="-80.619272199999997"/>
    <n v="-88.543537702000009"/>
    <s v="NA"/>
    <s v="NA"/>
    <n v="-88.543537702000009"/>
    <x v="3"/>
    <s v="Sud de la Fennoscandinavie, Pays baltes et ouest de la Russie"/>
    <n v="8"/>
    <s v="K121980"/>
    <s v="Fang"/>
  </r>
  <r>
    <x v="975"/>
    <s v="ScoRus"/>
    <n v="0"/>
    <x v="1"/>
    <x v="1"/>
    <x v="0"/>
    <x v="2"/>
    <x v="946"/>
    <s v="NA"/>
    <x v="932"/>
    <x v="8"/>
    <m/>
    <x v="0"/>
    <x v="0"/>
    <s v="Les Verrières"/>
    <s v="Le Pussin"/>
    <n v="46.934127160000003"/>
    <n v="6.4640393789999999"/>
    <n v="6"/>
    <n v="22"/>
    <x v="0"/>
    <n v="2017"/>
    <x v="78"/>
    <x v="21"/>
    <n v="37"/>
    <x v="4"/>
    <x v="0"/>
    <x v="0"/>
    <n v="525787"/>
    <n v="198577"/>
    <n v="52571985"/>
    <n v="525198"/>
    <n v="525195"/>
    <n v="527500"/>
    <n v="197500"/>
    <s v="NA"/>
    <x v="1"/>
    <n v="0"/>
    <n v="0"/>
    <n v="1"/>
    <n v="-77.732272600000002"/>
    <n v="-85.91636806599999"/>
    <s v="NA"/>
    <s v="NA"/>
    <n v="-85.91636806599999"/>
    <x v="3"/>
    <s v="Sud de la Fennoscandinavie, Pays baltes et ouest de la Russie"/>
    <n v="8"/>
    <s v="K121953"/>
    <s v="Fang"/>
  </r>
  <r>
    <x v="976"/>
    <s v="ScoRus"/>
    <n v="0"/>
    <x v="1"/>
    <x v="1"/>
    <x v="0"/>
    <x v="2"/>
    <x v="947"/>
    <n v="-24.77"/>
    <x v="933"/>
    <x v="8"/>
    <m/>
    <x v="0"/>
    <x v="0"/>
    <s v="les Verrieres"/>
    <s v="le corp de garde"/>
    <n v="46.937621049999997"/>
    <n v="6.4644488410000003"/>
    <n v="6"/>
    <n v="24"/>
    <x v="0"/>
    <n v="2016"/>
    <x v="168"/>
    <x v="14"/>
    <n v="39"/>
    <x v="0"/>
    <x v="0"/>
    <x v="0"/>
    <n v="525822"/>
    <n v="198964"/>
    <n v="52581989"/>
    <n v="525198"/>
    <n v="525195"/>
    <n v="527500"/>
    <n v="197500"/>
    <n v="344"/>
    <x v="1"/>
    <n v="0"/>
    <n v="0"/>
    <n v="1"/>
    <n v="-77.561278999999999"/>
    <n v="-85.760763889999993"/>
    <s v="NA"/>
    <s v="NA"/>
    <n v="-85.760763889999993"/>
    <x v="3"/>
    <s v="Sud de la Fennoscandinavie, Pays baltes et ouest de la Russie"/>
    <n v="8"/>
    <s v="K118452"/>
    <s v="Fang"/>
  </r>
  <r>
    <x v="977"/>
    <s v="ScoRus"/>
    <n v="0"/>
    <x v="1"/>
    <x v="1"/>
    <x v="0"/>
    <x v="2"/>
    <x v="948"/>
    <n v="-24.33"/>
    <x v="577"/>
    <x v="8"/>
    <m/>
    <x v="0"/>
    <x v="0"/>
    <s v="les Verrieres"/>
    <s v="le pussin"/>
    <n v="46.933214569999997"/>
    <n v="6.4635700140000001"/>
    <n v="6"/>
    <n v="5"/>
    <x v="1"/>
    <n v="2016"/>
    <x v="144"/>
    <x v="22"/>
    <n v="50"/>
    <x v="3"/>
    <x v="1"/>
    <x v="1"/>
    <n v="525749"/>
    <n v="198475"/>
    <n v="52571984"/>
    <n v="525198"/>
    <n v="525195"/>
    <n v="527500"/>
    <n v="197500"/>
    <n v="330"/>
    <x v="1"/>
    <n v="0"/>
    <n v="0"/>
    <n v="1"/>
    <n v="-76.623293000000004"/>
    <n v="-84.907196630000016"/>
    <s v="NA"/>
    <s v="NA"/>
    <n v="-84.907196630000016"/>
    <x v="4"/>
    <s v="Europe centrale"/>
    <n v="8"/>
    <s v="K118488"/>
    <s v="Fang"/>
  </r>
  <r>
    <x v="978"/>
    <s v="ScoRus"/>
    <n v="0"/>
    <x v="1"/>
    <x v="1"/>
    <x v="0"/>
    <x v="2"/>
    <x v="949"/>
    <n v="-24.54"/>
    <x v="934"/>
    <x v="8"/>
    <m/>
    <x v="0"/>
    <x v="3"/>
    <s v="Provence"/>
    <s v="pres cretegny"/>
    <n v="46.904830850000003"/>
    <n v="6.675537909"/>
    <n v="6"/>
    <n v="1"/>
    <x v="1"/>
    <n v="2016"/>
    <x v="147"/>
    <x v="17"/>
    <n v="46"/>
    <x v="1"/>
    <x v="1"/>
    <x v="1"/>
    <n v="541859"/>
    <n v="195141"/>
    <n v="54181951"/>
    <n v="541195"/>
    <n v="540195"/>
    <n v="542500"/>
    <n v="197500"/>
    <n v="387"/>
    <x v="1"/>
    <n v="0"/>
    <n v="0"/>
    <n v="1"/>
    <n v="-76.125752599999998"/>
    <n v="-84.454434866000014"/>
    <s v="NA"/>
    <s v="NA"/>
    <n v="-84.454434866000014"/>
    <x v="4"/>
    <s v="Europe centrale"/>
    <n v="8"/>
    <s v="K118471"/>
    <s v="Fang"/>
  </r>
  <r>
    <x v="979"/>
    <s v="ScoRus"/>
    <n v="0"/>
    <x v="1"/>
    <x v="1"/>
    <x v="0"/>
    <x v="2"/>
    <x v="950"/>
    <s v="NA"/>
    <x v="935"/>
    <x v="8"/>
    <m/>
    <x v="0"/>
    <x v="0"/>
    <s v="Les Verrières"/>
    <s v="Le Pussin"/>
    <n v="46.933822739999997"/>
    <n v="6.4631518620000001"/>
    <n v="6"/>
    <n v="16"/>
    <x v="0"/>
    <n v="2017"/>
    <x v="56"/>
    <x v="33"/>
    <n v="31"/>
    <x v="8"/>
    <x v="4"/>
    <x v="0"/>
    <n v="525719"/>
    <n v="198544"/>
    <n v="52571985"/>
    <n v="525198"/>
    <n v="525195"/>
    <n v="527500"/>
    <n v="197500"/>
    <s v="NA"/>
    <x v="1"/>
    <n v="0"/>
    <n v="0"/>
    <n v="1"/>
    <n v="-75.136973600000005"/>
    <n v="-83.554645976000018"/>
    <s v="NA"/>
    <s v="NA"/>
    <n v="-83.554645976000018"/>
    <x v="4"/>
    <s v="Europe centrale"/>
    <n v="8"/>
    <s v="K116330"/>
    <s v="Fang"/>
  </r>
  <r>
    <x v="980"/>
    <s v="ScoRus"/>
    <n v="0"/>
    <x v="1"/>
    <x v="1"/>
    <x v="0"/>
    <x v="2"/>
    <x v="951"/>
    <s v="NA"/>
    <x v="936"/>
    <x v="8"/>
    <m/>
    <x v="0"/>
    <x v="0"/>
    <s v="La Chaux-du-Milieu"/>
    <s v="La Rocheta"/>
    <n v="46.99371524"/>
    <n v="6.6972690180000001"/>
    <n v="6"/>
    <n v="22"/>
    <x v="0"/>
    <n v="2017"/>
    <x v="78"/>
    <x v="21"/>
    <n v="37"/>
    <x v="4"/>
    <x v="0"/>
    <x v="0"/>
    <n v="543609"/>
    <n v="205007"/>
    <n v="54362050"/>
    <n v="543205"/>
    <n v="540205"/>
    <n v="542500"/>
    <n v="207500"/>
    <s v="NA"/>
    <x v="1"/>
    <n v="0"/>
    <n v="0"/>
    <n v="1"/>
    <n v="-75.108001000000002"/>
    <n v="-83.528280910000007"/>
    <s v="NA"/>
    <s v="NA"/>
    <n v="-83.528280910000007"/>
    <x v="4"/>
    <s v="Europe centrale"/>
    <n v="8"/>
    <s v="K121951"/>
    <s v="Fang"/>
  </r>
  <r>
    <x v="981"/>
    <s v="ScoRus"/>
    <n v="0"/>
    <x v="1"/>
    <x v="1"/>
    <x v="0"/>
    <x v="2"/>
    <x v="952"/>
    <s v="NA"/>
    <x v="937"/>
    <x v="8"/>
    <m/>
    <x v="0"/>
    <x v="0"/>
    <s v="Val-de-Travers"/>
    <s v="Les Coeubles"/>
    <n v="46.934857880000003"/>
    <n v="6.584938567"/>
    <n v="6"/>
    <n v="27"/>
    <x v="0"/>
    <n v="2017"/>
    <x v="142"/>
    <x v="6"/>
    <n v="42"/>
    <x v="0"/>
    <x v="0"/>
    <x v="0"/>
    <n v="534993"/>
    <n v="198551"/>
    <n v="53491985"/>
    <n v="534198"/>
    <n v="530195"/>
    <n v="532500"/>
    <n v="197500"/>
    <s v="NA"/>
    <x v="1"/>
    <n v="0"/>
    <n v="0"/>
    <n v="1"/>
    <n v="-73.898388800000006"/>
    <n v="-82.427533808000021"/>
    <s v="NA"/>
    <s v="NA"/>
    <n v="-82.427533808000021"/>
    <x v="4"/>
    <s v="Europe centrale"/>
    <n v="7"/>
    <s v="K121976"/>
    <s v="Fang"/>
  </r>
  <r>
    <x v="982"/>
    <s v="ScoRus"/>
    <n v="0"/>
    <x v="1"/>
    <x v="1"/>
    <x v="0"/>
    <x v="2"/>
    <x v="953"/>
    <n v="-22.11"/>
    <x v="938"/>
    <x v="8"/>
    <m/>
    <x v="0"/>
    <x v="0"/>
    <s v="les Verrieres"/>
    <s v="le pussin"/>
    <n v="46.935451739999998"/>
    <n v="6.4653549549999996"/>
    <n v="6"/>
    <n v="5"/>
    <x v="1"/>
    <n v="2016"/>
    <x v="144"/>
    <x v="22"/>
    <n v="50"/>
    <x v="3"/>
    <x v="1"/>
    <x v="1"/>
    <n v="525888"/>
    <n v="198722"/>
    <n v="52581987"/>
    <n v="525198"/>
    <n v="525195"/>
    <n v="527500"/>
    <n v="197500"/>
    <n v="342"/>
    <x v="1"/>
    <n v="0"/>
    <n v="0"/>
    <n v="1"/>
    <n v="-73.402874400000002"/>
    <n v="-81.976615704000011"/>
    <s v="NA"/>
    <s v="NA"/>
    <n v="-81.976615704000011"/>
    <x v="4"/>
    <s v="Europe centrale"/>
    <n v="7"/>
    <s v="K118482"/>
    <s v="Fang"/>
  </r>
  <r>
    <x v="983"/>
    <s v="ScoRus"/>
    <n v="0"/>
    <x v="1"/>
    <x v="1"/>
    <x v="0"/>
    <x v="2"/>
    <x v="954"/>
    <n v="-24.11"/>
    <x v="939"/>
    <x v="8"/>
    <m/>
    <x v="0"/>
    <x v="0"/>
    <s v="les Verrieres"/>
    <s v="le pussin"/>
    <n v="46.934999230000003"/>
    <n v="6.4650348199999996"/>
    <n v="6"/>
    <n v="5"/>
    <x v="1"/>
    <n v="2016"/>
    <x v="144"/>
    <x v="22"/>
    <n v="50"/>
    <x v="3"/>
    <x v="1"/>
    <x v="1"/>
    <n v="525863"/>
    <n v="198672"/>
    <n v="52581986"/>
    <n v="525198"/>
    <n v="525195"/>
    <n v="527500"/>
    <n v="197500"/>
    <n v="310"/>
    <x v="1"/>
    <n v="0"/>
    <n v="0"/>
    <n v="1"/>
    <n v="-73.266934399999997"/>
    <n v="-81.852910304000005"/>
    <s v="NA"/>
    <s v="NA"/>
    <n v="-81.852910304000005"/>
    <x v="4"/>
    <s v="Europe centrale"/>
    <n v="7"/>
    <s v="K118484"/>
    <s v="Fang"/>
  </r>
  <r>
    <x v="984"/>
    <s v="ScoRus"/>
    <n v="0"/>
    <x v="1"/>
    <x v="1"/>
    <x v="0"/>
    <x v="2"/>
    <x v="955"/>
    <n v="-24.13"/>
    <x v="387"/>
    <x v="8"/>
    <m/>
    <x v="0"/>
    <x v="0"/>
    <s v="les Verrieres"/>
    <s v="le pussin"/>
    <n v="46.937310969999999"/>
    <n v="6.4660699099999999"/>
    <n v="6"/>
    <n v="31"/>
    <x v="0"/>
    <n v="2016"/>
    <x v="20"/>
    <x v="17"/>
    <n v="46"/>
    <x v="1"/>
    <x v="1"/>
    <x v="1"/>
    <n v="525945"/>
    <n v="198928"/>
    <n v="52591989"/>
    <n v="525198"/>
    <n v="525195"/>
    <n v="527500"/>
    <n v="197500"/>
    <n v="315"/>
    <x v="1"/>
    <n v="0"/>
    <n v="0"/>
    <n v="1"/>
    <n v="-72.898537000000005"/>
    <n v="-81.517668670000006"/>
    <s v="NA"/>
    <s v="NA"/>
    <n v="-81.517668670000006"/>
    <x v="4"/>
    <s v="Europe centrale"/>
    <n v="7"/>
    <s v="K118465"/>
    <s v="Fang"/>
  </r>
  <r>
    <x v="985"/>
    <s v="ScoRus"/>
    <n v="0"/>
    <x v="1"/>
    <x v="1"/>
    <x v="0"/>
    <x v="2"/>
    <x v="956"/>
    <s v="NA"/>
    <x v="940"/>
    <x v="8"/>
    <m/>
    <x v="0"/>
    <x v="3"/>
    <s v="Provence"/>
    <s v="Prés Cretegny"/>
    <n v="46.906777839999997"/>
    <n v="6.6774791640000002"/>
    <n v="6"/>
    <n v="20"/>
    <x v="0"/>
    <n v="2017"/>
    <x v="143"/>
    <x v="30"/>
    <n v="35"/>
    <x v="4"/>
    <x v="0"/>
    <x v="0"/>
    <n v="542009"/>
    <n v="195357"/>
    <n v="54201953"/>
    <n v="542195"/>
    <n v="540195"/>
    <n v="542500"/>
    <n v="197500"/>
    <s v="NA"/>
    <x v="1"/>
    <n v="0"/>
    <n v="0"/>
    <n v="1"/>
    <n v="-72.845242999999996"/>
    <n v="-81.469171130000007"/>
    <s v="NA"/>
    <s v="NA"/>
    <n v="-81.469171130000007"/>
    <x v="4"/>
    <s v="Europe centrale"/>
    <n v="7"/>
    <s v="K116342"/>
    <s v="Fang"/>
  </r>
  <r>
    <x v="986"/>
    <s v="ScoRus"/>
    <n v="0"/>
    <x v="1"/>
    <x v="1"/>
    <x v="0"/>
    <x v="2"/>
    <x v="957"/>
    <s v="NA"/>
    <x v="941"/>
    <x v="9"/>
    <m/>
    <x v="0"/>
    <x v="3"/>
    <s v="Provence"/>
    <s v="Prés Cretegny"/>
    <n v="46.908891179999998"/>
    <n v="6.6814528009999998"/>
    <n v="6"/>
    <n v="2"/>
    <x v="1"/>
    <n v="2017"/>
    <x v="26"/>
    <x v="4"/>
    <n v="47"/>
    <x v="3"/>
    <x v="1"/>
    <x v="1"/>
    <n v="542314"/>
    <n v="195589"/>
    <n v="54231955"/>
    <n v="542195"/>
    <n v="540195"/>
    <n v="542500"/>
    <n v="197500"/>
    <s v="NA"/>
    <x v="1"/>
    <n v="0"/>
    <n v="0"/>
    <n v="1"/>
    <n v="-70.5518766"/>
    <n v="-79.382207706000003"/>
    <s v="NA"/>
    <s v="NA"/>
    <n v="-79.382207706000003"/>
    <x v="4"/>
    <s v="Europe centrale"/>
    <n v="7"/>
    <s v="K122000"/>
    <s v="Fang"/>
  </r>
  <r>
    <x v="987"/>
    <s v="ScoRus"/>
    <n v="0"/>
    <x v="1"/>
    <x v="1"/>
    <x v="0"/>
    <x v="2"/>
    <x v="958"/>
    <s v="NA"/>
    <x v="942"/>
    <x v="9"/>
    <m/>
    <x v="0"/>
    <x v="0"/>
    <s v="La Chaux-du-Milieu"/>
    <s v="La Rocheta"/>
    <n v="46.996376920000003"/>
    <n v="6.7027017280000001"/>
    <n v="6"/>
    <n v="21"/>
    <x v="0"/>
    <n v="2017"/>
    <x v="64"/>
    <x v="11"/>
    <n v="36"/>
    <x v="4"/>
    <x v="0"/>
    <x v="0"/>
    <n v="544025"/>
    <n v="205299"/>
    <n v="54402052"/>
    <n v="544205"/>
    <n v="540205"/>
    <n v="542500"/>
    <n v="207500"/>
    <s v="NA"/>
    <x v="1"/>
    <n v="0"/>
    <n v="0"/>
    <n v="1"/>
    <n v="-69.794988700000005"/>
    <n v="-78.693439717000004"/>
    <s v="NA"/>
    <s v="NA"/>
    <n v="-78.693439717000004"/>
    <x v="4"/>
    <s v="Europe centrale"/>
    <n v="7"/>
    <s v="K116346"/>
    <s v="Fang"/>
  </r>
  <r>
    <x v="988"/>
    <s v="ScoRus"/>
    <n v="0"/>
    <x v="1"/>
    <x v="1"/>
    <x v="0"/>
    <x v="2"/>
    <x v="959"/>
    <n v="-24.3"/>
    <x v="943"/>
    <x v="9"/>
    <m/>
    <x v="0"/>
    <x v="0"/>
    <s v="les Verrieres"/>
    <s v="le crêt rond"/>
    <n v="46.92860323"/>
    <n v="6.4576656430000003"/>
    <n v="6"/>
    <n v="23"/>
    <x v="0"/>
    <n v="2016"/>
    <x v="146"/>
    <x v="44"/>
    <n v="38"/>
    <x v="0"/>
    <x v="0"/>
    <x v="0"/>
    <n v="525293"/>
    <n v="197968"/>
    <n v="52521979"/>
    <n v="525197"/>
    <n v="525195"/>
    <n v="527500"/>
    <n v="197500"/>
    <n v="343"/>
    <x v="1"/>
    <n v="0"/>
    <n v="0"/>
    <n v="1"/>
    <n v="-69.230875800000007"/>
    <n v="-78.180096978000009"/>
    <s v="NA"/>
    <s v="NA"/>
    <n v="-78.180096978000009"/>
    <x v="4"/>
    <s v="Europe centrale"/>
    <n v="7"/>
    <s v="K115198"/>
    <s v="Fang"/>
  </r>
  <r>
    <x v="989"/>
    <s v="ScoRus"/>
    <n v="0"/>
    <x v="1"/>
    <x v="1"/>
    <x v="0"/>
    <x v="2"/>
    <x v="960"/>
    <n v="-23.41"/>
    <x v="449"/>
    <x v="9"/>
    <m/>
    <x v="0"/>
    <x v="0"/>
    <s v="La-Chaux-du-Milieu"/>
    <s v="la Rocheta"/>
    <n v="46.95926463"/>
    <n v="6.6976392520000001"/>
    <n v="6"/>
    <n v="18"/>
    <x v="0"/>
    <n v="2016"/>
    <x v="151"/>
    <x v="89"/>
    <n v="33"/>
    <x v="4"/>
    <x v="0"/>
    <x v="0"/>
    <n v="543600"/>
    <n v="201176"/>
    <n v="54362011"/>
    <n v="543201"/>
    <n v="540200"/>
    <n v="542500"/>
    <n v="202500"/>
    <n v="342"/>
    <x v="1"/>
    <n v="0"/>
    <n v="0"/>
    <n v="1"/>
    <n v="-68.347265800000002"/>
    <n v="-77.376011878000014"/>
    <s v="NA"/>
    <s v="NA"/>
    <n v="-77.376011878000014"/>
    <x v="4"/>
    <s v="Europe centrale"/>
    <n v="7"/>
    <s v="K115189"/>
    <s v="Fang"/>
  </r>
  <r>
    <x v="990"/>
    <s v="ScoRus"/>
    <n v="0"/>
    <x v="1"/>
    <x v="1"/>
    <x v="0"/>
    <x v="2"/>
    <x v="961"/>
    <n v="-23.41"/>
    <x v="944"/>
    <x v="9"/>
    <m/>
    <x v="0"/>
    <x v="0"/>
    <s v="Gorgier"/>
    <s v="le soliat"/>
    <n v="46.930448990000002"/>
    <n v="6.7284623420000003"/>
    <n v="6"/>
    <n v="4"/>
    <x v="1"/>
    <n v="2016"/>
    <x v="274"/>
    <x v="3"/>
    <n v="49"/>
    <x v="3"/>
    <x v="1"/>
    <x v="1"/>
    <n v="545917"/>
    <n v="197951"/>
    <n v="54591979"/>
    <n v="545197"/>
    <n v="545195"/>
    <n v="547500"/>
    <n v="197500"/>
    <n v="330"/>
    <x v="1"/>
    <n v="0"/>
    <n v="0"/>
    <n v="1"/>
    <n v="-67.908179599999997"/>
    <n v="-76.976443435999997"/>
    <s v="NA"/>
    <s v="NA"/>
    <n v="-76.976443435999997"/>
    <x v="4"/>
    <s v="Europe centrale"/>
    <n v="7"/>
    <s v="K118477"/>
    <s v="Fang"/>
  </r>
  <r>
    <x v="991"/>
    <s v="ScoRus"/>
    <n v="0"/>
    <x v="1"/>
    <x v="1"/>
    <x v="0"/>
    <x v="2"/>
    <x v="962"/>
    <n v="-23.71"/>
    <x v="945"/>
    <x v="9"/>
    <m/>
    <x v="0"/>
    <x v="0"/>
    <s v="les Verrieres"/>
    <s v="le pussin"/>
    <n v="46.930218619999998"/>
    <n v="6.4603676219999997"/>
    <n v="6"/>
    <n v="23"/>
    <x v="0"/>
    <n v="2016"/>
    <x v="146"/>
    <x v="44"/>
    <n v="38"/>
    <x v="0"/>
    <x v="0"/>
    <x v="0"/>
    <n v="525501"/>
    <n v="198145"/>
    <n v="52551981"/>
    <n v="525198"/>
    <n v="525195"/>
    <n v="527500"/>
    <n v="197500"/>
    <n v="315"/>
    <x v="1"/>
    <n v="0"/>
    <n v="0"/>
    <n v="1"/>
    <n v="-67.891866800000003"/>
    <n v="-76.961598788000003"/>
    <s v="NA"/>
    <s v="NA"/>
    <n v="-76.961598788000003"/>
    <x v="4"/>
    <s v="Europe centrale"/>
    <n v="7"/>
    <s v="K115199"/>
    <s v="Fang"/>
  </r>
  <r>
    <x v="992"/>
    <s v="ScoRus"/>
    <n v="0"/>
    <x v="1"/>
    <x v="1"/>
    <x v="0"/>
    <x v="2"/>
    <x v="963"/>
    <s v="NA"/>
    <x v="946"/>
    <x v="9"/>
    <m/>
    <x v="0"/>
    <x v="0"/>
    <s v="La Chaux-du-Milieu"/>
    <s v="La Rocheta"/>
    <n v="46.992987149999998"/>
    <n v="6.6959631509999999"/>
    <n v="6"/>
    <n v="27"/>
    <x v="0"/>
    <n v="2017"/>
    <x v="142"/>
    <x v="6"/>
    <n v="42"/>
    <x v="0"/>
    <x v="0"/>
    <x v="0"/>
    <n v="543509"/>
    <n v="204927"/>
    <n v="54352049"/>
    <n v="543204"/>
    <n v="540200"/>
    <n v="542500"/>
    <n v="202500"/>
    <s v="NA"/>
    <x v="1"/>
    <n v="0"/>
    <n v="0"/>
    <n v="1"/>
    <n v="-67.848696399999994"/>
    <n v="-76.922313723999991"/>
    <s v="NA"/>
    <s v="NA"/>
    <n v="-76.922313723999991"/>
    <x v="4"/>
    <s v="Europe centrale"/>
    <n v="7"/>
    <s v="K121983"/>
    <s v="Fang"/>
  </r>
  <r>
    <x v="993"/>
    <s v="ScoRus"/>
    <n v="0"/>
    <x v="1"/>
    <x v="1"/>
    <x v="0"/>
    <x v="2"/>
    <x v="964"/>
    <n v="-23.98"/>
    <x v="947"/>
    <x v="9"/>
    <m/>
    <x v="0"/>
    <x v="0"/>
    <s v="Gorgier"/>
    <s v="le soliat"/>
    <n v="46.930464809999997"/>
    <n v="6.7295651850000002"/>
    <n v="6"/>
    <n v="4"/>
    <x v="1"/>
    <n v="2016"/>
    <x v="274"/>
    <x v="3"/>
    <n v="49"/>
    <x v="3"/>
    <x v="1"/>
    <x v="1"/>
    <n v="546001"/>
    <n v="197952"/>
    <n v="54601979"/>
    <n v="546197"/>
    <n v="545195"/>
    <n v="547500"/>
    <n v="197500"/>
    <n v="295"/>
    <x v="1"/>
    <n v="0"/>
    <n v="0"/>
    <n v="1"/>
    <n v="-66.193976199999994"/>
    <n v="-75.416518341999989"/>
    <s v="NA"/>
    <s v="NA"/>
    <n v="-75.416518341999989"/>
    <x v="4"/>
    <s v="Europe centrale"/>
    <n v="7"/>
    <s v="K118480"/>
    <s v="Fang"/>
  </r>
  <r>
    <x v="994"/>
    <s v="ScoRus"/>
    <n v="0"/>
    <x v="1"/>
    <x v="1"/>
    <x v="0"/>
    <x v="2"/>
    <x v="965"/>
    <n v="-24.79"/>
    <x v="948"/>
    <x v="9"/>
    <m/>
    <x v="0"/>
    <x v="0"/>
    <s v="Gorgier"/>
    <s v="le soliat"/>
    <n v="46.930448990000002"/>
    <n v="6.7284623420000003"/>
    <n v="6"/>
    <n v="4"/>
    <x v="1"/>
    <n v="2016"/>
    <x v="274"/>
    <x v="3"/>
    <n v="49"/>
    <x v="3"/>
    <x v="1"/>
    <x v="1"/>
    <n v="545917"/>
    <n v="197951"/>
    <n v="54591979"/>
    <n v="545197"/>
    <n v="545195"/>
    <n v="547500"/>
    <n v="197500"/>
    <n v="325"/>
    <x v="1"/>
    <n v="0"/>
    <n v="0"/>
    <n v="1"/>
    <n v="-66.174944600000003"/>
    <n v="-75.399199586000009"/>
    <s v="NA"/>
    <s v="NA"/>
    <n v="-75.399199586000009"/>
    <x v="4"/>
    <s v="Europe centrale"/>
    <n v="7"/>
    <s v="K118478"/>
    <s v="Fang"/>
  </r>
  <r>
    <x v="995"/>
    <s v="ScoRus"/>
    <n v="0"/>
    <x v="1"/>
    <x v="1"/>
    <x v="0"/>
    <x v="2"/>
    <x v="966"/>
    <n v="-23.37"/>
    <x v="949"/>
    <x v="9"/>
    <m/>
    <x v="0"/>
    <x v="0"/>
    <s v="La-Chaux-du-Milieu"/>
    <s v="la Rocheta"/>
    <n v="46.993183960000003"/>
    <n v="6.6971843250000003"/>
    <n v="6"/>
    <n v="5"/>
    <x v="1"/>
    <n v="2016"/>
    <x v="144"/>
    <x v="22"/>
    <n v="50"/>
    <x v="3"/>
    <x v="1"/>
    <x v="1"/>
    <n v="543601"/>
    <n v="204947"/>
    <n v="54362049"/>
    <n v="543204"/>
    <n v="540200"/>
    <n v="542500"/>
    <n v="202500"/>
    <s v="NA"/>
    <x v="1"/>
    <n v="0"/>
    <n v="0"/>
    <n v="1"/>
    <n v="-65.245114999999998"/>
    <n v="-74.553054650000007"/>
    <s v="NA"/>
    <s v="NA"/>
    <n v="-74.553054650000007"/>
    <x v="5"/>
    <s v="Europe centrale"/>
    <n v="7"/>
    <s v="K118495"/>
    <s v="Fang"/>
  </r>
  <r>
    <x v="996"/>
    <s v="ScoRus"/>
    <n v="0"/>
    <x v="1"/>
    <x v="1"/>
    <x v="0"/>
    <x v="2"/>
    <x v="967"/>
    <s v="NA"/>
    <x v="950"/>
    <x v="9"/>
    <m/>
    <x v="0"/>
    <x v="0"/>
    <s v="La Chaux-du-Milieu"/>
    <s v="La Rocheta"/>
    <n v="46.992996320000003"/>
    <n v="6.695990546"/>
    <n v="6"/>
    <n v="10"/>
    <x v="1"/>
    <n v="2017"/>
    <x v="145"/>
    <x v="19"/>
    <n v="55"/>
    <x v="2"/>
    <x v="2"/>
    <x v="1"/>
    <n v="543511"/>
    <n v="204928"/>
    <n v="54352049"/>
    <n v="543204"/>
    <n v="540200"/>
    <n v="542500"/>
    <n v="202500"/>
    <s v="NA"/>
    <x v="1"/>
    <n v="0"/>
    <n v="0"/>
    <n v="1"/>
    <n v="-63.728909999999999"/>
    <n v="-73.1733081"/>
    <s v="NA"/>
    <s v="NA"/>
    <n v="-73.1733081"/>
    <x v="5"/>
    <s v="Europe centrale"/>
    <n v="6"/>
    <s v="K122012"/>
    <s v="Fang"/>
  </r>
  <r>
    <x v="997"/>
    <s v="ScoRus"/>
    <n v="0"/>
    <x v="1"/>
    <x v="1"/>
    <x v="0"/>
    <x v="2"/>
    <x v="968"/>
    <n v="-24.87"/>
    <x v="951"/>
    <x v="9"/>
    <m/>
    <x v="0"/>
    <x v="0"/>
    <s v="Gorgier"/>
    <s v="cret aux moines"/>
    <n v="46.925020480000001"/>
    <n v="6.7292430799999998"/>
    <n v="6"/>
    <n v="4"/>
    <x v="1"/>
    <n v="2016"/>
    <x v="274"/>
    <x v="3"/>
    <n v="49"/>
    <x v="3"/>
    <x v="1"/>
    <x v="1"/>
    <n v="545971"/>
    <n v="197347"/>
    <n v="54591973"/>
    <n v="545197"/>
    <n v="545195"/>
    <n v="547500"/>
    <n v="197500"/>
    <n v="348"/>
    <x v="1"/>
    <n v="0"/>
    <n v="0"/>
    <n v="1"/>
    <n v="-63.593443999999998"/>
    <n v="-73.05003404"/>
    <s v="NA"/>
    <s v="NA"/>
    <n v="-73.05003404"/>
    <x v="5"/>
    <s v="Europe centrale"/>
    <n v="6"/>
    <s v="K118474"/>
    <s v="Fang"/>
  </r>
  <r>
    <x v="998"/>
    <s v="ScoRus"/>
    <n v="0"/>
    <x v="1"/>
    <x v="1"/>
    <x v="0"/>
    <x v="2"/>
    <x v="969"/>
    <n v="-22.96"/>
    <x v="952"/>
    <x v="9"/>
    <m/>
    <x v="0"/>
    <x v="3"/>
    <s v="Provence"/>
    <s v="bellevue"/>
    <n v="46.898973419999997"/>
    <n v="6.6713163440000001"/>
    <n v="6"/>
    <n v="1"/>
    <x v="1"/>
    <n v="2016"/>
    <x v="147"/>
    <x v="17"/>
    <n v="46"/>
    <x v="1"/>
    <x v="1"/>
    <x v="1"/>
    <n v="541531"/>
    <n v="194493"/>
    <n v="54151944"/>
    <n v="541194"/>
    <n v="540190"/>
    <n v="542500"/>
    <n v="192500"/>
    <n v="295"/>
    <x v="1"/>
    <n v="0"/>
    <n v="0"/>
    <n v="1"/>
    <n v="-63.5336304"/>
    <n v="-72.995603664000001"/>
    <s v="NA"/>
    <s v="NA"/>
    <n v="-72.995603664000001"/>
    <x v="5"/>
    <s v="Europe centrale"/>
    <n v="6"/>
    <s v="K118468"/>
    <s v="Fang"/>
  </r>
  <r>
    <x v="999"/>
    <s v="ScoRus"/>
    <n v="0"/>
    <x v="1"/>
    <x v="1"/>
    <x v="0"/>
    <x v="2"/>
    <x v="970"/>
    <s v="NA"/>
    <x v="953"/>
    <x v="9"/>
    <m/>
    <x v="0"/>
    <x v="0"/>
    <s v="Les Verrières"/>
    <s v="Le Pussin"/>
    <n v="46.932677079999998"/>
    <n v="6.4638358150000004"/>
    <n v="6"/>
    <n v="26"/>
    <x v="0"/>
    <n v="2017"/>
    <x v="83"/>
    <x v="0"/>
    <n v="41"/>
    <x v="0"/>
    <x v="0"/>
    <x v="0"/>
    <n v="525769"/>
    <n v="198416"/>
    <n v="52571984"/>
    <n v="525198"/>
    <n v="525195"/>
    <n v="527500"/>
    <n v="197500"/>
    <s v="NA"/>
    <x v="1"/>
    <n v="0"/>
    <n v="0"/>
    <n v="1"/>
    <n v="-63.53322"/>
    <n v="-72.995230200000009"/>
    <s v="NA"/>
    <s v="NA"/>
    <n v="-72.995230200000009"/>
    <x v="5"/>
    <s v="Europe centrale"/>
    <n v="6"/>
    <s v="K121971"/>
    <s v="Fang"/>
  </r>
  <r>
    <x v="1000"/>
    <s v="ScoRus"/>
    <n v="0"/>
    <x v="1"/>
    <x v="1"/>
    <x v="0"/>
    <x v="2"/>
    <x v="971"/>
    <n v="-22.29"/>
    <x v="954"/>
    <x v="9"/>
    <m/>
    <x v="0"/>
    <x v="3"/>
    <s v="Provence"/>
    <s v="la ronde noire"/>
    <n v="46.885110930000003"/>
    <n v="6.6244240879999996"/>
    <n v="6"/>
    <n v="20"/>
    <x v="0"/>
    <n v="2016"/>
    <x v="153"/>
    <x v="30"/>
    <n v="35"/>
    <x v="4"/>
    <x v="0"/>
    <x v="0"/>
    <n v="537942"/>
    <n v="192988"/>
    <n v="53791929"/>
    <n v="537192"/>
    <n v="535190"/>
    <n v="537500"/>
    <n v="192500"/>
    <n v="328"/>
    <x v="1"/>
    <n v="0"/>
    <n v="0"/>
    <n v="1"/>
    <n v="-63.318845199999998"/>
    <n v="-72.800149132000001"/>
    <s v="NA"/>
    <s v="NA"/>
    <n v="-72.800149132000001"/>
    <x v="5"/>
    <s v="Europe centrale"/>
    <n v="6"/>
    <s v="K115195"/>
    <s v="Fang"/>
  </r>
  <r>
    <x v="1001"/>
    <s v="ScoRus"/>
    <n v="0"/>
    <x v="1"/>
    <x v="1"/>
    <x v="0"/>
    <x v="2"/>
    <x v="972"/>
    <s v="NA"/>
    <x v="955"/>
    <x v="9"/>
    <m/>
    <x v="0"/>
    <x v="3"/>
    <s v="Provence"/>
    <s v="Bellevue"/>
    <n v="46.901511579999998"/>
    <n v="6.6769105839999998"/>
    <n v="6"/>
    <n v="2"/>
    <x v="1"/>
    <n v="2017"/>
    <x v="26"/>
    <x v="4"/>
    <n v="47"/>
    <x v="3"/>
    <x v="1"/>
    <x v="1"/>
    <n v="541960"/>
    <n v="194772"/>
    <n v="54191947"/>
    <n v="541194"/>
    <n v="540190"/>
    <n v="542500"/>
    <n v="192500"/>
    <s v="NA"/>
    <x v="1"/>
    <n v="0"/>
    <n v="0"/>
    <n v="1"/>
    <n v="-62.7798692"/>
    <n v="-72.309680971999995"/>
    <s v="NA"/>
    <s v="NA"/>
    <n v="-72.309680971999995"/>
    <x v="5"/>
    <s v="Europe centrale"/>
    <n v="6"/>
    <s v="K122002"/>
    <s v="Fang"/>
  </r>
  <r>
    <x v="1002"/>
    <s v="ScoRus"/>
    <n v="0"/>
    <x v="1"/>
    <x v="1"/>
    <x v="0"/>
    <x v="2"/>
    <x v="973"/>
    <n v="-23.62"/>
    <x v="956"/>
    <x v="9"/>
    <m/>
    <x v="0"/>
    <x v="0"/>
    <s v="La-Chaux-du-Milieu"/>
    <s v="la Rocheta"/>
    <n v="46.994028620000002"/>
    <n v="6.6984347900000003"/>
    <n v="6"/>
    <n v="18"/>
    <x v="0"/>
    <n v="2016"/>
    <x v="151"/>
    <x v="89"/>
    <n v="33"/>
    <x v="4"/>
    <x v="0"/>
    <x v="0"/>
    <n v="543697"/>
    <n v="205040"/>
    <n v="54362050"/>
    <n v="543205"/>
    <n v="540205"/>
    <n v="542500"/>
    <n v="207500"/>
    <n v="340"/>
    <x v="1"/>
    <n v="0"/>
    <n v="0"/>
    <n v="1"/>
    <n v="-62.694880599999998"/>
    <n v="-72.232341345999998"/>
    <s v="NA"/>
    <s v="NA"/>
    <n v="-72.232341345999998"/>
    <x v="5"/>
    <s v="Europe centrale"/>
    <n v="6"/>
    <s v="K115192"/>
    <s v="Fang"/>
  </r>
  <r>
    <x v="1003"/>
    <s v="ScoRus"/>
    <n v="0"/>
    <x v="1"/>
    <x v="1"/>
    <x v="0"/>
    <x v="2"/>
    <x v="974"/>
    <s v="NA"/>
    <x v="957"/>
    <x v="10"/>
    <m/>
    <x v="0"/>
    <x v="0"/>
    <s v="La Chaux-du-Milieu"/>
    <s v="La Rocheta"/>
    <n v="46.996325820000003"/>
    <n v="6.7003489859999998"/>
    <n v="6"/>
    <n v="5"/>
    <x v="0"/>
    <n v="2017"/>
    <x v="275"/>
    <x v="117"/>
    <n v="20"/>
    <x v="10"/>
    <x v="6"/>
    <x v="4"/>
    <n v="543846"/>
    <n v="205295"/>
    <n v="54382052"/>
    <n v="543205"/>
    <n v="540205"/>
    <n v="542500"/>
    <n v="207500"/>
    <s v="NA"/>
    <x v="1"/>
    <n v="0"/>
    <n v="0"/>
    <n v="1"/>
    <n v="-62.668860000000002"/>
    <n v="-72.208662599999997"/>
    <s v="NA"/>
    <s v="NA"/>
    <n v="-72.208662599999997"/>
    <x v="5"/>
    <s v="Europe centrale"/>
    <n v="6"/>
    <s v="K116327"/>
    <s v="Fang"/>
  </r>
  <r>
    <x v="1004"/>
    <s v="ScoRus"/>
    <n v="0"/>
    <x v="1"/>
    <x v="1"/>
    <x v="0"/>
    <x v="2"/>
    <x v="975"/>
    <n v="-23.83"/>
    <x v="958"/>
    <x v="10"/>
    <m/>
    <x v="0"/>
    <x v="0"/>
    <s v="les Verrieres"/>
    <s v="le pussin"/>
    <n v="46.936774159999999"/>
    <n v="6.4653572759999998"/>
    <n v="6"/>
    <n v="5"/>
    <x v="1"/>
    <n v="2016"/>
    <x v="144"/>
    <x v="22"/>
    <n v="50"/>
    <x v="3"/>
    <x v="1"/>
    <x v="1"/>
    <n v="525890"/>
    <n v="198869"/>
    <n v="52581988"/>
    <n v="525198"/>
    <n v="525195"/>
    <n v="527500"/>
    <n v="197500"/>
    <n v="370"/>
    <x v="1"/>
    <n v="0"/>
    <n v="0"/>
    <n v="1"/>
    <n v="-62.413484799999999"/>
    <n v="-71.976271168000011"/>
    <s v="NA"/>
    <s v="NA"/>
    <n v="-71.976271168000011"/>
    <x v="5"/>
    <s v="Europe centrale"/>
    <n v="6"/>
    <s v="K118481"/>
    <s v="Fang"/>
  </r>
  <r>
    <x v="1005"/>
    <s v="ScoRus"/>
    <n v="0"/>
    <x v="1"/>
    <x v="1"/>
    <x v="0"/>
    <x v="2"/>
    <x v="976"/>
    <s v="NA"/>
    <x v="959"/>
    <x v="10"/>
    <m/>
    <x v="0"/>
    <x v="3"/>
    <s v="Provence"/>
    <s v="Prés Cretegny"/>
    <n v="46.903656150000003"/>
    <n v="6.6734020569999997"/>
    <n v="6"/>
    <n v="20"/>
    <x v="8"/>
    <n v="2017"/>
    <x v="276"/>
    <x v="118"/>
    <n v="5"/>
    <x v="32"/>
    <x v="19"/>
    <x v="14"/>
    <n v="541695"/>
    <n v="195013"/>
    <n v="54161950"/>
    <n v="541195"/>
    <n v="540195"/>
    <n v="542500"/>
    <n v="197500"/>
    <s v="NA"/>
    <x v="1"/>
    <n v="0"/>
    <n v="0"/>
    <n v="1"/>
    <n v="-62.382600799999999"/>
    <n v="-71.948166728000004"/>
    <s v="NA"/>
    <s v="NA"/>
    <n v="-71.948166728000004"/>
    <x v="5"/>
    <s v="Europe centrale"/>
    <n v="6"/>
    <s v="K116321"/>
    <s v="Fang"/>
  </r>
  <r>
    <x v="1006"/>
    <s v="ScoRus"/>
    <n v="0"/>
    <x v="1"/>
    <x v="1"/>
    <x v="0"/>
    <x v="2"/>
    <x v="977"/>
    <n v="-24.32"/>
    <x v="557"/>
    <x v="10"/>
    <m/>
    <x v="0"/>
    <x v="3"/>
    <s v="Provence"/>
    <s v="bellevue"/>
    <n v="46.8994401"/>
    <n v="6.6711521969999996"/>
    <n v="6"/>
    <n v="1"/>
    <x v="1"/>
    <n v="2016"/>
    <x v="147"/>
    <x v="17"/>
    <n v="46"/>
    <x v="1"/>
    <x v="1"/>
    <x v="1"/>
    <n v="541519"/>
    <n v="194545"/>
    <n v="54151945"/>
    <n v="541194"/>
    <n v="540190"/>
    <n v="542500"/>
    <n v="192500"/>
    <n v="340"/>
    <x v="1"/>
    <n v="0"/>
    <n v="0"/>
    <n v="1"/>
    <n v="-61.204978199999999"/>
    <n v="-70.876530161999995"/>
    <s v="NA"/>
    <s v="NA"/>
    <n v="-70.876530161999995"/>
    <x v="5"/>
    <s v="Europe centrale"/>
    <n v="6"/>
    <s v="K118467"/>
    <s v="Fang"/>
  </r>
  <r>
    <x v="1007"/>
    <s v="ScoRus"/>
    <n v="0"/>
    <x v="1"/>
    <x v="1"/>
    <x v="0"/>
    <x v="2"/>
    <x v="978"/>
    <n v="-24.94"/>
    <x v="960"/>
    <x v="10"/>
    <m/>
    <x v="0"/>
    <x v="0"/>
    <s v="Gorgier"/>
    <s v="cret aux moines"/>
    <n v="46.924604879999997"/>
    <n v="6.7275022550000001"/>
    <n v="6"/>
    <n v="4"/>
    <x v="1"/>
    <n v="2016"/>
    <x v="274"/>
    <x v="3"/>
    <n v="49"/>
    <x v="3"/>
    <x v="1"/>
    <x v="1"/>
    <n v="545838"/>
    <n v="197302"/>
    <n v="54581973"/>
    <n v="545197"/>
    <n v="545195"/>
    <n v="547500"/>
    <n v="197500"/>
    <n v="320"/>
    <x v="1"/>
    <n v="0"/>
    <n v="0"/>
    <n v="1"/>
    <n v="-60.960353599999998"/>
    <n v="-70.653921776000004"/>
    <s v="NA"/>
    <s v="NA"/>
    <n v="-70.653921776000004"/>
    <x v="5"/>
    <s v="Europe centrale"/>
    <n v="6"/>
    <s v="K118475"/>
    <s v="Fang"/>
  </r>
  <r>
    <x v="1008"/>
    <s v="ScoRus"/>
    <n v="0"/>
    <x v="1"/>
    <x v="1"/>
    <x v="0"/>
    <x v="2"/>
    <x v="979"/>
    <n v="-24.18"/>
    <x v="961"/>
    <x v="10"/>
    <m/>
    <x v="0"/>
    <x v="0"/>
    <s v="Gorgier"/>
    <s v="cret aux moines"/>
    <n v="46.926711760000003"/>
    <n v="6.7336326629999999"/>
    <n v="6"/>
    <n v="4"/>
    <x v="1"/>
    <n v="2016"/>
    <x v="274"/>
    <x v="3"/>
    <n v="49"/>
    <x v="3"/>
    <x v="1"/>
    <x v="1"/>
    <n v="546307"/>
    <n v="197532"/>
    <n v="54631975"/>
    <n v="546197"/>
    <n v="545195"/>
    <n v="547500"/>
    <n v="197500"/>
    <n v="315"/>
    <x v="1"/>
    <n v="0"/>
    <n v="0"/>
    <n v="1"/>
    <n v="-60.654421200000002"/>
    <n v="-70.375523291999997"/>
    <s v="NA"/>
    <s v="NA"/>
    <n v="-70.375523291999997"/>
    <x v="5"/>
    <s v="Europe centrale"/>
    <n v="6"/>
    <s v="K118473"/>
    <s v="Fang"/>
  </r>
  <r>
    <x v="1009"/>
    <s v="ScoRus"/>
    <n v="0"/>
    <x v="1"/>
    <x v="1"/>
    <x v="0"/>
    <x v="2"/>
    <x v="980"/>
    <s v="NA"/>
    <x v="962"/>
    <x v="10"/>
    <m/>
    <x v="0"/>
    <x v="3"/>
    <s v="Bullet"/>
    <s v="Les Cernets Dessus"/>
    <n v="46.867533379999998"/>
    <n v="6.5801466179999997"/>
    <n v="6"/>
    <n v="3"/>
    <x v="1"/>
    <n v="2017"/>
    <x v="31"/>
    <x v="25"/>
    <n v="48"/>
    <x v="3"/>
    <x v="1"/>
    <x v="1"/>
    <n v="534546"/>
    <n v="191071"/>
    <n v="53451910"/>
    <n v="534191"/>
    <n v="530190"/>
    <n v="532500"/>
    <n v="192500"/>
    <s v="NA"/>
    <x v="1"/>
    <n v="0"/>
    <n v="0"/>
    <n v="1"/>
    <n v="-60.572479800000004"/>
    <n v="-70.300956618000015"/>
    <s v="NA"/>
    <s v="NA"/>
    <n v="-70.300956618000015"/>
    <x v="5"/>
    <s v="Europe centrale"/>
    <n v="6"/>
    <s v="K122007"/>
    <s v="Fang"/>
  </r>
  <r>
    <x v="1010"/>
    <s v="ScoRus"/>
    <n v="0"/>
    <x v="1"/>
    <x v="1"/>
    <x v="0"/>
    <x v="2"/>
    <x v="981"/>
    <n v="-24.38"/>
    <x v="519"/>
    <x v="10"/>
    <m/>
    <x v="0"/>
    <x v="0"/>
    <s v="les  Ponts-de-Martel"/>
    <s v="Haut de joux"/>
    <n v="46.974319010000002"/>
    <n v="6.6683343730000004"/>
    <n v="6"/>
    <n v="5"/>
    <x v="1"/>
    <n v="2016"/>
    <x v="144"/>
    <x v="22"/>
    <n v="50"/>
    <x v="3"/>
    <x v="1"/>
    <x v="1"/>
    <n v="541386"/>
    <n v="202871"/>
    <n v="54132028"/>
    <n v="541202"/>
    <n v="540200"/>
    <n v="542500"/>
    <n v="202500"/>
    <s v="NA"/>
    <x v="1"/>
    <n v="0"/>
    <n v="0"/>
    <n v="1"/>
    <n v="-59.812952600000003"/>
    <n v="-69.609786866000007"/>
    <s v="NA"/>
    <s v="NA"/>
    <n v="-69.609786866000007"/>
    <x v="5"/>
    <s v="Europe centrale"/>
    <n v="6"/>
    <s v="K118498"/>
    <s v="Fang"/>
  </r>
  <r>
    <x v="1011"/>
    <s v="ScoRus"/>
    <n v="0"/>
    <x v="1"/>
    <x v="1"/>
    <x v="0"/>
    <x v="2"/>
    <x v="982"/>
    <s v="NA"/>
    <x v="963"/>
    <x v="10"/>
    <m/>
    <x v="0"/>
    <x v="0"/>
    <s v="Bullet"/>
    <s v="Le Chasseron"/>
    <n v="46.847447529999997"/>
    <n v="6.5382737249999998"/>
    <n v="6"/>
    <n v="18"/>
    <x v="0"/>
    <n v="2017"/>
    <x v="150"/>
    <x v="89"/>
    <n v="33"/>
    <x v="4"/>
    <x v="0"/>
    <x v="0"/>
    <n v="531328"/>
    <n v="188874"/>
    <n v="53131888"/>
    <n v="531188"/>
    <n v="530185"/>
    <n v="532500"/>
    <n v="187500"/>
    <s v="NA"/>
    <x v="1"/>
    <n v="0"/>
    <n v="0"/>
    <n v="1"/>
    <n v="-59.251410399999997"/>
    <n v="-69.098783464000007"/>
    <s v="NA"/>
    <s v="NA"/>
    <n v="-69.098783464000007"/>
    <x v="5"/>
    <s v="Europe centrale"/>
    <n v="6"/>
    <s v="K116332"/>
    <s v="Fang"/>
  </r>
  <r>
    <x v="1012"/>
    <s v="ScoRus"/>
    <n v="0"/>
    <x v="1"/>
    <x v="1"/>
    <x v="0"/>
    <x v="2"/>
    <x v="983"/>
    <s v="NA"/>
    <x v="964"/>
    <x v="10"/>
    <m/>
    <x v="0"/>
    <x v="0"/>
    <s v="Val-de-Travers"/>
    <s v="Chantemerle"/>
    <n v="46.975000000000001"/>
    <n v="6.6706399999999997"/>
    <n v="6"/>
    <n v="24"/>
    <x v="1"/>
    <n v="2017"/>
    <x v="73"/>
    <x v="43"/>
    <n v="69"/>
    <x v="7"/>
    <x v="3"/>
    <x v="2"/>
    <n v="541563"/>
    <n v="202946"/>
    <n v="54152029"/>
    <n v="541202"/>
    <n v="540200"/>
    <n v="542500"/>
    <n v="202500"/>
    <s v="NA"/>
    <x v="1"/>
    <n v="0"/>
    <n v="0"/>
    <n v="1"/>
    <n v="-58.120376999999998"/>
    <n v="-68.069543070000009"/>
    <s v="NA"/>
    <s v="NA"/>
    <n v="-68.069543070000009"/>
    <x v="5"/>
    <s v="Europe centrale"/>
    <n v="6"/>
    <s v="K122017"/>
    <s v="Fang"/>
  </r>
  <r>
    <x v="1013"/>
    <s v="ScoRus"/>
    <n v="0"/>
    <x v="1"/>
    <x v="1"/>
    <x v="0"/>
    <x v="2"/>
    <x v="984"/>
    <n v="-24.04"/>
    <x v="965"/>
    <x v="10"/>
    <m/>
    <x v="0"/>
    <x v="0"/>
    <s v="les Verrieres"/>
    <s v="le pussin"/>
    <n v="46.93537603"/>
    <n v="6.4659735889999999"/>
    <n v="6"/>
    <n v="31"/>
    <x v="0"/>
    <n v="2016"/>
    <x v="20"/>
    <x v="17"/>
    <n v="46"/>
    <x v="1"/>
    <x v="1"/>
    <x v="1"/>
    <n v="525935"/>
    <n v="198713"/>
    <n v="52591987"/>
    <n v="525198"/>
    <n v="525195"/>
    <n v="527500"/>
    <n v="197500"/>
    <n v="370"/>
    <x v="1"/>
    <n v="0"/>
    <n v="0"/>
    <n v="1"/>
    <n v="-57.833666200000003"/>
    <n v="-67.808636242000006"/>
    <s v="NA"/>
    <s v="NA"/>
    <n v="-67.808636242000006"/>
    <x v="5"/>
    <s v="Europe centrale"/>
    <n v="6"/>
    <s v="K118466"/>
    <s v="Fang"/>
  </r>
  <r>
    <x v="1014"/>
    <s v="ScoRus"/>
    <n v="0"/>
    <x v="1"/>
    <x v="1"/>
    <x v="0"/>
    <x v="2"/>
    <x v="985"/>
    <s v="NA"/>
    <x v="966"/>
    <x v="10"/>
    <m/>
    <x v="0"/>
    <x v="3"/>
    <s v="Bullet"/>
    <s v="Les Cernets Dessus"/>
    <n v="46.867620080000002"/>
    <n v="6.5797123910000002"/>
    <n v="6"/>
    <n v="3"/>
    <x v="1"/>
    <n v="2017"/>
    <x v="31"/>
    <x v="25"/>
    <n v="48"/>
    <x v="3"/>
    <x v="1"/>
    <x v="1"/>
    <n v="534513"/>
    <n v="191081"/>
    <n v="53451910"/>
    <n v="534191"/>
    <n v="530190"/>
    <n v="532500"/>
    <n v="192500"/>
    <s v="NA"/>
    <x v="1"/>
    <n v="0"/>
    <n v="0"/>
    <n v="1"/>
    <n v="-57.773803200000003"/>
    <n v="-67.754160912000003"/>
    <s v="NA"/>
    <s v="NA"/>
    <n v="-67.754160912000003"/>
    <x v="5"/>
    <s v="Europe centrale"/>
    <n v="6"/>
    <s v="K122006"/>
    <s v="Fang"/>
  </r>
  <r>
    <x v="1015"/>
    <s v="ScoRus"/>
    <n v="0"/>
    <x v="1"/>
    <x v="1"/>
    <x v="0"/>
    <x v="2"/>
    <x v="986"/>
    <n v="-24.34"/>
    <x v="967"/>
    <x v="10"/>
    <m/>
    <x v="0"/>
    <x v="0"/>
    <s v="les  Ponts-de-Martel"/>
    <s v="Haut de joux"/>
    <n v="46.973163360000001"/>
    <n v="6.6703879720000003"/>
    <n v="6"/>
    <n v="5"/>
    <x v="1"/>
    <n v="2016"/>
    <x v="144"/>
    <x v="22"/>
    <n v="50"/>
    <x v="3"/>
    <x v="1"/>
    <x v="1"/>
    <n v="541541"/>
    <n v="202741"/>
    <n v="54152027"/>
    <n v="541202"/>
    <n v="540200"/>
    <n v="542500"/>
    <n v="202500"/>
    <s v="NA"/>
    <x v="1"/>
    <n v="0"/>
    <n v="0"/>
    <n v="1"/>
    <n v="-57.714039"/>
    <n v="-67.699775490000007"/>
    <s v="NA"/>
    <s v="NA"/>
    <n v="-67.699775490000007"/>
    <x v="5"/>
    <s v="Europe centrale"/>
    <n v="6"/>
    <s v="K118497"/>
    <s v="Fang"/>
  </r>
  <r>
    <x v="1016"/>
    <s v="ScoRus"/>
    <n v="0"/>
    <x v="1"/>
    <x v="1"/>
    <x v="0"/>
    <x v="2"/>
    <x v="987"/>
    <s v="NA"/>
    <x v="968"/>
    <x v="10"/>
    <m/>
    <x v="0"/>
    <x v="3"/>
    <s v="Bullet"/>
    <s v="Les Cernets Dessous"/>
    <n v="46.861130889999998"/>
    <n v="6.5685764569999998"/>
    <n v="6"/>
    <n v="3"/>
    <x v="1"/>
    <n v="2017"/>
    <x v="31"/>
    <x v="25"/>
    <n v="48"/>
    <x v="3"/>
    <x v="1"/>
    <x v="1"/>
    <n v="533656"/>
    <n v="190369"/>
    <n v="53361903"/>
    <n v="533190"/>
    <n v="530190"/>
    <n v="532500"/>
    <n v="192500"/>
    <s v="NA"/>
    <x v="1"/>
    <n v="0"/>
    <n v="0"/>
    <n v="1"/>
    <n v="-57.653309800000002"/>
    <n v="-67.644511918000006"/>
    <s v="NA"/>
    <s v="NA"/>
    <n v="-67.644511918000006"/>
    <x v="5"/>
    <s v="Europe centrale"/>
    <n v="6"/>
    <s v="K122008"/>
    <s v="Fang"/>
  </r>
  <r>
    <x v="1017"/>
    <s v="ScoRus"/>
    <n v="0"/>
    <x v="1"/>
    <x v="1"/>
    <x v="0"/>
    <x v="2"/>
    <x v="988"/>
    <s v="NA"/>
    <x v="969"/>
    <x v="10"/>
    <m/>
    <x v="0"/>
    <x v="0"/>
    <s v="La Chaux-du-Milieu"/>
    <s v="La Rocheta"/>
    <n v="46.99609495"/>
    <n v="6.6980250220000004"/>
    <n v="6"/>
    <n v="21"/>
    <x v="0"/>
    <n v="2017"/>
    <x v="64"/>
    <x v="11"/>
    <n v="36"/>
    <x v="4"/>
    <x v="0"/>
    <x v="0"/>
    <n v="543669"/>
    <n v="205271"/>
    <n v="54362052"/>
    <n v="543205"/>
    <n v="540205"/>
    <n v="542500"/>
    <n v="207500"/>
    <s v="NA"/>
    <x v="1"/>
    <n v="0"/>
    <n v="0"/>
    <n v="1"/>
    <n v="-57.564821199999997"/>
    <n v="-67.563987292000007"/>
    <s v="NA"/>
    <s v="NA"/>
    <n v="-67.563987292000007"/>
    <x v="5"/>
    <s v="Europe centrale"/>
    <n v="6"/>
    <s v="K116349"/>
    <s v="Fang"/>
  </r>
  <r>
    <x v="1018"/>
    <s v="ScoRus"/>
    <n v="0"/>
    <x v="1"/>
    <x v="1"/>
    <x v="0"/>
    <x v="2"/>
    <x v="989"/>
    <n v="-23.92"/>
    <x v="970"/>
    <x v="10"/>
    <m/>
    <x v="0"/>
    <x v="0"/>
    <s v="les Verrieres"/>
    <s v="le pussin"/>
    <n v="46.934728049999997"/>
    <n v="6.4648821349999999"/>
    <n v="6"/>
    <n v="5"/>
    <x v="1"/>
    <n v="2016"/>
    <x v="144"/>
    <x v="22"/>
    <n v="50"/>
    <x v="3"/>
    <x v="1"/>
    <x v="1"/>
    <n v="525851"/>
    <n v="198642"/>
    <n v="52581986"/>
    <n v="525198"/>
    <n v="525195"/>
    <n v="527500"/>
    <n v="197500"/>
    <n v="315"/>
    <x v="1"/>
    <n v="0"/>
    <n v="0"/>
    <n v="1"/>
    <n v="-57.500613199999997"/>
    <n v="-67.505558011999995"/>
    <s v="NA"/>
    <s v="NA"/>
    <n v="-67.505558011999995"/>
    <x v="5"/>
    <s v="Europe centrale"/>
    <n v="6"/>
    <s v="K118485"/>
    <s v="Fang"/>
  </r>
  <r>
    <x v="1019"/>
    <s v="ScoRus"/>
    <n v="0"/>
    <x v="1"/>
    <x v="1"/>
    <x v="0"/>
    <x v="2"/>
    <x v="990"/>
    <s v="NA"/>
    <x v="971"/>
    <x v="10"/>
    <m/>
    <x v="0"/>
    <x v="3"/>
    <s v="Bullet"/>
    <s v="Les Cernets"/>
    <n v="46.86553266"/>
    <n v="6.5760732280000003"/>
    <n v="6"/>
    <n v="19"/>
    <x v="0"/>
    <n v="2017"/>
    <x v="148"/>
    <x v="9"/>
    <n v="34"/>
    <x v="4"/>
    <x v="0"/>
    <x v="0"/>
    <n v="534233"/>
    <n v="190852"/>
    <n v="53421908"/>
    <n v="534190"/>
    <n v="530190"/>
    <n v="532500"/>
    <n v="192500"/>
    <s v="NA"/>
    <x v="1"/>
    <n v="0"/>
    <n v="0"/>
    <n v="1"/>
    <n v="-56.962124799999998"/>
    <n v="-67.015533567999995"/>
    <s v="NA"/>
    <s v="NA"/>
    <n v="-67.015533567999995"/>
    <x v="5"/>
    <s v="Europe centrale"/>
    <n v="6"/>
    <s v="K116335"/>
    <s v="Fang"/>
  </r>
  <r>
    <x v="1020"/>
    <s v="ScoRus"/>
    <n v="0"/>
    <x v="1"/>
    <x v="1"/>
    <x v="0"/>
    <x v="2"/>
    <x v="991"/>
    <n v="-23.65"/>
    <x v="972"/>
    <x v="10"/>
    <m/>
    <x v="0"/>
    <x v="0"/>
    <s v="Gorgier"/>
    <s v="le soliat"/>
    <n v="46.930111859999997"/>
    <n v="6.7277708269999996"/>
    <n v="6"/>
    <n v="4"/>
    <x v="1"/>
    <n v="2016"/>
    <x v="274"/>
    <x v="3"/>
    <n v="49"/>
    <x v="3"/>
    <x v="1"/>
    <x v="1"/>
    <n v="545864"/>
    <n v="197914"/>
    <n v="54581979"/>
    <n v="545197"/>
    <n v="545195"/>
    <n v="547500"/>
    <n v="197500"/>
    <n v="312"/>
    <x v="1"/>
    <n v="0"/>
    <n v="0"/>
    <n v="1"/>
    <n v="-56.929665200000002"/>
    <n v="-66.985995332000002"/>
    <s v="NA"/>
    <s v="NA"/>
    <n v="-66.985995332000002"/>
    <x v="5"/>
    <s v="Europe centrale"/>
    <n v="6"/>
    <s v="K118479"/>
    <s v="Fang"/>
  </r>
  <r>
    <x v="1021"/>
    <s v="ScoRus"/>
    <n v="0"/>
    <x v="1"/>
    <x v="1"/>
    <x v="0"/>
    <x v="2"/>
    <x v="992"/>
    <n v="-23.54"/>
    <x v="973"/>
    <x v="10"/>
    <m/>
    <x v="0"/>
    <x v="3"/>
    <s v="Provence"/>
    <s v="la ronde noire"/>
    <n v="46.881933570000001"/>
    <n v="6.6254299220000004"/>
    <n v="6"/>
    <n v="20"/>
    <x v="0"/>
    <n v="2016"/>
    <x v="153"/>
    <x v="30"/>
    <n v="35"/>
    <x v="4"/>
    <x v="0"/>
    <x v="0"/>
    <n v="538015"/>
    <n v="192634"/>
    <n v="53801926"/>
    <n v="538192"/>
    <n v="535190"/>
    <n v="537500"/>
    <n v="192500"/>
    <n v="333"/>
    <x v="1"/>
    <n v="0"/>
    <n v="0"/>
    <n v="1"/>
    <n v="-56.838585399999999"/>
    <n v="-66.903112714000002"/>
    <s v="NA"/>
    <s v="NA"/>
    <n v="-66.903112714000002"/>
    <x v="5"/>
    <s v="Europe centrale"/>
    <n v="6"/>
    <s v="K115197"/>
    <s v="Fang"/>
  </r>
  <r>
    <x v="1022"/>
    <s v="ScoRus"/>
    <n v="0"/>
    <x v="1"/>
    <x v="1"/>
    <x v="0"/>
    <x v="2"/>
    <x v="993"/>
    <n v="-23.53"/>
    <x v="361"/>
    <x v="10"/>
    <m/>
    <x v="0"/>
    <x v="0"/>
    <s v="Val-de-Travers"/>
    <s v="signal des français"/>
    <n v="46.93101686"/>
    <n v="6.5837552199999996"/>
    <n v="6"/>
    <n v="5"/>
    <x v="1"/>
    <n v="2016"/>
    <x v="144"/>
    <x v="22"/>
    <n v="50"/>
    <x v="3"/>
    <x v="1"/>
    <x v="1"/>
    <n v="534898"/>
    <n v="198124"/>
    <n v="53481981"/>
    <n v="534198"/>
    <n v="530195"/>
    <n v="532500"/>
    <n v="197500"/>
    <n v="305"/>
    <x v="1"/>
    <n v="0"/>
    <n v="0"/>
    <n v="1"/>
    <n v="-56.413093199999999"/>
    <n v="-66.515914812000005"/>
    <s v="NA"/>
    <s v="NA"/>
    <n v="-66.515914812000005"/>
    <x v="5"/>
    <s v="Europe centrale"/>
    <n v="6"/>
    <s v="K118489"/>
    <s v="Fang"/>
  </r>
  <r>
    <x v="1023"/>
    <s v="ScoRus"/>
    <n v="0"/>
    <x v="1"/>
    <x v="1"/>
    <x v="0"/>
    <x v="2"/>
    <x v="994"/>
    <s v="NA"/>
    <x v="974"/>
    <x v="10"/>
    <m/>
    <x v="0"/>
    <x v="0"/>
    <s v="Val-de-Travers"/>
    <s v="Chantemerle"/>
    <n v="46.974649479999997"/>
    <n v="6.6693205830000002"/>
    <n v="6"/>
    <n v="28"/>
    <x v="0"/>
    <n v="2017"/>
    <x v="59"/>
    <x v="16"/>
    <n v="43"/>
    <x v="1"/>
    <x v="1"/>
    <x v="1"/>
    <n v="541462"/>
    <n v="202908"/>
    <n v="54142029"/>
    <n v="541202"/>
    <n v="540200"/>
    <n v="542500"/>
    <n v="202500"/>
    <s v="NA"/>
    <x v="1"/>
    <n v="0"/>
    <n v="0"/>
    <n v="1"/>
    <n v="-55.908284000000002"/>
    <n v="-66.056538439999997"/>
    <s v="NA"/>
    <s v="NA"/>
    <n v="-66.056538439999997"/>
    <x v="5"/>
    <s v="Europe centrale"/>
    <n v="6"/>
    <s v="K121990"/>
    <s v="Fang"/>
  </r>
  <r>
    <x v="1024"/>
    <s v="ScoRus"/>
    <n v="0"/>
    <x v="1"/>
    <x v="1"/>
    <x v="0"/>
    <x v="2"/>
    <x v="995"/>
    <s v="NA"/>
    <x v="975"/>
    <x v="10"/>
    <m/>
    <x v="0"/>
    <x v="3"/>
    <s v="Bullet"/>
    <s v="Le Chasseron"/>
    <n v="46.855287500000003"/>
    <n v="6.5468893350000004"/>
    <n v="6"/>
    <n v="3"/>
    <x v="0"/>
    <n v="2017"/>
    <x v="277"/>
    <x v="39"/>
    <n v="18"/>
    <x v="10"/>
    <x v="6"/>
    <x v="4"/>
    <n v="531995"/>
    <n v="189738"/>
    <n v="53191897"/>
    <n v="531189"/>
    <n v="530185"/>
    <n v="532500"/>
    <n v="187500"/>
    <s v="NA"/>
    <x v="1"/>
    <n v="0"/>
    <n v="0"/>
    <n v="1"/>
    <n v="-55.037759299999998"/>
    <n v="-65.264360963000001"/>
    <s v="NA"/>
    <s v="NA"/>
    <n v="-65.264360963000001"/>
    <x v="5"/>
    <s v="Europe centrale"/>
    <n v="6"/>
    <s v="K116326"/>
    <s v="Fang"/>
  </r>
  <r>
    <x v="1025"/>
    <s v="ScoRus"/>
    <n v="0"/>
    <x v="1"/>
    <x v="1"/>
    <x v="0"/>
    <x v="2"/>
    <x v="996"/>
    <s v="NA"/>
    <x v="976"/>
    <x v="10"/>
    <m/>
    <x v="0"/>
    <x v="0"/>
    <s v="Les Verrières"/>
    <s v="Le Corp de Garde"/>
    <n v="46.935709539999998"/>
    <n v="6.4639339089999996"/>
    <n v="6"/>
    <n v="26"/>
    <x v="0"/>
    <n v="2017"/>
    <x v="83"/>
    <x v="0"/>
    <n v="41"/>
    <x v="0"/>
    <x v="0"/>
    <x v="0"/>
    <n v="525781"/>
    <n v="198753"/>
    <n v="52571987"/>
    <n v="525198"/>
    <n v="525195"/>
    <n v="527500"/>
    <n v="197500"/>
    <s v="NA"/>
    <x v="1"/>
    <n v="0"/>
    <n v="0"/>
    <n v="1"/>
    <n v="-54.506976000000002"/>
    <n v="-64.781348159999993"/>
    <s v="NA"/>
    <s v="NA"/>
    <n v="-64.781348159999993"/>
    <x v="6"/>
    <s v="Ouest de la France, Espagne ou Italie"/>
    <n v="5"/>
    <s v="K121970"/>
    <s v="Fang"/>
  </r>
  <r>
    <x v="1026"/>
    <s v="ScoRus"/>
    <n v="0"/>
    <x v="1"/>
    <x v="1"/>
    <x v="0"/>
    <x v="2"/>
    <x v="997"/>
    <s v="NA"/>
    <x v="977"/>
    <x v="10"/>
    <m/>
    <x v="0"/>
    <x v="0"/>
    <s v="Les Verrières"/>
    <s v="Le Crêt Rond"/>
    <n v="46.927626490000002"/>
    <n v="6.4570606350000004"/>
    <n v="6"/>
    <n v="26"/>
    <x v="0"/>
    <n v="2017"/>
    <x v="83"/>
    <x v="0"/>
    <n v="41"/>
    <x v="0"/>
    <x v="0"/>
    <x v="0"/>
    <n v="525246"/>
    <n v="197861"/>
    <n v="52521978"/>
    <n v="525197"/>
    <n v="525195"/>
    <n v="527500"/>
    <n v="197500"/>
    <s v="NA"/>
    <x v="1"/>
    <n v="0"/>
    <n v="0"/>
    <n v="1"/>
    <n v="-54.303837600000001"/>
    <n v="-64.596492216000001"/>
    <s v="NA"/>
    <s v="NA"/>
    <n v="-64.596492216000001"/>
    <x v="6"/>
    <s v="Ouest de la France, Espagne ou Italie"/>
    <n v="5"/>
    <s v="K121972"/>
    <s v="Fang"/>
  </r>
  <r>
    <x v="1027"/>
    <s v="ScoRus"/>
    <n v="0"/>
    <x v="1"/>
    <x v="1"/>
    <x v="0"/>
    <x v="2"/>
    <x v="998"/>
    <s v="NA"/>
    <x v="978"/>
    <x v="11"/>
    <m/>
    <x v="0"/>
    <x v="0"/>
    <s v="Gorgier"/>
    <s v="Crêt aux Moines"/>
    <n v="46.927475630000004"/>
    <n v="6.7349729309999997"/>
    <n v="6"/>
    <n v="24"/>
    <x v="0"/>
    <n v="2017"/>
    <x v="15"/>
    <x v="14"/>
    <n v="39"/>
    <x v="0"/>
    <x v="0"/>
    <x v="0"/>
    <n v="546410"/>
    <n v="197617"/>
    <n v="54641976"/>
    <n v="546197"/>
    <n v="545195"/>
    <n v="547500"/>
    <n v="197500"/>
    <s v="NA"/>
    <x v="1"/>
    <n v="0"/>
    <n v="0"/>
    <n v="1"/>
    <n v="-53.251711999999998"/>
    <n v="-63.639057919999999"/>
    <s v="NA"/>
    <s v="NA"/>
    <n v="-63.639057919999999"/>
    <x v="6"/>
    <s v="Ouest de la France, Espagne ou Italie"/>
    <n v="5"/>
    <s v="K121961"/>
    <s v="Fang"/>
  </r>
  <r>
    <x v="1028"/>
    <s v="ScoRus"/>
    <n v="0"/>
    <x v="1"/>
    <x v="1"/>
    <x v="0"/>
    <x v="2"/>
    <x v="999"/>
    <n v="-23.84"/>
    <x v="979"/>
    <x v="11"/>
    <m/>
    <x v="0"/>
    <x v="0"/>
    <s v="Gorgier"/>
    <s v="le soliat"/>
    <n v="46.930681810000003"/>
    <n v="6.7225106370000001"/>
    <n v="6"/>
    <n v="4"/>
    <x v="1"/>
    <n v="2016"/>
    <x v="274"/>
    <x v="3"/>
    <n v="49"/>
    <x v="3"/>
    <x v="1"/>
    <x v="1"/>
    <n v="545464"/>
    <n v="197981"/>
    <n v="54541979"/>
    <n v="545197"/>
    <n v="545195"/>
    <n v="547500"/>
    <n v="197500"/>
    <n v="325"/>
    <x v="1"/>
    <n v="0"/>
    <n v="0"/>
    <n v="1"/>
    <n v="-53.217143800000002"/>
    <n v="-63.607600858000005"/>
    <s v="NA"/>
    <s v="NA"/>
    <n v="-63.607600858000005"/>
    <x v="6"/>
    <s v="Ouest de la France, Espagne ou Italie"/>
    <n v="5"/>
    <s v="K118476"/>
    <s v="Fang"/>
  </r>
  <r>
    <x v="1029"/>
    <s v="ScoRus"/>
    <n v="0"/>
    <x v="1"/>
    <x v="1"/>
    <x v="0"/>
    <x v="2"/>
    <x v="1000"/>
    <s v="NA"/>
    <x v="980"/>
    <x v="11"/>
    <m/>
    <x v="0"/>
    <x v="0"/>
    <s v="Les Verrières"/>
    <s v="Le Pussin"/>
    <n v="46.933883629999997"/>
    <n v="6.4639649969999997"/>
    <n v="6"/>
    <n v="6"/>
    <x v="0"/>
    <n v="2017"/>
    <x v="278"/>
    <x v="110"/>
    <n v="21"/>
    <x v="10"/>
    <x v="6"/>
    <x v="4"/>
    <n v="525781"/>
    <n v="198550"/>
    <n v="52571985"/>
    <n v="525198"/>
    <n v="525195"/>
    <n v="527500"/>
    <n v="197500"/>
    <s v="NA"/>
    <x v="1"/>
    <n v="0"/>
    <n v="0"/>
    <n v="1"/>
    <n v="-52.983128399999998"/>
    <n v="-63.394646844"/>
    <s v="NA"/>
    <s v="NA"/>
    <n v="-63.394646844"/>
    <x v="6"/>
    <s v="Ouest de la France, Espagne ou Italie"/>
    <n v="5"/>
    <s v="K116329"/>
    <s v="Fang"/>
  </r>
  <r>
    <x v="1030"/>
    <s v="ScoRus"/>
    <n v="0"/>
    <x v="1"/>
    <x v="1"/>
    <x v="0"/>
    <x v="2"/>
    <x v="1001"/>
    <s v="NA"/>
    <x v="981"/>
    <x v="11"/>
    <m/>
    <x v="0"/>
    <x v="0"/>
    <s v="La Chaux-du-Milieu"/>
    <s v="La Rocheta"/>
    <n v="46.996042099999997"/>
    <n v="6.7023921250000003"/>
    <n v="6"/>
    <n v="23"/>
    <x v="0"/>
    <n v="2017"/>
    <x v="87"/>
    <x v="44"/>
    <n v="38"/>
    <x v="0"/>
    <x v="0"/>
    <x v="0"/>
    <n v="544001"/>
    <n v="205262"/>
    <n v="54402052"/>
    <n v="544205"/>
    <n v="540205"/>
    <n v="542500"/>
    <n v="207500"/>
    <s v="NA"/>
    <x v="1"/>
    <n v="0"/>
    <n v="0"/>
    <n v="1"/>
    <n v="-52.880066599999999"/>
    <n v="-63.300860606000001"/>
    <s v="NA"/>
    <s v="NA"/>
    <n v="-63.300860606000001"/>
    <x v="6"/>
    <s v="Ouest de la France, Espagne ou Italie"/>
    <n v="5"/>
    <s v="K121959"/>
    <s v="Fang"/>
  </r>
  <r>
    <x v="1031"/>
    <s v="ScoRus"/>
    <n v="0"/>
    <x v="1"/>
    <x v="1"/>
    <x v="0"/>
    <x v="2"/>
    <x v="1002"/>
    <s v="NA"/>
    <x v="982"/>
    <x v="11"/>
    <m/>
    <x v="0"/>
    <x v="0"/>
    <s v="Val-de-Travers"/>
    <s v="Les Coeubles"/>
    <n v="46.934606770000002"/>
    <n v="6.5850425440000002"/>
    <n v="6"/>
    <n v="27"/>
    <x v="0"/>
    <n v="2017"/>
    <x v="142"/>
    <x v="6"/>
    <n v="42"/>
    <x v="0"/>
    <x v="0"/>
    <x v="0"/>
    <n v="535001"/>
    <n v="198523"/>
    <n v="53501985"/>
    <n v="535198"/>
    <n v="535195"/>
    <n v="537500"/>
    <n v="197500"/>
    <s v="NA"/>
    <x v="1"/>
    <n v="0"/>
    <n v="0"/>
    <n v="1"/>
    <n v="-52.186854400000001"/>
    <n v="-62.670037504"/>
    <s v="NA"/>
    <s v="NA"/>
    <n v="-62.670037504"/>
    <x v="6"/>
    <s v="Ouest de la France, Espagne ou Italie"/>
    <n v="5"/>
    <s v="K121975"/>
    <s v="Fang"/>
  </r>
  <r>
    <x v="1032"/>
    <s v="ScoRus"/>
    <n v="0"/>
    <x v="1"/>
    <x v="1"/>
    <x v="0"/>
    <x v="2"/>
    <x v="1003"/>
    <s v="NA"/>
    <x v="983"/>
    <x v="11"/>
    <m/>
    <x v="0"/>
    <x v="0"/>
    <s v="La Chaux-du-Milieu"/>
    <s v="La Rocheta"/>
    <n v="46.995902049999998"/>
    <n v="6.700197041"/>
    <n v="6"/>
    <n v="21"/>
    <x v="0"/>
    <n v="2017"/>
    <x v="64"/>
    <x v="11"/>
    <n v="36"/>
    <x v="4"/>
    <x v="0"/>
    <x v="0"/>
    <n v="543834"/>
    <n v="205248"/>
    <n v="54382052"/>
    <n v="543205"/>
    <n v="540205"/>
    <n v="542500"/>
    <n v="207500"/>
    <s v="NA"/>
    <x v="1"/>
    <n v="0"/>
    <n v="0"/>
    <n v="1"/>
    <n v="-52.115286099999999"/>
    <n v="-62.604910351000001"/>
    <s v="NA"/>
    <s v="NA"/>
    <n v="-62.604910351000001"/>
    <x v="6"/>
    <s v="Ouest de la France, Espagne ou Italie"/>
    <n v="5"/>
    <s v="K116347"/>
    <s v="Fang"/>
  </r>
  <r>
    <x v="1033"/>
    <s v="ScoRus"/>
    <n v="0"/>
    <x v="1"/>
    <x v="1"/>
    <x v="0"/>
    <x v="2"/>
    <x v="1004"/>
    <s v="NA"/>
    <x v="984"/>
    <x v="11"/>
    <m/>
    <x v="0"/>
    <x v="3"/>
    <s v="Bullet"/>
    <s v="Le Chasseron"/>
    <n v="46.856421099999999"/>
    <n v="6.5492161969999998"/>
    <n v="6"/>
    <n v="26"/>
    <x v="0"/>
    <n v="2017"/>
    <x v="83"/>
    <x v="0"/>
    <n v="41"/>
    <x v="0"/>
    <x v="0"/>
    <x v="0"/>
    <n v="532174"/>
    <n v="189862"/>
    <n v="53211898"/>
    <n v="532189"/>
    <n v="530185"/>
    <n v="532500"/>
    <n v="187500"/>
    <s v="NA"/>
    <x v="1"/>
    <n v="0"/>
    <n v="0"/>
    <n v="1"/>
    <n v="-52.087475900000001"/>
    <n v="-62.579603069000001"/>
    <s v="NA"/>
    <s v="NA"/>
    <n v="-62.579603069000001"/>
    <x v="6"/>
    <s v="Ouest de la France, Espagne ou Italie"/>
    <n v="5"/>
    <s v="K121969"/>
    <s v="Fang"/>
  </r>
  <r>
    <x v="1034"/>
    <s v="ScoRus"/>
    <n v="0"/>
    <x v="1"/>
    <x v="1"/>
    <x v="0"/>
    <x v="2"/>
    <x v="1005"/>
    <s v="NA"/>
    <x v="985"/>
    <x v="11"/>
    <m/>
    <x v="0"/>
    <x v="0"/>
    <s v="Val-de-Travers"/>
    <s v="Chantemerle"/>
    <n v="46.97452079"/>
    <n v="6.6702525860000002"/>
    <n v="6"/>
    <n v="28"/>
    <x v="0"/>
    <n v="2017"/>
    <x v="59"/>
    <x v="16"/>
    <n v="43"/>
    <x v="1"/>
    <x v="1"/>
    <x v="1"/>
    <n v="541533"/>
    <n v="202893"/>
    <n v="54152028"/>
    <n v="541202"/>
    <n v="540200"/>
    <n v="542500"/>
    <n v="202500"/>
    <s v="NA"/>
    <x v="1"/>
    <n v="0"/>
    <n v="0"/>
    <n v="1"/>
    <n v="-52.049661399999998"/>
    <n v="-62.545191873999997"/>
    <s v="NA"/>
    <s v="NA"/>
    <n v="-62.545191873999997"/>
    <x v="6"/>
    <s v="Ouest de la France, Espagne ou Italie"/>
    <n v="5"/>
    <s v="K121988"/>
    <s v="Fang"/>
  </r>
  <r>
    <x v="1035"/>
    <s v="ScoRus"/>
    <n v="0"/>
    <x v="1"/>
    <x v="1"/>
    <x v="0"/>
    <x v="2"/>
    <x v="1006"/>
    <s v="NA"/>
    <x v="986"/>
    <x v="11"/>
    <m/>
    <x v="0"/>
    <x v="0"/>
    <s v="La Chaux-du-Milieu"/>
    <s v="La Rocheta"/>
    <n v="46.99645099"/>
    <n v="6.7030294069999998"/>
    <n v="6"/>
    <n v="10"/>
    <x v="1"/>
    <n v="2017"/>
    <x v="145"/>
    <x v="19"/>
    <n v="55"/>
    <x v="2"/>
    <x v="2"/>
    <x v="1"/>
    <n v="544050"/>
    <n v="205307"/>
    <n v="54402053"/>
    <n v="544205"/>
    <n v="540205"/>
    <n v="542500"/>
    <n v="207500"/>
    <s v="NA"/>
    <x v="1"/>
    <n v="0"/>
    <n v="0"/>
    <n v="1"/>
    <n v="-51.1727524"/>
    <n v="-61.747204684000003"/>
    <s v="NA"/>
    <s v="NA"/>
    <n v="-61.747204684000003"/>
    <x v="6"/>
    <s v="Ouest de la France, Espagne ou Italie"/>
    <n v="5"/>
    <s v="K122010"/>
    <s v="Fang"/>
  </r>
  <r>
    <x v="1036"/>
    <s v="ScoRus"/>
    <n v="0"/>
    <x v="1"/>
    <x v="1"/>
    <x v="0"/>
    <x v="2"/>
    <x v="1007"/>
    <s v="NA"/>
    <x v="987"/>
    <x v="11"/>
    <m/>
    <x v="0"/>
    <x v="0"/>
    <s v="Val-de-Travers"/>
    <s v="Chantemerle"/>
    <n v="46.975797120000003"/>
    <n v="6.671440617"/>
    <n v="6"/>
    <n v="28"/>
    <x v="0"/>
    <n v="2017"/>
    <x v="59"/>
    <x v="16"/>
    <n v="43"/>
    <x v="1"/>
    <x v="1"/>
    <x v="1"/>
    <n v="541625"/>
    <n v="203034"/>
    <n v="54162030"/>
    <n v="541203"/>
    <n v="540200"/>
    <n v="542500"/>
    <n v="202500"/>
    <s v="NA"/>
    <x v="1"/>
    <n v="0"/>
    <n v="0"/>
    <n v="1"/>
    <n v="-49.349004000000001"/>
    <n v="-60.087593640000001"/>
    <s v="NA"/>
    <s v="NA"/>
    <n v="-60.087593640000001"/>
    <x v="6"/>
    <s v="Ouest de la France, Espagne ou Italie"/>
    <n v="5"/>
    <s v="K121985"/>
    <s v="Fang"/>
  </r>
  <r>
    <x v="1037"/>
    <s v="ScoRus"/>
    <n v="0"/>
    <x v="1"/>
    <x v="1"/>
    <x v="0"/>
    <x v="2"/>
    <x v="1008"/>
    <s v="NA"/>
    <x v="988"/>
    <x v="11"/>
    <m/>
    <x v="0"/>
    <x v="0"/>
    <s v="Val-de-Travers"/>
    <s v="Hauts des Joux"/>
    <n v="46.979073929999998"/>
    <n v="6.6718017950000004"/>
    <n v="6"/>
    <n v="10"/>
    <x v="1"/>
    <n v="2017"/>
    <x v="145"/>
    <x v="19"/>
    <n v="55"/>
    <x v="2"/>
    <x v="2"/>
    <x v="1"/>
    <n v="541656"/>
    <n v="203398"/>
    <n v="54162033"/>
    <n v="541203"/>
    <n v="540200"/>
    <n v="542500"/>
    <n v="202500"/>
    <s v="NA"/>
    <x v="1"/>
    <n v="0"/>
    <n v="0"/>
    <n v="1"/>
    <n v="-48.873440199999997"/>
    <n v="-59.654830582000002"/>
    <s v="NA"/>
    <s v="NA"/>
    <n v="-59.654830582000002"/>
    <x v="6"/>
    <s v="Ouest de la France, Espagne ou Italie"/>
    <n v="5"/>
    <s v="K122014"/>
    <s v="Fang"/>
  </r>
  <r>
    <x v="1038"/>
    <s v="ScoRus"/>
    <n v="0"/>
    <x v="1"/>
    <x v="1"/>
    <x v="0"/>
    <x v="2"/>
    <x v="1009"/>
    <n v="-22.45"/>
    <x v="948"/>
    <x v="11"/>
    <m/>
    <x v="0"/>
    <x v="0"/>
    <s v="Gorgier"/>
    <s v="cret aux moines"/>
    <n v="46.926413650000001"/>
    <n v="6.7319689890000003"/>
    <n v="6"/>
    <n v="27"/>
    <x v="0"/>
    <n v="2016"/>
    <x v="149"/>
    <x v="6"/>
    <n v="42"/>
    <x v="0"/>
    <x v="0"/>
    <x v="0"/>
    <n v="546180"/>
    <n v="197500"/>
    <n v="54611975"/>
    <n v="546197"/>
    <n v="545195"/>
    <n v="547500"/>
    <n v="197500"/>
    <n v="383"/>
    <x v="1"/>
    <n v="0"/>
    <n v="0"/>
    <n v="1"/>
    <n v="-48.671310200000001"/>
    <n v="-59.470892282000001"/>
    <s v="NA"/>
    <s v="NA"/>
    <n v="-59.470892282000001"/>
    <x v="6"/>
    <s v="Ouest de la France, Espagne ou Italie"/>
    <n v="5"/>
    <s v="K118459"/>
    <s v="Fang"/>
  </r>
  <r>
    <x v="1039"/>
    <s v="ScoRus"/>
    <n v="0"/>
    <x v="1"/>
    <x v="1"/>
    <x v="0"/>
    <x v="2"/>
    <x v="1010"/>
    <n v="-23.71"/>
    <x v="989"/>
    <x v="11"/>
    <m/>
    <x v="0"/>
    <x v="0"/>
    <s v="Val-de-Travers"/>
    <s v="signal des français"/>
    <n v="46.934810290000001"/>
    <n v="6.5845879250000001"/>
    <n v="6"/>
    <n v="18"/>
    <x v="0"/>
    <n v="2016"/>
    <x v="151"/>
    <x v="89"/>
    <n v="33"/>
    <x v="4"/>
    <x v="0"/>
    <x v="0"/>
    <n v="534966"/>
    <n v="198545"/>
    <n v="53491985"/>
    <n v="534198"/>
    <n v="530195"/>
    <n v="532500"/>
    <n v="197500"/>
    <n v="317"/>
    <x v="1"/>
    <n v="0"/>
    <n v="0"/>
    <n v="1"/>
    <n v="-48.554401800000001"/>
    <n v="-59.364505638000004"/>
    <s v="NA"/>
    <s v="NA"/>
    <n v="-59.364505638000004"/>
    <x v="6"/>
    <s v="Ouest de la France, Espagne ou Italie"/>
    <n v="5"/>
    <s v="K115187"/>
    <s v="Fang"/>
  </r>
  <r>
    <x v="1040"/>
    <s v="ScoRus"/>
    <n v="0"/>
    <x v="1"/>
    <x v="1"/>
    <x v="0"/>
    <x v="2"/>
    <x v="1011"/>
    <n v="-24.1"/>
    <x v="990"/>
    <x v="11"/>
    <m/>
    <x v="0"/>
    <x v="0"/>
    <s v="buttes"/>
    <s v="le signal"/>
    <n v="46.89918033"/>
    <n v="6.5220654439999999"/>
    <n v="6"/>
    <n v="26"/>
    <x v="0"/>
    <n v="2016"/>
    <x v="0"/>
    <x v="0"/>
    <n v="41"/>
    <x v="0"/>
    <x v="0"/>
    <x v="0"/>
    <n v="530159"/>
    <n v="194638"/>
    <n v="53011946"/>
    <n v="530194"/>
    <n v="530190"/>
    <n v="532500"/>
    <n v="192500"/>
    <n v="316"/>
    <x v="1"/>
    <n v="0"/>
    <n v="0"/>
    <n v="1"/>
    <n v="-48.380398599999999"/>
    <n v="-59.206162726000002"/>
    <s v="NA"/>
    <s v="NA"/>
    <n v="-59.206162726000002"/>
    <x v="6"/>
    <s v="Ouest de la France, Espagne ou Italie"/>
    <n v="5"/>
    <s v="K118457"/>
    <s v="Fang"/>
  </r>
  <r>
    <x v="1041"/>
    <s v="ScoRus"/>
    <n v="0"/>
    <x v="1"/>
    <x v="1"/>
    <x v="0"/>
    <x v="2"/>
    <x v="1012"/>
    <s v="NA"/>
    <x v="991"/>
    <x v="11"/>
    <m/>
    <x v="0"/>
    <x v="3"/>
    <s v="Bullet"/>
    <s v="Le Chasseron"/>
    <n v="46.847574360000003"/>
    <n v="6.5395303250000003"/>
    <n v="6"/>
    <n v="17"/>
    <x v="0"/>
    <n v="2017"/>
    <x v="92"/>
    <x v="34"/>
    <n v="32"/>
    <x v="8"/>
    <x v="4"/>
    <x v="0"/>
    <n v="531424"/>
    <n v="188887"/>
    <n v="53141888"/>
    <n v="531188"/>
    <n v="530185"/>
    <n v="532500"/>
    <n v="187500"/>
    <s v="NA"/>
    <x v="1"/>
    <n v="0"/>
    <n v="0"/>
    <n v="1"/>
    <n v="-46.688226800000002"/>
    <n v="-57.666286388000003"/>
    <s v="NA"/>
    <s v="NA"/>
    <n v="-57.666286388000003"/>
    <x v="6"/>
    <s v="Ouest de la France, Espagne ou Italie"/>
    <n v="5"/>
    <s v="K116331"/>
    <s v="Fang"/>
  </r>
  <r>
    <x v="1042"/>
    <s v="ScoRus"/>
    <n v="0"/>
    <x v="1"/>
    <x v="1"/>
    <x v="0"/>
    <x v="2"/>
    <x v="1013"/>
    <s v="NA"/>
    <x v="992"/>
    <x v="11"/>
    <m/>
    <x v="0"/>
    <x v="0"/>
    <s v="La Chaux-du-Milieu"/>
    <s v="La Rocheta"/>
    <n v="46.996045379999998"/>
    <n v="6.7029034870000004"/>
    <n v="6"/>
    <n v="1"/>
    <x v="1"/>
    <n v="2017"/>
    <x v="80"/>
    <x v="17"/>
    <n v="46"/>
    <x v="1"/>
    <x v="1"/>
    <x v="1"/>
    <n v="544040"/>
    <n v="205262"/>
    <n v="54402052"/>
    <n v="544205"/>
    <n v="540205"/>
    <n v="542500"/>
    <n v="207500"/>
    <s v="NA"/>
    <x v="1"/>
    <n v="0"/>
    <n v="0"/>
    <n v="1"/>
    <n v="-45.684637000000002"/>
    <n v="-56.75301967"/>
    <s v="NA"/>
    <s v="NA"/>
    <n v="-56.75301967"/>
    <x v="6"/>
    <s v="Ouest de la France, Espagne ou Italie"/>
    <n v="5"/>
    <s v="K121998"/>
    <s v="Fang"/>
  </r>
  <r>
    <x v="1043"/>
    <s v="ScoRus"/>
    <n v="0"/>
    <x v="1"/>
    <x v="1"/>
    <x v="0"/>
    <x v="2"/>
    <x v="1014"/>
    <s v="NA"/>
    <x v="993"/>
    <x v="12"/>
    <m/>
    <x v="0"/>
    <x v="0"/>
    <s v="Les Verrières"/>
    <s v="Le Pussin"/>
    <n v="46.927715130000003"/>
    <n v="6.4579576090000002"/>
    <n v="6"/>
    <n v="22"/>
    <x v="0"/>
    <n v="2017"/>
    <x v="78"/>
    <x v="21"/>
    <n v="37"/>
    <x v="4"/>
    <x v="0"/>
    <x v="0"/>
    <n v="525315"/>
    <n v="197870"/>
    <n v="52531978"/>
    <n v="525197"/>
    <n v="525195"/>
    <n v="527500"/>
    <n v="197500"/>
    <s v="NA"/>
    <x v="1"/>
    <n v="0"/>
    <n v="0"/>
    <n v="1"/>
    <n v="-44.863144400000003"/>
    <n v="-56.005461404000002"/>
    <s v="NA"/>
    <s v="NA"/>
    <n v="-56.005461404000002"/>
    <x v="6"/>
    <s v="Ouest de la France, Espagne ou Italie"/>
    <n v="4"/>
    <s v="K121957"/>
    <s v="Fang"/>
  </r>
  <r>
    <x v="1044"/>
    <s v="ScoRus"/>
    <n v="0"/>
    <x v="1"/>
    <x v="1"/>
    <x v="0"/>
    <x v="2"/>
    <x v="1015"/>
    <s v="NA"/>
    <x v="994"/>
    <x v="12"/>
    <m/>
    <x v="0"/>
    <x v="0"/>
    <s v="Val-de-Travers"/>
    <s v="Chantemerle"/>
    <n v="46.975117429999997"/>
    <n v="6.670689651"/>
    <n v="6"/>
    <n v="28"/>
    <x v="0"/>
    <n v="2017"/>
    <x v="59"/>
    <x v="16"/>
    <n v="43"/>
    <x v="1"/>
    <x v="1"/>
    <x v="1"/>
    <n v="541567"/>
    <n v="202959"/>
    <n v="54152029"/>
    <n v="541202"/>
    <n v="540200"/>
    <n v="542500"/>
    <n v="202500"/>
    <s v="NA"/>
    <x v="1"/>
    <n v="0"/>
    <n v="0"/>
    <n v="1"/>
    <n v="-44.517842000000002"/>
    <n v="-55.69123622"/>
    <s v="NA"/>
    <s v="NA"/>
    <n v="-55.69123622"/>
    <x v="6"/>
    <s v="Ouest de la France, Espagne ou Italie"/>
    <n v="4"/>
    <s v="K121986"/>
    <s v="Fang"/>
  </r>
  <r>
    <x v="1045"/>
    <s v="ScoRus"/>
    <n v="0"/>
    <x v="1"/>
    <x v="1"/>
    <x v="0"/>
    <x v="2"/>
    <x v="1016"/>
    <s v="NA"/>
    <x v="995"/>
    <x v="12"/>
    <m/>
    <x v="0"/>
    <x v="3"/>
    <s v="Provence"/>
    <s v="La Bolene"/>
    <n v="46.909472049999998"/>
    <n v="6.6849605749999998"/>
    <n v="6"/>
    <n v="28"/>
    <x v="0"/>
    <n v="2017"/>
    <x v="59"/>
    <x v="16"/>
    <n v="43"/>
    <x v="1"/>
    <x v="1"/>
    <x v="1"/>
    <n v="542582"/>
    <n v="195651"/>
    <n v="54251956"/>
    <n v="542195"/>
    <n v="540195"/>
    <n v="542500"/>
    <n v="197500"/>
    <s v="NA"/>
    <x v="1"/>
    <n v="0"/>
    <n v="0"/>
    <n v="1"/>
    <n v="-43.861913999999999"/>
    <n v="-55.094341739999997"/>
    <s v="NA"/>
    <s v="NA"/>
    <n v="-55.094341739999997"/>
    <x v="6"/>
    <s v="Ouest de la France, Espagne ou Italie"/>
    <n v="4"/>
    <s v="K121996"/>
    <s v="Fang"/>
  </r>
  <r>
    <x v="1046"/>
    <s v="ScoRus"/>
    <n v="0"/>
    <x v="1"/>
    <x v="1"/>
    <x v="0"/>
    <x v="2"/>
    <x v="1017"/>
    <s v="NA"/>
    <x v="996"/>
    <x v="12"/>
    <m/>
    <x v="0"/>
    <x v="0"/>
    <s v="La Chaux-du-Milieu"/>
    <s v="La Rocheta"/>
    <n v="46.995461310000003"/>
    <n v="6.7002031019999997"/>
    <n v="6"/>
    <n v="21"/>
    <x v="0"/>
    <n v="2017"/>
    <x v="64"/>
    <x v="11"/>
    <n v="36"/>
    <x v="4"/>
    <x v="0"/>
    <x v="0"/>
    <n v="543834"/>
    <n v="205199"/>
    <n v="54382051"/>
    <n v="543205"/>
    <n v="540205"/>
    <n v="542500"/>
    <n v="207500"/>
    <s v="NA"/>
    <x v="1"/>
    <n v="0"/>
    <n v="0"/>
    <n v="1"/>
    <n v="-43.3209424"/>
    <n v="-54.602057584000001"/>
    <s v="NA"/>
    <s v="NA"/>
    <n v="-54.602057584000001"/>
    <x v="7"/>
    <s v="Ouest de la France, Espagne ou Italie"/>
    <n v="4"/>
    <s v="K116348"/>
    <s v="Fang"/>
  </r>
  <r>
    <x v="1047"/>
    <s v="ScoRus"/>
    <n v="0"/>
    <x v="1"/>
    <x v="1"/>
    <x v="0"/>
    <x v="2"/>
    <x v="1018"/>
    <s v="NA"/>
    <x v="997"/>
    <x v="12"/>
    <m/>
    <x v="0"/>
    <x v="0"/>
    <s v="La Chaux-du-Milieu"/>
    <s v="La Rocheta"/>
    <n v="46.994337530000003"/>
    <n v="6.6975160989999996"/>
    <n v="6"/>
    <n v="23"/>
    <x v="0"/>
    <n v="2017"/>
    <x v="87"/>
    <x v="44"/>
    <n v="38"/>
    <x v="0"/>
    <x v="0"/>
    <x v="0"/>
    <n v="543628"/>
    <n v="205076"/>
    <n v="54362050"/>
    <n v="543205"/>
    <n v="540205"/>
    <n v="542500"/>
    <n v="207500"/>
    <s v="NA"/>
    <x v="1"/>
    <n v="0"/>
    <n v="0"/>
    <n v="1"/>
    <n v="-42.319775200000002"/>
    <n v="-53.690995432000001"/>
    <s v="NA"/>
    <s v="NA"/>
    <n v="-53.690995432000001"/>
    <x v="7"/>
    <s v="Ouest de la France, Espagne ou Italie"/>
    <n v="4"/>
    <s v="K121960"/>
    <s v="Fang"/>
  </r>
  <r>
    <x v="1048"/>
    <s v="ScoRus"/>
    <n v="0"/>
    <x v="1"/>
    <x v="1"/>
    <x v="0"/>
    <x v="2"/>
    <x v="1019"/>
    <n v="-23.25"/>
    <x v="998"/>
    <x v="12"/>
    <m/>
    <x v="0"/>
    <x v="3"/>
    <s v="Provence"/>
    <s v="la ronde noire"/>
    <n v="46.885708690000001"/>
    <n v="6.6249923580000001"/>
    <n v="6"/>
    <n v="20"/>
    <x v="0"/>
    <n v="2016"/>
    <x v="153"/>
    <x v="30"/>
    <n v="35"/>
    <x v="4"/>
    <x v="0"/>
    <x v="0"/>
    <n v="537986"/>
    <n v="193054"/>
    <n v="53791930"/>
    <n v="537193"/>
    <n v="535190"/>
    <n v="537500"/>
    <n v="192500"/>
    <n v="320"/>
    <x v="1"/>
    <n v="0"/>
    <n v="0"/>
    <n v="1"/>
    <n v="-41.8308094"/>
    <n v="-53.246036554"/>
    <s v="NA"/>
    <s v="NA"/>
    <n v="-53.246036554"/>
    <x v="7"/>
    <s v="Ouest de la France, Espagne ou Italie"/>
    <n v="4"/>
    <s v="K115194"/>
    <s v="Fang"/>
  </r>
  <r>
    <x v="1049"/>
    <s v="ScoRus"/>
    <n v="0"/>
    <x v="1"/>
    <x v="1"/>
    <x v="0"/>
    <x v="2"/>
    <x v="1020"/>
    <n v="-24.19"/>
    <x v="648"/>
    <x v="12"/>
    <m/>
    <x v="0"/>
    <x v="0"/>
    <s v="Val-de-Travers"/>
    <s v="signal des français"/>
    <n v="46.930847540000002"/>
    <n v="6.5863842950000002"/>
    <n v="6"/>
    <n v="31"/>
    <x v="0"/>
    <n v="2016"/>
    <x v="20"/>
    <x v="17"/>
    <n v="46"/>
    <x v="1"/>
    <x v="1"/>
    <x v="1"/>
    <n v="535098"/>
    <n v="198103"/>
    <n v="53501981"/>
    <n v="535198"/>
    <n v="535195"/>
    <n v="537500"/>
    <n v="197500"/>
    <n v="325"/>
    <x v="1"/>
    <n v="0"/>
    <n v="0"/>
    <n v="1"/>
    <n v="-39.239575600000002"/>
    <n v="-50.888013796000003"/>
    <s v="NA"/>
    <s v="NA"/>
    <n v="-50.888013796000003"/>
    <x v="7"/>
    <s v="Ouest de la France, Espagne ou Italie"/>
    <n v="4"/>
    <s v="K118464"/>
    <s v="Fang"/>
  </r>
  <r>
    <x v="1050"/>
    <s v="ScoRus"/>
    <n v="0"/>
    <x v="1"/>
    <x v="1"/>
    <x v="0"/>
    <x v="2"/>
    <x v="1021"/>
    <n v="-22.77"/>
    <x v="616"/>
    <x v="12"/>
    <m/>
    <x v="0"/>
    <x v="0"/>
    <s v="Gorgier"/>
    <s v="le soliat"/>
    <n v="46.928359409999999"/>
    <n v="6.7222658199999996"/>
    <n v="6"/>
    <n v="27"/>
    <x v="0"/>
    <n v="2016"/>
    <x v="149"/>
    <x v="6"/>
    <n v="42"/>
    <x v="0"/>
    <x v="0"/>
    <x v="0"/>
    <n v="545443"/>
    <n v="197723"/>
    <n v="54541977"/>
    <n v="545197"/>
    <n v="545195"/>
    <n v="547500"/>
    <n v="197500"/>
    <n v="370"/>
    <x v="1"/>
    <n v="0"/>
    <n v="0"/>
    <n v="1"/>
    <n v="-38.667485599999999"/>
    <n v="-50.367411896"/>
    <s v="NA"/>
    <s v="NA"/>
    <n v="-50.367411896"/>
    <x v="7"/>
    <s v="Ouest de la France, Espagne ou Italie"/>
    <n v="4"/>
    <s v="K118460"/>
    <s v="Fang"/>
  </r>
  <r>
    <x v="1051"/>
    <s v="ScoRus"/>
    <n v="0"/>
    <x v="1"/>
    <x v="1"/>
    <x v="0"/>
    <x v="2"/>
    <x v="1022"/>
    <s v="NA"/>
    <x v="999"/>
    <x v="12"/>
    <m/>
    <x v="0"/>
    <x v="0"/>
    <s v="Val-de-Travers"/>
    <s v="Chantemerle"/>
    <n v="46.974484590000003"/>
    <n v="6.6702195880000001"/>
    <n v="6"/>
    <n v="28"/>
    <x v="0"/>
    <n v="2017"/>
    <x v="59"/>
    <x v="16"/>
    <n v="43"/>
    <x v="1"/>
    <x v="1"/>
    <x v="1"/>
    <n v="541530"/>
    <n v="202889"/>
    <n v="54152028"/>
    <n v="541202"/>
    <n v="540200"/>
    <n v="542500"/>
    <n v="202500"/>
    <s v="NA"/>
    <x v="1"/>
    <n v="0"/>
    <n v="0"/>
    <n v="1"/>
    <n v="-38.178045599999997"/>
    <n v="-49.922021495999999"/>
    <s v="NA"/>
    <s v="NA"/>
    <n v="-49.922021495999999"/>
    <x v="7"/>
    <s v="Ouest de la France, Espagne ou Italie"/>
    <n v="4"/>
    <s v="K121989"/>
    <s v="Fang"/>
  </r>
  <r>
    <x v="1052"/>
    <s v="ScoRus"/>
    <n v="0"/>
    <x v="1"/>
    <x v="1"/>
    <x v="0"/>
    <x v="2"/>
    <x v="1023"/>
    <s v="NA"/>
    <x v="1000"/>
    <x v="12"/>
    <m/>
    <x v="0"/>
    <x v="3"/>
    <s v="Provence"/>
    <s v="Prés Cretegny"/>
    <n v="46.906899760000002"/>
    <n v="6.6795844579999999"/>
    <n v="6"/>
    <n v="25"/>
    <x v="0"/>
    <n v="2017"/>
    <x v="76"/>
    <x v="8"/>
    <n v="40"/>
    <x v="0"/>
    <x v="0"/>
    <x v="0"/>
    <n v="542170"/>
    <n v="195369"/>
    <n v="54211953"/>
    <n v="542195"/>
    <n v="540195"/>
    <n v="542500"/>
    <n v="197500"/>
    <s v="NA"/>
    <x v="1"/>
    <n v="0"/>
    <n v="0"/>
    <n v="1"/>
    <n v="-37.829692000000001"/>
    <n v="-49.605019720000001"/>
    <s v="NA"/>
    <s v="NA"/>
    <n v="-49.605019720000001"/>
    <x v="7"/>
    <s v="Ouest de la France, Espagne ou Italie"/>
    <n v="4"/>
    <s v="K121964"/>
    <s v="Fang"/>
  </r>
  <r>
    <x v="1053"/>
    <s v="ScoRus"/>
    <n v="0"/>
    <x v="1"/>
    <x v="1"/>
    <x v="0"/>
    <x v="2"/>
    <x v="1024"/>
    <s v="NA"/>
    <x v="1001"/>
    <x v="13"/>
    <m/>
    <x v="0"/>
    <x v="0"/>
    <s v="Val-de-Travers"/>
    <s v="Hauts des Joux"/>
    <n v="46.979507349999999"/>
    <n v="6.6720453370000001"/>
    <n v="6"/>
    <n v="10"/>
    <x v="1"/>
    <n v="2017"/>
    <x v="145"/>
    <x v="19"/>
    <n v="55"/>
    <x v="2"/>
    <x v="2"/>
    <x v="1"/>
    <n v="541675"/>
    <n v="203446"/>
    <n v="54162034"/>
    <n v="541203"/>
    <n v="540200"/>
    <n v="542500"/>
    <n v="202500"/>
    <s v="NA"/>
    <x v="1"/>
    <n v="0"/>
    <n v="0"/>
    <n v="1"/>
    <n v="-36.253930400000002"/>
    <n v="-48.171076664000005"/>
    <s v="NA"/>
    <s v="NA"/>
    <n v="-48.171076664000005"/>
    <x v="7"/>
    <s v="Ouest de la France, Espagne ou Italie"/>
    <n v="4"/>
    <s v="K122013"/>
    <s v="Fang"/>
  </r>
  <r>
    <x v="1054"/>
    <s v="ScoRus"/>
    <n v="0"/>
    <x v="1"/>
    <x v="1"/>
    <x v="0"/>
    <x v="2"/>
    <x v="1025"/>
    <s v="NA"/>
    <x v="1002"/>
    <x v="13"/>
    <m/>
    <x v="0"/>
    <x v="3"/>
    <s v="Provence"/>
    <s v="Prés Cretegny"/>
    <n v="46.901729899999999"/>
    <n v="6.6759231440000004"/>
    <n v="6"/>
    <n v="21"/>
    <x v="0"/>
    <n v="2017"/>
    <x v="64"/>
    <x v="11"/>
    <n v="36"/>
    <x v="4"/>
    <x v="0"/>
    <x v="0"/>
    <n v="541885"/>
    <n v="194797"/>
    <n v="54181947"/>
    <n v="541194"/>
    <n v="540190"/>
    <n v="542500"/>
    <n v="192500"/>
    <s v="NA"/>
    <x v="1"/>
    <n v="0"/>
    <n v="0"/>
    <n v="1"/>
    <n v="-36.1724569"/>
    <n v="-48.096935778999999"/>
    <s v="NA"/>
    <s v="NA"/>
    <n v="-48.096935778999999"/>
    <x v="7"/>
    <s v="Ouest de la France, Espagne ou Italie"/>
    <n v="4"/>
    <s v="K116344"/>
    <s v="Fang"/>
  </r>
  <r>
    <x v="1055"/>
    <s v="ScoRus"/>
    <n v="0"/>
    <x v="1"/>
    <x v="1"/>
    <x v="0"/>
    <x v="2"/>
    <x v="1026"/>
    <s v="NA"/>
    <x v="1003"/>
    <x v="13"/>
    <m/>
    <x v="0"/>
    <x v="0"/>
    <s v="La Chaux-du-Milieu"/>
    <s v="La Rocheta"/>
    <n v="46.993967349999998"/>
    <n v="6.6973049790000001"/>
    <n v="6"/>
    <n v="26"/>
    <x v="8"/>
    <n v="2017"/>
    <x v="279"/>
    <x v="119"/>
    <n v="11"/>
    <x v="38"/>
    <x v="19"/>
    <x v="14"/>
    <n v="543612"/>
    <n v="205035"/>
    <n v="54362050"/>
    <n v="543205"/>
    <n v="540205"/>
    <n v="542500"/>
    <n v="207500"/>
    <s v="NA"/>
    <x v="1"/>
    <n v="0"/>
    <n v="0"/>
    <n v="1"/>
    <n v="-31.857981200000001"/>
    <n v="-44.170762891999999"/>
    <s v="NA"/>
    <s v="NA"/>
    <n v="-44.170762891999999"/>
    <x v="8"/>
    <s v="Ouest de la France, Espagne ou Italie"/>
    <n v="3"/>
    <s v="K116324"/>
    <s v="Fang"/>
  </r>
  <r>
    <x v="1056"/>
    <s v="ScoRus"/>
    <n v="0"/>
    <x v="1"/>
    <x v="1"/>
    <x v="0"/>
    <x v="2"/>
    <x v="1027"/>
    <s v="NA"/>
    <x v="1004"/>
    <x v="13"/>
    <m/>
    <x v="0"/>
    <x v="0"/>
    <s v="La Chaux-du-Milieu"/>
    <s v="La Rocheta"/>
    <n v="46.993967349999998"/>
    <n v="6.6973049790000001"/>
    <n v="6"/>
    <n v="26"/>
    <x v="8"/>
    <n v="2017"/>
    <x v="279"/>
    <x v="119"/>
    <n v="11"/>
    <x v="38"/>
    <x v="19"/>
    <x v="14"/>
    <n v="543612"/>
    <n v="205035"/>
    <n v="54362050"/>
    <n v="543205"/>
    <n v="540205"/>
    <n v="542500"/>
    <n v="207500"/>
    <s v="NA"/>
    <x v="1"/>
    <n v="0"/>
    <n v="0"/>
    <n v="1"/>
    <n v="-30.939714800000001"/>
    <n v="-43.335140468000006"/>
    <s v="NA"/>
    <s v="NA"/>
    <n v="-43.335140468000006"/>
    <x v="8"/>
    <s v="Ouest de la France, Espagne ou Italie"/>
    <n v="3"/>
    <s v="K116323"/>
    <s v="Fang"/>
  </r>
  <r>
    <x v="1057"/>
    <s v="ScoRus"/>
    <n v="0"/>
    <x v="1"/>
    <x v="1"/>
    <x v="0"/>
    <x v="2"/>
    <x v="1028"/>
    <n v="-23.86"/>
    <x v="1005"/>
    <x v="14"/>
    <m/>
    <x v="0"/>
    <x v="0"/>
    <s v="La-Chaux-du-Milieu"/>
    <s v="la Rocheta"/>
    <n v="46.99516569"/>
    <n v="6.6976039729999997"/>
    <n v="6"/>
    <n v="18"/>
    <x v="0"/>
    <n v="2016"/>
    <x v="151"/>
    <x v="89"/>
    <n v="33"/>
    <x v="4"/>
    <x v="0"/>
    <x v="0"/>
    <n v="543635"/>
    <n v="205167"/>
    <n v="54362051"/>
    <n v="543205"/>
    <n v="540205"/>
    <n v="542500"/>
    <n v="207500"/>
    <n v="343"/>
    <x v="1"/>
    <n v="0"/>
    <n v="0"/>
    <n v="1"/>
    <n v="-27.463310799999999"/>
    <n v="-40.171612828000001"/>
    <s v="NA"/>
    <s v="NA"/>
    <n v="-40.171612828000001"/>
    <x v="8"/>
    <s v="Ouest de la France, Espagne ou Italie"/>
    <n v="3"/>
    <s v="K115190"/>
    <s v="Fang"/>
  </r>
  <r>
    <x v="1058"/>
    <s v="ScoRus"/>
    <n v="0"/>
    <x v="1"/>
    <x v="1"/>
    <x v="0"/>
    <x v="2"/>
    <x v="1029"/>
    <s v="NA"/>
    <x v="1006"/>
    <x v="14"/>
    <m/>
    <x v="0"/>
    <x v="0"/>
    <s v="Val-de-Travers"/>
    <s v="Signal des Francais"/>
    <n v="46.933661669999999"/>
    <n v="6.582557488"/>
    <n v="6"/>
    <n v="22"/>
    <x v="0"/>
    <n v="2017"/>
    <x v="78"/>
    <x v="21"/>
    <n v="37"/>
    <x v="4"/>
    <x v="0"/>
    <x v="0"/>
    <n v="534811"/>
    <n v="198420"/>
    <n v="53481984"/>
    <n v="534198"/>
    <n v="530195"/>
    <n v="532500"/>
    <n v="197500"/>
    <s v="NA"/>
    <x v="1"/>
    <n v="0"/>
    <n v="0"/>
    <n v="1"/>
    <n v="-27.2453827"/>
    <n v="-39.973298256999996"/>
    <s v="NA"/>
    <s v="NA"/>
    <n v="-39.973298256999996"/>
    <x v="8"/>
    <s v="Ouest de la France, Espagne ou Italie"/>
    <n v="3"/>
    <s v="K121958"/>
    <s v="Fang"/>
  </r>
  <r>
    <x v="1059"/>
    <s v="ScoRus"/>
    <n v="0"/>
    <x v="1"/>
    <x v="1"/>
    <x v="0"/>
    <x v="2"/>
    <x v="1030"/>
    <s v="NA"/>
    <x v="1007"/>
    <x v="14"/>
    <m/>
    <x v="0"/>
    <x v="0"/>
    <s v="Provence"/>
    <s v="Bellevue"/>
    <n v="46.901428189999997"/>
    <n v="6.6738472980000001"/>
    <n v="6"/>
    <n v="25"/>
    <x v="0"/>
    <n v="2017"/>
    <x v="76"/>
    <x v="8"/>
    <n v="40"/>
    <x v="0"/>
    <x v="0"/>
    <x v="0"/>
    <n v="541727"/>
    <n v="194765"/>
    <n v="54171947"/>
    <n v="541194"/>
    <n v="540190"/>
    <n v="542500"/>
    <n v="192500"/>
    <s v="NA"/>
    <x v="1"/>
    <n v="0"/>
    <n v="0"/>
    <n v="1"/>
    <n v="-26.984978099999999"/>
    <n v="-39.736330070999998"/>
    <s v="NA"/>
    <s v="NA"/>
    <n v="-39.736330070999998"/>
    <x v="8"/>
    <s v="Ouest de la France, Espagne ou Italie"/>
    <n v="3"/>
    <s v="K121965"/>
    <s v="Fang"/>
  </r>
  <r>
    <x v="1060"/>
    <s v="ScoRus"/>
    <n v="0"/>
    <x v="1"/>
    <x v="1"/>
    <x v="0"/>
    <x v="2"/>
    <x v="1031"/>
    <n v="-23.41"/>
    <x v="1008"/>
    <x v="14"/>
    <m/>
    <x v="0"/>
    <x v="0"/>
    <s v="les Verrieres"/>
    <s v="le pussin"/>
    <n v="46.93531325"/>
    <n v="6.4649371990000004"/>
    <n v="6"/>
    <n v="5"/>
    <x v="1"/>
    <n v="2016"/>
    <x v="144"/>
    <x v="22"/>
    <n v="50"/>
    <x v="3"/>
    <x v="1"/>
    <x v="1"/>
    <n v="525856"/>
    <n v="198707"/>
    <n v="52581987"/>
    <n v="525198"/>
    <n v="525195"/>
    <n v="527500"/>
    <n v="197500"/>
    <n v="290"/>
    <x v="1"/>
    <n v="0"/>
    <n v="0"/>
    <n v="1"/>
    <n v="-23.504738"/>
    <n v="-36.569311580000004"/>
    <s v="NA"/>
    <s v="NA"/>
    <n v="-36.569311580000004"/>
    <x v="8"/>
    <s v="Ouest de la France, Espagne ou Italie"/>
    <n v="2"/>
    <s v="K118483"/>
    <s v="Fang"/>
  </r>
  <r>
    <x v="1061"/>
    <s v="ScoRus"/>
    <n v="0"/>
    <x v="1"/>
    <x v="1"/>
    <x v="0"/>
    <x v="2"/>
    <x v="1032"/>
    <s v="NA"/>
    <x v="1009"/>
    <x v="14"/>
    <m/>
    <x v="0"/>
    <x v="0"/>
    <s v="Val-de-Travers"/>
    <s v="Signal des Francais"/>
    <n v="46.933593639999998"/>
    <n v="6.5830838749999998"/>
    <n v="6"/>
    <n v="20"/>
    <x v="0"/>
    <n v="2017"/>
    <x v="143"/>
    <x v="30"/>
    <n v="35"/>
    <x v="4"/>
    <x v="0"/>
    <x v="0"/>
    <n v="534851"/>
    <n v="198412"/>
    <n v="53481984"/>
    <n v="534198"/>
    <n v="530195"/>
    <n v="532500"/>
    <n v="197500"/>
    <s v="NA"/>
    <x v="1"/>
    <n v="0"/>
    <n v="0"/>
    <n v="1"/>
    <n v="-22.3014887"/>
    <n v="-35.474354716999997"/>
    <s v="NA"/>
    <s v="NA"/>
    <n v="-35.474354716999997"/>
    <x v="8"/>
    <s v="Ouest de la France, Espagne ou Italie"/>
    <n v="2"/>
    <s v="K116336"/>
    <s v="Fang"/>
  </r>
  <r>
    <x v="1062"/>
    <s v="ScoRus"/>
    <n v="0"/>
    <x v="1"/>
    <x v="1"/>
    <x v="1"/>
    <x v="2"/>
    <x v="928"/>
    <n v="-22.11"/>
    <x v="1010"/>
    <x v="15"/>
    <m/>
    <x v="0"/>
    <x v="0"/>
    <s v="les Verrieres"/>
    <s v="le crêt rond"/>
    <n v="46.929169979999998"/>
    <n v="6.4597695130000004"/>
    <n v="6"/>
    <n v="23"/>
    <x v="0"/>
    <n v="2016"/>
    <x v="146"/>
    <x v="44"/>
    <n v="38"/>
    <x v="0"/>
    <x v="0"/>
    <x v="0"/>
    <n v="525454"/>
    <n v="198029"/>
    <n v="52541980"/>
    <n v="525198"/>
    <n v="525195"/>
    <n v="527500"/>
    <n v="197500"/>
    <n v="335"/>
    <x v="1"/>
    <n v="0"/>
    <n v="0"/>
    <n v="1"/>
    <n v="-14.5581248"/>
    <n v="-28.427893568000002"/>
    <s v="NA"/>
    <s v="NA"/>
    <n v="-28.427893568000002"/>
    <x v="9"/>
    <s v="Suisse"/>
    <n v="1"/>
    <s v="K112979"/>
    <s v="Fang, considéré comme indigène sur la fait que la mue est bloquée et qu il a été bagué par J-L. Zimmermann"/>
  </r>
  <r>
    <x v="1063"/>
    <s v="ScoRus"/>
    <n v="0"/>
    <x v="1"/>
    <x v="1"/>
    <x v="0"/>
    <x v="2"/>
    <x v="928"/>
    <n v="-22.97"/>
    <x v="1011"/>
    <x v="15"/>
    <m/>
    <x v="0"/>
    <x v="0"/>
    <s v="Val-de-Travers"/>
    <s v="signal des français"/>
    <n v="46.934828179999997"/>
    <n v="6.5845745070000001"/>
    <n v="6"/>
    <n v="18"/>
    <x v="0"/>
    <n v="2016"/>
    <x v="151"/>
    <x v="89"/>
    <n v="33"/>
    <x v="4"/>
    <x v="0"/>
    <x v="0"/>
    <n v="534965"/>
    <n v="198547"/>
    <n v="53491985"/>
    <n v="534198"/>
    <n v="530195"/>
    <n v="532500"/>
    <n v="197500"/>
    <n v="300"/>
    <x v="1"/>
    <n v="0"/>
    <n v="0"/>
    <n v="1"/>
    <n v="-15.950552200000001"/>
    <n v="-29.695002502000001"/>
    <s v="NA"/>
    <s v="NA"/>
    <n v="-29.695002502000001"/>
    <x v="9"/>
    <s v="Ouest de la France, Espagne ou Italie"/>
    <n v="2"/>
    <s v="K115188"/>
    <s v="Fang"/>
  </r>
  <r>
    <x v="1064"/>
    <s v="ScoRus"/>
    <n v="0"/>
    <x v="1"/>
    <x v="1"/>
    <x v="0"/>
    <x v="2"/>
    <x v="928"/>
    <n v="-23.69"/>
    <x v="1012"/>
    <x v="15"/>
    <m/>
    <x v="0"/>
    <x v="3"/>
    <s v="Provence"/>
    <s v="pres cretegny"/>
    <n v="46.901269880000001"/>
    <n v="6.6730422699999998"/>
    <n v="6"/>
    <n v="25"/>
    <x v="0"/>
    <n v="2016"/>
    <x v="157"/>
    <x v="8"/>
    <n v="40"/>
    <x v="0"/>
    <x v="0"/>
    <x v="0"/>
    <n v="541665"/>
    <n v="194747"/>
    <n v="54161947"/>
    <n v="541194"/>
    <n v="540190"/>
    <n v="542500"/>
    <n v="192500"/>
    <n v="340"/>
    <x v="1"/>
    <n v="0"/>
    <n v="0"/>
    <n v="1"/>
    <n v="-12.19453"/>
    <n v="-26.277022299999999"/>
    <s v="NA"/>
    <s v="NA"/>
    <n v="-26.277022299999999"/>
    <x v="9"/>
    <s v="Ouest de la France, Espagne ou Italie"/>
    <n v="1"/>
    <s v="K118453"/>
    <s v="Fang"/>
  </r>
  <r>
    <x v="1065"/>
    <s v="ScoRus"/>
    <s v="NA"/>
    <x v="2"/>
    <x v="2"/>
    <x v="0"/>
    <x v="0"/>
    <x v="928"/>
    <s v="NA"/>
    <x v="1013"/>
    <x v="15"/>
    <m/>
    <x v="0"/>
    <x v="0"/>
    <s v="Le Locle"/>
    <s v="Les Cottards"/>
    <n v="46.958954749999997"/>
    <n v="6.5761631920000001"/>
    <n v="5"/>
    <n v="23"/>
    <x v="0"/>
    <n v="2017"/>
    <x v="87"/>
    <x v="44"/>
    <n v="38"/>
    <x v="0"/>
    <x v="0"/>
    <x v="0"/>
    <n v="534354"/>
    <n v="201236"/>
    <n v="53432012"/>
    <n v="534201"/>
    <n v="530200"/>
    <n v="532500"/>
    <n v="202500"/>
    <n v="334"/>
    <x v="0"/>
    <n v="0"/>
    <n v="0"/>
    <n v="0"/>
    <n v="-84.580150000000003"/>
    <n v="-84.580150000000003"/>
    <s v="NA"/>
    <s v="NA"/>
    <m/>
    <x v="4"/>
    <s v="NA"/>
    <n v="8"/>
    <s v="PRETFA-1"/>
    <s v="Abschuss"/>
  </r>
  <r>
    <x v="1066"/>
    <s v="ScoRus"/>
    <s v="NA"/>
    <x v="2"/>
    <x v="2"/>
    <x v="0"/>
    <x v="0"/>
    <x v="928"/>
    <s v="NA"/>
    <x v="1014"/>
    <x v="15"/>
    <m/>
    <x v="0"/>
    <x v="0"/>
    <s v="La Brévine"/>
    <s v="La Chatagne"/>
    <n v="46.979897880000003"/>
    <n v="6.6566089819999998"/>
    <n v="3"/>
    <n v="30"/>
    <x v="0"/>
    <n v="2017"/>
    <x v="231"/>
    <x v="23"/>
    <n v="45"/>
    <x v="1"/>
    <x v="1"/>
    <x v="1"/>
    <n v="540500"/>
    <n v="203500"/>
    <n v="54052035"/>
    <n v="540203"/>
    <n v="540200"/>
    <n v="542500"/>
    <n v="202500"/>
    <n v="335"/>
    <x v="0"/>
    <n v="0"/>
    <n v="0"/>
    <n v="0"/>
    <n v="-80.637395600000005"/>
    <n v="-80.637395600000005"/>
    <s v="NA"/>
    <s v="NA"/>
    <m/>
    <x v="4"/>
    <s v="NA"/>
    <n v="8"/>
    <s v="ULRICHV.1"/>
    <s v="Abschuss"/>
  </r>
  <r>
    <x v="1067"/>
    <s v="ScoRus"/>
    <s v="NA"/>
    <x v="2"/>
    <x v="2"/>
    <x v="0"/>
    <x v="0"/>
    <x v="928"/>
    <s v="NA"/>
    <x v="1015"/>
    <x v="15"/>
    <m/>
    <x v="0"/>
    <x v="0"/>
    <s v="NA"/>
    <s v="Grande-Racine"/>
    <n v="47.028254840000002"/>
    <n v="6.8163750199999997"/>
    <s v="NA"/>
    <n v="25"/>
    <x v="0"/>
    <n v="2017"/>
    <x v="76"/>
    <x v="8"/>
    <n v="40"/>
    <x v="0"/>
    <x v="0"/>
    <x v="0"/>
    <n v="552698"/>
    <n v="208767"/>
    <n v="55262087"/>
    <n v="552208"/>
    <n v="550205"/>
    <n v="552500"/>
    <n v="207500"/>
    <n v="250"/>
    <x v="0"/>
    <n v="0"/>
    <n v="0"/>
    <n v="0"/>
    <n v="-49.236364899999998"/>
    <n v="-49.236364899999998"/>
    <s v="NA"/>
    <s v="NA"/>
    <m/>
    <x v="7"/>
    <s v="NA"/>
    <n v="5"/>
    <s v="PENAJA-3"/>
    <s v="Abschuss"/>
  </r>
  <r>
    <x v="1068"/>
    <s v="ScoRus"/>
    <s v="NA"/>
    <x v="2"/>
    <x v="2"/>
    <x v="0"/>
    <x v="0"/>
    <x v="928"/>
    <s v="NA"/>
    <x v="1016"/>
    <x v="15"/>
    <m/>
    <x v="0"/>
    <x v="0"/>
    <s v="NA"/>
    <s v="Grande-Motte"/>
    <n v="47.017627609999998"/>
    <n v="6.8240347579999998"/>
    <s v="NA"/>
    <n v="31"/>
    <x v="0"/>
    <n v="2017"/>
    <x v="67"/>
    <x v="17"/>
    <n v="46"/>
    <x v="1"/>
    <x v="1"/>
    <x v="1"/>
    <n v="553271"/>
    <n v="207581"/>
    <n v="55322075"/>
    <n v="553207"/>
    <n v="550205"/>
    <n v="552500"/>
    <n v="207500"/>
    <n v="344"/>
    <x v="0"/>
    <n v="0"/>
    <n v="0"/>
    <n v="0"/>
    <n v="-74.799809300000007"/>
    <n v="-74.799809300000007"/>
    <s v="NA"/>
    <s v="NA"/>
    <m/>
    <x v="5"/>
    <s v="NA"/>
    <n v="7"/>
    <s v="PENAJA-4"/>
    <s v="Abschuss"/>
  </r>
  <r>
    <x v="1069"/>
    <s v="ScoRus"/>
    <s v="NA"/>
    <x v="2"/>
    <x v="2"/>
    <x v="0"/>
    <x v="0"/>
    <x v="928"/>
    <s v="NA"/>
    <x v="1017"/>
    <x v="15"/>
    <m/>
    <x v="0"/>
    <x v="0"/>
    <s v="NA"/>
    <s v="La Gateraine"/>
    <n v="47.092976409999999"/>
    <n v="6.8963500150000003"/>
    <s v="NA"/>
    <n v="24"/>
    <x v="0"/>
    <n v="2017"/>
    <x v="15"/>
    <x v="14"/>
    <n v="39"/>
    <x v="0"/>
    <x v="0"/>
    <x v="0"/>
    <n v="558827"/>
    <n v="215917"/>
    <n v="55882159"/>
    <n v="558215"/>
    <n v="555215"/>
    <n v="557500"/>
    <n v="217500"/>
    <n v="345"/>
    <x v="0"/>
    <n v="0"/>
    <n v="0"/>
    <n v="0"/>
    <n v="-48.2735056"/>
    <n v="-48.2735056"/>
    <s v="NA"/>
    <s v="NA"/>
    <m/>
    <x v="7"/>
    <s v="NA"/>
    <n v="5"/>
    <s v="PENAJA-1"/>
    <s v="Abschuss"/>
  </r>
  <r>
    <x v="1070"/>
    <s v="ScoRus"/>
    <s v="NA"/>
    <x v="2"/>
    <x v="2"/>
    <x v="0"/>
    <x v="0"/>
    <x v="928"/>
    <s v="NA"/>
    <x v="1018"/>
    <x v="15"/>
    <m/>
    <x v="0"/>
    <x v="0"/>
    <s v="NA"/>
    <s v="La Gateraine"/>
    <n v="47.092976409999999"/>
    <n v="6.8963500150000003"/>
    <s v="NA"/>
    <n v="24"/>
    <x v="0"/>
    <n v="2017"/>
    <x v="15"/>
    <x v="14"/>
    <n v="39"/>
    <x v="0"/>
    <x v="0"/>
    <x v="0"/>
    <n v="558827"/>
    <n v="215917"/>
    <n v="55882159"/>
    <n v="558215"/>
    <n v="555215"/>
    <n v="557500"/>
    <n v="217500"/>
    <n v="337"/>
    <x v="0"/>
    <n v="0"/>
    <n v="0"/>
    <n v="0"/>
    <n v="-67.446088900000007"/>
    <n v="-67.446088900000007"/>
    <s v="NA"/>
    <s v="NA"/>
    <m/>
    <x v="5"/>
    <s v="NA"/>
    <n v="7"/>
    <s v="PENAJA-2"/>
    <s v="Abschuss"/>
  </r>
  <r>
    <x v="1071"/>
    <s v="ScoRus"/>
    <s v="NA"/>
    <x v="2"/>
    <x v="2"/>
    <x v="0"/>
    <x v="0"/>
    <x v="928"/>
    <s v="NA"/>
    <x v="1019"/>
    <x v="15"/>
    <m/>
    <x v="0"/>
    <x v="4"/>
    <s v="Montfaucon"/>
    <s v="Plain-de-saigne"/>
    <n v="47.278559999999999"/>
    <n v="7.0769000000000002"/>
    <n v="5"/>
    <n v="28"/>
    <x v="0"/>
    <n v="2017"/>
    <x v="59"/>
    <x v="16"/>
    <n v="43"/>
    <x v="1"/>
    <x v="1"/>
    <x v="1"/>
    <n v="572631"/>
    <n v="236470"/>
    <n v="57262364"/>
    <n v="572236"/>
    <n v="570235"/>
    <n v="572500"/>
    <n v="237500"/>
    <n v="344"/>
    <x v="0"/>
    <n v="0"/>
    <n v="0"/>
    <n v="0"/>
    <n v="-70.292028200000004"/>
    <n v="-70.292028200000004"/>
    <s v="NA"/>
    <s v="NA"/>
    <m/>
    <x v="5"/>
    <s v="NA"/>
    <n v="7"/>
    <s v="MESSJO-3"/>
    <s v="Abschuss, altitude 878m"/>
  </r>
  <r>
    <x v="1072"/>
    <s v="ScoRus"/>
    <s v="NA"/>
    <x v="2"/>
    <x v="2"/>
    <x v="0"/>
    <x v="0"/>
    <x v="928"/>
    <n v="-25.67"/>
    <x v="1020"/>
    <x v="15"/>
    <m/>
    <x v="0"/>
    <x v="4"/>
    <s v="Rebeuvelier"/>
    <s v="Gitzi"/>
    <n v="47.310649679999997"/>
    <n v="7.4246985690000002"/>
    <n v="5"/>
    <n v="31"/>
    <x v="0"/>
    <n v="2016"/>
    <x v="20"/>
    <x v="17"/>
    <n v="46"/>
    <x v="1"/>
    <x v="1"/>
    <x v="1"/>
    <n v="598946"/>
    <n v="239975"/>
    <n v="59892399"/>
    <n v="598239"/>
    <n v="595235"/>
    <n v="597500"/>
    <n v="237500"/>
    <n v="330"/>
    <x v="0"/>
    <n v="0"/>
    <n v="0"/>
    <n v="0"/>
    <n v="-88.045596500000002"/>
    <n v="-88.045596500000002"/>
    <s v="NA"/>
    <s v="NA"/>
    <m/>
    <x v="3"/>
    <s v="NA"/>
    <n v="9"/>
    <s v="Buchmi3"/>
    <s v="Abschuss"/>
  </r>
  <r>
    <x v="1073"/>
    <s v="ScoRus"/>
    <s v="NA"/>
    <x v="2"/>
    <x v="2"/>
    <x v="0"/>
    <x v="0"/>
    <x v="928"/>
    <s v="NA"/>
    <x v="1021"/>
    <x v="15"/>
    <m/>
    <x v="1"/>
    <x v="1"/>
    <s v="Aranno"/>
    <s v="Sotto il Paese (Verso ponte vello)"/>
    <n v="46.025608939999998"/>
    <n v="8.8847251249999992"/>
    <n v="5"/>
    <n v="18"/>
    <x v="1"/>
    <n v="2017"/>
    <x v="90"/>
    <x v="24"/>
    <n v="63"/>
    <x v="5"/>
    <x v="3"/>
    <x v="2"/>
    <n v="711975"/>
    <n v="98150"/>
    <n v="71190981"/>
    <n v="711098"/>
    <n v="710095"/>
    <n v="712500"/>
    <n v="97500"/>
    <n v="320"/>
    <x v="0"/>
    <n v="0"/>
    <n v="0"/>
    <n v="0"/>
    <n v="-93.771727799999994"/>
    <n v="-93.771727799999994"/>
    <s v="NA"/>
    <s v="NA"/>
    <m/>
    <x v="3"/>
    <s v="NA"/>
    <n v="9"/>
    <s v="CISTAR-5"/>
    <s v="Abschuss"/>
  </r>
  <r>
    <x v="1074"/>
    <s v="ScoRus"/>
    <s v="NA"/>
    <x v="2"/>
    <x v="2"/>
    <x v="0"/>
    <x v="0"/>
    <x v="928"/>
    <s v="NA"/>
    <x v="1022"/>
    <x v="15"/>
    <m/>
    <x v="1"/>
    <x v="1"/>
    <s v="Bioggio"/>
    <s v="Stavei"/>
    <n v="46.027780030000002"/>
    <n v="8.9053840100000006"/>
    <n v="6"/>
    <n v="19"/>
    <x v="1"/>
    <n v="2017"/>
    <x v="242"/>
    <x v="37"/>
    <n v="64"/>
    <x v="5"/>
    <x v="3"/>
    <x v="2"/>
    <n v="713570"/>
    <n v="98421"/>
    <n v="71350984"/>
    <n v="713098"/>
    <n v="710095"/>
    <n v="712500"/>
    <n v="97500"/>
    <n v="315"/>
    <x v="0"/>
    <n v="0"/>
    <n v="0"/>
    <n v="0"/>
    <n v="-34.501520399999997"/>
    <n v="-34.501520399999997"/>
    <s v="NA"/>
    <s v="NA"/>
    <m/>
    <x v="9"/>
    <s v="NA"/>
    <n v="3"/>
    <s v="PEDRAN-7"/>
    <s v="Abschu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eau croisé dynamique1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U7:AI14" firstHeaderRow="1" firstDataRow="2" firstDataCol="1" rowPageCount="4" colPageCount="1"/>
  <pivotFields count="51">
    <pivotField dataField="1" showAll="0"/>
    <pivotField showAll="0" defaultSubtota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multipleItemSelectionAllowed="1" showAll="0" defaultSubtotal="0">
      <items count="3">
        <item x="0"/>
        <item h="1" x="1"/>
        <item h="1" x="2"/>
      </items>
    </pivotField>
    <pivotField showAll="0"/>
    <pivotField showAll="0"/>
    <pivotField showAll="0"/>
    <pivotField axis="axisCol" showAll="0" defaultSubtotal="0">
      <items count="17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h="1" x="15"/>
        <item m="1" x="16"/>
      </items>
    </pivotField>
    <pivotField showAll="0" defaultSubtotal="0"/>
    <pivotField axis="axisRow" multipleItemSelectionAllowed="1" showAll="0" defaultSubtotal="0">
      <items count="5">
        <item x="0"/>
        <item x="2"/>
        <item x="4"/>
        <item x="3"/>
        <item x="1"/>
      </items>
    </pivotField>
    <pivotField axis="axisPage" multipleItemSelectionAllowed="1" showAll="0">
      <items count="8">
        <item x="5"/>
        <item x="2"/>
        <item x="4"/>
        <item x="0"/>
        <item x="1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14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pageFields count="4">
    <pageField fld="4" item="0" hier="-1"/>
    <pageField fld="6" hier="-1"/>
    <pageField fld="13" hier="-1"/>
    <pageField fld="5" hier="-1"/>
  </pageFields>
  <dataFields count="1">
    <dataField name="Nombre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rowGrandTotals="0" colGrandTotals="0" itemPrintTitles="1" createdVersion="6" indent="0" compact="0" compactData="0" multipleFieldFilters="0">
  <location ref="A7:D294" firstHeaderRow="1" firstDataRow="3" firstDataCol="1" rowPageCount="5" colPageCount="1"/>
  <pivotFields count="51">
    <pivotField axis="axisRow" compact="0" outline="0" showAll="0" defaultSubtotal="0">
      <items count="1075">
        <item x="55"/>
        <item x="50"/>
        <item x="20"/>
        <item x="703"/>
        <item x="940"/>
        <item x="794"/>
        <item x="366"/>
        <item x="175"/>
        <item x="174"/>
        <item x="52"/>
        <item x="477"/>
        <item x="776"/>
        <item x="26"/>
        <item x="66"/>
        <item x="82"/>
        <item x="39"/>
        <item x="98"/>
        <item x="27"/>
        <item x="61"/>
        <item x="51"/>
        <item x="108"/>
        <item x="819"/>
        <item x="484"/>
        <item x="46"/>
        <item x="68"/>
        <item x="863"/>
        <item x="912"/>
        <item x="109"/>
        <item x="76"/>
        <item x="131"/>
        <item x="22"/>
        <item x="58"/>
        <item x="35"/>
        <item x="102"/>
        <item x="10"/>
        <item x="64"/>
        <item x="95"/>
        <item x="79"/>
        <item x="62"/>
        <item x="570"/>
        <item x="758"/>
        <item x="598"/>
        <item x="734"/>
        <item x="738"/>
        <item x="426"/>
        <item x="855"/>
        <item x="470"/>
        <item x="499"/>
        <item x="56"/>
        <item x="680"/>
        <item x="91"/>
        <item x="5"/>
        <item x="74"/>
        <item x="78"/>
        <item x="172"/>
        <item x="73"/>
        <item x="80"/>
        <item x="36"/>
        <item x="161"/>
        <item x="31"/>
        <item x="13"/>
        <item x="438"/>
        <item x="722"/>
        <item x="759"/>
        <item x="655"/>
        <item x="849"/>
        <item x="779"/>
        <item x="954"/>
        <item x="930"/>
        <item x="135"/>
        <item x="336"/>
        <item x="883"/>
        <item x="422"/>
        <item x="414"/>
        <item x="118"/>
        <item x="69"/>
        <item x="419"/>
        <item x="755"/>
        <item x="113"/>
        <item x="21"/>
        <item x="352"/>
        <item x="529"/>
        <item x="820"/>
        <item x="654"/>
        <item x="416"/>
        <item x="171"/>
        <item x="614"/>
        <item x="603"/>
        <item x="83"/>
        <item x="160"/>
        <item x="159"/>
        <item x="143"/>
        <item x="32"/>
        <item x="105"/>
        <item x="18"/>
        <item x="41"/>
        <item x="11"/>
        <item x="188"/>
        <item x="60"/>
        <item x="110"/>
        <item x="515"/>
        <item x="396"/>
        <item x="349"/>
        <item x="675"/>
        <item x="310"/>
        <item x="460"/>
        <item x="456"/>
        <item x="632"/>
        <item x="664"/>
        <item x="127"/>
        <item x="87"/>
        <item x="115"/>
        <item x="49"/>
        <item x="94"/>
        <item x="33"/>
        <item x="15"/>
        <item x="126"/>
        <item x="43"/>
        <item x="70"/>
        <item x="90"/>
        <item x="67"/>
        <item x="104"/>
        <item x="9"/>
        <item x="63"/>
        <item x="86"/>
        <item x="25"/>
        <item x="96"/>
        <item x="148"/>
        <item x="1"/>
        <item x="119"/>
        <item x="45"/>
        <item x="2"/>
        <item x="7"/>
        <item x="146"/>
        <item x="44"/>
        <item x="100"/>
        <item x="101"/>
        <item x="132"/>
        <item x="107"/>
        <item x="154"/>
        <item x="936"/>
        <item x="488"/>
        <item x="907"/>
        <item x="839"/>
        <item x="750"/>
        <item x="527"/>
        <item x="430"/>
        <item x="519"/>
        <item x="400"/>
        <item x="762"/>
        <item x="929"/>
        <item x="781"/>
        <item x="932"/>
        <item x="922"/>
        <item x="870"/>
        <item x="698"/>
        <item x="890"/>
        <item x="952"/>
        <item x="170"/>
        <item x="918"/>
        <item x="145"/>
        <item x="173"/>
        <item x="153"/>
        <item x="769"/>
        <item x="661"/>
        <item x="939"/>
        <item x="853"/>
        <item x="24"/>
        <item x="345"/>
        <item x="394"/>
        <item x="607"/>
        <item x="846"/>
        <item x="874"/>
        <item x="739"/>
        <item x="552"/>
        <item x="505"/>
        <item x="914"/>
        <item x="928"/>
        <item x="530"/>
        <item x="53"/>
        <item x="137"/>
        <item x="84"/>
        <item x="88"/>
        <item x="103"/>
        <item x="8"/>
        <item x="129"/>
        <item x="158"/>
        <item x="114"/>
        <item x="72"/>
        <item x="57"/>
        <item x="179"/>
        <item x="14"/>
        <item x="760"/>
        <item x="417"/>
        <item x="624"/>
        <item x="645"/>
        <item x="584"/>
        <item x="666"/>
        <item x="657"/>
        <item x="433"/>
        <item x="797"/>
        <item x="746"/>
        <item x="495"/>
        <item x="483"/>
        <item x="454"/>
        <item x="788"/>
        <item x="462"/>
        <item x="568"/>
        <item x="903"/>
        <item x="904"/>
        <item x="753"/>
        <item x="869"/>
        <item x="831"/>
        <item x="731"/>
        <item x="898"/>
        <item x="615"/>
        <item x="372"/>
        <item x="943"/>
        <item x="896"/>
        <item x="947"/>
        <item x="510"/>
        <item x="644"/>
        <item x="825"/>
        <item x="945"/>
        <item x="832"/>
        <item x="926"/>
        <item x="872"/>
        <item x="663"/>
        <item x="906"/>
        <item x="642"/>
        <item x="707"/>
        <item x="796"/>
        <item x="789"/>
        <item x="71"/>
        <item x="42"/>
        <item x="40"/>
        <item x="6"/>
        <item x="12"/>
        <item x="59"/>
        <item x="30"/>
        <item x="38"/>
        <item x="54"/>
        <item x="34"/>
        <item x="509"/>
        <item x="894"/>
        <item x="557"/>
        <item x="340"/>
        <item x="511"/>
        <item x="330"/>
        <item x="830"/>
        <item x="785"/>
        <item x="351"/>
        <item x="585"/>
        <item x="583"/>
        <item x="915"/>
        <item x="638"/>
        <item x="600"/>
        <item x="441"/>
        <item x="818"/>
        <item x="538"/>
        <item x="333"/>
        <item x="553"/>
        <item x="435"/>
        <item x="693"/>
        <item x="662"/>
        <item x="370"/>
        <item x="591"/>
        <item x="687"/>
        <item x="517"/>
        <item x="503"/>
        <item x="531"/>
        <item x="321"/>
        <item x="742"/>
        <item x="620"/>
        <item x="856"/>
        <item x="466"/>
        <item x="332"/>
        <item x="714"/>
        <item x="787"/>
        <item x="567"/>
        <item x="558"/>
        <item x="341"/>
        <item x="440"/>
        <item x="685"/>
        <item x="949"/>
        <item x="339"/>
        <item x="556"/>
        <item x="375"/>
        <item x="595"/>
        <item x="886"/>
        <item x="565"/>
        <item x="920"/>
        <item x="482"/>
        <item x="627"/>
        <item x="938"/>
        <item x="711"/>
        <item x="566"/>
        <item x="619"/>
        <item x="536"/>
        <item x="385"/>
        <item x="547"/>
        <item x="457"/>
        <item x="790"/>
        <item x="318"/>
        <item x="320"/>
        <item x="913"/>
        <item x="389"/>
        <item x="852"/>
        <item x="761"/>
        <item x="485"/>
        <item x="648"/>
        <item x="773"/>
        <item x="415"/>
        <item x="688"/>
        <item x="838"/>
        <item x="500"/>
        <item x="836"/>
        <item x="751"/>
        <item x="933"/>
        <item x="367"/>
        <item x="507"/>
        <item x="951"/>
        <item x="605"/>
        <item x="533"/>
        <item x="708"/>
        <item x="401"/>
        <item x="427"/>
        <item x="374"/>
        <item x="897"/>
        <item x="347"/>
        <item x="727"/>
        <item x="892"/>
        <item x="550"/>
        <item x="363"/>
        <item x="669"/>
        <item x="899"/>
        <item x="596"/>
        <item x="683"/>
        <item x="574"/>
        <item x="214"/>
        <item x="216"/>
        <item x="780"/>
        <item x="358"/>
        <item x="843"/>
        <item x="766"/>
        <item x="745"/>
        <item x="464"/>
        <item x="395"/>
        <item x="47"/>
        <item x="178"/>
        <item x="546"/>
        <item x="840"/>
        <item x="168"/>
        <item x="964"/>
        <item x="240"/>
        <item x="959"/>
        <item x="962"/>
        <item x="957"/>
        <item x="961"/>
        <item x="958"/>
        <item x="203"/>
        <item x="208"/>
        <item x="960"/>
        <item x="965"/>
        <item x="599"/>
        <item x="652"/>
        <item x="950"/>
        <item x="658"/>
        <item x="809"/>
        <item x="650"/>
        <item x="834"/>
        <item x="514"/>
        <item x="618"/>
        <item x="362"/>
        <item x="449"/>
        <item x="833"/>
        <item x="919"/>
        <item x="882"/>
        <item x="824"/>
        <item x="532"/>
        <item x="778"/>
        <item x="864"/>
        <item x="386"/>
        <item x="752"/>
        <item x="811"/>
        <item x="528"/>
        <item x="888"/>
        <item x="643"/>
        <item x="522"/>
        <item x="873"/>
        <item x="578"/>
        <item x="625"/>
        <item x="425"/>
        <item x="89"/>
        <item x="130"/>
        <item x="795"/>
        <item x="845"/>
        <item x="314"/>
        <item x="97"/>
        <item x="407"/>
        <item x="647"/>
        <item x="747"/>
        <item x="564"/>
        <item x="641"/>
        <item x="487"/>
        <item x="606"/>
        <item x="424"/>
        <item x="563"/>
        <item x="713"/>
        <item x="518"/>
        <item x="376"/>
        <item x="695"/>
        <item x="588"/>
        <item x="432"/>
        <item x="767"/>
        <item x="408"/>
        <item x="356"/>
        <item x="667"/>
        <item x="608"/>
        <item x="393"/>
        <item x="868"/>
        <item x="516"/>
        <item x="439"/>
        <item x="691"/>
        <item x="689"/>
        <item x="813"/>
        <item x="501"/>
        <item x="649"/>
        <item x="754"/>
        <item x="728"/>
        <item x="579"/>
        <item x="436"/>
        <item x="743"/>
        <item x="525"/>
        <item x="337"/>
        <item x="673"/>
        <item x="807"/>
        <item x="569"/>
        <item x="428"/>
        <item x="551"/>
        <item x="854"/>
        <item x="676"/>
        <item x="481"/>
        <item x="828"/>
        <item x="472"/>
        <item x="622"/>
        <item x="774"/>
        <item x="421"/>
        <item x="681"/>
        <item x="213"/>
        <item x="601"/>
        <item x="392"/>
        <item x="944"/>
        <item x="801"/>
        <item x="733"/>
        <item x="560"/>
        <item x="451"/>
        <item x="822"/>
        <item x="455"/>
        <item x="371"/>
        <item x="329"/>
        <item x="409"/>
        <item x="486"/>
        <item x="927"/>
        <item x="786"/>
        <item x="948"/>
        <item x="311"/>
        <item x="478"/>
        <item x="884"/>
        <item x="479"/>
        <item x="679"/>
        <item x="357"/>
        <item x="885"/>
        <item x="829"/>
        <item x="917"/>
        <item x="656"/>
        <item x="377"/>
        <item x="895"/>
        <item x="335"/>
        <item x="612"/>
        <item x="508"/>
        <item x="461"/>
        <item x="715"/>
        <item x="315"/>
        <item x="841"/>
        <item x="3"/>
        <item x="593"/>
        <item x="737"/>
        <item x="610"/>
        <item x="724"/>
        <item x="674"/>
        <item x="442"/>
        <item x="826"/>
        <item x="447"/>
        <item x="468"/>
        <item x="353"/>
        <item x="473"/>
        <item x="361"/>
        <item x="378"/>
        <item x="469"/>
        <item x="628"/>
        <item x="721"/>
        <item x="549"/>
        <item x="720"/>
        <item x="429"/>
        <item x="459"/>
        <item x="866"/>
        <item x="562"/>
        <item x="757"/>
        <item x="373"/>
        <item x="637"/>
        <item x="768"/>
        <item x="636"/>
        <item x="777"/>
        <item x="342"/>
        <item x="765"/>
        <item x="133"/>
        <item x="580"/>
        <item x="355"/>
        <item x="706"/>
        <item x="571"/>
        <item x="925"/>
        <item x="857"/>
        <item x="572"/>
        <item x="879"/>
        <item x="411"/>
        <item x="827"/>
        <item x="726"/>
        <item x="491"/>
        <item x="397"/>
        <item x="626"/>
        <item x="756"/>
        <item x="390"/>
        <item x="391"/>
        <item x="28"/>
        <item x="1072"/>
        <item x="23"/>
        <item x="633"/>
        <item x="526"/>
        <item x="116"/>
        <item x="763"/>
        <item x="506"/>
        <item x="492"/>
        <item x="554"/>
        <item x="480"/>
        <item x="887"/>
        <item x="709"/>
        <item x="784"/>
        <item x="699"/>
        <item x="412"/>
        <item x="817"/>
        <item x="471"/>
        <item x="319"/>
        <item x="671"/>
        <item x="867"/>
        <item x="364"/>
        <item x="476"/>
        <item x="418"/>
        <item x="923"/>
        <item x="542"/>
        <item x="851"/>
        <item x="859"/>
        <item x="474"/>
        <item x="594"/>
        <item x="561"/>
        <item x="122"/>
        <item x="597"/>
        <item x="631"/>
        <item x="911"/>
        <item x="575"/>
        <item x="437"/>
        <item x="862"/>
        <item x="634"/>
        <item x="740"/>
        <item x="821"/>
        <item x="823"/>
        <item x="325"/>
        <item x="686"/>
        <item x="616"/>
        <item x="621"/>
        <item x="559"/>
        <item x="450"/>
        <item x="889"/>
        <item x="729"/>
        <item x="617"/>
        <item x="772"/>
        <item x="805"/>
        <item x="399"/>
        <item x="712"/>
        <item x="475"/>
        <item x="383"/>
        <item x="604"/>
        <item x="665"/>
        <item x="402"/>
        <item x="307"/>
        <item x="764"/>
        <item x="354"/>
        <item x="504"/>
        <item x="792"/>
        <item x="573"/>
        <item x="535"/>
        <item x="690"/>
        <item x="934"/>
        <item x="651"/>
        <item x="513"/>
        <item x="701"/>
        <item x="865"/>
        <item x="590"/>
        <item x="463"/>
        <item x="937"/>
        <item x="324"/>
        <item x="955"/>
        <item x="582"/>
        <item x="793"/>
        <item x="308"/>
        <item x="946"/>
        <item x="537"/>
        <item x="512"/>
        <item x="956"/>
        <item x="692"/>
        <item x="384"/>
        <item x="405"/>
        <item x="348"/>
        <item x="653"/>
        <item x="524"/>
        <item x="710"/>
        <item x="749"/>
        <item x="718"/>
        <item x="490"/>
        <item x="723"/>
        <item x="640"/>
        <item x="496"/>
        <item x="398"/>
        <item x="806"/>
        <item x="446"/>
        <item x="312"/>
        <item x="381"/>
        <item x="343"/>
        <item x="842"/>
        <item x="403"/>
        <item x="587"/>
        <item x="1062"/>
        <item x="1039"/>
        <item x="1063"/>
        <item x="989"/>
        <item x="1057"/>
        <item x="301"/>
        <item x="1002"/>
        <item x="1048"/>
        <item x="1000"/>
        <item x="303"/>
        <item x="1021"/>
        <item x="988"/>
        <item x="991"/>
        <item x="270"/>
        <item x="289"/>
        <item x="976"/>
        <item x="1064"/>
        <item x="283"/>
        <item x="290"/>
        <item x="292"/>
        <item x="1040"/>
        <item x="304"/>
        <item x="1038"/>
        <item x="1050"/>
        <item x="295"/>
        <item x="968"/>
        <item x="305"/>
        <item x="1049"/>
        <item x="984"/>
        <item x="1013"/>
        <item x="1006"/>
        <item x="998"/>
        <item x="296"/>
        <item x="298"/>
        <item x="978"/>
        <item x="277"/>
        <item x="1008"/>
        <item x="997"/>
        <item x="1007"/>
        <item x="1028"/>
        <item x="990"/>
        <item x="994"/>
        <item x="1020"/>
        <item x="993"/>
        <item x="1004"/>
        <item x="982"/>
        <item x="1060"/>
        <item x="983"/>
        <item x="1018"/>
        <item x="293"/>
        <item x="264"/>
        <item x="977"/>
        <item x="1022"/>
        <item x="282"/>
        <item x="995"/>
        <item x="969"/>
        <item x="1015"/>
        <item x="1010"/>
        <item x="815"/>
        <item x="316"/>
        <item x="589"/>
        <item x="410"/>
        <item x="497"/>
        <item x="623"/>
        <item x="0"/>
        <item x="19"/>
        <item x="85"/>
        <item x="635"/>
        <item x="812"/>
        <item x="523"/>
        <item x="77"/>
        <item x="444"/>
        <item x="901"/>
        <item x="702"/>
        <item x="344"/>
        <item x="346"/>
        <item x="678"/>
        <item x="420"/>
        <item x="916"/>
        <item x="48"/>
        <item x="99"/>
        <item x="4"/>
        <item x="791"/>
        <item x="847"/>
        <item x="891"/>
        <item x="498"/>
        <item x="848"/>
        <item x="387"/>
        <item x="382"/>
        <item x="489"/>
        <item x="717"/>
        <item x="322"/>
        <item x="700"/>
        <item x="659"/>
        <item x="338"/>
        <item x="799"/>
        <item x="748"/>
        <item x="630"/>
        <item x="803"/>
        <item x="668"/>
        <item x="502"/>
        <item x="660"/>
        <item x="520"/>
        <item x="858"/>
        <item x="672"/>
        <item x="368"/>
        <item x="704"/>
        <item x="541"/>
        <item x="905"/>
        <item x="545"/>
        <item x="775"/>
        <item x="309"/>
        <item x="452"/>
        <item x="670"/>
        <item x="555"/>
        <item x="770"/>
        <item x="800"/>
        <item x="458"/>
        <item x="639"/>
        <item x="844"/>
        <item x="521"/>
        <item x="327"/>
        <item x="379"/>
        <item x="443"/>
        <item x="431"/>
        <item x="716"/>
        <item x="448"/>
        <item x="413"/>
        <item x="783"/>
        <item x="732"/>
        <item x="543"/>
        <item x="359"/>
        <item x="782"/>
        <item x="935"/>
        <item x="684"/>
        <item x="941"/>
        <item x="534"/>
        <item x="802"/>
        <item x="611"/>
        <item x="544"/>
        <item x="816"/>
        <item x="334"/>
        <item x="539"/>
        <item x="548"/>
        <item x="467"/>
        <item x="744"/>
        <item x="677"/>
        <item x="328"/>
        <item x="705"/>
        <item x="117"/>
        <item x="128"/>
        <item x="186"/>
        <item x="877"/>
        <item x="682"/>
        <item x="921"/>
        <item x="445"/>
        <item x="465"/>
        <item x="581"/>
        <item x="1073"/>
        <item x="850"/>
        <item x="861"/>
        <item x="725"/>
        <item x="323"/>
        <item x="875"/>
        <item x="93"/>
        <item x="697"/>
        <item x="646"/>
        <item x="167"/>
        <item x="182"/>
        <item x="900"/>
        <item x="388"/>
        <item x="134"/>
        <item x="365"/>
        <item x="313"/>
        <item x="65"/>
        <item x="181"/>
        <item x="162"/>
        <item x="771"/>
        <item x="163"/>
        <item x="142"/>
        <item x="92"/>
        <item x="924"/>
        <item x="331"/>
        <item x="423"/>
        <item x="602"/>
        <item x="808"/>
        <item x="735"/>
        <item x="453"/>
        <item x="166"/>
        <item x="493"/>
        <item x="147"/>
        <item x="150"/>
        <item x="878"/>
        <item x="909"/>
        <item x="893"/>
        <item x="123"/>
        <item x="139"/>
        <item x="231"/>
        <item x="242"/>
        <item x="189"/>
        <item x="236"/>
        <item x="215"/>
        <item x="232"/>
        <item x="222"/>
        <item x="247"/>
        <item x="200"/>
        <item x="229"/>
        <item x="219"/>
        <item x="224"/>
        <item x="233"/>
        <item x="207"/>
        <item x="245"/>
        <item x="230"/>
        <item x="211"/>
        <item x="239"/>
        <item x="202"/>
        <item x="237"/>
        <item x="226"/>
        <item x="227"/>
        <item x="244"/>
        <item x="228"/>
        <item x="195"/>
        <item x="1005"/>
        <item x="302"/>
        <item x="1056"/>
        <item x="1055"/>
        <item x="306"/>
        <item x="1024"/>
        <item x="1003"/>
        <item x="741"/>
        <item x="1029"/>
        <item x="979"/>
        <item x="1041"/>
        <item x="1011"/>
        <item x="300"/>
        <item x="281"/>
        <item x="1019"/>
        <item x="1061"/>
        <item x="288"/>
        <item x="259"/>
        <item x="274"/>
        <item x="269"/>
        <item x="285"/>
        <item x="985"/>
        <item x="273"/>
        <item x="1054"/>
        <item x="271"/>
        <item x="987"/>
        <item x="1032"/>
        <item x="1046"/>
        <item x="1017"/>
        <item x="258"/>
        <item x="266"/>
        <item x="192"/>
        <item x="220"/>
        <item x="980"/>
        <item x="252"/>
        <item x="975"/>
        <item x="254"/>
        <item x="253"/>
        <item x="280"/>
        <item x="1043"/>
        <item x="1058"/>
        <item x="1030"/>
        <item x="1047"/>
        <item x="1027"/>
        <item x="257"/>
        <item x="286"/>
        <item x="1052"/>
        <item x="1059"/>
        <item x="278"/>
        <item x="251"/>
        <item x="263"/>
        <item x="1033"/>
        <item x="1025"/>
        <item x="999"/>
        <item x="1026"/>
        <item x="287"/>
        <item x="279"/>
        <item x="1031"/>
        <item x="981"/>
        <item x="299"/>
        <item x="256"/>
        <item x="297"/>
        <item x="974"/>
        <item x="255"/>
        <item x="973"/>
        <item x="992"/>
        <item x="1036"/>
        <item x="1044"/>
        <item x="1034"/>
        <item x="1051"/>
        <item x="1023"/>
        <item x="291"/>
        <item x="972"/>
        <item x="971"/>
        <item x="262"/>
        <item x="294"/>
        <item x="1045"/>
        <item x="260"/>
        <item x="1042"/>
        <item x="276"/>
        <item x="986"/>
        <item x="267"/>
        <item x="1001"/>
        <item x="272"/>
        <item x="970"/>
        <item x="261"/>
        <item x="1014"/>
        <item x="1009"/>
        <item x="1016"/>
        <item x="265"/>
        <item x="1035"/>
        <item x="268"/>
        <item x="996"/>
        <item x="1053"/>
        <item x="1037"/>
        <item x="275"/>
        <item x="1012"/>
        <item x="284"/>
        <item x="250"/>
        <item x="694"/>
        <item x="111"/>
        <item x="860"/>
        <item x="814"/>
        <item x="953"/>
        <item x="730"/>
        <item x="880"/>
        <item x="369"/>
        <item x="156"/>
        <item x="317"/>
        <item x="609"/>
        <item x="576"/>
        <item x="125"/>
        <item x="380"/>
        <item x="120"/>
        <item x="176"/>
        <item x="1071"/>
        <item x="106"/>
        <item x="165"/>
        <item x="140"/>
        <item x="155"/>
        <item x="876"/>
        <item x="177"/>
        <item x="1074"/>
        <item x="942"/>
        <item x="151"/>
        <item x="1069"/>
        <item x="1070"/>
        <item x="1067"/>
        <item x="1068"/>
        <item x="1065"/>
        <item x="187"/>
        <item x="837"/>
        <item x="350"/>
        <item x="75"/>
        <item x="185"/>
        <item x="629"/>
        <item x="696"/>
        <item x="29"/>
        <item x="124"/>
        <item x="112"/>
        <item x="810"/>
        <item x="736"/>
        <item x="586"/>
        <item x="910"/>
        <item x="908"/>
        <item x="719"/>
        <item x="902"/>
        <item x="613"/>
        <item x="931"/>
        <item x="184"/>
        <item x="577"/>
        <item x="804"/>
        <item x="871"/>
        <item x="540"/>
        <item x="149"/>
        <item x="798"/>
        <item x="37"/>
        <item x="16"/>
        <item x="183"/>
        <item x="180"/>
        <item x="152"/>
        <item x="144"/>
        <item x="157"/>
        <item x="404"/>
        <item x="835"/>
        <item x="164"/>
        <item x="881"/>
        <item x="121"/>
        <item x="434"/>
        <item x="1066"/>
        <item x="17"/>
        <item x="169"/>
        <item x="81"/>
        <item x="141"/>
        <item x="136"/>
        <item x="406"/>
        <item x="138"/>
        <item x="360"/>
        <item x="326"/>
        <item x="592"/>
        <item x="494"/>
        <item x="225"/>
        <item x="223"/>
        <item x="249"/>
        <item x="218"/>
        <item x="190"/>
        <item x="193"/>
        <item x="248"/>
        <item x="196"/>
        <item x="198"/>
        <item x="212"/>
        <item x="209"/>
        <item x="235"/>
        <item x="241"/>
        <item x="194"/>
        <item x="243"/>
        <item x="191"/>
        <item x="197"/>
        <item x="217"/>
        <item x="238"/>
        <item x="221"/>
        <item x="205"/>
        <item x="199"/>
        <item x="234"/>
        <item x="206"/>
        <item x="201"/>
        <item x="204"/>
        <item x="210"/>
        <item x="967"/>
        <item x="966"/>
        <item x="963"/>
        <item x="246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0"/>
        <item x="1"/>
        <item h="1" x="2"/>
      </items>
    </pivotField>
    <pivotField axis="axisCol" compact="0" outline="0" showAll="0" defaultSubtotal="0">
      <items count="2">
        <item x="1"/>
        <item x="0"/>
      </items>
    </pivotField>
    <pivotField axis="axisCol" compact="0" outline="0" showAll="0" defaultSubtotal="0">
      <items count="3">
        <item x="1"/>
        <item x="2"/>
        <item x="0"/>
      </items>
    </pivotField>
    <pivotField axis="axisPage" dataField="1" compact="0" outline="0" multipleItemSelectionAllowed="1" showAll="0" defaultSubtotal="0">
      <items count="10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304"/>
        <item x="23"/>
        <item x="24"/>
        <item x="25"/>
        <item x="26"/>
        <item x="27"/>
        <item x="28"/>
        <item x="29"/>
        <item x="30"/>
        <item x="31"/>
        <item x="305"/>
        <item x="32"/>
        <item x="33"/>
        <item x="34"/>
        <item x="35"/>
        <item x="36"/>
        <item x="37"/>
        <item x="38"/>
        <item x="39"/>
        <item x="40"/>
        <item x="306"/>
        <item x="41"/>
        <item x="42"/>
        <item x="43"/>
        <item x="44"/>
        <item x="45"/>
        <item x="307"/>
        <item x="46"/>
        <item x="47"/>
        <item x="48"/>
        <item x="49"/>
        <item x="50"/>
        <item x="51"/>
        <item x="52"/>
        <item x="53"/>
        <item x="308"/>
        <item x="54"/>
        <item x="55"/>
        <item x="56"/>
        <item x="57"/>
        <item x="58"/>
        <item x="309"/>
        <item x="310"/>
        <item x="59"/>
        <item x="60"/>
        <item x="61"/>
        <item x="62"/>
        <item x="311"/>
        <item x="312"/>
        <item x="313"/>
        <item x="63"/>
        <item x="64"/>
        <item x="314"/>
        <item x="315"/>
        <item x="65"/>
        <item x="66"/>
        <item x="67"/>
        <item x="68"/>
        <item x="69"/>
        <item x="316"/>
        <item x="70"/>
        <item x="71"/>
        <item x="72"/>
        <item x="73"/>
        <item x="74"/>
        <item x="75"/>
        <item x="76"/>
        <item x="77"/>
        <item x="78"/>
        <item x="317"/>
        <item x="79"/>
        <item x="80"/>
        <item x="81"/>
        <item x="82"/>
        <item x="318"/>
        <item x="319"/>
        <item x="83"/>
        <item x="84"/>
        <item x="85"/>
        <item x="86"/>
        <item x="248"/>
        <item x="320"/>
        <item x="87"/>
        <item x="88"/>
        <item x="89"/>
        <item x="90"/>
        <item x="91"/>
        <item x="92"/>
        <item x="321"/>
        <item x="322"/>
        <item x="323"/>
        <item x="324"/>
        <item x="93"/>
        <item x="325"/>
        <item x="94"/>
        <item x="95"/>
        <item x="96"/>
        <item x="97"/>
        <item x="98"/>
        <item x="326"/>
        <item x="99"/>
        <item x="327"/>
        <item x="100"/>
        <item x="328"/>
        <item x="101"/>
        <item x="102"/>
        <item x="103"/>
        <item x="104"/>
        <item x="105"/>
        <item x="106"/>
        <item x="329"/>
        <item x="330"/>
        <item x="107"/>
        <item x="331"/>
        <item x="332"/>
        <item x="333"/>
        <item x="334"/>
        <item x="249"/>
        <item x="108"/>
        <item x="335"/>
        <item x="336"/>
        <item x="337"/>
        <item x="338"/>
        <item x="109"/>
        <item x="110"/>
        <item x="339"/>
        <item x="340"/>
        <item x="341"/>
        <item x="342"/>
        <item x="343"/>
        <item x="250"/>
        <item x="344"/>
        <item x="345"/>
        <item x="111"/>
        <item x="346"/>
        <item x="347"/>
        <item x="348"/>
        <item x="349"/>
        <item x="350"/>
        <item x="351"/>
        <item x="352"/>
        <item x="353"/>
        <item x="251"/>
        <item x="354"/>
        <item x="355"/>
        <item x="112"/>
        <item x="356"/>
        <item x="252"/>
        <item x="357"/>
        <item x="358"/>
        <item x="359"/>
        <item x="360"/>
        <item x="361"/>
        <item x="253"/>
        <item x="362"/>
        <item x="363"/>
        <item x="364"/>
        <item x="365"/>
        <item x="366"/>
        <item x="367"/>
        <item x="113"/>
        <item x="114"/>
        <item x="368"/>
        <item x="369"/>
        <item x="939"/>
        <item x="115"/>
        <item x="370"/>
        <item x="371"/>
        <item x="372"/>
        <item x="116"/>
        <item x="117"/>
        <item x="118"/>
        <item x="119"/>
        <item x="373"/>
        <item x="374"/>
        <item x="375"/>
        <item x="120"/>
        <item x="121"/>
        <item x="376"/>
        <item x="377"/>
        <item x="122"/>
        <item x="378"/>
        <item x="123"/>
        <item x="379"/>
        <item x="124"/>
        <item x="380"/>
        <item x="381"/>
        <item x="382"/>
        <item x="383"/>
        <item x="384"/>
        <item x="385"/>
        <item x="386"/>
        <item x="387"/>
        <item x="125"/>
        <item x="388"/>
        <item x="389"/>
        <item x="940"/>
        <item x="126"/>
        <item x="390"/>
        <item x="941"/>
        <item x="254"/>
        <item x="391"/>
        <item x="255"/>
        <item x="392"/>
        <item x="393"/>
        <item x="394"/>
        <item x="256"/>
        <item x="395"/>
        <item x="127"/>
        <item x="128"/>
        <item x="396"/>
        <item x="397"/>
        <item x="398"/>
        <item x="399"/>
        <item x="400"/>
        <item x="129"/>
        <item x="401"/>
        <item x="402"/>
        <item x="403"/>
        <item x="404"/>
        <item x="942"/>
        <item x="405"/>
        <item x="130"/>
        <item x="406"/>
        <item x="407"/>
        <item x="408"/>
        <item x="409"/>
        <item x="410"/>
        <item x="411"/>
        <item x="412"/>
        <item x="131"/>
        <item x="413"/>
        <item x="257"/>
        <item x="414"/>
        <item x="415"/>
        <item x="132"/>
        <item x="416"/>
        <item x="417"/>
        <item x="418"/>
        <item x="419"/>
        <item x="258"/>
        <item x="420"/>
        <item x="421"/>
        <item x="422"/>
        <item x="133"/>
        <item x="423"/>
        <item x="424"/>
        <item x="425"/>
        <item x="259"/>
        <item x="134"/>
        <item x="426"/>
        <item x="427"/>
        <item x="428"/>
        <item x="429"/>
        <item x="430"/>
        <item x="431"/>
        <item x="432"/>
        <item x="433"/>
        <item x="434"/>
        <item x="435"/>
        <item x="943"/>
        <item x="436"/>
        <item x="437"/>
        <item x="438"/>
        <item x="260"/>
        <item x="439"/>
        <item x="440"/>
        <item x="135"/>
        <item x="261"/>
        <item x="262"/>
        <item x="944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945"/>
        <item x="453"/>
        <item x="454"/>
        <item x="455"/>
        <item x="456"/>
        <item x="263"/>
        <item x="457"/>
        <item x="458"/>
        <item x="136"/>
        <item x="459"/>
        <item x="460"/>
        <item x="461"/>
        <item x="462"/>
        <item x="187"/>
        <item x="463"/>
        <item x="464"/>
        <item x="465"/>
        <item x="466"/>
        <item x="467"/>
        <item x="264"/>
        <item x="468"/>
        <item x="137"/>
        <item x="138"/>
        <item x="265"/>
        <item x="469"/>
        <item x="470"/>
        <item x="471"/>
        <item x="472"/>
        <item x="266"/>
        <item x="473"/>
        <item x="474"/>
        <item x="475"/>
        <item x="476"/>
        <item x="477"/>
        <item x="478"/>
        <item x="479"/>
        <item x="480"/>
        <item x="481"/>
        <item x="139"/>
        <item x="482"/>
        <item x="483"/>
        <item x="484"/>
        <item x="485"/>
        <item x="486"/>
        <item x="487"/>
        <item x="488"/>
        <item x="946"/>
        <item x="489"/>
        <item x="490"/>
        <item x="491"/>
        <item x="140"/>
        <item x="492"/>
        <item x="493"/>
        <item x="947"/>
        <item x="494"/>
        <item x="495"/>
        <item x="496"/>
        <item x="141"/>
        <item x="267"/>
        <item x="497"/>
        <item x="498"/>
        <item x="499"/>
        <item x="500"/>
        <item x="501"/>
        <item x="502"/>
        <item x="142"/>
        <item x="503"/>
        <item x="504"/>
        <item x="505"/>
        <item x="506"/>
        <item x="948"/>
        <item x="507"/>
        <item x="508"/>
        <item x="268"/>
        <item x="509"/>
        <item x="510"/>
        <item x="511"/>
        <item x="512"/>
        <item x="513"/>
        <item x="514"/>
        <item x="143"/>
        <item x="949"/>
        <item x="515"/>
        <item x="516"/>
        <item x="517"/>
        <item x="518"/>
        <item x="519"/>
        <item x="520"/>
        <item x="521"/>
        <item x="269"/>
        <item x="522"/>
        <item x="523"/>
        <item x="524"/>
        <item x="525"/>
        <item x="144"/>
        <item x="526"/>
        <item x="188"/>
        <item x="527"/>
        <item x="528"/>
        <item x="529"/>
        <item x="530"/>
        <item x="270"/>
        <item x="531"/>
        <item x="532"/>
        <item x="145"/>
        <item x="533"/>
        <item x="950"/>
        <item x="534"/>
        <item x="951"/>
        <item x="929"/>
        <item x="535"/>
        <item x="536"/>
        <item x="271"/>
        <item x="537"/>
        <item x="146"/>
        <item x="538"/>
        <item x="189"/>
        <item x="539"/>
        <item x="540"/>
        <item x="147"/>
        <item x="541"/>
        <item x="542"/>
        <item x="543"/>
        <item x="544"/>
        <item x="545"/>
        <item x="546"/>
        <item x="272"/>
        <item x="547"/>
        <item x="548"/>
        <item x="549"/>
        <item x="550"/>
        <item x="551"/>
        <item x="552"/>
        <item x="148"/>
        <item x="553"/>
        <item x="554"/>
        <item x="952"/>
        <item x="555"/>
        <item x="556"/>
        <item x="557"/>
        <item x="558"/>
        <item x="559"/>
        <item x="273"/>
        <item x="560"/>
        <item x="561"/>
        <item x="562"/>
        <item x="953"/>
        <item x="563"/>
        <item x="564"/>
        <item x="274"/>
        <item x="565"/>
        <item x="954"/>
        <item x="149"/>
        <item x="566"/>
        <item x="567"/>
        <item x="150"/>
        <item x="568"/>
        <item x="569"/>
        <item x="570"/>
        <item x="955"/>
        <item x="571"/>
        <item x="956"/>
        <item x="572"/>
        <item x="275"/>
        <item x="573"/>
        <item x="574"/>
        <item x="575"/>
        <item x="576"/>
        <item x="151"/>
        <item x="577"/>
        <item x="152"/>
        <item x="578"/>
        <item x="276"/>
        <item x="579"/>
        <item x="580"/>
        <item x="581"/>
        <item x="582"/>
        <item x="583"/>
        <item x="190"/>
        <item x="153"/>
        <item x="584"/>
        <item x="585"/>
        <item x="154"/>
        <item x="586"/>
        <item x="587"/>
        <item x="588"/>
        <item x="589"/>
        <item x="590"/>
        <item x="591"/>
        <item x="592"/>
        <item x="593"/>
        <item x="594"/>
        <item x="595"/>
        <item x="155"/>
        <item x="596"/>
        <item x="597"/>
        <item x="598"/>
        <item x="930"/>
        <item x="599"/>
        <item x="600"/>
        <item x="277"/>
        <item x="601"/>
        <item x="602"/>
        <item x="603"/>
        <item x="604"/>
        <item x="605"/>
        <item x="606"/>
        <item x="607"/>
        <item x="608"/>
        <item x="957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56"/>
        <item x="191"/>
        <item x="632"/>
        <item x="958"/>
        <item x="633"/>
        <item x="157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959"/>
        <item x="652"/>
        <item x="653"/>
        <item x="654"/>
        <item x="655"/>
        <item x="656"/>
        <item x="657"/>
        <item x="658"/>
        <item x="278"/>
        <item x="659"/>
        <item x="660"/>
        <item x="661"/>
        <item x="662"/>
        <item x="663"/>
        <item x="664"/>
        <item x="665"/>
        <item x="666"/>
        <item x="667"/>
        <item x="960"/>
        <item x="668"/>
        <item x="669"/>
        <item x="670"/>
        <item x="158"/>
        <item x="671"/>
        <item x="672"/>
        <item x="673"/>
        <item x="674"/>
        <item x="961"/>
        <item x="962"/>
        <item x="675"/>
        <item x="963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279"/>
        <item x="280"/>
        <item x="689"/>
        <item x="690"/>
        <item x="691"/>
        <item x="692"/>
        <item x="159"/>
        <item x="693"/>
        <item x="694"/>
        <item x="695"/>
        <item x="696"/>
        <item x="281"/>
        <item x="697"/>
        <item x="698"/>
        <item x="282"/>
        <item x="160"/>
        <item x="699"/>
        <item x="700"/>
        <item x="701"/>
        <item x="702"/>
        <item x="192"/>
        <item x="703"/>
        <item x="704"/>
        <item x="705"/>
        <item x="706"/>
        <item x="707"/>
        <item x="964"/>
        <item x="708"/>
        <item x="709"/>
        <item x="965"/>
        <item x="710"/>
        <item x="931"/>
        <item x="711"/>
        <item x="712"/>
        <item x="713"/>
        <item x="714"/>
        <item x="715"/>
        <item x="716"/>
        <item x="717"/>
        <item x="718"/>
        <item x="719"/>
        <item x="161"/>
        <item x="720"/>
        <item x="721"/>
        <item x="722"/>
        <item x="723"/>
        <item x="724"/>
        <item x="162"/>
        <item x="725"/>
        <item x="726"/>
        <item x="727"/>
        <item x="728"/>
        <item x="966"/>
        <item x="729"/>
        <item x="730"/>
        <item x="731"/>
        <item x="732"/>
        <item x="283"/>
        <item x="193"/>
        <item x="733"/>
        <item x="284"/>
        <item x="734"/>
        <item x="735"/>
        <item x="736"/>
        <item x="737"/>
        <item x="738"/>
        <item x="739"/>
        <item x="740"/>
        <item x="194"/>
        <item x="932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933"/>
        <item x="755"/>
        <item x="967"/>
        <item x="756"/>
        <item x="757"/>
        <item x="758"/>
        <item x="968"/>
        <item x="759"/>
        <item x="285"/>
        <item x="969"/>
        <item x="970"/>
        <item x="760"/>
        <item x="761"/>
        <item x="762"/>
        <item x="763"/>
        <item x="971"/>
        <item x="764"/>
        <item x="765"/>
        <item x="286"/>
        <item x="766"/>
        <item x="163"/>
        <item x="767"/>
        <item x="768"/>
        <item x="769"/>
        <item x="770"/>
        <item x="972"/>
        <item x="973"/>
        <item x="974"/>
        <item x="164"/>
        <item x="771"/>
        <item x="772"/>
        <item x="773"/>
        <item x="975"/>
        <item x="976"/>
        <item x="774"/>
        <item x="775"/>
        <item x="776"/>
        <item x="777"/>
        <item x="778"/>
        <item x="779"/>
        <item x="165"/>
        <item x="780"/>
        <item x="166"/>
        <item x="781"/>
        <item x="782"/>
        <item x="783"/>
        <item x="784"/>
        <item x="785"/>
        <item x="786"/>
        <item x="167"/>
        <item x="787"/>
        <item x="788"/>
        <item x="789"/>
        <item x="790"/>
        <item x="977"/>
        <item x="791"/>
        <item x="978"/>
        <item x="168"/>
        <item x="792"/>
        <item x="793"/>
        <item x="794"/>
        <item x="795"/>
        <item x="979"/>
        <item x="287"/>
        <item x="796"/>
        <item x="980"/>
        <item x="797"/>
        <item x="169"/>
        <item x="195"/>
        <item x="798"/>
        <item x="288"/>
        <item x="799"/>
        <item x="800"/>
        <item x="801"/>
        <item x="802"/>
        <item x="803"/>
        <item x="804"/>
        <item x="805"/>
        <item x="981"/>
        <item x="806"/>
        <item x="807"/>
        <item x="808"/>
        <item x="982"/>
        <item x="809"/>
        <item x="196"/>
        <item x="810"/>
        <item x="170"/>
        <item x="811"/>
        <item x="812"/>
        <item x="813"/>
        <item x="934"/>
        <item x="814"/>
        <item x="815"/>
        <item x="816"/>
        <item x="171"/>
        <item x="817"/>
        <item x="818"/>
        <item x="983"/>
        <item x="197"/>
        <item x="172"/>
        <item x="984"/>
        <item x="819"/>
        <item x="985"/>
        <item x="986"/>
        <item x="820"/>
        <item x="821"/>
        <item x="987"/>
        <item x="822"/>
        <item x="988"/>
        <item x="989"/>
        <item x="173"/>
        <item x="823"/>
        <item x="824"/>
        <item x="825"/>
        <item x="826"/>
        <item x="174"/>
        <item x="990"/>
        <item x="991"/>
        <item x="175"/>
        <item x="198"/>
        <item x="992"/>
        <item x="199"/>
        <item x="827"/>
        <item x="828"/>
        <item x="993"/>
        <item x="829"/>
        <item x="830"/>
        <item x="831"/>
        <item x="289"/>
        <item x="832"/>
        <item x="200"/>
        <item x="833"/>
        <item x="935"/>
        <item x="201"/>
        <item x="994"/>
        <item x="834"/>
        <item x="835"/>
        <item x="936"/>
        <item x="176"/>
        <item x="836"/>
        <item x="290"/>
        <item x="177"/>
        <item x="178"/>
        <item x="837"/>
        <item x="838"/>
        <item x="291"/>
        <item x="179"/>
        <item x="839"/>
        <item x="840"/>
        <item x="995"/>
        <item x="202"/>
        <item x="937"/>
        <item x="841"/>
        <item x="996"/>
        <item x="842"/>
        <item x="997"/>
        <item x="203"/>
        <item x="204"/>
        <item x="180"/>
        <item x="843"/>
        <item x="181"/>
        <item x="844"/>
        <item x="205"/>
        <item x="845"/>
        <item x="846"/>
        <item x="847"/>
        <item x="998"/>
        <item x="999"/>
        <item x="1000"/>
        <item x="1001"/>
        <item x="848"/>
        <item x="849"/>
        <item x="850"/>
        <item x="851"/>
        <item x="852"/>
        <item x="206"/>
        <item x="853"/>
        <item x="207"/>
        <item x="854"/>
        <item x="1002"/>
        <item x="292"/>
        <item x="1003"/>
        <item x="1004"/>
        <item x="1005"/>
        <item x="855"/>
        <item x="856"/>
        <item x="857"/>
        <item x="858"/>
        <item x="859"/>
        <item x="860"/>
        <item x="861"/>
        <item x="208"/>
        <item x="293"/>
        <item x="862"/>
        <item x="863"/>
        <item x="209"/>
        <item x="1006"/>
        <item x="864"/>
        <item x="210"/>
        <item x="865"/>
        <item x="211"/>
        <item x="866"/>
        <item x="867"/>
        <item x="868"/>
        <item x="869"/>
        <item x="212"/>
        <item x="870"/>
        <item x="871"/>
        <item x="872"/>
        <item x="873"/>
        <item x="1007"/>
        <item x="874"/>
        <item x="875"/>
        <item x="294"/>
        <item x="1008"/>
        <item x="876"/>
        <item x="1009"/>
        <item x="295"/>
        <item x="1010"/>
        <item x="877"/>
        <item x="878"/>
        <item x="1011"/>
        <item x="879"/>
        <item x="296"/>
        <item x="880"/>
        <item x="881"/>
        <item x="882"/>
        <item x="213"/>
        <item x="297"/>
        <item x="883"/>
        <item x="884"/>
        <item x="298"/>
        <item x="214"/>
        <item x="215"/>
        <item x="1012"/>
        <item x="216"/>
        <item x="217"/>
        <item x="885"/>
        <item x="886"/>
        <item x="218"/>
        <item x="1013"/>
        <item x="887"/>
        <item x="219"/>
        <item x="220"/>
        <item x="888"/>
        <item x="889"/>
        <item x="890"/>
        <item x="299"/>
        <item x="221"/>
        <item x="222"/>
        <item x="1014"/>
        <item x="223"/>
        <item x="224"/>
        <item x="1015"/>
        <item x="182"/>
        <item x="891"/>
        <item x="938"/>
        <item x="892"/>
        <item x="893"/>
        <item x="1016"/>
        <item x="894"/>
        <item x="300"/>
        <item x="1017"/>
        <item x="225"/>
        <item x="301"/>
        <item x="183"/>
        <item x="895"/>
        <item x="896"/>
        <item x="184"/>
        <item x="897"/>
        <item x="1018"/>
        <item x="898"/>
        <item x="1019"/>
        <item x="226"/>
        <item x="899"/>
        <item x="227"/>
        <item x="900"/>
        <item x="901"/>
        <item x="902"/>
        <item x="302"/>
        <item x="228"/>
        <item x="903"/>
        <item x="904"/>
        <item x="229"/>
        <item x="905"/>
        <item x="906"/>
        <item x="907"/>
        <item x="908"/>
        <item x="230"/>
        <item x="1020"/>
        <item x="231"/>
        <item x="909"/>
        <item x="1021"/>
        <item x="232"/>
        <item x="233"/>
        <item x="910"/>
        <item x="234"/>
        <item x="1022"/>
        <item x="235"/>
        <item x="1023"/>
        <item x="911"/>
        <item x="912"/>
        <item x="913"/>
        <item x="303"/>
        <item x="914"/>
        <item x="915"/>
        <item x="236"/>
        <item x="237"/>
        <item x="238"/>
        <item x="1024"/>
        <item x="185"/>
        <item x="1025"/>
        <item x="239"/>
        <item x="240"/>
        <item x="916"/>
        <item x="241"/>
        <item x="242"/>
        <item x="243"/>
        <item x="244"/>
        <item x="186"/>
        <item x="917"/>
        <item x="918"/>
        <item x="245"/>
        <item x="919"/>
        <item x="246"/>
        <item x="1026"/>
        <item x="920"/>
        <item x="247"/>
        <item x="1027"/>
        <item x="921"/>
        <item x="1028"/>
        <item x="1029"/>
        <item x="1030"/>
        <item x="922"/>
        <item x="923"/>
        <item x="924"/>
        <item x="925"/>
        <item x="926"/>
        <item x="1031"/>
        <item x="1032"/>
        <item x="927"/>
        <item h="1" x="928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7">
        <item h="1" x="14"/>
        <item h="1" x="13"/>
        <item h="1" x="12"/>
        <item x="11"/>
        <item x="10"/>
        <item x="9"/>
        <item h="1" x="8"/>
        <item h="1" x="7"/>
        <item h="1" x="6"/>
        <item h="1" x="5"/>
        <item h="1" x="4"/>
        <item h="1" x="3"/>
        <item h="1" x="2"/>
        <item h="1" x="1"/>
        <item m="1" x="16"/>
        <item h="1" x="0"/>
        <item h="1" x="15"/>
      </items>
    </pivotField>
    <pivotField compact="0" outline="0" showAll="0" defaultSubtotal="0"/>
    <pivotField axis="axisPage" compact="0" outline="0" multipleItemSelectionAllowed="1" showAll="0" defaultSubtotal="0">
      <items count="5">
        <item x="0"/>
        <item x="2"/>
        <item x="4"/>
        <item x="3"/>
        <item x="1"/>
      </items>
    </pivotField>
    <pivotField axis="axisPage" compact="0" outline="0" multipleItemSelectionAllowed="1" showAll="0" defaultSubtotal="0">
      <items count="7">
        <item x="5"/>
        <item x="2"/>
        <item x="4"/>
        <item x="0"/>
        <item x="1"/>
        <item x="3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285">
    <i>
      <x v="5"/>
    </i>
    <i>
      <x v="11"/>
    </i>
    <i>
      <x v="21"/>
    </i>
    <i>
      <x v="25"/>
    </i>
    <i>
      <x v="26"/>
    </i>
    <i>
      <x v="40"/>
    </i>
    <i>
      <x v="42"/>
    </i>
    <i>
      <x v="43"/>
    </i>
    <i>
      <x v="45"/>
    </i>
    <i>
      <x v="62"/>
    </i>
    <i>
      <x v="63"/>
    </i>
    <i>
      <x v="65"/>
    </i>
    <i>
      <x v="66"/>
    </i>
    <i>
      <x v="71"/>
    </i>
    <i>
      <x v="77"/>
    </i>
    <i>
      <x v="82"/>
    </i>
    <i>
      <x v="142"/>
    </i>
    <i>
      <x v="143"/>
    </i>
    <i>
      <x v="144"/>
    </i>
    <i>
      <x v="149"/>
    </i>
    <i>
      <x v="151"/>
    </i>
    <i>
      <x v="153"/>
    </i>
    <i>
      <x v="154"/>
    </i>
    <i>
      <x v="156"/>
    </i>
    <i>
      <x v="159"/>
    </i>
    <i>
      <x v="163"/>
    </i>
    <i>
      <x v="166"/>
    </i>
    <i>
      <x v="171"/>
    </i>
    <i>
      <x v="172"/>
    </i>
    <i>
      <x v="173"/>
    </i>
    <i>
      <x v="176"/>
    </i>
    <i>
      <x v="192"/>
    </i>
    <i>
      <x v="200"/>
    </i>
    <i>
      <x v="201"/>
    </i>
    <i>
      <x v="205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8"/>
    </i>
    <i>
      <x v="222"/>
    </i>
    <i>
      <x v="224"/>
    </i>
    <i>
      <x v="225"/>
    </i>
    <i>
      <x v="226"/>
    </i>
    <i>
      <x v="228"/>
    </i>
    <i>
      <x v="230"/>
    </i>
    <i>
      <x v="231"/>
    </i>
    <i>
      <x v="232"/>
    </i>
    <i>
      <x v="244"/>
    </i>
    <i>
      <x v="249"/>
    </i>
    <i>
      <x v="250"/>
    </i>
    <i>
      <x v="254"/>
    </i>
    <i>
      <x v="258"/>
    </i>
    <i>
      <x v="272"/>
    </i>
    <i>
      <x v="274"/>
    </i>
    <i>
      <x v="277"/>
    </i>
    <i>
      <x v="278"/>
    </i>
    <i>
      <x v="289"/>
    </i>
    <i>
      <x v="291"/>
    </i>
    <i>
      <x v="295"/>
    </i>
    <i>
      <x v="302"/>
    </i>
    <i>
      <x v="305"/>
    </i>
    <i>
      <x v="307"/>
    </i>
    <i>
      <x v="308"/>
    </i>
    <i>
      <x v="311"/>
    </i>
    <i>
      <x v="314"/>
    </i>
    <i>
      <x v="316"/>
    </i>
    <i>
      <x v="317"/>
    </i>
    <i>
      <x v="324"/>
    </i>
    <i>
      <x v="328"/>
    </i>
    <i>
      <x v="330"/>
    </i>
    <i>
      <x v="331"/>
    </i>
    <i>
      <x v="335"/>
    </i>
    <i>
      <x v="341"/>
    </i>
    <i>
      <x v="343"/>
    </i>
    <i>
      <x v="344"/>
    </i>
    <i>
      <x v="345"/>
    </i>
    <i>
      <x v="351"/>
    </i>
    <i>
      <x v="353"/>
    </i>
    <i>
      <x v="355"/>
    </i>
    <i>
      <x v="356"/>
    </i>
    <i>
      <x v="358"/>
    </i>
    <i>
      <x v="359"/>
    </i>
    <i>
      <x v="362"/>
    </i>
    <i>
      <x v="363"/>
    </i>
    <i>
      <x v="368"/>
    </i>
    <i>
      <x v="370"/>
    </i>
    <i>
      <x v="375"/>
    </i>
    <i>
      <x v="376"/>
    </i>
    <i>
      <x v="377"/>
    </i>
    <i>
      <x v="378"/>
    </i>
    <i>
      <x v="380"/>
    </i>
    <i>
      <x v="381"/>
    </i>
    <i>
      <x v="383"/>
    </i>
    <i>
      <x v="384"/>
    </i>
    <i>
      <x v="386"/>
    </i>
    <i>
      <x v="389"/>
    </i>
    <i>
      <x v="395"/>
    </i>
    <i>
      <x v="396"/>
    </i>
    <i>
      <x v="401"/>
    </i>
    <i>
      <x v="408"/>
    </i>
    <i>
      <x v="414"/>
    </i>
    <i>
      <x v="420"/>
    </i>
    <i>
      <x v="425"/>
    </i>
    <i>
      <x v="428"/>
    </i>
    <i>
      <x v="429"/>
    </i>
    <i>
      <x v="432"/>
    </i>
    <i>
      <x v="436"/>
    </i>
    <i>
      <x v="440"/>
    </i>
    <i>
      <x v="443"/>
    </i>
    <i>
      <x v="446"/>
    </i>
    <i>
      <x v="453"/>
    </i>
    <i>
      <x v="454"/>
    </i>
    <i>
      <x v="457"/>
    </i>
    <i>
      <x v="464"/>
    </i>
    <i>
      <x v="468"/>
    </i>
    <i>
      <x v="472"/>
    </i>
    <i>
      <x v="473"/>
    </i>
    <i>
      <x v="474"/>
    </i>
    <i>
      <x v="477"/>
    </i>
    <i>
      <x v="482"/>
    </i>
    <i>
      <x v="484"/>
    </i>
    <i>
      <x v="487"/>
    </i>
    <i>
      <x v="489"/>
    </i>
    <i>
      <x v="492"/>
    </i>
    <i>
      <x v="501"/>
    </i>
    <i>
      <x v="503"/>
    </i>
    <i>
      <x v="506"/>
    </i>
    <i>
      <x v="508"/>
    </i>
    <i>
      <x v="511"/>
    </i>
    <i>
      <x v="513"/>
    </i>
    <i>
      <x v="515"/>
    </i>
    <i>
      <x v="521"/>
    </i>
    <i>
      <x v="522"/>
    </i>
    <i>
      <x v="524"/>
    </i>
    <i>
      <x v="526"/>
    </i>
    <i>
      <x v="527"/>
    </i>
    <i>
      <x v="531"/>
    </i>
    <i>
      <x v="540"/>
    </i>
    <i>
      <x v="545"/>
    </i>
    <i>
      <x v="546"/>
    </i>
    <i>
      <x v="547"/>
    </i>
    <i>
      <x v="550"/>
    </i>
    <i>
      <x v="554"/>
    </i>
    <i>
      <x v="558"/>
    </i>
    <i>
      <x v="560"/>
    </i>
    <i>
      <x v="561"/>
    </i>
    <i>
      <x v="568"/>
    </i>
    <i>
      <x v="571"/>
    </i>
    <i>
      <x v="573"/>
    </i>
    <i>
      <x v="574"/>
    </i>
    <i>
      <x v="575"/>
    </i>
    <i>
      <x v="582"/>
    </i>
    <i>
      <x v="583"/>
    </i>
    <i>
      <x v="585"/>
    </i>
    <i>
      <x v="586"/>
    </i>
    <i>
      <x v="588"/>
    </i>
    <i>
      <x v="595"/>
    </i>
    <i>
      <x v="598"/>
    </i>
    <i>
      <x v="606"/>
    </i>
    <i>
      <x v="613"/>
    </i>
    <i>
      <x v="625"/>
    </i>
    <i>
      <x v="626"/>
    </i>
    <i>
      <x v="627"/>
    </i>
    <i>
      <x v="629"/>
    </i>
    <i>
      <x v="633"/>
    </i>
    <i>
      <x v="638"/>
    </i>
    <i>
      <x v="642"/>
    </i>
    <i>
      <x v="644"/>
    </i>
    <i>
      <x v="647"/>
    </i>
    <i>
      <x v="649"/>
    </i>
    <i>
      <x v="651"/>
    </i>
    <i>
      <x v="652"/>
    </i>
    <i>
      <x v="653"/>
    </i>
    <i>
      <x v="661"/>
    </i>
    <i>
      <x v="663"/>
    </i>
    <i>
      <x v="670"/>
    </i>
    <i>
      <x v="671"/>
    </i>
    <i>
      <x v="672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9"/>
    </i>
    <i>
      <x v="693"/>
    </i>
    <i>
      <x v="695"/>
    </i>
    <i>
      <x v="697"/>
    </i>
    <i>
      <x v="698"/>
    </i>
    <i>
      <x v="699"/>
    </i>
    <i>
      <x v="709"/>
    </i>
    <i>
      <x v="713"/>
    </i>
    <i>
      <x v="719"/>
    </i>
    <i>
      <x v="723"/>
    </i>
    <i>
      <x v="724"/>
    </i>
    <i>
      <x v="725"/>
    </i>
    <i>
      <x v="727"/>
    </i>
    <i>
      <x v="731"/>
    </i>
    <i>
      <x v="736"/>
    </i>
    <i>
      <x v="737"/>
    </i>
    <i>
      <x v="739"/>
    </i>
    <i>
      <x v="744"/>
    </i>
    <i>
      <x v="749"/>
    </i>
    <i>
      <x v="751"/>
    </i>
    <i>
      <x v="756"/>
    </i>
    <i>
      <x v="757"/>
    </i>
    <i>
      <x v="760"/>
    </i>
    <i>
      <x v="766"/>
    </i>
    <i>
      <x v="769"/>
    </i>
    <i>
      <x v="770"/>
    </i>
    <i>
      <x v="773"/>
    </i>
    <i>
      <x v="778"/>
    </i>
    <i>
      <x v="781"/>
    </i>
    <i>
      <x v="786"/>
    </i>
    <i>
      <x v="793"/>
    </i>
    <i>
      <x v="795"/>
    </i>
    <i>
      <x v="800"/>
    </i>
    <i>
      <x v="801"/>
    </i>
    <i>
      <x v="802"/>
    </i>
    <i>
      <x v="804"/>
    </i>
    <i>
      <x v="810"/>
    </i>
    <i>
      <x v="818"/>
    </i>
    <i>
      <x v="822"/>
    </i>
    <i>
      <x v="826"/>
    </i>
    <i>
      <x v="827"/>
    </i>
    <i>
      <x v="833"/>
    </i>
    <i>
      <x v="834"/>
    </i>
    <i>
      <x v="835"/>
    </i>
    <i>
      <x v="863"/>
    </i>
    <i>
      <x v="868"/>
    </i>
    <i>
      <x v="869"/>
    </i>
    <i>
      <x v="870"/>
    </i>
    <i>
      <x v="871"/>
    </i>
    <i>
      <x v="873"/>
    </i>
    <i>
      <x v="874"/>
    </i>
    <i>
      <x v="877"/>
    </i>
    <i>
      <x v="888"/>
    </i>
    <i>
      <x v="889"/>
    </i>
    <i>
      <x v="891"/>
    </i>
    <i>
      <x v="904"/>
    </i>
    <i>
      <x v="906"/>
    </i>
    <i>
      <x v="914"/>
    </i>
    <i>
      <x v="915"/>
    </i>
    <i>
      <x v="916"/>
    </i>
    <i>
      <x v="917"/>
    </i>
    <i>
      <x v="920"/>
    </i>
    <i>
      <x v="928"/>
    </i>
    <i>
      <x v="929"/>
    </i>
    <i>
      <x v="931"/>
    </i>
    <i>
      <x v="933"/>
    </i>
    <i>
      <x v="941"/>
    </i>
    <i>
      <x v="943"/>
    </i>
    <i>
      <x v="945"/>
    </i>
    <i>
      <x v="949"/>
    </i>
    <i>
      <x v="950"/>
    </i>
    <i>
      <x v="951"/>
    </i>
    <i>
      <x v="953"/>
    </i>
    <i>
      <x v="955"/>
    </i>
    <i>
      <x v="957"/>
    </i>
    <i>
      <x v="959"/>
    </i>
    <i>
      <x v="964"/>
    </i>
    <i>
      <x v="965"/>
    </i>
    <i>
      <x v="967"/>
    </i>
    <i>
      <x v="968"/>
    </i>
    <i>
      <x v="983"/>
    </i>
    <i>
      <x v="994"/>
    </i>
    <i>
      <x v="1003"/>
    </i>
    <i>
      <x v="1004"/>
    </i>
    <i>
      <x v="1006"/>
    </i>
    <i>
      <x v="1007"/>
    </i>
    <i>
      <x v="1008"/>
    </i>
    <i>
      <x v="1009"/>
    </i>
    <i>
      <x v="1014"/>
    </i>
    <i>
      <x v="1015"/>
    </i>
    <i>
      <x v="1018"/>
    </i>
    <i>
      <x v="1027"/>
    </i>
    <i>
      <x v="1029"/>
    </i>
    <i>
      <x v="1073"/>
    </i>
  </rowItems>
  <colFields count="2">
    <field x="6"/>
    <field x="5"/>
  </colFields>
  <colItems count="3">
    <i>
      <x/>
      <x/>
    </i>
    <i>
      <x v="1"/>
      <x v="1"/>
    </i>
    <i>
      <x v="2"/>
      <x v="1"/>
    </i>
  </colItems>
  <pageFields count="5">
    <pageField fld="7" hier="-1"/>
    <pageField fld="12" hier="-1"/>
    <pageField fld="13" hier="-1"/>
    <pageField fld="4" hier="-1"/>
    <pageField fld="10" hier="-1"/>
  </pageFields>
  <dataFields count="1">
    <dataField name="Somme de dH_reg" fld="7" baseField="0" baseItem="2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rowGrandTotals="0" colGrandTotals="0" itemPrintTitles="1" createdVersion="6" indent="0" compact="0" compactData="0" multipleFieldFilters="0">
  <location ref="A7:H67" firstHeaderRow="1" firstDataRow="4" firstDataCol="1" rowPageCount="4" colPageCount="1"/>
  <pivotFields count="51">
    <pivotField axis="axisRow" compact="0" outline="0" showAll="0" defaultSubtotal="0">
      <items count="1075">
        <item x="55"/>
        <item x="50"/>
        <item x="20"/>
        <item x="703"/>
        <item x="940"/>
        <item x="794"/>
        <item x="366"/>
        <item x="175"/>
        <item x="174"/>
        <item x="52"/>
        <item x="477"/>
        <item x="776"/>
        <item x="26"/>
        <item x="66"/>
        <item x="82"/>
        <item x="39"/>
        <item x="98"/>
        <item x="27"/>
        <item x="61"/>
        <item x="51"/>
        <item x="108"/>
        <item x="819"/>
        <item x="484"/>
        <item x="46"/>
        <item x="68"/>
        <item x="863"/>
        <item x="912"/>
        <item x="109"/>
        <item x="76"/>
        <item x="131"/>
        <item x="22"/>
        <item x="58"/>
        <item x="35"/>
        <item x="102"/>
        <item x="10"/>
        <item x="64"/>
        <item x="95"/>
        <item x="79"/>
        <item x="62"/>
        <item x="570"/>
        <item x="758"/>
        <item x="598"/>
        <item x="734"/>
        <item x="738"/>
        <item x="426"/>
        <item x="855"/>
        <item x="470"/>
        <item x="499"/>
        <item x="56"/>
        <item x="680"/>
        <item x="91"/>
        <item x="5"/>
        <item x="74"/>
        <item x="78"/>
        <item x="172"/>
        <item x="73"/>
        <item x="80"/>
        <item x="36"/>
        <item x="161"/>
        <item x="31"/>
        <item x="13"/>
        <item x="438"/>
        <item x="722"/>
        <item x="759"/>
        <item x="655"/>
        <item x="849"/>
        <item x="779"/>
        <item x="954"/>
        <item x="930"/>
        <item x="135"/>
        <item x="336"/>
        <item x="883"/>
        <item x="422"/>
        <item x="414"/>
        <item x="118"/>
        <item x="69"/>
        <item x="419"/>
        <item x="755"/>
        <item x="113"/>
        <item x="21"/>
        <item x="352"/>
        <item x="529"/>
        <item x="820"/>
        <item x="654"/>
        <item x="416"/>
        <item x="171"/>
        <item x="614"/>
        <item x="603"/>
        <item x="83"/>
        <item x="160"/>
        <item x="159"/>
        <item x="143"/>
        <item x="32"/>
        <item x="105"/>
        <item x="18"/>
        <item x="41"/>
        <item x="11"/>
        <item x="188"/>
        <item x="60"/>
        <item x="110"/>
        <item x="515"/>
        <item x="396"/>
        <item x="349"/>
        <item x="675"/>
        <item x="310"/>
        <item x="460"/>
        <item x="456"/>
        <item x="632"/>
        <item x="664"/>
        <item x="127"/>
        <item x="87"/>
        <item x="115"/>
        <item x="49"/>
        <item x="94"/>
        <item x="33"/>
        <item x="15"/>
        <item x="126"/>
        <item x="43"/>
        <item x="70"/>
        <item x="90"/>
        <item x="67"/>
        <item x="104"/>
        <item x="9"/>
        <item x="63"/>
        <item x="86"/>
        <item x="25"/>
        <item x="96"/>
        <item x="148"/>
        <item x="1"/>
        <item x="119"/>
        <item x="45"/>
        <item x="2"/>
        <item x="7"/>
        <item x="146"/>
        <item x="44"/>
        <item x="100"/>
        <item x="101"/>
        <item x="132"/>
        <item x="107"/>
        <item x="154"/>
        <item x="936"/>
        <item x="488"/>
        <item x="907"/>
        <item x="839"/>
        <item x="750"/>
        <item x="527"/>
        <item x="430"/>
        <item x="519"/>
        <item x="400"/>
        <item x="762"/>
        <item x="929"/>
        <item x="781"/>
        <item x="932"/>
        <item x="922"/>
        <item x="870"/>
        <item x="698"/>
        <item x="890"/>
        <item x="952"/>
        <item x="170"/>
        <item x="918"/>
        <item x="145"/>
        <item x="173"/>
        <item x="153"/>
        <item x="769"/>
        <item x="661"/>
        <item x="939"/>
        <item x="853"/>
        <item x="24"/>
        <item x="345"/>
        <item x="394"/>
        <item x="607"/>
        <item x="846"/>
        <item x="874"/>
        <item x="739"/>
        <item x="552"/>
        <item x="505"/>
        <item x="914"/>
        <item x="928"/>
        <item x="530"/>
        <item x="53"/>
        <item x="137"/>
        <item x="84"/>
        <item x="88"/>
        <item x="103"/>
        <item x="8"/>
        <item x="129"/>
        <item x="158"/>
        <item x="114"/>
        <item x="72"/>
        <item x="57"/>
        <item x="179"/>
        <item x="14"/>
        <item x="760"/>
        <item x="417"/>
        <item x="624"/>
        <item x="645"/>
        <item x="584"/>
        <item x="666"/>
        <item x="657"/>
        <item x="433"/>
        <item x="797"/>
        <item x="746"/>
        <item x="495"/>
        <item x="483"/>
        <item x="454"/>
        <item x="788"/>
        <item x="462"/>
        <item x="568"/>
        <item x="903"/>
        <item x="904"/>
        <item x="753"/>
        <item x="869"/>
        <item x="831"/>
        <item x="731"/>
        <item x="898"/>
        <item x="615"/>
        <item x="372"/>
        <item x="943"/>
        <item x="896"/>
        <item x="947"/>
        <item x="510"/>
        <item x="644"/>
        <item x="825"/>
        <item x="945"/>
        <item x="832"/>
        <item x="926"/>
        <item x="872"/>
        <item x="663"/>
        <item x="906"/>
        <item x="642"/>
        <item x="707"/>
        <item x="796"/>
        <item x="789"/>
        <item x="71"/>
        <item x="42"/>
        <item x="40"/>
        <item x="6"/>
        <item x="12"/>
        <item x="59"/>
        <item x="30"/>
        <item x="38"/>
        <item x="54"/>
        <item x="34"/>
        <item x="509"/>
        <item x="894"/>
        <item x="557"/>
        <item x="340"/>
        <item x="511"/>
        <item x="330"/>
        <item x="830"/>
        <item x="785"/>
        <item x="351"/>
        <item x="585"/>
        <item x="583"/>
        <item x="915"/>
        <item x="638"/>
        <item x="600"/>
        <item x="441"/>
        <item x="818"/>
        <item x="538"/>
        <item x="333"/>
        <item x="553"/>
        <item x="435"/>
        <item x="693"/>
        <item x="662"/>
        <item x="370"/>
        <item x="591"/>
        <item x="687"/>
        <item x="517"/>
        <item x="503"/>
        <item x="531"/>
        <item x="321"/>
        <item x="742"/>
        <item x="620"/>
        <item x="856"/>
        <item x="466"/>
        <item x="332"/>
        <item x="714"/>
        <item x="787"/>
        <item x="567"/>
        <item x="558"/>
        <item x="341"/>
        <item x="440"/>
        <item x="685"/>
        <item x="949"/>
        <item x="339"/>
        <item x="556"/>
        <item x="375"/>
        <item x="595"/>
        <item x="886"/>
        <item x="565"/>
        <item x="920"/>
        <item x="482"/>
        <item x="627"/>
        <item x="938"/>
        <item x="711"/>
        <item x="566"/>
        <item x="619"/>
        <item x="536"/>
        <item x="385"/>
        <item x="547"/>
        <item x="457"/>
        <item x="790"/>
        <item x="318"/>
        <item x="320"/>
        <item x="913"/>
        <item x="389"/>
        <item x="852"/>
        <item x="761"/>
        <item x="485"/>
        <item x="648"/>
        <item x="773"/>
        <item x="415"/>
        <item x="688"/>
        <item x="838"/>
        <item x="500"/>
        <item x="836"/>
        <item x="751"/>
        <item x="933"/>
        <item x="367"/>
        <item x="507"/>
        <item x="951"/>
        <item x="605"/>
        <item x="533"/>
        <item x="708"/>
        <item x="401"/>
        <item x="427"/>
        <item x="374"/>
        <item x="897"/>
        <item x="347"/>
        <item x="727"/>
        <item x="892"/>
        <item x="550"/>
        <item x="363"/>
        <item x="669"/>
        <item x="899"/>
        <item x="596"/>
        <item x="683"/>
        <item x="574"/>
        <item x="214"/>
        <item x="216"/>
        <item x="780"/>
        <item x="358"/>
        <item x="843"/>
        <item x="766"/>
        <item x="745"/>
        <item x="464"/>
        <item x="395"/>
        <item x="47"/>
        <item x="178"/>
        <item x="546"/>
        <item x="840"/>
        <item x="168"/>
        <item x="964"/>
        <item x="240"/>
        <item x="959"/>
        <item x="962"/>
        <item x="957"/>
        <item x="961"/>
        <item x="958"/>
        <item x="203"/>
        <item x="208"/>
        <item x="960"/>
        <item x="965"/>
        <item x="599"/>
        <item x="652"/>
        <item x="950"/>
        <item x="658"/>
        <item x="809"/>
        <item x="650"/>
        <item x="834"/>
        <item x="514"/>
        <item x="618"/>
        <item x="362"/>
        <item x="449"/>
        <item x="833"/>
        <item x="919"/>
        <item x="882"/>
        <item x="824"/>
        <item x="532"/>
        <item x="778"/>
        <item x="864"/>
        <item x="386"/>
        <item x="752"/>
        <item x="811"/>
        <item x="528"/>
        <item x="888"/>
        <item x="643"/>
        <item x="522"/>
        <item x="873"/>
        <item x="578"/>
        <item x="625"/>
        <item x="425"/>
        <item x="89"/>
        <item x="130"/>
        <item x="795"/>
        <item x="845"/>
        <item x="314"/>
        <item x="97"/>
        <item x="407"/>
        <item x="647"/>
        <item x="747"/>
        <item x="564"/>
        <item x="641"/>
        <item x="487"/>
        <item x="606"/>
        <item x="424"/>
        <item x="563"/>
        <item x="713"/>
        <item x="518"/>
        <item x="376"/>
        <item x="695"/>
        <item x="588"/>
        <item x="432"/>
        <item x="767"/>
        <item x="408"/>
        <item x="356"/>
        <item x="667"/>
        <item x="608"/>
        <item x="393"/>
        <item x="868"/>
        <item x="516"/>
        <item x="439"/>
        <item x="691"/>
        <item x="689"/>
        <item x="813"/>
        <item x="501"/>
        <item x="649"/>
        <item x="754"/>
        <item x="728"/>
        <item x="579"/>
        <item x="436"/>
        <item x="743"/>
        <item x="525"/>
        <item x="337"/>
        <item x="673"/>
        <item x="807"/>
        <item x="569"/>
        <item x="428"/>
        <item x="551"/>
        <item x="854"/>
        <item x="676"/>
        <item x="481"/>
        <item x="828"/>
        <item x="472"/>
        <item x="622"/>
        <item x="774"/>
        <item x="421"/>
        <item x="681"/>
        <item x="213"/>
        <item x="601"/>
        <item x="392"/>
        <item x="944"/>
        <item x="801"/>
        <item x="733"/>
        <item x="560"/>
        <item x="451"/>
        <item x="822"/>
        <item x="455"/>
        <item x="371"/>
        <item x="329"/>
        <item x="409"/>
        <item x="486"/>
        <item x="927"/>
        <item x="786"/>
        <item x="948"/>
        <item x="311"/>
        <item x="478"/>
        <item x="884"/>
        <item x="479"/>
        <item x="679"/>
        <item x="357"/>
        <item x="885"/>
        <item x="829"/>
        <item x="917"/>
        <item x="656"/>
        <item x="377"/>
        <item x="895"/>
        <item x="335"/>
        <item x="612"/>
        <item x="508"/>
        <item x="461"/>
        <item x="715"/>
        <item x="315"/>
        <item x="841"/>
        <item x="3"/>
        <item x="593"/>
        <item x="737"/>
        <item x="610"/>
        <item x="724"/>
        <item x="674"/>
        <item x="442"/>
        <item x="826"/>
        <item x="447"/>
        <item x="468"/>
        <item x="353"/>
        <item x="473"/>
        <item x="361"/>
        <item x="378"/>
        <item x="469"/>
        <item x="628"/>
        <item x="721"/>
        <item x="549"/>
        <item x="720"/>
        <item x="429"/>
        <item x="459"/>
        <item x="866"/>
        <item x="562"/>
        <item x="757"/>
        <item x="373"/>
        <item x="637"/>
        <item x="768"/>
        <item x="636"/>
        <item x="777"/>
        <item x="342"/>
        <item x="765"/>
        <item x="133"/>
        <item x="580"/>
        <item x="355"/>
        <item x="706"/>
        <item x="571"/>
        <item x="925"/>
        <item x="857"/>
        <item x="572"/>
        <item x="879"/>
        <item x="411"/>
        <item x="827"/>
        <item x="726"/>
        <item x="491"/>
        <item x="397"/>
        <item x="626"/>
        <item x="756"/>
        <item x="390"/>
        <item x="391"/>
        <item x="28"/>
        <item x="1072"/>
        <item x="23"/>
        <item x="633"/>
        <item x="526"/>
        <item x="116"/>
        <item x="763"/>
        <item x="506"/>
        <item x="492"/>
        <item x="554"/>
        <item x="480"/>
        <item x="887"/>
        <item x="709"/>
        <item x="784"/>
        <item x="699"/>
        <item x="412"/>
        <item x="817"/>
        <item x="471"/>
        <item x="319"/>
        <item x="671"/>
        <item x="867"/>
        <item x="364"/>
        <item x="476"/>
        <item x="418"/>
        <item x="923"/>
        <item x="542"/>
        <item x="851"/>
        <item x="859"/>
        <item x="474"/>
        <item x="594"/>
        <item x="561"/>
        <item x="122"/>
        <item x="597"/>
        <item x="631"/>
        <item x="911"/>
        <item x="575"/>
        <item x="437"/>
        <item x="862"/>
        <item x="634"/>
        <item x="740"/>
        <item x="821"/>
        <item x="823"/>
        <item x="325"/>
        <item x="686"/>
        <item x="616"/>
        <item x="621"/>
        <item x="559"/>
        <item x="450"/>
        <item x="889"/>
        <item x="729"/>
        <item x="617"/>
        <item x="772"/>
        <item x="805"/>
        <item x="399"/>
        <item x="712"/>
        <item x="475"/>
        <item x="383"/>
        <item x="604"/>
        <item x="665"/>
        <item x="402"/>
        <item x="307"/>
        <item x="764"/>
        <item x="354"/>
        <item x="504"/>
        <item x="792"/>
        <item x="573"/>
        <item x="535"/>
        <item x="690"/>
        <item x="934"/>
        <item x="651"/>
        <item x="513"/>
        <item x="701"/>
        <item x="865"/>
        <item x="590"/>
        <item x="463"/>
        <item x="937"/>
        <item x="324"/>
        <item x="955"/>
        <item x="582"/>
        <item x="793"/>
        <item x="308"/>
        <item x="946"/>
        <item x="537"/>
        <item x="512"/>
        <item x="956"/>
        <item x="692"/>
        <item x="384"/>
        <item x="405"/>
        <item x="348"/>
        <item x="653"/>
        <item x="524"/>
        <item x="710"/>
        <item x="749"/>
        <item x="718"/>
        <item x="490"/>
        <item x="723"/>
        <item x="640"/>
        <item x="496"/>
        <item x="398"/>
        <item x="806"/>
        <item x="446"/>
        <item x="312"/>
        <item x="381"/>
        <item x="343"/>
        <item x="842"/>
        <item x="403"/>
        <item x="587"/>
        <item x="1062"/>
        <item x="1039"/>
        <item x="1063"/>
        <item x="989"/>
        <item x="1057"/>
        <item x="301"/>
        <item x="1002"/>
        <item x="1048"/>
        <item x="1000"/>
        <item x="303"/>
        <item x="1021"/>
        <item x="988"/>
        <item x="991"/>
        <item x="270"/>
        <item x="289"/>
        <item x="976"/>
        <item x="1064"/>
        <item x="283"/>
        <item x="290"/>
        <item x="292"/>
        <item x="1040"/>
        <item x="304"/>
        <item x="1038"/>
        <item x="1050"/>
        <item x="295"/>
        <item x="968"/>
        <item x="305"/>
        <item x="1049"/>
        <item x="984"/>
        <item x="1013"/>
        <item x="1006"/>
        <item x="998"/>
        <item x="296"/>
        <item x="298"/>
        <item x="978"/>
        <item x="277"/>
        <item x="1008"/>
        <item x="997"/>
        <item x="1007"/>
        <item x="1028"/>
        <item x="990"/>
        <item x="994"/>
        <item x="1020"/>
        <item x="993"/>
        <item x="1004"/>
        <item x="982"/>
        <item x="1060"/>
        <item x="983"/>
        <item x="1018"/>
        <item x="293"/>
        <item x="264"/>
        <item x="977"/>
        <item x="1022"/>
        <item x="282"/>
        <item x="995"/>
        <item x="969"/>
        <item x="1015"/>
        <item x="1010"/>
        <item x="815"/>
        <item x="316"/>
        <item x="589"/>
        <item x="410"/>
        <item x="497"/>
        <item x="623"/>
        <item x="0"/>
        <item x="19"/>
        <item x="85"/>
        <item x="635"/>
        <item x="812"/>
        <item x="523"/>
        <item x="77"/>
        <item x="444"/>
        <item x="901"/>
        <item x="702"/>
        <item x="344"/>
        <item x="346"/>
        <item x="678"/>
        <item x="420"/>
        <item x="916"/>
        <item x="48"/>
        <item x="99"/>
        <item x="4"/>
        <item x="791"/>
        <item x="847"/>
        <item x="891"/>
        <item x="498"/>
        <item x="848"/>
        <item x="387"/>
        <item x="382"/>
        <item x="489"/>
        <item x="717"/>
        <item x="322"/>
        <item x="700"/>
        <item x="659"/>
        <item x="338"/>
        <item x="799"/>
        <item x="748"/>
        <item x="630"/>
        <item x="803"/>
        <item x="668"/>
        <item x="502"/>
        <item x="660"/>
        <item x="520"/>
        <item x="858"/>
        <item x="672"/>
        <item x="368"/>
        <item x="704"/>
        <item x="541"/>
        <item x="905"/>
        <item x="545"/>
        <item x="775"/>
        <item x="309"/>
        <item x="452"/>
        <item x="670"/>
        <item x="555"/>
        <item x="770"/>
        <item x="800"/>
        <item x="458"/>
        <item x="639"/>
        <item x="844"/>
        <item x="521"/>
        <item x="327"/>
        <item x="379"/>
        <item x="443"/>
        <item x="431"/>
        <item x="716"/>
        <item x="448"/>
        <item x="413"/>
        <item x="783"/>
        <item x="732"/>
        <item x="543"/>
        <item x="359"/>
        <item x="782"/>
        <item x="935"/>
        <item x="684"/>
        <item x="941"/>
        <item x="534"/>
        <item x="802"/>
        <item x="611"/>
        <item x="544"/>
        <item x="816"/>
        <item x="334"/>
        <item x="539"/>
        <item x="548"/>
        <item x="467"/>
        <item x="744"/>
        <item x="677"/>
        <item x="328"/>
        <item x="705"/>
        <item x="117"/>
        <item x="128"/>
        <item x="186"/>
        <item x="877"/>
        <item x="682"/>
        <item x="921"/>
        <item x="445"/>
        <item x="465"/>
        <item x="581"/>
        <item x="1073"/>
        <item x="850"/>
        <item x="861"/>
        <item x="725"/>
        <item x="323"/>
        <item x="875"/>
        <item x="93"/>
        <item x="697"/>
        <item x="646"/>
        <item x="167"/>
        <item x="182"/>
        <item x="900"/>
        <item x="388"/>
        <item x="134"/>
        <item x="365"/>
        <item x="313"/>
        <item x="65"/>
        <item x="181"/>
        <item x="162"/>
        <item x="771"/>
        <item x="163"/>
        <item x="142"/>
        <item x="92"/>
        <item x="924"/>
        <item x="331"/>
        <item x="423"/>
        <item x="602"/>
        <item x="808"/>
        <item x="735"/>
        <item x="453"/>
        <item x="166"/>
        <item x="493"/>
        <item x="147"/>
        <item x="150"/>
        <item x="878"/>
        <item x="909"/>
        <item x="893"/>
        <item x="123"/>
        <item x="139"/>
        <item x="231"/>
        <item x="242"/>
        <item x="189"/>
        <item x="236"/>
        <item x="215"/>
        <item x="232"/>
        <item x="222"/>
        <item x="247"/>
        <item x="200"/>
        <item x="229"/>
        <item x="219"/>
        <item x="224"/>
        <item x="233"/>
        <item x="207"/>
        <item x="245"/>
        <item x="230"/>
        <item x="211"/>
        <item x="239"/>
        <item x="202"/>
        <item x="237"/>
        <item x="226"/>
        <item x="227"/>
        <item x="244"/>
        <item x="228"/>
        <item x="195"/>
        <item x="1005"/>
        <item x="302"/>
        <item x="1056"/>
        <item x="1055"/>
        <item x="306"/>
        <item x="1024"/>
        <item x="1003"/>
        <item x="741"/>
        <item x="1029"/>
        <item x="979"/>
        <item x="1041"/>
        <item x="1011"/>
        <item x="300"/>
        <item x="281"/>
        <item x="1019"/>
        <item x="1061"/>
        <item x="288"/>
        <item x="259"/>
        <item x="274"/>
        <item x="269"/>
        <item x="285"/>
        <item x="985"/>
        <item x="273"/>
        <item x="1054"/>
        <item x="271"/>
        <item x="987"/>
        <item x="1032"/>
        <item x="1046"/>
        <item x="1017"/>
        <item x="258"/>
        <item x="266"/>
        <item x="192"/>
        <item x="220"/>
        <item x="980"/>
        <item x="252"/>
        <item x="975"/>
        <item x="254"/>
        <item x="253"/>
        <item x="280"/>
        <item x="1043"/>
        <item x="1058"/>
        <item x="1030"/>
        <item x="1047"/>
        <item x="1027"/>
        <item x="257"/>
        <item x="286"/>
        <item x="1052"/>
        <item x="1059"/>
        <item x="278"/>
        <item x="251"/>
        <item x="263"/>
        <item x="1033"/>
        <item x="1025"/>
        <item x="999"/>
        <item x="1026"/>
        <item x="287"/>
        <item x="279"/>
        <item x="1031"/>
        <item x="981"/>
        <item x="299"/>
        <item x="256"/>
        <item x="297"/>
        <item x="974"/>
        <item x="255"/>
        <item x="973"/>
        <item x="992"/>
        <item x="1036"/>
        <item x="1044"/>
        <item x="1034"/>
        <item x="1051"/>
        <item x="1023"/>
        <item x="291"/>
        <item x="972"/>
        <item x="971"/>
        <item x="262"/>
        <item x="294"/>
        <item x="1045"/>
        <item x="260"/>
        <item x="1042"/>
        <item x="276"/>
        <item x="986"/>
        <item x="267"/>
        <item x="1001"/>
        <item x="272"/>
        <item x="970"/>
        <item x="261"/>
        <item x="1014"/>
        <item x="1009"/>
        <item x="1016"/>
        <item x="265"/>
        <item x="1035"/>
        <item x="268"/>
        <item x="996"/>
        <item x="1053"/>
        <item x="1037"/>
        <item x="275"/>
        <item x="1012"/>
        <item x="284"/>
        <item x="250"/>
        <item x="694"/>
        <item x="111"/>
        <item x="860"/>
        <item x="814"/>
        <item x="953"/>
        <item x="730"/>
        <item x="880"/>
        <item x="369"/>
        <item x="156"/>
        <item x="317"/>
        <item x="609"/>
        <item x="576"/>
        <item x="125"/>
        <item x="380"/>
        <item x="120"/>
        <item x="176"/>
        <item x="1071"/>
        <item x="106"/>
        <item x="165"/>
        <item x="140"/>
        <item x="155"/>
        <item x="876"/>
        <item x="177"/>
        <item x="1074"/>
        <item x="942"/>
        <item x="151"/>
        <item x="1069"/>
        <item x="1070"/>
        <item x="1067"/>
        <item x="1068"/>
        <item x="1065"/>
        <item x="187"/>
        <item x="837"/>
        <item x="350"/>
        <item x="75"/>
        <item x="185"/>
        <item x="629"/>
        <item x="696"/>
        <item x="29"/>
        <item x="124"/>
        <item x="112"/>
        <item x="810"/>
        <item x="736"/>
        <item x="586"/>
        <item x="910"/>
        <item x="908"/>
        <item x="719"/>
        <item x="902"/>
        <item x="613"/>
        <item x="931"/>
        <item x="184"/>
        <item x="577"/>
        <item x="804"/>
        <item x="871"/>
        <item x="540"/>
        <item x="149"/>
        <item x="798"/>
        <item x="37"/>
        <item x="16"/>
        <item x="183"/>
        <item x="180"/>
        <item x="152"/>
        <item x="144"/>
        <item x="157"/>
        <item x="404"/>
        <item x="835"/>
        <item x="164"/>
        <item x="881"/>
        <item x="121"/>
        <item x="434"/>
        <item x="1066"/>
        <item x="17"/>
        <item x="169"/>
        <item x="81"/>
        <item x="141"/>
        <item x="136"/>
        <item x="406"/>
        <item x="138"/>
        <item x="360"/>
        <item x="326"/>
        <item x="592"/>
        <item x="494"/>
        <item x="225"/>
        <item x="223"/>
        <item x="249"/>
        <item x="218"/>
        <item x="190"/>
        <item x="193"/>
        <item x="248"/>
        <item x="196"/>
        <item x="198"/>
        <item x="212"/>
        <item x="209"/>
        <item x="235"/>
        <item x="241"/>
        <item x="194"/>
        <item x="243"/>
        <item x="191"/>
        <item x="197"/>
        <item x="217"/>
        <item x="238"/>
        <item x="221"/>
        <item x="205"/>
        <item x="199"/>
        <item x="234"/>
        <item x="206"/>
        <item x="201"/>
        <item x="204"/>
        <item x="210"/>
        <item x="967"/>
        <item x="966"/>
        <item x="963"/>
        <item x="246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x="0"/>
        <item h="1" x="1"/>
        <item h="1" x="2"/>
      </items>
    </pivotField>
    <pivotField axis="axisCol" compact="0" outline="0" showAll="0" defaultSubtotal="0">
      <items count="2">
        <item x="1"/>
        <item x="0"/>
      </items>
    </pivotField>
    <pivotField axis="axisCol" compact="0" outline="0" showAll="0" defaultSubtotal="0">
      <items count="3">
        <item x="1"/>
        <item x="2"/>
        <item x="0"/>
      </items>
    </pivotField>
    <pivotField axis="axisPage" dataField="1" compact="0" outline="0" multipleItemSelectionAllowed="1" showAll="0" defaultSubtotal="0">
      <items count="10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304"/>
        <item x="23"/>
        <item x="24"/>
        <item x="25"/>
        <item x="26"/>
        <item x="27"/>
        <item x="28"/>
        <item x="29"/>
        <item x="30"/>
        <item x="31"/>
        <item x="305"/>
        <item x="32"/>
        <item x="33"/>
        <item x="34"/>
        <item x="35"/>
        <item x="36"/>
        <item x="37"/>
        <item x="38"/>
        <item x="39"/>
        <item x="40"/>
        <item x="306"/>
        <item x="41"/>
        <item x="42"/>
        <item x="43"/>
        <item x="44"/>
        <item x="45"/>
        <item x="307"/>
        <item x="46"/>
        <item x="47"/>
        <item x="48"/>
        <item x="49"/>
        <item x="50"/>
        <item x="51"/>
        <item x="52"/>
        <item x="53"/>
        <item x="308"/>
        <item x="54"/>
        <item x="55"/>
        <item x="56"/>
        <item x="57"/>
        <item x="58"/>
        <item x="309"/>
        <item x="310"/>
        <item x="59"/>
        <item x="60"/>
        <item x="61"/>
        <item x="62"/>
        <item x="311"/>
        <item x="312"/>
        <item x="313"/>
        <item x="63"/>
        <item x="64"/>
        <item x="314"/>
        <item x="315"/>
        <item x="65"/>
        <item x="66"/>
        <item x="67"/>
        <item x="68"/>
        <item x="69"/>
        <item x="316"/>
        <item x="70"/>
        <item x="71"/>
        <item x="72"/>
        <item x="73"/>
        <item x="74"/>
        <item x="75"/>
        <item x="76"/>
        <item x="77"/>
        <item x="78"/>
        <item x="317"/>
        <item x="79"/>
        <item x="80"/>
        <item x="81"/>
        <item x="82"/>
        <item x="318"/>
        <item x="319"/>
        <item x="83"/>
        <item x="84"/>
        <item x="85"/>
        <item x="86"/>
        <item x="248"/>
        <item x="320"/>
        <item x="87"/>
        <item x="88"/>
        <item x="89"/>
        <item x="90"/>
        <item x="91"/>
        <item x="92"/>
        <item x="321"/>
        <item x="322"/>
        <item x="323"/>
        <item x="324"/>
        <item x="93"/>
        <item x="325"/>
        <item x="94"/>
        <item x="95"/>
        <item x="96"/>
        <item x="97"/>
        <item x="98"/>
        <item x="326"/>
        <item x="99"/>
        <item x="327"/>
        <item x="100"/>
        <item x="328"/>
        <item x="101"/>
        <item x="102"/>
        <item x="103"/>
        <item x="104"/>
        <item x="105"/>
        <item x="106"/>
        <item x="329"/>
        <item x="330"/>
        <item x="107"/>
        <item x="331"/>
        <item x="332"/>
        <item x="333"/>
        <item x="334"/>
        <item x="249"/>
        <item x="108"/>
        <item x="335"/>
        <item x="336"/>
        <item x="337"/>
        <item x="338"/>
        <item x="109"/>
        <item x="110"/>
        <item x="339"/>
        <item x="340"/>
        <item x="341"/>
        <item x="342"/>
        <item x="343"/>
        <item x="250"/>
        <item x="344"/>
        <item x="345"/>
        <item x="111"/>
        <item x="346"/>
        <item x="347"/>
        <item x="348"/>
        <item x="349"/>
        <item x="350"/>
        <item x="351"/>
        <item x="352"/>
        <item x="353"/>
        <item x="251"/>
        <item x="354"/>
        <item x="355"/>
        <item x="112"/>
        <item x="356"/>
        <item x="252"/>
        <item x="357"/>
        <item x="358"/>
        <item x="359"/>
        <item x="360"/>
        <item x="361"/>
        <item x="253"/>
        <item x="362"/>
        <item x="363"/>
        <item x="364"/>
        <item x="365"/>
        <item x="366"/>
        <item x="367"/>
        <item x="113"/>
        <item x="114"/>
        <item x="368"/>
        <item x="369"/>
        <item x="939"/>
        <item x="115"/>
        <item x="370"/>
        <item x="371"/>
        <item x="372"/>
        <item x="116"/>
        <item x="117"/>
        <item x="118"/>
        <item x="119"/>
        <item x="373"/>
        <item x="374"/>
        <item x="375"/>
        <item x="120"/>
        <item x="121"/>
        <item x="376"/>
        <item x="377"/>
        <item x="122"/>
        <item x="378"/>
        <item x="123"/>
        <item x="379"/>
        <item x="124"/>
        <item x="380"/>
        <item x="381"/>
        <item x="382"/>
        <item x="383"/>
        <item x="384"/>
        <item x="385"/>
        <item x="386"/>
        <item x="387"/>
        <item x="125"/>
        <item x="388"/>
        <item x="389"/>
        <item x="940"/>
        <item x="126"/>
        <item x="390"/>
        <item x="941"/>
        <item x="254"/>
        <item x="391"/>
        <item x="255"/>
        <item x="392"/>
        <item x="393"/>
        <item x="394"/>
        <item x="256"/>
        <item x="395"/>
        <item x="127"/>
        <item x="128"/>
        <item x="396"/>
        <item x="397"/>
        <item x="398"/>
        <item x="399"/>
        <item x="400"/>
        <item x="129"/>
        <item x="401"/>
        <item x="402"/>
        <item x="403"/>
        <item x="404"/>
        <item x="942"/>
        <item x="405"/>
        <item x="130"/>
        <item x="406"/>
        <item x="407"/>
        <item x="408"/>
        <item x="409"/>
        <item x="410"/>
        <item x="411"/>
        <item x="412"/>
        <item x="131"/>
        <item x="413"/>
        <item x="257"/>
        <item x="414"/>
        <item x="415"/>
        <item x="132"/>
        <item x="416"/>
        <item x="417"/>
        <item x="418"/>
        <item x="419"/>
        <item x="258"/>
        <item x="420"/>
        <item x="421"/>
        <item x="422"/>
        <item x="133"/>
        <item x="423"/>
        <item x="424"/>
        <item x="425"/>
        <item x="259"/>
        <item x="134"/>
        <item x="426"/>
        <item x="427"/>
        <item x="428"/>
        <item x="429"/>
        <item x="430"/>
        <item x="431"/>
        <item x="432"/>
        <item x="433"/>
        <item x="434"/>
        <item x="435"/>
        <item x="943"/>
        <item x="436"/>
        <item x="437"/>
        <item x="438"/>
        <item x="260"/>
        <item x="439"/>
        <item x="440"/>
        <item x="135"/>
        <item x="261"/>
        <item x="262"/>
        <item x="944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945"/>
        <item x="453"/>
        <item x="454"/>
        <item x="455"/>
        <item x="456"/>
        <item x="263"/>
        <item x="457"/>
        <item x="458"/>
        <item x="136"/>
        <item x="459"/>
        <item x="460"/>
        <item x="461"/>
        <item x="462"/>
        <item x="187"/>
        <item x="463"/>
        <item x="464"/>
        <item x="465"/>
        <item x="466"/>
        <item x="467"/>
        <item x="264"/>
        <item x="468"/>
        <item x="137"/>
        <item x="138"/>
        <item x="265"/>
        <item x="469"/>
        <item x="470"/>
        <item x="471"/>
        <item x="472"/>
        <item x="266"/>
        <item x="473"/>
        <item x="474"/>
        <item x="475"/>
        <item x="476"/>
        <item x="477"/>
        <item x="478"/>
        <item x="479"/>
        <item x="480"/>
        <item x="481"/>
        <item x="139"/>
        <item x="482"/>
        <item x="483"/>
        <item x="484"/>
        <item x="485"/>
        <item x="486"/>
        <item x="487"/>
        <item x="488"/>
        <item x="946"/>
        <item x="489"/>
        <item x="490"/>
        <item x="491"/>
        <item x="140"/>
        <item x="492"/>
        <item x="493"/>
        <item x="947"/>
        <item x="494"/>
        <item x="495"/>
        <item x="496"/>
        <item x="141"/>
        <item x="267"/>
        <item x="497"/>
        <item x="498"/>
        <item x="499"/>
        <item x="500"/>
        <item x="501"/>
        <item x="502"/>
        <item x="142"/>
        <item x="503"/>
        <item x="504"/>
        <item x="505"/>
        <item x="506"/>
        <item x="948"/>
        <item x="507"/>
        <item x="508"/>
        <item x="268"/>
        <item x="509"/>
        <item x="510"/>
        <item x="511"/>
        <item x="512"/>
        <item x="513"/>
        <item x="514"/>
        <item x="143"/>
        <item x="949"/>
        <item x="515"/>
        <item x="516"/>
        <item x="517"/>
        <item x="518"/>
        <item x="519"/>
        <item x="520"/>
        <item x="521"/>
        <item x="269"/>
        <item x="522"/>
        <item x="523"/>
        <item x="524"/>
        <item x="525"/>
        <item x="144"/>
        <item x="526"/>
        <item x="188"/>
        <item x="527"/>
        <item x="528"/>
        <item x="529"/>
        <item x="530"/>
        <item x="270"/>
        <item x="531"/>
        <item x="532"/>
        <item x="145"/>
        <item x="533"/>
        <item x="950"/>
        <item x="534"/>
        <item x="951"/>
        <item x="929"/>
        <item x="535"/>
        <item x="536"/>
        <item x="271"/>
        <item x="537"/>
        <item x="146"/>
        <item x="538"/>
        <item x="189"/>
        <item x="539"/>
        <item x="540"/>
        <item x="147"/>
        <item x="541"/>
        <item x="542"/>
        <item x="543"/>
        <item x="544"/>
        <item x="545"/>
        <item x="546"/>
        <item x="272"/>
        <item x="547"/>
        <item x="548"/>
        <item x="549"/>
        <item x="550"/>
        <item x="551"/>
        <item x="552"/>
        <item x="148"/>
        <item x="553"/>
        <item x="554"/>
        <item x="952"/>
        <item x="555"/>
        <item x="556"/>
        <item x="557"/>
        <item x="558"/>
        <item x="559"/>
        <item x="273"/>
        <item x="560"/>
        <item x="561"/>
        <item x="562"/>
        <item x="953"/>
        <item x="563"/>
        <item x="564"/>
        <item x="274"/>
        <item x="565"/>
        <item x="954"/>
        <item x="149"/>
        <item x="566"/>
        <item x="567"/>
        <item x="150"/>
        <item x="568"/>
        <item x="569"/>
        <item x="570"/>
        <item x="955"/>
        <item x="571"/>
        <item x="956"/>
        <item x="572"/>
        <item x="275"/>
        <item x="573"/>
        <item x="574"/>
        <item x="575"/>
        <item x="576"/>
        <item x="151"/>
        <item x="577"/>
        <item x="152"/>
        <item x="578"/>
        <item x="276"/>
        <item x="579"/>
        <item x="580"/>
        <item x="581"/>
        <item x="582"/>
        <item x="583"/>
        <item x="190"/>
        <item x="153"/>
        <item x="584"/>
        <item x="585"/>
        <item x="154"/>
        <item x="586"/>
        <item x="587"/>
        <item x="588"/>
        <item x="589"/>
        <item x="590"/>
        <item x="591"/>
        <item x="592"/>
        <item x="593"/>
        <item x="594"/>
        <item x="595"/>
        <item x="155"/>
        <item x="596"/>
        <item x="597"/>
        <item x="598"/>
        <item x="930"/>
        <item x="599"/>
        <item x="600"/>
        <item x="277"/>
        <item x="601"/>
        <item x="602"/>
        <item x="603"/>
        <item x="604"/>
        <item x="605"/>
        <item x="606"/>
        <item x="607"/>
        <item x="608"/>
        <item x="957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56"/>
        <item x="191"/>
        <item x="632"/>
        <item x="958"/>
        <item x="633"/>
        <item x="157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959"/>
        <item x="652"/>
        <item x="653"/>
        <item x="654"/>
        <item x="655"/>
        <item x="656"/>
        <item x="657"/>
        <item x="658"/>
        <item x="278"/>
        <item x="659"/>
        <item x="660"/>
        <item x="661"/>
        <item x="662"/>
        <item x="663"/>
        <item x="664"/>
        <item x="665"/>
        <item x="666"/>
        <item x="667"/>
        <item x="960"/>
        <item x="668"/>
        <item x="669"/>
        <item x="670"/>
        <item x="158"/>
        <item x="671"/>
        <item x="672"/>
        <item x="673"/>
        <item x="674"/>
        <item x="961"/>
        <item x="962"/>
        <item x="675"/>
        <item x="963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279"/>
        <item x="280"/>
        <item x="689"/>
        <item x="690"/>
        <item x="691"/>
        <item x="692"/>
        <item x="159"/>
        <item x="693"/>
        <item x="694"/>
        <item x="695"/>
        <item x="696"/>
        <item x="281"/>
        <item x="697"/>
        <item x="698"/>
        <item x="282"/>
        <item x="160"/>
        <item x="699"/>
        <item x="700"/>
        <item x="701"/>
        <item x="702"/>
        <item x="192"/>
        <item x="703"/>
        <item x="704"/>
        <item x="705"/>
        <item x="706"/>
        <item x="707"/>
        <item x="964"/>
        <item x="708"/>
        <item x="709"/>
        <item x="965"/>
        <item x="710"/>
        <item x="931"/>
        <item x="711"/>
        <item x="712"/>
        <item x="713"/>
        <item x="714"/>
        <item x="715"/>
        <item x="716"/>
        <item x="717"/>
        <item x="718"/>
        <item x="719"/>
        <item x="161"/>
        <item x="720"/>
        <item x="721"/>
        <item x="722"/>
        <item x="723"/>
        <item x="724"/>
        <item x="162"/>
        <item x="725"/>
        <item x="726"/>
        <item x="727"/>
        <item x="728"/>
        <item x="966"/>
        <item x="729"/>
        <item x="730"/>
        <item x="731"/>
        <item x="732"/>
        <item x="283"/>
        <item x="193"/>
        <item x="733"/>
        <item x="284"/>
        <item x="734"/>
        <item x="735"/>
        <item x="736"/>
        <item x="737"/>
        <item x="738"/>
        <item x="739"/>
        <item x="740"/>
        <item x="194"/>
        <item x="932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933"/>
        <item x="755"/>
        <item x="967"/>
        <item x="756"/>
        <item x="757"/>
        <item x="758"/>
        <item x="968"/>
        <item x="759"/>
        <item x="285"/>
        <item x="969"/>
        <item x="970"/>
        <item x="760"/>
        <item x="761"/>
        <item x="762"/>
        <item x="763"/>
        <item x="971"/>
        <item x="764"/>
        <item x="765"/>
        <item x="286"/>
        <item x="766"/>
        <item x="163"/>
        <item x="767"/>
        <item x="768"/>
        <item x="769"/>
        <item x="770"/>
        <item x="972"/>
        <item x="973"/>
        <item x="974"/>
        <item x="164"/>
        <item x="771"/>
        <item x="772"/>
        <item x="773"/>
        <item x="975"/>
        <item x="976"/>
        <item x="774"/>
        <item x="775"/>
        <item x="776"/>
        <item x="777"/>
        <item x="778"/>
        <item x="779"/>
        <item x="165"/>
        <item x="780"/>
        <item x="166"/>
        <item x="781"/>
        <item x="782"/>
        <item x="783"/>
        <item x="784"/>
        <item x="785"/>
        <item x="786"/>
        <item x="167"/>
        <item x="787"/>
        <item x="788"/>
        <item x="789"/>
        <item x="790"/>
        <item x="977"/>
        <item x="791"/>
        <item x="978"/>
        <item x="168"/>
        <item x="792"/>
        <item x="793"/>
        <item x="794"/>
        <item x="795"/>
        <item x="979"/>
        <item x="287"/>
        <item x="796"/>
        <item x="980"/>
        <item x="797"/>
        <item x="169"/>
        <item x="195"/>
        <item x="798"/>
        <item x="288"/>
        <item x="799"/>
        <item x="800"/>
        <item x="801"/>
        <item x="802"/>
        <item x="803"/>
        <item x="804"/>
        <item x="805"/>
        <item x="981"/>
        <item x="806"/>
        <item x="807"/>
        <item x="808"/>
        <item x="982"/>
        <item x="809"/>
        <item x="196"/>
        <item x="810"/>
        <item x="170"/>
        <item x="811"/>
        <item x="812"/>
        <item x="813"/>
        <item x="934"/>
        <item x="814"/>
        <item x="815"/>
        <item x="816"/>
        <item x="171"/>
        <item x="817"/>
        <item x="818"/>
        <item x="983"/>
        <item x="197"/>
        <item x="172"/>
        <item x="984"/>
        <item x="819"/>
        <item x="985"/>
        <item x="986"/>
        <item x="820"/>
        <item x="821"/>
        <item x="987"/>
        <item x="822"/>
        <item x="988"/>
        <item x="989"/>
        <item x="173"/>
        <item x="823"/>
        <item x="824"/>
        <item x="825"/>
        <item x="826"/>
        <item x="174"/>
        <item x="990"/>
        <item x="991"/>
        <item x="175"/>
        <item x="198"/>
        <item x="992"/>
        <item x="199"/>
        <item x="827"/>
        <item x="828"/>
        <item x="993"/>
        <item x="829"/>
        <item x="830"/>
        <item x="831"/>
        <item x="289"/>
        <item x="832"/>
        <item x="200"/>
        <item x="833"/>
        <item x="935"/>
        <item x="201"/>
        <item x="994"/>
        <item x="834"/>
        <item x="835"/>
        <item x="936"/>
        <item x="176"/>
        <item x="836"/>
        <item x="290"/>
        <item x="177"/>
        <item x="178"/>
        <item x="837"/>
        <item x="838"/>
        <item x="291"/>
        <item x="179"/>
        <item x="839"/>
        <item x="840"/>
        <item x="995"/>
        <item x="202"/>
        <item x="937"/>
        <item x="841"/>
        <item x="996"/>
        <item x="842"/>
        <item x="997"/>
        <item x="203"/>
        <item x="204"/>
        <item x="180"/>
        <item x="843"/>
        <item x="181"/>
        <item x="844"/>
        <item x="205"/>
        <item x="845"/>
        <item x="846"/>
        <item x="847"/>
        <item x="998"/>
        <item x="999"/>
        <item x="1000"/>
        <item x="1001"/>
        <item x="848"/>
        <item x="849"/>
        <item x="850"/>
        <item x="851"/>
        <item x="852"/>
        <item x="206"/>
        <item x="853"/>
        <item x="207"/>
        <item x="854"/>
        <item x="1002"/>
        <item x="292"/>
        <item x="1003"/>
        <item x="1004"/>
        <item x="1005"/>
        <item x="855"/>
        <item x="856"/>
        <item x="857"/>
        <item x="858"/>
        <item x="859"/>
        <item x="860"/>
        <item x="861"/>
        <item x="208"/>
        <item x="293"/>
        <item x="862"/>
        <item x="863"/>
        <item x="209"/>
        <item x="1006"/>
        <item x="864"/>
        <item x="210"/>
        <item x="865"/>
        <item x="211"/>
        <item x="866"/>
        <item x="867"/>
        <item x="868"/>
        <item x="869"/>
        <item x="212"/>
        <item x="870"/>
        <item x="871"/>
        <item x="872"/>
        <item x="873"/>
        <item x="1007"/>
        <item x="874"/>
        <item x="875"/>
        <item x="294"/>
        <item x="1008"/>
        <item x="876"/>
        <item x="1009"/>
        <item x="295"/>
        <item x="1010"/>
        <item x="877"/>
        <item x="878"/>
        <item x="1011"/>
        <item x="879"/>
        <item x="296"/>
        <item x="880"/>
        <item x="881"/>
        <item x="882"/>
        <item x="213"/>
        <item x="297"/>
        <item x="883"/>
        <item x="884"/>
        <item x="298"/>
        <item x="214"/>
        <item x="215"/>
        <item x="1012"/>
        <item x="216"/>
        <item x="217"/>
        <item x="885"/>
        <item x="886"/>
        <item x="218"/>
        <item x="1013"/>
        <item x="887"/>
        <item x="219"/>
        <item x="220"/>
        <item x="888"/>
        <item x="889"/>
        <item x="890"/>
        <item x="299"/>
        <item x="221"/>
        <item x="222"/>
        <item x="1014"/>
        <item x="223"/>
        <item x="224"/>
        <item x="1015"/>
        <item x="182"/>
        <item x="891"/>
        <item x="938"/>
        <item x="892"/>
        <item x="893"/>
        <item x="1016"/>
        <item x="894"/>
        <item x="300"/>
        <item x="1017"/>
        <item x="225"/>
        <item x="301"/>
        <item x="183"/>
        <item x="895"/>
        <item x="896"/>
        <item x="184"/>
        <item x="897"/>
        <item x="1018"/>
        <item x="898"/>
        <item x="1019"/>
        <item x="226"/>
        <item x="899"/>
        <item x="227"/>
        <item x="900"/>
        <item x="901"/>
        <item x="902"/>
        <item x="302"/>
        <item x="228"/>
        <item x="903"/>
        <item x="904"/>
        <item x="229"/>
        <item x="905"/>
        <item x="906"/>
        <item x="907"/>
        <item x="908"/>
        <item x="230"/>
        <item x="1020"/>
        <item x="231"/>
        <item x="909"/>
        <item x="1021"/>
        <item x="232"/>
        <item x="233"/>
        <item x="910"/>
        <item x="234"/>
        <item x="1022"/>
        <item x="235"/>
        <item x="1023"/>
        <item x="911"/>
        <item x="912"/>
        <item x="913"/>
        <item x="303"/>
        <item x="914"/>
        <item x="915"/>
        <item x="236"/>
        <item x="237"/>
        <item x="238"/>
        <item x="1024"/>
        <item x="185"/>
        <item x="1025"/>
        <item x="239"/>
        <item x="240"/>
        <item x="916"/>
        <item x="241"/>
        <item x="242"/>
        <item x="243"/>
        <item x="244"/>
        <item x="186"/>
        <item x="917"/>
        <item x="918"/>
        <item x="245"/>
        <item x="919"/>
        <item x="246"/>
        <item x="1026"/>
        <item x="920"/>
        <item x="247"/>
        <item x="1027"/>
        <item x="921"/>
        <item x="1028"/>
        <item x="1029"/>
        <item x="1030"/>
        <item x="922"/>
        <item x="923"/>
        <item x="924"/>
        <item x="925"/>
        <item x="926"/>
        <item x="1031"/>
        <item x="1032"/>
        <item x="927"/>
        <item h="1" x="928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7">
        <item h="1" x="14"/>
        <item h="1" x="13"/>
        <item h="1" x="12"/>
        <item x="11"/>
        <item x="10"/>
        <item h="1" x="9"/>
        <item h="1" x="8"/>
        <item h="1" x="7"/>
        <item h="1" x="6"/>
        <item h="1" x="5"/>
        <item h="1" x="4"/>
        <item h="1" x="3"/>
        <item h="1" x="2"/>
        <item h="1" x="1"/>
        <item m="1" x="16"/>
        <item h="1" x="0"/>
        <item h="1" x="15"/>
      </items>
    </pivotField>
    <pivotField compact="0" outline="0" showAll="0" defaultSubtotal="0"/>
    <pivotField axis="axisCol" compact="0" outline="0" multipleItemSelectionAllowed="1" showAll="0" defaultSubtotal="0">
      <items count="5">
        <item x="0"/>
        <item x="2"/>
        <item x="4"/>
        <item x="3"/>
        <item x="1"/>
      </items>
    </pivotField>
    <pivotField axis="axisPage" compact="0" outline="0" multipleItemSelectionAllowed="1" showAll="0" defaultSubtotal="0">
      <items count="7">
        <item x="5"/>
        <item x="2"/>
        <item x="4"/>
        <item x="0"/>
        <item x="1"/>
        <item x="3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57">
    <i>
      <x v="7"/>
    </i>
    <i>
      <x v="190"/>
    </i>
    <i>
      <x v="339"/>
    </i>
    <i>
      <x v="340"/>
    </i>
    <i>
      <x v="349"/>
    </i>
    <i>
      <x v="360"/>
    </i>
    <i>
      <x v="361"/>
    </i>
    <i>
      <x v="449"/>
    </i>
    <i>
      <x v="646"/>
    </i>
    <i>
      <x v="650"/>
    </i>
    <i>
      <x v="660"/>
    </i>
    <i>
      <x v="662"/>
    </i>
    <i>
      <x v="665"/>
    </i>
    <i>
      <x v="673"/>
    </i>
    <i>
      <x v="674"/>
    </i>
    <i>
      <x v="690"/>
    </i>
    <i>
      <x v="792"/>
    </i>
    <i>
      <x v="809"/>
    </i>
    <i>
      <x v="816"/>
    </i>
    <i>
      <x v="842"/>
    </i>
    <i>
      <x v="844"/>
    </i>
    <i>
      <x v="846"/>
    </i>
    <i>
      <x v="847"/>
    </i>
    <i>
      <x v="848"/>
    </i>
    <i>
      <x v="849"/>
    </i>
    <i>
      <x v="851"/>
    </i>
    <i>
      <x v="853"/>
    </i>
    <i>
      <x v="854"/>
    </i>
    <i>
      <x v="856"/>
    </i>
    <i>
      <x v="858"/>
    </i>
    <i>
      <x v="859"/>
    </i>
    <i>
      <x v="861"/>
    </i>
    <i>
      <x v="864"/>
    </i>
    <i>
      <x v="875"/>
    </i>
    <i>
      <x v="895"/>
    </i>
    <i>
      <x v="922"/>
    </i>
    <i>
      <x v="924"/>
    </i>
    <i>
      <x v="938"/>
    </i>
    <i>
      <x v="977"/>
    </i>
    <i>
      <x v="984"/>
    </i>
    <i>
      <x v="993"/>
    </i>
    <i>
      <x v="997"/>
    </i>
    <i>
      <x v="1012"/>
    </i>
    <i>
      <x v="1021"/>
    </i>
    <i>
      <x v="1022"/>
    </i>
    <i>
      <x v="1044"/>
    </i>
    <i>
      <x v="1045"/>
    </i>
    <i>
      <x v="1047"/>
    </i>
    <i>
      <x v="1053"/>
    </i>
    <i>
      <x v="1054"/>
    </i>
    <i>
      <x v="1061"/>
    </i>
    <i>
      <x v="1063"/>
    </i>
    <i>
      <x v="1064"/>
    </i>
    <i>
      <x v="1067"/>
    </i>
    <i>
      <x v="1068"/>
    </i>
    <i>
      <x v="1069"/>
    </i>
    <i>
      <x v="1070"/>
    </i>
  </rowItems>
  <colFields count="3">
    <field x="5"/>
    <field x="6"/>
    <field x="12"/>
  </colFields>
  <colItems count="7">
    <i>
      <x/>
      <x/>
      <x/>
    </i>
    <i r="2">
      <x v="3"/>
    </i>
    <i r="1">
      <x v="1"/>
      <x/>
    </i>
    <i>
      <x v="1"/>
      <x v="1"/>
      <x/>
    </i>
    <i r="1">
      <x v="2"/>
      <x/>
    </i>
    <i r="2">
      <x v="1"/>
    </i>
    <i r="2">
      <x v="4"/>
    </i>
  </colItems>
  <pageFields count="4">
    <pageField fld="7" hier="-1"/>
    <pageField fld="13" hier="-1"/>
    <pageField fld="4" hier="-1"/>
    <pageField fld="10" hier="-1"/>
  </pageFields>
  <dataFields count="1">
    <dataField name="Max de dH_reg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rowGrandTotals="0" colGrandTotals="0" itemPrintTitles="1" createdVersion="6" indent="0" compact="0" compactData="0" multipleFieldFilters="0">
  <location ref="A7:K148" firstHeaderRow="1" firstDataRow="4" firstDataCol="1" rowPageCount="4" colPageCount="1"/>
  <pivotFields count="51">
    <pivotField axis="axisRow" compact="0" outline="0" showAll="0" defaultSubtotal="0">
      <items count="1075">
        <item x="55"/>
        <item x="50"/>
        <item x="20"/>
        <item x="703"/>
        <item x="940"/>
        <item x="794"/>
        <item x="366"/>
        <item x="175"/>
        <item x="174"/>
        <item x="52"/>
        <item x="477"/>
        <item x="776"/>
        <item x="26"/>
        <item x="66"/>
        <item x="82"/>
        <item x="39"/>
        <item x="98"/>
        <item x="27"/>
        <item x="61"/>
        <item x="51"/>
        <item x="108"/>
        <item x="819"/>
        <item x="484"/>
        <item x="46"/>
        <item x="68"/>
        <item x="863"/>
        <item x="912"/>
        <item x="109"/>
        <item x="76"/>
        <item x="131"/>
        <item x="22"/>
        <item x="58"/>
        <item x="35"/>
        <item x="102"/>
        <item x="10"/>
        <item x="64"/>
        <item x="95"/>
        <item x="79"/>
        <item x="62"/>
        <item x="570"/>
        <item x="758"/>
        <item x="598"/>
        <item x="734"/>
        <item x="738"/>
        <item x="426"/>
        <item x="855"/>
        <item x="470"/>
        <item x="499"/>
        <item x="56"/>
        <item x="680"/>
        <item x="91"/>
        <item x="5"/>
        <item x="74"/>
        <item x="78"/>
        <item x="172"/>
        <item x="73"/>
        <item x="80"/>
        <item x="36"/>
        <item x="161"/>
        <item x="31"/>
        <item x="13"/>
        <item x="438"/>
        <item x="722"/>
        <item x="759"/>
        <item x="655"/>
        <item x="849"/>
        <item x="779"/>
        <item x="954"/>
        <item x="930"/>
        <item x="135"/>
        <item x="336"/>
        <item x="883"/>
        <item x="422"/>
        <item x="414"/>
        <item x="118"/>
        <item x="69"/>
        <item x="419"/>
        <item x="755"/>
        <item x="113"/>
        <item x="21"/>
        <item x="352"/>
        <item x="529"/>
        <item x="820"/>
        <item x="654"/>
        <item x="416"/>
        <item x="171"/>
        <item x="614"/>
        <item x="603"/>
        <item x="83"/>
        <item x="160"/>
        <item x="159"/>
        <item x="143"/>
        <item x="32"/>
        <item x="105"/>
        <item x="18"/>
        <item x="41"/>
        <item x="11"/>
        <item x="188"/>
        <item x="60"/>
        <item x="110"/>
        <item x="515"/>
        <item x="396"/>
        <item x="349"/>
        <item x="675"/>
        <item x="310"/>
        <item x="460"/>
        <item x="456"/>
        <item x="632"/>
        <item x="664"/>
        <item x="127"/>
        <item x="87"/>
        <item x="115"/>
        <item x="49"/>
        <item x="94"/>
        <item x="33"/>
        <item x="15"/>
        <item x="126"/>
        <item x="43"/>
        <item x="70"/>
        <item x="90"/>
        <item x="67"/>
        <item x="104"/>
        <item x="9"/>
        <item x="63"/>
        <item x="86"/>
        <item x="25"/>
        <item x="96"/>
        <item x="148"/>
        <item x="1"/>
        <item x="119"/>
        <item x="45"/>
        <item x="2"/>
        <item x="7"/>
        <item x="146"/>
        <item x="44"/>
        <item x="100"/>
        <item x="101"/>
        <item x="132"/>
        <item x="107"/>
        <item x="154"/>
        <item x="936"/>
        <item x="488"/>
        <item x="907"/>
        <item x="839"/>
        <item x="750"/>
        <item x="527"/>
        <item x="430"/>
        <item x="519"/>
        <item x="400"/>
        <item x="762"/>
        <item x="929"/>
        <item x="781"/>
        <item x="932"/>
        <item x="922"/>
        <item x="870"/>
        <item x="698"/>
        <item x="890"/>
        <item x="952"/>
        <item x="170"/>
        <item x="918"/>
        <item x="145"/>
        <item x="173"/>
        <item x="153"/>
        <item x="769"/>
        <item x="661"/>
        <item x="939"/>
        <item x="853"/>
        <item x="24"/>
        <item x="345"/>
        <item x="394"/>
        <item x="607"/>
        <item x="846"/>
        <item x="874"/>
        <item x="739"/>
        <item x="552"/>
        <item x="505"/>
        <item x="914"/>
        <item x="928"/>
        <item x="530"/>
        <item x="53"/>
        <item x="137"/>
        <item x="84"/>
        <item x="88"/>
        <item x="103"/>
        <item x="8"/>
        <item x="129"/>
        <item x="158"/>
        <item x="114"/>
        <item x="72"/>
        <item x="57"/>
        <item x="179"/>
        <item x="14"/>
        <item x="760"/>
        <item x="417"/>
        <item x="624"/>
        <item x="645"/>
        <item x="584"/>
        <item x="666"/>
        <item x="657"/>
        <item x="433"/>
        <item x="797"/>
        <item x="746"/>
        <item x="495"/>
        <item x="483"/>
        <item x="454"/>
        <item x="788"/>
        <item x="462"/>
        <item x="568"/>
        <item x="903"/>
        <item x="904"/>
        <item x="753"/>
        <item x="869"/>
        <item x="831"/>
        <item x="731"/>
        <item x="898"/>
        <item x="615"/>
        <item x="372"/>
        <item x="943"/>
        <item x="896"/>
        <item x="947"/>
        <item x="510"/>
        <item x="644"/>
        <item x="825"/>
        <item x="945"/>
        <item x="832"/>
        <item x="926"/>
        <item x="872"/>
        <item x="663"/>
        <item x="906"/>
        <item x="642"/>
        <item x="707"/>
        <item x="796"/>
        <item x="789"/>
        <item x="71"/>
        <item x="42"/>
        <item x="40"/>
        <item x="6"/>
        <item x="12"/>
        <item x="59"/>
        <item x="30"/>
        <item x="38"/>
        <item x="54"/>
        <item x="34"/>
        <item x="509"/>
        <item x="894"/>
        <item x="557"/>
        <item x="340"/>
        <item x="511"/>
        <item x="330"/>
        <item x="830"/>
        <item x="785"/>
        <item x="351"/>
        <item x="585"/>
        <item x="583"/>
        <item x="915"/>
        <item x="638"/>
        <item x="600"/>
        <item x="441"/>
        <item x="818"/>
        <item x="538"/>
        <item x="333"/>
        <item x="553"/>
        <item x="435"/>
        <item x="693"/>
        <item x="662"/>
        <item x="370"/>
        <item x="591"/>
        <item x="687"/>
        <item x="517"/>
        <item x="503"/>
        <item x="531"/>
        <item x="321"/>
        <item x="742"/>
        <item x="620"/>
        <item x="856"/>
        <item x="466"/>
        <item x="332"/>
        <item x="714"/>
        <item x="787"/>
        <item x="567"/>
        <item x="558"/>
        <item x="341"/>
        <item x="440"/>
        <item x="685"/>
        <item x="949"/>
        <item x="339"/>
        <item x="556"/>
        <item x="375"/>
        <item x="595"/>
        <item x="886"/>
        <item x="565"/>
        <item x="920"/>
        <item x="482"/>
        <item x="627"/>
        <item x="938"/>
        <item x="711"/>
        <item x="566"/>
        <item x="619"/>
        <item x="536"/>
        <item x="385"/>
        <item x="547"/>
        <item x="457"/>
        <item x="790"/>
        <item x="318"/>
        <item x="320"/>
        <item x="913"/>
        <item x="389"/>
        <item x="852"/>
        <item x="761"/>
        <item x="485"/>
        <item x="648"/>
        <item x="773"/>
        <item x="415"/>
        <item x="688"/>
        <item x="838"/>
        <item x="500"/>
        <item x="836"/>
        <item x="751"/>
        <item x="933"/>
        <item x="367"/>
        <item x="507"/>
        <item x="951"/>
        <item x="605"/>
        <item x="533"/>
        <item x="708"/>
        <item x="401"/>
        <item x="427"/>
        <item x="374"/>
        <item x="897"/>
        <item x="347"/>
        <item x="727"/>
        <item x="892"/>
        <item x="550"/>
        <item x="363"/>
        <item x="669"/>
        <item x="899"/>
        <item x="596"/>
        <item x="683"/>
        <item x="574"/>
        <item x="214"/>
        <item x="216"/>
        <item x="780"/>
        <item x="358"/>
        <item x="843"/>
        <item x="766"/>
        <item x="745"/>
        <item x="464"/>
        <item x="395"/>
        <item x="47"/>
        <item x="178"/>
        <item x="546"/>
        <item x="840"/>
        <item x="168"/>
        <item x="964"/>
        <item x="240"/>
        <item x="959"/>
        <item x="962"/>
        <item x="957"/>
        <item x="961"/>
        <item x="958"/>
        <item x="203"/>
        <item x="208"/>
        <item x="960"/>
        <item x="965"/>
        <item x="599"/>
        <item x="652"/>
        <item x="950"/>
        <item x="658"/>
        <item x="809"/>
        <item x="650"/>
        <item x="834"/>
        <item x="514"/>
        <item x="618"/>
        <item x="362"/>
        <item x="449"/>
        <item x="833"/>
        <item x="919"/>
        <item x="882"/>
        <item x="824"/>
        <item x="532"/>
        <item x="778"/>
        <item x="864"/>
        <item x="386"/>
        <item x="752"/>
        <item x="811"/>
        <item x="528"/>
        <item x="888"/>
        <item x="643"/>
        <item x="522"/>
        <item x="873"/>
        <item x="578"/>
        <item x="625"/>
        <item x="425"/>
        <item x="89"/>
        <item x="130"/>
        <item x="795"/>
        <item x="845"/>
        <item x="314"/>
        <item x="97"/>
        <item x="407"/>
        <item x="647"/>
        <item x="747"/>
        <item x="564"/>
        <item x="641"/>
        <item x="487"/>
        <item x="606"/>
        <item x="424"/>
        <item x="563"/>
        <item x="713"/>
        <item x="518"/>
        <item x="376"/>
        <item x="695"/>
        <item x="588"/>
        <item x="432"/>
        <item x="767"/>
        <item x="408"/>
        <item x="356"/>
        <item x="667"/>
        <item x="608"/>
        <item x="393"/>
        <item x="868"/>
        <item x="516"/>
        <item x="439"/>
        <item x="691"/>
        <item x="689"/>
        <item x="813"/>
        <item x="501"/>
        <item x="649"/>
        <item x="754"/>
        <item x="728"/>
        <item x="579"/>
        <item x="436"/>
        <item x="743"/>
        <item x="525"/>
        <item x="337"/>
        <item x="673"/>
        <item x="807"/>
        <item x="569"/>
        <item x="428"/>
        <item x="551"/>
        <item x="854"/>
        <item x="676"/>
        <item x="481"/>
        <item x="828"/>
        <item x="472"/>
        <item x="622"/>
        <item x="774"/>
        <item x="421"/>
        <item x="681"/>
        <item x="213"/>
        <item x="601"/>
        <item x="392"/>
        <item x="944"/>
        <item x="801"/>
        <item x="733"/>
        <item x="560"/>
        <item x="451"/>
        <item x="822"/>
        <item x="455"/>
        <item x="371"/>
        <item x="329"/>
        <item x="409"/>
        <item x="486"/>
        <item x="927"/>
        <item x="786"/>
        <item x="948"/>
        <item x="311"/>
        <item x="478"/>
        <item x="884"/>
        <item x="479"/>
        <item x="679"/>
        <item x="357"/>
        <item x="885"/>
        <item x="829"/>
        <item x="917"/>
        <item x="656"/>
        <item x="377"/>
        <item x="895"/>
        <item x="335"/>
        <item x="612"/>
        <item x="508"/>
        <item x="461"/>
        <item x="715"/>
        <item x="315"/>
        <item x="841"/>
        <item x="3"/>
        <item x="593"/>
        <item x="737"/>
        <item x="610"/>
        <item x="724"/>
        <item x="674"/>
        <item x="442"/>
        <item x="826"/>
        <item x="447"/>
        <item x="468"/>
        <item x="353"/>
        <item x="473"/>
        <item x="361"/>
        <item x="378"/>
        <item x="469"/>
        <item x="628"/>
        <item x="721"/>
        <item x="549"/>
        <item x="720"/>
        <item x="429"/>
        <item x="459"/>
        <item x="866"/>
        <item x="562"/>
        <item x="757"/>
        <item x="373"/>
        <item x="637"/>
        <item x="768"/>
        <item x="636"/>
        <item x="777"/>
        <item x="342"/>
        <item x="765"/>
        <item x="133"/>
        <item x="580"/>
        <item x="355"/>
        <item x="706"/>
        <item x="571"/>
        <item x="925"/>
        <item x="857"/>
        <item x="572"/>
        <item x="879"/>
        <item x="411"/>
        <item x="827"/>
        <item x="726"/>
        <item x="491"/>
        <item x="397"/>
        <item x="626"/>
        <item x="756"/>
        <item x="390"/>
        <item x="391"/>
        <item x="28"/>
        <item x="1072"/>
        <item x="23"/>
        <item x="633"/>
        <item x="526"/>
        <item x="116"/>
        <item x="763"/>
        <item x="506"/>
        <item x="492"/>
        <item x="554"/>
        <item x="480"/>
        <item x="887"/>
        <item x="709"/>
        <item x="784"/>
        <item x="699"/>
        <item x="412"/>
        <item x="817"/>
        <item x="471"/>
        <item x="319"/>
        <item x="671"/>
        <item x="867"/>
        <item x="364"/>
        <item x="476"/>
        <item x="418"/>
        <item x="923"/>
        <item x="542"/>
        <item x="851"/>
        <item x="859"/>
        <item x="474"/>
        <item x="594"/>
        <item x="561"/>
        <item x="122"/>
        <item x="597"/>
        <item x="631"/>
        <item x="911"/>
        <item x="575"/>
        <item x="437"/>
        <item x="862"/>
        <item x="634"/>
        <item x="740"/>
        <item x="821"/>
        <item x="823"/>
        <item x="325"/>
        <item x="686"/>
        <item x="616"/>
        <item x="621"/>
        <item x="559"/>
        <item x="450"/>
        <item x="889"/>
        <item x="729"/>
        <item x="617"/>
        <item x="772"/>
        <item x="805"/>
        <item x="399"/>
        <item x="712"/>
        <item x="475"/>
        <item x="383"/>
        <item x="604"/>
        <item x="665"/>
        <item x="402"/>
        <item x="307"/>
        <item x="764"/>
        <item x="354"/>
        <item x="504"/>
        <item x="792"/>
        <item x="573"/>
        <item x="535"/>
        <item x="690"/>
        <item x="934"/>
        <item x="651"/>
        <item x="513"/>
        <item x="701"/>
        <item x="865"/>
        <item x="590"/>
        <item x="463"/>
        <item x="937"/>
        <item x="324"/>
        <item x="955"/>
        <item x="582"/>
        <item x="793"/>
        <item x="308"/>
        <item x="946"/>
        <item x="537"/>
        <item x="512"/>
        <item x="956"/>
        <item x="692"/>
        <item x="384"/>
        <item x="405"/>
        <item x="348"/>
        <item x="653"/>
        <item x="524"/>
        <item x="710"/>
        <item x="749"/>
        <item x="718"/>
        <item x="490"/>
        <item x="723"/>
        <item x="640"/>
        <item x="496"/>
        <item x="398"/>
        <item x="806"/>
        <item x="446"/>
        <item x="312"/>
        <item x="381"/>
        <item x="343"/>
        <item x="842"/>
        <item x="403"/>
        <item x="587"/>
        <item x="1062"/>
        <item x="1039"/>
        <item x="1063"/>
        <item x="989"/>
        <item x="1057"/>
        <item x="301"/>
        <item x="1002"/>
        <item x="1048"/>
        <item x="1000"/>
        <item x="303"/>
        <item x="1021"/>
        <item x="988"/>
        <item x="991"/>
        <item x="270"/>
        <item x="289"/>
        <item x="976"/>
        <item x="1064"/>
        <item x="283"/>
        <item x="290"/>
        <item x="292"/>
        <item x="1040"/>
        <item x="304"/>
        <item x="1038"/>
        <item x="1050"/>
        <item x="295"/>
        <item x="968"/>
        <item x="305"/>
        <item x="1049"/>
        <item x="984"/>
        <item x="1013"/>
        <item x="1006"/>
        <item x="998"/>
        <item x="296"/>
        <item x="298"/>
        <item x="978"/>
        <item x="277"/>
        <item x="1008"/>
        <item x="997"/>
        <item x="1007"/>
        <item x="1028"/>
        <item x="990"/>
        <item x="994"/>
        <item x="1020"/>
        <item x="993"/>
        <item x="1004"/>
        <item x="982"/>
        <item x="1060"/>
        <item x="983"/>
        <item x="1018"/>
        <item x="293"/>
        <item x="264"/>
        <item x="977"/>
        <item x="1022"/>
        <item x="282"/>
        <item x="995"/>
        <item x="969"/>
        <item x="1015"/>
        <item x="1010"/>
        <item x="815"/>
        <item x="316"/>
        <item x="589"/>
        <item x="410"/>
        <item x="497"/>
        <item x="623"/>
        <item x="0"/>
        <item x="19"/>
        <item x="85"/>
        <item x="635"/>
        <item x="812"/>
        <item x="523"/>
        <item x="77"/>
        <item x="444"/>
        <item x="901"/>
        <item x="702"/>
        <item x="344"/>
        <item x="346"/>
        <item x="678"/>
        <item x="420"/>
        <item x="916"/>
        <item x="48"/>
        <item x="99"/>
        <item x="4"/>
        <item x="791"/>
        <item x="847"/>
        <item x="891"/>
        <item x="498"/>
        <item x="848"/>
        <item x="387"/>
        <item x="382"/>
        <item x="489"/>
        <item x="717"/>
        <item x="322"/>
        <item x="700"/>
        <item x="659"/>
        <item x="338"/>
        <item x="799"/>
        <item x="748"/>
        <item x="630"/>
        <item x="803"/>
        <item x="668"/>
        <item x="502"/>
        <item x="660"/>
        <item x="520"/>
        <item x="858"/>
        <item x="672"/>
        <item x="368"/>
        <item x="704"/>
        <item x="541"/>
        <item x="905"/>
        <item x="545"/>
        <item x="775"/>
        <item x="309"/>
        <item x="452"/>
        <item x="670"/>
        <item x="555"/>
        <item x="770"/>
        <item x="800"/>
        <item x="458"/>
        <item x="639"/>
        <item x="844"/>
        <item x="521"/>
        <item x="327"/>
        <item x="379"/>
        <item x="443"/>
        <item x="431"/>
        <item x="716"/>
        <item x="448"/>
        <item x="413"/>
        <item x="783"/>
        <item x="732"/>
        <item x="543"/>
        <item x="359"/>
        <item x="782"/>
        <item x="935"/>
        <item x="684"/>
        <item x="941"/>
        <item x="534"/>
        <item x="802"/>
        <item x="611"/>
        <item x="544"/>
        <item x="816"/>
        <item x="334"/>
        <item x="539"/>
        <item x="548"/>
        <item x="467"/>
        <item x="744"/>
        <item x="677"/>
        <item x="328"/>
        <item x="705"/>
        <item x="117"/>
        <item x="128"/>
        <item x="186"/>
        <item x="877"/>
        <item x="682"/>
        <item x="921"/>
        <item x="445"/>
        <item x="465"/>
        <item x="581"/>
        <item x="1073"/>
        <item x="850"/>
        <item x="861"/>
        <item x="725"/>
        <item x="323"/>
        <item x="875"/>
        <item x="93"/>
        <item x="697"/>
        <item x="646"/>
        <item x="167"/>
        <item x="182"/>
        <item x="900"/>
        <item x="388"/>
        <item x="134"/>
        <item x="365"/>
        <item x="313"/>
        <item x="65"/>
        <item x="181"/>
        <item x="162"/>
        <item x="771"/>
        <item x="163"/>
        <item x="142"/>
        <item x="92"/>
        <item x="924"/>
        <item x="331"/>
        <item x="423"/>
        <item x="602"/>
        <item x="808"/>
        <item x="735"/>
        <item x="453"/>
        <item x="166"/>
        <item x="493"/>
        <item x="147"/>
        <item x="150"/>
        <item x="878"/>
        <item x="909"/>
        <item x="893"/>
        <item x="123"/>
        <item x="139"/>
        <item x="231"/>
        <item x="242"/>
        <item x="189"/>
        <item x="236"/>
        <item x="215"/>
        <item x="232"/>
        <item x="222"/>
        <item x="247"/>
        <item x="200"/>
        <item x="229"/>
        <item x="219"/>
        <item x="224"/>
        <item x="233"/>
        <item x="207"/>
        <item x="245"/>
        <item x="230"/>
        <item x="211"/>
        <item x="239"/>
        <item x="202"/>
        <item x="237"/>
        <item x="226"/>
        <item x="227"/>
        <item x="244"/>
        <item x="228"/>
        <item x="195"/>
        <item x="1005"/>
        <item x="302"/>
        <item x="1056"/>
        <item x="1055"/>
        <item x="306"/>
        <item x="1024"/>
        <item x="1003"/>
        <item x="741"/>
        <item x="1029"/>
        <item x="979"/>
        <item x="1041"/>
        <item x="1011"/>
        <item x="300"/>
        <item x="281"/>
        <item x="1019"/>
        <item x="1061"/>
        <item x="288"/>
        <item x="259"/>
        <item x="274"/>
        <item x="269"/>
        <item x="285"/>
        <item x="985"/>
        <item x="273"/>
        <item x="1054"/>
        <item x="271"/>
        <item x="987"/>
        <item x="1032"/>
        <item x="1046"/>
        <item x="1017"/>
        <item x="258"/>
        <item x="266"/>
        <item x="192"/>
        <item x="220"/>
        <item x="980"/>
        <item x="252"/>
        <item x="975"/>
        <item x="254"/>
        <item x="253"/>
        <item x="280"/>
        <item x="1043"/>
        <item x="1058"/>
        <item x="1030"/>
        <item x="1047"/>
        <item x="1027"/>
        <item x="257"/>
        <item x="286"/>
        <item x="1052"/>
        <item x="1059"/>
        <item x="278"/>
        <item x="251"/>
        <item x="263"/>
        <item x="1033"/>
        <item x="1025"/>
        <item x="999"/>
        <item x="1026"/>
        <item x="287"/>
        <item x="279"/>
        <item x="1031"/>
        <item x="981"/>
        <item x="299"/>
        <item x="256"/>
        <item x="297"/>
        <item x="974"/>
        <item x="255"/>
        <item x="973"/>
        <item x="992"/>
        <item x="1036"/>
        <item x="1044"/>
        <item x="1034"/>
        <item x="1051"/>
        <item x="1023"/>
        <item x="291"/>
        <item x="972"/>
        <item x="971"/>
        <item x="262"/>
        <item x="294"/>
        <item x="1045"/>
        <item x="260"/>
        <item x="1042"/>
        <item x="276"/>
        <item x="986"/>
        <item x="267"/>
        <item x="1001"/>
        <item x="272"/>
        <item x="970"/>
        <item x="261"/>
        <item x="1014"/>
        <item x="1009"/>
        <item x="1016"/>
        <item x="265"/>
        <item x="1035"/>
        <item x="268"/>
        <item x="996"/>
        <item x="1053"/>
        <item x="1037"/>
        <item x="275"/>
        <item x="1012"/>
        <item x="284"/>
        <item x="250"/>
        <item x="694"/>
        <item x="111"/>
        <item x="860"/>
        <item x="814"/>
        <item x="953"/>
        <item x="730"/>
        <item x="880"/>
        <item x="369"/>
        <item x="156"/>
        <item x="317"/>
        <item x="609"/>
        <item x="576"/>
        <item x="125"/>
        <item x="380"/>
        <item x="120"/>
        <item x="176"/>
        <item x="1071"/>
        <item x="106"/>
        <item x="165"/>
        <item x="140"/>
        <item x="155"/>
        <item x="876"/>
        <item x="177"/>
        <item x="1074"/>
        <item x="942"/>
        <item x="151"/>
        <item x="1069"/>
        <item x="1070"/>
        <item x="1067"/>
        <item x="1068"/>
        <item x="1065"/>
        <item x="187"/>
        <item x="837"/>
        <item x="350"/>
        <item x="75"/>
        <item x="185"/>
        <item x="629"/>
        <item x="696"/>
        <item x="29"/>
        <item x="124"/>
        <item x="112"/>
        <item x="810"/>
        <item x="736"/>
        <item x="586"/>
        <item x="910"/>
        <item x="908"/>
        <item x="719"/>
        <item x="902"/>
        <item x="613"/>
        <item x="931"/>
        <item x="184"/>
        <item x="577"/>
        <item x="804"/>
        <item x="871"/>
        <item x="540"/>
        <item x="149"/>
        <item x="798"/>
        <item x="37"/>
        <item x="16"/>
        <item x="183"/>
        <item x="180"/>
        <item x="152"/>
        <item x="144"/>
        <item x="157"/>
        <item x="404"/>
        <item x="835"/>
        <item x="164"/>
        <item x="881"/>
        <item x="121"/>
        <item x="434"/>
        <item x="1066"/>
        <item x="17"/>
        <item x="169"/>
        <item x="81"/>
        <item x="141"/>
        <item x="136"/>
        <item x="406"/>
        <item x="138"/>
        <item x="360"/>
        <item x="326"/>
        <item x="592"/>
        <item x="494"/>
        <item x="225"/>
        <item x="223"/>
        <item x="249"/>
        <item x="218"/>
        <item x="190"/>
        <item x="193"/>
        <item x="248"/>
        <item x="196"/>
        <item x="198"/>
        <item x="212"/>
        <item x="209"/>
        <item x="235"/>
        <item x="241"/>
        <item x="194"/>
        <item x="243"/>
        <item x="191"/>
        <item x="197"/>
        <item x="217"/>
        <item x="238"/>
        <item x="221"/>
        <item x="205"/>
        <item x="199"/>
        <item x="234"/>
        <item x="206"/>
        <item x="201"/>
        <item x="204"/>
        <item x="210"/>
        <item x="967"/>
        <item x="966"/>
        <item x="963"/>
        <item x="246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x="0"/>
        <item h="1" x="1"/>
        <item h="1" x="2"/>
      </items>
    </pivotField>
    <pivotField axis="axisCol" compact="0" outline="0" showAll="0" defaultSubtotal="0">
      <items count="2">
        <item x="1"/>
        <item x="0"/>
      </items>
    </pivotField>
    <pivotField axis="axisCol" compact="0" outline="0" showAll="0" defaultSubtotal="0">
      <items count="3">
        <item x="1"/>
        <item x="2"/>
        <item x="0"/>
      </items>
    </pivotField>
    <pivotField axis="axisPage" dataField="1" compact="0" outline="0" multipleItemSelectionAllowed="1" showAll="0" defaultSubtotal="0">
      <items count="10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304"/>
        <item x="23"/>
        <item x="24"/>
        <item x="25"/>
        <item x="26"/>
        <item x="27"/>
        <item x="28"/>
        <item x="29"/>
        <item x="30"/>
        <item x="31"/>
        <item x="305"/>
        <item x="32"/>
        <item x="33"/>
        <item x="34"/>
        <item x="35"/>
        <item x="36"/>
        <item x="37"/>
        <item x="38"/>
        <item x="39"/>
        <item x="40"/>
        <item x="306"/>
        <item x="41"/>
        <item x="42"/>
        <item x="43"/>
        <item x="44"/>
        <item x="45"/>
        <item x="307"/>
        <item x="46"/>
        <item x="47"/>
        <item x="48"/>
        <item x="49"/>
        <item x="50"/>
        <item x="51"/>
        <item x="52"/>
        <item x="53"/>
        <item x="308"/>
        <item x="54"/>
        <item x="55"/>
        <item x="56"/>
        <item x="57"/>
        <item x="58"/>
        <item x="309"/>
        <item x="310"/>
        <item x="59"/>
        <item x="60"/>
        <item x="61"/>
        <item x="62"/>
        <item x="311"/>
        <item x="312"/>
        <item x="313"/>
        <item x="63"/>
        <item x="64"/>
        <item x="314"/>
        <item x="315"/>
        <item x="65"/>
        <item x="66"/>
        <item x="67"/>
        <item x="68"/>
        <item x="69"/>
        <item x="316"/>
        <item x="70"/>
        <item x="71"/>
        <item x="72"/>
        <item x="73"/>
        <item x="74"/>
        <item x="75"/>
        <item x="76"/>
        <item x="77"/>
        <item x="78"/>
        <item x="317"/>
        <item x="79"/>
        <item x="80"/>
        <item x="81"/>
        <item x="82"/>
        <item x="318"/>
        <item x="319"/>
        <item x="83"/>
        <item x="84"/>
        <item x="85"/>
        <item x="86"/>
        <item x="248"/>
        <item x="320"/>
        <item x="87"/>
        <item x="88"/>
        <item x="89"/>
        <item x="90"/>
        <item x="91"/>
        <item x="92"/>
        <item x="321"/>
        <item x="322"/>
        <item x="323"/>
        <item x="324"/>
        <item x="93"/>
        <item x="325"/>
        <item x="94"/>
        <item x="95"/>
        <item x="96"/>
        <item x="97"/>
        <item x="98"/>
        <item x="326"/>
        <item x="99"/>
        <item x="327"/>
        <item x="100"/>
        <item x="328"/>
        <item x="101"/>
        <item x="102"/>
        <item x="103"/>
        <item x="104"/>
        <item x="105"/>
        <item x="106"/>
        <item x="329"/>
        <item x="330"/>
        <item x="107"/>
        <item x="331"/>
        <item x="332"/>
        <item x="333"/>
        <item x="334"/>
        <item x="249"/>
        <item x="108"/>
        <item x="335"/>
        <item x="336"/>
        <item x="337"/>
        <item x="338"/>
        <item x="109"/>
        <item x="110"/>
        <item x="339"/>
        <item x="340"/>
        <item x="341"/>
        <item x="342"/>
        <item x="343"/>
        <item x="250"/>
        <item x="344"/>
        <item x="345"/>
        <item x="111"/>
        <item x="346"/>
        <item x="347"/>
        <item x="348"/>
        <item x="349"/>
        <item x="350"/>
        <item x="351"/>
        <item x="352"/>
        <item x="353"/>
        <item x="251"/>
        <item x="354"/>
        <item x="355"/>
        <item x="112"/>
        <item x="356"/>
        <item x="252"/>
        <item x="357"/>
        <item x="358"/>
        <item x="359"/>
        <item x="360"/>
        <item x="361"/>
        <item x="253"/>
        <item x="362"/>
        <item x="363"/>
        <item x="364"/>
        <item x="365"/>
        <item x="366"/>
        <item x="367"/>
        <item x="113"/>
        <item x="114"/>
        <item x="368"/>
        <item x="369"/>
        <item x="939"/>
        <item x="115"/>
        <item x="370"/>
        <item x="371"/>
        <item x="372"/>
        <item x="116"/>
        <item x="117"/>
        <item x="118"/>
        <item x="119"/>
        <item x="373"/>
        <item x="374"/>
        <item x="375"/>
        <item x="120"/>
        <item x="121"/>
        <item x="376"/>
        <item x="377"/>
        <item x="122"/>
        <item x="378"/>
        <item x="123"/>
        <item x="379"/>
        <item x="124"/>
        <item x="380"/>
        <item x="381"/>
        <item x="382"/>
        <item x="383"/>
        <item x="384"/>
        <item x="385"/>
        <item x="386"/>
        <item x="387"/>
        <item x="125"/>
        <item x="388"/>
        <item x="389"/>
        <item x="940"/>
        <item x="126"/>
        <item x="390"/>
        <item x="941"/>
        <item x="254"/>
        <item x="391"/>
        <item x="255"/>
        <item x="392"/>
        <item x="393"/>
        <item x="394"/>
        <item x="256"/>
        <item x="395"/>
        <item x="127"/>
        <item x="128"/>
        <item x="396"/>
        <item x="397"/>
        <item x="398"/>
        <item x="399"/>
        <item x="400"/>
        <item x="129"/>
        <item x="401"/>
        <item x="402"/>
        <item x="403"/>
        <item x="404"/>
        <item x="942"/>
        <item x="405"/>
        <item x="130"/>
        <item x="406"/>
        <item x="407"/>
        <item x="408"/>
        <item x="409"/>
        <item x="410"/>
        <item x="411"/>
        <item x="412"/>
        <item x="131"/>
        <item x="413"/>
        <item x="257"/>
        <item x="414"/>
        <item x="415"/>
        <item x="132"/>
        <item x="416"/>
        <item x="417"/>
        <item x="418"/>
        <item x="419"/>
        <item x="258"/>
        <item x="420"/>
        <item x="421"/>
        <item x="422"/>
        <item x="133"/>
        <item x="423"/>
        <item x="424"/>
        <item x="425"/>
        <item x="259"/>
        <item x="134"/>
        <item x="426"/>
        <item x="427"/>
        <item x="428"/>
        <item x="429"/>
        <item x="430"/>
        <item x="431"/>
        <item x="432"/>
        <item x="433"/>
        <item x="434"/>
        <item x="435"/>
        <item x="943"/>
        <item x="436"/>
        <item x="437"/>
        <item x="438"/>
        <item x="260"/>
        <item x="439"/>
        <item x="440"/>
        <item x="135"/>
        <item x="261"/>
        <item x="262"/>
        <item x="944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945"/>
        <item x="453"/>
        <item x="454"/>
        <item x="455"/>
        <item x="456"/>
        <item x="263"/>
        <item x="457"/>
        <item x="458"/>
        <item x="136"/>
        <item x="459"/>
        <item x="460"/>
        <item x="461"/>
        <item x="462"/>
        <item x="187"/>
        <item x="463"/>
        <item x="464"/>
        <item x="465"/>
        <item x="466"/>
        <item x="467"/>
        <item x="264"/>
        <item x="468"/>
        <item x="137"/>
        <item x="138"/>
        <item x="265"/>
        <item x="469"/>
        <item x="470"/>
        <item x="471"/>
        <item x="472"/>
        <item x="266"/>
        <item x="473"/>
        <item x="474"/>
        <item x="475"/>
        <item x="476"/>
        <item x="477"/>
        <item x="478"/>
        <item x="479"/>
        <item x="480"/>
        <item x="481"/>
        <item x="139"/>
        <item x="482"/>
        <item x="483"/>
        <item x="484"/>
        <item x="485"/>
        <item x="486"/>
        <item x="487"/>
        <item x="488"/>
        <item x="946"/>
        <item x="489"/>
        <item x="490"/>
        <item x="491"/>
        <item x="140"/>
        <item x="492"/>
        <item x="493"/>
        <item x="947"/>
        <item x="494"/>
        <item x="495"/>
        <item x="496"/>
        <item x="141"/>
        <item x="267"/>
        <item x="497"/>
        <item x="498"/>
        <item x="499"/>
        <item x="500"/>
        <item x="501"/>
        <item x="502"/>
        <item x="142"/>
        <item x="503"/>
        <item x="504"/>
        <item x="505"/>
        <item x="506"/>
        <item x="948"/>
        <item x="507"/>
        <item x="508"/>
        <item x="268"/>
        <item x="509"/>
        <item x="510"/>
        <item x="511"/>
        <item x="512"/>
        <item x="513"/>
        <item x="514"/>
        <item x="143"/>
        <item x="949"/>
        <item x="515"/>
        <item x="516"/>
        <item x="517"/>
        <item x="518"/>
        <item x="519"/>
        <item x="520"/>
        <item x="521"/>
        <item x="269"/>
        <item x="522"/>
        <item x="523"/>
        <item x="524"/>
        <item x="525"/>
        <item x="144"/>
        <item x="526"/>
        <item x="188"/>
        <item x="527"/>
        <item x="528"/>
        <item x="529"/>
        <item x="530"/>
        <item x="270"/>
        <item x="531"/>
        <item x="532"/>
        <item x="145"/>
        <item x="533"/>
        <item x="950"/>
        <item x="534"/>
        <item x="951"/>
        <item x="929"/>
        <item x="535"/>
        <item x="536"/>
        <item x="271"/>
        <item x="537"/>
        <item x="146"/>
        <item x="538"/>
        <item x="189"/>
        <item x="539"/>
        <item x="540"/>
        <item x="147"/>
        <item x="541"/>
        <item x="542"/>
        <item x="543"/>
        <item x="544"/>
        <item x="545"/>
        <item x="546"/>
        <item x="272"/>
        <item x="547"/>
        <item x="548"/>
        <item x="549"/>
        <item x="550"/>
        <item x="551"/>
        <item x="552"/>
        <item x="148"/>
        <item x="553"/>
        <item x="554"/>
        <item x="952"/>
        <item x="555"/>
        <item x="556"/>
        <item x="557"/>
        <item x="558"/>
        <item x="559"/>
        <item x="273"/>
        <item x="560"/>
        <item x="561"/>
        <item x="562"/>
        <item x="953"/>
        <item x="563"/>
        <item x="564"/>
        <item x="274"/>
        <item x="565"/>
        <item x="954"/>
        <item x="149"/>
        <item x="566"/>
        <item x="567"/>
        <item x="150"/>
        <item x="568"/>
        <item x="569"/>
        <item x="570"/>
        <item x="955"/>
        <item x="571"/>
        <item x="956"/>
        <item x="572"/>
        <item x="275"/>
        <item x="573"/>
        <item x="574"/>
        <item x="575"/>
        <item x="576"/>
        <item x="151"/>
        <item x="577"/>
        <item x="152"/>
        <item x="578"/>
        <item x="276"/>
        <item x="579"/>
        <item x="580"/>
        <item x="581"/>
        <item x="582"/>
        <item x="583"/>
        <item x="190"/>
        <item x="153"/>
        <item x="584"/>
        <item x="585"/>
        <item x="154"/>
        <item x="586"/>
        <item x="587"/>
        <item x="588"/>
        <item x="589"/>
        <item x="590"/>
        <item x="591"/>
        <item x="592"/>
        <item x="593"/>
        <item x="594"/>
        <item x="595"/>
        <item x="155"/>
        <item x="596"/>
        <item x="597"/>
        <item x="598"/>
        <item x="930"/>
        <item x="599"/>
        <item x="600"/>
        <item x="277"/>
        <item x="601"/>
        <item x="602"/>
        <item x="603"/>
        <item x="604"/>
        <item x="605"/>
        <item x="606"/>
        <item x="607"/>
        <item x="608"/>
        <item x="957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56"/>
        <item x="191"/>
        <item x="632"/>
        <item x="958"/>
        <item x="633"/>
        <item x="157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959"/>
        <item x="652"/>
        <item x="653"/>
        <item x="654"/>
        <item x="655"/>
        <item x="656"/>
        <item x="657"/>
        <item x="658"/>
        <item x="278"/>
        <item x="659"/>
        <item x="660"/>
        <item x="661"/>
        <item x="662"/>
        <item x="663"/>
        <item x="664"/>
        <item x="665"/>
        <item x="666"/>
        <item x="667"/>
        <item x="960"/>
        <item x="668"/>
        <item x="669"/>
        <item x="670"/>
        <item x="158"/>
        <item x="671"/>
        <item x="672"/>
        <item x="673"/>
        <item x="674"/>
        <item x="961"/>
        <item x="962"/>
        <item x="675"/>
        <item x="963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279"/>
        <item x="280"/>
        <item x="689"/>
        <item x="690"/>
        <item x="691"/>
        <item x="692"/>
        <item x="159"/>
        <item x="693"/>
        <item x="694"/>
        <item x="695"/>
        <item x="696"/>
        <item x="281"/>
        <item x="697"/>
        <item x="698"/>
        <item x="282"/>
        <item x="160"/>
        <item x="699"/>
        <item x="700"/>
        <item x="701"/>
        <item x="702"/>
        <item x="192"/>
        <item x="703"/>
        <item x="704"/>
        <item x="705"/>
        <item x="706"/>
        <item x="707"/>
        <item x="964"/>
        <item x="708"/>
        <item x="709"/>
        <item x="965"/>
        <item x="710"/>
        <item x="931"/>
        <item x="711"/>
        <item x="712"/>
        <item x="713"/>
        <item x="714"/>
        <item x="715"/>
        <item x="716"/>
        <item x="717"/>
        <item x="718"/>
        <item x="719"/>
        <item x="161"/>
        <item x="720"/>
        <item x="721"/>
        <item x="722"/>
        <item x="723"/>
        <item x="724"/>
        <item x="162"/>
        <item x="725"/>
        <item x="726"/>
        <item x="727"/>
        <item x="728"/>
        <item x="966"/>
        <item x="729"/>
        <item x="730"/>
        <item x="731"/>
        <item x="732"/>
        <item x="283"/>
        <item x="193"/>
        <item x="733"/>
        <item x="284"/>
        <item x="734"/>
        <item x="735"/>
        <item x="736"/>
        <item x="737"/>
        <item x="738"/>
        <item x="739"/>
        <item x="740"/>
        <item x="194"/>
        <item x="932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933"/>
        <item x="755"/>
        <item x="967"/>
        <item x="756"/>
        <item x="757"/>
        <item x="758"/>
        <item x="968"/>
        <item x="759"/>
        <item x="285"/>
        <item x="969"/>
        <item x="970"/>
        <item x="760"/>
        <item x="761"/>
        <item x="762"/>
        <item x="763"/>
        <item x="971"/>
        <item x="764"/>
        <item x="765"/>
        <item x="286"/>
        <item x="766"/>
        <item x="163"/>
        <item x="767"/>
        <item x="768"/>
        <item x="769"/>
        <item x="770"/>
        <item x="972"/>
        <item x="973"/>
        <item x="974"/>
        <item x="164"/>
        <item x="771"/>
        <item x="772"/>
        <item x="773"/>
        <item x="975"/>
        <item x="976"/>
        <item x="774"/>
        <item x="775"/>
        <item x="776"/>
        <item x="777"/>
        <item x="778"/>
        <item x="779"/>
        <item x="165"/>
        <item x="780"/>
        <item x="166"/>
        <item x="781"/>
        <item x="782"/>
        <item x="783"/>
        <item x="784"/>
        <item x="785"/>
        <item x="786"/>
        <item x="167"/>
        <item x="787"/>
        <item x="788"/>
        <item x="789"/>
        <item x="790"/>
        <item x="977"/>
        <item x="791"/>
        <item x="978"/>
        <item x="168"/>
        <item x="792"/>
        <item x="793"/>
        <item x="794"/>
        <item x="795"/>
        <item x="979"/>
        <item x="287"/>
        <item x="796"/>
        <item x="980"/>
        <item x="797"/>
        <item x="169"/>
        <item x="195"/>
        <item x="798"/>
        <item x="288"/>
        <item x="799"/>
        <item x="800"/>
        <item x="801"/>
        <item x="802"/>
        <item x="803"/>
        <item x="804"/>
        <item x="805"/>
        <item x="981"/>
        <item x="806"/>
        <item x="807"/>
        <item x="808"/>
        <item x="982"/>
        <item x="809"/>
        <item x="196"/>
        <item x="810"/>
        <item x="170"/>
        <item x="811"/>
        <item x="812"/>
        <item x="813"/>
        <item x="934"/>
        <item x="814"/>
        <item x="815"/>
        <item x="816"/>
        <item x="171"/>
        <item x="817"/>
        <item x="818"/>
        <item x="983"/>
        <item x="197"/>
        <item x="172"/>
        <item x="984"/>
        <item x="819"/>
        <item x="985"/>
        <item x="986"/>
        <item x="820"/>
        <item x="821"/>
        <item x="987"/>
        <item x="822"/>
        <item x="988"/>
        <item x="989"/>
        <item x="173"/>
        <item x="823"/>
        <item x="824"/>
        <item x="825"/>
        <item x="826"/>
        <item x="174"/>
        <item x="990"/>
        <item x="991"/>
        <item x="175"/>
        <item x="198"/>
        <item x="992"/>
        <item x="199"/>
        <item x="827"/>
        <item x="828"/>
        <item x="993"/>
        <item x="829"/>
        <item x="830"/>
        <item x="831"/>
        <item x="289"/>
        <item x="832"/>
        <item x="200"/>
        <item x="833"/>
        <item x="935"/>
        <item x="201"/>
        <item x="994"/>
        <item x="834"/>
        <item x="835"/>
        <item x="936"/>
        <item x="176"/>
        <item x="836"/>
        <item x="290"/>
        <item x="177"/>
        <item x="178"/>
        <item x="837"/>
        <item x="838"/>
        <item x="291"/>
        <item x="179"/>
        <item x="839"/>
        <item x="840"/>
        <item x="995"/>
        <item x="202"/>
        <item x="937"/>
        <item x="841"/>
        <item x="996"/>
        <item x="842"/>
        <item x="997"/>
        <item x="203"/>
        <item x="204"/>
        <item x="180"/>
        <item x="843"/>
        <item x="181"/>
        <item x="844"/>
        <item x="205"/>
        <item x="845"/>
        <item x="846"/>
        <item x="847"/>
        <item x="998"/>
        <item x="999"/>
        <item x="1000"/>
        <item x="1001"/>
        <item x="848"/>
        <item x="849"/>
        <item x="850"/>
        <item x="851"/>
        <item x="852"/>
        <item x="206"/>
        <item x="853"/>
        <item x="207"/>
        <item x="854"/>
        <item x="1002"/>
        <item x="292"/>
        <item x="1003"/>
        <item x="1004"/>
        <item x="1005"/>
        <item x="855"/>
        <item x="856"/>
        <item x="857"/>
        <item x="858"/>
        <item x="859"/>
        <item x="860"/>
        <item x="861"/>
        <item x="208"/>
        <item x="293"/>
        <item x="862"/>
        <item x="863"/>
        <item x="209"/>
        <item x="1006"/>
        <item x="864"/>
        <item x="210"/>
        <item x="865"/>
        <item x="211"/>
        <item x="866"/>
        <item x="867"/>
        <item x="868"/>
        <item x="869"/>
        <item x="212"/>
        <item x="870"/>
        <item x="871"/>
        <item x="872"/>
        <item x="873"/>
        <item x="1007"/>
        <item x="874"/>
        <item x="875"/>
        <item x="294"/>
        <item x="1008"/>
        <item x="876"/>
        <item x="1009"/>
        <item x="295"/>
        <item x="1010"/>
        <item x="877"/>
        <item x="878"/>
        <item x="1011"/>
        <item x="879"/>
        <item x="296"/>
        <item x="880"/>
        <item x="881"/>
        <item x="882"/>
        <item x="213"/>
        <item x="297"/>
        <item x="883"/>
        <item x="884"/>
        <item x="298"/>
        <item x="214"/>
        <item x="215"/>
        <item x="1012"/>
        <item x="216"/>
        <item x="217"/>
        <item x="885"/>
        <item x="886"/>
        <item x="218"/>
        <item x="1013"/>
        <item x="887"/>
        <item x="219"/>
        <item x="220"/>
        <item x="888"/>
        <item x="889"/>
        <item x="890"/>
        <item x="299"/>
        <item x="221"/>
        <item x="222"/>
        <item x="1014"/>
        <item x="223"/>
        <item x="224"/>
        <item x="1015"/>
        <item x="182"/>
        <item x="891"/>
        <item x="938"/>
        <item x="892"/>
        <item x="893"/>
        <item x="1016"/>
        <item x="894"/>
        <item x="300"/>
        <item x="1017"/>
        <item x="225"/>
        <item x="301"/>
        <item x="183"/>
        <item x="895"/>
        <item x="896"/>
        <item x="184"/>
        <item x="897"/>
        <item x="1018"/>
        <item x="898"/>
        <item x="1019"/>
        <item x="226"/>
        <item x="899"/>
        <item x="227"/>
        <item x="900"/>
        <item x="901"/>
        <item x="902"/>
        <item x="302"/>
        <item x="228"/>
        <item x="903"/>
        <item x="904"/>
        <item x="229"/>
        <item x="905"/>
        <item x="906"/>
        <item x="907"/>
        <item x="908"/>
        <item x="230"/>
        <item x="1020"/>
        <item x="231"/>
        <item x="909"/>
        <item x="1021"/>
        <item x="232"/>
        <item x="233"/>
        <item x="910"/>
        <item x="234"/>
        <item x="1022"/>
        <item x="235"/>
        <item x="1023"/>
        <item x="911"/>
        <item x="912"/>
        <item x="913"/>
        <item x="303"/>
        <item x="914"/>
        <item x="915"/>
        <item x="236"/>
        <item x="237"/>
        <item x="238"/>
        <item x="1024"/>
        <item x="185"/>
        <item x="1025"/>
        <item x="239"/>
        <item x="240"/>
        <item x="916"/>
        <item x="241"/>
        <item x="242"/>
        <item x="243"/>
        <item x="244"/>
        <item x="186"/>
        <item x="917"/>
        <item x="918"/>
        <item x="245"/>
        <item x="919"/>
        <item x="246"/>
        <item x="1026"/>
        <item x="920"/>
        <item x="247"/>
        <item x="1027"/>
        <item x="921"/>
        <item x="1028"/>
        <item x="1029"/>
        <item x="1030"/>
        <item x="922"/>
        <item x="923"/>
        <item x="924"/>
        <item x="925"/>
        <item x="926"/>
        <item x="1031"/>
        <item x="1032"/>
        <item x="927"/>
        <item h="1" x="928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7">
        <item h="1" x="14"/>
        <item x="13"/>
        <item x="12"/>
        <item x="11"/>
        <item x="10"/>
        <item x="9"/>
        <item x="8"/>
        <item h="1" x="7"/>
        <item h="1" x="6"/>
        <item h="1" x="5"/>
        <item h="1" x="4"/>
        <item h="1" x="3"/>
        <item h="1" x="2"/>
        <item h="1" x="1"/>
        <item m="1" x="16"/>
        <item h="1" x="0"/>
        <item h="1" x="15"/>
      </items>
    </pivotField>
    <pivotField compact="0" outline="0" showAll="0" defaultSubtotal="0"/>
    <pivotField axis="axisCol" compact="0" outline="0" multipleItemSelectionAllowed="1" showAll="0" defaultSubtotal="0">
      <items count="5">
        <item x="0"/>
        <item x="2"/>
        <item x="4"/>
        <item x="3"/>
        <item x="1"/>
      </items>
    </pivotField>
    <pivotField axis="axisPage" compact="0" outline="0" multipleItemSelectionAllowed="1" showAll="0" defaultSubtotal="0">
      <items count="7">
        <item x="5"/>
        <item x="2"/>
        <item x="4"/>
        <item x="0"/>
        <item x="1"/>
        <item x="3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138">
    <i>
      <x v="7"/>
    </i>
    <i>
      <x v="8"/>
    </i>
    <i>
      <x v="54"/>
    </i>
    <i>
      <x v="58"/>
    </i>
    <i>
      <x v="85"/>
    </i>
    <i>
      <x v="89"/>
    </i>
    <i>
      <x v="90"/>
    </i>
    <i>
      <x v="97"/>
    </i>
    <i>
      <x v="127"/>
    </i>
    <i>
      <x v="139"/>
    </i>
    <i>
      <x v="158"/>
    </i>
    <i>
      <x v="161"/>
    </i>
    <i>
      <x v="162"/>
    </i>
    <i>
      <x v="186"/>
    </i>
    <i>
      <x v="190"/>
    </i>
    <i>
      <x v="339"/>
    </i>
    <i>
      <x v="340"/>
    </i>
    <i>
      <x v="349"/>
    </i>
    <i>
      <x v="352"/>
    </i>
    <i>
      <x v="354"/>
    </i>
    <i>
      <x v="360"/>
    </i>
    <i>
      <x v="361"/>
    </i>
    <i>
      <x v="449"/>
    </i>
    <i>
      <x v="646"/>
    </i>
    <i>
      <x v="650"/>
    </i>
    <i>
      <x v="655"/>
    </i>
    <i>
      <x v="658"/>
    </i>
    <i>
      <x v="659"/>
    </i>
    <i>
      <x v="660"/>
    </i>
    <i>
      <x v="662"/>
    </i>
    <i>
      <x v="665"/>
    </i>
    <i>
      <x v="667"/>
    </i>
    <i>
      <x v="673"/>
    </i>
    <i>
      <x v="674"/>
    </i>
    <i>
      <x v="676"/>
    </i>
    <i>
      <x v="690"/>
    </i>
    <i>
      <x v="694"/>
    </i>
    <i>
      <x v="792"/>
    </i>
    <i>
      <x v="808"/>
    </i>
    <i>
      <x v="809"/>
    </i>
    <i>
      <x v="816"/>
    </i>
    <i>
      <x v="817"/>
    </i>
    <i>
      <x v="819"/>
    </i>
    <i>
      <x v="829"/>
    </i>
    <i>
      <x v="831"/>
    </i>
    <i>
      <x v="832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4"/>
    </i>
    <i>
      <x v="867"/>
    </i>
    <i>
      <x v="875"/>
    </i>
    <i>
      <x v="876"/>
    </i>
    <i>
      <x v="879"/>
    </i>
    <i>
      <x v="881"/>
    </i>
    <i>
      <x v="883"/>
    </i>
    <i>
      <x v="885"/>
    </i>
    <i>
      <x v="894"/>
    </i>
    <i>
      <x v="895"/>
    </i>
    <i>
      <x v="901"/>
    </i>
    <i>
      <x v="908"/>
    </i>
    <i>
      <x v="911"/>
    </i>
    <i>
      <x v="918"/>
    </i>
    <i>
      <x v="919"/>
    </i>
    <i>
      <x v="922"/>
    </i>
    <i>
      <x v="924"/>
    </i>
    <i>
      <x v="934"/>
    </i>
    <i>
      <x v="938"/>
    </i>
    <i>
      <x v="942"/>
    </i>
    <i>
      <x v="946"/>
    </i>
    <i>
      <x v="958"/>
    </i>
    <i>
      <x v="960"/>
    </i>
    <i>
      <x v="961"/>
    </i>
    <i>
      <x v="970"/>
    </i>
    <i>
      <x v="977"/>
    </i>
    <i>
      <x v="980"/>
    </i>
    <i>
      <x v="982"/>
    </i>
    <i>
      <x v="984"/>
    </i>
    <i>
      <x v="987"/>
    </i>
    <i>
      <x v="993"/>
    </i>
    <i>
      <x v="997"/>
    </i>
    <i>
      <x v="1012"/>
    </i>
    <i>
      <x v="1017"/>
    </i>
    <i>
      <x v="1021"/>
    </i>
    <i>
      <x v="1022"/>
    </i>
    <i>
      <x v="1023"/>
    </i>
    <i>
      <x v="1025"/>
    </i>
    <i>
      <x v="1028"/>
    </i>
    <i>
      <x v="1034"/>
    </i>
    <i>
      <x v="1044"/>
    </i>
    <i>
      <x v="1045"/>
    </i>
    <i>
      <x v="1046"/>
    </i>
    <i>
      <x v="1047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4"/>
    </i>
  </rowItems>
  <colFields count="3">
    <field x="5"/>
    <field x="6"/>
    <field x="12"/>
  </colFields>
  <colItems count="10">
    <i>
      <x/>
      <x/>
      <x/>
    </i>
    <i r="2">
      <x v="3"/>
    </i>
    <i r="1">
      <x v="1"/>
      <x/>
    </i>
    <i r="1">
      <x v="2"/>
      <x/>
    </i>
    <i>
      <x v="1"/>
      <x/>
      <x/>
    </i>
    <i r="1">
      <x v="1"/>
      <x/>
    </i>
    <i r="1">
      <x v="2"/>
      <x/>
    </i>
    <i r="2">
      <x v="1"/>
    </i>
    <i r="2">
      <x v="2"/>
    </i>
    <i r="2">
      <x v="4"/>
    </i>
  </colItems>
  <pageFields count="4">
    <pageField fld="7" hier="-1"/>
    <pageField fld="13" hier="-1"/>
    <pageField fld="4" hier="-1"/>
    <pageField fld="10" hier="-1"/>
  </pageFields>
  <dataFields count="1">
    <dataField name="Max de dH_reg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leau croisé dynamique18" cacheId="0" applyNumberFormats="0" applyBorderFormats="0" applyFontFormats="0" applyPatternFormats="0" applyAlignmentFormats="0" applyWidthHeightFormats="1" dataCaption="Valeurs" updatedVersion="6" minRefreshableVersion="3" useAutoFormatting="1" colGrandTotals="0" itemPrintTitles="1" createdVersion="6" indent="0" outline="1" outlineData="1" multipleFieldFilters="0">
  <location ref="A5:L1062" firstHeaderRow="1" firstDataRow="4" firstDataCol="1" rowPageCount="3" colPageCount="1"/>
  <pivotFields count="51">
    <pivotField axis="axisRow" showAll="0" defaultSubtotal="0">
      <items count="1075">
        <item x="55"/>
        <item x="50"/>
        <item x="20"/>
        <item x="703"/>
        <item x="940"/>
        <item x="794"/>
        <item x="366"/>
        <item x="175"/>
        <item x="174"/>
        <item x="52"/>
        <item x="477"/>
        <item x="776"/>
        <item x="26"/>
        <item x="66"/>
        <item x="82"/>
        <item x="39"/>
        <item x="98"/>
        <item x="27"/>
        <item x="61"/>
        <item x="51"/>
        <item x="108"/>
        <item x="819"/>
        <item x="484"/>
        <item x="46"/>
        <item x="68"/>
        <item x="863"/>
        <item x="912"/>
        <item x="109"/>
        <item x="76"/>
        <item x="131"/>
        <item x="22"/>
        <item x="58"/>
        <item x="35"/>
        <item x="102"/>
        <item x="10"/>
        <item x="64"/>
        <item x="95"/>
        <item x="79"/>
        <item x="62"/>
        <item x="570"/>
        <item x="758"/>
        <item x="598"/>
        <item x="734"/>
        <item x="738"/>
        <item x="426"/>
        <item x="855"/>
        <item x="470"/>
        <item x="499"/>
        <item x="56"/>
        <item x="680"/>
        <item x="91"/>
        <item x="5"/>
        <item x="74"/>
        <item x="78"/>
        <item x="172"/>
        <item x="73"/>
        <item x="80"/>
        <item x="36"/>
        <item x="161"/>
        <item x="31"/>
        <item x="13"/>
        <item x="438"/>
        <item x="722"/>
        <item x="759"/>
        <item x="655"/>
        <item x="849"/>
        <item x="779"/>
        <item x="954"/>
        <item x="930"/>
        <item x="135"/>
        <item x="336"/>
        <item x="883"/>
        <item x="422"/>
        <item x="414"/>
        <item x="118"/>
        <item x="69"/>
        <item x="419"/>
        <item x="755"/>
        <item x="113"/>
        <item x="21"/>
        <item x="352"/>
        <item x="529"/>
        <item x="820"/>
        <item x="654"/>
        <item x="416"/>
        <item x="171"/>
        <item x="614"/>
        <item x="603"/>
        <item x="83"/>
        <item x="160"/>
        <item x="159"/>
        <item x="143"/>
        <item x="32"/>
        <item x="105"/>
        <item x="18"/>
        <item x="41"/>
        <item x="11"/>
        <item x="188"/>
        <item x="60"/>
        <item x="110"/>
        <item x="515"/>
        <item x="396"/>
        <item x="349"/>
        <item x="675"/>
        <item x="310"/>
        <item x="460"/>
        <item x="456"/>
        <item x="632"/>
        <item x="664"/>
        <item x="127"/>
        <item x="87"/>
        <item x="115"/>
        <item x="49"/>
        <item x="94"/>
        <item x="33"/>
        <item x="15"/>
        <item x="126"/>
        <item x="43"/>
        <item x="70"/>
        <item x="90"/>
        <item x="67"/>
        <item x="104"/>
        <item x="9"/>
        <item x="63"/>
        <item x="86"/>
        <item x="25"/>
        <item x="96"/>
        <item x="148"/>
        <item x="1"/>
        <item x="119"/>
        <item x="45"/>
        <item x="2"/>
        <item x="7"/>
        <item x="146"/>
        <item x="44"/>
        <item x="100"/>
        <item x="101"/>
        <item x="132"/>
        <item x="107"/>
        <item x="154"/>
        <item x="936"/>
        <item x="488"/>
        <item x="907"/>
        <item x="839"/>
        <item x="750"/>
        <item x="527"/>
        <item x="430"/>
        <item x="519"/>
        <item x="400"/>
        <item x="762"/>
        <item x="929"/>
        <item x="781"/>
        <item x="932"/>
        <item x="922"/>
        <item x="870"/>
        <item x="698"/>
        <item x="890"/>
        <item x="952"/>
        <item x="170"/>
        <item x="918"/>
        <item x="145"/>
        <item x="173"/>
        <item x="153"/>
        <item x="769"/>
        <item x="661"/>
        <item x="939"/>
        <item x="853"/>
        <item x="24"/>
        <item x="345"/>
        <item x="394"/>
        <item x="607"/>
        <item x="846"/>
        <item x="874"/>
        <item x="739"/>
        <item x="552"/>
        <item x="505"/>
        <item x="914"/>
        <item x="928"/>
        <item x="530"/>
        <item x="53"/>
        <item x="137"/>
        <item x="84"/>
        <item x="88"/>
        <item x="103"/>
        <item x="8"/>
        <item x="129"/>
        <item x="158"/>
        <item x="114"/>
        <item x="72"/>
        <item x="57"/>
        <item x="179"/>
        <item x="14"/>
        <item x="760"/>
        <item x="417"/>
        <item x="624"/>
        <item x="645"/>
        <item x="584"/>
        <item x="666"/>
        <item x="657"/>
        <item x="433"/>
        <item x="797"/>
        <item x="746"/>
        <item x="495"/>
        <item x="483"/>
        <item x="454"/>
        <item x="788"/>
        <item x="462"/>
        <item x="568"/>
        <item x="903"/>
        <item x="904"/>
        <item x="753"/>
        <item x="869"/>
        <item x="831"/>
        <item x="731"/>
        <item x="898"/>
        <item x="615"/>
        <item x="372"/>
        <item x="943"/>
        <item x="896"/>
        <item x="947"/>
        <item x="510"/>
        <item x="644"/>
        <item x="825"/>
        <item x="945"/>
        <item x="832"/>
        <item x="926"/>
        <item x="872"/>
        <item x="663"/>
        <item x="906"/>
        <item x="642"/>
        <item x="707"/>
        <item x="796"/>
        <item x="789"/>
        <item x="71"/>
        <item x="42"/>
        <item x="40"/>
        <item x="6"/>
        <item x="12"/>
        <item x="59"/>
        <item x="30"/>
        <item x="38"/>
        <item x="54"/>
        <item x="34"/>
        <item x="509"/>
        <item x="894"/>
        <item x="557"/>
        <item x="340"/>
        <item x="511"/>
        <item x="330"/>
        <item x="830"/>
        <item x="785"/>
        <item x="351"/>
        <item x="585"/>
        <item x="583"/>
        <item x="915"/>
        <item x="638"/>
        <item x="600"/>
        <item x="441"/>
        <item x="818"/>
        <item x="538"/>
        <item x="333"/>
        <item x="553"/>
        <item x="435"/>
        <item x="693"/>
        <item x="662"/>
        <item x="370"/>
        <item x="591"/>
        <item x="687"/>
        <item x="517"/>
        <item x="503"/>
        <item x="531"/>
        <item x="321"/>
        <item x="742"/>
        <item x="620"/>
        <item x="856"/>
        <item x="466"/>
        <item x="332"/>
        <item x="714"/>
        <item x="787"/>
        <item x="567"/>
        <item x="558"/>
        <item x="341"/>
        <item x="440"/>
        <item x="685"/>
        <item x="949"/>
        <item x="339"/>
        <item x="556"/>
        <item x="375"/>
        <item x="595"/>
        <item x="886"/>
        <item x="565"/>
        <item x="920"/>
        <item x="482"/>
        <item x="627"/>
        <item x="938"/>
        <item x="711"/>
        <item x="566"/>
        <item x="619"/>
        <item x="536"/>
        <item x="385"/>
        <item x="547"/>
        <item x="457"/>
        <item x="790"/>
        <item x="318"/>
        <item x="320"/>
        <item x="913"/>
        <item x="389"/>
        <item x="852"/>
        <item x="761"/>
        <item x="485"/>
        <item x="648"/>
        <item x="773"/>
        <item x="415"/>
        <item x="688"/>
        <item x="838"/>
        <item x="500"/>
        <item x="836"/>
        <item x="751"/>
        <item x="933"/>
        <item x="367"/>
        <item x="507"/>
        <item x="951"/>
        <item x="605"/>
        <item x="533"/>
        <item x="708"/>
        <item x="401"/>
        <item x="427"/>
        <item x="374"/>
        <item x="897"/>
        <item x="347"/>
        <item x="727"/>
        <item x="892"/>
        <item x="550"/>
        <item x="363"/>
        <item x="669"/>
        <item x="899"/>
        <item x="596"/>
        <item x="683"/>
        <item x="574"/>
        <item x="214"/>
        <item x="216"/>
        <item x="780"/>
        <item x="358"/>
        <item x="843"/>
        <item x="766"/>
        <item x="745"/>
        <item x="464"/>
        <item x="395"/>
        <item x="47"/>
        <item x="178"/>
        <item x="546"/>
        <item x="840"/>
        <item x="168"/>
        <item x="964"/>
        <item x="240"/>
        <item x="959"/>
        <item x="962"/>
        <item x="957"/>
        <item x="961"/>
        <item x="958"/>
        <item x="203"/>
        <item x="208"/>
        <item x="960"/>
        <item x="965"/>
        <item x="599"/>
        <item x="652"/>
        <item x="950"/>
        <item x="658"/>
        <item x="809"/>
        <item x="650"/>
        <item x="834"/>
        <item x="514"/>
        <item x="618"/>
        <item x="362"/>
        <item x="449"/>
        <item x="833"/>
        <item x="919"/>
        <item x="882"/>
        <item x="824"/>
        <item x="532"/>
        <item x="778"/>
        <item x="864"/>
        <item x="386"/>
        <item x="752"/>
        <item x="811"/>
        <item x="528"/>
        <item x="888"/>
        <item x="643"/>
        <item x="522"/>
        <item x="873"/>
        <item x="578"/>
        <item x="625"/>
        <item x="425"/>
        <item x="89"/>
        <item x="130"/>
        <item x="795"/>
        <item x="845"/>
        <item x="314"/>
        <item x="97"/>
        <item x="407"/>
        <item x="647"/>
        <item x="747"/>
        <item x="564"/>
        <item x="641"/>
        <item x="487"/>
        <item x="606"/>
        <item x="424"/>
        <item x="563"/>
        <item x="713"/>
        <item x="518"/>
        <item x="376"/>
        <item x="695"/>
        <item x="588"/>
        <item x="432"/>
        <item x="767"/>
        <item x="408"/>
        <item x="356"/>
        <item x="667"/>
        <item x="608"/>
        <item x="393"/>
        <item x="868"/>
        <item x="516"/>
        <item x="439"/>
        <item x="691"/>
        <item x="689"/>
        <item x="813"/>
        <item x="501"/>
        <item x="649"/>
        <item x="754"/>
        <item x="728"/>
        <item x="579"/>
        <item x="436"/>
        <item x="743"/>
        <item x="525"/>
        <item x="337"/>
        <item x="673"/>
        <item x="807"/>
        <item x="569"/>
        <item x="428"/>
        <item x="551"/>
        <item x="854"/>
        <item x="676"/>
        <item x="481"/>
        <item x="828"/>
        <item x="472"/>
        <item x="622"/>
        <item x="774"/>
        <item x="421"/>
        <item x="681"/>
        <item x="213"/>
        <item x="601"/>
        <item x="392"/>
        <item x="944"/>
        <item x="801"/>
        <item x="733"/>
        <item x="560"/>
        <item x="451"/>
        <item x="822"/>
        <item x="455"/>
        <item x="371"/>
        <item x="329"/>
        <item x="409"/>
        <item x="486"/>
        <item x="927"/>
        <item x="786"/>
        <item x="948"/>
        <item x="311"/>
        <item x="478"/>
        <item x="884"/>
        <item x="479"/>
        <item x="679"/>
        <item x="357"/>
        <item x="885"/>
        <item x="829"/>
        <item x="917"/>
        <item x="656"/>
        <item x="377"/>
        <item x="895"/>
        <item x="335"/>
        <item x="612"/>
        <item x="508"/>
        <item x="461"/>
        <item x="715"/>
        <item x="315"/>
        <item x="841"/>
        <item x="3"/>
        <item x="593"/>
        <item x="737"/>
        <item x="610"/>
        <item x="724"/>
        <item x="674"/>
        <item x="442"/>
        <item x="826"/>
        <item x="447"/>
        <item x="468"/>
        <item x="353"/>
        <item x="473"/>
        <item x="361"/>
        <item x="378"/>
        <item x="469"/>
        <item x="628"/>
        <item x="721"/>
        <item x="549"/>
        <item x="720"/>
        <item x="429"/>
        <item x="459"/>
        <item x="866"/>
        <item x="562"/>
        <item x="757"/>
        <item x="373"/>
        <item x="637"/>
        <item x="768"/>
        <item x="636"/>
        <item x="777"/>
        <item x="342"/>
        <item x="765"/>
        <item x="133"/>
        <item x="580"/>
        <item x="355"/>
        <item x="706"/>
        <item x="571"/>
        <item x="925"/>
        <item x="857"/>
        <item x="572"/>
        <item x="879"/>
        <item x="411"/>
        <item x="827"/>
        <item x="726"/>
        <item x="491"/>
        <item x="397"/>
        <item x="626"/>
        <item x="756"/>
        <item x="390"/>
        <item x="391"/>
        <item x="28"/>
        <item x="1072"/>
        <item x="23"/>
        <item x="633"/>
        <item x="526"/>
        <item x="116"/>
        <item x="763"/>
        <item x="506"/>
        <item x="492"/>
        <item x="554"/>
        <item x="480"/>
        <item x="887"/>
        <item x="709"/>
        <item x="784"/>
        <item x="699"/>
        <item x="412"/>
        <item x="817"/>
        <item x="471"/>
        <item x="319"/>
        <item x="671"/>
        <item x="867"/>
        <item x="364"/>
        <item x="476"/>
        <item x="418"/>
        <item x="923"/>
        <item x="542"/>
        <item x="851"/>
        <item x="859"/>
        <item x="474"/>
        <item x="594"/>
        <item x="561"/>
        <item x="122"/>
        <item x="597"/>
        <item x="631"/>
        <item x="911"/>
        <item x="575"/>
        <item x="437"/>
        <item x="862"/>
        <item x="634"/>
        <item x="740"/>
        <item x="821"/>
        <item x="823"/>
        <item x="325"/>
        <item x="686"/>
        <item x="616"/>
        <item x="621"/>
        <item x="559"/>
        <item x="450"/>
        <item x="889"/>
        <item x="729"/>
        <item x="617"/>
        <item x="772"/>
        <item x="805"/>
        <item x="399"/>
        <item x="712"/>
        <item x="475"/>
        <item x="383"/>
        <item x="604"/>
        <item x="665"/>
        <item x="402"/>
        <item x="307"/>
        <item x="764"/>
        <item x="354"/>
        <item x="504"/>
        <item x="792"/>
        <item x="573"/>
        <item x="535"/>
        <item x="690"/>
        <item x="934"/>
        <item x="651"/>
        <item x="513"/>
        <item x="701"/>
        <item x="865"/>
        <item x="590"/>
        <item x="463"/>
        <item x="937"/>
        <item x="324"/>
        <item x="955"/>
        <item x="582"/>
        <item x="793"/>
        <item x="308"/>
        <item x="946"/>
        <item x="537"/>
        <item x="512"/>
        <item x="956"/>
        <item x="692"/>
        <item x="384"/>
        <item x="405"/>
        <item x="348"/>
        <item x="653"/>
        <item x="524"/>
        <item x="710"/>
        <item x="749"/>
        <item x="718"/>
        <item x="490"/>
        <item x="723"/>
        <item x="640"/>
        <item x="496"/>
        <item x="398"/>
        <item x="806"/>
        <item x="446"/>
        <item x="312"/>
        <item x="381"/>
        <item x="343"/>
        <item x="842"/>
        <item x="403"/>
        <item x="587"/>
        <item x="1062"/>
        <item x="1039"/>
        <item x="1063"/>
        <item x="989"/>
        <item x="1057"/>
        <item x="301"/>
        <item x="1002"/>
        <item x="1048"/>
        <item x="1000"/>
        <item x="303"/>
        <item x="1021"/>
        <item x="988"/>
        <item x="991"/>
        <item x="270"/>
        <item x="289"/>
        <item x="976"/>
        <item x="1064"/>
        <item x="283"/>
        <item x="290"/>
        <item x="292"/>
        <item x="1040"/>
        <item x="304"/>
        <item x="1038"/>
        <item x="1050"/>
        <item x="295"/>
        <item x="968"/>
        <item x="305"/>
        <item x="1049"/>
        <item x="984"/>
        <item x="1013"/>
        <item x="1006"/>
        <item x="998"/>
        <item x="296"/>
        <item x="298"/>
        <item x="978"/>
        <item x="277"/>
        <item x="1008"/>
        <item x="997"/>
        <item x="1007"/>
        <item x="1028"/>
        <item x="990"/>
        <item x="994"/>
        <item x="1020"/>
        <item x="993"/>
        <item x="1004"/>
        <item x="982"/>
        <item x="1060"/>
        <item x="983"/>
        <item x="1018"/>
        <item x="293"/>
        <item x="264"/>
        <item x="977"/>
        <item x="1022"/>
        <item x="282"/>
        <item x="995"/>
        <item x="969"/>
        <item x="1015"/>
        <item x="1010"/>
        <item x="815"/>
        <item x="316"/>
        <item x="589"/>
        <item x="410"/>
        <item x="497"/>
        <item x="623"/>
        <item x="0"/>
        <item x="19"/>
        <item x="85"/>
        <item x="635"/>
        <item x="812"/>
        <item x="523"/>
        <item x="77"/>
        <item x="444"/>
        <item x="901"/>
        <item x="702"/>
        <item x="344"/>
        <item x="346"/>
        <item x="678"/>
        <item x="420"/>
        <item x="916"/>
        <item x="48"/>
        <item x="99"/>
        <item x="4"/>
        <item x="791"/>
        <item x="847"/>
        <item x="891"/>
        <item x="498"/>
        <item x="848"/>
        <item x="387"/>
        <item x="382"/>
        <item x="489"/>
        <item x="717"/>
        <item x="322"/>
        <item x="700"/>
        <item x="659"/>
        <item x="338"/>
        <item x="799"/>
        <item x="748"/>
        <item x="630"/>
        <item x="803"/>
        <item x="668"/>
        <item x="502"/>
        <item x="660"/>
        <item x="520"/>
        <item x="858"/>
        <item x="672"/>
        <item x="368"/>
        <item x="704"/>
        <item x="541"/>
        <item x="905"/>
        <item x="545"/>
        <item x="775"/>
        <item x="309"/>
        <item x="452"/>
        <item x="670"/>
        <item x="555"/>
        <item x="770"/>
        <item x="800"/>
        <item x="458"/>
        <item x="639"/>
        <item x="844"/>
        <item x="521"/>
        <item x="327"/>
        <item x="379"/>
        <item x="443"/>
        <item x="431"/>
        <item x="716"/>
        <item x="448"/>
        <item x="413"/>
        <item x="783"/>
        <item x="732"/>
        <item x="543"/>
        <item x="359"/>
        <item x="782"/>
        <item x="935"/>
        <item x="684"/>
        <item x="941"/>
        <item x="534"/>
        <item x="802"/>
        <item x="611"/>
        <item x="544"/>
        <item x="816"/>
        <item x="334"/>
        <item x="539"/>
        <item x="548"/>
        <item x="467"/>
        <item x="744"/>
        <item x="677"/>
        <item x="328"/>
        <item x="705"/>
        <item x="117"/>
        <item x="128"/>
        <item x="186"/>
        <item x="877"/>
        <item x="682"/>
        <item x="921"/>
        <item x="445"/>
        <item x="465"/>
        <item x="581"/>
        <item x="1073"/>
        <item x="850"/>
        <item x="861"/>
        <item x="725"/>
        <item x="323"/>
        <item x="875"/>
        <item x="93"/>
        <item x="697"/>
        <item x="646"/>
        <item x="167"/>
        <item x="182"/>
        <item x="900"/>
        <item x="388"/>
        <item x="134"/>
        <item x="365"/>
        <item x="313"/>
        <item x="65"/>
        <item x="181"/>
        <item x="162"/>
        <item x="771"/>
        <item x="163"/>
        <item x="142"/>
        <item x="92"/>
        <item x="924"/>
        <item x="331"/>
        <item x="423"/>
        <item x="602"/>
        <item x="808"/>
        <item x="735"/>
        <item x="453"/>
        <item x="166"/>
        <item x="493"/>
        <item x="147"/>
        <item x="150"/>
        <item x="878"/>
        <item x="909"/>
        <item x="893"/>
        <item x="123"/>
        <item x="139"/>
        <item x="231"/>
        <item x="242"/>
        <item x="189"/>
        <item x="236"/>
        <item x="215"/>
        <item x="232"/>
        <item x="222"/>
        <item x="247"/>
        <item x="200"/>
        <item x="229"/>
        <item x="219"/>
        <item x="224"/>
        <item x="233"/>
        <item x="207"/>
        <item x="245"/>
        <item x="230"/>
        <item x="211"/>
        <item x="239"/>
        <item x="202"/>
        <item x="237"/>
        <item x="226"/>
        <item x="227"/>
        <item x="244"/>
        <item x="228"/>
        <item x="195"/>
        <item x="1005"/>
        <item x="302"/>
        <item x="1056"/>
        <item x="1055"/>
        <item x="306"/>
        <item x="1024"/>
        <item x="1003"/>
        <item x="741"/>
        <item x="1029"/>
        <item x="979"/>
        <item x="1041"/>
        <item x="1011"/>
        <item x="300"/>
        <item x="281"/>
        <item x="1019"/>
        <item x="1061"/>
        <item x="288"/>
        <item x="259"/>
        <item x="274"/>
        <item x="269"/>
        <item x="285"/>
        <item x="985"/>
        <item x="273"/>
        <item x="1054"/>
        <item x="271"/>
        <item x="987"/>
        <item x="1032"/>
        <item x="1046"/>
        <item x="1017"/>
        <item x="258"/>
        <item x="266"/>
        <item x="192"/>
        <item x="220"/>
        <item x="980"/>
        <item x="252"/>
        <item x="975"/>
        <item x="254"/>
        <item x="253"/>
        <item x="280"/>
        <item x="1043"/>
        <item x="1058"/>
        <item x="1030"/>
        <item x="1047"/>
        <item x="1027"/>
        <item x="257"/>
        <item x="286"/>
        <item x="1052"/>
        <item x="1059"/>
        <item x="278"/>
        <item x="251"/>
        <item x="263"/>
        <item x="1033"/>
        <item x="1025"/>
        <item x="999"/>
        <item x="1026"/>
        <item x="287"/>
        <item x="279"/>
        <item x="1031"/>
        <item x="981"/>
        <item x="299"/>
        <item x="256"/>
        <item x="297"/>
        <item x="974"/>
        <item x="255"/>
        <item x="973"/>
        <item x="992"/>
        <item x="1036"/>
        <item x="1044"/>
        <item x="1034"/>
        <item x="1051"/>
        <item x="1023"/>
        <item x="291"/>
        <item x="972"/>
        <item x="971"/>
        <item x="262"/>
        <item x="294"/>
        <item x="1045"/>
        <item x="260"/>
        <item x="1042"/>
        <item x="276"/>
        <item x="986"/>
        <item x="267"/>
        <item x="1001"/>
        <item x="272"/>
        <item x="970"/>
        <item x="261"/>
        <item x="1014"/>
        <item x="1009"/>
        <item x="1016"/>
        <item x="265"/>
        <item x="1035"/>
        <item x="268"/>
        <item x="996"/>
        <item x="1053"/>
        <item x="1037"/>
        <item x="275"/>
        <item x="1012"/>
        <item x="284"/>
        <item x="250"/>
        <item x="694"/>
        <item x="111"/>
        <item x="860"/>
        <item x="814"/>
        <item x="953"/>
        <item x="730"/>
        <item x="880"/>
        <item x="369"/>
        <item x="156"/>
        <item x="317"/>
        <item x="609"/>
        <item x="576"/>
        <item x="125"/>
        <item x="380"/>
        <item x="120"/>
        <item x="176"/>
        <item x="1071"/>
        <item x="106"/>
        <item x="165"/>
        <item x="140"/>
        <item x="155"/>
        <item x="876"/>
        <item x="177"/>
        <item x="1074"/>
        <item x="942"/>
        <item x="151"/>
        <item x="1069"/>
        <item x="1070"/>
        <item x="1067"/>
        <item x="1068"/>
        <item x="1065"/>
        <item x="187"/>
        <item x="837"/>
        <item x="350"/>
        <item x="75"/>
        <item x="185"/>
        <item x="629"/>
        <item x="696"/>
        <item x="29"/>
        <item x="124"/>
        <item x="112"/>
        <item x="810"/>
        <item x="736"/>
        <item x="586"/>
        <item x="910"/>
        <item x="908"/>
        <item x="719"/>
        <item x="902"/>
        <item x="613"/>
        <item x="931"/>
        <item x="184"/>
        <item x="577"/>
        <item x="804"/>
        <item x="871"/>
        <item x="540"/>
        <item x="149"/>
        <item x="798"/>
        <item x="37"/>
        <item x="16"/>
        <item x="183"/>
        <item x="180"/>
        <item x="152"/>
        <item x="144"/>
        <item x="157"/>
        <item x="404"/>
        <item x="835"/>
        <item x="164"/>
        <item x="881"/>
        <item x="121"/>
        <item x="434"/>
        <item x="1066"/>
        <item x="17"/>
        <item x="169"/>
        <item x="81"/>
        <item x="141"/>
        <item x="136"/>
        <item x="406"/>
        <item x="138"/>
        <item x="360"/>
        <item x="326"/>
        <item x="592"/>
        <item x="494"/>
        <item x="225"/>
        <item x="223"/>
        <item x="249"/>
        <item x="218"/>
        <item x="190"/>
        <item x="193"/>
        <item x="248"/>
        <item x="196"/>
        <item x="198"/>
        <item x="212"/>
        <item x="209"/>
        <item x="235"/>
        <item x="241"/>
        <item x="194"/>
        <item x="243"/>
        <item x="191"/>
        <item x="197"/>
        <item x="217"/>
        <item x="238"/>
        <item x="221"/>
        <item x="205"/>
        <item x="199"/>
        <item x="234"/>
        <item x="206"/>
        <item x="201"/>
        <item x="204"/>
        <item x="210"/>
        <item x="967"/>
        <item x="966"/>
        <item x="963"/>
        <item x="246"/>
      </items>
    </pivotField>
    <pivotField showAll="0" defaultSubtotal="0"/>
    <pivotField showAll="0" defaultSubtotal="0"/>
    <pivotField showAll="0" defaultSubtotal="0"/>
    <pivotField axis="axisPage" multipleItemSelectionAllowed="1" showAll="0" defaultSubtotal="0">
      <items count="3">
        <item x="0"/>
        <item x="1"/>
        <item h="1" x="2"/>
      </items>
    </pivotField>
    <pivotField axis="axisCol" showAll="0" defaultSubtotal="0">
      <items count="2">
        <item x="1"/>
        <item x="0"/>
      </items>
    </pivotField>
    <pivotField axis="axisCol" showAll="0" defaultSubtotal="0">
      <items count="3">
        <item x="0"/>
        <item x="1"/>
        <item x="2"/>
      </items>
    </pivotField>
    <pivotField showAll="0" defaultSubtotal="0"/>
    <pivotField showAll="0" defaultSubtotal="0"/>
    <pivotField axis="axisPage" dataField="1" multipleItemSelectionAllowed="1" showAll="0" defaultSubtotal="0">
      <items count="1023">
        <item x="841"/>
        <item x="850"/>
        <item x="121"/>
        <item x="145"/>
        <item x="959"/>
        <item x="756"/>
        <item x="199"/>
        <item x="243"/>
        <item x="809"/>
        <item x="1006"/>
        <item x="235"/>
        <item x="1010"/>
        <item x="221"/>
        <item x="290"/>
        <item x="838"/>
        <item x="226"/>
        <item x="208"/>
        <item x="207"/>
        <item x="114"/>
        <item x="775"/>
        <item x="188"/>
        <item x="300"/>
        <item x="980"/>
        <item x="194"/>
        <item x="218"/>
        <item x="197"/>
        <item x="201"/>
        <item x="1008"/>
        <item x="851"/>
        <item x="229"/>
        <item x="837"/>
        <item x="874"/>
        <item x="225"/>
        <item x="822"/>
        <item x="223"/>
        <item x="190"/>
        <item x="241"/>
        <item x="859"/>
        <item x="210"/>
        <item x="195"/>
        <item x="118"/>
        <item x="896"/>
        <item x="227"/>
        <item x="821"/>
        <item x="217"/>
        <item x="209"/>
        <item x="844"/>
        <item x="230"/>
        <item x="282"/>
        <item x="819"/>
        <item x="925"/>
        <item x="993"/>
        <item x="204"/>
        <item x="840"/>
        <item x="860"/>
        <item x="200"/>
        <item x="854"/>
        <item x="238"/>
        <item x="246"/>
        <item x="830"/>
        <item x="228"/>
        <item x="283"/>
        <item x="800"/>
        <item x="233"/>
        <item x="102"/>
        <item x="915"/>
        <item x="303"/>
        <item x="203"/>
        <item x="920"/>
        <item x="1003"/>
        <item x="792"/>
        <item x="919"/>
        <item x="219"/>
        <item x="853"/>
        <item x="236"/>
        <item x="810"/>
        <item x="916"/>
        <item x="873"/>
        <item x="839"/>
        <item x="202"/>
        <item x="240"/>
        <item x="793"/>
        <item x="222"/>
        <item x="1004"/>
        <item x="206"/>
        <item x="1001"/>
        <item x="862"/>
        <item x="856"/>
        <item x="855"/>
        <item x="889"/>
        <item x="779"/>
        <item x="180"/>
        <item x="232"/>
        <item x="301"/>
        <item x="129"/>
        <item x="244"/>
        <item x="1019"/>
        <item x="782"/>
        <item x="911"/>
        <item x="304"/>
        <item x="921"/>
        <item x="147"/>
        <item x="196"/>
        <item x="768"/>
        <item x="126"/>
        <item x="302"/>
        <item x="198"/>
        <item x="780"/>
        <item x="245"/>
        <item x="4"/>
        <item x="843"/>
        <item x="128"/>
        <item x="834"/>
        <item x="237"/>
        <item x="923"/>
        <item x="52"/>
        <item x="842"/>
        <item x="604"/>
        <item x="211"/>
        <item x="661"/>
        <item x="247"/>
        <item x="871"/>
        <item x="987"/>
        <item x="924"/>
        <item x="130"/>
        <item x="867"/>
        <item x="824"/>
        <item x="801"/>
        <item x="639"/>
        <item x="813"/>
        <item x="922"/>
        <item x="917"/>
        <item x="19"/>
        <item x="215"/>
        <item x="674"/>
        <item x="1005"/>
        <item x="767"/>
        <item x="806"/>
        <item x="986"/>
        <item x="796"/>
        <item x="234"/>
        <item x="216"/>
        <item x="212"/>
        <item x="615"/>
        <item x="531"/>
        <item x="184"/>
        <item x="907"/>
        <item x="159"/>
        <item x="770"/>
        <item x="847"/>
        <item x="239"/>
        <item x="818"/>
        <item x="918"/>
        <item x="99"/>
        <item x="596"/>
        <item x="109"/>
        <item x="699"/>
        <item x="205"/>
        <item x="764"/>
        <item x="164"/>
        <item x="186"/>
        <item x="769"/>
        <item x="220"/>
        <item x="815"/>
        <item x="136"/>
        <item x="214"/>
        <item x="65"/>
        <item x="248"/>
        <item x="954"/>
        <item x="857"/>
        <item x="774"/>
        <item x="881"/>
        <item x="433"/>
        <item x="584"/>
        <item x="708"/>
        <item x="33"/>
        <item x="677"/>
        <item x="828"/>
        <item x="36"/>
        <item x="937"/>
        <item x="698"/>
        <item x="296"/>
        <item x="761"/>
        <item x="181"/>
        <item x="213"/>
        <item x="790"/>
        <item x="966"/>
        <item x="98"/>
        <item x="167"/>
        <item x="777"/>
        <item x="795"/>
        <item x="823"/>
        <item x="134"/>
        <item x="852"/>
        <item x="1011"/>
        <item x="1012"/>
        <item x="81"/>
        <item x="410"/>
        <item x="178"/>
        <item x="963"/>
        <item x="912"/>
        <item x="740"/>
        <item x="902"/>
        <item x="656"/>
        <item x="173"/>
        <item x="543"/>
        <item x="425"/>
        <item x="506"/>
        <item x="71"/>
        <item x="55"/>
        <item x="849"/>
        <item x="811"/>
        <item x="702"/>
        <item x="870"/>
        <item x="465"/>
        <item x="522"/>
        <item x="1009"/>
        <item x="625"/>
        <item x="94"/>
        <item x="886"/>
        <item x="709"/>
        <item x="895"/>
        <item x="684"/>
        <item x="495"/>
        <item x="712"/>
        <item x="835"/>
        <item x="735"/>
        <item x="117"/>
        <item x="115"/>
        <item x="501"/>
        <item x="545"/>
        <item x="376"/>
        <item x="906"/>
        <item x="299"/>
        <item x="370"/>
        <item x="446"/>
        <item x="723"/>
        <item x="20"/>
        <item x="70"/>
        <item x="516"/>
        <item x="647"/>
        <item x="523"/>
        <item x="499"/>
        <item x="289"/>
        <item x="95"/>
        <item x="537"/>
        <item x="21"/>
        <item x="278"/>
        <item x="695"/>
        <item x="967"/>
        <item x="587"/>
        <item x="573"/>
        <item x="416"/>
        <item x="383"/>
        <item x="748"/>
        <item x="971"/>
        <item x="679"/>
        <item x="29"/>
        <item x="1007"/>
        <item x="467"/>
        <item x="788"/>
        <item x="27"/>
        <item x="409"/>
        <item x="160"/>
        <item x="868"/>
        <item x="606"/>
        <item x="618"/>
        <item x="490"/>
        <item x="427"/>
        <item x="47"/>
        <item x="558"/>
        <item x="373"/>
        <item x="361"/>
        <item x="442"/>
        <item x="865"/>
        <item x="707"/>
        <item x="60"/>
        <item x="372"/>
        <item x="689"/>
        <item x="880"/>
        <item x="392"/>
        <item x="538"/>
        <item x="594"/>
        <item x="622"/>
        <item x="45"/>
        <item x="509"/>
        <item x="176"/>
        <item x="614"/>
        <item x="231"/>
        <item x="733"/>
        <item x="760"/>
        <item x="49"/>
        <item x="981"/>
        <item x="663"/>
        <item x="996"/>
        <item x="660"/>
        <item x="342"/>
        <item x="554"/>
        <item x="158"/>
        <item x="599"/>
        <item x="462"/>
        <item x="616"/>
        <item x="741"/>
        <item x="572"/>
        <item x="1018"/>
        <item x="252"/>
        <item x="293"/>
        <item x="551"/>
        <item x="517"/>
        <item x="224"/>
        <item x="330"/>
        <item x="820"/>
        <item x="242"/>
        <item x="664"/>
        <item x="731"/>
        <item x="564"/>
        <item x="179"/>
        <item x="936"/>
        <item x="487"/>
        <item x="312"/>
        <item x="944"/>
        <item x="613"/>
        <item x="407"/>
        <item x="590"/>
        <item x="54"/>
        <item x="968"/>
        <item x="657"/>
        <item x="552"/>
        <item x="489"/>
        <item x="450"/>
        <item x="546"/>
        <item x="187"/>
        <item x="984"/>
        <item x="610"/>
        <item x="174"/>
        <item x="897"/>
        <item x="742"/>
        <item x="533"/>
        <item x="476"/>
        <item x="189"/>
        <item x="784"/>
        <item x="333"/>
        <item x="438"/>
        <item x="353"/>
        <item x="448"/>
        <item x="691"/>
        <item x="441"/>
        <item x="108"/>
        <item x="408"/>
        <item x="277"/>
        <item x="1002"/>
        <item x="998"/>
        <item x="124"/>
        <item x="384"/>
        <item x="101"/>
        <item x="16"/>
        <item x="484"/>
        <item x="161"/>
        <item x="802"/>
        <item x="783"/>
        <item x="32"/>
        <item x="74"/>
        <item x="958"/>
        <item x="454"/>
        <item x="169"/>
        <item x="10"/>
        <item x="629"/>
        <item x="31"/>
        <item x="540"/>
        <item x="343"/>
        <item x="153"/>
        <item x="23"/>
        <item x="569"/>
        <item x="0"/>
        <item x="97"/>
        <item x="30"/>
        <item x="53"/>
        <item x="631"/>
        <item x="402"/>
        <item x="192"/>
        <item x="991"/>
        <item x="434"/>
        <item x="358"/>
        <item x="177"/>
        <item x="747"/>
        <item x="636"/>
        <item x="719"/>
        <item x="730"/>
        <item x="166"/>
        <item x="510"/>
        <item x="185"/>
        <item x="736"/>
        <item x="267"/>
        <item x="791"/>
        <item x="994"/>
        <item x="61"/>
        <item x="483"/>
        <item x="807"/>
        <item x="440"/>
        <item x="17"/>
        <item x="641"/>
        <item x="976"/>
        <item x="681"/>
        <item x="51"/>
        <item x="90"/>
        <item x="395"/>
        <item x="597"/>
        <item x="568"/>
        <item x="721"/>
        <item x="624"/>
        <item x="399"/>
        <item x="57"/>
        <item x="755"/>
        <item x="846"/>
        <item x="355"/>
        <item x="365"/>
        <item x="168"/>
        <item x="605"/>
        <item x="567"/>
        <item x="579"/>
        <item x="662"/>
        <item x="349"/>
        <item x="1021"/>
        <item x="78"/>
        <item x="535"/>
        <item x="778"/>
        <item x="25"/>
        <item x="91"/>
        <item x="903"/>
        <item x="990"/>
        <item x="345"/>
        <item x="453"/>
        <item x="898"/>
        <item x="858"/>
        <item x="737"/>
        <item x="754"/>
        <item x="861"/>
        <item x="727"/>
        <item x="969"/>
        <item x="69"/>
        <item x="141"/>
        <item x="598"/>
        <item x="405"/>
        <item x="348"/>
        <item x="713"/>
        <item x="949"/>
        <item x="872"/>
        <item x="829"/>
        <item x="628"/>
        <item x="63"/>
        <item x="669"/>
        <item x="162"/>
        <item x="592"/>
        <item x="42"/>
        <item x="794"/>
        <item x="667"/>
        <item x="939"/>
        <item x="581"/>
        <item x="603"/>
        <item x="952"/>
        <item x="497"/>
        <item x="697"/>
        <item x="530"/>
        <item x="901"/>
        <item x="734"/>
        <item x="379"/>
        <item x="714"/>
        <item x="366"/>
        <item x="381"/>
        <item x="797"/>
        <item x="315"/>
        <item x="726"/>
        <item x="75"/>
        <item x="899"/>
        <item x="744"/>
        <item x="415"/>
        <item x="826"/>
        <item x="927"/>
        <item x="50"/>
        <item x="308"/>
        <item x="913"/>
        <item x="503"/>
        <item x="105"/>
        <item x="666"/>
        <item x="602"/>
        <item x="977"/>
        <item x="943"/>
        <item x="436"/>
        <item x="359"/>
        <item x="863"/>
        <item x="635"/>
        <item x="22"/>
        <item x="979"/>
        <item x="653"/>
        <item x="547"/>
        <item x="144"/>
        <item x="752"/>
        <item x="457"/>
        <item x="888"/>
        <item x="123"/>
        <item x="396"/>
        <item x="404"/>
        <item x="928"/>
        <item x="696"/>
        <item x="982"/>
        <item x="125"/>
        <item x="607"/>
        <item x="35"/>
        <item x="577"/>
        <item x="646"/>
        <item x="479"/>
        <item x="827"/>
        <item x="319"/>
        <item x="143"/>
        <item x="326"/>
        <item x="62"/>
        <item x="975"/>
        <item x="973"/>
        <item x="64"/>
        <item x="460"/>
        <item x="417"/>
        <item x="518"/>
        <item x="957"/>
        <item x="720"/>
        <item x="56"/>
        <item x="474"/>
        <item x="508"/>
        <item x="258"/>
        <item x="111"/>
        <item x="356"/>
        <item x="591"/>
        <item x="67"/>
        <item x="473"/>
        <item x="430"/>
        <item x="445"/>
        <item x="565"/>
        <item x="654"/>
        <item x="191"/>
        <item x="891"/>
        <item x="391"/>
        <item x="588"/>
        <item x="687"/>
        <item x="89"/>
        <item x="879"/>
        <item x="389"/>
        <item x="905"/>
        <item x="688"/>
        <item x="553"/>
        <item x="955"/>
        <item x="264"/>
        <item x="88"/>
        <item x="644"/>
        <item x="620"/>
        <item x="337"/>
        <item x="623"/>
        <item x="481"/>
        <item x="608"/>
        <item x="845"/>
        <item x="560"/>
        <item x="364"/>
        <item x="171"/>
        <item x="297"/>
        <item x="995"/>
        <item x="305"/>
        <item x="390"/>
        <item x="772"/>
        <item x="883"/>
        <item x="449"/>
        <item x="157"/>
        <item x="468"/>
        <item x="498"/>
        <item x="542"/>
        <item x="5"/>
        <item x="286"/>
        <item x="385"/>
        <item x="765"/>
        <item x="500"/>
        <item x="11"/>
        <item x="437"/>
        <item x="525"/>
        <item x="274"/>
        <item x="632"/>
        <item x="512"/>
        <item x="486"/>
        <item x="683"/>
        <item x="1016"/>
        <item x="72"/>
        <item x="494"/>
        <item x="38"/>
        <item x="151"/>
        <item x="2"/>
        <item x="478"/>
        <item x="253"/>
        <item x="690"/>
        <item x="339"/>
        <item x="92"/>
        <item x="759"/>
        <item x="268"/>
        <item x="3"/>
        <item x="710"/>
        <item x="79"/>
        <item x="864"/>
        <item x="728"/>
        <item x="781"/>
        <item x="514"/>
        <item x="787"/>
        <item x="675"/>
        <item x="461"/>
        <item x="443"/>
        <item x="619"/>
        <item x="163"/>
        <item x="262"/>
        <item x="722"/>
        <item x="634"/>
        <item x="866"/>
        <item x="890"/>
        <item x="751"/>
        <item x="307"/>
        <item x="412"/>
        <item x="945"/>
        <item x="419"/>
        <item x="426"/>
        <item x="464"/>
        <item x="536"/>
        <item x="107"/>
        <item x="413"/>
        <item x="287"/>
        <item x="172"/>
        <item x="559"/>
        <item x="263"/>
        <item x="1000"/>
        <item x="255"/>
        <item x="652"/>
        <item x="988"/>
        <item x="323"/>
        <item x="133"/>
        <item x="758"/>
        <item x="357"/>
        <item x="1017"/>
        <item x="682"/>
        <item x="259"/>
        <item x="269"/>
        <item x="550"/>
        <item x="26"/>
        <item x="750"/>
        <item x="700"/>
        <item x="948"/>
        <item x="692"/>
        <item x="798"/>
        <item x="718"/>
        <item x="43"/>
        <item x="273"/>
        <item x="686"/>
        <item x="142"/>
        <item x="643"/>
        <item x="611"/>
        <item x="471"/>
        <item x="786"/>
        <item x="363"/>
        <item x="328"/>
        <item x="40"/>
        <item x="799"/>
        <item x="814"/>
        <item x="346"/>
        <item x="711"/>
        <item x="832"/>
        <item x="548"/>
        <item x="877"/>
        <item x="694"/>
        <item x="150"/>
        <item x="334"/>
        <item x="382"/>
        <item x="1020"/>
        <item x="601"/>
        <item x="676"/>
        <item x="582"/>
        <item x="515"/>
        <item x="640"/>
        <item x="773"/>
        <item x="281"/>
        <item x="66"/>
        <item x="9"/>
        <item x="904"/>
        <item x="24"/>
        <item x="431"/>
        <item x="132"/>
        <item x="672"/>
        <item x="14"/>
        <item x="139"/>
        <item x="763"/>
        <item x="942"/>
        <item x="893"/>
        <item x="997"/>
        <item x="175"/>
        <item x="612"/>
        <item x="575"/>
        <item x="271"/>
        <item x="28"/>
        <item x="73"/>
        <item x="18"/>
        <item x="961"/>
        <item x="352"/>
        <item x="254"/>
        <item x="680"/>
        <item x="279"/>
        <item x="122"/>
        <item x="165"/>
        <item x="306"/>
        <item x="388"/>
        <item x="964"/>
        <item x="261"/>
        <item x="757"/>
        <item x="892"/>
        <item x="406"/>
        <item x="311"/>
        <item x="738"/>
        <item x="908"/>
        <item x="940"/>
        <item x="626"/>
        <item x="659"/>
        <item x="946"/>
        <item x="270"/>
        <item x="485"/>
        <item x="673"/>
        <item x="351"/>
        <item x="397"/>
        <item x="833"/>
        <item x="284"/>
        <item x="789"/>
        <item x="539"/>
        <item x="146"/>
        <item x="110"/>
        <item x="394"/>
        <item x="249"/>
        <item x="716"/>
        <item x="941"/>
        <item x="324"/>
        <item x="678"/>
        <item x="894"/>
        <item x="6"/>
        <item x="12"/>
        <item x="534"/>
        <item x="884"/>
        <item x="414"/>
        <item x="332"/>
        <item x="703"/>
        <item x="953"/>
        <item x="41"/>
        <item x="152"/>
        <item x="561"/>
        <item x="288"/>
        <item x="170"/>
        <item x="848"/>
        <item x="488"/>
        <item x="336"/>
        <item x="322"/>
        <item x="732"/>
        <item x="932"/>
        <item x="532"/>
        <item x="816"/>
        <item x="367"/>
        <item x="878"/>
        <item x="420"/>
        <item x="140"/>
        <item x="869"/>
        <item x="398"/>
        <item x="875"/>
        <item x="885"/>
        <item x="557"/>
        <item x="371"/>
        <item x="428"/>
        <item x="148"/>
        <item x="475"/>
        <item x="585"/>
        <item x="156"/>
        <item x="149"/>
        <item x="447"/>
        <item x="34"/>
        <item x="82"/>
        <item x="451"/>
        <item x="265"/>
        <item x="549"/>
        <item x="193"/>
        <item x="658"/>
        <item x="929"/>
        <item x="182"/>
        <item x="586"/>
        <item x="477"/>
        <item x="86"/>
        <item x="724"/>
        <item x="344"/>
        <item x="368"/>
        <item x="529"/>
        <item x="421"/>
        <item x="950"/>
        <item x="285"/>
        <item x="914"/>
        <item x="250"/>
        <item x="260"/>
        <item x="504"/>
        <item x="762"/>
        <item x="458"/>
        <item x="715"/>
        <item x="519"/>
        <item x="876"/>
        <item x="805"/>
        <item x="350"/>
        <item x="68"/>
        <item x="938"/>
        <item x="463"/>
        <item x="354"/>
        <item x="127"/>
        <item x="983"/>
        <item x="435"/>
        <item x="685"/>
        <item x="887"/>
        <item x="1015"/>
        <item x="544"/>
        <item x="472"/>
        <item x="900"/>
        <item x="1014"/>
        <item x="275"/>
        <item x="44"/>
        <item x="313"/>
        <item x="910"/>
        <item x="39"/>
        <item x="933"/>
        <item x="649"/>
        <item x="8"/>
        <item x="671"/>
        <item x="951"/>
        <item x="526"/>
        <item x="251"/>
        <item x="617"/>
        <item x="808"/>
        <item x="974"/>
        <item x="1022"/>
        <item x="831"/>
        <item x="511"/>
        <item x="999"/>
        <item x="693"/>
        <item x="452"/>
        <item x="135"/>
        <item x="7"/>
        <item x="627"/>
        <item x="298"/>
        <item x="935"/>
        <item x="960"/>
        <item x="978"/>
        <item x="429"/>
        <item x="992"/>
        <item x="400"/>
        <item x="294"/>
        <item x="338"/>
        <item x="541"/>
        <item x="729"/>
        <item x="13"/>
        <item x="645"/>
        <item x="424"/>
        <item x="555"/>
        <item x="739"/>
        <item x="562"/>
        <item x="717"/>
        <item x="836"/>
        <item x="785"/>
        <item x="469"/>
        <item x="1"/>
        <item x="480"/>
        <item x="375"/>
        <item x="580"/>
        <item x="93"/>
        <item x="137"/>
        <item x="563"/>
        <item x="403"/>
        <item x="502"/>
        <item x="378"/>
        <item x="704"/>
        <item x="804"/>
        <item x="362"/>
        <item x="257"/>
        <item x="100"/>
        <item x="595"/>
        <item x="642"/>
        <item x="931"/>
        <item x="650"/>
        <item x="76"/>
        <item x="578"/>
        <item x="84"/>
        <item x="930"/>
        <item x="583"/>
        <item x="295"/>
        <item x="496"/>
        <item x="85"/>
        <item x="527"/>
        <item x="670"/>
        <item x="316"/>
        <item x="609"/>
        <item x="280"/>
        <item x="444"/>
        <item x="387"/>
        <item x="576"/>
        <item x="705"/>
        <item x="571"/>
        <item x="318"/>
        <item x="706"/>
        <item x="309"/>
        <item x="341"/>
        <item x="386"/>
        <item x="377"/>
        <item x="329"/>
        <item x="524"/>
        <item x="753"/>
        <item x="637"/>
        <item x="812"/>
        <item x="817"/>
        <item x="556"/>
        <item x="423"/>
        <item x="439"/>
        <item x="970"/>
        <item x="80"/>
        <item x="648"/>
        <item x="317"/>
        <item x="743"/>
        <item x="725"/>
        <item x="401"/>
        <item x="593"/>
        <item x="589"/>
        <item x="749"/>
        <item x="455"/>
        <item x="59"/>
        <item x="360"/>
        <item x="825"/>
        <item x="374"/>
        <item x="83"/>
        <item x="321"/>
        <item x="331"/>
        <item x="37"/>
        <item x="882"/>
        <item x="638"/>
        <item x="77"/>
        <item x="138"/>
        <item x="314"/>
        <item x="701"/>
        <item x="803"/>
        <item x="418"/>
        <item x="520"/>
        <item x="651"/>
        <item x="103"/>
        <item x="369"/>
        <item x="48"/>
        <item x="1013"/>
        <item x="46"/>
        <item x="310"/>
        <item x="989"/>
        <item x="113"/>
        <item x="104"/>
        <item x="633"/>
        <item x="119"/>
        <item x="456"/>
        <item x="521"/>
        <item x="947"/>
        <item x="380"/>
        <item x="570"/>
        <item x="432"/>
        <item x="668"/>
        <item x="335"/>
        <item x="665"/>
        <item x="926"/>
        <item x="327"/>
        <item x="272"/>
        <item x="482"/>
        <item x="466"/>
        <item x="493"/>
        <item x="320"/>
        <item x="291"/>
        <item x="956"/>
        <item x="154"/>
        <item x="422"/>
        <item x="574"/>
        <item x="600"/>
        <item x="116"/>
        <item x="507"/>
        <item x="505"/>
        <item x="266"/>
        <item x="120"/>
        <item x="96"/>
        <item x="566"/>
        <item x="459"/>
        <item x="470"/>
        <item x="746"/>
        <item x="276"/>
        <item x="155"/>
        <item x="256"/>
        <item x="965"/>
        <item x="972"/>
        <item x="513"/>
        <item x="491"/>
        <item x="183"/>
        <item x="411"/>
        <item x="630"/>
        <item x="962"/>
        <item x="766"/>
        <item x="15"/>
        <item x="934"/>
        <item x="131"/>
        <item x="655"/>
        <item x="58"/>
        <item x="393"/>
        <item x="492"/>
        <item x="87"/>
        <item x="909"/>
        <item x="325"/>
        <item x="528"/>
        <item x="776"/>
        <item x="985"/>
        <item x="347"/>
        <item x="292"/>
        <item x="340"/>
        <item x="745"/>
        <item x="771"/>
        <item x="106"/>
        <item x="621"/>
        <item h="1" x="112"/>
      </items>
    </pivotField>
    <pivotField axis="axisPage" multipleItemSelectionAllowed="1" showAll="0" defaultSubtotal="0">
      <items count="17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m="1" x="16"/>
        <item x="0"/>
        <item x="15"/>
      </items>
    </pivotField>
    <pivotField showAll="0" defaultSubtotal="0"/>
    <pivotField axis="axisCol" showAll="0" defaultSubtotal="0">
      <items count="5">
        <item x="0"/>
        <item x="2"/>
        <item x="4"/>
        <item x="3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9"/>
    </i>
    <i>
      <x v="80"/>
    </i>
    <i>
      <x v="81"/>
    </i>
    <i>
      <x v="82"/>
    </i>
    <i>
      <x v="83"/>
    </i>
    <i>
      <x v="84"/>
    </i>
    <i>
      <x v="85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4"/>
    </i>
    <i>
      <x v="195"/>
    </i>
    <i>
      <x v="196"/>
    </i>
    <i>
      <x v="197"/>
    </i>
    <i>
      <x v="198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9"/>
    </i>
    <i>
      <x v="980"/>
    </i>
    <i>
      <x v="981"/>
    </i>
    <i>
      <x v="982"/>
    </i>
    <i>
      <x v="983"/>
    </i>
    <i>
      <x v="984"/>
    </i>
    <i>
      <x v="986"/>
    </i>
    <i>
      <x v="987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 t="grand">
      <x/>
    </i>
  </rowItems>
  <colFields count="3">
    <field x="5"/>
    <field x="6"/>
    <field x="12"/>
  </colFields>
  <colItems count="11">
    <i>
      <x/>
      <x/>
      <x/>
    </i>
    <i r="1">
      <x v="1"/>
      <x/>
    </i>
    <i r="2">
      <x v="3"/>
    </i>
    <i r="1">
      <x v="2"/>
      <x/>
    </i>
    <i>
      <x v="1"/>
      <x/>
      <x/>
    </i>
    <i r="2">
      <x v="1"/>
    </i>
    <i r="2">
      <x v="2"/>
    </i>
    <i r="2">
      <x v="3"/>
    </i>
    <i r="2">
      <x v="4"/>
    </i>
    <i r="1">
      <x v="1"/>
      <x/>
    </i>
    <i r="1">
      <x v="2"/>
      <x/>
    </i>
  </colItems>
  <pageFields count="3">
    <pageField fld="10" hier="-1"/>
    <pageField fld="9" hier="-1"/>
    <pageField fld="4" hier="-1"/>
  </pageFields>
  <dataFields count="1">
    <dataField name="Somme de d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leau croisé dynamique18" cacheId="0" applyNumberFormats="0" applyBorderFormats="0" applyFontFormats="0" applyPatternFormats="0" applyAlignmentFormats="0" applyWidthHeightFormats="1" dataCaption="Valeurs" updatedVersion="6" minRefreshableVersion="3" useAutoFormatting="1" colGrandTotals="0" itemPrintTitles="1" createdVersion="6" indent="0" outline="1" outlineData="1" multipleFieldFilters="0">
  <location ref="A5:L315" firstHeaderRow="1" firstDataRow="4" firstDataCol="1" rowPageCount="3" colPageCount="1"/>
  <pivotFields count="51">
    <pivotField axis="axisRow" showAll="0" defaultSubtotal="0">
      <items count="1075">
        <item x="55"/>
        <item x="50"/>
        <item x="20"/>
        <item x="703"/>
        <item x="940"/>
        <item x="794"/>
        <item x="366"/>
        <item x="175"/>
        <item x="174"/>
        <item x="52"/>
        <item x="477"/>
        <item x="776"/>
        <item x="26"/>
        <item x="66"/>
        <item x="82"/>
        <item x="39"/>
        <item x="98"/>
        <item x="27"/>
        <item x="61"/>
        <item x="51"/>
        <item x="108"/>
        <item x="819"/>
        <item x="484"/>
        <item x="46"/>
        <item x="68"/>
        <item x="863"/>
        <item x="912"/>
        <item x="109"/>
        <item x="76"/>
        <item x="131"/>
        <item x="22"/>
        <item x="58"/>
        <item x="35"/>
        <item x="102"/>
        <item x="10"/>
        <item x="64"/>
        <item x="95"/>
        <item x="79"/>
        <item x="62"/>
        <item x="570"/>
        <item x="758"/>
        <item x="598"/>
        <item x="734"/>
        <item x="738"/>
        <item x="426"/>
        <item x="855"/>
        <item x="470"/>
        <item x="499"/>
        <item x="56"/>
        <item x="680"/>
        <item x="91"/>
        <item x="5"/>
        <item x="74"/>
        <item x="78"/>
        <item x="172"/>
        <item x="73"/>
        <item x="80"/>
        <item x="36"/>
        <item x="161"/>
        <item x="31"/>
        <item x="13"/>
        <item x="438"/>
        <item x="722"/>
        <item x="759"/>
        <item x="655"/>
        <item x="849"/>
        <item x="779"/>
        <item x="954"/>
        <item x="930"/>
        <item x="135"/>
        <item x="336"/>
        <item x="883"/>
        <item x="422"/>
        <item x="414"/>
        <item x="118"/>
        <item x="69"/>
        <item x="419"/>
        <item x="755"/>
        <item x="113"/>
        <item x="21"/>
        <item x="352"/>
        <item x="529"/>
        <item x="820"/>
        <item x="654"/>
        <item x="416"/>
        <item x="171"/>
        <item x="614"/>
        <item x="603"/>
        <item x="83"/>
        <item x="160"/>
        <item x="159"/>
        <item x="143"/>
        <item x="32"/>
        <item x="105"/>
        <item x="18"/>
        <item x="41"/>
        <item x="11"/>
        <item x="188"/>
        <item x="60"/>
        <item x="110"/>
        <item x="515"/>
        <item x="396"/>
        <item x="349"/>
        <item x="675"/>
        <item x="310"/>
        <item x="460"/>
        <item x="456"/>
        <item x="632"/>
        <item x="664"/>
        <item x="127"/>
        <item x="87"/>
        <item x="115"/>
        <item x="49"/>
        <item x="94"/>
        <item x="33"/>
        <item x="15"/>
        <item x="126"/>
        <item x="43"/>
        <item x="70"/>
        <item x="90"/>
        <item x="67"/>
        <item x="104"/>
        <item x="9"/>
        <item x="63"/>
        <item x="86"/>
        <item x="25"/>
        <item x="96"/>
        <item x="148"/>
        <item x="1"/>
        <item x="119"/>
        <item x="45"/>
        <item x="2"/>
        <item x="7"/>
        <item x="146"/>
        <item x="44"/>
        <item x="100"/>
        <item x="101"/>
        <item x="132"/>
        <item x="107"/>
        <item x="154"/>
        <item x="936"/>
        <item x="488"/>
        <item x="907"/>
        <item x="839"/>
        <item x="750"/>
        <item x="527"/>
        <item x="430"/>
        <item x="519"/>
        <item x="400"/>
        <item x="762"/>
        <item x="929"/>
        <item x="781"/>
        <item x="932"/>
        <item x="922"/>
        <item x="870"/>
        <item x="698"/>
        <item x="890"/>
        <item x="952"/>
        <item x="170"/>
        <item x="918"/>
        <item x="145"/>
        <item x="173"/>
        <item x="153"/>
        <item x="769"/>
        <item x="661"/>
        <item x="939"/>
        <item x="853"/>
        <item x="24"/>
        <item x="345"/>
        <item x="394"/>
        <item x="607"/>
        <item x="846"/>
        <item x="874"/>
        <item x="739"/>
        <item x="552"/>
        <item x="505"/>
        <item x="914"/>
        <item x="928"/>
        <item x="530"/>
        <item x="53"/>
        <item x="137"/>
        <item x="84"/>
        <item x="88"/>
        <item x="103"/>
        <item x="8"/>
        <item x="129"/>
        <item x="158"/>
        <item x="114"/>
        <item x="72"/>
        <item x="57"/>
        <item x="179"/>
        <item x="14"/>
        <item x="760"/>
        <item x="417"/>
        <item x="624"/>
        <item x="645"/>
        <item x="584"/>
        <item x="666"/>
        <item x="657"/>
        <item x="433"/>
        <item x="797"/>
        <item x="746"/>
        <item x="495"/>
        <item x="483"/>
        <item x="454"/>
        <item x="788"/>
        <item x="462"/>
        <item x="568"/>
        <item x="903"/>
        <item x="904"/>
        <item x="753"/>
        <item x="869"/>
        <item x="831"/>
        <item x="731"/>
        <item x="898"/>
        <item x="615"/>
        <item x="372"/>
        <item x="943"/>
        <item x="896"/>
        <item x="947"/>
        <item x="510"/>
        <item x="644"/>
        <item x="825"/>
        <item x="945"/>
        <item x="832"/>
        <item x="926"/>
        <item x="872"/>
        <item x="663"/>
        <item x="906"/>
        <item x="642"/>
        <item x="707"/>
        <item x="796"/>
        <item x="789"/>
        <item x="71"/>
        <item x="42"/>
        <item x="40"/>
        <item x="6"/>
        <item x="12"/>
        <item x="59"/>
        <item x="30"/>
        <item x="38"/>
        <item x="54"/>
        <item x="34"/>
        <item x="509"/>
        <item x="894"/>
        <item x="557"/>
        <item x="340"/>
        <item x="511"/>
        <item x="330"/>
        <item x="830"/>
        <item x="785"/>
        <item x="351"/>
        <item x="585"/>
        <item x="583"/>
        <item x="915"/>
        <item x="638"/>
        <item x="600"/>
        <item x="441"/>
        <item x="818"/>
        <item x="538"/>
        <item x="333"/>
        <item x="553"/>
        <item x="435"/>
        <item x="693"/>
        <item x="662"/>
        <item x="370"/>
        <item x="591"/>
        <item x="687"/>
        <item x="517"/>
        <item x="503"/>
        <item x="531"/>
        <item x="321"/>
        <item x="742"/>
        <item x="620"/>
        <item x="856"/>
        <item x="466"/>
        <item x="332"/>
        <item x="714"/>
        <item x="787"/>
        <item x="567"/>
        <item x="558"/>
        <item x="341"/>
        <item x="440"/>
        <item x="685"/>
        <item x="949"/>
        <item x="339"/>
        <item x="556"/>
        <item x="375"/>
        <item x="595"/>
        <item x="886"/>
        <item x="565"/>
        <item x="920"/>
        <item x="482"/>
        <item x="627"/>
        <item x="938"/>
        <item x="711"/>
        <item x="566"/>
        <item x="619"/>
        <item x="536"/>
        <item x="385"/>
        <item x="547"/>
        <item x="457"/>
        <item x="790"/>
        <item x="318"/>
        <item x="320"/>
        <item x="913"/>
        <item x="389"/>
        <item x="852"/>
        <item x="761"/>
        <item x="485"/>
        <item x="648"/>
        <item x="773"/>
        <item x="415"/>
        <item x="688"/>
        <item x="838"/>
        <item x="500"/>
        <item x="836"/>
        <item x="751"/>
        <item x="933"/>
        <item x="367"/>
        <item x="507"/>
        <item x="951"/>
        <item x="605"/>
        <item x="533"/>
        <item x="708"/>
        <item x="401"/>
        <item x="427"/>
        <item x="374"/>
        <item x="897"/>
        <item x="347"/>
        <item x="727"/>
        <item x="892"/>
        <item x="550"/>
        <item x="363"/>
        <item x="669"/>
        <item x="899"/>
        <item x="596"/>
        <item x="683"/>
        <item x="574"/>
        <item x="214"/>
        <item x="216"/>
        <item x="780"/>
        <item x="358"/>
        <item x="843"/>
        <item x="766"/>
        <item x="745"/>
        <item x="464"/>
        <item x="395"/>
        <item x="47"/>
        <item x="178"/>
        <item x="546"/>
        <item x="840"/>
        <item x="168"/>
        <item x="964"/>
        <item x="240"/>
        <item x="959"/>
        <item x="962"/>
        <item x="957"/>
        <item x="961"/>
        <item x="958"/>
        <item x="203"/>
        <item x="208"/>
        <item x="960"/>
        <item x="965"/>
        <item x="599"/>
        <item x="652"/>
        <item x="950"/>
        <item x="658"/>
        <item x="809"/>
        <item x="650"/>
        <item x="834"/>
        <item x="514"/>
        <item x="618"/>
        <item x="362"/>
        <item x="449"/>
        <item x="833"/>
        <item x="919"/>
        <item x="882"/>
        <item x="824"/>
        <item x="532"/>
        <item x="778"/>
        <item x="864"/>
        <item x="386"/>
        <item x="752"/>
        <item x="811"/>
        <item x="528"/>
        <item x="888"/>
        <item x="643"/>
        <item x="522"/>
        <item x="873"/>
        <item x="578"/>
        <item x="625"/>
        <item x="425"/>
        <item x="89"/>
        <item x="130"/>
        <item x="795"/>
        <item x="845"/>
        <item x="314"/>
        <item x="97"/>
        <item x="407"/>
        <item x="647"/>
        <item x="747"/>
        <item x="564"/>
        <item x="641"/>
        <item x="487"/>
        <item x="606"/>
        <item x="424"/>
        <item x="563"/>
        <item x="713"/>
        <item x="518"/>
        <item x="376"/>
        <item x="695"/>
        <item x="588"/>
        <item x="432"/>
        <item x="767"/>
        <item x="408"/>
        <item x="356"/>
        <item x="667"/>
        <item x="608"/>
        <item x="393"/>
        <item x="868"/>
        <item x="516"/>
        <item x="439"/>
        <item x="691"/>
        <item x="689"/>
        <item x="813"/>
        <item x="501"/>
        <item x="649"/>
        <item x="754"/>
        <item x="728"/>
        <item x="579"/>
        <item x="436"/>
        <item x="743"/>
        <item x="525"/>
        <item x="337"/>
        <item x="673"/>
        <item x="807"/>
        <item x="569"/>
        <item x="428"/>
        <item x="551"/>
        <item x="854"/>
        <item x="676"/>
        <item x="481"/>
        <item x="828"/>
        <item x="472"/>
        <item x="622"/>
        <item x="774"/>
        <item x="421"/>
        <item x="681"/>
        <item x="213"/>
        <item x="601"/>
        <item x="392"/>
        <item x="944"/>
        <item x="801"/>
        <item x="733"/>
        <item x="560"/>
        <item x="451"/>
        <item x="822"/>
        <item x="455"/>
        <item x="371"/>
        <item x="329"/>
        <item x="409"/>
        <item x="486"/>
        <item x="927"/>
        <item x="786"/>
        <item x="948"/>
        <item x="311"/>
        <item x="478"/>
        <item x="884"/>
        <item x="479"/>
        <item x="679"/>
        <item x="357"/>
        <item x="885"/>
        <item x="829"/>
        <item x="917"/>
        <item x="656"/>
        <item x="377"/>
        <item x="895"/>
        <item x="335"/>
        <item x="612"/>
        <item x="508"/>
        <item x="461"/>
        <item x="715"/>
        <item x="315"/>
        <item x="841"/>
        <item x="3"/>
        <item x="593"/>
        <item x="737"/>
        <item x="610"/>
        <item x="724"/>
        <item x="674"/>
        <item x="442"/>
        <item x="826"/>
        <item x="447"/>
        <item x="468"/>
        <item x="353"/>
        <item x="473"/>
        <item x="361"/>
        <item x="378"/>
        <item x="469"/>
        <item x="628"/>
        <item x="721"/>
        <item x="549"/>
        <item x="720"/>
        <item x="429"/>
        <item x="459"/>
        <item x="866"/>
        <item x="562"/>
        <item x="757"/>
        <item x="373"/>
        <item x="637"/>
        <item x="768"/>
        <item x="636"/>
        <item x="777"/>
        <item x="342"/>
        <item x="765"/>
        <item x="133"/>
        <item x="580"/>
        <item x="355"/>
        <item x="706"/>
        <item x="571"/>
        <item x="925"/>
        <item x="857"/>
        <item x="572"/>
        <item x="879"/>
        <item x="411"/>
        <item x="827"/>
        <item x="726"/>
        <item x="491"/>
        <item x="397"/>
        <item x="626"/>
        <item x="756"/>
        <item x="390"/>
        <item x="391"/>
        <item x="28"/>
        <item x="1072"/>
        <item x="23"/>
        <item x="633"/>
        <item x="526"/>
        <item x="116"/>
        <item x="763"/>
        <item x="506"/>
        <item x="492"/>
        <item x="554"/>
        <item x="480"/>
        <item x="887"/>
        <item x="709"/>
        <item x="784"/>
        <item x="699"/>
        <item x="412"/>
        <item x="817"/>
        <item x="471"/>
        <item x="319"/>
        <item x="671"/>
        <item x="867"/>
        <item x="364"/>
        <item x="476"/>
        <item x="418"/>
        <item x="923"/>
        <item x="542"/>
        <item x="851"/>
        <item x="859"/>
        <item x="474"/>
        <item x="594"/>
        <item x="561"/>
        <item x="122"/>
        <item x="597"/>
        <item x="631"/>
        <item x="911"/>
        <item x="575"/>
        <item x="437"/>
        <item x="862"/>
        <item x="634"/>
        <item x="740"/>
        <item x="821"/>
        <item x="823"/>
        <item x="325"/>
        <item x="686"/>
        <item x="616"/>
        <item x="621"/>
        <item x="559"/>
        <item x="450"/>
        <item x="889"/>
        <item x="729"/>
        <item x="617"/>
        <item x="772"/>
        <item x="805"/>
        <item x="399"/>
        <item x="712"/>
        <item x="475"/>
        <item x="383"/>
        <item x="604"/>
        <item x="665"/>
        <item x="402"/>
        <item x="307"/>
        <item x="764"/>
        <item x="354"/>
        <item x="504"/>
        <item x="792"/>
        <item x="573"/>
        <item x="535"/>
        <item x="690"/>
        <item x="934"/>
        <item x="651"/>
        <item x="513"/>
        <item x="701"/>
        <item x="865"/>
        <item x="590"/>
        <item x="463"/>
        <item x="937"/>
        <item x="324"/>
        <item x="955"/>
        <item x="582"/>
        <item x="793"/>
        <item x="308"/>
        <item x="946"/>
        <item x="537"/>
        <item x="512"/>
        <item x="956"/>
        <item x="692"/>
        <item x="384"/>
        <item x="405"/>
        <item x="348"/>
        <item x="653"/>
        <item x="524"/>
        <item x="710"/>
        <item x="749"/>
        <item x="718"/>
        <item x="490"/>
        <item x="723"/>
        <item x="640"/>
        <item x="496"/>
        <item x="398"/>
        <item x="806"/>
        <item x="446"/>
        <item x="312"/>
        <item x="381"/>
        <item x="343"/>
        <item x="842"/>
        <item x="403"/>
        <item x="587"/>
        <item x="1062"/>
        <item x="1039"/>
        <item x="1063"/>
        <item x="989"/>
        <item x="1057"/>
        <item x="301"/>
        <item x="1002"/>
        <item x="1048"/>
        <item x="1000"/>
        <item x="303"/>
        <item x="1021"/>
        <item x="988"/>
        <item x="991"/>
        <item x="270"/>
        <item x="289"/>
        <item x="976"/>
        <item x="1064"/>
        <item x="283"/>
        <item x="290"/>
        <item x="292"/>
        <item x="1040"/>
        <item x="304"/>
        <item x="1038"/>
        <item x="1050"/>
        <item x="295"/>
        <item x="968"/>
        <item x="305"/>
        <item x="1049"/>
        <item x="984"/>
        <item x="1013"/>
        <item x="1006"/>
        <item x="998"/>
        <item x="296"/>
        <item x="298"/>
        <item x="978"/>
        <item x="277"/>
        <item x="1008"/>
        <item x="997"/>
        <item x="1007"/>
        <item x="1028"/>
        <item x="990"/>
        <item x="994"/>
        <item x="1020"/>
        <item x="993"/>
        <item x="1004"/>
        <item x="982"/>
        <item x="1060"/>
        <item x="983"/>
        <item x="1018"/>
        <item x="293"/>
        <item x="264"/>
        <item x="977"/>
        <item x="1022"/>
        <item x="282"/>
        <item x="995"/>
        <item x="969"/>
        <item x="1015"/>
        <item x="1010"/>
        <item x="815"/>
        <item x="316"/>
        <item x="589"/>
        <item x="410"/>
        <item x="497"/>
        <item x="623"/>
        <item x="0"/>
        <item x="19"/>
        <item x="85"/>
        <item x="635"/>
        <item x="812"/>
        <item x="523"/>
        <item x="77"/>
        <item x="444"/>
        <item x="901"/>
        <item x="702"/>
        <item x="344"/>
        <item x="346"/>
        <item x="678"/>
        <item x="420"/>
        <item x="916"/>
        <item x="48"/>
        <item x="99"/>
        <item x="4"/>
        <item x="791"/>
        <item x="847"/>
        <item x="891"/>
        <item x="498"/>
        <item x="848"/>
        <item x="387"/>
        <item x="382"/>
        <item x="489"/>
        <item x="717"/>
        <item x="322"/>
        <item x="700"/>
        <item x="659"/>
        <item x="338"/>
        <item x="799"/>
        <item x="748"/>
        <item x="630"/>
        <item x="803"/>
        <item x="668"/>
        <item x="502"/>
        <item x="660"/>
        <item x="520"/>
        <item x="858"/>
        <item x="672"/>
        <item x="368"/>
        <item x="704"/>
        <item x="541"/>
        <item x="905"/>
        <item x="545"/>
        <item x="775"/>
        <item x="309"/>
        <item x="452"/>
        <item x="670"/>
        <item x="555"/>
        <item x="770"/>
        <item x="800"/>
        <item x="458"/>
        <item x="639"/>
        <item x="844"/>
        <item x="521"/>
        <item x="327"/>
        <item x="379"/>
        <item x="443"/>
        <item x="431"/>
        <item x="716"/>
        <item x="448"/>
        <item x="413"/>
        <item x="783"/>
        <item x="732"/>
        <item x="543"/>
        <item x="359"/>
        <item x="782"/>
        <item x="935"/>
        <item x="684"/>
        <item x="941"/>
        <item x="534"/>
        <item x="802"/>
        <item x="611"/>
        <item x="544"/>
        <item x="816"/>
        <item x="334"/>
        <item x="539"/>
        <item x="548"/>
        <item x="467"/>
        <item x="744"/>
        <item x="677"/>
        <item x="328"/>
        <item x="705"/>
        <item x="117"/>
        <item x="128"/>
        <item x="186"/>
        <item x="877"/>
        <item x="682"/>
        <item x="921"/>
        <item x="445"/>
        <item x="465"/>
        <item x="581"/>
        <item x="1073"/>
        <item x="850"/>
        <item x="861"/>
        <item x="725"/>
        <item x="323"/>
        <item x="875"/>
        <item x="93"/>
        <item x="697"/>
        <item x="646"/>
        <item x="167"/>
        <item x="182"/>
        <item x="900"/>
        <item x="388"/>
        <item x="134"/>
        <item x="365"/>
        <item x="313"/>
        <item x="65"/>
        <item x="181"/>
        <item x="162"/>
        <item x="771"/>
        <item x="163"/>
        <item x="142"/>
        <item x="92"/>
        <item x="924"/>
        <item x="331"/>
        <item x="423"/>
        <item x="602"/>
        <item x="808"/>
        <item x="735"/>
        <item x="453"/>
        <item x="166"/>
        <item x="493"/>
        <item x="147"/>
        <item x="150"/>
        <item x="878"/>
        <item x="909"/>
        <item x="893"/>
        <item x="123"/>
        <item x="139"/>
        <item x="231"/>
        <item x="242"/>
        <item x="189"/>
        <item x="236"/>
        <item x="215"/>
        <item x="232"/>
        <item x="222"/>
        <item x="247"/>
        <item x="200"/>
        <item x="229"/>
        <item x="219"/>
        <item x="224"/>
        <item x="233"/>
        <item x="207"/>
        <item x="245"/>
        <item x="230"/>
        <item x="211"/>
        <item x="239"/>
        <item x="202"/>
        <item x="237"/>
        <item x="226"/>
        <item x="227"/>
        <item x="244"/>
        <item x="228"/>
        <item x="195"/>
        <item x="1005"/>
        <item x="302"/>
        <item x="1056"/>
        <item x="1055"/>
        <item x="306"/>
        <item x="1024"/>
        <item x="1003"/>
        <item x="741"/>
        <item x="1029"/>
        <item x="979"/>
        <item x="1041"/>
        <item x="1011"/>
        <item x="300"/>
        <item x="281"/>
        <item x="1019"/>
        <item x="1061"/>
        <item x="288"/>
        <item x="259"/>
        <item x="274"/>
        <item x="269"/>
        <item x="285"/>
        <item x="985"/>
        <item x="273"/>
        <item x="1054"/>
        <item x="271"/>
        <item x="987"/>
        <item x="1032"/>
        <item x="1046"/>
        <item x="1017"/>
        <item x="258"/>
        <item x="266"/>
        <item x="192"/>
        <item x="220"/>
        <item x="980"/>
        <item x="252"/>
        <item x="975"/>
        <item x="254"/>
        <item x="253"/>
        <item x="280"/>
        <item x="1043"/>
        <item x="1058"/>
        <item x="1030"/>
        <item x="1047"/>
        <item x="1027"/>
        <item x="257"/>
        <item x="286"/>
        <item x="1052"/>
        <item x="1059"/>
        <item x="278"/>
        <item x="251"/>
        <item x="263"/>
        <item x="1033"/>
        <item x="1025"/>
        <item x="999"/>
        <item x="1026"/>
        <item x="287"/>
        <item x="279"/>
        <item x="1031"/>
        <item x="981"/>
        <item x="299"/>
        <item x="256"/>
        <item x="297"/>
        <item x="974"/>
        <item x="255"/>
        <item x="973"/>
        <item x="992"/>
        <item x="1036"/>
        <item x="1044"/>
        <item x="1034"/>
        <item x="1051"/>
        <item x="1023"/>
        <item x="291"/>
        <item x="972"/>
        <item x="971"/>
        <item x="262"/>
        <item x="294"/>
        <item x="1045"/>
        <item x="260"/>
        <item x="1042"/>
        <item x="276"/>
        <item x="986"/>
        <item x="267"/>
        <item x="1001"/>
        <item x="272"/>
        <item x="970"/>
        <item x="261"/>
        <item x="1014"/>
        <item x="1009"/>
        <item x="1016"/>
        <item x="265"/>
        <item x="1035"/>
        <item x="268"/>
        <item x="996"/>
        <item x="1053"/>
        <item x="1037"/>
        <item x="275"/>
        <item x="1012"/>
        <item x="284"/>
        <item x="250"/>
        <item x="694"/>
        <item x="111"/>
        <item x="860"/>
        <item x="814"/>
        <item x="953"/>
        <item x="730"/>
        <item x="880"/>
        <item x="369"/>
        <item x="156"/>
        <item x="317"/>
        <item x="609"/>
        <item x="576"/>
        <item x="125"/>
        <item x="380"/>
        <item x="120"/>
        <item x="176"/>
        <item x="1071"/>
        <item x="106"/>
        <item x="165"/>
        <item x="140"/>
        <item x="155"/>
        <item x="876"/>
        <item x="177"/>
        <item x="1074"/>
        <item x="942"/>
        <item x="151"/>
        <item x="1069"/>
        <item x="1070"/>
        <item x="1067"/>
        <item x="1068"/>
        <item x="1065"/>
        <item x="187"/>
        <item x="837"/>
        <item x="350"/>
        <item x="75"/>
        <item x="185"/>
        <item x="629"/>
        <item x="696"/>
        <item x="29"/>
        <item x="124"/>
        <item x="112"/>
        <item x="810"/>
        <item x="736"/>
        <item x="586"/>
        <item x="910"/>
        <item x="908"/>
        <item x="719"/>
        <item x="902"/>
        <item x="613"/>
        <item x="931"/>
        <item x="184"/>
        <item x="577"/>
        <item x="804"/>
        <item x="871"/>
        <item x="540"/>
        <item x="149"/>
        <item x="798"/>
        <item x="37"/>
        <item x="16"/>
        <item x="183"/>
        <item x="180"/>
        <item x="152"/>
        <item x="144"/>
        <item x="157"/>
        <item x="404"/>
        <item x="835"/>
        <item x="164"/>
        <item x="881"/>
        <item x="121"/>
        <item x="434"/>
        <item x="1066"/>
        <item x="17"/>
        <item x="169"/>
        <item x="81"/>
        <item x="141"/>
        <item x="136"/>
        <item x="406"/>
        <item x="138"/>
        <item x="360"/>
        <item x="326"/>
        <item x="592"/>
        <item x="494"/>
        <item x="225"/>
        <item x="223"/>
        <item x="249"/>
        <item x="218"/>
        <item x="190"/>
        <item x="193"/>
        <item x="248"/>
        <item x="196"/>
        <item x="198"/>
        <item x="212"/>
        <item x="209"/>
        <item x="235"/>
        <item x="241"/>
        <item x="194"/>
        <item x="243"/>
        <item x="191"/>
        <item x="197"/>
        <item x="217"/>
        <item x="238"/>
        <item x="221"/>
        <item x="205"/>
        <item x="199"/>
        <item x="234"/>
        <item x="206"/>
        <item x="201"/>
        <item x="204"/>
        <item x="210"/>
        <item x="967"/>
        <item x="966"/>
        <item x="963"/>
        <item x="246"/>
      </items>
    </pivotField>
    <pivotField showAll="0" defaultSubtotal="0"/>
    <pivotField showAll="0" defaultSubtotal="0"/>
    <pivotField showAll="0" defaultSubtotal="0"/>
    <pivotField axis="axisPage" multipleItemSelectionAllowed="1" showAll="0" defaultSubtotal="0">
      <items count="3">
        <item x="0"/>
        <item h="1" x="1"/>
        <item h="1" x="2"/>
      </items>
    </pivotField>
    <pivotField axis="axisCol" showAll="0" defaultSubtotal="0">
      <items count="2">
        <item x="1"/>
        <item x="0"/>
      </items>
    </pivotField>
    <pivotField axis="axisCol" showAll="0" defaultSubtotal="0">
      <items count="3">
        <item x="0"/>
        <item x="1"/>
        <item x="2"/>
      </items>
    </pivotField>
    <pivotField showAll="0" defaultSubtotal="0"/>
    <pivotField showAll="0" defaultSubtotal="0"/>
    <pivotField axis="axisPage" dataField="1" multipleItemSelectionAllowed="1" showAll="0" defaultSubtotal="0">
      <items count="1023">
        <item x="841"/>
        <item x="850"/>
        <item x="121"/>
        <item x="145"/>
        <item x="959"/>
        <item x="756"/>
        <item x="199"/>
        <item x="243"/>
        <item x="809"/>
        <item x="1006"/>
        <item x="235"/>
        <item x="1010"/>
        <item x="221"/>
        <item x="290"/>
        <item x="838"/>
        <item x="226"/>
        <item x="208"/>
        <item x="207"/>
        <item x="114"/>
        <item x="775"/>
        <item x="188"/>
        <item x="300"/>
        <item x="980"/>
        <item x="194"/>
        <item x="218"/>
        <item x="197"/>
        <item x="201"/>
        <item x="1008"/>
        <item x="851"/>
        <item x="229"/>
        <item x="837"/>
        <item x="874"/>
        <item x="225"/>
        <item x="822"/>
        <item x="223"/>
        <item x="190"/>
        <item x="241"/>
        <item x="859"/>
        <item x="210"/>
        <item x="195"/>
        <item x="118"/>
        <item x="896"/>
        <item x="227"/>
        <item x="821"/>
        <item x="217"/>
        <item x="209"/>
        <item x="844"/>
        <item x="230"/>
        <item x="282"/>
        <item x="819"/>
        <item x="925"/>
        <item x="993"/>
        <item x="204"/>
        <item x="840"/>
        <item x="860"/>
        <item x="200"/>
        <item x="854"/>
        <item x="238"/>
        <item x="246"/>
        <item x="830"/>
        <item x="228"/>
        <item x="283"/>
        <item x="800"/>
        <item x="233"/>
        <item x="102"/>
        <item x="915"/>
        <item x="303"/>
        <item x="203"/>
        <item x="920"/>
        <item x="1003"/>
        <item x="792"/>
        <item x="919"/>
        <item x="219"/>
        <item x="853"/>
        <item x="236"/>
        <item x="810"/>
        <item x="916"/>
        <item x="873"/>
        <item x="839"/>
        <item x="202"/>
        <item x="240"/>
        <item x="793"/>
        <item x="222"/>
        <item x="1004"/>
        <item x="206"/>
        <item x="1001"/>
        <item x="862"/>
        <item x="856"/>
        <item x="855"/>
        <item x="889"/>
        <item x="779"/>
        <item x="180"/>
        <item x="232"/>
        <item x="301"/>
        <item x="129"/>
        <item x="244"/>
        <item x="1019"/>
        <item x="782"/>
        <item x="911"/>
        <item x="304"/>
        <item x="921"/>
        <item x="147"/>
        <item x="196"/>
        <item x="768"/>
        <item x="126"/>
        <item x="302"/>
        <item x="198"/>
        <item x="780"/>
        <item x="245"/>
        <item x="4"/>
        <item x="843"/>
        <item x="128"/>
        <item x="834"/>
        <item x="237"/>
        <item x="923"/>
        <item x="52"/>
        <item x="842"/>
        <item x="604"/>
        <item x="211"/>
        <item x="661"/>
        <item x="247"/>
        <item x="871"/>
        <item x="987"/>
        <item x="924"/>
        <item x="130"/>
        <item x="867"/>
        <item x="824"/>
        <item x="801"/>
        <item x="639"/>
        <item x="813"/>
        <item x="922"/>
        <item x="917"/>
        <item x="19"/>
        <item x="215"/>
        <item x="674"/>
        <item x="1005"/>
        <item x="767"/>
        <item x="806"/>
        <item x="986"/>
        <item x="796"/>
        <item x="234"/>
        <item x="216"/>
        <item x="212"/>
        <item x="615"/>
        <item x="531"/>
        <item x="184"/>
        <item x="907"/>
        <item x="159"/>
        <item x="770"/>
        <item x="847"/>
        <item x="239"/>
        <item x="818"/>
        <item x="918"/>
        <item x="99"/>
        <item x="596"/>
        <item x="109"/>
        <item x="699"/>
        <item x="205"/>
        <item x="764"/>
        <item x="164"/>
        <item x="186"/>
        <item x="769"/>
        <item x="220"/>
        <item x="815"/>
        <item x="136"/>
        <item x="214"/>
        <item x="65"/>
        <item x="248"/>
        <item x="954"/>
        <item x="857"/>
        <item x="774"/>
        <item x="881"/>
        <item x="433"/>
        <item x="584"/>
        <item x="708"/>
        <item x="33"/>
        <item x="677"/>
        <item x="828"/>
        <item x="36"/>
        <item x="937"/>
        <item x="698"/>
        <item x="296"/>
        <item x="761"/>
        <item x="181"/>
        <item x="213"/>
        <item x="790"/>
        <item x="966"/>
        <item x="98"/>
        <item x="167"/>
        <item x="777"/>
        <item x="795"/>
        <item x="823"/>
        <item x="134"/>
        <item x="852"/>
        <item x="1011"/>
        <item x="1012"/>
        <item x="81"/>
        <item x="410"/>
        <item x="178"/>
        <item x="963"/>
        <item x="912"/>
        <item x="740"/>
        <item x="902"/>
        <item x="656"/>
        <item x="173"/>
        <item x="543"/>
        <item x="425"/>
        <item x="506"/>
        <item x="71"/>
        <item x="55"/>
        <item x="849"/>
        <item x="811"/>
        <item x="702"/>
        <item x="870"/>
        <item x="465"/>
        <item x="522"/>
        <item x="1009"/>
        <item x="625"/>
        <item x="94"/>
        <item x="886"/>
        <item x="709"/>
        <item x="895"/>
        <item x="684"/>
        <item x="495"/>
        <item x="712"/>
        <item x="835"/>
        <item x="735"/>
        <item x="117"/>
        <item x="115"/>
        <item x="501"/>
        <item x="545"/>
        <item x="376"/>
        <item x="906"/>
        <item x="299"/>
        <item x="370"/>
        <item x="446"/>
        <item x="723"/>
        <item x="20"/>
        <item x="70"/>
        <item x="516"/>
        <item x="647"/>
        <item x="523"/>
        <item x="499"/>
        <item x="289"/>
        <item x="95"/>
        <item x="537"/>
        <item x="21"/>
        <item x="278"/>
        <item x="695"/>
        <item x="967"/>
        <item x="587"/>
        <item x="573"/>
        <item x="416"/>
        <item x="383"/>
        <item x="748"/>
        <item x="971"/>
        <item x="679"/>
        <item x="29"/>
        <item x="1007"/>
        <item x="467"/>
        <item x="788"/>
        <item x="27"/>
        <item x="409"/>
        <item x="160"/>
        <item x="868"/>
        <item x="606"/>
        <item x="618"/>
        <item x="490"/>
        <item x="427"/>
        <item x="47"/>
        <item x="558"/>
        <item x="373"/>
        <item x="361"/>
        <item x="442"/>
        <item x="865"/>
        <item x="707"/>
        <item x="60"/>
        <item x="372"/>
        <item x="689"/>
        <item x="880"/>
        <item x="392"/>
        <item x="538"/>
        <item x="594"/>
        <item x="622"/>
        <item x="45"/>
        <item x="509"/>
        <item x="176"/>
        <item x="614"/>
        <item x="231"/>
        <item x="733"/>
        <item x="760"/>
        <item x="49"/>
        <item x="981"/>
        <item x="663"/>
        <item x="996"/>
        <item x="660"/>
        <item x="342"/>
        <item x="554"/>
        <item x="158"/>
        <item x="599"/>
        <item x="462"/>
        <item x="616"/>
        <item x="741"/>
        <item x="572"/>
        <item x="1018"/>
        <item x="252"/>
        <item x="293"/>
        <item x="551"/>
        <item x="517"/>
        <item x="224"/>
        <item x="330"/>
        <item x="820"/>
        <item x="242"/>
        <item x="664"/>
        <item x="731"/>
        <item x="564"/>
        <item x="179"/>
        <item x="936"/>
        <item x="487"/>
        <item x="312"/>
        <item x="944"/>
        <item x="613"/>
        <item x="407"/>
        <item x="590"/>
        <item x="54"/>
        <item x="968"/>
        <item x="657"/>
        <item x="552"/>
        <item x="489"/>
        <item x="450"/>
        <item x="546"/>
        <item x="187"/>
        <item x="984"/>
        <item x="610"/>
        <item x="174"/>
        <item x="897"/>
        <item x="742"/>
        <item x="533"/>
        <item x="476"/>
        <item x="189"/>
        <item x="784"/>
        <item x="333"/>
        <item x="438"/>
        <item x="353"/>
        <item x="448"/>
        <item x="691"/>
        <item x="441"/>
        <item x="108"/>
        <item x="408"/>
        <item x="277"/>
        <item x="1002"/>
        <item x="998"/>
        <item x="124"/>
        <item x="384"/>
        <item x="101"/>
        <item x="16"/>
        <item x="484"/>
        <item x="161"/>
        <item x="802"/>
        <item x="783"/>
        <item x="32"/>
        <item x="74"/>
        <item x="958"/>
        <item x="454"/>
        <item x="169"/>
        <item x="10"/>
        <item x="629"/>
        <item x="31"/>
        <item x="540"/>
        <item x="343"/>
        <item x="153"/>
        <item x="23"/>
        <item x="569"/>
        <item x="0"/>
        <item x="97"/>
        <item x="30"/>
        <item x="53"/>
        <item x="631"/>
        <item x="402"/>
        <item x="192"/>
        <item x="991"/>
        <item x="434"/>
        <item x="358"/>
        <item x="177"/>
        <item x="747"/>
        <item x="636"/>
        <item x="719"/>
        <item x="730"/>
        <item x="166"/>
        <item x="510"/>
        <item x="185"/>
        <item x="736"/>
        <item x="267"/>
        <item x="791"/>
        <item x="994"/>
        <item x="61"/>
        <item x="483"/>
        <item x="807"/>
        <item x="440"/>
        <item x="17"/>
        <item x="641"/>
        <item x="976"/>
        <item x="681"/>
        <item x="51"/>
        <item x="90"/>
        <item x="395"/>
        <item x="597"/>
        <item x="568"/>
        <item x="721"/>
        <item x="624"/>
        <item x="399"/>
        <item x="57"/>
        <item x="755"/>
        <item x="846"/>
        <item x="355"/>
        <item x="365"/>
        <item x="168"/>
        <item x="605"/>
        <item x="567"/>
        <item x="579"/>
        <item x="662"/>
        <item x="349"/>
        <item x="1021"/>
        <item x="78"/>
        <item x="535"/>
        <item x="778"/>
        <item x="25"/>
        <item x="91"/>
        <item x="903"/>
        <item x="990"/>
        <item x="345"/>
        <item x="453"/>
        <item x="898"/>
        <item x="858"/>
        <item x="737"/>
        <item x="754"/>
        <item x="861"/>
        <item x="727"/>
        <item x="969"/>
        <item x="69"/>
        <item x="141"/>
        <item x="598"/>
        <item x="405"/>
        <item x="348"/>
        <item x="713"/>
        <item x="949"/>
        <item x="872"/>
        <item x="829"/>
        <item x="628"/>
        <item x="63"/>
        <item x="669"/>
        <item x="162"/>
        <item x="592"/>
        <item x="42"/>
        <item x="794"/>
        <item x="667"/>
        <item x="939"/>
        <item x="581"/>
        <item x="603"/>
        <item x="952"/>
        <item x="497"/>
        <item x="697"/>
        <item x="530"/>
        <item x="901"/>
        <item x="734"/>
        <item x="379"/>
        <item x="714"/>
        <item x="366"/>
        <item x="381"/>
        <item x="797"/>
        <item x="315"/>
        <item x="726"/>
        <item x="75"/>
        <item x="899"/>
        <item x="744"/>
        <item x="415"/>
        <item x="826"/>
        <item x="927"/>
        <item x="50"/>
        <item x="308"/>
        <item x="913"/>
        <item x="503"/>
        <item x="105"/>
        <item x="666"/>
        <item x="602"/>
        <item x="977"/>
        <item x="943"/>
        <item x="436"/>
        <item x="359"/>
        <item x="863"/>
        <item x="635"/>
        <item x="22"/>
        <item x="979"/>
        <item x="653"/>
        <item x="547"/>
        <item x="144"/>
        <item x="752"/>
        <item x="457"/>
        <item x="888"/>
        <item x="123"/>
        <item x="396"/>
        <item x="404"/>
        <item x="928"/>
        <item x="696"/>
        <item x="982"/>
        <item x="125"/>
        <item x="607"/>
        <item x="35"/>
        <item x="577"/>
        <item x="646"/>
        <item x="479"/>
        <item x="827"/>
        <item x="319"/>
        <item x="143"/>
        <item x="326"/>
        <item x="62"/>
        <item x="975"/>
        <item x="973"/>
        <item x="64"/>
        <item x="460"/>
        <item x="417"/>
        <item x="518"/>
        <item x="957"/>
        <item x="720"/>
        <item x="56"/>
        <item x="474"/>
        <item x="508"/>
        <item x="258"/>
        <item x="111"/>
        <item x="356"/>
        <item x="591"/>
        <item x="67"/>
        <item x="473"/>
        <item x="430"/>
        <item x="445"/>
        <item x="565"/>
        <item x="654"/>
        <item x="191"/>
        <item x="891"/>
        <item x="391"/>
        <item x="588"/>
        <item x="687"/>
        <item x="89"/>
        <item x="879"/>
        <item x="389"/>
        <item x="905"/>
        <item x="688"/>
        <item x="553"/>
        <item x="955"/>
        <item x="264"/>
        <item x="88"/>
        <item x="644"/>
        <item x="620"/>
        <item x="337"/>
        <item x="623"/>
        <item x="481"/>
        <item x="608"/>
        <item x="845"/>
        <item x="560"/>
        <item x="364"/>
        <item x="171"/>
        <item x="297"/>
        <item x="995"/>
        <item x="305"/>
        <item x="390"/>
        <item x="772"/>
        <item x="883"/>
        <item x="449"/>
        <item x="157"/>
        <item x="468"/>
        <item x="498"/>
        <item x="542"/>
        <item x="5"/>
        <item x="286"/>
        <item x="385"/>
        <item x="765"/>
        <item x="500"/>
        <item x="11"/>
        <item x="437"/>
        <item x="525"/>
        <item x="274"/>
        <item x="632"/>
        <item x="512"/>
        <item x="486"/>
        <item x="683"/>
        <item x="1016"/>
        <item x="72"/>
        <item x="494"/>
        <item x="38"/>
        <item x="151"/>
        <item x="2"/>
        <item x="478"/>
        <item x="253"/>
        <item x="690"/>
        <item x="339"/>
        <item x="92"/>
        <item x="759"/>
        <item x="268"/>
        <item x="3"/>
        <item x="710"/>
        <item x="79"/>
        <item x="864"/>
        <item x="728"/>
        <item x="781"/>
        <item x="514"/>
        <item x="787"/>
        <item x="675"/>
        <item x="461"/>
        <item x="443"/>
        <item x="619"/>
        <item x="163"/>
        <item x="262"/>
        <item x="722"/>
        <item x="634"/>
        <item x="866"/>
        <item x="890"/>
        <item x="751"/>
        <item x="307"/>
        <item x="412"/>
        <item x="945"/>
        <item x="419"/>
        <item x="426"/>
        <item x="464"/>
        <item x="536"/>
        <item x="107"/>
        <item x="413"/>
        <item x="287"/>
        <item x="172"/>
        <item x="559"/>
        <item x="263"/>
        <item x="1000"/>
        <item x="255"/>
        <item x="652"/>
        <item x="988"/>
        <item x="323"/>
        <item x="133"/>
        <item x="758"/>
        <item x="357"/>
        <item x="1017"/>
        <item x="682"/>
        <item x="259"/>
        <item x="269"/>
        <item x="550"/>
        <item x="26"/>
        <item x="750"/>
        <item x="700"/>
        <item x="948"/>
        <item x="692"/>
        <item x="798"/>
        <item x="718"/>
        <item x="43"/>
        <item x="273"/>
        <item x="686"/>
        <item x="142"/>
        <item x="643"/>
        <item x="611"/>
        <item x="471"/>
        <item x="786"/>
        <item x="363"/>
        <item x="328"/>
        <item x="40"/>
        <item x="799"/>
        <item x="814"/>
        <item x="346"/>
        <item x="711"/>
        <item x="832"/>
        <item x="548"/>
        <item x="877"/>
        <item x="694"/>
        <item x="150"/>
        <item x="334"/>
        <item x="382"/>
        <item x="1020"/>
        <item x="601"/>
        <item x="676"/>
        <item x="582"/>
        <item x="515"/>
        <item x="640"/>
        <item x="773"/>
        <item x="281"/>
        <item x="66"/>
        <item x="9"/>
        <item x="904"/>
        <item x="24"/>
        <item x="431"/>
        <item x="132"/>
        <item x="672"/>
        <item x="14"/>
        <item x="139"/>
        <item x="763"/>
        <item x="942"/>
        <item x="893"/>
        <item x="997"/>
        <item x="175"/>
        <item x="612"/>
        <item x="575"/>
        <item x="271"/>
        <item x="28"/>
        <item x="73"/>
        <item x="18"/>
        <item x="961"/>
        <item x="352"/>
        <item x="254"/>
        <item x="680"/>
        <item x="279"/>
        <item x="122"/>
        <item x="165"/>
        <item x="306"/>
        <item x="388"/>
        <item x="964"/>
        <item x="261"/>
        <item x="757"/>
        <item x="892"/>
        <item x="406"/>
        <item x="311"/>
        <item x="738"/>
        <item x="908"/>
        <item x="940"/>
        <item x="626"/>
        <item x="659"/>
        <item x="946"/>
        <item x="270"/>
        <item x="485"/>
        <item x="673"/>
        <item x="351"/>
        <item x="397"/>
        <item x="833"/>
        <item x="284"/>
        <item x="789"/>
        <item x="539"/>
        <item x="146"/>
        <item x="110"/>
        <item x="394"/>
        <item x="249"/>
        <item x="716"/>
        <item x="941"/>
        <item x="324"/>
        <item x="678"/>
        <item x="894"/>
        <item x="6"/>
        <item x="12"/>
        <item x="534"/>
        <item x="884"/>
        <item x="414"/>
        <item x="332"/>
        <item x="703"/>
        <item x="953"/>
        <item x="41"/>
        <item x="152"/>
        <item x="561"/>
        <item x="288"/>
        <item x="170"/>
        <item x="848"/>
        <item x="488"/>
        <item x="336"/>
        <item x="322"/>
        <item x="732"/>
        <item x="932"/>
        <item x="532"/>
        <item x="816"/>
        <item x="367"/>
        <item x="878"/>
        <item x="420"/>
        <item x="140"/>
        <item x="869"/>
        <item x="398"/>
        <item x="875"/>
        <item x="885"/>
        <item x="557"/>
        <item x="371"/>
        <item x="428"/>
        <item x="148"/>
        <item x="475"/>
        <item x="585"/>
        <item x="156"/>
        <item x="149"/>
        <item x="447"/>
        <item x="34"/>
        <item x="82"/>
        <item x="451"/>
        <item x="265"/>
        <item x="549"/>
        <item x="193"/>
        <item x="658"/>
        <item x="929"/>
        <item x="182"/>
        <item x="586"/>
        <item x="477"/>
        <item x="86"/>
        <item x="724"/>
        <item x="344"/>
        <item x="368"/>
        <item x="529"/>
        <item x="421"/>
        <item x="950"/>
        <item x="285"/>
        <item x="914"/>
        <item x="250"/>
        <item x="260"/>
        <item x="504"/>
        <item x="762"/>
        <item x="458"/>
        <item x="715"/>
        <item x="519"/>
        <item x="876"/>
        <item x="805"/>
        <item x="350"/>
        <item x="68"/>
        <item x="938"/>
        <item x="463"/>
        <item x="354"/>
        <item x="127"/>
        <item x="983"/>
        <item x="435"/>
        <item x="685"/>
        <item x="887"/>
        <item x="1015"/>
        <item x="544"/>
        <item x="472"/>
        <item x="900"/>
        <item x="1014"/>
        <item x="275"/>
        <item x="44"/>
        <item x="313"/>
        <item x="910"/>
        <item x="39"/>
        <item x="933"/>
        <item x="649"/>
        <item x="8"/>
        <item x="671"/>
        <item x="951"/>
        <item x="526"/>
        <item x="251"/>
        <item x="617"/>
        <item x="808"/>
        <item x="974"/>
        <item x="1022"/>
        <item x="831"/>
        <item x="511"/>
        <item x="999"/>
        <item x="693"/>
        <item x="452"/>
        <item x="135"/>
        <item x="7"/>
        <item x="627"/>
        <item x="298"/>
        <item x="935"/>
        <item x="960"/>
        <item x="978"/>
        <item x="429"/>
        <item x="992"/>
        <item x="400"/>
        <item x="294"/>
        <item x="338"/>
        <item x="541"/>
        <item x="729"/>
        <item x="13"/>
        <item x="645"/>
        <item x="424"/>
        <item x="555"/>
        <item x="739"/>
        <item x="562"/>
        <item x="717"/>
        <item x="836"/>
        <item x="785"/>
        <item x="469"/>
        <item x="1"/>
        <item x="480"/>
        <item x="375"/>
        <item x="580"/>
        <item x="93"/>
        <item x="137"/>
        <item x="563"/>
        <item x="403"/>
        <item x="502"/>
        <item x="378"/>
        <item x="704"/>
        <item x="804"/>
        <item x="362"/>
        <item x="257"/>
        <item x="100"/>
        <item x="595"/>
        <item x="642"/>
        <item x="931"/>
        <item x="650"/>
        <item x="76"/>
        <item x="578"/>
        <item x="84"/>
        <item x="930"/>
        <item x="583"/>
        <item x="295"/>
        <item x="496"/>
        <item x="85"/>
        <item x="527"/>
        <item x="670"/>
        <item x="316"/>
        <item x="609"/>
        <item x="280"/>
        <item x="444"/>
        <item x="387"/>
        <item x="576"/>
        <item x="705"/>
        <item x="571"/>
        <item x="318"/>
        <item x="706"/>
        <item x="309"/>
        <item x="341"/>
        <item x="386"/>
        <item x="377"/>
        <item x="329"/>
        <item x="524"/>
        <item x="753"/>
        <item x="637"/>
        <item x="812"/>
        <item x="817"/>
        <item x="556"/>
        <item x="423"/>
        <item x="439"/>
        <item x="970"/>
        <item x="80"/>
        <item x="648"/>
        <item x="317"/>
        <item x="743"/>
        <item x="725"/>
        <item x="401"/>
        <item x="593"/>
        <item x="589"/>
        <item x="749"/>
        <item x="455"/>
        <item x="59"/>
        <item x="360"/>
        <item x="825"/>
        <item x="374"/>
        <item x="83"/>
        <item x="321"/>
        <item x="331"/>
        <item x="37"/>
        <item x="882"/>
        <item x="638"/>
        <item x="77"/>
        <item x="138"/>
        <item x="314"/>
        <item x="701"/>
        <item x="803"/>
        <item x="418"/>
        <item x="520"/>
        <item x="651"/>
        <item x="103"/>
        <item x="369"/>
        <item x="48"/>
        <item x="1013"/>
        <item x="46"/>
        <item x="310"/>
        <item x="989"/>
        <item x="113"/>
        <item x="104"/>
        <item x="633"/>
        <item x="119"/>
        <item x="456"/>
        <item x="521"/>
        <item x="947"/>
        <item x="380"/>
        <item x="570"/>
        <item x="432"/>
        <item x="668"/>
        <item x="335"/>
        <item x="665"/>
        <item x="926"/>
        <item x="327"/>
        <item x="272"/>
        <item x="482"/>
        <item x="466"/>
        <item x="493"/>
        <item x="320"/>
        <item x="291"/>
        <item x="956"/>
        <item x="154"/>
        <item x="422"/>
        <item x="574"/>
        <item x="600"/>
        <item x="116"/>
        <item x="507"/>
        <item x="505"/>
        <item x="266"/>
        <item x="120"/>
        <item x="96"/>
        <item x="566"/>
        <item x="459"/>
        <item x="470"/>
        <item x="746"/>
        <item x="276"/>
        <item x="155"/>
        <item x="256"/>
        <item x="965"/>
        <item x="972"/>
        <item x="513"/>
        <item x="491"/>
        <item x="183"/>
        <item x="411"/>
        <item x="630"/>
        <item x="962"/>
        <item x="766"/>
        <item x="15"/>
        <item x="934"/>
        <item x="131"/>
        <item x="655"/>
        <item x="58"/>
        <item x="393"/>
        <item x="492"/>
        <item x="87"/>
        <item x="909"/>
        <item x="325"/>
        <item x="528"/>
        <item x="776"/>
        <item x="985"/>
        <item x="347"/>
        <item x="292"/>
        <item x="340"/>
        <item x="745"/>
        <item x="771"/>
        <item x="106"/>
        <item x="621"/>
        <item h="1" x="112"/>
      </items>
    </pivotField>
    <pivotField axis="axisPage" multipleItemSelectionAllowed="1" showAll="0" defaultSubtotal="0">
      <items count="17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m="1" x="16"/>
        <item x="0"/>
        <item x="15"/>
      </items>
    </pivotField>
    <pivotField showAll="0" defaultSubtotal="0"/>
    <pivotField axis="axisCol" showAll="0" defaultSubtotal="0">
      <items count="5">
        <item x="0"/>
        <item x="2"/>
        <item x="4"/>
        <item x="3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307">
    <i>
      <x/>
    </i>
    <i>
      <x v="1"/>
    </i>
    <i>
      <x v="2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3"/>
    </i>
    <i>
      <x v="24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9"/>
    </i>
    <i>
      <x v="74"/>
    </i>
    <i>
      <x v="75"/>
    </i>
    <i>
      <x v="79"/>
    </i>
    <i>
      <x v="85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58"/>
    </i>
    <i>
      <x v="160"/>
    </i>
    <i>
      <x v="161"/>
    </i>
    <i>
      <x v="162"/>
    </i>
    <i>
      <x v="167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339"/>
    </i>
    <i>
      <x v="340"/>
    </i>
    <i>
      <x v="348"/>
    </i>
    <i>
      <x v="349"/>
    </i>
    <i>
      <x v="352"/>
    </i>
    <i>
      <x v="354"/>
    </i>
    <i>
      <x v="360"/>
    </i>
    <i>
      <x v="361"/>
    </i>
    <i>
      <x v="393"/>
    </i>
    <i>
      <x v="394"/>
    </i>
    <i>
      <x v="398"/>
    </i>
    <i>
      <x v="449"/>
    </i>
    <i>
      <x v="485"/>
    </i>
    <i>
      <x v="516"/>
    </i>
    <i>
      <x v="534"/>
    </i>
    <i>
      <x v="536"/>
    </i>
    <i>
      <x v="539"/>
    </i>
    <i>
      <x v="565"/>
    </i>
    <i>
      <x v="646"/>
    </i>
    <i>
      <x v="650"/>
    </i>
    <i>
      <x v="654"/>
    </i>
    <i>
      <x v="655"/>
    </i>
    <i>
      <x v="658"/>
    </i>
    <i>
      <x v="659"/>
    </i>
    <i>
      <x v="660"/>
    </i>
    <i>
      <x v="662"/>
    </i>
    <i>
      <x v="665"/>
    </i>
    <i>
      <x v="667"/>
    </i>
    <i>
      <x v="673"/>
    </i>
    <i>
      <x v="674"/>
    </i>
    <i>
      <x v="676"/>
    </i>
    <i>
      <x v="690"/>
    </i>
    <i>
      <x v="691"/>
    </i>
    <i>
      <x v="694"/>
    </i>
    <i>
      <x v="705"/>
    </i>
    <i>
      <x v="706"/>
    </i>
    <i>
      <x v="707"/>
    </i>
    <i>
      <x v="711"/>
    </i>
    <i>
      <x v="720"/>
    </i>
    <i>
      <x v="721"/>
    </i>
    <i>
      <x v="722"/>
    </i>
    <i>
      <x v="790"/>
    </i>
    <i>
      <x v="791"/>
    </i>
    <i>
      <x v="792"/>
    </i>
    <i>
      <x v="805"/>
    </i>
    <i>
      <x v="808"/>
    </i>
    <i>
      <x v="809"/>
    </i>
    <i>
      <x v="812"/>
    </i>
    <i>
      <x v="815"/>
    </i>
    <i>
      <x v="816"/>
    </i>
    <i>
      <x v="817"/>
    </i>
    <i>
      <x v="819"/>
    </i>
    <i>
      <x v="820"/>
    </i>
    <i>
      <x v="821"/>
    </i>
    <i>
      <x v="829"/>
    </i>
    <i>
      <x v="831"/>
    </i>
    <i>
      <x v="832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4"/>
    </i>
    <i>
      <x v="867"/>
    </i>
    <i>
      <x v="875"/>
    </i>
    <i>
      <x v="876"/>
    </i>
    <i>
      <x v="879"/>
    </i>
    <i>
      <x v="880"/>
    </i>
    <i>
      <x v="881"/>
    </i>
    <i>
      <x v="882"/>
    </i>
    <i>
      <x v="883"/>
    </i>
    <i>
      <x v="885"/>
    </i>
    <i>
      <x v="887"/>
    </i>
    <i>
      <x v="892"/>
    </i>
    <i>
      <x v="893"/>
    </i>
    <i>
      <x v="894"/>
    </i>
    <i>
      <x v="895"/>
    </i>
    <i>
      <x v="897"/>
    </i>
    <i>
      <x v="899"/>
    </i>
    <i>
      <x v="900"/>
    </i>
    <i>
      <x v="901"/>
    </i>
    <i>
      <x v="907"/>
    </i>
    <i>
      <x v="908"/>
    </i>
    <i>
      <x v="911"/>
    </i>
    <i>
      <x v="912"/>
    </i>
    <i>
      <x v="913"/>
    </i>
    <i>
      <x v="918"/>
    </i>
    <i>
      <x v="919"/>
    </i>
    <i>
      <x v="922"/>
    </i>
    <i>
      <x v="923"/>
    </i>
    <i>
      <x v="924"/>
    </i>
    <i>
      <x v="926"/>
    </i>
    <i>
      <x v="934"/>
    </i>
    <i>
      <x v="937"/>
    </i>
    <i>
      <x v="938"/>
    </i>
    <i>
      <x v="940"/>
    </i>
    <i>
      <x v="942"/>
    </i>
    <i>
      <x v="944"/>
    </i>
    <i>
      <x v="946"/>
    </i>
    <i>
      <x v="948"/>
    </i>
    <i>
      <x v="952"/>
    </i>
    <i>
      <x v="954"/>
    </i>
    <i>
      <x v="958"/>
    </i>
    <i>
      <x v="960"/>
    </i>
    <i>
      <x v="961"/>
    </i>
    <i>
      <x v="963"/>
    </i>
    <i>
      <x v="970"/>
    </i>
    <i>
      <x v="974"/>
    </i>
    <i>
      <x v="976"/>
    </i>
    <i>
      <x v="977"/>
    </i>
    <i>
      <x v="979"/>
    </i>
    <i>
      <x v="980"/>
    </i>
    <i>
      <x v="981"/>
    </i>
    <i>
      <x v="982"/>
    </i>
    <i>
      <x v="984"/>
    </i>
    <i>
      <x v="987"/>
    </i>
    <i>
      <x v="993"/>
    </i>
    <i>
      <x v="996"/>
    </i>
    <i>
      <x v="997"/>
    </i>
    <i>
      <x v="1000"/>
    </i>
    <i>
      <x v="1001"/>
    </i>
    <i>
      <x v="1002"/>
    </i>
    <i>
      <x v="1012"/>
    </i>
    <i>
      <x v="1017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8"/>
    </i>
    <i>
      <x v="1030"/>
    </i>
    <i>
      <x v="1033"/>
    </i>
    <i>
      <x v="1034"/>
    </i>
    <i>
      <x v="1035"/>
    </i>
    <i>
      <x v="1036"/>
    </i>
    <i>
      <x v="1037"/>
    </i>
    <i>
      <x v="1039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4"/>
    </i>
    <i t="grand">
      <x/>
    </i>
  </rowItems>
  <colFields count="3">
    <field x="5"/>
    <field x="6"/>
    <field x="12"/>
  </colFields>
  <colItems count="11">
    <i>
      <x/>
      <x/>
      <x/>
    </i>
    <i r="1">
      <x v="1"/>
      <x/>
    </i>
    <i r="2">
      <x v="3"/>
    </i>
    <i r="1">
      <x v="2"/>
      <x/>
    </i>
    <i>
      <x v="1"/>
      <x/>
      <x/>
    </i>
    <i r="2">
      <x v="1"/>
    </i>
    <i r="2">
      <x v="2"/>
    </i>
    <i r="2">
      <x v="3"/>
    </i>
    <i r="2">
      <x v="4"/>
    </i>
    <i r="1">
      <x v="1"/>
      <x/>
    </i>
    <i r="1">
      <x v="2"/>
      <x/>
    </i>
  </colItems>
  <pageFields count="3">
    <pageField fld="10" hier="-1"/>
    <pageField fld="9" hier="-1"/>
    <pageField fld="4" hier="-1"/>
  </pageFields>
  <dataFields count="1">
    <dataField name="Somme de d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Tableau croisé dynamique18" cacheId="0" applyNumberFormats="0" applyBorderFormats="0" applyFontFormats="0" applyPatternFormats="0" applyAlignmentFormats="0" applyWidthHeightFormats="1" dataCaption="Valeurs" updatedVersion="6" minRefreshableVersion="3" useAutoFormatting="1" colGrandTotals="0" itemPrintTitles="1" createdVersion="6" indent="0" outline="1" outlineData="1" multipleFieldFilters="0">
  <location ref="A5:I756" firstHeaderRow="1" firstDataRow="4" firstDataCol="1" rowPageCount="3" colPageCount="1"/>
  <pivotFields count="51">
    <pivotField axis="axisRow" showAll="0" defaultSubtotal="0">
      <items count="1075">
        <item x="55"/>
        <item x="50"/>
        <item x="20"/>
        <item x="703"/>
        <item x="940"/>
        <item x="794"/>
        <item x="366"/>
        <item x="175"/>
        <item x="174"/>
        <item x="52"/>
        <item x="477"/>
        <item x="776"/>
        <item x="26"/>
        <item x="66"/>
        <item x="82"/>
        <item x="39"/>
        <item x="98"/>
        <item x="27"/>
        <item x="61"/>
        <item x="51"/>
        <item x="108"/>
        <item x="819"/>
        <item x="484"/>
        <item x="46"/>
        <item x="68"/>
        <item x="863"/>
        <item x="912"/>
        <item x="109"/>
        <item x="76"/>
        <item x="131"/>
        <item x="22"/>
        <item x="58"/>
        <item x="35"/>
        <item x="102"/>
        <item x="10"/>
        <item x="64"/>
        <item x="95"/>
        <item x="79"/>
        <item x="62"/>
        <item x="570"/>
        <item x="758"/>
        <item x="598"/>
        <item x="734"/>
        <item x="738"/>
        <item x="426"/>
        <item x="855"/>
        <item x="470"/>
        <item x="499"/>
        <item x="56"/>
        <item x="680"/>
        <item x="91"/>
        <item x="5"/>
        <item x="74"/>
        <item x="78"/>
        <item x="172"/>
        <item x="73"/>
        <item x="80"/>
        <item x="36"/>
        <item x="161"/>
        <item x="31"/>
        <item x="13"/>
        <item x="438"/>
        <item x="722"/>
        <item x="759"/>
        <item x="655"/>
        <item x="849"/>
        <item x="779"/>
        <item x="954"/>
        <item x="930"/>
        <item x="135"/>
        <item x="336"/>
        <item x="883"/>
        <item x="422"/>
        <item x="414"/>
        <item x="118"/>
        <item x="69"/>
        <item x="419"/>
        <item x="755"/>
        <item x="113"/>
        <item x="21"/>
        <item x="352"/>
        <item x="529"/>
        <item x="820"/>
        <item x="654"/>
        <item x="416"/>
        <item x="171"/>
        <item x="614"/>
        <item x="603"/>
        <item x="83"/>
        <item x="160"/>
        <item x="159"/>
        <item x="143"/>
        <item x="32"/>
        <item x="105"/>
        <item x="18"/>
        <item x="41"/>
        <item x="11"/>
        <item x="188"/>
        <item x="60"/>
        <item x="110"/>
        <item x="515"/>
        <item x="396"/>
        <item x="349"/>
        <item x="675"/>
        <item x="310"/>
        <item x="460"/>
        <item x="456"/>
        <item x="632"/>
        <item x="664"/>
        <item x="127"/>
        <item x="87"/>
        <item x="115"/>
        <item x="49"/>
        <item x="94"/>
        <item x="33"/>
        <item x="15"/>
        <item x="126"/>
        <item x="43"/>
        <item x="70"/>
        <item x="90"/>
        <item x="67"/>
        <item x="104"/>
        <item x="9"/>
        <item x="63"/>
        <item x="86"/>
        <item x="25"/>
        <item x="96"/>
        <item x="148"/>
        <item x="1"/>
        <item x="119"/>
        <item x="45"/>
        <item x="2"/>
        <item x="7"/>
        <item x="146"/>
        <item x="44"/>
        <item x="100"/>
        <item x="101"/>
        <item x="132"/>
        <item x="107"/>
        <item x="154"/>
        <item x="936"/>
        <item x="488"/>
        <item x="907"/>
        <item x="839"/>
        <item x="750"/>
        <item x="527"/>
        <item x="430"/>
        <item x="519"/>
        <item x="400"/>
        <item x="762"/>
        <item x="929"/>
        <item x="781"/>
        <item x="932"/>
        <item x="922"/>
        <item x="870"/>
        <item x="698"/>
        <item x="890"/>
        <item x="952"/>
        <item x="170"/>
        <item x="918"/>
        <item x="145"/>
        <item x="173"/>
        <item x="153"/>
        <item x="769"/>
        <item x="661"/>
        <item x="939"/>
        <item x="853"/>
        <item x="24"/>
        <item x="345"/>
        <item x="394"/>
        <item x="607"/>
        <item x="846"/>
        <item x="874"/>
        <item x="739"/>
        <item x="552"/>
        <item x="505"/>
        <item x="914"/>
        <item x="928"/>
        <item x="530"/>
        <item x="53"/>
        <item x="137"/>
        <item x="84"/>
        <item x="88"/>
        <item x="103"/>
        <item x="8"/>
        <item x="129"/>
        <item x="158"/>
        <item x="114"/>
        <item x="72"/>
        <item x="57"/>
        <item x="179"/>
        <item x="14"/>
        <item x="760"/>
        <item x="417"/>
        <item x="624"/>
        <item x="645"/>
        <item x="584"/>
        <item x="666"/>
        <item x="657"/>
        <item x="433"/>
        <item x="797"/>
        <item x="746"/>
        <item x="495"/>
        <item x="483"/>
        <item x="454"/>
        <item x="788"/>
        <item x="462"/>
        <item x="568"/>
        <item x="903"/>
        <item x="904"/>
        <item x="753"/>
        <item x="869"/>
        <item x="831"/>
        <item x="731"/>
        <item x="898"/>
        <item x="615"/>
        <item x="372"/>
        <item x="943"/>
        <item x="896"/>
        <item x="947"/>
        <item x="510"/>
        <item x="644"/>
        <item x="825"/>
        <item x="945"/>
        <item x="832"/>
        <item x="926"/>
        <item x="872"/>
        <item x="663"/>
        <item x="906"/>
        <item x="642"/>
        <item x="707"/>
        <item x="796"/>
        <item x="789"/>
        <item x="71"/>
        <item x="42"/>
        <item x="40"/>
        <item x="6"/>
        <item x="12"/>
        <item x="59"/>
        <item x="30"/>
        <item x="38"/>
        <item x="54"/>
        <item x="34"/>
        <item x="509"/>
        <item x="894"/>
        <item x="557"/>
        <item x="340"/>
        <item x="511"/>
        <item x="330"/>
        <item x="830"/>
        <item x="785"/>
        <item x="351"/>
        <item x="585"/>
        <item x="583"/>
        <item x="915"/>
        <item x="638"/>
        <item x="600"/>
        <item x="441"/>
        <item x="818"/>
        <item x="538"/>
        <item x="333"/>
        <item x="553"/>
        <item x="435"/>
        <item x="693"/>
        <item x="662"/>
        <item x="370"/>
        <item x="591"/>
        <item x="687"/>
        <item x="517"/>
        <item x="503"/>
        <item x="531"/>
        <item x="321"/>
        <item x="742"/>
        <item x="620"/>
        <item x="856"/>
        <item x="466"/>
        <item x="332"/>
        <item x="714"/>
        <item x="787"/>
        <item x="567"/>
        <item x="558"/>
        <item x="341"/>
        <item x="440"/>
        <item x="685"/>
        <item x="949"/>
        <item x="339"/>
        <item x="556"/>
        <item x="375"/>
        <item x="595"/>
        <item x="886"/>
        <item x="565"/>
        <item x="920"/>
        <item x="482"/>
        <item x="627"/>
        <item x="938"/>
        <item x="711"/>
        <item x="566"/>
        <item x="619"/>
        <item x="536"/>
        <item x="385"/>
        <item x="547"/>
        <item x="457"/>
        <item x="790"/>
        <item x="318"/>
        <item x="320"/>
        <item x="913"/>
        <item x="389"/>
        <item x="852"/>
        <item x="761"/>
        <item x="485"/>
        <item x="648"/>
        <item x="773"/>
        <item x="415"/>
        <item x="688"/>
        <item x="838"/>
        <item x="500"/>
        <item x="836"/>
        <item x="751"/>
        <item x="933"/>
        <item x="367"/>
        <item x="507"/>
        <item x="951"/>
        <item x="605"/>
        <item x="533"/>
        <item x="708"/>
        <item x="401"/>
        <item x="427"/>
        <item x="374"/>
        <item x="897"/>
        <item x="347"/>
        <item x="727"/>
        <item x="892"/>
        <item x="550"/>
        <item x="363"/>
        <item x="669"/>
        <item x="899"/>
        <item x="596"/>
        <item x="683"/>
        <item x="574"/>
        <item x="214"/>
        <item x="216"/>
        <item x="780"/>
        <item x="358"/>
        <item x="843"/>
        <item x="766"/>
        <item x="745"/>
        <item x="464"/>
        <item x="395"/>
        <item x="47"/>
        <item x="178"/>
        <item x="546"/>
        <item x="840"/>
        <item x="168"/>
        <item x="964"/>
        <item x="240"/>
        <item x="959"/>
        <item x="962"/>
        <item x="957"/>
        <item x="961"/>
        <item x="958"/>
        <item x="203"/>
        <item x="208"/>
        <item x="960"/>
        <item x="965"/>
        <item x="599"/>
        <item x="652"/>
        <item x="950"/>
        <item x="658"/>
        <item x="809"/>
        <item x="650"/>
        <item x="834"/>
        <item x="514"/>
        <item x="618"/>
        <item x="362"/>
        <item x="449"/>
        <item x="833"/>
        <item x="919"/>
        <item x="882"/>
        <item x="824"/>
        <item x="532"/>
        <item x="778"/>
        <item x="864"/>
        <item x="386"/>
        <item x="752"/>
        <item x="811"/>
        <item x="528"/>
        <item x="888"/>
        <item x="643"/>
        <item x="522"/>
        <item x="873"/>
        <item x="578"/>
        <item x="625"/>
        <item x="425"/>
        <item x="89"/>
        <item x="130"/>
        <item x="795"/>
        <item x="845"/>
        <item x="314"/>
        <item x="97"/>
        <item x="407"/>
        <item x="647"/>
        <item x="747"/>
        <item x="564"/>
        <item x="641"/>
        <item x="487"/>
        <item x="606"/>
        <item x="424"/>
        <item x="563"/>
        <item x="713"/>
        <item x="518"/>
        <item x="376"/>
        <item x="695"/>
        <item x="588"/>
        <item x="432"/>
        <item x="767"/>
        <item x="408"/>
        <item x="356"/>
        <item x="667"/>
        <item x="608"/>
        <item x="393"/>
        <item x="868"/>
        <item x="516"/>
        <item x="439"/>
        <item x="691"/>
        <item x="689"/>
        <item x="813"/>
        <item x="501"/>
        <item x="649"/>
        <item x="754"/>
        <item x="728"/>
        <item x="579"/>
        <item x="436"/>
        <item x="743"/>
        <item x="525"/>
        <item x="337"/>
        <item x="673"/>
        <item x="807"/>
        <item x="569"/>
        <item x="428"/>
        <item x="551"/>
        <item x="854"/>
        <item x="676"/>
        <item x="481"/>
        <item x="828"/>
        <item x="472"/>
        <item x="622"/>
        <item x="774"/>
        <item x="421"/>
        <item x="681"/>
        <item x="213"/>
        <item x="601"/>
        <item x="392"/>
        <item x="944"/>
        <item x="801"/>
        <item x="733"/>
        <item x="560"/>
        <item x="451"/>
        <item x="822"/>
        <item x="455"/>
        <item x="371"/>
        <item x="329"/>
        <item x="409"/>
        <item x="486"/>
        <item x="927"/>
        <item x="786"/>
        <item x="948"/>
        <item x="311"/>
        <item x="478"/>
        <item x="884"/>
        <item x="479"/>
        <item x="679"/>
        <item x="357"/>
        <item x="885"/>
        <item x="829"/>
        <item x="917"/>
        <item x="656"/>
        <item x="377"/>
        <item x="895"/>
        <item x="335"/>
        <item x="612"/>
        <item x="508"/>
        <item x="461"/>
        <item x="715"/>
        <item x="315"/>
        <item x="841"/>
        <item x="3"/>
        <item x="593"/>
        <item x="737"/>
        <item x="610"/>
        <item x="724"/>
        <item x="674"/>
        <item x="442"/>
        <item x="826"/>
        <item x="447"/>
        <item x="468"/>
        <item x="353"/>
        <item x="473"/>
        <item x="361"/>
        <item x="378"/>
        <item x="469"/>
        <item x="628"/>
        <item x="721"/>
        <item x="549"/>
        <item x="720"/>
        <item x="429"/>
        <item x="459"/>
        <item x="866"/>
        <item x="562"/>
        <item x="757"/>
        <item x="373"/>
        <item x="637"/>
        <item x="768"/>
        <item x="636"/>
        <item x="777"/>
        <item x="342"/>
        <item x="765"/>
        <item x="133"/>
        <item x="580"/>
        <item x="355"/>
        <item x="706"/>
        <item x="571"/>
        <item x="925"/>
        <item x="857"/>
        <item x="572"/>
        <item x="879"/>
        <item x="411"/>
        <item x="827"/>
        <item x="726"/>
        <item x="491"/>
        <item x="397"/>
        <item x="626"/>
        <item x="756"/>
        <item x="390"/>
        <item x="391"/>
        <item x="28"/>
        <item x="1072"/>
        <item x="23"/>
        <item x="633"/>
        <item x="526"/>
        <item x="116"/>
        <item x="763"/>
        <item x="506"/>
        <item x="492"/>
        <item x="554"/>
        <item x="480"/>
        <item x="887"/>
        <item x="709"/>
        <item x="784"/>
        <item x="699"/>
        <item x="412"/>
        <item x="817"/>
        <item x="471"/>
        <item x="319"/>
        <item x="671"/>
        <item x="867"/>
        <item x="364"/>
        <item x="476"/>
        <item x="418"/>
        <item x="923"/>
        <item x="542"/>
        <item x="851"/>
        <item x="859"/>
        <item x="474"/>
        <item x="594"/>
        <item x="561"/>
        <item x="122"/>
        <item x="597"/>
        <item x="631"/>
        <item x="911"/>
        <item x="575"/>
        <item x="437"/>
        <item x="862"/>
        <item x="634"/>
        <item x="740"/>
        <item x="821"/>
        <item x="823"/>
        <item x="325"/>
        <item x="686"/>
        <item x="616"/>
        <item x="621"/>
        <item x="559"/>
        <item x="450"/>
        <item x="889"/>
        <item x="729"/>
        <item x="617"/>
        <item x="772"/>
        <item x="805"/>
        <item x="399"/>
        <item x="712"/>
        <item x="475"/>
        <item x="383"/>
        <item x="604"/>
        <item x="665"/>
        <item x="402"/>
        <item x="307"/>
        <item x="764"/>
        <item x="354"/>
        <item x="504"/>
        <item x="792"/>
        <item x="573"/>
        <item x="535"/>
        <item x="690"/>
        <item x="934"/>
        <item x="651"/>
        <item x="513"/>
        <item x="701"/>
        <item x="865"/>
        <item x="590"/>
        <item x="463"/>
        <item x="937"/>
        <item x="324"/>
        <item x="955"/>
        <item x="582"/>
        <item x="793"/>
        <item x="308"/>
        <item x="946"/>
        <item x="537"/>
        <item x="512"/>
        <item x="956"/>
        <item x="692"/>
        <item x="384"/>
        <item x="405"/>
        <item x="348"/>
        <item x="653"/>
        <item x="524"/>
        <item x="710"/>
        <item x="749"/>
        <item x="718"/>
        <item x="490"/>
        <item x="723"/>
        <item x="640"/>
        <item x="496"/>
        <item x="398"/>
        <item x="806"/>
        <item x="446"/>
        <item x="312"/>
        <item x="381"/>
        <item x="343"/>
        <item x="842"/>
        <item x="403"/>
        <item x="587"/>
        <item x="1062"/>
        <item x="1039"/>
        <item x="1063"/>
        <item x="989"/>
        <item x="1057"/>
        <item x="301"/>
        <item x="1002"/>
        <item x="1048"/>
        <item x="1000"/>
        <item x="303"/>
        <item x="1021"/>
        <item x="988"/>
        <item x="991"/>
        <item x="270"/>
        <item x="289"/>
        <item x="976"/>
        <item x="1064"/>
        <item x="283"/>
        <item x="290"/>
        <item x="292"/>
        <item x="1040"/>
        <item x="304"/>
        <item x="1038"/>
        <item x="1050"/>
        <item x="295"/>
        <item x="968"/>
        <item x="305"/>
        <item x="1049"/>
        <item x="984"/>
        <item x="1013"/>
        <item x="1006"/>
        <item x="998"/>
        <item x="296"/>
        <item x="298"/>
        <item x="978"/>
        <item x="277"/>
        <item x="1008"/>
        <item x="997"/>
        <item x="1007"/>
        <item x="1028"/>
        <item x="990"/>
        <item x="994"/>
        <item x="1020"/>
        <item x="993"/>
        <item x="1004"/>
        <item x="982"/>
        <item x="1060"/>
        <item x="983"/>
        <item x="1018"/>
        <item x="293"/>
        <item x="264"/>
        <item x="977"/>
        <item x="1022"/>
        <item x="282"/>
        <item x="995"/>
        <item x="969"/>
        <item x="1015"/>
        <item x="1010"/>
        <item x="815"/>
        <item x="316"/>
        <item x="589"/>
        <item x="410"/>
        <item x="497"/>
        <item x="623"/>
        <item x="0"/>
        <item x="19"/>
        <item x="85"/>
        <item x="635"/>
        <item x="812"/>
        <item x="523"/>
        <item x="77"/>
        <item x="444"/>
        <item x="901"/>
        <item x="702"/>
        <item x="344"/>
        <item x="346"/>
        <item x="678"/>
        <item x="420"/>
        <item x="916"/>
        <item x="48"/>
        <item x="99"/>
        <item x="4"/>
        <item x="791"/>
        <item x="847"/>
        <item x="891"/>
        <item x="498"/>
        <item x="848"/>
        <item x="387"/>
        <item x="382"/>
        <item x="489"/>
        <item x="717"/>
        <item x="322"/>
        <item x="700"/>
        <item x="659"/>
        <item x="338"/>
        <item x="799"/>
        <item x="748"/>
        <item x="630"/>
        <item x="803"/>
        <item x="668"/>
        <item x="502"/>
        <item x="660"/>
        <item x="520"/>
        <item x="858"/>
        <item x="672"/>
        <item x="368"/>
        <item x="704"/>
        <item x="541"/>
        <item x="905"/>
        <item x="545"/>
        <item x="775"/>
        <item x="309"/>
        <item x="452"/>
        <item x="670"/>
        <item x="555"/>
        <item x="770"/>
        <item x="800"/>
        <item x="458"/>
        <item x="639"/>
        <item x="844"/>
        <item x="521"/>
        <item x="327"/>
        <item x="379"/>
        <item x="443"/>
        <item x="431"/>
        <item x="716"/>
        <item x="448"/>
        <item x="413"/>
        <item x="783"/>
        <item x="732"/>
        <item x="543"/>
        <item x="359"/>
        <item x="782"/>
        <item x="935"/>
        <item x="684"/>
        <item x="941"/>
        <item x="534"/>
        <item x="802"/>
        <item x="611"/>
        <item x="544"/>
        <item x="816"/>
        <item x="334"/>
        <item x="539"/>
        <item x="548"/>
        <item x="467"/>
        <item x="744"/>
        <item x="677"/>
        <item x="328"/>
        <item x="705"/>
        <item x="117"/>
        <item x="128"/>
        <item x="186"/>
        <item x="877"/>
        <item x="682"/>
        <item x="921"/>
        <item x="445"/>
        <item x="465"/>
        <item x="581"/>
        <item x="1073"/>
        <item x="850"/>
        <item x="861"/>
        <item x="725"/>
        <item x="323"/>
        <item x="875"/>
        <item x="93"/>
        <item x="697"/>
        <item x="646"/>
        <item x="167"/>
        <item x="182"/>
        <item x="900"/>
        <item x="388"/>
        <item x="134"/>
        <item x="365"/>
        <item x="313"/>
        <item x="65"/>
        <item x="181"/>
        <item x="162"/>
        <item x="771"/>
        <item x="163"/>
        <item x="142"/>
        <item x="92"/>
        <item x="924"/>
        <item x="331"/>
        <item x="423"/>
        <item x="602"/>
        <item x="808"/>
        <item x="735"/>
        <item x="453"/>
        <item x="166"/>
        <item x="493"/>
        <item x="147"/>
        <item x="150"/>
        <item x="878"/>
        <item x="909"/>
        <item x="893"/>
        <item x="123"/>
        <item x="139"/>
        <item x="231"/>
        <item x="242"/>
        <item x="189"/>
        <item x="236"/>
        <item x="215"/>
        <item x="232"/>
        <item x="222"/>
        <item x="247"/>
        <item x="200"/>
        <item x="229"/>
        <item x="219"/>
        <item x="224"/>
        <item x="233"/>
        <item x="207"/>
        <item x="245"/>
        <item x="230"/>
        <item x="211"/>
        <item x="239"/>
        <item x="202"/>
        <item x="237"/>
        <item x="226"/>
        <item x="227"/>
        <item x="244"/>
        <item x="228"/>
        <item x="195"/>
        <item x="1005"/>
        <item x="302"/>
        <item x="1056"/>
        <item x="1055"/>
        <item x="306"/>
        <item x="1024"/>
        <item x="1003"/>
        <item x="741"/>
        <item x="1029"/>
        <item x="979"/>
        <item x="1041"/>
        <item x="1011"/>
        <item x="300"/>
        <item x="281"/>
        <item x="1019"/>
        <item x="1061"/>
        <item x="288"/>
        <item x="259"/>
        <item x="274"/>
        <item x="269"/>
        <item x="285"/>
        <item x="985"/>
        <item x="273"/>
        <item x="1054"/>
        <item x="271"/>
        <item x="987"/>
        <item x="1032"/>
        <item x="1046"/>
        <item x="1017"/>
        <item x="258"/>
        <item x="266"/>
        <item x="192"/>
        <item x="220"/>
        <item x="980"/>
        <item x="252"/>
        <item x="975"/>
        <item x="254"/>
        <item x="253"/>
        <item x="280"/>
        <item x="1043"/>
        <item x="1058"/>
        <item x="1030"/>
        <item x="1047"/>
        <item x="1027"/>
        <item x="257"/>
        <item x="286"/>
        <item x="1052"/>
        <item x="1059"/>
        <item x="278"/>
        <item x="251"/>
        <item x="263"/>
        <item x="1033"/>
        <item x="1025"/>
        <item x="999"/>
        <item x="1026"/>
        <item x="287"/>
        <item x="279"/>
        <item x="1031"/>
        <item x="981"/>
        <item x="299"/>
        <item x="256"/>
        <item x="297"/>
        <item x="974"/>
        <item x="255"/>
        <item x="973"/>
        <item x="992"/>
        <item x="1036"/>
        <item x="1044"/>
        <item x="1034"/>
        <item x="1051"/>
        <item x="1023"/>
        <item x="291"/>
        <item x="972"/>
        <item x="971"/>
        <item x="262"/>
        <item x="294"/>
        <item x="1045"/>
        <item x="260"/>
        <item x="1042"/>
        <item x="276"/>
        <item x="986"/>
        <item x="267"/>
        <item x="1001"/>
        <item x="272"/>
        <item x="970"/>
        <item x="261"/>
        <item x="1014"/>
        <item x="1009"/>
        <item x="1016"/>
        <item x="265"/>
        <item x="1035"/>
        <item x="268"/>
        <item x="996"/>
        <item x="1053"/>
        <item x="1037"/>
        <item x="275"/>
        <item x="1012"/>
        <item x="284"/>
        <item x="250"/>
        <item x="694"/>
        <item x="111"/>
        <item x="860"/>
        <item x="814"/>
        <item x="953"/>
        <item x="730"/>
        <item x="880"/>
        <item x="369"/>
        <item x="156"/>
        <item x="317"/>
        <item x="609"/>
        <item x="576"/>
        <item x="125"/>
        <item x="380"/>
        <item x="120"/>
        <item x="176"/>
        <item x="1071"/>
        <item x="106"/>
        <item x="165"/>
        <item x="140"/>
        <item x="155"/>
        <item x="876"/>
        <item x="177"/>
        <item x="1074"/>
        <item x="942"/>
        <item x="151"/>
        <item x="1069"/>
        <item x="1070"/>
        <item x="1067"/>
        <item x="1068"/>
        <item x="1065"/>
        <item x="187"/>
        <item x="837"/>
        <item x="350"/>
        <item x="75"/>
        <item x="185"/>
        <item x="629"/>
        <item x="696"/>
        <item x="29"/>
        <item x="124"/>
        <item x="112"/>
        <item x="810"/>
        <item x="736"/>
        <item x="586"/>
        <item x="910"/>
        <item x="908"/>
        <item x="719"/>
        <item x="902"/>
        <item x="613"/>
        <item x="931"/>
        <item x="184"/>
        <item x="577"/>
        <item x="804"/>
        <item x="871"/>
        <item x="540"/>
        <item x="149"/>
        <item x="798"/>
        <item x="37"/>
        <item x="16"/>
        <item x="183"/>
        <item x="180"/>
        <item x="152"/>
        <item x="144"/>
        <item x="157"/>
        <item x="404"/>
        <item x="835"/>
        <item x="164"/>
        <item x="881"/>
        <item x="121"/>
        <item x="434"/>
        <item x="1066"/>
        <item x="17"/>
        <item x="169"/>
        <item x="81"/>
        <item x="141"/>
        <item x="136"/>
        <item x="406"/>
        <item x="138"/>
        <item x="360"/>
        <item x="326"/>
        <item x="592"/>
        <item x="494"/>
        <item x="225"/>
        <item x="223"/>
        <item x="249"/>
        <item x="218"/>
        <item x="190"/>
        <item x="193"/>
        <item x="248"/>
        <item x="196"/>
        <item x="198"/>
        <item x="212"/>
        <item x="209"/>
        <item x="235"/>
        <item x="241"/>
        <item x="194"/>
        <item x="243"/>
        <item x="191"/>
        <item x="197"/>
        <item x="217"/>
        <item x="238"/>
        <item x="221"/>
        <item x="205"/>
        <item x="199"/>
        <item x="234"/>
        <item x="206"/>
        <item x="201"/>
        <item x="204"/>
        <item x="210"/>
        <item x="967"/>
        <item x="966"/>
        <item x="963"/>
        <item x="246"/>
      </items>
    </pivotField>
    <pivotField showAll="0" defaultSubtotal="0"/>
    <pivotField showAll="0" defaultSubtotal="0"/>
    <pivotField showAll="0" defaultSubtotal="0"/>
    <pivotField axis="axisPage" multipleItemSelectionAllowed="1" showAll="0" defaultSubtotal="0">
      <items count="3">
        <item h="1" x="0"/>
        <item x="1"/>
        <item h="1" x="2"/>
      </items>
    </pivotField>
    <pivotField axis="axisCol" showAll="0" defaultSubtotal="0">
      <items count="2">
        <item x="1"/>
        <item x="0"/>
      </items>
    </pivotField>
    <pivotField axis="axisCol" showAll="0" defaultSubtotal="0">
      <items count="3">
        <item x="0"/>
        <item x="1"/>
        <item x="2"/>
      </items>
    </pivotField>
    <pivotField showAll="0" defaultSubtotal="0"/>
    <pivotField showAll="0" defaultSubtotal="0"/>
    <pivotField axis="axisPage" dataField="1" multipleItemSelectionAllowed="1" showAll="0" defaultSubtotal="0">
      <items count="1023">
        <item x="841"/>
        <item x="850"/>
        <item x="121"/>
        <item x="145"/>
        <item x="959"/>
        <item x="756"/>
        <item x="199"/>
        <item x="243"/>
        <item x="809"/>
        <item x="1006"/>
        <item x="235"/>
        <item x="1010"/>
        <item x="221"/>
        <item x="290"/>
        <item x="838"/>
        <item x="226"/>
        <item x="208"/>
        <item x="207"/>
        <item x="114"/>
        <item x="775"/>
        <item x="188"/>
        <item x="300"/>
        <item x="980"/>
        <item x="194"/>
        <item x="218"/>
        <item x="197"/>
        <item x="201"/>
        <item x="1008"/>
        <item x="851"/>
        <item x="229"/>
        <item x="837"/>
        <item x="874"/>
        <item x="225"/>
        <item x="822"/>
        <item x="223"/>
        <item x="190"/>
        <item x="241"/>
        <item x="859"/>
        <item x="210"/>
        <item x="195"/>
        <item x="118"/>
        <item x="896"/>
        <item x="227"/>
        <item x="821"/>
        <item x="217"/>
        <item x="209"/>
        <item x="844"/>
        <item x="230"/>
        <item x="282"/>
        <item x="819"/>
        <item x="925"/>
        <item x="993"/>
        <item x="204"/>
        <item x="840"/>
        <item x="860"/>
        <item x="200"/>
        <item x="854"/>
        <item x="238"/>
        <item x="246"/>
        <item x="830"/>
        <item x="228"/>
        <item x="283"/>
        <item x="800"/>
        <item x="233"/>
        <item x="102"/>
        <item x="915"/>
        <item x="303"/>
        <item x="203"/>
        <item x="920"/>
        <item x="1003"/>
        <item x="792"/>
        <item x="919"/>
        <item x="219"/>
        <item x="853"/>
        <item x="236"/>
        <item x="810"/>
        <item x="916"/>
        <item x="873"/>
        <item x="839"/>
        <item x="202"/>
        <item x="240"/>
        <item x="793"/>
        <item x="222"/>
        <item x="1004"/>
        <item x="206"/>
        <item x="1001"/>
        <item x="862"/>
        <item x="856"/>
        <item x="855"/>
        <item x="889"/>
        <item x="779"/>
        <item x="180"/>
        <item x="232"/>
        <item x="301"/>
        <item x="129"/>
        <item x="244"/>
        <item x="1019"/>
        <item x="782"/>
        <item x="911"/>
        <item x="304"/>
        <item x="921"/>
        <item x="147"/>
        <item x="196"/>
        <item x="768"/>
        <item x="126"/>
        <item x="302"/>
        <item x="198"/>
        <item x="780"/>
        <item x="245"/>
        <item x="4"/>
        <item x="843"/>
        <item x="128"/>
        <item x="834"/>
        <item x="237"/>
        <item x="923"/>
        <item x="52"/>
        <item x="842"/>
        <item x="604"/>
        <item x="211"/>
        <item x="661"/>
        <item x="247"/>
        <item x="871"/>
        <item x="987"/>
        <item x="924"/>
        <item x="130"/>
        <item x="867"/>
        <item x="824"/>
        <item x="801"/>
        <item x="639"/>
        <item x="813"/>
        <item x="922"/>
        <item x="917"/>
        <item x="19"/>
        <item x="215"/>
        <item x="674"/>
        <item x="1005"/>
        <item x="767"/>
        <item x="806"/>
        <item x="986"/>
        <item x="796"/>
        <item x="234"/>
        <item x="216"/>
        <item x="212"/>
        <item x="615"/>
        <item x="531"/>
        <item x="184"/>
        <item x="907"/>
        <item x="159"/>
        <item x="770"/>
        <item x="847"/>
        <item x="239"/>
        <item x="818"/>
        <item x="918"/>
        <item x="99"/>
        <item x="596"/>
        <item x="109"/>
        <item x="699"/>
        <item x="205"/>
        <item x="764"/>
        <item x="164"/>
        <item x="186"/>
        <item x="769"/>
        <item x="220"/>
        <item x="815"/>
        <item x="136"/>
        <item x="214"/>
        <item x="65"/>
        <item x="248"/>
        <item x="954"/>
        <item x="857"/>
        <item x="774"/>
        <item x="881"/>
        <item x="433"/>
        <item x="584"/>
        <item x="708"/>
        <item x="33"/>
        <item x="677"/>
        <item x="828"/>
        <item x="36"/>
        <item x="937"/>
        <item x="698"/>
        <item x="296"/>
        <item x="761"/>
        <item x="181"/>
        <item x="213"/>
        <item x="790"/>
        <item x="966"/>
        <item x="98"/>
        <item x="167"/>
        <item x="777"/>
        <item x="795"/>
        <item x="823"/>
        <item x="134"/>
        <item x="852"/>
        <item x="1011"/>
        <item x="1012"/>
        <item x="81"/>
        <item x="410"/>
        <item x="178"/>
        <item x="963"/>
        <item x="912"/>
        <item x="740"/>
        <item x="902"/>
        <item x="656"/>
        <item x="173"/>
        <item x="543"/>
        <item x="425"/>
        <item x="506"/>
        <item x="71"/>
        <item x="55"/>
        <item x="849"/>
        <item x="811"/>
        <item x="702"/>
        <item x="870"/>
        <item x="465"/>
        <item x="522"/>
        <item x="1009"/>
        <item x="625"/>
        <item x="94"/>
        <item x="886"/>
        <item x="709"/>
        <item x="895"/>
        <item x="684"/>
        <item x="495"/>
        <item x="712"/>
        <item x="835"/>
        <item x="735"/>
        <item x="117"/>
        <item x="115"/>
        <item x="501"/>
        <item x="545"/>
        <item x="376"/>
        <item x="906"/>
        <item x="299"/>
        <item x="370"/>
        <item x="446"/>
        <item x="723"/>
        <item x="20"/>
        <item x="70"/>
        <item x="516"/>
        <item x="647"/>
        <item x="523"/>
        <item x="499"/>
        <item x="289"/>
        <item x="95"/>
        <item x="537"/>
        <item x="21"/>
        <item x="278"/>
        <item x="695"/>
        <item x="967"/>
        <item x="587"/>
        <item x="573"/>
        <item x="416"/>
        <item x="383"/>
        <item x="748"/>
        <item x="971"/>
        <item x="679"/>
        <item x="29"/>
        <item x="1007"/>
        <item x="467"/>
        <item x="788"/>
        <item x="27"/>
        <item x="409"/>
        <item x="160"/>
        <item x="868"/>
        <item x="606"/>
        <item x="618"/>
        <item x="490"/>
        <item x="427"/>
        <item x="47"/>
        <item x="558"/>
        <item x="373"/>
        <item x="361"/>
        <item x="442"/>
        <item x="865"/>
        <item x="707"/>
        <item x="60"/>
        <item x="372"/>
        <item x="689"/>
        <item x="880"/>
        <item x="392"/>
        <item x="538"/>
        <item x="594"/>
        <item x="622"/>
        <item x="45"/>
        <item x="509"/>
        <item x="176"/>
        <item x="614"/>
        <item x="231"/>
        <item x="733"/>
        <item x="760"/>
        <item x="49"/>
        <item x="981"/>
        <item x="663"/>
        <item x="996"/>
        <item x="660"/>
        <item x="342"/>
        <item x="554"/>
        <item x="158"/>
        <item x="599"/>
        <item x="462"/>
        <item x="616"/>
        <item x="741"/>
        <item x="572"/>
        <item x="1018"/>
        <item x="252"/>
        <item x="293"/>
        <item x="551"/>
        <item x="517"/>
        <item x="224"/>
        <item x="330"/>
        <item x="820"/>
        <item x="242"/>
        <item x="664"/>
        <item x="731"/>
        <item x="564"/>
        <item x="179"/>
        <item x="936"/>
        <item x="487"/>
        <item x="312"/>
        <item x="944"/>
        <item x="613"/>
        <item x="407"/>
        <item x="590"/>
        <item x="54"/>
        <item x="968"/>
        <item x="657"/>
        <item x="552"/>
        <item x="489"/>
        <item x="450"/>
        <item x="546"/>
        <item x="187"/>
        <item x="984"/>
        <item x="610"/>
        <item x="174"/>
        <item x="897"/>
        <item x="742"/>
        <item x="533"/>
        <item x="476"/>
        <item x="189"/>
        <item x="784"/>
        <item x="333"/>
        <item x="438"/>
        <item x="353"/>
        <item x="448"/>
        <item x="691"/>
        <item x="441"/>
        <item x="108"/>
        <item x="408"/>
        <item x="277"/>
        <item x="1002"/>
        <item x="998"/>
        <item x="124"/>
        <item x="384"/>
        <item x="101"/>
        <item x="16"/>
        <item x="484"/>
        <item x="161"/>
        <item x="802"/>
        <item x="783"/>
        <item x="32"/>
        <item x="74"/>
        <item x="958"/>
        <item x="454"/>
        <item x="169"/>
        <item x="10"/>
        <item x="629"/>
        <item x="31"/>
        <item x="540"/>
        <item x="343"/>
        <item x="153"/>
        <item x="23"/>
        <item x="569"/>
        <item x="0"/>
        <item x="97"/>
        <item x="30"/>
        <item x="53"/>
        <item x="631"/>
        <item x="402"/>
        <item x="192"/>
        <item x="991"/>
        <item x="434"/>
        <item x="358"/>
        <item x="177"/>
        <item x="747"/>
        <item x="636"/>
        <item x="719"/>
        <item x="730"/>
        <item x="166"/>
        <item x="510"/>
        <item x="185"/>
        <item x="736"/>
        <item x="267"/>
        <item x="791"/>
        <item x="994"/>
        <item x="61"/>
        <item x="483"/>
        <item x="807"/>
        <item x="440"/>
        <item x="17"/>
        <item x="641"/>
        <item x="976"/>
        <item x="681"/>
        <item x="51"/>
        <item x="90"/>
        <item x="395"/>
        <item x="597"/>
        <item x="568"/>
        <item x="721"/>
        <item x="624"/>
        <item x="399"/>
        <item x="57"/>
        <item x="755"/>
        <item x="846"/>
        <item x="355"/>
        <item x="365"/>
        <item x="168"/>
        <item x="605"/>
        <item x="567"/>
        <item x="579"/>
        <item x="662"/>
        <item x="349"/>
        <item x="1021"/>
        <item x="78"/>
        <item x="535"/>
        <item x="778"/>
        <item x="25"/>
        <item x="91"/>
        <item x="903"/>
        <item x="990"/>
        <item x="345"/>
        <item x="453"/>
        <item x="898"/>
        <item x="858"/>
        <item x="737"/>
        <item x="754"/>
        <item x="861"/>
        <item x="727"/>
        <item x="969"/>
        <item x="69"/>
        <item x="141"/>
        <item x="598"/>
        <item x="405"/>
        <item x="348"/>
        <item x="713"/>
        <item x="949"/>
        <item x="872"/>
        <item x="829"/>
        <item x="628"/>
        <item x="63"/>
        <item x="669"/>
        <item x="162"/>
        <item x="592"/>
        <item x="42"/>
        <item x="794"/>
        <item x="667"/>
        <item x="939"/>
        <item x="581"/>
        <item x="603"/>
        <item x="952"/>
        <item x="497"/>
        <item x="697"/>
        <item x="530"/>
        <item x="901"/>
        <item x="734"/>
        <item x="379"/>
        <item x="714"/>
        <item x="366"/>
        <item x="381"/>
        <item x="797"/>
        <item x="315"/>
        <item x="726"/>
        <item x="75"/>
        <item x="899"/>
        <item x="744"/>
        <item x="415"/>
        <item x="826"/>
        <item x="927"/>
        <item x="50"/>
        <item x="308"/>
        <item x="913"/>
        <item x="503"/>
        <item x="105"/>
        <item x="666"/>
        <item x="602"/>
        <item x="977"/>
        <item x="943"/>
        <item x="436"/>
        <item x="359"/>
        <item x="863"/>
        <item x="635"/>
        <item x="22"/>
        <item x="979"/>
        <item x="653"/>
        <item x="547"/>
        <item x="144"/>
        <item x="752"/>
        <item x="457"/>
        <item x="888"/>
        <item x="123"/>
        <item x="396"/>
        <item x="404"/>
        <item x="928"/>
        <item x="696"/>
        <item x="982"/>
        <item x="125"/>
        <item x="607"/>
        <item x="35"/>
        <item x="577"/>
        <item x="646"/>
        <item x="479"/>
        <item x="827"/>
        <item x="319"/>
        <item x="143"/>
        <item x="326"/>
        <item x="62"/>
        <item x="975"/>
        <item x="973"/>
        <item x="64"/>
        <item x="460"/>
        <item x="417"/>
        <item x="518"/>
        <item x="957"/>
        <item x="720"/>
        <item x="56"/>
        <item x="474"/>
        <item x="508"/>
        <item x="258"/>
        <item x="111"/>
        <item x="356"/>
        <item x="591"/>
        <item x="67"/>
        <item x="473"/>
        <item x="430"/>
        <item x="445"/>
        <item x="565"/>
        <item x="654"/>
        <item x="191"/>
        <item x="891"/>
        <item x="391"/>
        <item x="588"/>
        <item x="687"/>
        <item x="89"/>
        <item x="879"/>
        <item x="389"/>
        <item x="905"/>
        <item x="688"/>
        <item x="553"/>
        <item x="955"/>
        <item x="264"/>
        <item x="88"/>
        <item x="644"/>
        <item x="620"/>
        <item x="337"/>
        <item x="623"/>
        <item x="481"/>
        <item x="608"/>
        <item x="845"/>
        <item x="560"/>
        <item x="364"/>
        <item x="171"/>
        <item x="297"/>
        <item x="995"/>
        <item x="305"/>
        <item x="390"/>
        <item x="772"/>
        <item x="883"/>
        <item x="449"/>
        <item x="157"/>
        <item x="468"/>
        <item x="498"/>
        <item x="542"/>
        <item x="5"/>
        <item x="286"/>
        <item x="385"/>
        <item x="765"/>
        <item x="500"/>
        <item x="11"/>
        <item x="437"/>
        <item x="525"/>
        <item x="274"/>
        <item x="632"/>
        <item x="512"/>
        <item x="486"/>
        <item x="683"/>
        <item x="1016"/>
        <item x="72"/>
        <item x="494"/>
        <item x="38"/>
        <item x="151"/>
        <item x="2"/>
        <item x="478"/>
        <item x="253"/>
        <item x="690"/>
        <item x="339"/>
        <item x="92"/>
        <item x="759"/>
        <item x="268"/>
        <item x="3"/>
        <item x="710"/>
        <item x="79"/>
        <item x="864"/>
        <item x="728"/>
        <item x="781"/>
        <item x="514"/>
        <item x="787"/>
        <item x="675"/>
        <item x="461"/>
        <item x="443"/>
        <item x="619"/>
        <item x="163"/>
        <item x="262"/>
        <item x="722"/>
        <item x="634"/>
        <item x="866"/>
        <item x="890"/>
        <item x="751"/>
        <item x="307"/>
        <item x="412"/>
        <item x="945"/>
        <item x="419"/>
        <item x="426"/>
        <item x="464"/>
        <item x="536"/>
        <item x="107"/>
        <item x="413"/>
        <item x="287"/>
        <item x="172"/>
        <item x="559"/>
        <item x="263"/>
        <item x="1000"/>
        <item x="255"/>
        <item x="652"/>
        <item x="988"/>
        <item x="323"/>
        <item x="133"/>
        <item x="758"/>
        <item x="357"/>
        <item x="1017"/>
        <item x="682"/>
        <item x="259"/>
        <item x="269"/>
        <item x="550"/>
        <item x="26"/>
        <item x="750"/>
        <item x="700"/>
        <item x="948"/>
        <item x="692"/>
        <item x="798"/>
        <item x="718"/>
        <item x="43"/>
        <item x="273"/>
        <item x="686"/>
        <item x="142"/>
        <item x="643"/>
        <item x="611"/>
        <item x="471"/>
        <item x="786"/>
        <item x="363"/>
        <item x="328"/>
        <item x="40"/>
        <item x="799"/>
        <item x="814"/>
        <item x="346"/>
        <item x="711"/>
        <item x="832"/>
        <item x="548"/>
        <item x="877"/>
        <item x="694"/>
        <item x="150"/>
        <item x="334"/>
        <item x="382"/>
        <item x="1020"/>
        <item x="601"/>
        <item x="676"/>
        <item x="582"/>
        <item x="515"/>
        <item x="640"/>
        <item x="773"/>
        <item x="281"/>
        <item x="66"/>
        <item x="9"/>
        <item x="904"/>
        <item x="24"/>
        <item x="431"/>
        <item x="132"/>
        <item x="672"/>
        <item x="14"/>
        <item x="139"/>
        <item x="763"/>
        <item x="942"/>
        <item x="893"/>
        <item x="997"/>
        <item x="175"/>
        <item x="612"/>
        <item x="575"/>
        <item x="271"/>
        <item x="28"/>
        <item x="73"/>
        <item x="18"/>
        <item x="961"/>
        <item x="352"/>
        <item x="254"/>
        <item x="680"/>
        <item x="279"/>
        <item x="122"/>
        <item x="165"/>
        <item x="306"/>
        <item x="388"/>
        <item x="964"/>
        <item x="261"/>
        <item x="757"/>
        <item x="892"/>
        <item x="406"/>
        <item x="311"/>
        <item x="738"/>
        <item x="908"/>
        <item x="940"/>
        <item x="626"/>
        <item x="659"/>
        <item x="946"/>
        <item x="270"/>
        <item x="485"/>
        <item x="673"/>
        <item x="351"/>
        <item x="397"/>
        <item x="833"/>
        <item x="284"/>
        <item x="789"/>
        <item x="539"/>
        <item x="146"/>
        <item x="110"/>
        <item x="394"/>
        <item x="249"/>
        <item x="716"/>
        <item x="941"/>
        <item x="324"/>
        <item x="678"/>
        <item x="894"/>
        <item x="6"/>
        <item x="12"/>
        <item x="534"/>
        <item x="884"/>
        <item x="414"/>
        <item x="332"/>
        <item x="703"/>
        <item x="953"/>
        <item x="41"/>
        <item x="152"/>
        <item x="561"/>
        <item x="288"/>
        <item x="170"/>
        <item x="848"/>
        <item x="488"/>
        <item x="336"/>
        <item x="322"/>
        <item x="732"/>
        <item x="932"/>
        <item x="532"/>
        <item x="816"/>
        <item x="367"/>
        <item x="878"/>
        <item x="420"/>
        <item x="140"/>
        <item x="869"/>
        <item x="398"/>
        <item x="875"/>
        <item x="885"/>
        <item x="557"/>
        <item x="371"/>
        <item x="428"/>
        <item x="148"/>
        <item x="475"/>
        <item x="585"/>
        <item x="156"/>
        <item x="149"/>
        <item x="447"/>
        <item x="34"/>
        <item x="82"/>
        <item x="451"/>
        <item x="265"/>
        <item x="549"/>
        <item x="193"/>
        <item x="658"/>
        <item x="929"/>
        <item x="182"/>
        <item x="586"/>
        <item x="477"/>
        <item x="86"/>
        <item x="724"/>
        <item x="344"/>
        <item x="368"/>
        <item x="529"/>
        <item x="421"/>
        <item x="950"/>
        <item x="285"/>
        <item x="914"/>
        <item x="250"/>
        <item x="260"/>
        <item x="504"/>
        <item x="762"/>
        <item x="458"/>
        <item x="715"/>
        <item x="519"/>
        <item x="876"/>
        <item x="805"/>
        <item x="350"/>
        <item x="68"/>
        <item x="938"/>
        <item x="463"/>
        <item x="354"/>
        <item x="127"/>
        <item x="983"/>
        <item x="435"/>
        <item x="685"/>
        <item x="887"/>
        <item x="1015"/>
        <item x="544"/>
        <item x="472"/>
        <item x="900"/>
        <item x="1014"/>
        <item x="275"/>
        <item x="44"/>
        <item x="313"/>
        <item x="910"/>
        <item x="39"/>
        <item x="933"/>
        <item x="649"/>
        <item x="8"/>
        <item x="671"/>
        <item x="951"/>
        <item x="526"/>
        <item x="251"/>
        <item x="617"/>
        <item x="808"/>
        <item x="974"/>
        <item x="1022"/>
        <item x="831"/>
        <item x="511"/>
        <item x="999"/>
        <item x="693"/>
        <item x="452"/>
        <item x="135"/>
        <item x="7"/>
        <item x="627"/>
        <item x="298"/>
        <item x="935"/>
        <item x="960"/>
        <item x="978"/>
        <item x="429"/>
        <item x="992"/>
        <item x="400"/>
        <item x="294"/>
        <item x="338"/>
        <item x="541"/>
        <item x="729"/>
        <item x="13"/>
        <item x="645"/>
        <item x="424"/>
        <item x="555"/>
        <item x="739"/>
        <item x="562"/>
        <item x="717"/>
        <item x="836"/>
        <item x="785"/>
        <item x="469"/>
        <item x="1"/>
        <item x="480"/>
        <item x="375"/>
        <item x="580"/>
        <item x="93"/>
        <item x="137"/>
        <item x="563"/>
        <item x="403"/>
        <item x="502"/>
        <item x="378"/>
        <item x="704"/>
        <item x="804"/>
        <item x="362"/>
        <item x="257"/>
        <item x="100"/>
        <item x="595"/>
        <item x="642"/>
        <item x="931"/>
        <item x="650"/>
        <item x="76"/>
        <item x="578"/>
        <item x="84"/>
        <item x="930"/>
        <item x="583"/>
        <item x="295"/>
        <item x="496"/>
        <item x="85"/>
        <item x="527"/>
        <item x="670"/>
        <item x="316"/>
        <item x="609"/>
        <item x="280"/>
        <item x="444"/>
        <item x="387"/>
        <item x="576"/>
        <item x="705"/>
        <item x="571"/>
        <item x="318"/>
        <item x="706"/>
        <item x="309"/>
        <item x="341"/>
        <item x="386"/>
        <item x="377"/>
        <item x="329"/>
        <item x="524"/>
        <item x="753"/>
        <item x="637"/>
        <item x="812"/>
        <item x="817"/>
        <item x="556"/>
        <item x="423"/>
        <item x="439"/>
        <item x="970"/>
        <item x="80"/>
        <item x="648"/>
        <item x="317"/>
        <item x="743"/>
        <item x="725"/>
        <item x="401"/>
        <item x="593"/>
        <item x="589"/>
        <item x="749"/>
        <item x="455"/>
        <item x="59"/>
        <item x="360"/>
        <item x="825"/>
        <item x="374"/>
        <item x="83"/>
        <item x="321"/>
        <item x="331"/>
        <item x="37"/>
        <item x="882"/>
        <item x="638"/>
        <item x="77"/>
        <item x="138"/>
        <item x="314"/>
        <item x="701"/>
        <item x="803"/>
        <item x="418"/>
        <item x="520"/>
        <item x="651"/>
        <item x="103"/>
        <item x="369"/>
        <item x="48"/>
        <item x="1013"/>
        <item x="46"/>
        <item x="310"/>
        <item x="989"/>
        <item x="113"/>
        <item x="104"/>
        <item x="633"/>
        <item x="119"/>
        <item x="456"/>
        <item x="521"/>
        <item x="947"/>
        <item x="380"/>
        <item x="570"/>
        <item x="432"/>
        <item x="668"/>
        <item x="335"/>
        <item x="665"/>
        <item x="926"/>
        <item x="327"/>
        <item x="272"/>
        <item x="482"/>
        <item x="466"/>
        <item x="493"/>
        <item x="320"/>
        <item x="291"/>
        <item x="956"/>
        <item x="154"/>
        <item x="422"/>
        <item x="574"/>
        <item x="600"/>
        <item x="116"/>
        <item x="507"/>
        <item x="505"/>
        <item x="266"/>
        <item x="120"/>
        <item x="96"/>
        <item x="566"/>
        <item x="459"/>
        <item x="470"/>
        <item x="746"/>
        <item x="276"/>
        <item x="155"/>
        <item x="256"/>
        <item x="965"/>
        <item x="972"/>
        <item x="513"/>
        <item x="491"/>
        <item x="183"/>
        <item x="411"/>
        <item x="630"/>
        <item x="962"/>
        <item x="766"/>
        <item x="15"/>
        <item x="934"/>
        <item x="131"/>
        <item x="655"/>
        <item x="58"/>
        <item x="393"/>
        <item x="492"/>
        <item x="87"/>
        <item x="909"/>
        <item x="325"/>
        <item x="528"/>
        <item x="776"/>
        <item x="985"/>
        <item x="347"/>
        <item x="292"/>
        <item x="340"/>
        <item x="745"/>
        <item x="771"/>
        <item x="106"/>
        <item x="621"/>
        <item h="1" x="112"/>
      </items>
    </pivotField>
    <pivotField axis="axisPage" multipleItemSelectionAllowed="1" showAll="0" defaultSubtotal="0">
      <items count="17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m="1" x="16"/>
        <item x="0"/>
        <item x="15"/>
      </items>
    </pivotField>
    <pivotField showAll="0" defaultSubtotal="0"/>
    <pivotField axis="axisCol" showAll="0" defaultSubtotal="0">
      <items count="5">
        <item x="0"/>
        <item x="2"/>
        <item x="4"/>
        <item x="3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748">
    <i>
      <x v="3"/>
    </i>
    <i>
      <x v="4"/>
    </i>
    <i>
      <x v="5"/>
    </i>
    <i>
      <x v="6"/>
    </i>
    <i>
      <x v="10"/>
    </i>
    <i>
      <x v="11"/>
    </i>
    <i>
      <x v="21"/>
    </i>
    <i>
      <x v="22"/>
    </i>
    <i>
      <x v="25"/>
    </i>
    <i>
      <x v="26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0"/>
    </i>
    <i>
      <x v="71"/>
    </i>
    <i>
      <x v="72"/>
    </i>
    <i>
      <x v="73"/>
    </i>
    <i>
      <x v="76"/>
    </i>
    <i>
      <x v="77"/>
    </i>
    <i>
      <x v="80"/>
    </i>
    <i>
      <x v="81"/>
    </i>
    <i>
      <x v="82"/>
    </i>
    <i>
      <x v="83"/>
    </i>
    <i>
      <x v="84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9"/>
    </i>
    <i>
      <x v="163"/>
    </i>
    <i>
      <x v="164"/>
    </i>
    <i>
      <x v="165"/>
    </i>
    <i>
      <x v="166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94"/>
    </i>
    <i>
      <x v="195"/>
    </i>
    <i>
      <x v="196"/>
    </i>
    <i>
      <x v="197"/>
    </i>
    <i>
      <x v="198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50"/>
    </i>
    <i>
      <x v="351"/>
    </i>
    <i>
      <x v="353"/>
    </i>
    <i>
      <x v="355"/>
    </i>
    <i>
      <x v="356"/>
    </i>
    <i>
      <x v="357"/>
    </i>
    <i>
      <x v="358"/>
    </i>
    <i>
      <x v="359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5"/>
    </i>
    <i>
      <x v="396"/>
    </i>
    <i>
      <x v="397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7"/>
    </i>
    <i>
      <x v="538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7"/>
    </i>
    <i>
      <x v="648"/>
    </i>
    <i>
      <x v="649"/>
    </i>
    <i>
      <x v="651"/>
    </i>
    <i>
      <x v="652"/>
    </i>
    <i>
      <x v="653"/>
    </i>
    <i>
      <x v="656"/>
    </i>
    <i>
      <x v="657"/>
    </i>
    <i>
      <x v="661"/>
    </i>
    <i>
      <x v="663"/>
    </i>
    <i>
      <x v="664"/>
    </i>
    <i>
      <x v="666"/>
    </i>
    <i>
      <x v="668"/>
    </i>
    <i>
      <x v="669"/>
    </i>
    <i>
      <x v="670"/>
    </i>
    <i>
      <x v="671"/>
    </i>
    <i>
      <x v="672"/>
    </i>
    <i>
      <x v="675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2"/>
    </i>
    <i>
      <x v="693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8"/>
    </i>
    <i>
      <x v="709"/>
    </i>
    <i>
      <x v="710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3"/>
    </i>
    <i>
      <x v="794"/>
    </i>
    <i>
      <x v="795"/>
    </i>
    <i>
      <x v="796"/>
    </i>
    <i>
      <x v="797"/>
    </i>
    <i>
      <x v="798"/>
    </i>
    <i>
      <x v="800"/>
    </i>
    <i>
      <x v="801"/>
    </i>
    <i>
      <x v="802"/>
    </i>
    <i>
      <x v="803"/>
    </i>
    <i>
      <x v="804"/>
    </i>
    <i>
      <x v="806"/>
    </i>
    <i>
      <x v="807"/>
    </i>
    <i>
      <x v="810"/>
    </i>
    <i>
      <x v="811"/>
    </i>
    <i>
      <x v="813"/>
    </i>
    <i>
      <x v="814"/>
    </i>
    <i>
      <x v="818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30"/>
    </i>
    <i>
      <x v="833"/>
    </i>
    <i>
      <x v="834"/>
    </i>
    <i>
      <x v="835"/>
    </i>
    <i>
      <x v="863"/>
    </i>
    <i>
      <x v="865"/>
    </i>
    <i>
      <x v="866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7"/>
    </i>
    <i>
      <x v="878"/>
    </i>
    <i>
      <x v="884"/>
    </i>
    <i>
      <x v="886"/>
    </i>
    <i>
      <x v="888"/>
    </i>
    <i>
      <x v="889"/>
    </i>
    <i>
      <x v="890"/>
    </i>
    <i>
      <x v="891"/>
    </i>
    <i>
      <x v="896"/>
    </i>
    <i>
      <x v="898"/>
    </i>
    <i>
      <x v="902"/>
    </i>
    <i>
      <x v="903"/>
    </i>
    <i>
      <x v="904"/>
    </i>
    <i>
      <x v="905"/>
    </i>
    <i>
      <x v="906"/>
    </i>
    <i>
      <x v="909"/>
    </i>
    <i>
      <x v="910"/>
    </i>
    <i>
      <x v="914"/>
    </i>
    <i>
      <x v="915"/>
    </i>
    <i>
      <x v="916"/>
    </i>
    <i>
      <x v="917"/>
    </i>
    <i>
      <x v="920"/>
    </i>
    <i>
      <x v="921"/>
    </i>
    <i>
      <x v="925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5"/>
    </i>
    <i>
      <x v="936"/>
    </i>
    <i>
      <x v="939"/>
    </i>
    <i>
      <x v="941"/>
    </i>
    <i>
      <x v="943"/>
    </i>
    <i>
      <x v="945"/>
    </i>
    <i>
      <x v="947"/>
    </i>
    <i>
      <x v="949"/>
    </i>
    <i>
      <x v="950"/>
    </i>
    <i>
      <x v="951"/>
    </i>
    <i>
      <x v="953"/>
    </i>
    <i>
      <x v="955"/>
    </i>
    <i>
      <x v="956"/>
    </i>
    <i>
      <x v="957"/>
    </i>
    <i>
      <x v="959"/>
    </i>
    <i>
      <x v="962"/>
    </i>
    <i>
      <x v="964"/>
    </i>
    <i>
      <x v="965"/>
    </i>
    <i>
      <x v="966"/>
    </i>
    <i>
      <x v="967"/>
    </i>
    <i>
      <x v="968"/>
    </i>
    <i>
      <x v="969"/>
    </i>
    <i>
      <x v="971"/>
    </i>
    <i>
      <x v="972"/>
    </i>
    <i>
      <x v="973"/>
    </i>
    <i>
      <x v="975"/>
    </i>
    <i>
      <x v="983"/>
    </i>
    <i>
      <x v="986"/>
    </i>
    <i>
      <x v="994"/>
    </i>
    <i>
      <x v="995"/>
    </i>
    <i>
      <x v="998"/>
    </i>
    <i>
      <x v="999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3"/>
    </i>
    <i>
      <x v="1014"/>
    </i>
    <i>
      <x v="1015"/>
    </i>
    <i>
      <x v="1016"/>
    </i>
    <i>
      <x v="1018"/>
    </i>
    <i>
      <x v="1026"/>
    </i>
    <i>
      <x v="1027"/>
    </i>
    <i>
      <x v="1029"/>
    </i>
    <i>
      <x v="1031"/>
    </i>
    <i>
      <x v="1038"/>
    </i>
    <i>
      <x v="1040"/>
    </i>
    <i>
      <x v="1041"/>
    </i>
    <i>
      <x v="1042"/>
    </i>
    <i>
      <x v="1043"/>
    </i>
    <i>
      <x v="1071"/>
    </i>
    <i>
      <x v="1072"/>
    </i>
    <i>
      <x v="1073"/>
    </i>
    <i t="grand">
      <x/>
    </i>
  </rowItems>
  <colFields count="3">
    <field x="5"/>
    <field x="6"/>
    <field x="12"/>
  </colFields>
  <colItems count="8">
    <i>
      <x/>
      <x v="1"/>
      <x/>
    </i>
    <i r="1">
      <x v="2"/>
      <x/>
    </i>
    <i>
      <x v="1"/>
      <x/>
      <x/>
    </i>
    <i r="2">
      <x v="1"/>
    </i>
    <i r="2">
      <x v="2"/>
    </i>
    <i r="2">
      <x v="3"/>
    </i>
    <i r="2">
      <x v="4"/>
    </i>
    <i r="1">
      <x v="2"/>
      <x/>
    </i>
  </colItems>
  <pageFields count="3">
    <pageField fld="10" hier="-1"/>
    <pageField fld="9" hier="-1"/>
    <pageField fld="4" hier="-1"/>
  </pageFields>
  <dataFields count="1">
    <dataField name="Somme de d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4-09-06T06:55:42.49" personId="{8408EC97-B73C-4832-8F37-20FE73A301EF}" id="{6C079C5A-11C8-4DA3-A026-FA7CA3D03725}">
    <text>Type de prélèvement:
Jgd: hunting
Mamjja: spring and sommer catch
Son: automn catch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00B050"/>
  </sheetPr>
  <dimension ref="A1:AM1076"/>
  <sheetViews>
    <sheetView tabSelected="1" topLeftCell="T1" workbookViewId="0">
      <pane ySplit="1" topLeftCell="A309" activePane="bottomLeft" state="frozen"/>
      <selection pane="bottomLeft" activeCell="AM1" sqref="AI1:AM1"/>
    </sheetView>
  </sheetViews>
  <sheetFormatPr defaultColWidth="6.109375" defaultRowHeight="14.4" x14ac:dyDescent="0.3"/>
  <cols>
    <col min="1" max="1" width="20.44140625" style="51" bestFit="1" customWidth="1"/>
    <col min="2" max="2" width="16.44140625" style="54" bestFit="1" customWidth="1"/>
    <col min="3" max="3" width="7.109375" style="51" bestFit="1" customWidth="1"/>
    <col min="4" max="4" width="9.109375" style="53" bestFit="1" customWidth="1"/>
    <col min="5" max="5" width="9.44140625" style="53" bestFit="1" customWidth="1"/>
    <col min="6" max="6" width="8.44140625" style="51" bestFit="1" customWidth="1"/>
    <col min="7" max="7" width="12.109375" style="51" bestFit="1" customWidth="1"/>
    <col min="8" max="8" width="15.44140625" style="25" bestFit="1" customWidth="1"/>
    <col min="9" max="9" width="10" bestFit="1" customWidth="1"/>
    <col min="10" max="11" width="2.77734375" customWidth="1"/>
    <col min="12" max="12" width="16.6640625" style="25" bestFit="1" customWidth="1"/>
    <col min="13" max="13" width="14.33203125" style="25" customWidth="1"/>
    <col min="14" max="17" width="14.33203125" customWidth="1"/>
    <col min="18" max="18" width="14.33203125" style="9" customWidth="1"/>
    <col min="19" max="23" width="14.33203125" customWidth="1"/>
    <col min="24" max="24" width="14.33203125" style="57" customWidth="1"/>
    <col min="25" max="26" width="14.33203125" customWidth="1"/>
    <col min="27" max="30" width="14.33203125" style="3" customWidth="1"/>
    <col min="31" max="32" width="14.33203125" style="23" customWidth="1"/>
    <col min="33" max="33" width="14.33203125" style="60" customWidth="1"/>
    <col min="34" max="34" width="11.88671875" style="62" customWidth="1"/>
    <col min="35" max="35" width="12.6640625" style="57" customWidth="1"/>
    <col min="36" max="37" width="2.109375" style="3" customWidth="1"/>
    <col min="38" max="38" width="2.109375" customWidth="1"/>
    <col min="39" max="39" width="98.44140625" bestFit="1" customWidth="1"/>
  </cols>
  <sheetData>
    <row r="1" spans="1:39" ht="18" thickBot="1" x14ac:dyDescent="0.4">
      <c r="A1" s="50" t="s">
        <v>0</v>
      </c>
      <c r="B1" s="52" t="s">
        <v>1</v>
      </c>
      <c r="C1" s="50" t="s">
        <v>2764</v>
      </c>
      <c r="D1" s="52" t="s">
        <v>4</v>
      </c>
      <c r="E1" s="52" t="s">
        <v>5</v>
      </c>
      <c r="F1" s="50" t="s">
        <v>2714</v>
      </c>
      <c r="G1" s="50" t="s">
        <v>2705</v>
      </c>
      <c r="H1" s="50" t="s">
        <v>2760</v>
      </c>
      <c r="I1" s="7" t="s">
        <v>2</v>
      </c>
      <c r="J1" s="7" t="s">
        <v>2686</v>
      </c>
      <c r="K1" s="7" t="s">
        <v>2687</v>
      </c>
      <c r="L1" s="50" t="s">
        <v>2867</v>
      </c>
      <c r="M1" s="50" t="s">
        <v>2868</v>
      </c>
      <c r="N1" s="7" t="s">
        <v>3</v>
      </c>
      <c r="O1" s="7" t="s">
        <v>2688</v>
      </c>
      <c r="P1" s="7" t="s">
        <v>2689</v>
      </c>
      <c r="Q1" s="7" t="s">
        <v>2690</v>
      </c>
      <c r="R1" s="10" t="s">
        <v>2704</v>
      </c>
      <c r="S1" s="7" t="s">
        <v>6</v>
      </c>
      <c r="T1" s="7" t="s">
        <v>2691</v>
      </c>
      <c r="U1" s="7" t="s">
        <v>2692</v>
      </c>
      <c r="V1" s="7" t="s">
        <v>2693</v>
      </c>
      <c r="W1" s="7" t="s">
        <v>2694</v>
      </c>
      <c r="X1" s="56" t="s">
        <v>2713</v>
      </c>
      <c r="Y1" s="5" t="s">
        <v>10</v>
      </c>
      <c r="Z1" s="5" t="s">
        <v>11</v>
      </c>
      <c r="AA1" s="14" t="s">
        <v>2747</v>
      </c>
      <c r="AB1" s="14" t="s">
        <v>2810</v>
      </c>
      <c r="AC1" s="14" t="s">
        <v>2755</v>
      </c>
      <c r="AD1" s="14" t="s">
        <v>2749</v>
      </c>
      <c r="AE1" s="7" t="s">
        <v>8</v>
      </c>
      <c r="AF1" s="7" t="s">
        <v>2712</v>
      </c>
      <c r="AG1" s="58" t="s">
        <v>2697</v>
      </c>
      <c r="AH1" s="59" t="s">
        <v>9</v>
      </c>
      <c r="AI1" s="56" t="s">
        <v>2711</v>
      </c>
      <c r="AJ1" s="6" t="s">
        <v>2742</v>
      </c>
      <c r="AK1" s="14" t="s">
        <v>2743</v>
      </c>
      <c r="AL1" s="7" t="s">
        <v>2681</v>
      </c>
      <c r="AM1" s="7" t="s">
        <v>7</v>
      </c>
    </row>
    <row r="2" spans="1:39" ht="15" hidden="1" thickTop="1" x14ac:dyDescent="0.3">
      <c r="A2" s="51" t="s">
        <v>1880</v>
      </c>
      <c r="B2" s="54" t="s">
        <v>1056</v>
      </c>
      <c r="C2" s="51" t="s">
        <v>2765</v>
      </c>
      <c r="D2" s="53">
        <v>1</v>
      </c>
      <c r="E2" s="53">
        <v>0</v>
      </c>
      <c r="F2" s="51" t="s">
        <v>2744</v>
      </c>
      <c r="G2" s="51" t="s">
        <v>2695</v>
      </c>
      <c r="H2" s="25" t="str">
        <f t="shared" ref="H2:H33" si="0">IF(T2=1,"jgd",IF(W2=1,"Captures automne","Captures printemps-été"))</f>
        <v>jgd</v>
      </c>
      <c r="I2" t="s">
        <v>13</v>
      </c>
      <c r="J2" t="s">
        <v>519</v>
      </c>
      <c r="K2" t="s">
        <v>1881</v>
      </c>
      <c r="L2" s="25">
        <v>47.034947019999997</v>
      </c>
      <c r="M2" s="25">
        <v>6.828033467</v>
      </c>
      <c r="N2">
        <v>6</v>
      </c>
      <c r="O2">
        <v>26</v>
      </c>
      <c r="P2">
        <v>10</v>
      </c>
      <c r="Q2">
        <v>2016</v>
      </c>
      <c r="R2" s="9">
        <v>42669</v>
      </c>
      <c r="S2">
        <v>292</v>
      </c>
      <c r="T2">
        <v>1</v>
      </c>
      <c r="U2">
        <v>0</v>
      </c>
      <c r="V2">
        <v>0</v>
      </c>
      <c r="W2">
        <v>0</v>
      </c>
      <c r="X2" s="57">
        <f t="shared" ref="X2:X65" si="1">1.25 * AF2 - 5.6375</f>
        <v>-159.78854849999999</v>
      </c>
      <c r="Y2">
        <v>-23.73</v>
      </c>
      <c r="Z2">
        <v>4.63</v>
      </c>
      <c r="AA2" s="3">
        <f>-ROUND(X2/10,0)</f>
        <v>16</v>
      </c>
      <c r="AB2" s="3">
        <f>ROUND(Z2,0)</f>
        <v>5</v>
      </c>
      <c r="AD2" s="3" t="s">
        <v>2750</v>
      </c>
      <c r="AE2" s="4">
        <v>-123.3208388</v>
      </c>
      <c r="AF2" s="4">
        <f t="shared" ref="AF2:AF65" si="2">IF(AI2&lt;0,AI2,AE2)</f>
        <v>-123.3208388</v>
      </c>
      <c r="AG2" s="60" t="s">
        <v>16</v>
      </c>
      <c r="AH2" s="61" t="s">
        <v>16</v>
      </c>
      <c r="AJ2" s="3">
        <f t="shared" ref="AJ2:AJ65" si="3">-ROUND(AF2/10,0)</f>
        <v>12</v>
      </c>
      <c r="AK2" s="3" t="s">
        <v>2745</v>
      </c>
      <c r="AL2">
        <v>12</v>
      </c>
      <c r="AM2" t="s">
        <v>15</v>
      </c>
    </row>
    <row r="3" spans="1:39" ht="15" hidden="1" thickTop="1" x14ac:dyDescent="0.3">
      <c r="A3" s="51" t="s">
        <v>434</v>
      </c>
      <c r="B3" s="54" t="s">
        <v>179</v>
      </c>
      <c r="C3" s="51" t="s">
        <v>2765</v>
      </c>
      <c r="D3" s="53">
        <v>1</v>
      </c>
      <c r="E3" s="53">
        <v>0</v>
      </c>
      <c r="F3" s="51" t="s">
        <v>2744</v>
      </c>
      <c r="G3" s="51" t="s">
        <v>2695</v>
      </c>
      <c r="H3" s="25" t="str">
        <f t="shared" si="0"/>
        <v>jgd</v>
      </c>
      <c r="I3" t="s">
        <v>72</v>
      </c>
      <c r="J3" t="s">
        <v>435</v>
      </c>
      <c r="K3" t="s">
        <v>436</v>
      </c>
      <c r="L3" s="25">
        <v>46.135146900000002</v>
      </c>
      <c r="M3" s="25">
        <v>8.9364838140000007</v>
      </c>
      <c r="N3">
        <v>4</v>
      </c>
      <c r="O3">
        <v>29</v>
      </c>
      <c r="P3">
        <v>10</v>
      </c>
      <c r="Q3">
        <v>2014</v>
      </c>
      <c r="R3" s="9">
        <v>41941</v>
      </c>
      <c r="S3">
        <v>278</v>
      </c>
      <c r="T3">
        <v>1</v>
      </c>
      <c r="U3">
        <v>0</v>
      </c>
      <c r="V3">
        <v>0</v>
      </c>
      <c r="W3">
        <v>0</v>
      </c>
      <c r="X3">
        <f t="shared" si="1"/>
        <v>-144.96249999999998</v>
      </c>
      <c r="Y3">
        <v>-23.32075</v>
      </c>
      <c r="Z3">
        <v>7.3316396529999999</v>
      </c>
      <c r="AA3" s="3">
        <f t="shared" ref="AA3:AA66" si="4">-ROUND(X3/10,0)</f>
        <v>14</v>
      </c>
      <c r="AB3" s="3">
        <f t="shared" ref="AB3:AB66" si="5">ROUND(Z3,0)</f>
        <v>7</v>
      </c>
      <c r="AD3" s="3" t="s">
        <v>2754</v>
      </c>
      <c r="AE3" s="4">
        <v>-111.46</v>
      </c>
      <c r="AF3" s="4">
        <f t="shared" si="2"/>
        <v>-111.46</v>
      </c>
      <c r="AG3" s="1">
        <v>-135</v>
      </c>
      <c r="AH3" s="2">
        <v>-144.96</v>
      </c>
      <c r="AI3"/>
      <c r="AJ3" s="3">
        <f t="shared" si="3"/>
        <v>11</v>
      </c>
      <c r="AK3" s="3" t="s">
        <v>2745</v>
      </c>
      <c r="AL3">
        <v>11</v>
      </c>
      <c r="AM3" t="s">
        <v>15</v>
      </c>
    </row>
    <row r="4" spans="1:39" ht="15" hidden="1" thickTop="1" x14ac:dyDescent="0.3">
      <c r="A4" s="51" t="s">
        <v>440</v>
      </c>
      <c r="B4" s="54" t="s">
        <v>188</v>
      </c>
      <c r="C4" s="51" t="s">
        <v>2765</v>
      </c>
      <c r="D4" s="53">
        <v>1</v>
      </c>
      <c r="E4" s="53">
        <v>0</v>
      </c>
      <c r="F4" s="51" t="s">
        <v>2744</v>
      </c>
      <c r="G4" s="51" t="s">
        <v>2695</v>
      </c>
      <c r="H4" s="25" t="str">
        <f t="shared" si="0"/>
        <v>jgd</v>
      </c>
      <c r="I4" t="s">
        <v>72</v>
      </c>
      <c r="J4" t="s">
        <v>441</v>
      </c>
      <c r="K4" t="s">
        <v>442</v>
      </c>
      <c r="L4" s="25">
        <v>46.109433860000003</v>
      </c>
      <c r="M4" s="25">
        <v>8.9752322479999993</v>
      </c>
      <c r="N4">
        <v>4</v>
      </c>
      <c r="O4">
        <v>8</v>
      </c>
      <c r="P4">
        <v>11</v>
      </c>
      <c r="Q4">
        <v>2014</v>
      </c>
      <c r="R4" s="9">
        <v>41951</v>
      </c>
      <c r="S4">
        <v>329</v>
      </c>
      <c r="T4">
        <v>1</v>
      </c>
      <c r="U4">
        <v>0</v>
      </c>
      <c r="V4">
        <v>0</v>
      </c>
      <c r="W4">
        <v>0</v>
      </c>
      <c r="X4">
        <f t="shared" si="1"/>
        <v>-140.32499999999999</v>
      </c>
      <c r="Y4">
        <v>-23.574750000000002</v>
      </c>
      <c r="Z4">
        <v>5.7582361449999997</v>
      </c>
      <c r="AA4" s="3">
        <f t="shared" si="4"/>
        <v>14</v>
      </c>
      <c r="AB4" s="3">
        <f t="shared" si="5"/>
        <v>6</v>
      </c>
      <c r="AD4" s="3" t="s">
        <v>2754</v>
      </c>
      <c r="AE4" s="4">
        <v>-107.75</v>
      </c>
      <c r="AF4" s="4">
        <f t="shared" si="2"/>
        <v>-107.75</v>
      </c>
      <c r="AG4" s="1">
        <v>-131.19999999999999</v>
      </c>
      <c r="AH4" s="2">
        <v>-140.33000000000001</v>
      </c>
      <c r="AI4"/>
      <c r="AJ4" s="3">
        <f t="shared" si="3"/>
        <v>11</v>
      </c>
      <c r="AK4" s="3" t="s">
        <v>2745</v>
      </c>
      <c r="AL4">
        <v>11</v>
      </c>
      <c r="AM4" t="s">
        <v>15</v>
      </c>
    </row>
    <row r="5" spans="1:39" ht="15" hidden="1" thickTop="1" x14ac:dyDescent="0.3">
      <c r="A5" s="51" t="s">
        <v>1368</v>
      </c>
      <c r="B5" s="54" t="s">
        <v>1369</v>
      </c>
      <c r="C5" s="51" t="s">
        <v>2765</v>
      </c>
      <c r="D5" s="53">
        <v>1</v>
      </c>
      <c r="E5" s="53">
        <v>0</v>
      </c>
      <c r="F5" s="51" t="s">
        <v>2744</v>
      </c>
      <c r="G5" s="51" t="s">
        <v>2695</v>
      </c>
      <c r="H5" s="25" t="str">
        <f t="shared" si="0"/>
        <v>jgd</v>
      </c>
      <c r="I5" t="s">
        <v>30</v>
      </c>
      <c r="J5" t="s">
        <v>259</v>
      </c>
      <c r="K5" t="s">
        <v>1370</v>
      </c>
      <c r="L5" s="25">
        <v>46.766638039999997</v>
      </c>
      <c r="M5" s="25">
        <v>7.0400235760000003</v>
      </c>
      <c r="N5">
        <v>5</v>
      </c>
      <c r="O5">
        <v>4</v>
      </c>
      <c r="P5">
        <v>11</v>
      </c>
      <c r="Q5">
        <v>2015</v>
      </c>
      <c r="R5" s="9">
        <v>42312</v>
      </c>
      <c r="S5">
        <v>289</v>
      </c>
      <c r="T5">
        <v>1</v>
      </c>
      <c r="U5">
        <v>0</v>
      </c>
      <c r="V5">
        <v>0</v>
      </c>
      <c r="W5">
        <v>0</v>
      </c>
      <c r="X5">
        <f t="shared" si="1"/>
        <v>-137.73750000000001</v>
      </c>
      <c r="Y5">
        <v>-23.178866630000002</v>
      </c>
      <c r="Z5">
        <v>5.7855787210000003</v>
      </c>
      <c r="AA5" s="3">
        <f t="shared" si="4"/>
        <v>14</v>
      </c>
      <c r="AB5" s="3">
        <f t="shared" si="5"/>
        <v>6</v>
      </c>
      <c r="AD5" s="3" t="s">
        <v>2751</v>
      </c>
      <c r="AE5" s="4">
        <v>-105.68</v>
      </c>
      <c r="AF5" s="4">
        <f t="shared" si="2"/>
        <v>-105.68</v>
      </c>
      <c r="AG5" s="1">
        <v>-129.1</v>
      </c>
      <c r="AH5" s="2">
        <v>-137.74</v>
      </c>
      <c r="AI5"/>
      <c r="AJ5" s="3">
        <f t="shared" si="3"/>
        <v>11</v>
      </c>
      <c r="AK5" s="3" t="s">
        <v>2745</v>
      </c>
      <c r="AL5">
        <v>11</v>
      </c>
      <c r="AM5" t="s">
        <v>15</v>
      </c>
    </row>
    <row r="6" spans="1:39" ht="15" hidden="1" thickTop="1" x14ac:dyDescent="0.3">
      <c r="A6" s="51" t="s">
        <v>1911</v>
      </c>
      <c r="B6" s="54" t="s">
        <v>1912</v>
      </c>
      <c r="C6" s="51" t="s">
        <v>2765</v>
      </c>
      <c r="D6" s="53">
        <v>1</v>
      </c>
      <c r="E6" s="53">
        <v>0</v>
      </c>
      <c r="F6" s="51" t="s">
        <v>2744</v>
      </c>
      <c r="G6" s="51" t="s">
        <v>2695</v>
      </c>
      <c r="H6" s="25" t="str">
        <f t="shared" si="0"/>
        <v>jgd</v>
      </c>
      <c r="I6" t="s">
        <v>13</v>
      </c>
      <c r="J6" t="s">
        <v>1146</v>
      </c>
      <c r="K6" t="s">
        <v>1913</v>
      </c>
      <c r="L6" s="25">
        <v>47.082647950000002</v>
      </c>
      <c r="M6" s="25">
        <v>6.7574323749999996</v>
      </c>
      <c r="N6">
        <v>5</v>
      </c>
      <c r="O6">
        <v>2</v>
      </c>
      <c r="P6">
        <v>11</v>
      </c>
      <c r="Q6">
        <v>2016</v>
      </c>
      <c r="R6" s="9">
        <v>42676</v>
      </c>
      <c r="S6">
        <v>328</v>
      </c>
      <c r="T6">
        <v>1</v>
      </c>
      <c r="U6">
        <v>0</v>
      </c>
      <c r="V6">
        <v>0</v>
      </c>
      <c r="W6">
        <v>0</v>
      </c>
      <c r="X6" s="57">
        <f t="shared" si="1"/>
        <v>-137.43673237499999</v>
      </c>
      <c r="Y6">
        <v>-24.08</v>
      </c>
      <c r="Z6">
        <v>1.4</v>
      </c>
      <c r="AA6" s="3">
        <f t="shared" si="4"/>
        <v>14</v>
      </c>
      <c r="AB6" s="3">
        <f t="shared" si="5"/>
        <v>1</v>
      </c>
      <c r="AD6" s="3" t="s">
        <v>2750</v>
      </c>
      <c r="AE6" s="4">
        <v>-105.4393859</v>
      </c>
      <c r="AF6" s="4">
        <f t="shared" si="2"/>
        <v>-105.4393859</v>
      </c>
      <c r="AG6" s="60" t="s">
        <v>16</v>
      </c>
      <c r="AH6" s="61" t="s">
        <v>16</v>
      </c>
      <c r="AJ6" s="3">
        <f t="shared" si="3"/>
        <v>11</v>
      </c>
      <c r="AK6" s="3" t="s">
        <v>2745</v>
      </c>
      <c r="AL6">
        <v>11</v>
      </c>
      <c r="AM6" t="s">
        <v>15</v>
      </c>
    </row>
    <row r="7" spans="1:39" ht="15" hidden="1" thickTop="1" x14ac:dyDescent="0.3">
      <c r="A7" s="51" t="s">
        <v>220</v>
      </c>
      <c r="B7" s="54" t="s">
        <v>221</v>
      </c>
      <c r="C7" s="51" t="s">
        <v>2765</v>
      </c>
      <c r="D7" s="53">
        <v>1</v>
      </c>
      <c r="E7" s="53">
        <v>0</v>
      </c>
      <c r="F7" s="51" t="s">
        <v>2744</v>
      </c>
      <c r="G7" s="51" t="s">
        <v>2695</v>
      </c>
      <c r="H7" s="25" t="str">
        <f t="shared" si="0"/>
        <v>jgd</v>
      </c>
      <c r="I7" t="s">
        <v>13</v>
      </c>
      <c r="J7" t="s">
        <v>222</v>
      </c>
      <c r="K7" t="s">
        <v>223</v>
      </c>
      <c r="L7" s="25">
        <v>47.014188519999998</v>
      </c>
      <c r="M7" s="25">
        <v>6.8218251560000001</v>
      </c>
      <c r="N7">
        <v>4</v>
      </c>
      <c r="O7">
        <v>9</v>
      </c>
      <c r="P7">
        <v>11</v>
      </c>
      <c r="Q7">
        <v>2013</v>
      </c>
      <c r="R7" s="9">
        <v>41587</v>
      </c>
      <c r="S7">
        <v>400</v>
      </c>
      <c r="T7">
        <v>1</v>
      </c>
      <c r="U7">
        <v>0</v>
      </c>
      <c r="V7">
        <v>0</v>
      </c>
      <c r="W7">
        <v>0</v>
      </c>
      <c r="X7">
        <f t="shared" si="1"/>
        <v>-135.46249999999998</v>
      </c>
      <c r="Y7">
        <v>192.0669542</v>
      </c>
      <c r="Z7">
        <v>5.7112848139999999</v>
      </c>
      <c r="AA7" s="3">
        <f t="shared" si="4"/>
        <v>14</v>
      </c>
      <c r="AB7" s="3">
        <f t="shared" si="5"/>
        <v>6</v>
      </c>
      <c r="AD7" s="3" t="s">
        <v>2750</v>
      </c>
      <c r="AE7" s="4">
        <v>-103.86</v>
      </c>
      <c r="AF7" s="4">
        <f t="shared" si="2"/>
        <v>-103.86</v>
      </c>
      <c r="AG7" s="1">
        <v>-127.2</v>
      </c>
      <c r="AH7" s="2">
        <v>-135.46</v>
      </c>
      <c r="AI7"/>
      <c r="AJ7" s="3">
        <f t="shared" si="3"/>
        <v>10</v>
      </c>
      <c r="AK7" s="3" t="s">
        <v>2745</v>
      </c>
      <c r="AL7">
        <v>10</v>
      </c>
      <c r="AM7" t="s">
        <v>15</v>
      </c>
    </row>
    <row r="8" spans="1:39" ht="15" hidden="1" thickTop="1" x14ac:dyDescent="0.3">
      <c r="A8" s="51" t="s">
        <v>727</v>
      </c>
      <c r="B8" s="54" t="s">
        <v>347</v>
      </c>
      <c r="C8" s="51" t="s">
        <v>2765</v>
      </c>
      <c r="D8" s="53">
        <v>1</v>
      </c>
      <c r="E8" s="53">
        <v>0</v>
      </c>
      <c r="F8" s="51" t="s">
        <v>2744</v>
      </c>
      <c r="G8" s="51" t="s">
        <v>2695</v>
      </c>
      <c r="H8" s="25" t="str">
        <f t="shared" si="0"/>
        <v>jgd</v>
      </c>
      <c r="I8" t="s">
        <v>72</v>
      </c>
      <c r="J8" t="s">
        <v>113</v>
      </c>
      <c r="K8" t="s">
        <v>728</v>
      </c>
      <c r="L8" s="25">
        <v>46.210121280000003</v>
      </c>
      <c r="M8" s="25">
        <v>8.6900506719999999</v>
      </c>
      <c r="N8">
        <v>6</v>
      </c>
      <c r="O8">
        <v>27</v>
      </c>
      <c r="P8">
        <v>10</v>
      </c>
      <c r="Q8">
        <v>2015</v>
      </c>
      <c r="R8" s="9">
        <v>42304</v>
      </c>
      <c r="S8">
        <v>275</v>
      </c>
      <c r="T8">
        <v>1</v>
      </c>
      <c r="U8">
        <v>0</v>
      </c>
      <c r="V8">
        <v>0</v>
      </c>
      <c r="W8">
        <v>0</v>
      </c>
      <c r="X8">
        <f t="shared" si="1"/>
        <v>-133.78749999999999</v>
      </c>
      <c r="Y8">
        <v>-23.714200000000002</v>
      </c>
      <c r="Z8">
        <v>6.485536422</v>
      </c>
      <c r="AA8" s="3">
        <f t="shared" si="4"/>
        <v>13</v>
      </c>
      <c r="AB8" s="3">
        <f t="shared" si="5"/>
        <v>6</v>
      </c>
      <c r="AD8" s="3" t="s">
        <v>2754</v>
      </c>
      <c r="AE8" s="4">
        <v>-102.52</v>
      </c>
      <c r="AF8" s="4">
        <f t="shared" si="2"/>
        <v>-102.52</v>
      </c>
      <c r="AG8" s="1">
        <v>-125.9</v>
      </c>
      <c r="AH8" s="2">
        <v>-133.78</v>
      </c>
      <c r="AI8"/>
      <c r="AJ8" s="3">
        <f t="shared" si="3"/>
        <v>10</v>
      </c>
      <c r="AK8" s="3" t="s">
        <v>2745</v>
      </c>
      <c r="AL8">
        <v>10</v>
      </c>
      <c r="AM8" t="s">
        <v>15</v>
      </c>
    </row>
    <row r="9" spans="1:39" ht="15" hidden="1" thickTop="1" x14ac:dyDescent="0.3">
      <c r="A9" s="51" t="s">
        <v>443</v>
      </c>
      <c r="B9" s="54" t="s">
        <v>444</v>
      </c>
      <c r="C9" s="51" t="s">
        <v>2765</v>
      </c>
      <c r="D9" s="53">
        <v>1</v>
      </c>
      <c r="E9" s="53">
        <v>0</v>
      </c>
      <c r="F9" s="51" t="s">
        <v>2744</v>
      </c>
      <c r="G9" s="51" t="s">
        <v>2695</v>
      </c>
      <c r="H9" s="25" t="str">
        <f t="shared" si="0"/>
        <v>jgd</v>
      </c>
      <c r="I9" t="s">
        <v>72</v>
      </c>
      <c r="J9" t="s">
        <v>180</v>
      </c>
      <c r="K9" t="s">
        <v>438</v>
      </c>
      <c r="L9" s="25">
        <v>46.105007309999998</v>
      </c>
      <c r="M9" s="25">
        <v>8.9699337129999996</v>
      </c>
      <c r="N9">
        <v>5</v>
      </c>
      <c r="O9">
        <v>11</v>
      </c>
      <c r="P9">
        <v>11</v>
      </c>
      <c r="Q9">
        <v>2014</v>
      </c>
      <c r="R9" s="9">
        <v>41954</v>
      </c>
      <c r="S9">
        <v>311</v>
      </c>
      <c r="T9">
        <v>1</v>
      </c>
      <c r="U9">
        <v>0</v>
      </c>
      <c r="V9">
        <v>0</v>
      </c>
      <c r="W9">
        <v>0</v>
      </c>
      <c r="X9">
        <f t="shared" si="1"/>
        <v>-130.72499999999999</v>
      </c>
      <c r="Y9">
        <v>-22.6572</v>
      </c>
      <c r="Z9">
        <v>7.1854624830000002</v>
      </c>
      <c r="AA9" s="3">
        <f t="shared" si="4"/>
        <v>13</v>
      </c>
      <c r="AB9" s="3">
        <f t="shared" si="5"/>
        <v>7</v>
      </c>
      <c r="AD9" s="3" t="s">
        <v>2754</v>
      </c>
      <c r="AE9" s="4">
        <v>-100.07</v>
      </c>
      <c r="AF9" s="4">
        <f t="shared" si="2"/>
        <v>-100.07</v>
      </c>
      <c r="AG9" s="1">
        <v>-123.4</v>
      </c>
      <c r="AH9" s="2">
        <v>-130.72</v>
      </c>
      <c r="AI9"/>
      <c r="AJ9" s="3">
        <f t="shared" si="3"/>
        <v>10</v>
      </c>
      <c r="AK9" s="3" t="s">
        <v>2745</v>
      </c>
      <c r="AL9">
        <v>10</v>
      </c>
      <c r="AM9" t="s">
        <v>15</v>
      </c>
    </row>
    <row r="10" spans="1:39" ht="15" hidden="1" thickTop="1" x14ac:dyDescent="0.3">
      <c r="A10" s="51" t="s">
        <v>2734</v>
      </c>
      <c r="B10" s="54" t="s">
        <v>586</v>
      </c>
      <c r="C10" s="51" t="s">
        <v>2765</v>
      </c>
      <c r="D10" s="53">
        <v>1</v>
      </c>
      <c r="E10" s="53">
        <v>0</v>
      </c>
      <c r="F10" s="51" t="s">
        <v>2744</v>
      </c>
      <c r="G10" s="51" t="s">
        <v>2695</v>
      </c>
      <c r="H10" s="25" t="str">
        <f t="shared" si="0"/>
        <v>jgd</v>
      </c>
      <c r="I10" t="s">
        <v>72</v>
      </c>
      <c r="J10" t="s">
        <v>579</v>
      </c>
      <c r="K10" t="s">
        <v>587</v>
      </c>
      <c r="L10" s="25">
        <v>46.200965429999997</v>
      </c>
      <c r="M10" s="25">
        <v>8.5476284109999998</v>
      </c>
      <c r="N10">
        <v>5</v>
      </c>
      <c r="O10">
        <v>25</v>
      </c>
      <c r="P10">
        <v>10</v>
      </c>
      <c r="Q10">
        <v>2014</v>
      </c>
      <c r="R10" s="9">
        <v>41937</v>
      </c>
      <c r="S10">
        <v>388</v>
      </c>
      <c r="T10">
        <v>1</v>
      </c>
      <c r="U10">
        <v>0</v>
      </c>
      <c r="V10">
        <v>0</v>
      </c>
      <c r="W10">
        <v>0</v>
      </c>
      <c r="X10">
        <f t="shared" si="1"/>
        <v>-130.36249999999998</v>
      </c>
      <c r="Y10">
        <v>-24.6922</v>
      </c>
      <c r="Z10">
        <v>7.0963960009999996</v>
      </c>
      <c r="AA10" s="3">
        <f t="shared" si="4"/>
        <v>13</v>
      </c>
      <c r="AB10" s="3">
        <f t="shared" si="5"/>
        <v>7</v>
      </c>
      <c r="AD10" s="3" t="s">
        <v>2754</v>
      </c>
      <c r="AE10" s="4">
        <v>-99.78</v>
      </c>
      <c r="AF10" s="4">
        <f t="shared" si="2"/>
        <v>-99.78</v>
      </c>
      <c r="AG10" s="1">
        <v>-123.1</v>
      </c>
      <c r="AH10" s="2">
        <v>-130.36000000000001</v>
      </c>
      <c r="AI10"/>
      <c r="AJ10" s="3">
        <f t="shared" si="3"/>
        <v>10</v>
      </c>
      <c r="AK10" s="3" t="s">
        <v>2745</v>
      </c>
      <c r="AL10">
        <v>10</v>
      </c>
      <c r="AM10" t="s">
        <v>15</v>
      </c>
    </row>
    <row r="11" spans="1:39" ht="15" hidden="1" thickTop="1" x14ac:dyDescent="0.3">
      <c r="A11" s="51" t="s">
        <v>425</v>
      </c>
      <c r="B11" s="54" t="s">
        <v>164</v>
      </c>
      <c r="C11" s="51" t="s">
        <v>2765</v>
      </c>
      <c r="D11" s="53">
        <v>1</v>
      </c>
      <c r="E11" s="53">
        <v>0</v>
      </c>
      <c r="F11" s="51" t="s">
        <v>2744</v>
      </c>
      <c r="G11" s="51" t="s">
        <v>2695</v>
      </c>
      <c r="H11" s="25" t="str">
        <f t="shared" si="0"/>
        <v>jgd</v>
      </c>
      <c r="I11" t="s">
        <v>72</v>
      </c>
      <c r="J11" t="s">
        <v>155</v>
      </c>
      <c r="K11" t="s">
        <v>397</v>
      </c>
      <c r="L11" s="25">
        <v>46.091334080000003</v>
      </c>
      <c r="M11" s="25">
        <v>8.8454092119999999</v>
      </c>
      <c r="N11">
        <v>4</v>
      </c>
      <c r="O11">
        <v>19</v>
      </c>
      <c r="P11">
        <v>10</v>
      </c>
      <c r="Q11">
        <v>2014</v>
      </c>
      <c r="R11" s="9">
        <v>41931</v>
      </c>
      <c r="S11">
        <v>278</v>
      </c>
      <c r="T11">
        <v>1</v>
      </c>
      <c r="U11">
        <v>0</v>
      </c>
      <c r="V11">
        <v>0</v>
      </c>
      <c r="W11">
        <v>0</v>
      </c>
      <c r="X11">
        <f t="shared" si="1"/>
        <v>-130.02500000000001</v>
      </c>
      <c r="Y11">
        <v>-24.658799999999999</v>
      </c>
      <c r="Z11">
        <v>6.1887754749999999</v>
      </c>
      <c r="AA11" s="3">
        <f t="shared" si="4"/>
        <v>13</v>
      </c>
      <c r="AB11" s="3">
        <f t="shared" si="5"/>
        <v>6</v>
      </c>
      <c r="AD11" s="3" t="s">
        <v>2754</v>
      </c>
      <c r="AE11" s="4">
        <v>-99.51</v>
      </c>
      <c r="AF11" s="4">
        <f t="shared" si="2"/>
        <v>-99.51</v>
      </c>
      <c r="AG11" s="1">
        <v>-122.8</v>
      </c>
      <c r="AH11" s="2">
        <v>-130.02000000000001</v>
      </c>
      <c r="AI11"/>
      <c r="AJ11" s="3">
        <f t="shared" si="3"/>
        <v>10</v>
      </c>
      <c r="AK11" s="3" t="s">
        <v>2745</v>
      </c>
      <c r="AL11">
        <v>10</v>
      </c>
      <c r="AM11" t="s">
        <v>15</v>
      </c>
    </row>
    <row r="12" spans="1:39" ht="15" hidden="1" thickTop="1" x14ac:dyDescent="0.3">
      <c r="A12" s="51" t="s">
        <v>175</v>
      </c>
      <c r="B12" s="54" t="s">
        <v>176</v>
      </c>
      <c r="C12" s="51" t="s">
        <v>2765</v>
      </c>
      <c r="D12" s="53">
        <v>1</v>
      </c>
      <c r="E12" s="53">
        <v>0</v>
      </c>
      <c r="F12" s="51" t="s">
        <v>2744</v>
      </c>
      <c r="G12" s="51" t="s">
        <v>2695</v>
      </c>
      <c r="H12" s="25" t="str">
        <f t="shared" si="0"/>
        <v>jgd</v>
      </c>
      <c r="I12" t="s">
        <v>72</v>
      </c>
      <c r="J12" t="s">
        <v>155</v>
      </c>
      <c r="K12" t="s">
        <v>177</v>
      </c>
      <c r="L12" s="25">
        <v>46.1274388</v>
      </c>
      <c r="M12" s="25">
        <v>8.8359883260000007</v>
      </c>
      <c r="N12">
        <v>4</v>
      </c>
      <c r="O12">
        <v>17</v>
      </c>
      <c r="P12">
        <v>11</v>
      </c>
      <c r="Q12">
        <v>2013</v>
      </c>
      <c r="R12" s="9">
        <v>41595</v>
      </c>
      <c r="S12">
        <v>286</v>
      </c>
      <c r="T12">
        <v>1</v>
      </c>
      <c r="U12">
        <v>0</v>
      </c>
      <c r="V12">
        <v>0</v>
      </c>
      <c r="W12">
        <v>0</v>
      </c>
      <c r="X12">
        <f t="shared" si="1"/>
        <v>-129.75</v>
      </c>
      <c r="Y12">
        <v>5.3000671590000001</v>
      </c>
      <c r="Z12">
        <v>4.6073484660000004</v>
      </c>
      <c r="AA12" s="3">
        <f t="shared" si="4"/>
        <v>13</v>
      </c>
      <c r="AB12" s="3">
        <f t="shared" si="5"/>
        <v>5</v>
      </c>
      <c r="AD12" s="3" t="s">
        <v>2754</v>
      </c>
      <c r="AE12" s="4">
        <v>-99.29</v>
      </c>
      <c r="AF12" s="4">
        <f t="shared" si="2"/>
        <v>-99.29</v>
      </c>
      <c r="AG12" s="1">
        <v>-122.6</v>
      </c>
      <c r="AH12" s="2">
        <v>-129.74</v>
      </c>
      <c r="AI12"/>
      <c r="AJ12" s="3">
        <f t="shared" si="3"/>
        <v>10</v>
      </c>
      <c r="AK12" s="3" t="s">
        <v>2745</v>
      </c>
      <c r="AL12">
        <v>10</v>
      </c>
      <c r="AM12" t="s">
        <v>15</v>
      </c>
    </row>
    <row r="13" spans="1:39" ht="15" hidden="1" thickTop="1" x14ac:dyDescent="0.3">
      <c r="A13" s="51" t="s">
        <v>353</v>
      </c>
      <c r="B13" s="54" t="s">
        <v>354</v>
      </c>
      <c r="C13" s="51" t="s">
        <v>2765</v>
      </c>
      <c r="D13" s="53">
        <v>1</v>
      </c>
      <c r="E13" s="53">
        <v>0</v>
      </c>
      <c r="F13" s="51" t="s">
        <v>2744</v>
      </c>
      <c r="G13" s="51" t="s">
        <v>2695</v>
      </c>
      <c r="H13" s="25" t="str">
        <f t="shared" si="0"/>
        <v>jgd</v>
      </c>
      <c r="I13" t="s">
        <v>72</v>
      </c>
      <c r="J13" t="s">
        <v>113</v>
      </c>
      <c r="K13" t="s">
        <v>355</v>
      </c>
      <c r="L13" s="25">
        <v>46.210286279999998</v>
      </c>
      <c r="M13" s="25">
        <v>8.6593287179999994</v>
      </c>
      <c r="N13">
        <v>6</v>
      </c>
      <c r="O13">
        <v>21</v>
      </c>
      <c r="P13">
        <v>10</v>
      </c>
      <c r="Q13">
        <v>2014</v>
      </c>
      <c r="R13" s="9">
        <v>41933</v>
      </c>
      <c r="S13">
        <v>303</v>
      </c>
      <c r="T13">
        <v>1</v>
      </c>
      <c r="U13">
        <v>0</v>
      </c>
      <c r="V13">
        <v>0</v>
      </c>
      <c r="W13">
        <v>0</v>
      </c>
      <c r="X13">
        <f t="shared" si="1"/>
        <v>-129.66249999999999</v>
      </c>
      <c r="Y13">
        <v>-24.437000000000001</v>
      </c>
      <c r="Z13">
        <v>5.7310074320000002</v>
      </c>
      <c r="AA13" s="3">
        <f t="shared" si="4"/>
        <v>13</v>
      </c>
      <c r="AB13" s="3">
        <f t="shared" si="5"/>
        <v>6</v>
      </c>
      <c r="AD13" s="3" t="s">
        <v>2754</v>
      </c>
      <c r="AE13" s="4">
        <v>-99.22</v>
      </c>
      <c r="AF13" s="4">
        <f t="shared" si="2"/>
        <v>-99.22</v>
      </c>
      <c r="AG13" s="1">
        <v>-122.5</v>
      </c>
      <c r="AH13" s="2">
        <v>-129.66</v>
      </c>
      <c r="AI13"/>
      <c r="AJ13" s="3">
        <f t="shared" si="3"/>
        <v>10</v>
      </c>
      <c r="AK13" s="3" t="s">
        <v>2745</v>
      </c>
      <c r="AL13">
        <v>10</v>
      </c>
      <c r="AM13" t="s">
        <v>15</v>
      </c>
    </row>
    <row r="14" spans="1:39" ht="15" hidden="1" thickTop="1" x14ac:dyDescent="0.3">
      <c r="A14" s="51" t="s">
        <v>729</v>
      </c>
      <c r="B14" s="54" t="s">
        <v>349</v>
      </c>
      <c r="C14" s="51" t="s">
        <v>2765</v>
      </c>
      <c r="D14" s="53">
        <v>1</v>
      </c>
      <c r="E14" s="53">
        <v>0</v>
      </c>
      <c r="F14" s="51" t="s">
        <v>2744</v>
      </c>
      <c r="G14" s="51" t="s">
        <v>2695</v>
      </c>
      <c r="H14" s="25" t="str">
        <f t="shared" si="0"/>
        <v>jgd</v>
      </c>
      <c r="I14" t="s">
        <v>72</v>
      </c>
      <c r="J14" t="s">
        <v>113</v>
      </c>
      <c r="K14" t="s">
        <v>730</v>
      </c>
      <c r="L14" s="25">
        <v>46.213937199999997</v>
      </c>
      <c r="M14" s="25">
        <v>8.6899309749999993</v>
      </c>
      <c r="N14">
        <v>6</v>
      </c>
      <c r="O14">
        <v>27</v>
      </c>
      <c r="P14">
        <v>10</v>
      </c>
      <c r="Q14">
        <v>2015</v>
      </c>
      <c r="R14" s="9">
        <v>42304</v>
      </c>
      <c r="S14">
        <v>305</v>
      </c>
      <c r="T14">
        <v>1</v>
      </c>
      <c r="U14">
        <v>0</v>
      </c>
      <c r="V14">
        <v>0</v>
      </c>
      <c r="W14">
        <v>0</v>
      </c>
      <c r="X14">
        <f t="shared" si="1"/>
        <v>-129.5</v>
      </c>
      <c r="Y14">
        <v>-23.412199999999999</v>
      </c>
      <c r="Z14">
        <v>6.4977060360000003</v>
      </c>
      <c r="AA14" s="3">
        <f t="shared" si="4"/>
        <v>13</v>
      </c>
      <c r="AB14" s="3">
        <f t="shared" si="5"/>
        <v>6</v>
      </c>
      <c r="AD14" s="3" t="s">
        <v>2754</v>
      </c>
      <c r="AE14" s="4">
        <v>-99.09</v>
      </c>
      <c r="AF14" s="4">
        <f t="shared" si="2"/>
        <v>-99.09</v>
      </c>
      <c r="AG14" s="1">
        <v>-122.4</v>
      </c>
      <c r="AH14" s="2">
        <v>-129.5</v>
      </c>
      <c r="AI14"/>
      <c r="AJ14" s="3">
        <f t="shared" si="3"/>
        <v>10</v>
      </c>
      <c r="AK14" s="3" t="s">
        <v>2745</v>
      </c>
      <c r="AL14">
        <v>10</v>
      </c>
      <c r="AM14" t="s">
        <v>15</v>
      </c>
    </row>
    <row r="15" spans="1:39" ht="15" hidden="1" thickTop="1" x14ac:dyDescent="0.3">
      <c r="A15" s="51" t="s">
        <v>254</v>
      </c>
      <c r="B15" s="54" t="s">
        <v>255</v>
      </c>
      <c r="C15" s="51" t="s">
        <v>2765</v>
      </c>
      <c r="D15" s="53">
        <v>1</v>
      </c>
      <c r="E15" s="53">
        <v>0</v>
      </c>
      <c r="F15" s="51" t="s">
        <v>2744</v>
      </c>
      <c r="G15" s="51" t="s">
        <v>2695</v>
      </c>
      <c r="H15" s="25" t="str">
        <f t="shared" si="0"/>
        <v>jgd</v>
      </c>
      <c r="I15" t="s">
        <v>72</v>
      </c>
      <c r="J15" t="s">
        <v>242</v>
      </c>
      <c r="K15" t="s">
        <v>256</v>
      </c>
      <c r="L15" s="25">
        <v>46.198608419999999</v>
      </c>
      <c r="M15" s="25">
        <v>8.6391923950000002</v>
      </c>
      <c r="N15">
        <v>6</v>
      </c>
      <c r="O15">
        <v>7</v>
      </c>
      <c r="P15">
        <v>11</v>
      </c>
      <c r="Q15">
        <v>2013</v>
      </c>
      <c r="R15" s="9">
        <v>41585</v>
      </c>
      <c r="S15">
        <v>303</v>
      </c>
      <c r="T15">
        <v>1</v>
      </c>
      <c r="U15">
        <v>0</v>
      </c>
      <c r="V15">
        <v>0</v>
      </c>
      <c r="W15">
        <v>0</v>
      </c>
      <c r="X15">
        <f t="shared" si="1"/>
        <v>-128.67500000000001</v>
      </c>
      <c r="Y15">
        <v>166.84908229999999</v>
      </c>
      <c r="Z15">
        <v>7.2560771229999999</v>
      </c>
      <c r="AA15" s="3">
        <f t="shared" si="4"/>
        <v>13</v>
      </c>
      <c r="AB15" s="3">
        <f t="shared" si="5"/>
        <v>7</v>
      </c>
      <c r="AD15" s="3" t="s">
        <v>2754</v>
      </c>
      <c r="AE15" s="4">
        <v>-98.43</v>
      </c>
      <c r="AF15" s="4">
        <f t="shared" si="2"/>
        <v>-98.43</v>
      </c>
      <c r="AG15" s="1">
        <v>-121.7</v>
      </c>
      <c r="AH15" s="2">
        <v>-128.68</v>
      </c>
      <c r="AI15"/>
      <c r="AJ15" s="3">
        <f t="shared" si="3"/>
        <v>10</v>
      </c>
      <c r="AK15" s="3" t="s">
        <v>2745</v>
      </c>
      <c r="AL15">
        <v>10</v>
      </c>
      <c r="AM15" t="s">
        <v>15</v>
      </c>
    </row>
    <row r="16" spans="1:39" ht="15" hidden="1" thickTop="1" x14ac:dyDescent="0.3">
      <c r="A16" s="51" t="s">
        <v>605</v>
      </c>
      <c r="B16" s="54" t="s">
        <v>606</v>
      </c>
      <c r="C16" s="51" t="s">
        <v>2765</v>
      </c>
      <c r="D16" s="53">
        <v>1</v>
      </c>
      <c r="E16" s="53">
        <v>0</v>
      </c>
      <c r="F16" s="51" t="s">
        <v>2744</v>
      </c>
      <c r="G16" s="51" t="s">
        <v>2695</v>
      </c>
      <c r="H16" s="25" t="str">
        <f t="shared" si="0"/>
        <v>jgd</v>
      </c>
      <c r="I16" t="s">
        <v>72</v>
      </c>
      <c r="J16" t="s">
        <v>579</v>
      </c>
      <c r="K16" t="s">
        <v>604</v>
      </c>
      <c r="L16" s="25">
        <v>46.195616819999998</v>
      </c>
      <c r="M16" s="25">
        <v>8.6139671500000006</v>
      </c>
      <c r="N16">
        <v>6</v>
      </c>
      <c r="O16">
        <v>9</v>
      </c>
      <c r="P16">
        <v>11</v>
      </c>
      <c r="Q16">
        <v>2014</v>
      </c>
      <c r="R16" s="9">
        <v>41952</v>
      </c>
      <c r="S16">
        <v>292</v>
      </c>
      <c r="T16">
        <v>1</v>
      </c>
      <c r="U16">
        <v>0</v>
      </c>
      <c r="V16">
        <v>0</v>
      </c>
      <c r="W16">
        <v>0</v>
      </c>
      <c r="X16">
        <f t="shared" si="1"/>
        <v>-128.41249999999999</v>
      </c>
      <c r="Y16">
        <v>-24.608000000000001</v>
      </c>
      <c r="Z16">
        <v>6.2051512170000001</v>
      </c>
      <c r="AA16" s="3">
        <f t="shared" si="4"/>
        <v>13</v>
      </c>
      <c r="AB16" s="3">
        <f t="shared" si="5"/>
        <v>6</v>
      </c>
      <c r="AD16" s="3" t="s">
        <v>2754</v>
      </c>
      <c r="AE16" s="4">
        <v>-98.22</v>
      </c>
      <c r="AF16" s="4">
        <f t="shared" si="2"/>
        <v>-98.22</v>
      </c>
      <c r="AG16" s="1">
        <v>-121.5</v>
      </c>
      <c r="AH16" s="2">
        <v>-128.41999999999999</v>
      </c>
      <c r="AI16"/>
      <c r="AJ16" s="3">
        <f t="shared" si="3"/>
        <v>10</v>
      </c>
      <c r="AK16" s="3" t="s">
        <v>2745</v>
      </c>
      <c r="AL16">
        <v>10</v>
      </c>
      <c r="AM16" t="s">
        <v>15</v>
      </c>
    </row>
    <row r="17" spans="1:39" ht="15" hidden="1" thickTop="1" x14ac:dyDescent="0.3">
      <c r="A17" s="51" t="s">
        <v>411</v>
      </c>
      <c r="B17" s="54" t="s">
        <v>412</v>
      </c>
      <c r="C17" s="51" t="s">
        <v>2765</v>
      </c>
      <c r="D17" s="53">
        <v>1</v>
      </c>
      <c r="E17" s="53">
        <v>0</v>
      </c>
      <c r="F17" s="51" t="s">
        <v>2744</v>
      </c>
      <c r="G17" s="51" t="s">
        <v>2695</v>
      </c>
      <c r="H17" s="25" t="str">
        <f t="shared" si="0"/>
        <v>jgd</v>
      </c>
      <c r="I17" t="s">
        <v>72</v>
      </c>
      <c r="J17" t="s">
        <v>155</v>
      </c>
      <c r="K17" t="s">
        <v>400</v>
      </c>
      <c r="L17" s="25">
        <v>46.120275540000002</v>
      </c>
      <c r="M17" s="25">
        <v>8.8332172910000004</v>
      </c>
      <c r="N17">
        <v>4</v>
      </c>
      <c r="O17">
        <v>6</v>
      </c>
      <c r="P17">
        <v>11</v>
      </c>
      <c r="Q17">
        <v>2014</v>
      </c>
      <c r="R17" s="9">
        <v>41949</v>
      </c>
      <c r="S17">
        <v>312</v>
      </c>
      <c r="T17">
        <v>1</v>
      </c>
      <c r="U17">
        <v>0</v>
      </c>
      <c r="V17">
        <v>0</v>
      </c>
      <c r="W17">
        <v>0</v>
      </c>
      <c r="X17">
        <f t="shared" si="1"/>
        <v>-127.35000000000001</v>
      </c>
      <c r="Y17">
        <v>-24.571750000000002</v>
      </c>
      <c r="Z17">
        <v>9.5568147089999993</v>
      </c>
      <c r="AA17" s="3">
        <f t="shared" si="4"/>
        <v>13</v>
      </c>
      <c r="AB17" s="3">
        <f t="shared" si="5"/>
        <v>10</v>
      </c>
      <c r="AD17" s="3" t="s">
        <v>2754</v>
      </c>
      <c r="AE17" s="4">
        <v>-97.37</v>
      </c>
      <c r="AF17" s="4">
        <f t="shared" si="2"/>
        <v>-97.37</v>
      </c>
      <c r="AG17" s="1">
        <v>-120.6</v>
      </c>
      <c r="AH17" s="2">
        <v>-127.35</v>
      </c>
      <c r="AI17"/>
      <c r="AJ17" s="3">
        <f t="shared" si="3"/>
        <v>10</v>
      </c>
      <c r="AK17" s="3" t="s">
        <v>2745</v>
      </c>
      <c r="AL17">
        <v>10</v>
      </c>
      <c r="AM17" t="s">
        <v>15</v>
      </c>
    </row>
    <row r="18" spans="1:39" ht="15" hidden="1" thickTop="1" x14ac:dyDescent="0.3">
      <c r="A18" s="51" t="s">
        <v>2550</v>
      </c>
      <c r="B18" s="54" t="s">
        <v>2551</v>
      </c>
      <c r="C18" s="51" t="s">
        <v>2765</v>
      </c>
      <c r="D18" s="53">
        <v>1</v>
      </c>
      <c r="E18" s="53">
        <v>0</v>
      </c>
      <c r="F18" s="51" t="s">
        <v>2744</v>
      </c>
      <c r="G18" s="51" t="s">
        <v>2695</v>
      </c>
      <c r="H18" s="25" t="str">
        <f t="shared" si="0"/>
        <v>jgd</v>
      </c>
      <c r="I18" t="s">
        <v>385</v>
      </c>
      <c r="J18" t="s">
        <v>558</v>
      </c>
      <c r="K18" t="s">
        <v>16</v>
      </c>
      <c r="L18" s="25">
        <v>46.67998266</v>
      </c>
      <c r="M18" s="25">
        <v>6.2949604360000002</v>
      </c>
      <c r="N18">
        <v>3</v>
      </c>
      <c r="O18">
        <v>24</v>
      </c>
      <c r="P18">
        <v>10</v>
      </c>
      <c r="Q18">
        <v>2017</v>
      </c>
      <c r="R18" s="9">
        <v>43032</v>
      </c>
      <c r="S18">
        <v>316</v>
      </c>
      <c r="T18">
        <v>1</v>
      </c>
      <c r="U18">
        <v>0</v>
      </c>
      <c r="V18">
        <v>0</v>
      </c>
      <c r="W18">
        <v>0</v>
      </c>
      <c r="X18" s="57">
        <f t="shared" si="1"/>
        <v>-127.28913425</v>
      </c>
      <c r="Y18" t="s">
        <v>16</v>
      </c>
      <c r="Z18">
        <v>4.5674128239999998</v>
      </c>
      <c r="AA18" s="3">
        <f t="shared" si="4"/>
        <v>13</v>
      </c>
      <c r="AB18" s="3">
        <f t="shared" si="5"/>
        <v>5</v>
      </c>
      <c r="AD18" s="3" t="s">
        <v>2750</v>
      </c>
      <c r="AE18" s="4">
        <v>-97.321307399999995</v>
      </c>
      <c r="AF18" s="4">
        <f t="shared" si="2"/>
        <v>-97.321307399999995</v>
      </c>
      <c r="AG18" s="60" t="s">
        <v>16</v>
      </c>
      <c r="AH18" s="61" t="s">
        <v>16</v>
      </c>
      <c r="AJ18" s="3">
        <f t="shared" si="3"/>
        <v>10</v>
      </c>
      <c r="AK18" s="3" t="s">
        <v>2745</v>
      </c>
      <c r="AL18">
        <v>10</v>
      </c>
      <c r="AM18" t="s">
        <v>15</v>
      </c>
    </row>
    <row r="19" spans="1:39" ht="15" hidden="1" thickTop="1" x14ac:dyDescent="0.3">
      <c r="A19" s="51" t="s">
        <v>2572</v>
      </c>
      <c r="B19" s="54" t="s">
        <v>2573</v>
      </c>
      <c r="C19" s="51" t="s">
        <v>2765</v>
      </c>
      <c r="D19" s="53">
        <v>1</v>
      </c>
      <c r="E19" s="53">
        <v>0</v>
      </c>
      <c r="F19" s="51" t="s">
        <v>2744</v>
      </c>
      <c r="G19" s="51" t="s">
        <v>2695</v>
      </c>
      <c r="H19" s="25" t="str">
        <f t="shared" si="0"/>
        <v>jgd</v>
      </c>
      <c r="I19" t="s">
        <v>385</v>
      </c>
      <c r="J19" t="s">
        <v>1162</v>
      </c>
      <c r="K19" t="s">
        <v>1163</v>
      </c>
      <c r="L19" s="25">
        <v>46.49967651</v>
      </c>
      <c r="M19" s="25">
        <v>6.348272616</v>
      </c>
      <c r="N19">
        <v>4</v>
      </c>
      <c r="O19">
        <v>13</v>
      </c>
      <c r="P19">
        <v>11</v>
      </c>
      <c r="Q19">
        <v>2017</v>
      </c>
      <c r="R19" s="9">
        <v>43052</v>
      </c>
      <c r="S19">
        <v>337</v>
      </c>
      <c r="T19">
        <v>1</v>
      </c>
      <c r="U19">
        <v>0</v>
      </c>
      <c r="V19">
        <v>0</v>
      </c>
      <c r="W19">
        <v>0</v>
      </c>
      <c r="X19" s="57">
        <f t="shared" si="1"/>
        <v>-127.01951000000001</v>
      </c>
      <c r="Y19" t="s">
        <v>16</v>
      </c>
      <c r="Z19">
        <v>4.7827868699999998</v>
      </c>
      <c r="AA19" s="3">
        <f t="shared" si="4"/>
        <v>13</v>
      </c>
      <c r="AB19" s="3">
        <f t="shared" si="5"/>
        <v>5</v>
      </c>
      <c r="AD19" s="3" t="s">
        <v>2751</v>
      </c>
      <c r="AE19" s="4">
        <v>-97.105608000000004</v>
      </c>
      <c r="AF19" s="4">
        <f t="shared" si="2"/>
        <v>-97.105608000000004</v>
      </c>
      <c r="AG19" s="60" t="s">
        <v>16</v>
      </c>
      <c r="AH19" s="61" t="s">
        <v>16</v>
      </c>
      <c r="AJ19" s="3">
        <f t="shared" si="3"/>
        <v>10</v>
      </c>
      <c r="AK19" s="3" t="s">
        <v>2745</v>
      </c>
      <c r="AL19">
        <v>10</v>
      </c>
      <c r="AM19" t="s">
        <v>15</v>
      </c>
    </row>
    <row r="20" spans="1:39" ht="15" hidden="1" thickTop="1" x14ac:dyDescent="0.3">
      <c r="A20" s="51" t="s">
        <v>348</v>
      </c>
      <c r="B20" s="54" t="s">
        <v>349</v>
      </c>
      <c r="C20" s="51" t="s">
        <v>2765</v>
      </c>
      <c r="D20" s="53">
        <v>1</v>
      </c>
      <c r="E20" s="53">
        <v>0</v>
      </c>
      <c r="F20" s="51" t="s">
        <v>2744</v>
      </c>
      <c r="G20" s="51" t="s">
        <v>2695</v>
      </c>
      <c r="H20" s="25" t="str">
        <f t="shared" si="0"/>
        <v>jgd</v>
      </c>
      <c r="I20" t="s">
        <v>72</v>
      </c>
      <c r="J20" t="s">
        <v>335</v>
      </c>
      <c r="K20" t="s">
        <v>350</v>
      </c>
      <c r="L20" s="25">
        <v>46.505594649999999</v>
      </c>
      <c r="M20" s="25">
        <v>8.6650833289999998</v>
      </c>
      <c r="N20">
        <v>5</v>
      </c>
      <c r="O20">
        <v>19</v>
      </c>
      <c r="P20">
        <v>10</v>
      </c>
      <c r="Q20">
        <v>2014</v>
      </c>
      <c r="R20" s="9">
        <v>41931</v>
      </c>
      <c r="S20">
        <v>328</v>
      </c>
      <c r="T20">
        <v>1</v>
      </c>
      <c r="U20">
        <v>0</v>
      </c>
      <c r="V20">
        <v>0</v>
      </c>
      <c r="W20">
        <v>0</v>
      </c>
      <c r="X20">
        <f t="shared" si="1"/>
        <v>-126.825</v>
      </c>
      <c r="Y20">
        <v>-25.675799999999999</v>
      </c>
      <c r="Z20">
        <v>6.2689454370000002</v>
      </c>
      <c r="AA20" s="3">
        <f t="shared" si="4"/>
        <v>13</v>
      </c>
      <c r="AB20" s="3">
        <f t="shared" si="5"/>
        <v>6</v>
      </c>
      <c r="AD20" s="3" t="s">
        <v>2754</v>
      </c>
      <c r="AE20" s="4">
        <v>-96.95</v>
      </c>
      <c r="AF20" s="4">
        <f t="shared" si="2"/>
        <v>-96.95</v>
      </c>
      <c r="AG20" s="1">
        <v>-120.2</v>
      </c>
      <c r="AH20" s="2">
        <v>-126.82</v>
      </c>
      <c r="AI20"/>
      <c r="AJ20" s="3">
        <f t="shared" si="3"/>
        <v>10</v>
      </c>
      <c r="AK20" s="3" t="s">
        <v>2745</v>
      </c>
      <c r="AL20">
        <v>10</v>
      </c>
      <c r="AM20" t="s">
        <v>15</v>
      </c>
    </row>
    <row r="21" spans="1:39" ht="15" hidden="1" thickTop="1" x14ac:dyDescent="0.3">
      <c r="A21" s="51" t="s">
        <v>1882</v>
      </c>
      <c r="B21" s="54" t="s">
        <v>1060</v>
      </c>
      <c r="C21" s="51" t="s">
        <v>2765</v>
      </c>
      <c r="D21" s="53">
        <v>1</v>
      </c>
      <c r="E21" s="53">
        <v>0</v>
      </c>
      <c r="F21" s="51" t="s">
        <v>2744</v>
      </c>
      <c r="G21" s="51" t="s">
        <v>2695</v>
      </c>
      <c r="H21" s="25" t="str">
        <f t="shared" si="0"/>
        <v>jgd</v>
      </c>
      <c r="I21" t="s">
        <v>13</v>
      </c>
      <c r="J21" t="s">
        <v>65</v>
      </c>
      <c r="K21" t="s">
        <v>1883</v>
      </c>
      <c r="L21" s="25">
        <v>47.098562479999998</v>
      </c>
      <c r="M21" s="25">
        <v>6.7746575949999999</v>
      </c>
      <c r="N21">
        <v>6</v>
      </c>
      <c r="O21">
        <v>28</v>
      </c>
      <c r="P21">
        <v>10</v>
      </c>
      <c r="Q21">
        <v>2016</v>
      </c>
      <c r="R21" s="9">
        <v>42671</v>
      </c>
      <c r="S21">
        <v>330</v>
      </c>
      <c r="T21">
        <v>1</v>
      </c>
      <c r="U21">
        <v>0</v>
      </c>
      <c r="V21">
        <v>0</v>
      </c>
      <c r="W21">
        <v>0</v>
      </c>
      <c r="X21" s="57">
        <f t="shared" si="1"/>
        <v>-125.42716012500001</v>
      </c>
      <c r="Y21">
        <v>-24.2</v>
      </c>
      <c r="Z21">
        <v>1.88</v>
      </c>
      <c r="AA21" s="3">
        <f t="shared" si="4"/>
        <v>13</v>
      </c>
      <c r="AB21" s="3">
        <f t="shared" si="5"/>
        <v>2</v>
      </c>
      <c r="AD21" s="3" t="s">
        <v>2750</v>
      </c>
      <c r="AE21" s="4">
        <v>-95.831728100000007</v>
      </c>
      <c r="AF21" s="4">
        <f t="shared" si="2"/>
        <v>-95.831728100000007</v>
      </c>
      <c r="AG21" s="60" t="s">
        <v>16</v>
      </c>
      <c r="AH21" s="61" t="s">
        <v>16</v>
      </c>
      <c r="AJ21" s="3">
        <f t="shared" si="3"/>
        <v>10</v>
      </c>
      <c r="AK21" s="3" t="s">
        <v>2745</v>
      </c>
      <c r="AL21">
        <v>10</v>
      </c>
      <c r="AM21" t="s">
        <v>15</v>
      </c>
    </row>
    <row r="22" spans="1:39" ht="15" hidden="1" thickTop="1" x14ac:dyDescent="0.3">
      <c r="A22" s="51" t="s">
        <v>79</v>
      </c>
      <c r="B22" s="54" t="s">
        <v>80</v>
      </c>
      <c r="C22" s="51" t="s">
        <v>2765</v>
      </c>
      <c r="D22" s="53">
        <v>1</v>
      </c>
      <c r="E22" s="53">
        <v>0</v>
      </c>
      <c r="F22" s="51" t="s">
        <v>2744</v>
      </c>
      <c r="G22" s="51" t="s">
        <v>2695</v>
      </c>
      <c r="H22" s="25" t="str">
        <f t="shared" si="0"/>
        <v>jgd</v>
      </c>
      <c r="I22" t="s">
        <v>72</v>
      </c>
      <c r="J22" t="s">
        <v>73</v>
      </c>
      <c r="K22" t="s">
        <v>81</v>
      </c>
      <c r="L22" s="25">
        <v>46.073660609999997</v>
      </c>
      <c r="M22" s="25">
        <v>9.0246427059999998</v>
      </c>
      <c r="N22">
        <v>5</v>
      </c>
      <c r="O22">
        <v>31</v>
      </c>
      <c r="P22">
        <v>10</v>
      </c>
      <c r="Q22">
        <v>2013</v>
      </c>
      <c r="R22" s="9">
        <v>41578</v>
      </c>
      <c r="S22">
        <v>300</v>
      </c>
      <c r="T22">
        <v>1</v>
      </c>
      <c r="U22">
        <v>0</v>
      </c>
      <c r="V22">
        <v>0</v>
      </c>
      <c r="W22">
        <v>0</v>
      </c>
      <c r="X22">
        <f t="shared" si="1"/>
        <v>-125.425</v>
      </c>
      <c r="Y22">
        <v>-24.31336378</v>
      </c>
      <c r="Z22">
        <v>3.8446096700000001</v>
      </c>
      <c r="AA22" s="3">
        <f t="shared" si="4"/>
        <v>13</v>
      </c>
      <c r="AB22" s="3">
        <f t="shared" si="5"/>
        <v>4</v>
      </c>
      <c r="AD22" s="3" t="s">
        <v>2754</v>
      </c>
      <c r="AE22" s="4">
        <v>-95.83</v>
      </c>
      <c r="AF22" s="4">
        <f t="shared" si="2"/>
        <v>-95.83</v>
      </c>
      <c r="AG22" s="1">
        <v>-119</v>
      </c>
      <c r="AH22" s="2">
        <v>-125.43</v>
      </c>
      <c r="AI22"/>
      <c r="AJ22" s="3">
        <f t="shared" si="3"/>
        <v>10</v>
      </c>
      <c r="AK22" s="3" t="s">
        <v>2745</v>
      </c>
      <c r="AL22">
        <v>10</v>
      </c>
      <c r="AM22" t="s">
        <v>15</v>
      </c>
    </row>
    <row r="23" spans="1:39" ht="15" hidden="1" thickTop="1" x14ac:dyDescent="0.3">
      <c r="A23" s="51" t="s">
        <v>309</v>
      </c>
      <c r="B23" s="54" t="s">
        <v>310</v>
      </c>
      <c r="C23" s="51" t="s">
        <v>2765</v>
      </c>
      <c r="D23" s="53">
        <v>1</v>
      </c>
      <c r="E23" s="53">
        <v>0</v>
      </c>
      <c r="F23" s="51" t="s">
        <v>2744</v>
      </c>
      <c r="G23" s="51" t="s">
        <v>2695</v>
      </c>
      <c r="H23" s="25" t="str">
        <f t="shared" si="0"/>
        <v>jgd</v>
      </c>
      <c r="I23" t="s">
        <v>72</v>
      </c>
      <c r="J23" t="s">
        <v>311</v>
      </c>
      <c r="K23" t="s">
        <v>312</v>
      </c>
      <c r="L23" s="25">
        <v>46.095855020000002</v>
      </c>
      <c r="M23" s="25">
        <v>9.0770189670000008</v>
      </c>
      <c r="N23">
        <v>5</v>
      </c>
      <c r="O23">
        <v>8</v>
      </c>
      <c r="P23">
        <v>11</v>
      </c>
      <c r="Q23">
        <v>2014</v>
      </c>
      <c r="R23" s="9">
        <v>41951</v>
      </c>
      <c r="S23">
        <v>340</v>
      </c>
      <c r="T23">
        <v>1</v>
      </c>
      <c r="U23">
        <v>0</v>
      </c>
      <c r="V23">
        <v>0</v>
      </c>
      <c r="W23">
        <v>0</v>
      </c>
      <c r="X23">
        <f t="shared" si="1"/>
        <v>-123.175</v>
      </c>
      <c r="Y23">
        <v>-24.5032</v>
      </c>
      <c r="Z23">
        <v>3.911619859</v>
      </c>
      <c r="AA23" s="3">
        <f t="shared" si="4"/>
        <v>12</v>
      </c>
      <c r="AB23" s="3">
        <f t="shared" si="5"/>
        <v>4</v>
      </c>
      <c r="AD23" s="3" t="s">
        <v>2754</v>
      </c>
      <c r="AE23" s="4">
        <v>-94.03</v>
      </c>
      <c r="AF23" s="4">
        <f t="shared" si="2"/>
        <v>-94.03</v>
      </c>
      <c r="AG23" s="1">
        <v>-117.2</v>
      </c>
      <c r="AH23" s="2">
        <v>-123.17</v>
      </c>
      <c r="AI23"/>
      <c r="AJ23" s="3">
        <f t="shared" si="3"/>
        <v>9</v>
      </c>
      <c r="AK23" s="3" t="s">
        <v>2741</v>
      </c>
      <c r="AL23">
        <v>9</v>
      </c>
      <c r="AM23" t="s">
        <v>15</v>
      </c>
    </row>
    <row r="24" spans="1:39" ht="15" hidden="1" thickTop="1" x14ac:dyDescent="0.3">
      <c r="A24" s="51" t="s">
        <v>163</v>
      </c>
      <c r="B24" s="54" t="s">
        <v>164</v>
      </c>
      <c r="C24" s="51" t="s">
        <v>2765</v>
      </c>
      <c r="D24" s="53">
        <v>1</v>
      </c>
      <c r="E24" s="53">
        <v>0</v>
      </c>
      <c r="F24" s="51" t="s">
        <v>2744</v>
      </c>
      <c r="G24" s="51" t="s">
        <v>2695</v>
      </c>
      <c r="H24" s="25" t="str">
        <f t="shared" si="0"/>
        <v>jgd</v>
      </c>
      <c r="I24" t="s">
        <v>72</v>
      </c>
      <c r="J24" t="s">
        <v>155</v>
      </c>
      <c r="K24" t="s">
        <v>165</v>
      </c>
      <c r="L24" s="25">
        <v>46.116677920000001</v>
      </c>
      <c r="M24" s="25">
        <v>8.833125355</v>
      </c>
      <c r="N24">
        <v>4</v>
      </c>
      <c r="O24">
        <v>6</v>
      </c>
      <c r="P24">
        <v>11</v>
      </c>
      <c r="Q24">
        <v>2013</v>
      </c>
      <c r="R24" s="9">
        <v>41584</v>
      </c>
      <c r="S24">
        <v>401</v>
      </c>
      <c r="T24">
        <v>1</v>
      </c>
      <c r="U24">
        <v>0</v>
      </c>
      <c r="V24">
        <v>0</v>
      </c>
      <c r="W24">
        <v>0</v>
      </c>
      <c r="X24">
        <f t="shared" si="1"/>
        <v>-122.17500000000001</v>
      </c>
      <c r="Y24">
        <v>-24.25332526</v>
      </c>
      <c r="Z24">
        <v>5.2861584500000003</v>
      </c>
      <c r="AA24" s="3">
        <f t="shared" si="4"/>
        <v>12</v>
      </c>
      <c r="AB24" s="3">
        <f t="shared" si="5"/>
        <v>5</v>
      </c>
      <c r="AD24" s="3" t="s">
        <v>2754</v>
      </c>
      <c r="AE24" s="4">
        <v>-93.23</v>
      </c>
      <c r="AF24" s="4">
        <f t="shared" si="2"/>
        <v>-93.23</v>
      </c>
      <c r="AG24" s="1">
        <v>-116.4</v>
      </c>
      <c r="AH24" s="2">
        <v>-122.17</v>
      </c>
      <c r="AI24"/>
      <c r="AJ24" s="3">
        <f t="shared" si="3"/>
        <v>9</v>
      </c>
      <c r="AK24" s="3" t="s">
        <v>2741</v>
      </c>
      <c r="AL24">
        <v>9</v>
      </c>
      <c r="AM24" t="s">
        <v>15</v>
      </c>
    </row>
    <row r="25" spans="1:39" ht="15" hidden="1" thickTop="1" x14ac:dyDescent="0.3">
      <c r="A25" s="51" t="s">
        <v>1496</v>
      </c>
      <c r="B25" s="54" t="s">
        <v>1497</v>
      </c>
      <c r="C25" s="51" t="s">
        <v>2765</v>
      </c>
      <c r="D25" s="53">
        <v>1</v>
      </c>
      <c r="E25" s="53">
        <v>0</v>
      </c>
      <c r="F25" s="51" t="s">
        <v>2744</v>
      </c>
      <c r="G25" s="51" t="s">
        <v>2695</v>
      </c>
      <c r="H25" s="25" t="str">
        <f t="shared" si="0"/>
        <v>jgd</v>
      </c>
      <c r="I25" t="s">
        <v>1488</v>
      </c>
      <c r="J25" t="s">
        <v>1489</v>
      </c>
      <c r="K25" t="s">
        <v>1495</v>
      </c>
      <c r="L25" s="25">
        <v>47.310649679999997</v>
      </c>
      <c r="M25" s="25">
        <v>7.4246985690000002</v>
      </c>
      <c r="N25">
        <v>5</v>
      </c>
      <c r="O25">
        <v>31</v>
      </c>
      <c r="P25">
        <v>10</v>
      </c>
      <c r="Q25">
        <v>2016</v>
      </c>
      <c r="R25" s="9">
        <v>42674</v>
      </c>
      <c r="S25">
        <v>365</v>
      </c>
      <c r="T25">
        <v>1</v>
      </c>
      <c r="U25">
        <v>0</v>
      </c>
      <c r="V25">
        <v>0</v>
      </c>
      <c r="W25">
        <v>0</v>
      </c>
      <c r="X25" s="57">
        <f t="shared" si="1"/>
        <v>-121.529286375</v>
      </c>
      <c r="Y25">
        <v>-23.77</v>
      </c>
      <c r="Z25">
        <v>4.62</v>
      </c>
      <c r="AA25" s="3">
        <f t="shared" si="4"/>
        <v>12</v>
      </c>
      <c r="AB25" s="3">
        <f t="shared" si="5"/>
        <v>5</v>
      </c>
      <c r="AD25" s="3" t="s">
        <v>2750</v>
      </c>
      <c r="AE25" s="4">
        <v>-92.713429099999999</v>
      </c>
      <c r="AF25" s="4">
        <f t="shared" si="2"/>
        <v>-92.713429099999999</v>
      </c>
      <c r="AG25" s="60" t="s">
        <v>16</v>
      </c>
      <c r="AH25" s="61" t="s">
        <v>16</v>
      </c>
      <c r="AJ25" s="3">
        <f t="shared" si="3"/>
        <v>9</v>
      </c>
      <c r="AK25" s="3" t="s">
        <v>2741</v>
      </c>
      <c r="AL25">
        <v>9</v>
      </c>
      <c r="AM25" t="s">
        <v>15</v>
      </c>
    </row>
    <row r="26" spans="1:39" ht="15" hidden="1" thickTop="1" x14ac:dyDescent="0.3">
      <c r="A26" s="51" t="s">
        <v>537</v>
      </c>
      <c r="B26" s="54" t="s">
        <v>538</v>
      </c>
      <c r="C26" s="51" t="s">
        <v>2765</v>
      </c>
      <c r="D26" s="53">
        <v>1</v>
      </c>
      <c r="E26" s="53">
        <v>0</v>
      </c>
      <c r="F26" s="51" t="s">
        <v>2744</v>
      </c>
      <c r="G26" s="51" t="s">
        <v>2695</v>
      </c>
      <c r="H26" s="25" t="str">
        <f t="shared" si="0"/>
        <v>jgd</v>
      </c>
      <c r="I26" t="s">
        <v>385</v>
      </c>
      <c r="J26" t="s">
        <v>539</v>
      </c>
      <c r="K26" t="s">
        <v>540</v>
      </c>
      <c r="L26" s="25">
        <v>46.9080285</v>
      </c>
      <c r="M26" s="25">
        <v>6.6707802369999998</v>
      </c>
      <c r="N26">
        <v>3</v>
      </c>
      <c r="O26">
        <v>14</v>
      </c>
      <c r="P26">
        <v>11</v>
      </c>
      <c r="Q26">
        <v>2014</v>
      </c>
      <c r="R26" s="9">
        <v>41957</v>
      </c>
      <c r="S26">
        <v>355</v>
      </c>
      <c r="T26">
        <v>1</v>
      </c>
      <c r="U26">
        <v>0</v>
      </c>
      <c r="V26">
        <v>0</v>
      </c>
      <c r="W26">
        <v>0</v>
      </c>
      <c r="X26">
        <f t="shared" si="1"/>
        <v>-121.075</v>
      </c>
      <c r="Y26">
        <v>-24.099799999999998</v>
      </c>
      <c r="Z26">
        <v>6.192243038</v>
      </c>
      <c r="AA26" s="3">
        <f t="shared" si="4"/>
        <v>12</v>
      </c>
      <c r="AB26" s="3">
        <f t="shared" si="5"/>
        <v>6</v>
      </c>
      <c r="AD26" s="3" t="s">
        <v>2750</v>
      </c>
      <c r="AE26" s="4">
        <v>-92.35</v>
      </c>
      <c r="AF26" s="4">
        <f t="shared" si="2"/>
        <v>-92.35</v>
      </c>
      <c r="AG26" s="1">
        <v>-115.5</v>
      </c>
      <c r="AH26" s="2">
        <v>-121.07</v>
      </c>
      <c r="AI26"/>
      <c r="AJ26" s="3">
        <f t="shared" si="3"/>
        <v>9</v>
      </c>
      <c r="AK26" s="3" t="s">
        <v>2741</v>
      </c>
      <c r="AL26">
        <v>9</v>
      </c>
      <c r="AM26" t="s">
        <v>15</v>
      </c>
    </row>
    <row r="27" spans="1:39" ht="15" hidden="1" thickTop="1" x14ac:dyDescent="0.3">
      <c r="A27" s="51" t="s">
        <v>429</v>
      </c>
      <c r="B27" s="54" t="s">
        <v>173</v>
      </c>
      <c r="C27" s="51" t="s">
        <v>2765</v>
      </c>
      <c r="D27" s="53">
        <v>1</v>
      </c>
      <c r="E27" s="53">
        <v>0</v>
      </c>
      <c r="F27" s="51" t="s">
        <v>2744</v>
      </c>
      <c r="G27" s="51" t="s">
        <v>2695</v>
      </c>
      <c r="H27" s="25" t="str">
        <f t="shared" si="0"/>
        <v>jgd</v>
      </c>
      <c r="I27" t="s">
        <v>72</v>
      </c>
      <c r="J27" t="s">
        <v>155</v>
      </c>
      <c r="K27" t="s">
        <v>156</v>
      </c>
      <c r="L27" s="25">
        <v>46.07779464</v>
      </c>
      <c r="M27" s="25">
        <v>8.8489388420000008</v>
      </c>
      <c r="N27">
        <v>4</v>
      </c>
      <c r="O27">
        <v>26</v>
      </c>
      <c r="P27">
        <v>10</v>
      </c>
      <c r="Q27">
        <v>2014</v>
      </c>
      <c r="R27" s="9">
        <v>41938</v>
      </c>
      <c r="S27">
        <v>323</v>
      </c>
      <c r="T27">
        <v>1</v>
      </c>
      <c r="U27">
        <v>0</v>
      </c>
      <c r="V27">
        <v>0</v>
      </c>
      <c r="W27">
        <v>0</v>
      </c>
      <c r="X27">
        <f t="shared" si="1"/>
        <v>-121.0125</v>
      </c>
      <c r="Y27">
        <v>-23.606200000000001</v>
      </c>
      <c r="Z27">
        <v>4.9330720860000001</v>
      </c>
      <c r="AA27" s="3">
        <f t="shared" si="4"/>
        <v>12</v>
      </c>
      <c r="AB27" s="3">
        <f t="shared" si="5"/>
        <v>5</v>
      </c>
      <c r="AD27" s="3" t="s">
        <v>2754</v>
      </c>
      <c r="AE27" s="4">
        <v>-92.3</v>
      </c>
      <c r="AF27" s="4">
        <f t="shared" si="2"/>
        <v>-92.3</v>
      </c>
      <c r="AG27" s="1">
        <v>-115.4</v>
      </c>
      <c r="AH27" s="2">
        <v>-121.01</v>
      </c>
      <c r="AI27"/>
      <c r="AJ27" s="3">
        <f t="shared" si="3"/>
        <v>9</v>
      </c>
      <c r="AK27" s="3" t="s">
        <v>2741</v>
      </c>
      <c r="AL27">
        <v>9</v>
      </c>
      <c r="AM27" t="s">
        <v>15</v>
      </c>
    </row>
    <row r="28" spans="1:39" ht="15" hidden="1" thickTop="1" x14ac:dyDescent="0.3">
      <c r="A28" s="51" t="s">
        <v>104</v>
      </c>
      <c r="B28" s="54" t="s">
        <v>105</v>
      </c>
      <c r="C28" s="51" t="s">
        <v>2765</v>
      </c>
      <c r="D28" s="53">
        <v>1</v>
      </c>
      <c r="E28" s="53">
        <v>0</v>
      </c>
      <c r="F28" s="51" t="s">
        <v>2744</v>
      </c>
      <c r="G28" s="51" t="s">
        <v>2695</v>
      </c>
      <c r="H28" s="25" t="str">
        <f t="shared" si="0"/>
        <v>jgd</v>
      </c>
      <c r="I28" t="s">
        <v>72</v>
      </c>
      <c r="J28" t="s">
        <v>106</v>
      </c>
      <c r="K28" t="s">
        <v>107</v>
      </c>
      <c r="L28" s="25">
        <v>46.190191069999997</v>
      </c>
      <c r="M28" s="25">
        <v>8.7048142819999992</v>
      </c>
      <c r="N28">
        <v>5</v>
      </c>
      <c r="O28">
        <v>10</v>
      </c>
      <c r="P28">
        <v>11</v>
      </c>
      <c r="Q28">
        <v>2013</v>
      </c>
      <c r="R28" s="9">
        <v>41588</v>
      </c>
      <c r="S28">
        <v>289</v>
      </c>
      <c r="T28">
        <v>1</v>
      </c>
      <c r="U28">
        <v>0</v>
      </c>
      <c r="V28">
        <v>0</v>
      </c>
      <c r="W28">
        <v>0</v>
      </c>
      <c r="X28">
        <f t="shared" si="1"/>
        <v>-120.325</v>
      </c>
      <c r="Y28">
        <v>-51.133360189999998</v>
      </c>
      <c r="Z28">
        <v>6.0069001440000003</v>
      </c>
      <c r="AA28" s="3">
        <f t="shared" si="4"/>
        <v>12</v>
      </c>
      <c r="AB28" s="3">
        <f t="shared" si="5"/>
        <v>6</v>
      </c>
      <c r="AD28" s="3" t="s">
        <v>2754</v>
      </c>
      <c r="AE28" s="4">
        <v>-91.75</v>
      </c>
      <c r="AF28" s="4">
        <f t="shared" si="2"/>
        <v>-91.75</v>
      </c>
      <c r="AG28" s="1">
        <v>-114.9</v>
      </c>
      <c r="AH28" s="2">
        <v>-120.33</v>
      </c>
      <c r="AI28"/>
      <c r="AJ28" s="3">
        <f t="shared" si="3"/>
        <v>9</v>
      </c>
      <c r="AK28" s="3" t="s">
        <v>2741</v>
      </c>
      <c r="AL28">
        <v>9</v>
      </c>
      <c r="AM28" t="s">
        <v>15</v>
      </c>
    </row>
    <row r="29" spans="1:39" ht="15" hidden="1" thickTop="1" x14ac:dyDescent="0.3">
      <c r="A29" s="51" t="s">
        <v>121</v>
      </c>
      <c r="B29" s="54" t="s">
        <v>122</v>
      </c>
      <c r="C29" s="51" t="s">
        <v>2765</v>
      </c>
      <c r="D29" s="53">
        <v>1</v>
      </c>
      <c r="E29" s="53">
        <v>0</v>
      </c>
      <c r="F29" s="51" t="s">
        <v>2744</v>
      </c>
      <c r="G29" s="51" t="s">
        <v>2695</v>
      </c>
      <c r="H29" s="25" t="str">
        <f t="shared" si="0"/>
        <v>jgd</v>
      </c>
      <c r="I29" t="s">
        <v>72</v>
      </c>
      <c r="J29" t="s">
        <v>106</v>
      </c>
      <c r="K29" t="s">
        <v>123</v>
      </c>
      <c r="L29" s="25">
        <v>46.189087430000001</v>
      </c>
      <c r="M29" s="25">
        <v>8.7417465730000004</v>
      </c>
      <c r="N29">
        <v>5</v>
      </c>
      <c r="O29">
        <v>23</v>
      </c>
      <c r="P29">
        <v>11</v>
      </c>
      <c r="Q29">
        <v>2013</v>
      </c>
      <c r="R29" s="9">
        <v>41601</v>
      </c>
      <c r="S29">
        <v>219</v>
      </c>
      <c r="T29">
        <v>1</v>
      </c>
      <c r="U29">
        <v>0</v>
      </c>
      <c r="V29">
        <v>0</v>
      </c>
      <c r="W29">
        <v>0</v>
      </c>
      <c r="X29">
        <f t="shared" si="1"/>
        <v>-120.325</v>
      </c>
      <c r="Y29">
        <v>-31.760823779999999</v>
      </c>
      <c r="Z29">
        <v>3.9600696860000002</v>
      </c>
      <c r="AA29" s="3">
        <f t="shared" si="4"/>
        <v>12</v>
      </c>
      <c r="AB29" s="3">
        <f t="shared" si="5"/>
        <v>4</v>
      </c>
      <c r="AD29" s="3" t="s">
        <v>2754</v>
      </c>
      <c r="AE29" s="4">
        <v>-91.75</v>
      </c>
      <c r="AF29" s="4">
        <f t="shared" si="2"/>
        <v>-91.75</v>
      </c>
      <c r="AG29" s="1">
        <v>-114.9</v>
      </c>
      <c r="AH29" s="2">
        <v>-120.33</v>
      </c>
      <c r="AI29"/>
      <c r="AJ29" s="3">
        <f t="shared" si="3"/>
        <v>9</v>
      </c>
      <c r="AK29" s="3" t="s">
        <v>2741</v>
      </c>
      <c r="AL29">
        <v>9</v>
      </c>
      <c r="AM29" t="s">
        <v>15</v>
      </c>
    </row>
    <row r="30" spans="1:39" ht="15" hidden="1" thickTop="1" x14ac:dyDescent="0.3">
      <c r="A30" s="51" t="s">
        <v>1491</v>
      </c>
      <c r="B30" s="54" t="s">
        <v>1492</v>
      </c>
      <c r="C30" s="51" t="s">
        <v>2765</v>
      </c>
      <c r="D30" s="53">
        <v>1</v>
      </c>
      <c r="E30" s="53">
        <v>0</v>
      </c>
      <c r="F30" s="51" t="s">
        <v>2744</v>
      </c>
      <c r="G30" s="51" t="s">
        <v>2695</v>
      </c>
      <c r="H30" s="25" t="str">
        <f t="shared" si="0"/>
        <v>jgd</v>
      </c>
      <c r="I30" t="s">
        <v>1488</v>
      </c>
      <c r="J30" t="s">
        <v>1489</v>
      </c>
      <c r="K30" t="s">
        <v>1490</v>
      </c>
      <c r="L30" s="25">
        <v>47.311001300000001</v>
      </c>
      <c r="M30" s="25">
        <v>7.439800988</v>
      </c>
      <c r="N30">
        <v>5</v>
      </c>
      <c r="O30">
        <v>22</v>
      </c>
      <c r="P30">
        <v>10</v>
      </c>
      <c r="Q30">
        <v>2016</v>
      </c>
      <c r="R30" s="9">
        <v>42665</v>
      </c>
      <c r="S30">
        <v>330</v>
      </c>
      <c r="T30">
        <v>1</v>
      </c>
      <c r="U30">
        <v>0</v>
      </c>
      <c r="V30">
        <v>0</v>
      </c>
      <c r="W30">
        <v>0</v>
      </c>
      <c r="X30" s="57">
        <f t="shared" si="1"/>
        <v>-119.68337700000001</v>
      </c>
      <c r="Y30">
        <v>-25.14</v>
      </c>
      <c r="Z30">
        <v>6.26</v>
      </c>
      <c r="AA30" s="3">
        <f t="shared" si="4"/>
        <v>12</v>
      </c>
      <c r="AB30" s="3">
        <f t="shared" si="5"/>
        <v>6</v>
      </c>
      <c r="AD30" s="3" t="s">
        <v>2750</v>
      </c>
      <c r="AE30" s="4">
        <v>-91.236701600000004</v>
      </c>
      <c r="AF30" s="4">
        <f t="shared" si="2"/>
        <v>-91.236701600000004</v>
      </c>
      <c r="AG30" s="60" t="s">
        <v>16</v>
      </c>
      <c r="AH30" s="61" t="s">
        <v>16</v>
      </c>
      <c r="AJ30" s="3">
        <f t="shared" si="3"/>
        <v>9</v>
      </c>
      <c r="AK30" s="3" t="s">
        <v>2741</v>
      </c>
      <c r="AL30">
        <v>9</v>
      </c>
      <c r="AM30" t="s">
        <v>15</v>
      </c>
    </row>
    <row r="31" spans="1:39" ht="15" hidden="1" thickTop="1" x14ac:dyDescent="0.3">
      <c r="A31" s="51" t="s">
        <v>2518</v>
      </c>
      <c r="B31" s="54" t="s">
        <v>1168</v>
      </c>
      <c r="C31" s="51" t="s">
        <v>2765</v>
      </c>
      <c r="D31" s="53">
        <v>1</v>
      </c>
      <c r="E31" s="53">
        <v>0</v>
      </c>
      <c r="F31" s="51" t="s">
        <v>2744</v>
      </c>
      <c r="G31" s="51" t="s">
        <v>2695</v>
      </c>
      <c r="H31" s="25" t="str">
        <f t="shared" si="0"/>
        <v>jgd</v>
      </c>
      <c r="I31" t="s">
        <v>72</v>
      </c>
      <c r="J31" t="s">
        <v>298</v>
      </c>
      <c r="K31" t="s">
        <v>2515</v>
      </c>
      <c r="L31" s="25">
        <v>46.144714780000001</v>
      </c>
      <c r="M31" s="25">
        <v>8.9940763839999995</v>
      </c>
      <c r="N31">
        <v>5</v>
      </c>
      <c r="O31">
        <v>2</v>
      </c>
      <c r="P31">
        <v>11</v>
      </c>
      <c r="Q31">
        <v>2017</v>
      </c>
      <c r="R31" s="9">
        <v>43041</v>
      </c>
      <c r="S31">
        <v>310</v>
      </c>
      <c r="T31">
        <v>1</v>
      </c>
      <c r="U31">
        <v>0</v>
      </c>
      <c r="V31">
        <v>0</v>
      </c>
      <c r="W31">
        <v>0</v>
      </c>
      <c r="X31" s="57">
        <f t="shared" si="1"/>
        <v>-119.541538375</v>
      </c>
      <c r="Y31" t="s">
        <v>16</v>
      </c>
      <c r="Z31">
        <v>3.949742799</v>
      </c>
      <c r="AA31" s="3">
        <f t="shared" si="4"/>
        <v>12</v>
      </c>
      <c r="AB31" s="3">
        <f t="shared" si="5"/>
        <v>4</v>
      </c>
      <c r="AD31" s="3" t="s">
        <v>2754</v>
      </c>
      <c r="AE31" s="4">
        <v>-91.123230699999993</v>
      </c>
      <c r="AF31" s="4">
        <f t="shared" si="2"/>
        <v>-91.123230699999993</v>
      </c>
      <c r="AG31" s="60" t="s">
        <v>16</v>
      </c>
      <c r="AH31" s="61" t="s">
        <v>16</v>
      </c>
      <c r="AJ31" s="3">
        <f t="shared" si="3"/>
        <v>9</v>
      </c>
      <c r="AK31" s="3" t="s">
        <v>2741</v>
      </c>
      <c r="AL31">
        <v>9</v>
      </c>
      <c r="AM31" t="s">
        <v>15</v>
      </c>
    </row>
    <row r="32" spans="1:39" ht="15" hidden="1" thickTop="1" x14ac:dyDescent="0.3">
      <c r="A32" s="51" t="s">
        <v>733</v>
      </c>
      <c r="B32" s="54" t="s">
        <v>354</v>
      </c>
      <c r="C32" s="51" t="s">
        <v>2765</v>
      </c>
      <c r="D32" s="53">
        <v>1</v>
      </c>
      <c r="E32" s="53">
        <v>0</v>
      </c>
      <c r="F32" s="51" t="s">
        <v>2744</v>
      </c>
      <c r="G32" s="51" t="s">
        <v>2695</v>
      </c>
      <c r="H32" s="25" t="str">
        <f t="shared" si="0"/>
        <v>jgd</v>
      </c>
      <c r="I32" t="s">
        <v>72</v>
      </c>
      <c r="J32" t="s">
        <v>234</v>
      </c>
      <c r="K32" t="s">
        <v>364</v>
      </c>
      <c r="L32" s="25">
        <v>46.209382009999999</v>
      </c>
      <c r="M32" s="25">
        <v>8.7206943110000008</v>
      </c>
      <c r="N32">
        <v>6</v>
      </c>
      <c r="O32">
        <v>31</v>
      </c>
      <c r="P32">
        <v>10</v>
      </c>
      <c r="Q32">
        <v>2015</v>
      </c>
      <c r="R32" s="9">
        <v>42308</v>
      </c>
      <c r="S32">
        <v>280</v>
      </c>
      <c r="T32">
        <v>1</v>
      </c>
      <c r="U32">
        <v>0</v>
      </c>
      <c r="V32">
        <v>0</v>
      </c>
      <c r="W32">
        <v>0</v>
      </c>
      <c r="X32">
        <f t="shared" si="1"/>
        <v>-119.02499999999999</v>
      </c>
      <c r="Y32">
        <v>-23.6112</v>
      </c>
      <c r="Z32">
        <v>4.6436824469999998</v>
      </c>
      <c r="AA32" s="3">
        <f t="shared" si="4"/>
        <v>12</v>
      </c>
      <c r="AB32" s="3">
        <f t="shared" si="5"/>
        <v>5</v>
      </c>
      <c r="AD32" s="3" t="s">
        <v>2754</v>
      </c>
      <c r="AE32" s="4">
        <v>-90.71</v>
      </c>
      <c r="AF32" s="4">
        <f t="shared" si="2"/>
        <v>-90.71</v>
      </c>
      <c r="AG32" s="1">
        <v>-113.8</v>
      </c>
      <c r="AH32" s="2">
        <v>-119.02</v>
      </c>
      <c r="AI32"/>
      <c r="AJ32" s="3">
        <f t="shared" si="3"/>
        <v>9</v>
      </c>
      <c r="AK32" s="3" t="s">
        <v>2741</v>
      </c>
      <c r="AL32">
        <v>9</v>
      </c>
      <c r="AM32" t="s">
        <v>15</v>
      </c>
    </row>
    <row r="33" spans="1:39" ht="15" hidden="1" thickTop="1" x14ac:dyDescent="0.3">
      <c r="A33" s="51" t="s">
        <v>251</v>
      </c>
      <c r="B33" s="54" t="s">
        <v>252</v>
      </c>
      <c r="C33" s="51" t="s">
        <v>2765</v>
      </c>
      <c r="D33" s="53">
        <v>1</v>
      </c>
      <c r="E33" s="53">
        <v>0</v>
      </c>
      <c r="F33" s="51" t="s">
        <v>2744</v>
      </c>
      <c r="G33" s="51" t="s">
        <v>2695</v>
      </c>
      <c r="H33" s="25" t="str">
        <f t="shared" si="0"/>
        <v>jgd</v>
      </c>
      <c r="I33" t="s">
        <v>72</v>
      </c>
      <c r="J33" t="s">
        <v>16</v>
      </c>
      <c r="K33" t="s">
        <v>253</v>
      </c>
      <c r="L33" s="25">
        <v>46.40684753</v>
      </c>
      <c r="M33" s="25">
        <v>8.9858773529999993</v>
      </c>
      <c r="N33">
        <v>6</v>
      </c>
      <c r="O33">
        <v>5</v>
      </c>
      <c r="P33">
        <v>11</v>
      </c>
      <c r="Q33">
        <v>2013</v>
      </c>
      <c r="R33" s="9">
        <v>41583</v>
      </c>
      <c r="S33">
        <v>326</v>
      </c>
      <c r="T33">
        <v>1</v>
      </c>
      <c r="U33">
        <v>0</v>
      </c>
      <c r="V33">
        <v>0</v>
      </c>
      <c r="W33">
        <v>0</v>
      </c>
      <c r="X33">
        <f t="shared" si="1"/>
        <v>-118.50000000000001</v>
      </c>
      <c r="Y33">
        <v>-20.304370779999999</v>
      </c>
      <c r="Z33">
        <v>4.6095004590000004</v>
      </c>
      <c r="AA33" s="3">
        <f t="shared" si="4"/>
        <v>12</v>
      </c>
      <c r="AB33" s="3">
        <f t="shared" si="5"/>
        <v>5</v>
      </c>
      <c r="AD33" s="3" t="s">
        <v>2754</v>
      </c>
      <c r="AE33" s="4">
        <v>-90.29</v>
      </c>
      <c r="AF33" s="4">
        <f t="shared" si="2"/>
        <v>-90.29</v>
      </c>
      <c r="AG33" s="1">
        <v>-113.4</v>
      </c>
      <c r="AH33" s="2">
        <v>-118.5</v>
      </c>
      <c r="AI33"/>
      <c r="AJ33" s="3">
        <f t="shared" si="3"/>
        <v>9</v>
      </c>
      <c r="AK33" s="3" t="s">
        <v>2741</v>
      </c>
      <c r="AL33">
        <v>9</v>
      </c>
      <c r="AM33" t="s">
        <v>15</v>
      </c>
    </row>
    <row r="34" spans="1:39" ht="15" hidden="1" thickTop="1" x14ac:dyDescent="0.3">
      <c r="A34" s="51" t="s">
        <v>343</v>
      </c>
      <c r="B34" s="54" t="s">
        <v>344</v>
      </c>
      <c r="C34" s="51" t="s">
        <v>2765</v>
      </c>
      <c r="D34" s="53">
        <v>1</v>
      </c>
      <c r="E34" s="53">
        <v>0</v>
      </c>
      <c r="F34" s="51" t="s">
        <v>2744</v>
      </c>
      <c r="G34" s="51" t="s">
        <v>2695</v>
      </c>
      <c r="H34" s="25" t="str">
        <f t="shared" ref="H34:H65" si="6">IF(T34=1,"jgd",IF(W34=1,"Captures automne","Captures printemps-été"))</f>
        <v>jgd</v>
      </c>
      <c r="I34" t="s">
        <v>72</v>
      </c>
      <c r="J34" t="s">
        <v>335</v>
      </c>
      <c r="K34" t="s">
        <v>345</v>
      </c>
      <c r="L34" s="25">
        <v>46.507576810000003</v>
      </c>
      <c r="M34" s="25">
        <v>8.6631476299999992</v>
      </c>
      <c r="N34">
        <v>5</v>
      </c>
      <c r="O34">
        <v>19</v>
      </c>
      <c r="P34">
        <v>10</v>
      </c>
      <c r="Q34">
        <v>2014</v>
      </c>
      <c r="R34" s="9">
        <v>41931</v>
      </c>
      <c r="S34">
        <v>347</v>
      </c>
      <c r="T34">
        <v>1</v>
      </c>
      <c r="U34">
        <v>0</v>
      </c>
      <c r="V34">
        <v>0</v>
      </c>
      <c r="W34">
        <v>0</v>
      </c>
      <c r="X34">
        <f t="shared" si="1"/>
        <v>-118.4875</v>
      </c>
      <c r="Y34">
        <v>-23.331800000000001</v>
      </c>
      <c r="Z34">
        <v>4.5808401099999996</v>
      </c>
      <c r="AA34" s="3">
        <f t="shared" si="4"/>
        <v>12</v>
      </c>
      <c r="AB34" s="3">
        <f t="shared" si="5"/>
        <v>5</v>
      </c>
      <c r="AD34" s="3" t="s">
        <v>2754</v>
      </c>
      <c r="AE34" s="4">
        <v>-90.28</v>
      </c>
      <c r="AF34" s="4">
        <f t="shared" si="2"/>
        <v>-90.28</v>
      </c>
      <c r="AG34" s="1">
        <v>-113.4</v>
      </c>
      <c r="AH34" s="2">
        <v>-118.48</v>
      </c>
      <c r="AI34"/>
      <c r="AJ34" s="3">
        <f t="shared" si="3"/>
        <v>9</v>
      </c>
      <c r="AK34" s="3" t="s">
        <v>2741</v>
      </c>
      <c r="AL34">
        <v>9</v>
      </c>
      <c r="AM34" t="s">
        <v>15</v>
      </c>
    </row>
    <row r="35" spans="1:39" ht="15" hidden="1" thickTop="1" x14ac:dyDescent="0.3">
      <c r="A35" s="51" t="s">
        <v>408</v>
      </c>
      <c r="B35" s="54" t="s">
        <v>409</v>
      </c>
      <c r="C35" s="51" t="s">
        <v>2765</v>
      </c>
      <c r="D35" s="53">
        <v>1</v>
      </c>
      <c r="E35" s="53">
        <v>0</v>
      </c>
      <c r="F35" s="51" t="s">
        <v>2744</v>
      </c>
      <c r="G35" s="51" t="s">
        <v>2695</v>
      </c>
      <c r="H35" s="25" t="str">
        <f t="shared" si="6"/>
        <v>jgd</v>
      </c>
      <c r="I35" t="s">
        <v>72</v>
      </c>
      <c r="J35" t="s">
        <v>155</v>
      </c>
      <c r="K35" t="s">
        <v>410</v>
      </c>
      <c r="L35" s="25">
        <v>46.12883257</v>
      </c>
      <c r="M35" s="25">
        <v>8.8683742429999999</v>
      </c>
      <c r="N35">
        <v>4</v>
      </c>
      <c r="O35">
        <v>30</v>
      </c>
      <c r="P35">
        <v>10</v>
      </c>
      <c r="Q35">
        <v>2014</v>
      </c>
      <c r="R35" s="9">
        <v>41942</v>
      </c>
      <c r="S35">
        <v>302</v>
      </c>
      <c r="T35">
        <v>1</v>
      </c>
      <c r="U35">
        <v>0</v>
      </c>
      <c r="V35">
        <v>0</v>
      </c>
      <c r="W35">
        <v>0</v>
      </c>
      <c r="X35">
        <f t="shared" si="1"/>
        <v>-118.03750000000001</v>
      </c>
      <c r="Y35">
        <v>-24.685749999999999</v>
      </c>
      <c r="Z35">
        <v>2.883952989</v>
      </c>
      <c r="AA35" s="3">
        <f t="shared" si="4"/>
        <v>12</v>
      </c>
      <c r="AB35" s="3">
        <f t="shared" si="5"/>
        <v>3</v>
      </c>
      <c r="AD35" s="3" t="s">
        <v>2754</v>
      </c>
      <c r="AE35" s="4">
        <v>-89.92</v>
      </c>
      <c r="AF35" s="4">
        <f t="shared" si="2"/>
        <v>-89.92</v>
      </c>
      <c r="AG35" s="1">
        <v>-113</v>
      </c>
      <c r="AH35" s="2">
        <v>-118.03</v>
      </c>
      <c r="AI35"/>
      <c r="AJ35" s="3">
        <f t="shared" si="3"/>
        <v>9</v>
      </c>
      <c r="AK35" s="3" t="s">
        <v>2741</v>
      </c>
      <c r="AL35">
        <v>9</v>
      </c>
      <c r="AM35" t="s">
        <v>15</v>
      </c>
    </row>
    <row r="36" spans="1:39" ht="15" hidden="1" thickTop="1" x14ac:dyDescent="0.3">
      <c r="A36" s="51" t="s">
        <v>736</v>
      </c>
      <c r="B36" s="54" t="s">
        <v>363</v>
      </c>
      <c r="C36" s="51" t="s">
        <v>2765</v>
      </c>
      <c r="D36" s="53">
        <v>1</v>
      </c>
      <c r="E36" s="53">
        <v>0</v>
      </c>
      <c r="F36" s="51" t="s">
        <v>2744</v>
      </c>
      <c r="G36" s="51" t="s">
        <v>2695</v>
      </c>
      <c r="H36" s="25" t="str">
        <f t="shared" si="6"/>
        <v>jgd</v>
      </c>
      <c r="I36" t="s">
        <v>72</v>
      </c>
      <c r="J36" t="s">
        <v>106</v>
      </c>
      <c r="K36" t="s">
        <v>737</v>
      </c>
      <c r="L36" s="25">
        <v>46.197034590000001</v>
      </c>
      <c r="M36" s="25">
        <v>8.7162708579999997</v>
      </c>
      <c r="N36">
        <v>6</v>
      </c>
      <c r="O36">
        <v>18</v>
      </c>
      <c r="P36">
        <v>11</v>
      </c>
      <c r="Q36">
        <v>2015</v>
      </c>
      <c r="R36" s="9">
        <v>42326</v>
      </c>
      <c r="S36">
        <v>289</v>
      </c>
      <c r="T36">
        <v>1</v>
      </c>
      <c r="U36">
        <v>0</v>
      </c>
      <c r="V36">
        <v>0</v>
      </c>
      <c r="W36">
        <v>0</v>
      </c>
      <c r="X36">
        <f t="shared" si="1"/>
        <v>-117.6375</v>
      </c>
      <c r="Y36">
        <v>-24.962199999999999</v>
      </c>
      <c r="Z36">
        <v>6.7123370570000001</v>
      </c>
      <c r="AA36" s="3">
        <f t="shared" si="4"/>
        <v>12</v>
      </c>
      <c r="AB36" s="3">
        <f t="shared" si="5"/>
        <v>7</v>
      </c>
      <c r="AD36" s="3" t="s">
        <v>2754</v>
      </c>
      <c r="AE36" s="4">
        <v>-89.6</v>
      </c>
      <c r="AF36" s="4">
        <f t="shared" si="2"/>
        <v>-89.6</v>
      </c>
      <c r="AG36" s="1">
        <v>-112.7</v>
      </c>
      <c r="AH36" s="2">
        <v>-117.64</v>
      </c>
      <c r="AI36"/>
      <c r="AJ36" s="3">
        <f t="shared" si="3"/>
        <v>9</v>
      </c>
      <c r="AK36" s="3" t="s">
        <v>2741</v>
      </c>
      <c r="AL36">
        <v>9</v>
      </c>
      <c r="AM36" t="s">
        <v>15</v>
      </c>
    </row>
    <row r="37" spans="1:39" ht="15" hidden="1" thickTop="1" x14ac:dyDescent="0.3">
      <c r="A37" s="51" t="s">
        <v>168</v>
      </c>
      <c r="B37" s="54" t="s">
        <v>169</v>
      </c>
      <c r="C37" s="51" t="s">
        <v>2765</v>
      </c>
      <c r="D37" s="53">
        <v>1</v>
      </c>
      <c r="E37" s="53">
        <v>0</v>
      </c>
      <c r="F37" s="51" t="s">
        <v>2744</v>
      </c>
      <c r="G37" s="51" t="s">
        <v>2695</v>
      </c>
      <c r="H37" s="25" t="str">
        <f t="shared" si="6"/>
        <v>jgd</v>
      </c>
      <c r="I37" t="s">
        <v>72</v>
      </c>
      <c r="J37" t="s">
        <v>170</v>
      </c>
      <c r="K37" t="s">
        <v>171</v>
      </c>
      <c r="L37" s="25">
        <v>46.081408400000001</v>
      </c>
      <c r="M37" s="25">
        <v>8.8477392849999994</v>
      </c>
      <c r="N37">
        <v>4</v>
      </c>
      <c r="O37">
        <v>10</v>
      </c>
      <c r="P37">
        <v>11</v>
      </c>
      <c r="Q37">
        <v>2013</v>
      </c>
      <c r="R37" s="9">
        <v>41588</v>
      </c>
      <c r="S37">
        <v>327</v>
      </c>
      <c r="T37">
        <v>1</v>
      </c>
      <c r="U37">
        <v>0</v>
      </c>
      <c r="V37">
        <v>0</v>
      </c>
      <c r="W37">
        <v>0</v>
      </c>
      <c r="X37">
        <f t="shared" si="1"/>
        <v>-117.41250000000001</v>
      </c>
      <c r="Y37">
        <v>-37.955087939999999</v>
      </c>
      <c r="Z37">
        <v>5.3871017190000003</v>
      </c>
      <c r="AA37" s="3">
        <f t="shared" si="4"/>
        <v>12</v>
      </c>
      <c r="AB37" s="3">
        <f t="shared" si="5"/>
        <v>5</v>
      </c>
      <c r="AD37" s="3" t="s">
        <v>2754</v>
      </c>
      <c r="AE37" s="4">
        <v>-89.42</v>
      </c>
      <c r="AF37" s="4">
        <f t="shared" si="2"/>
        <v>-89.42</v>
      </c>
      <c r="AG37" s="1">
        <v>-112.5</v>
      </c>
      <c r="AH37" s="2">
        <v>-117.41</v>
      </c>
      <c r="AI37"/>
      <c r="AJ37" s="3">
        <f t="shared" si="3"/>
        <v>9</v>
      </c>
      <c r="AK37" s="3" t="s">
        <v>2741</v>
      </c>
      <c r="AL37">
        <v>9</v>
      </c>
      <c r="AM37" t="s">
        <v>15</v>
      </c>
    </row>
    <row r="38" spans="1:39" ht="15" hidden="1" thickTop="1" x14ac:dyDescent="0.3">
      <c r="A38" s="51" t="s">
        <v>244</v>
      </c>
      <c r="B38" s="54" t="s">
        <v>245</v>
      </c>
      <c r="C38" s="51" t="s">
        <v>2765</v>
      </c>
      <c r="D38" s="53">
        <v>1</v>
      </c>
      <c r="E38" s="53">
        <v>0</v>
      </c>
      <c r="F38" s="51" t="s">
        <v>2744</v>
      </c>
      <c r="G38" s="51" t="s">
        <v>2695</v>
      </c>
      <c r="H38" s="25" t="str">
        <f t="shared" si="6"/>
        <v>jgd</v>
      </c>
      <c r="I38" t="s">
        <v>72</v>
      </c>
      <c r="J38" t="s">
        <v>246</v>
      </c>
      <c r="K38" t="s">
        <v>243</v>
      </c>
      <c r="L38" s="25">
        <v>46.191036449999999</v>
      </c>
      <c r="M38" s="25">
        <v>8.6355020220000007</v>
      </c>
      <c r="N38">
        <v>6</v>
      </c>
      <c r="O38">
        <v>5</v>
      </c>
      <c r="P38">
        <v>11</v>
      </c>
      <c r="Q38">
        <v>2013</v>
      </c>
      <c r="R38" s="9">
        <v>41583</v>
      </c>
      <c r="S38">
        <v>305</v>
      </c>
      <c r="T38">
        <v>1</v>
      </c>
      <c r="U38">
        <v>0</v>
      </c>
      <c r="V38">
        <v>0</v>
      </c>
      <c r="W38">
        <v>0</v>
      </c>
      <c r="X38">
        <f t="shared" si="1"/>
        <v>-117.3625</v>
      </c>
      <c r="Y38">
        <v>66.271130279999994</v>
      </c>
      <c r="Z38">
        <v>2.897610641</v>
      </c>
      <c r="AA38" s="3">
        <f t="shared" si="4"/>
        <v>12</v>
      </c>
      <c r="AB38" s="3">
        <f t="shared" si="5"/>
        <v>3</v>
      </c>
      <c r="AD38" s="3" t="s">
        <v>2754</v>
      </c>
      <c r="AE38" s="4">
        <v>-89.38</v>
      </c>
      <c r="AF38" s="4">
        <f t="shared" si="2"/>
        <v>-89.38</v>
      </c>
      <c r="AG38" s="1">
        <v>-112.4</v>
      </c>
      <c r="AH38" s="2">
        <v>-117.36</v>
      </c>
      <c r="AI38"/>
      <c r="AJ38" s="3">
        <f t="shared" si="3"/>
        <v>9</v>
      </c>
      <c r="AK38" s="3" t="s">
        <v>2741</v>
      </c>
      <c r="AL38">
        <v>9</v>
      </c>
      <c r="AM38" t="s">
        <v>15</v>
      </c>
    </row>
    <row r="39" spans="1:39" ht="15" hidden="1" thickTop="1" x14ac:dyDescent="0.3">
      <c r="A39" s="51" t="s">
        <v>2549</v>
      </c>
      <c r="B39" s="54" t="s">
        <v>1313</v>
      </c>
      <c r="C39" s="51" t="s">
        <v>2765</v>
      </c>
      <c r="D39" s="53">
        <v>1</v>
      </c>
      <c r="E39" s="53">
        <v>0</v>
      </c>
      <c r="F39" s="51" t="s">
        <v>2744</v>
      </c>
      <c r="G39" s="51" t="s">
        <v>2695</v>
      </c>
      <c r="H39" s="25" t="str">
        <f t="shared" si="6"/>
        <v>jgd</v>
      </c>
      <c r="I39" t="s">
        <v>385</v>
      </c>
      <c r="J39" t="s">
        <v>1314</v>
      </c>
      <c r="K39" t="s">
        <v>16</v>
      </c>
      <c r="L39" s="25">
        <v>46.4084711</v>
      </c>
      <c r="M39" s="25">
        <v>6.1446067190000004</v>
      </c>
      <c r="N39">
        <v>3</v>
      </c>
      <c r="O39">
        <v>3</v>
      </c>
      <c r="P39">
        <v>11</v>
      </c>
      <c r="Q39">
        <v>2017</v>
      </c>
      <c r="R39" s="9">
        <v>43042</v>
      </c>
      <c r="S39">
        <v>325</v>
      </c>
      <c r="T39">
        <v>1</v>
      </c>
      <c r="U39">
        <v>0</v>
      </c>
      <c r="V39">
        <v>0</v>
      </c>
      <c r="W39">
        <v>0</v>
      </c>
      <c r="X39" s="57">
        <f t="shared" si="1"/>
        <v>-116.81320725</v>
      </c>
      <c r="Y39" t="s">
        <v>16</v>
      </c>
      <c r="Z39">
        <v>8.1514992339999992</v>
      </c>
      <c r="AA39" s="3">
        <f t="shared" si="4"/>
        <v>12</v>
      </c>
      <c r="AB39" s="3">
        <f t="shared" si="5"/>
        <v>8</v>
      </c>
      <c r="AD39" s="3" t="s">
        <v>2750</v>
      </c>
      <c r="AE39" s="4">
        <v>-88.940565800000002</v>
      </c>
      <c r="AF39" s="4">
        <f t="shared" si="2"/>
        <v>-88.940565800000002</v>
      </c>
      <c r="AG39" s="60" t="s">
        <v>16</v>
      </c>
      <c r="AH39" s="61" t="s">
        <v>16</v>
      </c>
      <c r="AJ39" s="3">
        <f t="shared" si="3"/>
        <v>9</v>
      </c>
      <c r="AK39" s="3" t="s">
        <v>2741</v>
      </c>
      <c r="AL39">
        <v>9</v>
      </c>
      <c r="AM39" t="s">
        <v>15</v>
      </c>
    </row>
    <row r="40" spans="1:39" ht="15" hidden="1" thickTop="1" x14ac:dyDescent="0.3">
      <c r="A40" s="51" t="s">
        <v>734</v>
      </c>
      <c r="B40" s="54" t="s">
        <v>357</v>
      </c>
      <c r="C40" s="51" t="s">
        <v>2765</v>
      </c>
      <c r="D40" s="53">
        <v>1</v>
      </c>
      <c r="E40" s="53">
        <v>0</v>
      </c>
      <c r="F40" s="51" t="s">
        <v>2744</v>
      </c>
      <c r="G40" s="51" t="s">
        <v>2695</v>
      </c>
      <c r="H40" s="25" t="str">
        <f t="shared" si="6"/>
        <v>jgd</v>
      </c>
      <c r="I40" t="s">
        <v>72</v>
      </c>
      <c r="J40" t="s">
        <v>113</v>
      </c>
      <c r="K40" t="s">
        <v>332</v>
      </c>
      <c r="L40" s="25">
        <v>46.216612329999997</v>
      </c>
      <c r="M40" s="25">
        <v>8.6591983100000007</v>
      </c>
      <c r="N40">
        <v>6</v>
      </c>
      <c r="O40">
        <v>11</v>
      </c>
      <c r="P40">
        <v>11</v>
      </c>
      <c r="Q40">
        <v>2015</v>
      </c>
      <c r="R40" s="9">
        <v>42319</v>
      </c>
      <c r="S40">
        <v>271</v>
      </c>
      <c r="T40">
        <v>1</v>
      </c>
      <c r="U40">
        <v>0</v>
      </c>
      <c r="V40">
        <v>0</v>
      </c>
      <c r="W40">
        <v>0</v>
      </c>
      <c r="X40">
        <f t="shared" si="1"/>
        <v>-116.62500000000001</v>
      </c>
      <c r="Y40">
        <v>-24.520199999999999</v>
      </c>
      <c r="Z40">
        <v>5.7555208320000002</v>
      </c>
      <c r="AA40" s="3">
        <f t="shared" si="4"/>
        <v>12</v>
      </c>
      <c r="AB40" s="3">
        <f t="shared" si="5"/>
        <v>6</v>
      </c>
      <c r="AD40" s="3" t="s">
        <v>2754</v>
      </c>
      <c r="AE40" s="4">
        <v>-88.79</v>
      </c>
      <c r="AF40" s="4">
        <f t="shared" si="2"/>
        <v>-88.79</v>
      </c>
      <c r="AG40" s="1">
        <v>-111.8</v>
      </c>
      <c r="AH40" s="2">
        <v>-116.62</v>
      </c>
      <c r="AI40"/>
      <c r="AJ40" s="3">
        <f t="shared" si="3"/>
        <v>9</v>
      </c>
      <c r="AK40" s="3" t="s">
        <v>2741</v>
      </c>
      <c r="AL40">
        <v>9</v>
      </c>
      <c r="AM40" t="s">
        <v>15</v>
      </c>
    </row>
    <row r="41" spans="1:39" ht="15" hidden="1" thickTop="1" x14ac:dyDescent="0.3">
      <c r="A41" s="51" t="s">
        <v>115</v>
      </c>
      <c r="B41" s="54" t="s">
        <v>116</v>
      </c>
      <c r="C41" s="51" t="s">
        <v>2765</v>
      </c>
      <c r="D41" s="53">
        <v>1</v>
      </c>
      <c r="E41" s="53">
        <v>0</v>
      </c>
      <c r="F41" s="51" t="s">
        <v>2744</v>
      </c>
      <c r="G41" s="51" t="s">
        <v>2695</v>
      </c>
      <c r="H41" s="25" t="str">
        <f t="shared" si="6"/>
        <v>jgd</v>
      </c>
      <c r="I41" t="s">
        <v>72</v>
      </c>
      <c r="J41" t="s">
        <v>113</v>
      </c>
      <c r="K41" t="s">
        <v>117</v>
      </c>
      <c r="L41" s="25">
        <v>46.207749059999998</v>
      </c>
      <c r="M41" s="25">
        <v>8.6954646360000005</v>
      </c>
      <c r="N41">
        <v>4</v>
      </c>
      <c r="O41">
        <v>12</v>
      </c>
      <c r="P41">
        <v>11</v>
      </c>
      <c r="Q41">
        <v>2013</v>
      </c>
      <c r="R41" s="9">
        <v>41590</v>
      </c>
      <c r="S41">
        <v>357</v>
      </c>
      <c r="T41">
        <v>1</v>
      </c>
      <c r="U41">
        <v>0</v>
      </c>
      <c r="V41">
        <v>0</v>
      </c>
      <c r="W41">
        <v>0</v>
      </c>
      <c r="X41">
        <f t="shared" si="1"/>
        <v>-116.53750000000001</v>
      </c>
      <c r="Y41">
        <v>-6.5929346659999997</v>
      </c>
      <c r="Z41">
        <v>7.0607656189999997</v>
      </c>
      <c r="AA41" s="3">
        <f t="shared" si="4"/>
        <v>12</v>
      </c>
      <c r="AB41" s="3">
        <f t="shared" si="5"/>
        <v>7</v>
      </c>
      <c r="AD41" s="3" t="s">
        <v>2754</v>
      </c>
      <c r="AE41" s="4">
        <v>-88.72</v>
      </c>
      <c r="AF41" s="4">
        <f t="shared" si="2"/>
        <v>-88.72</v>
      </c>
      <c r="AG41" s="1">
        <v>-111.8</v>
      </c>
      <c r="AH41" s="2">
        <v>-116.53</v>
      </c>
      <c r="AI41"/>
      <c r="AJ41" s="3">
        <f t="shared" si="3"/>
        <v>9</v>
      </c>
      <c r="AK41" s="3" t="s">
        <v>2741</v>
      </c>
      <c r="AL41">
        <v>9</v>
      </c>
      <c r="AM41" t="s">
        <v>15</v>
      </c>
    </row>
    <row r="42" spans="1:39" ht="15" hidden="1" thickTop="1" x14ac:dyDescent="0.3">
      <c r="A42" s="51" t="s">
        <v>725</v>
      </c>
      <c r="B42" s="54" t="s">
        <v>344</v>
      </c>
      <c r="C42" s="51" t="s">
        <v>2765</v>
      </c>
      <c r="D42" s="53">
        <v>1</v>
      </c>
      <c r="E42" s="53">
        <v>0</v>
      </c>
      <c r="F42" s="51" t="s">
        <v>2744</v>
      </c>
      <c r="G42" s="51" t="s">
        <v>2695</v>
      </c>
      <c r="H42" s="25" t="str">
        <f t="shared" si="6"/>
        <v>jgd</v>
      </c>
      <c r="I42" t="s">
        <v>72</v>
      </c>
      <c r="J42" t="s">
        <v>113</v>
      </c>
      <c r="K42" t="s">
        <v>726</v>
      </c>
      <c r="L42" s="25">
        <v>46.210990160000001</v>
      </c>
      <c r="M42" s="25">
        <v>8.6830597160000007</v>
      </c>
      <c r="N42">
        <v>6</v>
      </c>
      <c r="O42">
        <v>27</v>
      </c>
      <c r="P42">
        <v>10</v>
      </c>
      <c r="Q42">
        <v>2015</v>
      </c>
      <c r="R42" s="9">
        <v>42304</v>
      </c>
      <c r="S42">
        <v>291</v>
      </c>
      <c r="T42">
        <v>1</v>
      </c>
      <c r="U42">
        <v>0</v>
      </c>
      <c r="V42">
        <v>0</v>
      </c>
      <c r="W42">
        <v>0</v>
      </c>
      <c r="X42">
        <f t="shared" si="1"/>
        <v>-116.46249999999999</v>
      </c>
      <c r="Y42">
        <v>-23.862200000000001</v>
      </c>
      <c r="Z42">
        <v>6.0792648959999998</v>
      </c>
      <c r="AA42" s="3">
        <f t="shared" si="4"/>
        <v>12</v>
      </c>
      <c r="AB42" s="3">
        <f t="shared" si="5"/>
        <v>6</v>
      </c>
      <c r="AD42" s="3" t="s">
        <v>2754</v>
      </c>
      <c r="AE42" s="4">
        <v>-88.66</v>
      </c>
      <c r="AF42" s="4">
        <f t="shared" si="2"/>
        <v>-88.66</v>
      </c>
      <c r="AG42" s="1">
        <v>-111.7</v>
      </c>
      <c r="AH42" s="2">
        <v>-116.46</v>
      </c>
      <c r="AI42"/>
      <c r="AJ42" s="3">
        <f t="shared" si="3"/>
        <v>9</v>
      </c>
      <c r="AK42" s="3" t="s">
        <v>2741</v>
      </c>
      <c r="AL42">
        <v>9</v>
      </c>
      <c r="AM42" t="s">
        <v>15</v>
      </c>
    </row>
    <row r="43" spans="1:39" ht="15" hidden="1" thickTop="1" x14ac:dyDescent="0.3">
      <c r="A43" s="51" t="s">
        <v>351</v>
      </c>
      <c r="B43" s="54" t="s">
        <v>352</v>
      </c>
      <c r="C43" s="51" t="s">
        <v>2765</v>
      </c>
      <c r="D43" s="53">
        <v>1</v>
      </c>
      <c r="E43" s="53">
        <v>0</v>
      </c>
      <c r="F43" s="51" t="s">
        <v>2744</v>
      </c>
      <c r="G43" s="51" t="s">
        <v>2695</v>
      </c>
      <c r="H43" s="25" t="str">
        <f t="shared" si="6"/>
        <v>jgd</v>
      </c>
      <c r="I43" t="s">
        <v>72</v>
      </c>
      <c r="J43" t="s">
        <v>335</v>
      </c>
      <c r="K43" t="s">
        <v>345</v>
      </c>
      <c r="L43" s="25">
        <v>46.507688950000002</v>
      </c>
      <c r="M43" s="25">
        <v>8.6669289020000004</v>
      </c>
      <c r="N43">
        <v>5</v>
      </c>
      <c r="O43">
        <v>19</v>
      </c>
      <c r="P43">
        <v>10</v>
      </c>
      <c r="Q43">
        <v>2014</v>
      </c>
      <c r="R43" s="9">
        <v>41931</v>
      </c>
      <c r="S43">
        <v>335</v>
      </c>
      <c r="T43">
        <v>1</v>
      </c>
      <c r="U43">
        <v>0</v>
      </c>
      <c r="V43">
        <v>0</v>
      </c>
      <c r="W43">
        <v>0</v>
      </c>
      <c r="X43">
        <f t="shared" si="1"/>
        <v>-116.21249999999999</v>
      </c>
      <c r="Y43">
        <v>-23.960750000000001</v>
      </c>
      <c r="Z43">
        <v>6.5388365129999997</v>
      </c>
      <c r="AA43" s="3">
        <f t="shared" si="4"/>
        <v>12</v>
      </c>
      <c r="AB43" s="3">
        <f t="shared" si="5"/>
        <v>7</v>
      </c>
      <c r="AD43" s="3" t="s">
        <v>2754</v>
      </c>
      <c r="AE43" s="4">
        <v>-88.46</v>
      </c>
      <c r="AF43" s="4">
        <f t="shared" si="2"/>
        <v>-88.46</v>
      </c>
      <c r="AG43" s="1">
        <v>-111.5</v>
      </c>
      <c r="AH43" s="2">
        <v>-116.21</v>
      </c>
      <c r="AI43"/>
      <c r="AJ43" s="3">
        <f t="shared" si="3"/>
        <v>9</v>
      </c>
      <c r="AK43" s="3" t="s">
        <v>2741</v>
      </c>
      <c r="AL43">
        <v>9</v>
      </c>
      <c r="AM43" t="s">
        <v>15</v>
      </c>
    </row>
    <row r="44" spans="1:39" ht="15" hidden="1" thickTop="1" x14ac:dyDescent="0.3">
      <c r="A44" s="51" t="s">
        <v>723</v>
      </c>
      <c r="B44" s="54" t="s">
        <v>338</v>
      </c>
      <c r="C44" s="51" t="s">
        <v>2765</v>
      </c>
      <c r="D44" s="53">
        <v>1</v>
      </c>
      <c r="E44" s="53">
        <v>0</v>
      </c>
      <c r="F44" s="51" t="s">
        <v>2744</v>
      </c>
      <c r="G44" s="51" t="s">
        <v>2695</v>
      </c>
      <c r="H44" s="25" t="str">
        <f t="shared" si="6"/>
        <v>jgd</v>
      </c>
      <c r="I44" t="s">
        <v>72</v>
      </c>
      <c r="J44" t="s">
        <v>113</v>
      </c>
      <c r="K44" t="s">
        <v>724</v>
      </c>
      <c r="L44" s="25">
        <v>46.221743779999997</v>
      </c>
      <c r="M44" s="25">
        <v>8.6622167159999996</v>
      </c>
      <c r="N44">
        <v>6</v>
      </c>
      <c r="O44">
        <v>22</v>
      </c>
      <c r="P44">
        <v>11</v>
      </c>
      <c r="Q44">
        <v>2015</v>
      </c>
      <c r="R44" s="9">
        <v>42330</v>
      </c>
      <c r="S44">
        <v>300</v>
      </c>
      <c r="T44">
        <v>1</v>
      </c>
      <c r="U44">
        <v>0</v>
      </c>
      <c r="V44">
        <v>0</v>
      </c>
      <c r="W44">
        <v>0</v>
      </c>
      <c r="X44">
        <f t="shared" si="1"/>
        <v>-115.75000000000001</v>
      </c>
      <c r="Y44">
        <v>-24.496200000000002</v>
      </c>
      <c r="Z44">
        <v>5.0939038400000003</v>
      </c>
      <c r="AA44" s="3">
        <f t="shared" si="4"/>
        <v>12</v>
      </c>
      <c r="AB44" s="3">
        <f t="shared" si="5"/>
        <v>5</v>
      </c>
      <c r="AD44" s="3" t="s">
        <v>2754</v>
      </c>
      <c r="AE44" s="4">
        <v>-88.09</v>
      </c>
      <c r="AF44" s="4">
        <f t="shared" si="2"/>
        <v>-88.09</v>
      </c>
      <c r="AG44" s="1">
        <v>-111.1</v>
      </c>
      <c r="AH44" s="2">
        <v>-115.75</v>
      </c>
      <c r="AI44"/>
      <c r="AJ44" s="3">
        <f t="shared" si="3"/>
        <v>9</v>
      </c>
      <c r="AK44" s="3" t="s">
        <v>2741</v>
      </c>
      <c r="AL44">
        <v>9</v>
      </c>
      <c r="AM44" t="s">
        <v>15</v>
      </c>
    </row>
    <row r="45" spans="1:39" ht="15" hidden="1" thickTop="1" x14ac:dyDescent="0.3">
      <c r="A45" s="51" t="s">
        <v>416</v>
      </c>
      <c r="B45" s="54" t="s">
        <v>417</v>
      </c>
      <c r="C45" s="51" t="s">
        <v>2765</v>
      </c>
      <c r="D45" s="53">
        <v>1</v>
      </c>
      <c r="E45" s="53">
        <v>0</v>
      </c>
      <c r="F45" s="51" t="s">
        <v>2744</v>
      </c>
      <c r="G45" s="51" t="s">
        <v>2695</v>
      </c>
      <c r="H45" s="25" t="str">
        <f t="shared" si="6"/>
        <v>jgd</v>
      </c>
      <c r="I45" t="s">
        <v>72</v>
      </c>
      <c r="J45" t="s">
        <v>155</v>
      </c>
      <c r="K45" t="s">
        <v>418</v>
      </c>
      <c r="L45" s="25">
        <v>46.12837021</v>
      </c>
      <c r="M45" s="25">
        <v>8.8334241939999991</v>
      </c>
      <c r="N45">
        <v>4</v>
      </c>
      <c r="O45">
        <v>16</v>
      </c>
      <c r="P45">
        <v>11</v>
      </c>
      <c r="Q45">
        <v>2014</v>
      </c>
      <c r="R45" s="9">
        <v>41959</v>
      </c>
      <c r="S45">
        <v>320</v>
      </c>
      <c r="T45">
        <v>1</v>
      </c>
      <c r="U45">
        <v>0</v>
      </c>
      <c r="V45">
        <v>0</v>
      </c>
      <c r="W45">
        <v>0</v>
      </c>
      <c r="X45">
        <f t="shared" si="1"/>
        <v>-115.12500000000001</v>
      </c>
      <c r="Y45">
        <v>-23.224799999999998</v>
      </c>
      <c r="Z45">
        <v>6.0350465289999997</v>
      </c>
      <c r="AA45" s="3">
        <f t="shared" si="4"/>
        <v>12</v>
      </c>
      <c r="AB45" s="3">
        <f t="shared" si="5"/>
        <v>6</v>
      </c>
      <c r="AD45" s="3" t="s">
        <v>2754</v>
      </c>
      <c r="AE45" s="4">
        <v>-87.59</v>
      </c>
      <c r="AF45" s="4">
        <f t="shared" si="2"/>
        <v>-87.59</v>
      </c>
      <c r="AG45" s="1">
        <v>-110.6</v>
      </c>
      <c r="AH45" s="2">
        <v>-115.13</v>
      </c>
      <c r="AI45"/>
      <c r="AJ45" s="3">
        <f t="shared" si="3"/>
        <v>9</v>
      </c>
      <c r="AK45" s="3" t="s">
        <v>2741</v>
      </c>
      <c r="AL45">
        <v>9</v>
      </c>
      <c r="AM45" t="s">
        <v>15</v>
      </c>
    </row>
    <row r="46" spans="1:39" ht="15" hidden="1" thickTop="1" x14ac:dyDescent="0.3">
      <c r="A46" s="51" t="s">
        <v>448</v>
      </c>
      <c r="B46" s="54" t="s">
        <v>449</v>
      </c>
      <c r="C46" s="51" t="s">
        <v>2765</v>
      </c>
      <c r="D46" s="53">
        <v>1</v>
      </c>
      <c r="E46" s="53">
        <v>0</v>
      </c>
      <c r="F46" s="51" t="s">
        <v>2744</v>
      </c>
      <c r="G46" s="51" t="s">
        <v>2695</v>
      </c>
      <c r="H46" s="25" t="str">
        <f t="shared" si="6"/>
        <v>jgd</v>
      </c>
      <c r="I46" t="s">
        <v>72</v>
      </c>
      <c r="J46" t="s">
        <v>441</v>
      </c>
      <c r="K46" t="s">
        <v>442</v>
      </c>
      <c r="L46" s="25">
        <v>46.109451460000002</v>
      </c>
      <c r="M46" s="25">
        <v>8.9739391600000005</v>
      </c>
      <c r="N46">
        <v>5</v>
      </c>
      <c r="O46">
        <v>15</v>
      </c>
      <c r="P46">
        <v>11</v>
      </c>
      <c r="Q46">
        <v>2014</v>
      </c>
      <c r="R46" s="9">
        <v>41958</v>
      </c>
      <c r="S46">
        <v>309</v>
      </c>
      <c r="T46">
        <v>1</v>
      </c>
      <c r="U46">
        <v>0</v>
      </c>
      <c r="V46">
        <v>0</v>
      </c>
      <c r="W46">
        <v>0</v>
      </c>
      <c r="X46">
        <f t="shared" si="1"/>
        <v>-114.575</v>
      </c>
      <c r="Y46">
        <v>-24.174199999999999</v>
      </c>
      <c r="Z46">
        <v>7.0150641460000003</v>
      </c>
      <c r="AA46" s="3">
        <f t="shared" si="4"/>
        <v>11</v>
      </c>
      <c r="AB46" s="3">
        <f t="shared" si="5"/>
        <v>7</v>
      </c>
      <c r="AD46" s="3" t="s">
        <v>2754</v>
      </c>
      <c r="AE46" s="4">
        <v>-87.15</v>
      </c>
      <c r="AF46" s="4">
        <f t="shared" si="2"/>
        <v>-87.15</v>
      </c>
      <c r="AG46" s="1">
        <v>-110.2</v>
      </c>
      <c r="AH46" s="2">
        <v>-114.58</v>
      </c>
      <c r="AI46"/>
      <c r="AJ46" s="3">
        <f t="shared" si="3"/>
        <v>9</v>
      </c>
      <c r="AK46" s="3" t="s">
        <v>2741</v>
      </c>
      <c r="AL46">
        <v>9</v>
      </c>
      <c r="AM46" t="s">
        <v>15</v>
      </c>
    </row>
    <row r="47" spans="1:39" ht="15" hidden="1" thickTop="1" x14ac:dyDescent="0.3">
      <c r="A47" s="51" t="s">
        <v>439</v>
      </c>
      <c r="B47" s="54" t="s">
        <v>185</v>
      </c>
      <c r="C47" s="51" t="s">
        <v>2765</v>
      </c>
      <c r="D47" s="53">
        <v>1</v>
      </c>
      <c r="E47" s="53">
        <v>0</v>
      </c>
      <c r="F47" s="51" t="s">
        <v>2744</v>
      </c>
      <c r="G47" s="51" t="s">
        <v>2695</v>
      </c>
      <c r="H47" s="25" t="str">
        <f t="shared" si="6"/>
        <v>jgd</v>
      </c>
      <c r="I47" t="s">
        <v>72</v>
      </c>
      <c r="J47" t="s">
        <v>180</v>
      </c>
      <c r="K47" t="s">
        <v>16</v>
      </c>
      <c r="L47" s="25">
        <v>46.106391440000003</v>
      </c>
      <c r="M47" s="25">
        <v>8.9673855269999994</v>
      </c>
      <c r="N47">
        <v>5</v>
      </c>
      <c r="O47">
        <v>8</v>
      </c>
      <c r="P47">
        <v>11</v>
      </c>
      <c r="Q47">
        <v>2014</v>
      </c>
      <c r="R47" s="9">
        <v>41951</v>
      </c>
      <c r="S47">
        <v>267</v>
      </c>
      <c r="T47">
        <v>1</v>
      </c>
      <c r="U47">
        <v>0</v>
      </c>
      <c r="V47">
        <v>0</v>
      </c>
      <c r="W47">
        <v>0</v>
      </c>
      <c r="X47">
        <f t="shared" si="1"/>
        <v>-114.2375</v>
      </c>
      <c r="Y47">
        <v>-23.7532</v>
      </c>
      <c r="Z47">
        <v>4.1258487749999997</v>
      </c>
      <c r="AA47" s="3">
        <f t="shared" si="4"/>
        <v>11</v>
      </c>
      <c r="AB47" s="3">
        <f t="shared" si="5"/>
        <v>4</v>
      </c>
      <c r="AD47" s="3" t="s">
        <v>2754</v>
      </c>
      <c r="AE47" s="4">
        <v>-86.88</v>
      </c>
      <c r="AF47" s="4">
        <f t="shared" si="2"/>
        <v>-86.88</v>
      </c>
      <c r="AG47" s="1">
        <v>-109.9</v>
      </c>
      <c r="AH47" s="2">
        <v>-114.24</v>
      </c>
      <c r="AI47"/>
      <c r="AJ47" s="3">
        <f t="shared" si="3"/>
        <v>9</v>
      </c>
      <c r="AK47" s="3" t="s">
        <v>2741</v>
      </c>
      <c r="AL47">
        <v>9</v>
      </c>
      <c r="AM47" t="s">
        <v>15</v>
      </c>
    </row>
    <row r="48" spans="1:39" ht="15" hidden="1" thickTop="1" x14ac:dyDescent="0.3">
      <c r="A48" s="51" t="s">
        <v>138</v>
      </c>
      <c r="B48" s="54" t="s">
        <v>139</v>
      </c>
      <c r="C48" s="51" t="s">
        <v>2765</v>
      </c>
      <c r="D48" s="53">
        <v>1</v>
      </c>
      <c r="E48" s="53">
        <v>0</v>
      </c>
      <c r="F48" s="51" t="s">
        <v>2744</v>
      </c>
      <c r="G48" s="51" t="s">
        <v>2695</v>
      </c>
      <c r="H48" s="25" t="str">
        <f t="shared" si="6"/>
        <v>jgd</v>
      </c>
      <c r="I48" t="s">
        <v>72</v>
      </c>
      <c r="J48" t="s">
        <v>140</v>
      </c>
      <c r="K48" t="s">
        <v>141</v>
      </c>
      <c r="L48" s="25">
        <v>46.08907232</v>
      </c>
      <c r="M48" s="25">
        <v>9.0794016769999999</v>
      </c>
      <c r="N48">
        <v>6</v>
      </c>
      <c r="O48">
        <v>3</v>
      </c>
      <c r="P48">
        <v>11</v>
      </c>
      <c r="Q48">
        <v>2013</v>
      </c>
      <c r="R48" s="9">
        <v>41581</v>
      </c>
      <c r="S48">
        <v>320</v>
      </c>
      <c r="T48">
        <v>1</v>
      </c>
      <c r="U48">
        <v>0</v>
      </c>
      <c r="V48">
        <v>0</v>
      </c>
      <c r="W48">
        <v>0</v>
      </c>
      <c r="X48">
        <f t="shared" si="1"/>
        <v>-113.66250000000001</v>
      </c>
      <c r="Y48">
        <v>-47.480957529999998</v>
      </c>
      <c r="Z48">
        <v>8.2968314440000004</v>
      </c>
      <c r="AA48" s="3">
        <f t="shared" si="4"/>
        <v>11</v>
      </c>
      <c r="AB48" s="3">
        <f t="shared" si="5"/>
        <v>8</v>
      </c>
      <c r="AD48" s="3" t="s">
        <v>2754</v>
      </c>
      <c r="AE48" s="4">
        <v>-86.42</v>
      </c>
      <c r="AF48" s="4">
        <f t="shared" si="2"/>
        <v>-86.42</v>
      </c>
      <c r="AG48" s="1">
        <v>-109.4</v>
      </c>
      <c r="AH48" s="2">
        <v>-113.66</v>
      </c>
      <c r="AI48"/>
      <c r="AJ48" s="3">
        <f t="shared" si="3"/>
        <v>9</v>
      </c>
      <c r="AK48" s="3" t="s">
        <v>2741</v>
      </c>
      <c r="AL48">
        <v>9</v>
      </c>
      <c r="AM48" t="s">
        <v>15</v>
      </c>
    </row>
    <row r="49" spans="1:39" ht="15" hidden="1" thickTop="1" x14ac:dyDescent="0.3">
      <c r="A49" s="51" t="s">
        <v>998</v>
      </c>
      <c r="B49" s="54" t="s">
        <v>465</v>
      </c>
      <c r="C49" s="51" t="s">
        <v>2765</v>
      </c>
      <c r="D49" s="53">
        <v>1</v>
      </c>
      <c r="E49" s="53">
        <v>0</v>
      </c>
      <c r="F49" s="51" t="s">
        <v>2744</v>
      </c>
      <c r="G49" s="51" t="s">
        <v>2695</v>
      </c>
      <c r="H49" s="25" t="str">
        <f t="shared" si="6"/>
        <v>jgd</v>
      </c>
      <c r="I49" t="s">
        <v>385</v>
      </c>
      <c r="J49" t="s">
        <v>392</v>
      </c>
      <c r="K49" t="s">
        <v>999</v>
      </c>
      <c r="L49" s="25">
        <v>46.797360279999999</v>
      </c>
      <c r="M49" s="25">
        <v>6.4810142180000003</v>
      </c>
      <c r="N49">
        <v>5</v>
      </c>
      <c r="O49">
        <v>20</v>
      </c>
      <c r="P49">
        <v>10</v>
      </c>
      <c r="Q49">
        <v>2015</v>
      </c>
      <c r="R49" s="9">
        <v>42297</v>
      </c>
      <c r="S49">
        <v>310</v>
      </c>
      <c r="T49">
        <v>1</v>
      </c>
      <c r="U49">
        <v>0</v>
      </c>
      <c r="V49">
        <v>0</v>
      </c>
      <c r="W49">
        <v>0</v>
      </c>
      <c r="X49">
        <f t="shared" si="1"/>
        <v>-111.6125</v>
      </c>
      <c r="Y49">
        <v>-24.399000000000001</v>
      </c>
      <c r="Z49">
        <v>4.025961927</v>
      </c>
      <c r="AA49" s="3">
        <f t="shared" si="4"/>
        <v>11</v>
      </c>
      <c r="AB49" s="3">
        <f t="shared" si="5"/>
        <v>4</v>
      </c>
      <c r="AD49" s="3" t="s">
        <v>2750</v>
      </c>
      <c r="AE49" s="4">
        <v>-84.78</v>
      </c>
      <c r="AF49" s="4">
        <f t="shared" si="2"/>
        <v>-84.78</v>
      </c>
      <c r="AG49" s="1">
        <v>-107.7</v>
      </c>
      <c r="AH49" s="2">
        <v>-111.61</v>
      </c>
      <c r="AI49"/>
      <c r="AJ49" s="3">
        <f t="shared" si="3"/>
        <v>8</v>
      </c>
      <c r="AK49" s="3" t="s">
        <v>2709</v>
      </c>
      <c r="AL49">
        <v>8</v>
      </c>
      <c r="AM49" t="s">
        <v>15</v>
      </c>
    </row>
    <row r="50" spans="1:39" ht="15" hidden="1" thickTop="1" x14ac:dyDescent="0.3">
      <c r="A50" s="51" t="s">
        <v>1906</v>
      </c>
      <c r="B50" s="54" t="s">
        <v>1149</v>
      </c>
      <c r="C50" s="51" t="s">
        <v>2765</v>
      </c>
      <c r="D50" s="53">
        <v>1</v>
      </c>
      <c r="E50" s="53">
        <v>0</v>
      </c>
      <c r="F50" s="51" t="s">
        <v>2744</v>
      </c>
      <c r="G50" s="51" t="s">
        <v>2695</v>
      </c>
      <c r="H50" s="25" t="str">
        <f t="shared" si="6"/>
        <v>jgd</v>
      </c>
      <c r="I50" t="s">
        <v>13</v>
      </c>
      <c r="J50" t="s">
        <v>1146</v>
      </c>
      <c r="K50" t="s">
        <v>1907</v>
      </c>
      <c r="L50" s="25">
        <v>47.038905999999997</v>
      </c>
      <c r="M50" s="25">
        <v>6.7458165040000004</v>
      </c>
      <c r="N50">
        <v>5</v>
      </c>
      <c r="O50">
        <v>22</v>
      </c>
      <c r="P50">
        <v>10</v>
      </c>
      <c r="Q50">
        <v>2016</v>
      </c>
      <c r="R50" s="9">
        <v>42665</v>
      </c>
      <c r="S50">
        <v>292</v>
      </c>
      <c r="T50">
        <v>1</v>
      </c>
      <c r="U50">
        <v>0</v>
      </c>
      <c r="V50">
        <v>0</v>
      </c>
      <c r="W50">
        <v>0</v>
      </c>
      <c r="X50" s="57">
        <f t="shared" si="1"/>
        <v>-110.72341875000001</v>
      </c>
      <c r="Y50">
        <v>-23.99</v>
      </c>
      <c r="Z50">
        <v>1.4</v>
      </c>
      <c r="AA50" s="3">
        <f t="shared" si="4"/>
        <v>11</v>
      </c>
      <c r="AB50" s="3">
        <f t="shared" si="5"/>
        <v>1</v>
      </c>
      <c r="AD50" s="3" t="s">
        <v>2750</v>
      </c>
      <c r="AE50" s="4">
        <v>-84.068735000000004</v>
      </c>
      <c r="AF50" s="4">
        <f t="shared" si="2"/>
        <v>-84.068735000000004</v>
      </c>
      <c r="AG50" s="60" t="s">
        <v>16</v>
      </c>
      <c r="AH50" s="61" t="s">
        <v>16</v>
      </c>
      <c r="AJ50" s="3">
        <f t="shared" si="3"/>
        <v>8</v>
      </c>
      <c r="AK50" s="3" t="s">
        <v>2709</v>
      </c>
      <c r="AL50">
        <v>8</v>
      </c>
      <c r="AM50" t="s">
        <v>15</v>
      </c>
    </row>
    <row r="51" spans="1:39" ht="15" hidden="1" thickTop="1" x14ac:dyDescent="0.3">
      <c r="A51" s="51" t="s">
        <v>403</v>
      </c>
      <c r="B51" s="54" t="s">
        <v>404</v>
      </c>
      <c r="C51" s="51" t="s">
        <v>2765</v>
      </c>
      <c r="D51" s="53">
        <v>1</v>
      </c>
      <c r="E51" s="53">
        <v>0</v>
      </c>
      <c r="F51" s="51" t="s">
        <v>2744</v>
      </c>
      <c r="G51" s="51" t="s">
        <v>2695</v>
      </c>
      <c r="H51" s="25" t="str">
        <f t="shared" si="6"/>
        <v>jgd</v>
      </c>
      <c r="I51" t="s">
        <v>72</v>
      </c>
      <c r="J51" t="s">
        <v>155</v>
      </c>
      <c r="K51" t="s">
        <v>400</v>
      </c>
      <c r="L51" s="25">
        <v>46.118476729999998</v>
      </c>
      <c r="M51" s="25">
        <v>8.8331713220000001</v>
      </c>
      <c r="N51">
        <v>4</v>
      </c>
      <c r="O51">
        <v>28</v>
      </c>
      <c r="P51">
        <v>10</v>
      </c>
      <c r="Q51">
        <v>2014</v>
      </c>
      <c r="R51" s="9">
        <v>41940</v>
      </c>
      <c r="S51">
        <v>309</v>
      </c>
      <c r="T51">
        <v>1</v>
      </c>
      <c r="U51">
        <v>0</v>
      </c>
      <c r="V51">
        <v>0</v>
      </c>
      <c r="W51">
        <v>0</v>
      </c>
      <c r="X51">
        <f t="shared" si="1"/>
        <v>-110.5625</v>
      </c>
      <c r="Y51">
        <v>-22.946200000000001</v>
      </c>
      <c r="Z51">
        <v>8.2939478090000005</v>
      </c>
      <c r="AA51" s="3">
        <f t="shared" si="4"/>
        <v>11</v>
      </c>
      <c r="AB51" s="3">
        <f t="shared" si="5"/>
        <v>8</v>
      </c>
      <c r="AD51" s="3" t="s">
        <v>2754</v>
      </c>
      <c r="AE51" s="4">
        <v>-83.94</v>
      </c>
      <c r="AF51" s="4">
        <f t="shared" si="2"/>
        <v>-83.94</v>
      </c>
      <c r="AG51" s="1">
        <v>-106.9</v>
      </c>
      <c r="AH51" s="2">
        <v>-110.57</v>
      </c>
      <c r="AI51"/>
      <c r="AJ51" s="3">
        <f t="shared" si="3"/>
        <v>8</v>
      </c>
      <c r="AK51" s="3" t="s">
        <v>2709</v>
      </c>
      <c r="AL51">
        <v>8</v>
      </c>
      <c r="AM51" t="s">
        <v>15</v>
      </c>
    </row>
    <row r="52" spans="1:39" ht="15" hidden="1" thickTop="1" x14ac:dyDescent="0.3">
      <c r="A52" s="51" t="s">
        <v>75</v>
      </c>
      <c r="B52" s="54" t="s">
        <v>76</v>
      </c>
      <c r="C52" s="51" t="s">
        <v>2765</v>
      </c>
      <c r="D52" s="53">
        <v>1</v>
      </c>
      <c r="E52" s="53">
        <v>0</v>
      </c>
      <c r="F52" s="51" t="s">
        <v>2744</v>
      </c>
      <c r="G52" s="51" t="s">
        <v>2695</v>
      </c>
      <c r="H52" s="25" t="str">
        <f t="shared" si="6"/>
        <v>jgd</v>
      </c>
      <c r="I52" t="s">
        <v>72</v>
      </c>
      <c r="J52" t="s">
        <v>77</v>
      </c>
      <c r="K52" t="s">
        <v>78</v>
      </c>
      <c r="L52" s="25">
        <v>46.065286559999997</v>
      </c>
      <c r="M52" s="25">
        <v>9.0754556990000008</v>
      </c>
      <c r="N52">
        <v>5</v>
      </c>
      <c r="O52">
        <v>19</v>
      </c>
      <c r="P52">
        <v>10</v>
      </c>
      <c r="Q52">
        <v>2013</v>
      </c>
      <c r="R52" s="9">
        <v>41566</v>
      </c>
      <c r="S52">
        <v>270</v>
      </c>
      <c r="T52">
        <v>1</v>
      </c>
      <c r="U52">
        <v>0</v>
      </c>
      <c r="V52">
        <v>0</v>
      </c>
      <c r="W52">
        <v>0</v>
      </c>
      <c r="X52">
        <f t="shared" si="1"/>
        <v>-110.30000000000001</v>
      </c>
      <c r="Y52">
        <v>-6.5512314949999997</v>
      </c>
      <c r="Z52">
        <v>4.1794235679999998</v>
      </c>
      <c r="AA52" s="3">
        <f t="shared" si="4"/>
        <v>11</v>
      </c>
      <c r="AB52" s="3">
        <f t="shared" si="5"/>
        <v>4</v>
      </c>
      <c r="AD52" s="3" t="s">
        <v>2754</v>
      </c>
      <c r="AE52" s="4">
        <v>-83.73</v>
      </c>
      <c r="AF52" s="4">
        <f t="shared" si="2"/>
        <v>-83.73</v>
      </c>
      <c r="AG52" s="1">
        <v>-106.7</v>
      </c>
      <c r="AH52" s="2">
        <v>-110.3</v>
      </c>
      <c r="AI52"/>
      <c r="AJ52" s="3">
        <f t="shared" si="3"/>
        <v>8</v>
      </c>
      <c r="AK52" s="3" t="s">
        <v>2709</v>
      </c>
      <c r="AL52">
        <v>8</v>
      </c>
      <c r="AM52" t="s">
        <v>15</v>
      </c>
    </row>
    <row r="53" spans="1:39" ht="15" hidden="1" thickTop="1" x14ac:dyDescent="0.3">
      <c r="A53" s="51" t="s">
        <v>128</v>
      </c>
      <c r="B53" s="54" t="s">
        <v>129</v>
      </c>
      <c r="C53" s="51" t="s">
        <v>2765</v>
      </c>
      <c r="D53" s="53">
        <v>1</v>
      </c>
      <c r="E53" s="53">
        <v>0</v>
      </c>
      <c r="F53" s="51" t="s">
        <v>2744</v>
      </c>
      <c r="G53" s="51" t="s">
        <v>2695</v>
      </c>
      <c r="H53" s="25" t="str">
        <f t="shared" si="6"/>
        <v>jgd</v>
      </c>
      <c r="I53" t="s">
        <v>72</v>
      </c>
      <c r="J53" t="s">
        <v>130</v>
      </c>
      <c r="K53" t="s">
        <v>131</v>
      </c>
      <c r="L53" s="25">
        <v>46.263533099999997</v>
      </c>
      <c r="M53" s="25">
        <v>8.6762965179999991</v>
      </c>
      <c r="N53">
        <v>5</v>
      </c>
      <c r="O53">
        <v>26</v>
      </c>
      <c r="P53">
        <v>11</v>
      </c>
      <c r="Q53">
        <v>2013</v>
      </c>
      <c r="R53" s="9">
        <v>41604</v>
      </c>
      <c r="S53">
        <v>300</v>
      </c>
      <c r="T53">
        <v>1</v>
      </c>
      <c r="U53">
        <v>0</v>
      </c>
      <c r="V53">
        <v>0</v>
      </c>
      <c r="W53">
        <v>0</v>
      </c>
      <c r="X53">
        <f t="shared" si="1"/>
        <v>-110.1</v>
      </c>
      <c r="Y53">
        <v>-8.3123765170000006</v>
      </c>
      <c r="Z53">
        <v>5.2192906209999999</v>
      </c>
      <c r="AA53" s="3">
        <f t="shared" si="4"/>
        <v>11</v>
      </c>
      <c r="AB53" s="3">
        <f t="shared" si="5"/>
        <v>5</v>
      </c>
      <c r="AD53" s="3" t="s">
        <v>2754</v>
      </c>
      <c r="AE53" s="4">
        <v>-83.57</v>
      </c>
      <c r="AF53" s="4">
        <f t="shared" si="2"/>
        <v>-83.57</v>
      </c>
      <c r="AG53" s="1">
        <v>-106.5</v>
      </c>
      <c r="AH53" s="2">
        <v>-110.09</v>
      </c>
      <c r="AI53"/>
      <c r="AJ53" s="3">
        <f t="shared" si="3"/>
        <v>8</v>
      </c>
      <c r="AK53" s="3" t="s">
        <v>2709</v>
      </c>
      <c r="AL53">
        <v>8</v>
      </c>
      <c r="AM53" t="s">
        <v>15</v>
      </c>
    </row>
    <row r="54" spans="1:39" ht="15" hidden="1" thickTop="1" x14ac:dyDescent="0.3">
      <c r="A54" s="51" t="s">
        <v>98</v>
      </c>
      <c r="B54" s="54" t="s">
        <v>99</v>
      </c>
      <c r="C54" s="51" t="s">
        <v>2765</v>
      </c>
      <c r="D54" s="53">
        <v>1</v>
      </c>
      <c r="E54" s="53">
        <v>0</v>
      </c>
      <c r="F54" s="51" t="s">
        <v>2744</v>
      </c>
      <c r="G54" s="51" t="s">
        <v>2695</v>
      </c>
      <c r="H54" s="25" t="str">
        <f t="shared" si="6"/>
        <v>jgd</v>
      </c>
      <c r="I54" t="s">
        <v>13</v>
      </c>
      <c r="J54" t="s">
        <v>16</v>
      </c>
      <c r="K54" t="s">
        <v>67</v>
      </c>
      <c r="L54" s="25">
        <v>47.034002899999997</v>
      </c>
      <c r="M54" s="25">
        <v>6.834912042</v>
      </c>
      <c r="N54">
        <v>5</v>
      </c>
      <c r="O54">
        <v>9</v>
      </c>
      <c r="P54">
        <v>11</v>
      </c>
      <c r="Q54">
        <v>2013</v>
      </c>
      <c r="R54" s="9">
        <v>41587</v>
      </c>
      <c r="S54">
        <v>316</v>
      </c>
      <c r="T54">
        <v>1</v>
      </c>
      <c r="U54">
        <v>0</v>
      </c>
      <c r="V54">
        <v>0</v>
      </c>
      <c r="W54">
        <v>0</v>
      </c>
      <c r="X54">
        <f t="shared" si="1"/>
        <v>-110.06250000000001</v>
      </c>
      <c r="Y54">
        <v>-40.7621903</v>
      </c>
      <c r="Z54">
        <v>4.8024455939999999</v>
      </c>
      <c r="AA54" s="3">
        <f t="shared" si="4"/>
        <v>11</v>
      </c>
      <c r="AB54" s="3">
        <f t="shared" si="5"/>
        <v>5</v>
      </c>
      <c r="AD54" s="3" t="s">
        <v>2750</v>
      </c>
      <c r="AE54" s="4">
        <v>-83.54</v>
      </c>
      <c r="AF54" s="4">
        <f t="shared" si="2"/>
        <v>-83.54</v>
      </c>
      <c r="AG54" s="1">
        <v>-106.5</v>
      </c>
      <c r="AH54" s="2">
        <v>-110.06</v>
      </c>
      <c r="AI54"/>
      <c r="AJ54" s="3">
        <f t="shared" si="3"/>
        <v>8</v>
      </c>
      <c r="AK54" s="3" t="s">
        <v>2709</v>
      </c>
      <c r="AL54">
        <v>8</v>
      </c>
      <c r="AM54" t="s">
        <v>15</v>
      </c>
    </row>
    <row r="55" spans="1:39" ht="15" hidden="1" thickTop="1" x14ac:dyDescent="0.3">
      <c r="A55" s="51" t="s">
        <v>572</v>
      </c>
      <c r="B55" s="54" t="s">
        <v>573</v>
      </c>
      <c r="C55" s="51" t="s">
        <v>2765</v>
      </c>
      <c r="D55" s="53">
        <v>1</v>
      </c>
      <c r="E55" s="53">
        <v>0</v>
      </c>
      <c r="F55" s="51" t="s">
        <v>2744</v>
      </c>
      <c r="G55" s="51" t="s">
        <v>2695</v>
      </c>
      <c r="H55" s="25" t="str">
        <f t="shared" si="6"/>
        <v>jgd</v>
      </c>
      <c r="I55" t="s">
        <v>72</v>
      </c>
      <c r="J55" t="s">
        <v>574</v>
      </c>
      <c r="K55" t="s">
        <v>575</v>
      </c>
      <c r="L55" s="25">
        <v>46.082342990000001</v>
      </c>
      <c r="M55" s="25">
        <v>9.0468752289999994</v>
      </c>
      <c r="N55">
        <v>5</v>
      </c>
      <c r="O55">
        <v>26</v>
      </c>
      <c r="P55">
        <v>10</v>
      </c>
      <c r="Q55">
        <v>2014</v>
      </c>
      <c r="R55" s="9">
        <v>41938</v>
      </c>
      <c r="S55">
        <v>310</v>
      </c>
      <c r="T55">
        <v>1</v>
      </c>
      <c r="U55">
        <v>0</v>
      </c>
      <c r="V55">
        <v>0</v>
      </c>
      <c r="W55">
        <v>0</v>
      </c>
      <c r="X55">
        <f t="shared" si="1"/>
        <v>-109.55</v>
      </c>
      <c r="Y55">
        <v>-23.752199999999998</v>
      </c>
      <c r="Z55">
        <v>1.5300994809999999</v>
      </c>
      <c r="AA55" s="3">
        <f t="shared" si="4"/>
        <v>11</v>
      </c>
      <c r="AB55" s="3">
        <f t="shared" si="5"/>
        <v>2</v>
      </c>
      <c r="AD55" s="3" t="s">
        <v>2754</v>
      </c>
      <c r="AE55" s="4">
        <v>-83.13</v>
      </c>
      <c r="AF55" s="4">
        <f t="shared" si="2"/>
        <v>-83.13</v>
      </c>
      <c r="AG55" s="1">
        <v>-106.1</v>
      </c>
      <c r="AH55" s="2">
        <v>-109.55</v>
      </c>
      <c r="AI55"/>
      <c r="AJ55" s="3">
        <f t="shared" si="3"/>
        <v>8</v>
      </c>
      <c r="AK55" s="3" t="s">
        <v>2709</v>
      </c>
      <c r="AL55">
        <v>8</v>
      </c>
      <c r="AM55" t="s">
        <v>15</v>
      </c>
    </row>
    <row r="56" spans="1:39" ht="15" hidden="1" thickTop="1" x14ac:dyDescent="0.3">
      <c r="A56" s="51" t="s">
        <v>735</v>
      </c>
      <c r="B56" s="54" t="s">
        <v>360</v>
      </c>
      <c r="C56" s="51" t="s">
        <v>2765</v>
      </c>
      <c r="D56" s="53">
        <v>1</v>
      </c>
      <c r="E56" s="53">
        <v>0</v>
      </c>
      <c r="F56" s="51" t="s">
        <v>2744</v>
      </c>
      <c r="G56" s="51" t="s">
        <v>2695</v>
      </c>
      <c r="H56" s="25" t="str">
        <f t="shared" si="6"/>
        <v>jgd</v>
      </c>
      <c r="I56" t="s">
        <v>72</v>
      </c>
      <c r="J56" t="s">
        <v>113</v>
      </c>
      <c r="K56" t="s">
        <v>332</v>
      </c>
      <c r="L56" s="25">
        <v>46.216747980000001</v>
      </c>
      <c r="M56" s="25">
        <v>8.6599660180000004</v>
      </c>
      <c r="N56">
        <v>6</v>
      </c>
      <c r="O56">
        <v>11</v>
      </c>
      <c r="P56">
        <v>11</v>
      </c>
      <c r="Q56">
        <v>2015</v>
      </c>
      <c r="R56" s="9">
        <v>42319</v>
      </c>
      <c r="S56">
        <v>295</v>
      </c>
      <c r="T56">
        <v>1</v>
      </c>
      <c r="U56">
        <v>0</v>
      </c>
      <c r="V56">
        <v>0</v>
      </c>
      <c r="W56">
        <v>0</v>
      </c>
      <c r="X56">
        <f t="shared" si="1"/>
        <v>-109.41249999999999</v>
      </c>
      <c r="Y56">
        <v>-24.5044</v>
      </c>
      <c r="Z56">
        <v>4.6472541090000004</v>
      </c>
      <c r="AA56" s="3">
        <f t="shared" si="4"/>
        <v>11</v>
      </c>
      <c r="AB56" s="3">
        <f t="shared" si="5"/>
        <v>5</v>
      </c>
      <c r="AD56" s="3" t="s">
        <v>2754</v>
      </c>
      <c r="AE56" s="4">
        <v>-83.02</v>
      </c>
      <c r="AF56" s="4">
        <f t="shared" si="2"/>
        <v>-83.02</v>
      </c>
      <c r="AG56" s="1">
        <v>-105.9</v>
      </c>
      <c r="AH56" s="2">
        <v>-109.42</v>
      </c>
      <c r="AI56"/>
      <c r="AJ56" s="3">
        <f t="shared" si="3"/>
        <v>8</v>
      </c>
      <c r="AK56" s="3" t="s">
        <v>2709</v>
      </c>
      <c r="AL56">
        <v>8</v>
      </c>
      <c r="AM56" t="s">
        <v>15</v>
      </c>
    </row>
    <row r="57" spans="1:39" ht="15" hidden="1" thickTop="1" x14ac:dyDescent="0.3">
      <c r="A57" s="51" t="s">
        <v>70</v>
      </c>
      <c r="B57" s="54" t="s">
        <v>71</v>
      </c>
      <c r="C57" s="51" t="s">
        <v>2765</v>
      </c>
      <c r="D57" s="53">
        <v>1</v>
      </c>
      <c r="E57" s="53">
        <v>0</v>
      </c>
      <c r="F57" s="51" t="s">
        <v>2744</v>
      </c>
      <c r="G57" s="51" t="s">
        <v>2695</v>
      </c>
      <c r="H57" s="25" t="str">
        <f t="shared" si="6"/>
        <v>jgd</v>
      </c>
      <c r="I57" t="s">
        <v>72</v>
      </c>
      <c r="J57" t="s">
        <v>73</v>
      </c>
      <c r="K57" t="s">
        <v>74</v>
      </c>
      <c r="L57" s="25">
        <v>46.07003589</v>
      </c>
      <c r="M57" s="25">
        <v>9.026476443</v>
      </c>
      <c r="N57">
        <v>5</v>
      </c>
      <c r="O57">
        <v>26</v>
      </c>
      <c r="P57">
        <v>10</v>
      </c>
      <c r="Q57">
        <v>2013</v>
      </c>
      <c r="R57" s="9">
        <v>41573</v>
      </c>
      <c r="S57">
        <v>290</v>
      </c>
      <c r="T57">
        <v>1</v>
      </c>
      <c r="U57">
        <v>0</v>
      </c>
      <c r="V57">
        <v>0</v>
      </c>
      <c r="W57">
        <v>0</v>
      </c>
      <c r="X57">
        <f t="shared" si="1"/>
        <v>-108.33749999999999</v>
      </c>
      <c r="Y57">
        <v>-21.272778939999998</v>
      </c>
      <c r="Z57">
        <v>4.3997488000000002</v>
      </c>
      <c r="AA57" s="3">
        <f t="shared" si="4"/>
        <v>11</v>
      </c>
      <c r="AB57" s="3">
        <f t="shared" si="5"/>
        <v>4</v>
      </c>
      <c r="AD57" s="3" t="s">
        <v>2754</v>
      </c>
      <c r="AE57" s="4">
        <v>-82.16</v>
      </c>
      <c r="AF57" s="4">
        <f t="shared" si="2"/>
        <v>-82.16</v>
      </c>
      <c r="AG57" s="1">
        <v>-105.1</v>
      </c>
      <c r="AH57" s="2">
        <v>-108.33</v>
      </c>
      <c r="AI57"/>
      <c r="AJ57" s="3">
        <f t="shared" si="3"/>
        <v>8</v>
      </c>
      <c r="AK57" s="3" t="s">
        <v>2709</v>
      </c>
      <c r="AL57">
        <v>8</v>
      </c>
      <c r="AM57" t="s">
        <v>15</v>
      </c>
    </row>
    <row r="58" spans="1:39" ht="15" hidden="1" thickTop="1" x14ac:dyDescent="0.3">
      <c r="A58" s="51" t="s">
        <v>211</v>
      </c>
      <c r="B58" s="54" t="s">
        <v>212</v>
      </c>
      <c r="C58" s="51" t="s">
        <v>2765</v>
      </c>
      <c r="D58" s="53">
        <v>1</v>
      </c>
      <c r="E58" s="53">
        <v>0</v>
      </c>
      <c r="F58" s="51" t="s">
        <v>2744</v>
      </c>
      <c r="G58" s="51" t="s">
        <v>2695</v>
      </c>
      <c r="H58" s="25" t="str">
        <f t="shared" si="6"/>
        <v>jgd</v>
      </c>
      <c r="I58" t="s">
        <v>72</v>
      </c>
      <c r="J58" t="s">
        <v>213</v>
      </c>
      <c r="K58" t="s">
        <v>214</v>
      </c>
      <c r="L58" s="25">
        <v>45.991262050000003</v>
      </c>
      <c r="M58" s="25">
        <v>8.9977282649999992</v>
      </c>
      <c r="N58">
        <v>5</v>
      </c>
      <c r="O58">
        <v>14</v>
      </c>
      <c r="P58">
        <v>11</v>
      </c>
      <c r="Q58">
        <v>2013</v>
      </c>
      <c r="R58" s="9">
        <v>41592</v>
      </c>
      <c r="S58">
        <v>330</v>
      </c>
      <c r="T58">
        <v>1</v>
      </c>
      <c r="U58">
        <v>0</v>
      </c>
      <c r="V58">
        <v>0</v>
      </c>
      <c r="W58">
        <v>0</v>
      </c>
      <c r="X58">
        <f t="shared" si="1"/>
        <v>-107.48750000000001</v>
      </c>
      <c r="Y58">
        <v>-6.5957925150000003</v>
      </c>
      <c r="Z58">
        <v>3.5089685340000001</v>
      </c>
      <c r="AA58" s="3">
        <f t="shared" si="4"/>
        <v>11</v>
      </c>
      <c r="AB58" s="3">
        <f t="shared" si="5"/>
        <v>4</v>
      </c>
      <c r="AD58" s="3" t="s">
        <v>2754</v>
      </c>
      <c r="AE58" s="4">
        <v>-81.48</v>
      </c>
      <c r="AF58" s="4">
        <f t="shared" si="2"/>
        <v>-81.48</v>
      </c>
      <c r="AG58" s="1">
        <v>-104.4</v>
      </c>
      <c r="AH58" s="2">
        <v>-107.49</v>
      </c>
      <c r="AI58"/>
      <c r="AJ58" s="3">
        <f t="shared" si="3"/>
        <v>8</v>
      </c>
      <c r="AK58" s="3" t="s">
        <v>2709</v>
      </c>
      <c r="AL58">
        <v>8</v>
      </c>
      <c r="AM58" t="s">
        <v>15</v>
      </c>
    </row>
    <row r="59" spans="1:39" ht="15" hidden="1" thickTop="1" x14ac:dyDescent="0.3">
      <c r="A59" s="51" t="s">
        <v>599</v>
      </c>
      <c r="B59" s="54" t="s">
        <v>600</v>
      </c>
      <c r="C59" s="51" t="s">
        <v>2765</v>
      </c>
      <c r="D59" s="53">
        <v>1</v>
      </c>
      <c r="E59" s="53">
        <v>0</v>
      </c>
      <c r="F59" s="51" t="s">
        <v>2744</v>
      </c>
      <c r="G59" s="51" t="s">
        <v>2695</v>
      </c>
      <c r="H59" s="25" t="str">
        <f t="shared" si="6"/>
        <v>jgd</v>
      </c>
      <c r="I59" t="s">
        <v>72</v>
      </c>
      <c r="J59" t="s">
        <v>234</v>
      </c>
      <c r="K59" t="s">
        <v>601</v>
      </c>
      <c r="L59" s="25">
        <v>46.216993889999998</v>
      </c>
      <c r="M59" s="25">
        <v>8.7293368089999994</v>
      </c>
      <c r="N59">
        <v>6</v>
      </c>
      <c r="O59">
        <v>8</v>
      </c>
      <c r="P59">
        <v>11</v>
      </c>
      <c r="Q59">
        <v>2014</v>
      </c>
      <c r="R59" s="9">
        <v>41951</v>
      </c>
      <c r="S59">
        <v>291</v>
      </c>
      <c r="T59">
        <v>1</v>
      </c>
      <c r="U59">
        <v>0</v>
      </c>
      <c r="V59">
        <v>0</v>
      </c>
      <c r="W59">
        <v>0</v>
      </c>
      <c r="X59">
        <f t="shared" si="1"/>
        <v>-107.22499999999999</v>
      </c>
      <c r="Y59">
        <v>-24.852799999999998</v>
      </c>
      <c r="Z59">
        <v>5.4715459019999999</v>
      </c>
      <c r="AA59" s="3">
        <f t="shared" si="4"/>
        <v>11</v>
      </c>
      <c r="AB59" s="3">
        <f t="shared" si="5"/>
        <v>5</v>
      </c>
      <c r="AD59" s="3" t="s">
        <v>2754</v>
      </c>
      <c r="AE59" s="4">
        <v>-81.27</v>
      </c>
      <c r="AF59" s="4">
        <f t="shared" si="2"/>
        <v>-81.27</v>
      </c>
      <c r="AG59" s="1">
        <v>-104.2</v>
      </c>
      <c r="AH59" s="2">
        <v>-107.23</v>
      </c>
      <c r="AI59"/>
      <c r="AJ59" s="3">
        <f t="shared" si="3"/>
        <v>8</v>
      </c>
      <c r="AK59" s="3" t="s">
        <v>2709</v>
      </c>
      <c r="AL59">
        <v>8</v>
      </c>
      <c r="AM59" t="s">
        <v>15</v>
      </c>
    </row>
    <row r="60" spans="1:39" ht="15" hidden="1" thickTop="1" x14ac:dyDescent="0.3">
      <c r="A60" s="51" t="s">
        <v>166</v>
      </c>
      <c r="B60" s="54" t="s">
        <v>167</v>
      </c>
      <c r="C60" s="51" t="s">
        <v>2765</v>
      </c>
      <c r="D60" s="53">
        <v>1</v>
      </c>
      <c r="E60" s="53">
        <v>0</v>
      </c>
      <c r="F60" s="51" t="s">
        <v>2744</v>
      </c>
      <c r="G60" s="51" t="s">
        <v>2695</v>
      </c>
      <c r="H60" s="25" t="str">
        <f t="shared" si="6"/>
        <v>jgd</v>
      </c>
      <c r="I60" t="s">
        <v>72</v>
      </c>
      <c r="J60" t="s">
        <v>155</v>
      </c>
      <c r="K60" t="s">
        <v>165</v>
      </c>
      <c r="L60" s="25">
        <v>46.118460740000003</v>
      </c>
      <c r="M60" s="25">
        <v>8.8344646709999992</v>
      </c>
      <c r="N60">
        <v>4</v>
      </c>
      <c r="O60">
        <v>6</v>
      </c>
      <c r="P60">
        <v>11</v>
      </c>
      <c r="Q60">
        <v>2013</v>
      </c>
      <c r="R60" s="9">
        <v>41584</v>
      </c>
      <c r="S60">
        <v>335</v>
      </c>
      <c r="T60">
        <v>1</v>
      </c>
      <c r="U60">
        <v>0</v>
      </c>
      <c r="V60">
        <v>0</v>
      </c>
      <c r="W60">
        <v>0</v>
      </c>
      <c r="X60">
        <f t="shared" si="1"/>
        <v>-107.2</v>
      </c>
      <c r="Y60">
        <v>-22.408704480000001</v>
      </c>
      <c r="Z60">
        <v>4.8230398069999998</v>
      </c>
      <c r="AA60" s="3">
        <f t="shared" si="4"/>
        <v>11</v>
      </c>
      <c r="AB60" s="3">
        <f t="shared" si="5"/>
        <v>5</v>
      </c>
      <c r="AD60" s="3" t="s">
        <v>2754</v>
      </c>
      <c r="AE60" s="4">
        <v>-81.25</v>
      </c>
      <c r="AF60" s="4">
        <f t="shared" si="2"/>
        <v>-81.25</v>
      </c>
      <c r="AG60" s="1">
        <v>-104.1</v>
      </c>
      <c r="AH60" s="2">
        <v>-107.2</v>
      </c>
      <c r="AI60"/>
      <c r="AJ60" s="3">
        <f t="shared" si="3"/>
        <v>8</v>
      </c>
      <c r="AK60" s="3" t="s">
        <v>2709</v>
      </c>
      <c r="AL60">
        <v>8</v>
      </c>
      <c r="AM60" t="s">
        <v>15</v>
      </c>
    </row>
    <row r="61" spans="1:39" ht="15" hidden="1" thickTop="1" x14ac:dyDescent="0.3">
      <c r="A61" s="51" t="s">
        <v>731</v>
      </c>
      <c r="B61" s="54" t="s">
        <v>352</v>
      </c>
      <c r="C61" s="51" t="s">
        <v>2765</v>
      </c>
      <c r="D61" s="53">
        <v>1</v>
      </c>
      <c r="E61" s="53">
        <v>0</v>
      </c>
      <c r="F61" s="51" t="s">
        <v>2744</v>
      </c>
      <c r="G61" s="51" t="s">
        <v>2695</v>
      </c>
      <c r="H61" s="25" t="str">
        <f t="shared" si="6"/>
        <v>jgd</v>
      </c>
      <c r="I61" t="s">
        <v>72</v>
      </c>
      <c r="J61" t="s">
        <v>113</v>
      </c>
      <c r="K61" t="s">
        <v>732</v>
      </c>
      <c r="L61" s="25">
        <v>46.223231820000002</v>
      </c>
      <c r="M61" s="25">
        <v>8.6808636559999997</v>
      </c>
      <c r="N61">
        <v>6</v>
      </c>
      <c r="O61">
        <v>27</v>
      </c>
      <c r="P61">
        <v>10</v>
      </c>
      <c r="Q61">
        <v>2015</v>
      </c>
      <c r="R61" s="9">
        <v>42304</v>
      </c>
      <c r="S61">
        <v>244</v>
      </c>
      <c r="T61">
        <v>1</v>
      </c>
      <c r="U61">
        <v>0</v>
      </c>
      <c r="V61">
        <v>0</v>
      </c>
      <c r="W61">
        <v>0</v>
      </c>
      <c r="X61">
        <f t="shared" si="1"/>
        <v>-107.1375</v>
      </c>
      <c r="Y61">
        <v>-24.166</v>
      </c>
      <c r="Z61">
        <v>9.633780475</v>
      </c>
      <c r="AA61" s="3">
        <f t="shared" si="4"/>
        <v>11</v>
      </c>
      <c r="AB61" s="3">
        <f t="shared" si="5"/>
        <v>10</v>
      </c>
      <c r="AD61" s="3" t="s">
        <v>2754</v>
      </c>
      <c r="AE61" s="4">
        <v>-81.2</v>
      </c>
      <c r="AF61" s="4">
        <f t="shared" si="2"/>
        <v>-81.2</v>
      </c>
      <c r="AG61" s="1">
        <v>-104.1</v>
      </c>
      <c r="AH61" s="2">
        <v>-107.14</v>
      </c>
      <c r="AI61"/>
      <c r="AJ61" s="3">
        <f t="shared" si="3"/>
        <v>8</v>
      </c>
      <c r="AK61" s="3" t="s">
        <v>2709</v>
      </c>
      <c r="AL61">
        <v>8</v>
      </c>
      <c r="AM61" t="s">
        <v>15</v>
      </c>
    </row>
    <row r="62" spans="1:39" ht="15" hidden="1" thickTop="1" x14ac:dyDescent="0.3">
      <c r="A62" s="51" t="s">
        <v>359</v>
      </c>
      <c r="B62" s="54" t="s">
        <v>360</v>
      </c>
      <c r="C62" s="51" t="s">
        <v>2765</v>
      </c>
      <c r="D62" s="53">
        <v>1</v>
      </c>
      <c r="E62" s="53">
        <v>0</v>
      </c>
      <c r="F62" s="51" t="s">
        <v>2744</v>
      </c>
      <c r="G62" s="51" t="s">
        <v>2695</v>
      </c>
      <c r="H62" s="25" t="str">
        <f t="shared" si="6"/>
        <v>jgd</v>
      </c>
      <c r="I62" t="s">
        <v>72</v>
      </c>
      <c r="J62" t="s">
        <v>113</v>
      </c>
      <c r="K62" t="s">
        <v>361</v>
      </c>
      <c r="L62" s="25">
        <v>46.215229569999998</v>
      </c>
      <c r="M62" s="25">
        <v>8.6655955509999991</v>
      </c>
      <c r="N62">
        <v>6</v>
      </c>
      <c r="O62">
        <v>26</v>
      </c>
      <c r="P62">
        <v>10</v>
      </c>
      <c r="Q62">
        <v>2014</v>
      </c>
      <c r="R62" s="9">
        <v>41938</v>
      </c>
      <c r="S62">
        <v>299</v>
      </c>
      <c r="T62">
        <v>1</v>
      </c>
      <c r="U62">
        <v>0</v>
      </c>
      <c r="V62">
        <v>0</v>
      </c>
      <c r="W62">
        <v>0</v>
      </c>
      <c r="X62">
        <f t="shared" si="1"/>
        <v>-106.08750000000001</v>
      </c>
      <c r="Y62">
        <v>-25.114999999999998</v>
      </c>
      <c r="Z62">
        <v>8.0870056760000004</v>
      </c>
      <c r="AA62" s="3">
        <f t="shared" si="4"/>
        <v>11</v>
      </c>
      <c r="AB62" s="3">
        <f t="shared" si="5"/>
        <v>8</v>
      </c>
      <c r="AD62" s="3" t="s">
        <v>2754</v>
      </c>
      <c r="AE62" s="4">
        <v>-80.36</v>
      </c>
      <c r="AF62" s="4">
        <f t="shared" si="2"/>
        <v>-80.36</v>
      </c>
      <c r="AG62" s="1">
        <v>-103.2</v>
      </c>
      <c r="AH62" s="2">
        <v>-106.08</v>
      </c>
      <c r="AI62"/>
      <c r="AJ62" s="3">
        <f t="shared" si="3"/>
        <v>8</v>
      </c>
      <c r="AK62" s="3" t="s">
        <v>2709</v>
      </c>
      <c r="AL62">
        <v>8</v>
      </c>
      <c r="AM62" t="s">
        <v>15</v>
      </c>
    </row>
    <row r="63" spans="1:39" ht="15" hidden="1" thickTop="1" x14ac:dyDescent="0.3">
      <c r="A63" s="51" t="s">
        <v>124</v>
      </c>
      <c r="B63" s="54" t="s">
        <v>125</v>
      </c>
      <c r="C63" s="51" t="s">
        <v>2765</v>
      </c>
      <c r="D63" s="53">
        <v>1</v>
      </c>
      <c r="E63" s="53">
        <v>0</v>
      </c>
      <c r="F63" s="51" t="s">
        <v>2744</v>
      </c>
      <c r="G63" s="51" t="s">
        <v>2695</v>
      </c>
      <c r="H63" s="25" t="str">
        <f t="shared" si="6"/>
        <v>jgd</v>
      </c>
      <c r="I63" t="s">
        <v>72</v>
      </c>
      <c r="J63" t="s">
        <v>126</v>
      </c>
      <c r="K63" t="s">
        <v>127</v>
      </c>
      <c r="L63" s="25">
        <v>46.184590329999999</v>
      </c>
      <c r="M63" s="25">
        <v>8.7586852789999998</v>
      </c>
      <c r="N63">
        <v>5</v>
      </c>
      <c r="O63">
        <v>23</v>
      </c>
      <c r="P63">
        <v>11</v>
      </c>
      <c r="Q63">
        <v>2013</v>
      </c>
      <c r="R63" s="9">
        <v>41601</v>
      </c>
      <c r="S63">
        <v>294</v>
      </c>
      <c r="T63">
        <v>1</v>
      </c>
      <c r="U63">
        <v>0</v>
      </c>
      <c r="V63">
        <v>0</v>
      </c>
      <c r="W63">
        <v>0</v>
      </c>
      <c r="X63">
        <f t="shared" si="1"/>
        <v>-105.8</v>
      </c>
      <c r="Y63">
        <v>-11.38073599</v>
      </c>
      <c r="Z63">
        <v>4.088102492</v>
      </c>
      <c r="AA63" s="3">
        <f t="shared" si="4"/>
        <v>11</v>
      </c>
      <c r="AB63" s="3">
        <f t="shared" si="5"/>
        <v>4</v>
      </c>
      <c r="AD63" s="3" t="s">
        <v>2754</v>
      </c>
      <c r="AE63" s="4">
        <v>-80.13</v>
      </c>
      <c r="AF63" s="4">
        <f t="shared" si="2"/>
        <v>-80.13</v>
      </c>
      <c r="AG63" s="1">
        <v>-103</v>
      </c>
      <c r="AH63" s="2">
        <v>-105.8</v>
      </c>
      <c r="AI63"/>
      <c r="AJ63" s="3">
        <f t="shared" si="3"/>
        <v>8</v>
      </c>
      <c r="AK63" s="3" t="s">
        <v>2709</v>
      </c>
      <c r="AL63">
        <v>8</v>
      </c>
      <c r="AM63" t="s">
        <v>15</v>
      </c>
    </row>
    <row r="64" spans="1:39" ht="15" hidden="1" thickTop="1" x14ac:dyDescent="0.3">
      <c r="A64" s="51" t="s">
        <v>187</v>
      </c>
      <c r="B64" s="54" t="s">
        <v>188</v>
      </c>
      <c r="C64" s="51" t="s">
        <v>2765</v>
      </c>
      <c r="D64" s="53">
        <v>1</v>
      </c>
      <c r="E64" s="53">
        <v>0</v>
      </c>
      <c r="F64" s="51" t="s">
        <v>2744</v>
      </c>
      <c r="G64" s="51" t="s">
        <v>2695</v>
      </c>
      <c r="H64" s="25" t="str">
        <f t="shared" si="6"/>
        <v>jgd</v>
      </c>
      <c r="I64" t="s">
        <v>72</v>
      </c>
      <c r="J64" t="s">
        <v>16</v>
      </c>
      <c r="K64" t="s">
        <v>180</v>
      </c>
      <c r="L64" s="25">
        <v>46.107061780000002</v>
      </c>
      <c r="M64" s="25">
        <v>8.9842201690000003</v>
      </c>
      <c r="N64">
        <v>5</v>
      </c>
      <c r="O64">
        <v>20</v>
      </c>
      <c r="P64">
        <v>11</v>
      </c>
      <c r="Q64">
        <v>2013</v>
      </c>
      <c r="R64" s="9">
        <v>41598</v>
      </c>
      <c r="S64">
        <v>290</v>
      </c>
      <c r="T64">
        <v>1</v>
      </c>
      <c r="U64">
        <v>0</v>
      </c>
      <c r="V64">
        <v>0</v>
      </c>
      <c r="W64">
        <v>0</v>
      </c>
      <c r="X64">
        <f t="shared" si="1"/>
        <v>-105.8</v>
      </c>
      <c r="Y64">
        <v>-23.489256279999999</v>
      </c>
      <c r="Z64">
        <v>4.7695128450000004</v>
      </c>
      <c r="AA64" s="3">
        <f t="shared" si="4"/>
        <v>11</v>
      </c>
      <c r="AB64" s="3">
        <f t="shared" si="5"/>
        <v>5</v>
      </c>
      <c r="AD64" s="3" t="s">
        <v>2754</v>
      </c>
      <c r="AE64" s="4">
        <v>-80.13</v>
      </c>
      <c r="AF64" s="4">
        <f t="shared" si="2"/>
        <v>-80.13</v>
      </c>
      <c r="AG64" s="1">
        <v>-103</v>
      </c>
      <c r="AH64" s="2">
        <v>-105.8</v>
      </c>
      <c r="AI64"/>
      <c r="AJ64" s="3">
        <f t="shared" si="3"/>
        <v>8</v>
      </c>
      <c r="AK64" s="3" t="s">
        <v>2709</v>
      </c>
      <c r="AL64">
        <v>8</v>
      </c>
      <c r="AM64" t="s">
        <v>15</v>
      </c>
    </row>
    <row r="65" spans="1:39" ht="15" hidden="1" thickTop="1" x14ac:dyDescent="0.3">
      <c r="A65" s="51" t="s">
        <v>426</v>
      </c>
      <c r="B65" s="54" t="s">
        <v>167</v>
      </c>
      <c r="C65" s="51" t="s">
        <v>2765</v>
      </c>
      <c r="D65" s="53">
        <v>1</v>
      </c>
      <c r="E65" s="53">
        <v>0</v>
      </c>
      <c r="F65" s="51" t="s">
        <v>2744</v>
      </c>
      <c r="G65" s="51" t="s">
        <v>2695</v>
      </c>
      <c r="H65" s="25" t="str">
        <f t="shared" si="6"/>
        <v>jgd</v>
      </c>
      <c r="I65" t="s">
        <v>72</v>
      </c>
      <c r="J65" t="s">
        <v>155</v>
      </c>
      <c r="K65" t="s">
        <v>162</v>
      </c>
      <c r="L65" s="25">
        <v>46.08312626</v>
      </c>
      <c r="M65" s="25">
        <v>8.8542482360000001</v>
      </c>
      <c r="N65">
        <v>4</v>
      </c>
      <c r="O65">
        <v>25</v>
      </c>
      <c r="P65">
        <v>10</v>
      </c>
      <c r="Q65">
        <v>2014</v>
      </c>
      <c r="R65" s="9">
        <v>41937</v>
      </c>
      <c r="S65">
        <v>328</v>
      </c>
      <c r="T65">
        <v>1</v>
      </c>
      <c r="U65">
        <v>0</v>
      </c>
      <c r="V65">
        <v>0</v>
      </c>
      <c r="W65">
        <v>0</v>
      </c>
      <c r="X65">
        <f t="shared" si="1"/>
        <v>-104.72499999999999</v>
      </c>
      <c r="Y65">
        <v>-25.117799999999999</v>
      </c>
      <c r="Z65">
        <v>5.4184444909999998</v>
      </c>
      <c r="AA65" s="3">
        <f t="shared" si="4"/>
        <v>10</v>
      </c>
      <c r="AB65" s="3">
        <f t="shared" si="5"/>
        <v>5</v>
      </c>
      <c r="AD65" s="3" t="s">
        <v>2754</v>
      </c>
      <c r="AE65" s="4">
        <v>-79.27</v>
      </c>
      <c r="AF65" s="4">
        <f t="shared" si="2"/>
        <v>-79.27</v>
      </c>
      <c r="AG65" s="1">
        <v>-102.1</v>
      </c>
      <c r="AH65" s="2">
        <v>-104.72</v>
      </c>
      <c r="AI65"/>
      <c r="AJ65" s="3">
        <f t="shared" si="3"/>
        <v>8</v>
      </c>
      <c r="AK65" s="3" t="s">
        <v>2709</v>
      </c>
      <c r="AL65">
        <v>8</v>
      </c>
      <c r="AM65" t="s">
        <v>15</v>
      </c>
    </row>
    <row r="66" spans="1:39" ht="15" hidden="1" thickTop="1" x14ac:dyDescent="0.3">
      <c r="A66" s="51" t="s">
        <v>178</v>
      </c>
      <c r="B66" s="54" t="s">
        <v>179</v>
      </c>
      <c r="C66" s="51" t="s">
        <v>2765</v>
      </c>
      <c r="D66" s="53">
        <v>1</v>
      </c>
      <c r="E66" s="53">
        <v>0</v>
      </c>
      <c r="F66" s="51" t="s">
        <v>2744</v>
      </c>
      <c r="G66" s="51" t="s">
        <v>2695</v>
      </c>
      <c r="H66" s="25" t="str">
        <f t="shared" ref="H66:H97" si="7">IF(T66=1,"jgd",IF(W66=1,"Captures automne","Captures printemps-été"))</f>
        <v>jgd</v>
      </c>
      <c r="I66" t="s">
        <v>72</v>
      </c>
      <c r="J66" t="s">
        <v>180</v>
      </c>
      <c r="K66" t="s">
        <v>181</v>
      </c>
      <c r="L66" s="25">
        <v>46.106893630000002</v>
      </c>
      <c r="M66" s="25">
        <v>8.9635190310000006</v>
      </c>
      <c r="N66">
        <v>4</v>
      </c>
      <c r="O66">
        <v>6</v>
      </c>
      <c r="P66">
        <v>11</v>
      </c>
      <c r="Q66">
        <v>2013</v>
      </c>
      <c r="R66" s="9">
        <v>41584</v>
      </c>
      <c r="S66">
        <v>272</v>
      </c>
      <c r="T66">
        <v>1</v>
      </c>
      <c r="U66">
        <v>0</v>
      </c>
      <c r="V66">
        <v>0</v>
      </c>
      <c r="W66">
        <v>0</v>
      </c>
      <c r="X66">
        <f t="shared" ref="X66:X129" si="8">1.25 * AF66 - 5.6375</f>
        <v>-104.55</v>
      </c>
      <c r="Y66">
        <v>-16.229801510000001</v>
      </c>
      <c r="Z66">
        <v>5.0796075639999998</v>
      </c>
      <c r="AA66" s="3">
        <f t="shared" si="4"/>
        <v>10</v>
      </c>
      <c r="AB66" s="3">
        <f t="shared" si="5"/>
        <v>5</v>
      </c>
      <c r="AD66" s="3" t="s">
        <v>2754</v>
      </c>
      <c r="AE66" s="4">
        <v>-79.13</v>
      </c>
      <c r="AF66" s="4">
        <f t="shared" ref="AF66:AF129" si="9">IF(AI66&lt;0,AI66,AE66)</f>
        <v>-79.13</v>
      </c>
      <c r="AG66" s="1">
        <v>-102</v>
      </c>
      <c r="AH66" s="2">
        <v>-104.54</v>
      </c>
      <c r="AI66"/>
      <c r="AJ66" s="3">
        <f t="shared" ref="AJ66:AJ129" si="10">-ROUND(AF66/10,0)</f>
        <v>8</v>
      </c>
      <c r="AK66" s="3" t="s">
        <v>2709</v>
      </c>
      <c r="AL66">
        <v>8</v>
      </c>
      <c r="AM66" t="s">
        <v>15</v>
      </c>
    </row>
    <row r="67" spans="1:39" ht="15" hidden="1" thickTop="1" x14ac:dyDescent="0.3">
      <c r="A67" s="51" t="s">
        <v>2120</v>
      </c>
      <c r="B67" s="54" t="s">
        <v>835</v>
      </c>
      <c r="C67" s="51" t="s">
        <v>2765</v>
      </c>
      <c r="D67" s="53">
        <v>1</v>
      </c>
      <c r="E67" s="53">
        <v>0</v>
      </c>
      <c r="F67" s="51" t="s">
        <v>2744</v>
      </c>
      <c r="G67" s="51" t="s">
        <v>2695</v>
      </c>
      <c r="H67" s="25" t="str">
        <f t="shared" si="7"/>
        <v>jgd</v>
      </c>
      <c r="I67" t="s">
        <v>30</v>
      </c>
      <c r="J67" t="s">
        <v>2118</v>
      </c>
      <c r="K67" t="s">
        <v>2119</v>
      </c>
      <c r="L67" s="25">
        <v>46.73543669</v>
      </c>
      <c r="M67" s="25">
        <v>7.0464557689999996</v>
      </c>
      <c r="N67">
        <v>6</v>
      </c>
      <c r="O67">
        <v>13</v>
      </c>
      <c r="P67">
        <v>11</v>
      </c>
      <c r="Q67">
        <v>2017</v>
      </c>
      <c r="R67" s="9">
        <v>43052</v>
      </c>
      <c r="S67">
        <v>387</v>
      </c>
      <c r="T67">
        <v>1</v>
      </c>
      <c r="U67">
        <v>0</v>
      </c>
      <c r="V67">
        <v>0</v>
      </c>
      <c r="W67">
        <v>0</v>
      </c>
      <c r="X67" s="57">
        <f t="shared" si="8"/>
        <v>-103.5393</v>
      </c>
      <c r="Y67" t="s">
        <v>16</v>
      </c>
      <c r="Z67">
        <v>5.4348119879999999</v>
      </c>
      <c r="AA67" s="3">
        <f t="shared" ref="AA67:AA130" si="11">-ROUND(X67/10,0)</f>
        <v>10</v>
      </c>
      <c r="AB67" s="3">
        <f t="shared" ref="AB67:AB130" si="12">ROUND(Z67,0)</f>
        <v>5</v>
      </c>
      <c r="AD67" s="3" t="s">
        <v>2751</v>
      </c>
      <c r="AE67" s="4">
        <v>-78.321439999999996</v>
      </c>
      <c r="AF67" s="4">
        <f t="shared" si="9"/>
        <v>-78.321439999999996</v>
      </c>
      <c r="AG67" s="60" t="s">
        <v>16</v>
      </c>
      <c r="AH67" s="61" t="s">
        <v>16</v>
      </c>
      <c r="AJ67" s="3">
        <f t="shared" si="10"/>
        <v>8</v>
      </c>
      <c r="AK67" s="3" t="s">
        <v>2709</v>
      </c>
      <c r="AL67">
        <v>8</v>
      </c>
      <c r="AM67" t="s">
        <v>15</v>
      </c>
    </row>
    <row r="68" spans="1:39" ht="15" hidden="1" thickTop="1" x14ac:dyDescent="0.3">
      <c r="A68" s="51" t="s">
        <v>108</v>
      </c>
      <c r="B68" s="54" t="s">
        <v>109</v>
      </c>
      <c r="C68" s="51" t="s">
        <v>2765</v>
      </c>
      <c r="D68" s="53">
        <v>1</v>
      </c>
      <c r="E68" s="53">
        <v>0</v>
      </c>
      <c r="F68" s="51" t="s">
        <v>2744</v>
      </c>
      <c r="G68" s="51" t="s">
        <v>2695</v>
      </c>
      <c r="H68" s="25" t="str">
        <f t="shared" si="7"/>
        <v>jgd</v>
      </c>
      <c r="I68" t="s">
        <v>72</v>
      </c>
      <c r="J68" t="s">
        <v>106</v>
      </c>
      <c r="K68" t="s">
        <v>110</v>
      </c>
      <c r="L68" s="25">
        <v>46.199847910000003</v>
      </c>
      <c r="M68" s="25">
        <v>8.7220636450000004</v>
      </c>
      <c r="N68">
        <v>6</v>
      </c>
      <c r="O68">
        <v>10</v>
      </c>
      <c r="P68">
        <v>11</v>
      </c>
      <c r="Q68">
        <v>2013</v>
      </c>
      <c r="R68" s="9">
        <v>41588</v>
      </c>
      <c r="S68">
        <v>345</v>
      </c>
      <c r="T68">
        <v>1</v>
      </c>
      <c r="U68">
        <v>0</v>
      </c>
      <c r="V68">
        <v>0</v>
      </c>
      <c r="W68">
        <v>0</v>
      </c>
      <c r="X68">
        <f t="shared" si="8"/>
        <v>-103.50000000000001</v>
      </c>
      <c r="Y68">
        <v>13.31139349</v>
      </c>
      <c r="Z68">
        <v>2.7035807859999998</v>
      </c>
      <c r="AA68" s="3">
        <f t="shared" si="11"/>
        <v>10</v>
      </c>
      <c r="AB68" s="3">
        <f t="shared" si="12"/>
        <v>3</v>
      </c>
      <c r="AD68" s="3" t="s">
        <v>2754</v>
      </c>
      <c r="AE68" s="4">
        <v>-78.290000000000006</v>
      </c>
      <c r="AF68" s="4">
        <f t="shared" si="9"/>
        <v>-78.290000000000006</v>
      </c>
      <c r="AG68" s="1">
        <v>-101.1</v>
      </c>
      <c r="AH68" s="2">
        <v>-103.5</v>
      </c>
      <c r="AI68"/>
      <c r="AJ68" s="3">
        <f t="shared" si="10"/>
        <v>8</v>
      </c>
      <c r="AK68" s="3" t="s">
        <v>2709</v>
      </c>
      <c r="AL68">
        <v>8</v>
      </c>
      <c r="AM68" t="s">
        <v>15</v>
      </c>
    </row>
    <row r="69" spans="1:39" ht="15" hidden="1" thickTop="1" x14ac:dyDescent="0.3">
      <c r="A69" s="51" t="s">
        <v>423</v>
      </c>
      <c r="B69" s="54" t="s">
        <v>158</v>
      </c>
      <c r="C69" s="51" t="s">
        <v>2765</v>
      </c>
      <c r="D69" s="53">
        <v>1</v>
      </c>
      <c r="E69" s="53">
        <v>0</v>
      </c>
      <c r="F69" s="51" t="s">
        <v>2744</v>
      </c>
      <c r="G69" s="51" t="s">
        <v>2695</v>
      </c>
      <c r="H69" s="25" t="str">
        <f t="shared" si="7"/>
        <v>jgd</v>
      </c>
      <c r="I69" t="s">
        <v>72</v>
      </c>
      <c r="J69" t="s">
        <v>155</v>
      </c>
      <c r="K69" t="s">
        <v>397</v>
      </c>
      <c r="L69" s="25">
        <v>46.082340070000001</v>
      </c>
      <c r="M69" s="25">
        <v>8.8451775159999997</v>
      </c>
      <c r="N69">
        <v>4</v>
      </c>
      <c r="O69">
        <v>16</v>
      </c>
      <c r="P69">
        <v>10</v>
      </c>
      <c r="Q69">
        <v>2014</v>
      </c>
      <c r="R69" s="9">
        <v>41928</v>
      </c>
      <c r="S69">
        <v>321</v>
      </c>
      <c r="T69">
        <v>1</v>
      </c>
      <c r="U69">
        <v>0</v>
      </c>
      <c r="V69">
        <v>0</v>
      </c>
      <c r="W69">
        <v>0</v>
      </c>
      <c r="X69">
        <f t="shared" si="8"/>
        <v>-102.8875</v>
      </c>
      <c r="Y69">
        <v>-24.89575</v>
      </c>
      <c r="Z69">
        <v>6.1836821659999996</v>
      </c>
      <c r="AA69" s="3">
        <f t="shared" si="11"/>
        <v>10</v>
      </c>
      <c r="AB69" s="3">
        <f t="shared" si="12"/>
        <v>6</v>
      </c>
      <c r="AD69" s="3" t="s">
        <v>2754</v>
      </c>
      <c r="AE69" s="4">
        <v>-77.8</v>
      </c>
      <c r="AF69" s="4">
        <f t="shared" si="9"/>
        <v>-77.8</v>
      </c>
      <c r="AG69" s="1">
        <v>-100.6</v>
      </c>
      <c r="AH69" s="2">
        <v>-102.89</v>
      </c>
      <c r="AI69"/>
      <c r="AJ69" s="3">
        <f t="shared" si="10"/>
        <v>8</v>
      </c>
      <c r="AK69" s="3" t="s">
        <v>2709</v>
      </c>
      <c r="AL69">
        <v>8</v>
      </c>
      <c r="AM69" t="s">
        <v>15</v>
      </c>
    </row>
    <row r="70" spans="1:39" ht="15" hidden="1" thickTop="1" x14ac:dyDescent="0.3">
      <c r="A70" s="51" t="s">
        <v>142</v>
      </c>
      <c r="B70" s="54" t="s">
        <v>143</v>
      </c>
      <c r="C70" s="51" t="s">
        <v>2765</v>
      </c>
      <c r="D70" s="53">
        <v>1</v>
      </c>
      <c r="E70" s="53">
        <v>0</v>
      </c>
      <c r="F70" s="51" t="s">
        <v>2744</v>
      </c>
      <c r="G70" s="51" t="s">
        <v>2695</v>
      </c>
      <c r="H70" s="25" t="str">
        <f t="shared" si="7"/>
        <v>jgd</v>
      </c>
      <c r="I70" t="s">
        <v>72</v>
      </c>
      <c r="J70" t="s">
        <v>140</v>
      </c>
      <c r="K70" t="s">
        <v>144</v>
      </c>
      <c r="L70" s="25">
        <v>46.083572580000002</v>
      </c>
      <c r="M70" s="25">
        <v>9.0863479250000001</v>
      </c>
      <c r="N70">
        <v>5</v>
      </c>
      <c r="O70">
        <v>3</v>
      </c>
      <c r="P70">
        <v>11</v>
      </c>
      <c r="Q70">
        <v>2013</v>
      </c>
      <c r="R70" s="9">
        <v>41581</v>
      </c>
      <c r="S70" t="s">
        <v>16</v>
      </c>
      <c r="T70">
        <v>1</v>
      </c>
      <c r="U70">
        <v>0</v>
      </c>
      <c r="V70">
        <v>0</v>
      </c>
      <c r="W70">
        <v>0</v>
      </c>
      <c r="X70">
        <f t="shared" si="8"/>
        <v>-102.87500000000001</v>
      </c>
      <c r="Y70">
        <v>-40.398806280000002</v>
      </c>
      <c r="Z70">
        <v>5.5018209410000001</v>
      </c>
      <c r="AA70" s="3">
        <f t="shared" si="11"/>
        <v>10</v>
      </c>
      <c r="AB70" s="3">
        <f t="shared" si="12"/>
        <v>6</v>
      </c>
      <c r="AD70" s="3" t="s">
        <v>2754</v>
      </c>
      <c r="AE70" s="4">
        <v>-77.790000000000006</v>
      </c>
      <c r="AF70" s="4">
        <f t="shared" si="9"/>
        <v>-77.790000000000006</v>
      </c>
      <c r="AG70" s="1">
        <v>-100.6</v>
      </c>
      <c r="AH70" s="2">
        <v>-102.88</v>
      </c>
      <c r="AI70"/>
      <c r="AJ70" s="3">
        <f t="shared" si="10"/>
        <v>8</v>
      </c>
      <c r="AK70" s="3" t="s">
        <v>2709</v>
      </c>
      <c r="AL70">
        <v>8</v>
      </c>
      <c r="AM70" t="s">
        <v>15</v>
      </c>
    </row>
    <row r="71" spans="1:39" ht="15" hidden="1" thickTop="1" x14ac:dyDescent="0.3">
      <c r="A71" s="51" t="s">
        <v>300</v>
      </c>
      <c r="B71" s="54" t="s">
        <v>301</v>
      </c>
      <c r="C71" s="51" t="s">
        <v>2765</v>
      </c>
      <c r="D71" s="53">
        <v>1</v>
      </c>
      <c r="E71" s="53">
        <v>0</v>
      </c>
      <c r="F71" s="51" t="s">
        <v>2744</v>
      </c>
      <c r="G71" s="51" t="s">
        <v>2695</v>
      </c>
      <c r="H71" s="25" t="str">
        <f t="shared" si="7"/>
        <v>jgd</v>
      </c>
      <c r="I71" t="s">
        <v>72</v>
      </c>
      <c r="J71" t="s">
        <v>298</v>
      </c>
      <c r="K71" t="s">
        <v>302</v>
      </c>
      <c r="L71" s="25">
        <v>46.145448530000003</v>
      </c>
      <c r="M71" s="25">
        <v>8.9733344679999991</v>
      </c>
      <c r="N71">
        <v>6</v>
      </c>
      <c r="O71">
        <v>20</v>
      </c>
      <c r="P71">
        <v>11</v>
      </c>
      <c r="Q71">
        <v>2014</v>
      </c>
      <c r="R71" s="9">
        <v>41963</v>
      </c>
      <c r="S71">
        <v>300</v>
      </c>
      <c r="T71">
        <v>1</v>
      </c>
      <c r="U71">
        <v>0</v>
      </c>
      <c r="V71">
        <v>0</v>
      </c>
      <c r="W71">
        <v>0</v>
      </c>
      <c r="X71">
        <f t="shared" si="8"/>
        <v>-102.65</v>
      </c>
      <c r="Y71">
        <v>-23.612200000000001</v>
      </c>
      <c r="Z71">
        <v>6.911640147</v>
      </c>
      <c r="AA71" s="3">
        <f t="shared" si="11"/>
        <v>10</v>
      </c>
      <c r="AB71" s="3">
        <f t="shared" si="12"/>
        <v>7</v>
      </c>
      <c r="AD71" s="3" t="s">
        <v>2754</v>
      </c>
      <c r="AE71" s="4">
        <v>-77.61</v>
      </c>
      <c r="AF71" s="4">
        <f t="shared" si="9"/>
        <v>-77.61</v>
      </c>
      <c r="AG71" s="1">
        <v>-100.4</v>
      </c>
      <c r="AH71" s="2">
        <v>-102.65</v>
      </c>
      <c r="AI71"/>
      <c r="AJ71" s="3">
        <f t="shared" si="10"/>
        <v>8</v>
      </c>
      <c r="AK71" s="3" t="s">
        <v>2709</v>
      </c>
      <c r="AL71">
        <v>8</v>
      </c>
      <c r="AM71" t="s">
        <v>15</v>
      </c>
    </row>
    <row r="72" spans="1:39" ht="15" hidden="1" thickTop="1" x14ac:dyDescent="0.3">
      <c r="A72" s="51" t="s">
        <v>419</v>
      </c>
      <c r="B72" s="54" t="s">
        <v>420</v>
      </c>
      <c r="C72" s="51" t="s">
        <v>2765</v>
      </c>
      <c r="D72" s="53">
        <v>1</v>
      </c>
      <c r="E72" s="53">
        <v>0</v>
      </c>
      <c r="F72" s="51" t="s">
        <v>2744</v>
      </c>
      <c r="G72" s="51" t="s">
        <v>2695</v>
      </c>
      <c r="H72" s="25" t="str">
        <f t="shared" si="7"/>
        <v>jgd</v>
      </c>
      <c r="I72" t="s">
        <v>72</v>
      </c>
      <c r="J72" t="s">
        <v>155</v>
      </c>
      <c r="K72" t="s">
        <v>418</v>
      </c>
      <c r="L72" s="25">
        <v>46.127326320000002</v>
      </c>
      <c r="M72" s="25">
        <v>8.8450432340000003</v>
      </c>
      <c r="N72">
        <v>4</v>
      </c>
      <c r="O72">
        <v>16</v>
      </c>
      <c r="P72">
        <v>11</v>
      </c>
      <c r="Q72">
        <v>2014</v>
      </c>
      <c r="R72" s="9">
        <v>41959</v>
      </c>
      <c r="S72">
        <v>332</v>
      </c>
      <c r="T72">
        <v>1</v>
      </c>
      <c r="U72">
        <v>0</v>
      </c>
      <c r="V72">
        <v>0</v>
      </c>
      <c r="W72">
        <v>0</v>
      </c>
      <c r="X72">
        <f t="shared" si="8"/>
        <v>-102.6</v>
      </c>
      <c r="Y72">
        <v>-22.813199999999998</v>
      </c>
      <c r="Z72">
        <v>5.0208826039999996</v>
      </c>
      <c r="AA72" s="3">
        <f t="shared" si="11"/>
        <v>10</v>
      </c>
      <c r="AB72" s="3">
        <f t="shared" si="12"/>
        <v>5</v>
      </c>
      <c r="AD72" s="3" t="s">
        <v>2754</v>
      </c>
      <c r="AE72" s="4">
        <v>-77.569999999999993</v>
      </c>
      <c r="AF72" s="4">
        <f t="shared" si="9"/>
        <v>-77.569999999999993</v>
      </c>
      <c r="AG72" s="1">
        <v>-100.4</v>
      </c>
      <c r="AH72" s="2">
        <v>-102.6</v>
      </c>
      <c r="AI72"/>
      <c r="AJ72" s="3">
        <f t="shared" si="10"/>
        <v>8</v>
      </c>
      <c r="AK72" s="3" t="s">
        <v>2709</v>
      </c>
      <c r="AL72">
        <v>8</v>
      </c>
      <c r="AM72" t="s">
        <v>15</v>
      </c>
    </row>
    <row r="73" spans="1:39" ht="15" hidden="1" thickTop="1" x14ac:dyDescent="0.3">
      <c r="A73" s="51" t="s">
        <v>721</v>
      </c>
      <c r="B73" s="54" t="s">
        <v>334</v>
      </c>
      <c r="C73" s="51" t="s">
        <v>2765</v>
      </c>
      <c r="D73" s="53">
        <v>1</v>
      </c>
      <c r="E73" s="53">
        <v>0</v>
      </c>
      <c r="F73" s="51" t="s">
        <v>2744</v>
      </c>
      <c r="G73" s="51" t="s">
        <v>2695</v>
      </c>
      <c r="H73" s="25" t="str">
        <f t="shared" si="7"/>
        <v>jgd</v>
      </c>
      <c r="I73" t="s">
        <v>72</v>
      </c>
      <c r="J73" t="s">
        <v>113</v>
      </c>
      <c r="K73" t="s">
        <v>722</v>
      </c>
      <c r="L73" s="25">
        <v>46.220757820000003</v>
      </c>
      <c r="M73" s="25">
        <v>8.6783963960000001</v>
      </c>
      <c r="N73">
        <v>6</v>
      </c>
      <c r="O73">
        <v>17</v>
      </c>
      <c r="P73">
        <v>10</v>
      </c>
      <c r="Q73">
        <v>2015</v>
      </c>
      <c r="R73" s="9">
        <v>42294</v>
      </c>
      <c r="S73">
        <v>270</v>
      </c>
      <c r="T73">
        <v>1</v>
      </c>
      <c r="U73">
        <v>0</v>
      </c>
      <c r="V73">
        <v>0</v>
      </c>
      <c r="W73">
        <v>0</v>
      </c>
      <c r="X73">
        <f t="shared" si="8"/>
        <v>-102.46249999999999</v>
      </c>
      <c r="Y73">
        <v>-24.2822</v>
      </c>
      <c r="Z73">
        <v>3.8457698059999998</v>
      </c>
      <c r="AA73" s="3">
        <f t="shared" si="11"/>
        <v>10</v>
      </c>
      <c r="AB73" s="3">
        <f t="shared" si="12"/>
        <v>4</v>
      </c>
      <c r="AD73" s="3" t="s">
        <v>2754</v>
      </c>
      <c r="AE73" s="4">
        <v>-77.459999999999994</v>
      </c>
      <c r="AF73" s="4">
        <f t="shared" si="9"/>
        <v>-77.459999999999994</v>
      </c>
      <c r="AG73" s="1">
        <v>-100.3</v>
      </c>
      <c r="AH73" s="2">
        <v>-102.46</v>
      </c>
      <c r="AI73"/>
      <c r="AJ73" s="3">
        <f t="shared" si="10"/>
        <v>8</v>
      </c>
      <c r="AK73" s="3" t="s">
        <v>2709</v>
      </c>
      <c r="AL73">
        <v>8</v>
      </c>
      <c r="AM73" t="s">
        <v>15</v>
      </c>
    </row>
    <row r="74" spans="1:39" ht="15" hidden="1" thickTop="1" x14ac:dyDescent="0.3">
      <c r="A74" s="51" t="s">
        <v>596</v>
      </c>
      <c r="B74" s="54" t="s">
        <v>597</v>
      </c>
      <c r="C74" s="51" t="s">
        <v>2765</v>
      </c>
      <c r="D74" s="53">
        <v>1</v>
      </c>
      <c r="E74" s="53">
        <v>0</v>
      </c>
      <c r="F74" s="51" t="s">
        <v>2744</v>
      </c>
      <c r="G74" s="51" t="s">
        <v>2695</v>
      </c>
      <c r="H74" s="25" t="str">
        <f t="shared" si="7"/>
        <v>jgd</v>
      </c>
      <c r="I74" t="s">
        <v>72</v>
      </c>
      <c r="J74" t="s">
        <v>579</v>
      </c>
      <c r="K74" t="s">
        <v>598</v>
      </c>
      <c r="L74" s="25">
        <v>46.204610350000003</v>
      </c>
      <c r="M74" s="25">
        <v>8.5493222620000004</v>
      </c>
      <c r="N74">
        <v>6</v>
      </c>
      <c r="O74">
        <v>28</v>
      </c>
      <c r="P74">
        <v>10</v>
      </c>
      <c r="Q74">
        <v>2014</v>
      </c>
      <c r="R74" s="9">
        <v>41940</v>
      </c>
      <c r="S74">
        <v>288</v>
      </c>
      <c r="T74">
        <v>1</v>
      </c>
      <c r="U74">
        <v>0</v>
      </c>
      <c r="V74">
        <v>0</v>
      </c>
      <c r="W74">
        <v>0</v>
      </c>
      <c r="X74">
        <f t="shared" si="8"/>
        <v>-102.325</v>
      </c>
      <c r="Y74">
        <v>-22.810749999999999</v>
      </c>
      <c r="Z74">
        <v>3.4851814609999998</v>
      </c>
      <c r="AA74" s="3">
        <f t="shared" si="11"/>
        <v>10</v>
      </c>
      <c r="AB74" s="3">
        <f t="shared" si="12"/>
        <v>3</v>
      </c>
      <c r="AD74" s="3" t="s">
        <v>2754</v>
      </c>
      <c r="AE74" s="4">
        <v>-77.349999999999994</v>
      </c>
      <c r="AF74" s="4">
        <f t="shared" si="9"/>
        <v>-77.349999999999994</v>
      </c>
      <c r="AG74" s="1">
        <v>-100.2</v>
      </c>
      <c r="AH74" s="2">
        <v>-102.32</v>
      </c>
      <c r="AI74"/>
      <c r="AJ74" s="3">
        <f t="shared" si="10"/>
        <v>8</v>
      </c>
      <c r="AK74" s="3" t="s">
        <v>2709</v>
      </c>
      <c r="AL74">
        <v>8</v>
      </c>
      <c r="AM74" t="s">
        <v>15</v>
      </c>
    </row>
    <row r="75" spans="1:39" ht="15" hidden="1" thickTop="1" x14ac:dyDescent="0.3">
      <c r="A75" s="51" t="s">
        <v>236</v>
      </c>
      <c r="B75" s="54" t="s">
        <v>237</v>
      </c>
      <c r="C75" s="51" t="s">
        <v>2765</v>
      </c>
      <c r="D75" s="53">
        <v>1</v>
      </c>
      <c r="E75" s="53">
        <v>0</v>
      </c>
      <c r="F75" s="51" t="s">
        <v>2744</v>
      </c>
      <c r="G75" s="51" t="s">
        <v>2695</v>
      </c>
      <c r="H75" s="25" t="str">
        <f t="shared" si="7"/>
        <v>jgd</v>
      </c>
      <c r="I75" t="s">
        <v>72</v>
      </c>
      <c r="J75" t="s">
        <v>238</v>
      </c>
      <c r="K75" t="s">
        <v>239</v>
      </c>
      <c r="L75" s="25">
        <v>46.201152870000001</v>
      </c>
      <c r="M75" s="25">
        <v>8.7307107459999997</v>
      </c>
      <c r="N75">
        <v>6</v>
      </c>
      <c r="O75">
        <v>27</v>
      </c>
      <c r="P75">
        <v>11</v>
      </c>
      <c r="Q75">
        <v>2013</v>
      </c>
      <c r="R75" s="9">
        <v>41605</v>
      </c>
      <c r="S75">
        <v>296</v>
      </c>
      <c r="T75">
        <v>1</v>
      </c>
      <c r="U75">
        <v>0</v>
      </c>
      <c r="V75">
        <v>0</v>
      </c>
      <c r="W75">
        <v>0</v>
      </c>
      <c r="X75">
        <f t="shared" si="8"/>
        <v>-102.2625</v>
      </c>
      <c r="Y75">
        <v>-23.722158929999999</v>
      </c>
      <c r="Z75">
        <v>5.7517205730000001</v>
      </c>
      <c r="AA75" s="3">
        <f t="shared" si="11"/>
        <v>10</v>
      </c>
      <c r="AB75" s="3">
        <f t="shared" si="12"/>
        <v>6</v>
      </c>
      <c r="AD75" s="3" t="s">
        <v>2754</v>
      </c>
      <c r="AE75" s="4">
        <v>-77.3</v>
      </c>
      <c r="AF75" s="4">
        <f t="shared" si="9"/>
        <v>-77.3</v>
      </c>
      <c r="AG75" s="1">
        <v>-100.1</v>
      </c>
      <c r="AH75" s="2">
        <v>-102.27</v>
      </c>
      <c r="AI75"/>
      <c r="AJ75" s="3">
        <f t="shared" si="10"/>
        <v>8</v>
      </c>
      <c r="AK75" s="3" t="s">
        <v>2709</v>
      </c>
      <c r="AL75">
        <v>8</v>
      </c>
      <c r="AM75" t="s">
        <v>15</v>
      </c>
    </row>
    <row r="76" spans="1:39" ht="15" hidden="1" thickTop="1" x14ac:dyDescent="0.3">
      <c r="A76" s="51" t="s">
        <v>224</v>
      </c>
      <c r="B76" s="54" t="s">
        <v>225</v>
      </c>
      <c r="C76" s="51" t="s">
        <v>2765</v>
      </c>
      <c r="D76" s="53">
        <v>1</v>
      </c>
      <c r="E76" s="53">
        <v>0</v>
      </c>
      <c r="F76" s="51" t="s">
        <v>2744</v>
      </c>
      <c r="G76" s="51" t="s">
        <v>2695</v>
      </c>
      <c r="H76" s="25" t="str">
        <f t="shared" si="7"/>
        <v>jgd</v>
      </c>
      <c r="I76" t="s">
        <v>72</v>
      </c>
      <c r="J76" t="s">
        <v>226</v>
      </c>
      <c r="K76" t="s">
        <v>227</v>
      </c>
      <c r="L76" s="25">
        <v>46.212364700000002</v>
      </c>
      <c r="M76" s="25">
        <v>8.5621285260000004</v>
      </c>
      <c r="N76">
        <v>5</v>
      </c>
      <c r="O76">
        <v>9</v>
      </c>
      <c r="P76">
        <v>11</v>
      </c>
      <c r="Q76">
        <v>2013</v>
      </c>
      <c r="R76" s="9">
        <v>41587</v>
      </c>
      <c r="S76">
        <v>301</v>
      </c>
      <c r="T76">
        <v>1</v>
      </c>
      <c r="U76">
        <v>0</v>
      </c>
      <c r="V76">
        <v>0</v>
      </c>
      <c r="W76">
        <v>0</v>
      </c>
      <c r="X76">
        <f t="shared" si="8"/>
        <v>-102.1875</v>
      </c>
      <c r="Y76">
        <v>-22.33277837</v>
      </c>
      <c r="Z76">
        <v>6.2600288869999998</v>
      </c>
      <c r="AA76" s="3">
        <f t="shared" si="11"/>
        <v>10</v>
      </c>
      <c r="AB76" s="3">
        <f t="shared" si="12"/>
        <v>6</v>
      </c>
      <c r="AD76" s="3" t="s">
        <v>2754</v>
      </c>
      <c r="AE76" s="4">
        <v>-77.239999999999995</v>
      </c>
      <c r="AF76" s="4">
        <f t="shared" si="9"/>
        <v>-77.239999999999995</v>
      </c>
      <c r="AG76" s="1">
        <v>-100</v>
      </c>
      <c r="AH76" s="2">
        <v>-102.19</v>
      </c>
      <c r="AI76"/>
      <c r="AJ76" s="3">
        <f t="shared" si="10"/>
        <v>8</v>
      </c>
      <c r="AK76" s="3" t="s">
        <v>2709</v>
      </c>
      <c r="AL76">
        <v>8</v>
      </c>
      <c r="AM76" t="s">
        <v>15</v>
      </c>
    </row>
    <row r="77" spans="1:39" ht="15" hidden="1" thickTop="1" x14ac:dyDescent="0.3">
      <c r="A77" s="51" t="s">
        <v>2511</v>
      </c>
      <c r="B77" s="54" t="s">
        <v>2512</v>
      </c>
      <c r="C77" s="51" t="s">
        <v>2765</v>
      </c>
      <c r="D77" s="53">
        <v>1</v>
      </c>
      <c r="E77" s="53">
        <v>0</v>
      </c>
      <c r="F77" s="51" t="s">
        <v>2744</v>
      </c>
      <c r="G77" s="51" t="s">
        <v>2695</v>
      </c>
      <c r="H77" s="25" t="str">
        <f t="shared" si="7"/>
        <v>jgd</v>
      </c>
      <c r="I77" t="s">
        <v>13</v>
      </c>
      <c r="J77" t="s">
        <v>2513</v>
      </c>
      <c r="K77" t="s">
        <v>2510</v>
      </c>
      <c r="L77" s="25">
        <v>47.07938454</v>
      </c>
      <c r="M77" s="25">
        <v>6.7487039400000004</v>
      </c>
      <c r="N77">
        <v>5</v>
      </c>
      <c r="O77">
        <v>9</v>
      </c>
      <c r="P77">
        <v>11</v>
      </c>
      <c r="Q77">
        <v>2017</v>
      </c>
      <c r="R77" s="9">
        <v>43048</v>
      </c>
      <c r="S77">
        <v>396</v>
      </c>
      <c r="T77">
        <v>1</v>
      </c>
      <c r="U77">
        <v>0</v>
      </c>
      <c r="V77">
        <v>0</v>
      </c>
      <c r="W77">
        <v>0</v>
      </c>
      <c r="X77" s="57">
        <f t="shared" si="8"/>
        <v>-102.16550112500001</v>
      </c>
      <c r="Y77" t="s">
        <v>16</v>
      </c>
      <c r="Z77">
        <v>4.5856357570000004</v>
      </c>
      <c r="AA77" s="3">
        <f t="shared" si="11"/>
        <v>10</v>
      </c>
      <c r="AB77" s="3">
        <f t="shared" si="12"/>
        <v>5</v>
      </c>
      <c r="AD77" s="3" t="s">
        <v>2750</v>
      </c>
      <c r="AE77" s="4">
        <v>-77.222400899999997</v>
      </c>
      <c r="AF77" s="4">
        <f t="shared" si="9"/>
        <v>-77.222400899999997</v>
      </c>
      <c r="AG77" s="60" t="s">
        <v>16</v>
      </c>
      <c r="AH77" s="61" t="s">
        <v>16</v>
      </c>
      <c r="AJ77" s="3">
        <f t="shared" si="10"/>
        <v>8</v>
      </c>
      <c r="AK77" s="3" t="s">
        <v>2709</v>
      </c>
      <c r="AL77">
        <v>8</v>
      </c>
      <c r="AM77" t="s">
        <v>15</v>
      </c>
    </row>
    <row r="78" spans="1:39" ht="15" hidden="1" thickTop="1" x14ac:dyDescent="0.3">
      <c r="A78" s="51" t="s">
        <v>157</v>
      </c>
      <c r="B78" s="54" t="s">
        <v>158</v>
      </c>
      <c r="C78" s="51" t="s">
        <v>2765</v>
      </c>
      <c r="D78" s="53">
        <v>1</v>
      </c>
      <c r="E78" s="53">
        <v>0</v>
      </c>
      <c r="F78" s="51" t="s">
        <v>2744</v>
      </c>
      <c r="G78" s="51" t="s">
        <v>2695</v>
      </c>
      <c r="H78" s="25" t="str">
        <f t="shared" si="7"/>
        <v>jgd</v>
      </c>
      <c r="I78" t="s">
        <v>72</v>
      </c>
      <c r="J78" t="s">
        <v>155</v>
      </c>
      <c r="K78" t="s">
        <v>159</v>
      </c>
      <c r="L78" s="25">
        <v>46.082340070000001</v>
      </c>
      <c r="M78" s="25">
        <v>8.8451775159999997</v>
      </c>
      <c r="N78">
        <v>4</v>
      </c>
      <c r="O78">
        <v>5</v>
      </c>
      <c r="P78">
        <v>11</v>
      </c>
      <c r="Q78">
        <v>2013</v>
      </c>
      <c r="R78" s="9">
        <v>41583</v>
      </c>
      <c r="S78">
        <v>302</v>
      </c>
      <c r="T78">
        <v>1</v>
      </c>
      <c r="U78">
        <v>0</v>
      </c>
      <c r="V78">
        <v>0</v>
      </c>
      <c r="W78">
        <v>0</v>
      </c>
      <c r="X78">
        <f t="shared" si="8"/>
        <v>-101.96250000000001</v>
      </c>
      <c r="Y78">
        <v>-59.999922689999998</v>
      </c>
      <c r="Z78">
        <v>5.1781479030000002</v>
      </c>
      <c r="AA78" s="3">
        <f t="shared" si="11"/>
        <v>10</v>
      </c>
      <c r="AB78" s="3">
        <f t="shared" si="12"/>
        <v>5</v>
      </c>
      <c r="AD78" s="3" t="s">
        <v>2754</v>
      </c>
      <c r="AE78" s="4">
        <v>-77.06</v>
      </c>
      <c r="AF78" s="4">
        <f t="shared" si="9"/>
        <v>-77.06</v>
      </c>
      <c r="AG78" s="1">
        <v>-99.9</v>
      </c>
      <c r="AH78" s="2">
        <v>-101.97</v>
      </c>
      <c r="AI78"/>
      <c r="AJ78" s="3">
        <f t="shared" si="10"/>
        <v>8</v>
      </c>
      <c r="AK78" s="3" t="s">
        <v>2709</v>
      </c>
      <c r="AL78">
        <v>8</v>
      </c>
      <c r="AM78" t="s">
        <v>15</v>
      </c>
    </row>
    <row r="79" spans="1:39" ht="15" hidden="1" thickTop="1" x14ac:dyDescent="0.3">
      <c r="A79" s="51" t="s">
        <v>1890</v>
      </c>
      <c r="B79" s="54" t="s">
        <v>1090</v>
      </c>
      <c r="C79" s="51" t="s">
        <v>2765</v>
      </c>
      <c r="D79" s="53">
        <v>1</v>
      </c>
      <c r="E79" s="53">
        <v>0</v>
      </c>
      <c r="F79" s="51" t="s">
        <v>2744</v>
      </c>
      <c r="G79" s="51" t="s">
        <v>2695</v>
      </c>
      <c r="H79" s="25" t="str">
        <f t="shared" si="7"/>
        <v>jgd</v>
      </c>
      <c r="I79" t="s">
        <v>13</v>
      </c>
      <c r="J79" t="s">
        <v>21</v>
      </c>
      <c r="K79" t="s">
        <v>1868</v>
      </c>
      <c r="L79" s="25">
        <v>46.972962410000001</v>
      </c>
      <c r="M79" s="25">
        <v>6.6592726569999998</v>
      </c>
      <c r="N79">
        <v>6</v>
      </c>
      <c r="O79">
        <v>22</v>
      </c>
      <c r="P79">
        <v>10</v>
      </c>
      <c r="Q79">
        <v>2016</v>
      </c>
      <c r="R79" s="9">
        <v>42665</v>
      </c>
      <c r="S79">
        <v>307</v>
      </c>
      <c r="T79">
        <v>1</v>
      </c>
      <c r="U79">
        <v>0</v>
      </c>
      <c r="V79">
        <v>0</v>
      </c>
      <c r="W79">
        <v>0</v>
      </c>
      <c r="X79" s="57">
        <f t="shared" si="8"/>
        <v>-101.916284625</v>
      </c>
      <c r="Y79">
        <v>-24.56</v>
      </c>
      <c r="Z79">
        <v>7.58</v>
      </c>
      <c r="AA79" s="3">
        <f t="shared" si="11"/>
        <v>10</v>
      </c>
      <c r="AB79" s="3">
        <f t="shared" si="12"/>
        <v>8</v>
      </c>
      <c r="AD79" s="3" t="s">
        <v>2750</v>
      </c>
      <c r="AE79" s="4">
        <v>-77.0230277</v>
      </c>
      <c r="AF79" s="4">
        <f t="shared" si="9"/>
        <v>-77.0230277</v>
      </c>
      <c r="AG79" s="60" t="s">
        <v>16</v>
      </c>
      <c r="AH79" s="61" t="s">
        <v>16</v>
      </c>
      <c r="AJ79" s="3">
        <f t="shared" si="10"/>
        <v>8</v>
      </c>
      <c r="AK79" s="3" t="s">
        <v>2709</v>
      </c>
      <c r="AL79">
        <v>8</v>
      </c>
      <c r="AM79" t="s">
        <v>15</v>
      </c>
    </row>
    <row r="80" spans="1:39" ht="15" hidden="1" thickTop="1" x14ac:dyDescent="0.3">
      <c r="A80" s="51" t="s">
        <v>228</v>
      </c>
      <c r="B80" s="54" t="s">
        <v>229</v>
      </c>
      <c r="C80" s="51" t="s">
        <v>2765</v>
      </c>
      <c r="D80" s="53">
        <v>1</v>
      </c>
      <c r="E80" s="53">
        <v>0</v>
      </c>
      <c r="F80" s="51" t="s">
        <v>2744</v>
      </c>
      <c r="G80" s="51" t="s">
        <v>2695</v>
      </c>
      <c r="H80" s="25" t="str">
        <f t="shared" si="7"/>
        <v>jgd</v>
      </c>
      <c r="I80" t="s">
        <v>72</v>
      </c>
      <c r="J80" t="s">
        <v>230</v>
      </c>
      <c r="K80" t="s">
        <v>231</v>
      </c>
      <c r="L80" s="25">
        <v>46.215114479999997</v>
      </c>
      <c r="M80" s="25">
        <v>8.5570012910000006</v>
      </c>
      <c r="N80">
        <v>5</v>
      </c>
      <c r="O80">
        <v>9</v>
      </c>
      <c r="P80">
        <v>11</v>
      </c>
      <c r="Q80">
        <v>2013</v>
      </c>
      <c r="R80" s="9">
        <v>41587</v>
      </c>
      <c r="S80">
        <v>336</v>
      </c>
      <c r="T80">
        <v>1</v>
      </c>
      <c r="U80">
        <v>0</v>
      </c>
      <c r="V80">
        <v>0</v>
      </c>
      <c r="W80">
        <v>0</v>
      </c>
      <c r="X80">
        <f t="shared" si="8"/>
        <v>-101.9</v>
      </c>
      <c r="Y80">
        <v>-23.1891715</v>
      </c>
      <c r="Z80">
        <v>8.1884790610000007</v>
      </c>
      <c r="AA80" s="3">
        <f t="shared" si="11"/>
        <v>10</v>
      </c>
      <c r="AB80" s="3">
        <f t="shared" si="12"/>
        <v>8</v>
      </c>
      <c r="AD80" s="3" t="s">
        <v>2754</v>
      </c>
      <c r="AE80" s="4">
        <v>-77.010000000000005</v>
      </c>
      <c r="AF80" s="4">
        <f t="shared" si="9"/>
        <v>-77.010000000000005</v>
      </c>
      <c r="AG80" s="1">
        <v>-99.8</v>
      </c>
      <c r="AH80" s="2">
        <v>-101.9</v>
      </c>
      <c r="AI80"/>
      <c r="AJ80" s="3">
        <f t="shared" si="10"/>
        <v>8</v>
      </c>
      <c r="AK80" s="3" t="s">
        <v>2709</v>
      </c>
      <c r="AL80">
        <v>8</v>
      </c>
      <c r="AM80" t="s">
        <v>15</v>
      </c>
    </row>
    <row r="81" spans="1:39" ht="15" hidden="1" thickTop="1" x14ac:dyDescent="0.3">
      <c r="A81" s="51" t="s">
        <v>184</v>
      </c>
      <c r="B81" s="54" t="s">
        <v>185</v>
      </c>
      <c r="C81" s="51" t="s">
        <v>2765</v>
      </c>
      <c r="D81" s="53">
        <v>1</v>
      </c>
      <c r="E81" s="53">
        <v>0</v>
      </c>
      <c r="F81" s="51" t="s">
        <v>2744</v>
      </c>
      <c r="G81" s="51" t="s">
        <v>2695</v>
      </c>
      <c r="H81" s="25" t="str">
        <f t="shared" si="7"/>
        <v>jgd</v>
      </c>
      <c r="I81" t="s">
        <v>72</v>
      </c>
      <c r="J81" t="s">
        <v>180</v>
      </c>
      <c r="K81" t="s">
        <v>186</v>
      </c>
      <c r="L81" s="25">
        <v>46.100165769999997</v>
      </c>
      <c r="M81" s="25">
        <v>8.9620377209999997</v>
      </c>
      <c r="N81">
        <v>5</v>
      </c>
      <c r="O81">
        <v>13</v>
      </c>
      <c r="P81">
        <v>11</v>
      </c>
      <c r="Q81">
        <v>2013</v>
      </c>
      <c r="R81" s="9">
        <v>41591</v>
      </c>
      <c r="S81">
        <v>277</v>
      </c>
      <c r="T81">
        <v>1</v>
      </c>
      <c r="U81">
        <v>0</v>
      </c>
      <c r="V81">
        <v>0</v>
      </c>
      <c r="W81">
        <v>0</v>
      </c>
      <c r="X81">
        <f t="shared" si="8"/>
        <v>-101.77499999999999</v>
      </c>
      <c r="Y81">
        <v>-19.182827320000001</v>
      </c>
      <c r="Z81">
        <v>4.8968051030000002</v>
      </c>
      <c r="AA81" s="3">
        <f t="shared" si="11"/>
        <v>10</v>
      </c>
      <c r="AB81" s="3">
        <f t="shared" si="12"/>
        <v>5</v>
      </c>
      <c r="AD81" s="3" t="s">
        <v>2754</v>
      </c>
      <c r="AE81" s="4">
        <v>-76.91</v>
      </c>
      <c r="AF81" s="4">
        <f t="shared" si="9"/>
        <v>-76.91</v>
      </c>
      <c r="AG81" s="1">
        <v>-99.7</v>
      </c>
      <c r="AH81" s="2">
        <v>-101.78</v>
      </c>
      <c r="AI81"/>
      <c r="AJ81" s="3">
        <f t="shared" si="10"/>
        <v>8</v>
      </c>
      <c r="AK81" s="3" t="s">
        <v>2709</v>
      </c>
      <c r="AL81">
        <v>8</v>
      </c>
      <c r="AM81" t="s">
        <v>15</v>
      </c>
    </row>
    <row r="82" spans="1:39" ht="15" hidden="1" thickTop="1" x14ac:dyDescent="0.3">
      <c r="A82" s="51" t="s">
        <v>240</v>
      </c>
      <c r="B82" s="54" t="s">
        <v>241</v>
      </c>
      <c r="C82" s="51" t="s">
        <v>2765</v>
      </c>
      <c r="D82" s="53">
        <v>1</v>
      </c>
      <c r="E82" s="53">
        <v>0</v>
      </c>
      <c r="F82" s="51" t="s">
        <v>2744</v>
      </c>
      <c r="G82" s="51" t="s">
        <v>2695</v>
      </c>
      <c r="H82" s="25" t="str">
        <f t="shared" si="7"/>
        <v>jgd</v>
      </c>
      <c r="I82" t="s">
        <v>72</v>
      </c>
      <c r="J82" t="s">
        <v>242</v>
      </c>
      <c r="K82" t="s">
        <v>243</v>
      </c>
      <c r="L82" s="25">
        <v>46.191036449999999</v>
      </c>
      <c r="M82" s="25">
        <v>8.6355020220000007</v>
      </c>
      <c r="N82">
        <v>6</v>
      </c>
      <c r="O82">
        <v>5</v>
      </c>
      <c r="P82">
        <v>11</v>
      </c>
      <c r="Q82">
        <v>2013</v>
      </c>
      <c r="R82" s="9">
        <v>41583</v>
      </c>
      <c r="S82">
        <v>296</v>
      </c>
      <c r="T82">
        <v>1</v>
      </c>
      <c r="U82">
        <v>0</v>
      </c>
      <c r="V82">
        <v>0</v>
      </c>
      <c r="W82">
        <v>0</v>
      </c>
      <c r="X82">
        <f t="shared" si="8"/>
        <v>-101.53750000000001</v>
      </c>
      <c r="Y82">
        <v>-48.146317459999999</v>
      </c>
      <c r="Z82">
        <v>5.7862855829999997</v>
      </c>
      <c r="AA82" s="3">
        <f t="shared" si="11"/>
        <v>10</v>
      </c>
      <c r="AB82" s="3">
        <f t="shared" si="12"/>
        <v>6</v>
      </c>
      <c r="AD82" s="3" t="s">
        <v>2754</v>
      </c>
      <c r="AE82" s="4">
        <v>-76.72</v>
      </c>
      <c r="AF82" s="4">
        <f t="shared" si="9"/>
        <v>-76.72</v>
      </c>
      <c r="AG82" s="1">
        <v>-99.5</v>
      </c>
      <c r="AH82" s="2">
        <v>-101.54</v>
      </c>
      <c r="AI82"/>
      <c r="AJ82" s="3">
        <f t="shared" si="10"/>
        <v>8</v>
      </c>
      <c r="AK82" s="3" t="s">
        <v>2709</v>
      </c>
      <c r="AL82">
        <v>8</v>
      </c>
      <c r="AM82" t="s">
        <v>15</v>
      </c>
    </row>
    <row r="83" spans="1:39" ht="15" hidden="1" thickTop="1" x14ac:dyDescent="0.3">
      <c r="A83" s="51" t="s">
        <v>2578</v>
      </c>
      <c r="B83" s="54" t="s">
        <v>2579</v>
      </c>
      <c r="C83" s="51" t="s">
        <v>2765</v>
      </c>
      <c r="D83" s="53">
        <v>1</v>
      </c>
      <c r="E83" s="53">
        <v>0</v>
      </c>
      <c r="F83" s="51" t="s">
        <v>2744</v>
      </c>
      <c r="G83" s="51" t="s">
        <v>2695</v>
      </c>
      <c r="H83" s="25" t="str">
        <f t="shared" si="7"/>
        <v>jgd</v>
      </c>
      <c r="I83" t="s">
        <v>385</v>
      </c>
      <c r="J83" t="s">
        <v>2576</v>
      </c>
      <c r="K83" t="s">
        <v>2577</v>
      </c>
      <c r="L83" s="25">
        <v>46.542534879999998</v>
      </c>
      <c r="M83" s="25">
        <v>6.4099924460000004</v>
      </c>
      <c r="N83">
        <v>4</v>
      </c>
      <c r="O83">
        <v>21</v>
      </c>
      <c r="P83">
        <v>11</v>
      </c>
      <c r="Q83">
        <v>2017</v>
      </c>
      <c r="R83" s="9">
        <v>43060</v>
      </c>
      <c r="S83">
        <v>362</v>
      </c>
      <c r="T83">
        <v>1</v>
      </c>
      <c r="U83">
        <v>0</v>
      </c>
      <c r="V83">
        <v>0</v>
      </c>
      <c r="W83">
        <v>0</v>
      </c>
      <c r="X83" s="57">
        <f t="shared" si="8"/>
        <v>-100.92272075</v>
      </c>
      <c r="Y83" t="s">
        <v>16</v>
      </c>
      <c r="Z83">
        <v>8.0096764</v>
      </c>
      <c r="AA83" s="3">
        <f t="shared" si="11"/>
        <v>10</v>
      </c>
      <c r="AB83" s="3">
        <f t="shared" si="12"/>
        <v>8</v>
      </c>
      <c r="AD83" s="3" t="s">
        <v>2751</v>
      </c>
      <c r="AE83" s="4">
        <v>-76.228176599999998</v>
      </c>
      <c r="AF83" s="4">
        <f t="shared" si="9"/>
        <v>-76.228176599999998</v>
      </c>
      <c r="AG83" s="60" t="s">
        <v>16</v>
      </c>
      <c r="AH83" s="61" t="s">
        <v>16</v>
      </c>
      <c r="AJ83" s="3">
        <f t="shared" si="10"/>
        <v>8</v>
      </c>
      <c r="AK83" s="3" t="s">
        <v>2709</v>
      </c>
      <c r="AL83">
        <v>8</v>
      </c>
      <c r="AM83" t="s">
        <v>15</v>
      </c>
    </row>
    <row r="84" spans="1:39" ht="15" hidden="1" thickTop="1" x14ac:dyDescent="0.3">
      <c r="A84" s="51" t="s">
        <v>111</v>
      </c>
      <c r="B84" s="54" t="s">
        <v>112</v>
      </c>
      <c r="C84" s="51" t="s">
        <v>2765</v>
      </c>
      <c r="D84" s="53">
        <v>1</v>
      </c>
      <c r="E84" s="53">
        <v>0</v>
      </c>
      <c r="F84" s="51" t="s">
        <v>2744</v>
      </c>
      <c r="G84" s="51" t="s">
        <v>2695</v>
      </c>
      <c r="H84" s="25" t="str">
        <f t="shared" si="7"/>
        <v>jgd</v>
      </c>
      <c r="I84" t="s">
        <v>72</v>
      </c>
      <c r="J84" t="s">
        <v>113</v>
      </c>
      <c r="K84" t="s">
        <v>114</v>
      </c>
      <c r="L84" s="25">
        <v>46.20804768</v>
      </c>
      <c r="M84" s="25">
        <v>8.6904436300000008</v>
      </c>
      <c r="N84">
        <v>5</v>
      </c>
      <c r="O84">
        <v>12</v>
      </c>
      <c r="P84">
        <v>11</v>
      </c>
      <c r="Q84">
        <v>2013</v>
      </c>
      <c r="R84" s="9">
        <v>41590</v>
      </c>
      <c r="S84">
        <v>298</v>
      </c>
      <c r="T84">
        <v>1</v>
      </c>
      <c r="U84">
        <v>0</v>
      </c>
      <c r="V84">
        <v>0</v>
      </c>
      <c r="W84">
        <v>0</v>
      </c>
      <c r="X84">
        <f t="shared" si="8"/>
        <v>-100.55000000000001</v>
      </c>
      <c r="Y84">
        <v>-39.129145989999998</v>
      </c>
      <c r="Z84">
        <v>3.324742144</v>
      </c>
      <c r="AA84" s="3">
        <f t="shared" si="11"/>
        <v>10</v>
      </c>
      <c r="AB84" s="3">
        <f t="shared" si="12"/>
        <v>3</v>
      </c>
      <c r="AD84" s="3" t="s">
        <v>2754</v>
      </c>
      <c r="AE84" s="4">
        <v>-75.930000000000007</v>
      </c>
      <c r="AF84" s="4">
        <f t="shared" si="9"/>
        <v>-75.930000000000007</v>
      </c>
      <c r="AG84" s="1">
        <v>-98.7</v>
      </c>
      <c r="AH84" s="2">
        <v>-100.55</v>
      </c>
      <c r="AI84"/>
      <c r="AJ84" s="3">
        <f t="shared" si="10"/>
        <v>8</v>
      </c>
      <c r="AK84" s="3" t="s">
        <v>2709</v>
      </c>
      <c r="AL84">
        <v>8</v>
      </c>
      <c r="AM84" t="s">
        <v>15</v>
      </c>
    </row>
    <row r="85" spans="1:39" ht="15" hidden="1" thickTop="1" x14ac:dyDescent="0.3">
      <c r="A85" s="51" t="s">
        <v>2727</v>
      </c>
      <c r="B85" s="54" t="s">
        <v>331</v>
      </c>
      <c r="C85" s="51" t="s">
        <v>2765</v>
      </c>
      <c r="D85" s="53">
        <v>1</v>
      </c>
      <c r="E85" s="53">
        <v>0</v>
      </c>
      <c r="F85" s="51" t="s">
        <v>2744</v>
      </c>
      <c r="G85" s="51" t="s">
        <v>2695</v>
      </c>
      <c r="H85" s="25" t="str">
        <f t="shared" si="7"/>
        <v>jgd</v>
      </c>
      <c r="I85" t="s">
        <v>72</v>
      </c>
      <c r="J85" t="s">
        <v>113</v>
      </c>
      <c r="K85" t="s">
        <v>332</v>
      </c>
      <c r="L85" s="25">
        <v>46.215523159999996</v>
      </c>
      <c r="M85" s="25">
        <v>8.6592516669999995</v>
      </c>
      <c r="N85">
        <v>6</v>
      </c>
      <c r="O85">
        <v>1</v>
      </c>
      <c r="P85">
        <v>11</v>
      </c>
      <c r="Q85">
        <v>2014</v>
      </c>
      <c r="R85" s="9">
        <v>41944</v>
      </c>
      <c r="S85">
        <v>286</v>
      </c>
      <c r="T85">
        <v>1</v>
      </c>
      <c r="U85">
        <v>0</v>
      </c>
      <c r="V85">
        <v>0</v>
      </c>
      <c r="W85">
        <v>0</v>
      </c>
      <c r="X85">
        <f t="shared" si="8"/>
        <v>-100.47500000000001</v>
      </c>
      <c r="Y85">
        <v>-23.9758</v>
      </c>
      <c r="Z85">
        <v>6.7145772929999996</v>
      </c>
      <c r="AA85" s="3">
        <f t="shared" si="11"/>
        <v>10</v>
      </c>
      <c r="AB85" s="3">
        <f t="shared" si="12"/>
        <v>7</v>
      </c>
      <c r="AD85" s="3" t="s">
        <v>2754</v>
      </c>
      <c r="AE85" s="4">
        <v>-75.87</v>
      </c>
      <c r="AF85" s="4">
        <f t="shared" si="9"/>
        <v>-75.87</v>
      </c>
      <c r="AG85" s="1">
        <v>-98.6</v>
      </c>
      <c r="AH85" s="2">
        <v>-100.47</v>
      </c>
      <c r="AI85"/>
      <c r="AJ85" s="3">
        <f t="shared" si="10"/>
        <v>8</v>
      </c>
      <c r="AK85" s="3" t="s">
        <v>2709</v>
      </c>
      <c r="AL85">
        <v>8</v>
      </c>
      <c r="AM85" t="s">
        <v>15</v>
      </c>
    </row>
    <row r="86" spans="1:39" ht="15" hidden="1" thickTop="1" x14ac:dyDescent="0.3">
      <c r="A86" s="51" t="s">
        <v>2731</v>
      </c>
      <c r="B86" s="54" t="s">
        <v>578</v>
      </c>
      <c r="C86" s="51" t="s">
        <v>2765</v>
      </c>
      <c r="D86" s="53">
        <v>1</v>
      </c>
      <c r="E86" s="53">
        <v>0</v>
      </c>
      <c r="F86" s="51" t="s">
        <v>2744</v>
      </c>
      <c r="G86" s="51" t="s">
        <v>2695</v>
      </c>
      <c r="H86" s="25" t="str">
        <f t="shared" si="7"/>
        <v>jgd</v>
      </c>
      <c r="I86" t="s">
        <v>72</v>
      </c>
      <c r="J86" t="s">
        <v>579</v>
      </c>
      <c r="K86" t="s">
        <v>580</v>
      </c>
      <c r="L86" s="25">
        <v>46.217793520000001</v>
      </c>
      <c r="M86" s="25">
        <v>8.6130847750000008</v>
      </c>
      <c r="N86">
        <v>5</v>
      </c>
      <c r="O86">
        <v>16</v>
      </c>
      <c r="P86">
        <v>11</v>
      </c>
      <c r="Q86">
        <v>2014</v>
      </c>
      <c r="R86" s="9">
        <v>41959</v>
      </c>
      <c r="S86">
        <v>340</v>
      </c>
      <c r="T86">
        <v>1</v>
      </c>
      <c r="U86">
        <v>0</v>
      </c>
      <c r="V86">
        <v>0</v>
      </c>
      <c r="W86">
        <v>0</v>
      </c>
      <c r="X86">
        <f t="shared" si="8"/>
        <v>-100.43750000000001</v>
      </c>
      <c r="Y86">
        <v>-24.10575</v>
      </c>
      <c r="Z86">
        <v>8.1267451620000006</v>
      </c>
      <c r="AA86" s="3">
        <f t="shared" si="11"/>
        <v>10</v>
      </c>
      <c r="AB86" s="3">
        <f t="shared" si="12"/>
        <v>8</v>
      </c>
      <c r="AD86" s="3" t="s">
        <v>2754</v>
      </c>
      <c r="AE86" s="4">
        <v>-75.84</v>
      </c>
      <c r="AF86" s="4">
        <f t="shared" si="9"/>
        <v>-75.84</v>
      </c>
      <c r="AG86" s="1">
        <v>-98.6</v>
      </c>
      <c r="AH86" s="2">
        <v>-100.44</v>
      </c>
      <c r="AI86"/>
      <c r="AJ86" s="3">
        <f t="shared" si="10"/>
        <v>8</v>
      </c>
      <c r="AK86" s="3" t="s">
        <v>2709</v>
      </c>
      <c r="AL86">
        <v>8</v>
      </c>
      <c r="AM86" t="s">
        <v>15</v>
      </c>
    </row>
    <row r="87" spans="1:39" ht="15" hidden="1" thickTop="1" x14ac:dyDescent="0.3">
      <c r="A87" s="51" t="s">
        <v>1884</v>
      </c>
      <c r="B87" s="54" t="s">
        <v>1063</v>
      </c>
      <c r="C87" s="51" t="s">
        <v>2765</v>
      </c>
      <c r="D87" s="53">
        <v>1</v>
      </c>
      <c r="E87" s="53">
        <v>0</v>
      </c>
      <c r="F87" s="51" t="s">
        <v>2744</v>
      </c>
      <c r="G87" s="51" t="s">
        <v>2695</v>
      </c>
      <c r="H87" s="25" t="str">
        <f t="shared" si="7"/>
        <v>jgd</v>
      </c>
      <c r="I87" t="s">
        <v>13</v>
      </c>
      <c r="J87" t="s">
        <v>519</v>
      </c>
      <c r="K87" t="s">
        <v>1885</v>
      </c>
      <c r="L87" s="25">
        <v>47.003419059999999</v>
      </c>
      <c r="M87" s="25">
        <v>6.8720212289999996</v>
      </c>
      <c r="N87">
        <v>6</v>
      </c>
      <c r="O87">
        <v>19</v>
      </c>
      <c r="P87">
        <v>11</v>
      </c>
      <c r="Q87">
        <v>2016</v>
      </c>
      <c r="R87" s="9">
        <v>42693</v>
      </c>
      <c r="S87">
        <v>342</v>
      </c>
      <c r="T87">
        <v>1</v>
      </c>
      <c r="U87">
        <v>0</v>
      </c>
      <c r="V87">
        <v>0</v>
      </c>
      <c r="W87">
        <v>0</v>
      </c>
      <c r="X87" s="57">
        <f t="shared" si="8"/>
        <v>-100.17855412500001</v>
      </c>
      <c r="Y87">
        <v>-24.48</v>
      </c>
      <c r="Z87">
        <v>7.63</v>
      </c>
      <c r="AA87" s="3">
        <f t="shared" si="11"/>
        <v>10</v>
      </c>
      <c r="AB87" s="3">
        <f t="shared" si="12"/>
        <v>8</v>
      </c>
      <c r="AD87" s="3" t="s">
        <v>2750</v>
      </c>
      <c r="AE87" s="4">
        <v>-75.632843300000005</v>
      </c>
      <c r="AF87" s="4">
        <f t="shared" si="9"/>
        <v>-75.632843300000005</v>
      </c>
      <c r="AG87" s="60" t="s">
        <v>16</v>
      </c>
      <c r="AH87" s="61" t="s">
        <v>16</v>
      </c>
      <c r="AJ87" s="3">
        <f t="shared" si="10"/>
        <v>8</v>
      </c>
      <c r="AK87" s="3" t="s">
        <v>2709</v>
      </c>
      <c r="AL87">
        <v>8</v>
      </c>
      <c r="AM87" t="s">
        <v>15</v>
      </c>
    </row>
    <row r="88" spans="1:39" ht="15" hidden="1" thickTop="1" x14ac:dyDescent="0.3">
      <c r="A88" s="51" t="s">
        <v>427</v>
      </c>
      <c r="B88" s="54" t="s">
        <v>169</v>
      </c>
      <c r="C88" s="51" t="s">
        <v>2765</v>
      </c>
      <c r="D88" s="53">
        <v>1</v>
      </c>
      <c r="E88" s="53">
        <v>0</v>
      </c>
      <c r="F88" s="51" t="s">
        <v>2744</v>
      </c>
      <c r="G88" s="51" t="s">
        <v>2695</v>
      </c>
      <c r="H88" s="25" t="str">
        <f t="shared" si="7"/>
        <v>jgd</v>
      </c>
      <c r="I88" t="s">
        <v>72</v>
      </c>
      <c r="J88" t="s">
        <v>155</v>
      </c>
      <c r="K88" t="s">
        <v>428</v>
      </c>
      <c r="L88" s="25">
        <v>46.08956749</v>
      </c>
      <c r="M88" s="25">
        <v>8.8427775460000007</v>
      </c>
      <c r="N88">
        <v>4</v>
      </c>
      <c r="O88">
        <v>26</v>
      </c>
      <c r="P88">
        <v>10</v>
      </c>
      <c r="Q88">
        <v>2014</v>
      </c>
      <c r="R88" s="9">
        <v>41938</v>
      </c>
      <c r="S88">
        <v>305</v>
      </c>
      <c r="T88">
        <v>1</v>
      </c>
      <c r="U88">
        <v>0</v>
      </c>
      <c r="V88">
        <v>0</v>
      </c>
      <c r="W88">
        <v>0</v>
      </c>
      <c r="X88">
        <f t="shared" si="8"/>
        <v>-99.875</v>
      </c>
      <c r="Y88">
        <v>-23.641749999999998</v>
      </c>
      <c r="Z88">
        <v>7.6598259329999996</v>
      </c>
      <c r="AA88" s="3">
        <f t="shared" si="11"/>
        <v>10</v>
      </c>
      <c r="AB88" s="3">
        <f t="shared" si="12"/>
        <v>8</v>
      </c>
      <c r="AD88" s="3" t="s">
        <v>2754</v>
      </c>
      <c r="AE88" s="4">
        <v>-75.39</v>
      </c>
      <c r="AF88" s="4">
        <f t="shared" si="9"/>
        <v>-75.39</v>
      </c>
      <c r="AG88" s="1">
        <v>-98.2</v>
      </c>
      <c r="AH88" s="2">
        <v>-99.88</v>
      </c>
      <c r="AI88"/>
      <c r="AJ88" s="3">
        <f t="shared" si="10"/>
        <v>8</v>
      </c>
      <c r="AK88" s="3" t="s">
        <v>2709</v>
      </c>
      <c r="AL88">
        <v>8</v>
      </c>
      <c r="AM88" t="s">
        <v>15</v>
      </c>
    </row>
    <row r="89" spans="1:39" ht="15" hidden="1" thickTop="1" x14ac:dyDescent="0.3">
      <c r="A89" s="51" t="s">
        <v>398</v>
      </c>
      <c r="B89" s="54" t="s">
        <v>399</v>
      </c>
      <c r="C89" s="51" t="s">
        <v>2765</v>
      </c>
      <c r="D89" s="53">
        <v>1</v>
      </c>
      <c r="E89" s="53">
        <v>0</v>
      </c>
      <c r="F89" s="51" t="s">
        <v>2744</v>
      </c>
      <c r="G89" s="51" t="s">
        <v>2695</v>
      </c>
      <c r="H89" s="25" t="str">
        <f t="shared" si="7"/>
        <v>jgd</v>
      </c>
      <c r="I89" t="s">
        <v>72</v>
      </c>
      <c r="J89" t="s">
        <v>155</v>
      </c>
      <c r="K89" t="s">
        <v>400</v>
      </c>
      <c r="L89" s="25">
        <v>46.118476729999998</v>
      </c>
      <c r="M89" s="25">
        <v>8.8331713220000001</v>
      </c>
      <c r="N89">
        <v>4</v>
      </c>
      <c r="O89">
        <v>28</v>
      </c>
      <c r="P89">
        <v>10</v>
      </c>
      <c r="Q89">
        <v>2014</v>
      </c>
      <c r="R89" s="9">
        <v>41940</v>
      </c>
      <c r="S89">
        <v>317</v>
      </c>
      <c r="T89">
        <v>1</v>
      </c>
      <c r="U89">
        <v>0</v>
      </c>
      <c r="V89">
        <v>0</v>
      </c>
      <c r="W89">
        <v>0</v>
      </c>
      <c r="X89">
        <f t="shared" si="8"/>
        <v>-99.787499999999994</v>
      </c>
      <c r="Y89">
        <v>-24.062750000000001</v>
      </c>
      <c r="Z89">
        <v>6.7635865040000001</v>
      </c>
      <c r="AA89" s="3">
        <f t="shared" si="11"/>
        <v>10</v>
      </c>
      <c r="AB89" s="3">
        <f t="shared" si="12"/>
        <v>7</v>
      </c>
      <c r="AD89" s="3" t="s">
        <v>2754</v>
      </c>
      <c r="AE89" s="4">
        <v>-75.319999999999993</v>
      </c>
      <c r="AF89" s="4">
        <f t="shared" si="9"/>
        <v>-75.319999999999993</v>
      </c>
      <c r="AG89" s="1">
        <v>-98.1</v>
      </c>
      <c r="AH89" s="2">
        <v>-99.79</v>
      </c>
      <c r="AI89"/>
      <c r="AJ89" s="3">
        <f t="shared" si="10"/>
        <v>8</v>
      </c>
      <c r="AK89" s="3" t="s">
        <v>2709</v>
      </c>
      <c r="AL89">
        <v>8</v>
      </c>
      <c r="AM89" t="s">
        <v>15</v>
      </c>
    </row>
    <row r="90" spans="1:39" ht="15" hidden="1" thickTop="1" x14ac:dyDescent="0.3">
      <c r="A90" s="51" t="s">
        <v>2732</v>
      </c>
      <c r="B90" s="54" t="s">
        <v>581</v>
      </c>
      <c r="C90" s="51" t="s">
        <v>2765</v>
      </c>
      <c r="D90" s="53">
        <v>1</v>
      </c>
      <c r="E90" s="53">
        <v>0</v>
      </c>
      <c r="F90" s="51" t="s">
        <v>2744</v>
      </c>
      <c r="G90" s="51" t="s">
        <v>2695</v>
      </c>
      <c r="H90" s="25" t="str">
        <f t="shared" si="7"/>
        <v>jgd</v>
      </c>
      <c r="I90" t="s">
        <v>72</v>
      </c>
      <c r="J90" t="s">
        <v>242</v>
      </c>
      <c r="K90" t="s">
        <v>582</v>
      </c>
      <c r="L90" s="25">
        <v>46.204301229999999</v>
      </c>
      <c r="M90" s="25">
        <v>8.6419222829999995</v>
      </c>
      <c r="N90">
        <v>6</v>
      </c>
      <c r="O90">
        <v>18</v>
      </c>
      <c r="P90">
        <v>11</v>
      </c>
      <c r="Q90">
        <v>2014</v>
      </c>
      <c r="R90" s="9">
        <v>41961</v>
      </c>
      <c r="S90">
        <v>318</v>
      </c>
      <c r="T90">
        <v>1</v>
      </c>
      <c r="U90">
        <v>0</v>
      </c>
      <c r="V90">
        <v>0</v>
      </c>
      <c r="W90">
        <v>0</v>
      </c>
      <c r="X90">
        <f t="shared" si="8"/>
        <v>-99.737499999999997</v>
      </c>
      <c r="Y90">
        <v>-24.476749999999999</v>
      </c>
      <c r="Z90">
        <v>10.18752087</v>
      </c>
      <c r="AA90" s="3">
        <f t="shared" si="11"/>
        <v>10</v>
      </c>
      <c r="AB90" s="3">
        <f t="shared" si="12"/>
        <v>10</v>
      </c>
      <c r="AD90" s="3" t="s">
        <v>2754</v>
      </c>
      <c r="AE90" s="4">
        <v>-75.28</v>
      </c>
      <c r="AF90" s="4">
        <f t="shared" si="9"/>
        <v>-75.28</v>
      </c>
      <c r="AG90" s="1">
        <v>-98</v>
      </c>
      <c r="AH90" s="2">
        <v>-99.73</v>
      </c>
      <c r="AI90"/>
      <c r="AJ90" s="3">
        <f t="shared" si="10"/>
        <v>8</v>
      </c>
      <c r="AK90" s="3" t="s">
        <v>2709</v>
      </c>
      <c r="AL90">
        <v>8</v>
      </c>
      <c r="AM90" t="s">
        <v>15</v>
      </c>
    </row>
    <row r="91" spans="1:39" ht="15" hidden="1" thickTop="1" x14ac:dyDescent="0.3">
      <c r="A91" s="51" t="s">
        <v>1121</v>
      </c>
      <c r="B91" s="54" t="s">
        <v>1122</v>
      </c>
      <c r="C91" s="51" t="s">
        <v>2765</v>
      </c>
      <c r="D91" s="53">
        <v>1</v>
      </c>
      <c r="E91" s="53">
        <v>0</v>
      </c>
      <c r="F91" s="51" t="s">
        <v>2744</v>
      </c>
      <c r="G91" s="51" t="s">
        <v>2695</v>
      </c>
      <c r="H91" s="25" t="str">
        <f t="shared" si="7"/>
        <v>jgd</v>
      </c>
      <c r="I91" t="s">
        <v>72</v>
      </c>
      <c r="J91" t="s">
        <v>1098</v>
      </c>
      <c r="K91" t="s">
        <v>1099</v>
      </c>
      <c r="L91" s="25">
        <v>46.02579626</v>
      </c>
      <c r="M91" s="25">
        <v>8.8240005079999992</v>
      </c>
      <c r="N91">
        <v>5</v>
      </c>
      <c r="O91">
        <v>20</v>
      </c>
      <c r="P91">
        <v>10</v>
      </c>
      <c r="Q91">
        <v>2015</v>
      </c>
      <c r="R91" s="9">
        <v>42297</v>
      </c>
      <c r="S91" t="s">
        <v>16</v>
      </c>
      <c r="T91">
        <v>1</v>
      </c>
      <c r="U91">
        <v>0</v>
      </c>
      <c r="V91">
        <v>0</v>
      </c>
      <c r="W91">
        <v>0</v>
      </c>
      <c r="X91">
        <f t="shared" si="8"/>
        <v>-99.375</v>
      </c>
      <c r="Y91">
        <v>-24.739578160000001</v>
      </c>
      <c r="Z91">
        <v>5.5962168300000004</v>
      </c>
      <c r="AA91" s="3">
        <f t="shared" si="11"/>
        <v>10</v>
      </c>
      <c r="AB91" s="3">
        <f t="shared" si="12"/>
        <v>6</v>
      </c>
      <c r="AD91" s="3" t="s">
        <v>2754</v>
      </c>
      <c r="AE91" s="4">
        <v>-74.989999999999995</v>
      </c>
      <c r="AF91" s="4">
        <f t="shared" si="9"/>
        <v>-74.989999999999995</v>
      </c>
      <c r="AG91" s="1">
        <v>-97.7</v>
      </c>
      <c r="AH91" s="2">
        <v>-99.37</v>
      </c>
      <c r="AI91"/>
      <c r="AJ91" s="3">
        <f t="shared" si="10"/>
        <v>7</v>
      </c>
      <c r="AK91" s="3" t="s">
        <v>2709</v>
      </c>
      <c r="AL91">
        <v>7</v>
      </c>
      <c r="AM91" t="s">
        <v>15</v>
      </c>
    </row>
    <row r="92" spans="1:39" ht="15" hidden="1" thickTop="1" x14ac:dyDescent="0.3">
      <c r="A92" s="51" t="s">
        <v>421</v>
      </c>
      <c r="B92" s="54" t="s">
        <v>422</v>
      </c>
      <c r="C92" s="51" t="s">
        <v>2765</v>
      </c>
      <c r="D92" s="53">
        <v>1</v>
      </c>
      <c r="E92" s="53">
        <v>0</v>
      </c>
      <c r="F92" s="51" t="s">
        <v>2744</v>
      </c>
      <c r="G92" s="51" t="s">
        <v>2695</v>
      </c>
      <c r="H92" s="25" t="str">
        <f t="shared" si="7"/>
        <v>jgd</v>
      </c>
      <c r="I92" t="s">
        <v>72</v>
      </c>
      <c r="J92" t="s">
        <v>155</v>
      </c>
      <c r="K92" t="s">
        <v>418</v>
      </c>
      <c r="L92" s="25">
        <v>46.127518690000002</v>
      </c>
      <c r="M92" s="25">
        <v>8.82952051</v>
      </c>
      <c r="N92">
        <v>4</v>
      </c>
      <c r="O92">
        <v>18</v>
      </c>
      <c r="P92">
        <v>11</v>
      </c>
      <c r="Q92">
        <v>2014</v>
      </c>
      <c r="R92" s="9">
        <v>41961</v>
      </c>
      <c r="S92">
        <v>278</v>
      </c>
      <c r="T92">
        <v>1</v>
      </c>
      <c r="U92">
        <v>0</v>
      </c>
      <c r="V92">
        <v>0</v>
      </c>
      <c r="W92">
        <v>0</v>
      </c>
      <c r="X92">
        <f t="shared" si="8"/>
        <v>-99.3125</v>
      </c>
      <c r="Y92">
        <v>-23.447199999999999</v>
      </c>
      <c r="Z92">
        <v>5.5541803310000004</v>
      </c>
      <c r="AA92" s="3">
        <f t="shared" si="11"/>
        <v>10</v>
      </c>
      <c r="AB92" s="3">
        <f t="shared" si="12"/>
        <v>6</v>
      </c>
      <c r="AD92" s="3" t="s">
        <v>2754</v>
      </c>
      <c r="AE92" s="4">
        <v>-74.94</v>
      </c>
      <c r="AF92" s="4">
        <f t="shared" si="9"/>
        <v>-74.94</v>
      </c>
      <c r="AG92" s="1">
        <v>-97.7</v>
      </c>
      <c r="AH92" s="2">
        <v>-99.32</v>
      </c>
      <c r="AI92"/>
      <c r="AJ92" s="3">
        <f t="shared" si="10"/>
        <v>7</v>
      </c>
      <c r="AK92" s="3" t="s">
        <v>2709</v>
      </c>
      <c r="AL92">
        <v>7</v>
      </c>
      <c r="AM92" t="s">
        <v>15</v>
      </c>
    </row>
    <row r="93" spans="1:39" ht="15" hidden="1" thickTop="1" x14ac:dyDescent="0.3">
      <c r="A93" s="51" t="s">
        <v>217</v>
      </c>
      <c r="B93" s="54" t="s">
        <v>218</v>
      </c>
      <c r="C93" s="51" t="s">
        <v>2765</v>
      </c>
      <c r="D93" s="53">
        <v>1</v>
      </c>
      <c r="E93" s="53">
        <v>0</v>
      </c>
      <c r="F93" s="51" t="s">
        <v>2744</v>
      </c>
      <c r="G93" s="51" t="s">
        <v>2695</v>
      </c>
      <c r="H93" s="25" t="str">
        <f t="shared" si="7"/>
        <v>jgd</v>
      </c>
      <c r="I93" t="s">
        <v>13</v>
      </c>
      <c r="J93" t="s">
        <v>16</v>
      </c>
      <c r="K93" t="s">
        <v>219</v>
      </c>
      <c r="L93" s="25">
        <v>47.077480520000002</v>
      </c>
      <c r="M93" s="25">
        <v>6.8856173309999997</v>
      </c>
      <c r="N93">
        <v>4</v>
      </c>
      <c r="O93">
        <v>24</v>
      </c>
      <c r="P93">
        <v>10</v>
      </c>
      <c r="Q93">
        <v>2013</v>
      </c>
      <c r="R93" s="9">
        <v>41571</v>
      </c>
      <c r="S93">
        <v>310</v>
      </c>
      <c r="T93">
        <v>1</v>
      </c>
      <c r="U93">
        <v>0</v>
      </c>
      <c r="V93">
        <v>0</v>
      </c>
      <c r="W93">
        <v>0</v>
      </c>
      <c r="X93">
        <f t="shared" si="8"/>
        <v>-99.25</v>
      </c>
      <c r="Y93">
        <v>-144.17637350000001</v>
      </c>
      <c r="Z93">
        <v>4.8049715869999998</v>
      </c>
      <c r="AA93" s="3">
        <f t="shared" si="11"/>
        <v>10</v>
      </c>
      <c r="AB93" s="3">
        <f t="shared" si="12"/>
        <v>5</v>
      </c>
      <c r="AD93" s="3" t="s">
        <v>2750</v>
      </c>
      <c r="AE93" s="4">
        <v>-74.89</v>
      </c>
      <c r="AF93" s="4">
        <f t="shared" si="9"/>
        <v>-74.89</v>
      </c>
      <c r="AG93" s="1">
        <v>-97.6</v>
      </c>
      <c r="AH93" s="2">
        <v>-99.25</v>
      </c>
      <c r="AI93"/>
      <c r="AJ93" s="3">
        <f t="shared" si="10"/>
        <v>7</v>
      </c>
      <c r="AK93" s="3" t="s">
        <v>2709</v>
      </c>
      <c r="AL93">
        <v>7</v>
      </c>
      <c r="AM93" t="s">
        <v>15</v>
      </c>
    </row>
    <row r="94" spans="1:39" ht="15" hidden="1" thickTop="1" x14ac:dyDescent="0.3">
      <c r="A94" s="51" t="s">
        <v>2136</v>
      </c>
      <c r="B94" s="54" t="s">
        <v>2137</v>
      </c>
      <c r="C94" s="51" t="s">
        <v>2765</v>
      </c>
      <c r="D94" s="53">
        <v>1</v>
      </c>
      <c r="E94" s="53">
        <v>0</v>
      </c>
      <c r="F94" s="51" t="s">
        <v>2744</v>
      </c>
      <c r="G94" s="51" t="s">
        <v>2695</v>
      </c>
      <c r="H94" s="25" t="str">
        <f t="shared" si="7"/>
        <v>jgd</v>
      </c>
      <c r="I94" t="s">
        <v>385</v>
      </c>
      <c r="J94" t="s">
        <v>386</v>
      </c>
      <c r="K94" t="s">
        <v>16</v>
      </c>
      <c r="L94" s="25">
        <v>46.86242</v>
      </c>
      <c r="M94" s="25">
        <v>6.5795500000000002</v>
      </c>
      <c r="N94">
        <v>3</v>
      </c>
      <c r="O94">
        <v>24</v>
      </c>
      <c r="P94">
        <v>10</v>
      </c>
      <c r="Q94">
        <v>2017</v>
      </c>
      <c r="R94" s="9">
        <v>43032</v>
      </c>
      <c r="S94">
        <v>348</v>
      </c>
      <c r="T94">
        <v>1</v>
      </c>
      <c r="U94">
        <v>0</v>
      </c>
      <c r="V94">
        <v>0</v>
      </c>
      <c r="W94">
        <v>0</v>
      </c>
      <c r="X94" s="57">
        <f t="shared" si="8"/>
        <v>-98.883983000000001</v>
      </c>
      <c r="Y94" t="s">
        <v>16</v>
      </c>
      <c r="Z94">
        <v>4.9491772149999997</v>
      </c>
      <c r="AA94" s="3">
        <f t="shared" si="11"/>
        <v>10</v>
      </c>
      <c r="AB94" s="3">
        <f t="shared" si="12"/>
        <v>5</v>
      </c>
      <c r="AD94" s="3" t="s">
        <v>2750</v>
      </c>
      <c r="AE94" s="4">
        <v>-74.597186399999998</v>
      </c>
      <c r="AF94" s="4">
        <f t="shared" si="9"/>
        <v>-74.597186399999998</v>
      </c>
      <c r="AG94" s="60" t="s">
        <v>16</v>
      </c>
      <c r="AH94" s="61" t="s">
        <v>16</v>
      </c>
      <c r="AJ94" s="3">
        <f t="shared" si="10"/>
        <v>7</v>
      </c>
      <c r="AK94" s="3" t="s">
        <v>2709</v>
      </c>
      <c r="AL94">
        <v>7</v>
      </c>
      <c r="AM94" t="s">
        <v>15</v>
      </c>
    </row>
    <row r="95" spans="1:39" ht="15" hidden="1" thickTop="1" x14ac:dyDescent="0.3">
      <c r="A95" s="51" t="s">
        <v>2094</v>
      </c>
      <c r="B95" s="54" t="s">
        <v>1575</v>
      </c>
      <c r="C95" s="51" t="s">
        <v>2765</v>
      </c>
      <c r="D95" s="53">
        <v>1</v>
      </c>
      <c r="E95" s="53">
        <v>0</v>
      </c>
      <c r="F95" s="51" t="s">
        <v>2744</v>
      </c>
      <c r="G95" s="51" t="s">
        <v>2695</v>
      </c>
      <c r="H95" s="25" t="str">
        <f t="shared" si="7"/>
        <v>jgd</v>
      </c>
      <c r="I95" t="s">
        <v>30</v>
      </c>
      <c r="J95" t="s">
        <v>271</v>
      </c>
      <c r="K95" t="s">
        <v>2095</v>
      </c>
      <c r="L95" s="25">
        <v>46.657890819999999</v>
      </c>
      <c r="M95" s="25">
        <v>7.0009645809999999</v>
      </c>
      <c r="N95">
        <v>3</v>
      </c>
      <c r="O95">
        <v>16</v>
      </c>
      <c r="P95">
        <v>10</v>
      </c>
      <c r="Q95">
        <v>2017</v>
      </c>
      <c r="R95" s="9">
        <v>43024</v>
      </c>
      <c r="S95">
        <v>310</v>
      </c>
      <c r="T95">
        <v>1</v>
      </c>
      <c r="U95">
        <v>0</v>
      </c>
      <c r="V95">
        <v>0</v>
      </c>
      <c r="W95">
        <v>0</v>
      </c>
      <c r="X95" s="57">
        <f t="shared" si="8"/>
        <v>-98.684420000000003</v>
      </c>
      <c r="Y95" t="s">
        <v>16</v>
      </c>
      <c r="Z95">
        <v>5.767877683</v>
      </c>
      <c r="AA95" s="3">
        <f t="shared" si="11"/>
        <v>10</v>
      </c>
      <c r="AB95" s="3">
        <f t="shared" si="12"/>
        <v>6</v>
      </c>
      <c r="AD95" s="3" t="s">
        <v>2751</v>
      </c>
      <c r="AE95" s="4">
        <v>-74.437535999999994</v>
      </c>
      <c r="AF95" s="4">
        <f t="shared" si="9"/>
        <v>-74.437535999999994</v>
      </c>
      <c r="AG95" s="60" t="s">
        <v>16</v>
      </c>
      <c r="AH95" s="61" t="s">
        <v>16</v>
      </c>
      <c r="AJ95" s="3">
        <f t="shared" si="10"/>
        <v>7</v>
      </c>
      <c r="AK95" s="3" t="s">
        <v>2709</v>
      </c>
      <c r="AL95">
        <v>7</v>
      </c>
      <c r="AM95" t="s">
        <v>15</v>
      </c>
    </row>
    <row r="96" spans="1:39" ht="15" hidden="1" thickTop="1" x14ac:dyDescent="0.3">
      <c r="A96" s="51" t="s">
        <v>405</v>
      </c>
      <c r="B96" s="54" t="s">
        <v>406</v>
      </c>
      <c r="C96" s="51" t="s">
        <v>2765</v>
      </c>
      <c r="D96" s="53">
        <v>1</v>
      </c>
      <c r="E96" s="53">
        <v>0</v>
      </c>
      <c r="F96" s="51" t="s">
        <v>2744</v>
      </c>
      <c r="G96" s="51" t="s">
        <v>2695</v>
      </c>
      <c r="H96" s="25" t="str">
        <f t="shared" si="7"/>
        <v>jgd</v>
      </c>
      <c r="I96" t="s">
        <v>72</v>
      </c>
      <c r="J96" t="s">
        <v>155</v>
      </c>
      <c r="K96" t="s">
        <v>407</v>
      </c>
      <c r="L96" s="25">
        <v>46.089583580000003</v>
      </c>
      <c r="M96" s="25">
        <v>8.8414848839999998</v>
      </c>
      <c r="N96">
        <v>4</v>
      </c>
      <c r="O96">
        <v>29</v>
      </c>
      <c r="P96">
        <v>10</v>
      </c>
      <c r="Q96">
        <v>2014</v>
      </c>
      <c r="R96" s="9">
        <v>41941</v>
      </c>
      <c r="S96">
        <v>305</v>
      </c>
      <c r="T96">
        <v>1</v>
      </c>
      <c r="U96">
        <v>0</v>
      </c>
      <c r="V96">
        <v>0</v>
      </c>
      <c r="W96">
        <v>0</v>
      </c>
      <c r="X96">
        <f t="shared" si="8"/>
        <v>-98.662500000000009</v>
      </c>
      <c r="Y96">
        <v>-24.840199999999999</v>
      </c>
      <c r="Z96">
        <v>7.3671662800000002</v>
      </c>
      <c r="AA96" s="3">
        <f t="shared" si="11"/>
        <v>10</v>
      </c>
      <c r="AB96" s="3">
        <f t="shared" si="12"/>
        <v>7</v>
      </c>
      <c r="AD96" s="3" t="s">
        <v>2754</v>
      </c>
      <c r="AE96" s="4">
        <v>-74.42</v>
      </c>
      <c r="AF96" s="4">
        <f t="shared" si="9"/>
        <v>-74.42</v>
      </c>
      <c r="AG96" s="1">
        <v>-97.2</v>
      </c>
      <c r="AH96" s="2">
        <v>-98.66</v>
      </c>
      <c r="AI96"/>
      <c r="AJ96" s="3">
        <f t="shared" si="10"/>
        <v>7</v>
      </c>
      <c r="AK96" s="3" t="s">
        <v>2709</v>
      </c>
      <c r="AL96">
        <v>7</v>
      </c>
      <c r="AM96" t="s">
        <v>15</v>
      </c>
    </row>
    <row r="97" spans="1:39" ht="15" hidden="1" thickTop="1" x14ac:dyDescent="0.3">
      <c r="A97" s="51" t="s">
        <v>182</v>
      </c>
      <c r="B97" s="54" t="s">
        <v>183</v>
      </c>
      <c r="C97" s="51" t="s">
        <v>2765</v>
      </c>
      <c r="D97" s="53">
        <v>1</v>
      </c>
      <c r="E97" s="53">
        <v>0</v>
      </c>
      <c r="F97" s="51" t="s">
        <v>2744</v>
      </c>
      <c r="G97" s="51" t="s">
        <v>2695</v>
      </c>
      <c r="H97" s="25" t="str">
        <f t="shared" si="7"/>
        <v>jgd</v>
      </c>
      <c r="I97" t="s">
        <v>72</v>
      </c>
      <c r="J97" t="s">
        <v>180</v>
      </c>
      <c r="K97" t="s">
        <v>181</v>
      </c>
      <c r="L97" s="25">
        <v>46.106893630000002</v>
      </c>
      <c r="M97" s="25">
        <v>8.9635190310000006</v>
      </c>
      <c r="N97">
        <v>4</v>
      </c>
      <c r="O97">
        <v>6</v>
      </c>
      <c r="P97">
        <v>11</v>
      </c>
      <c r="Q97">
        <v>2013</v>
      </c>
      <c r="R97" s="9">
        <v>41584</v>
      </c>
      <c r="S97">
        <v>280</v>
      </c>
      <c r="T97">
        <v>1</v>
      </c>
      <c r="U97">
        <v>0</v>
      </c>
      <c r="V97">
        <v>0</v>
      </c>
      <c r="W97">
        <v>0</v>
      </c>
      <c r="X97">
        <f t="shared" si="8"/>
        <v>-98.187500000000014</v>
      </c>
      <c r="Y97">
        <v>-20.718816969999999</v>
      </c>
      <c r="Z97">
        <v>3.6882286569999998</v>
      </c>
      <c r="AA97" s="3">
        <f t="shared" si="11"/>
        <v>10</v>
      </c>
      <c r="AB97" s="3">
        <f t="shared" si="12"/>
        <v>4</v>
      </c>
      <c r="AD97" s="3" t="s">
        <v>2754</v>
      </c>
      <c r="AE97" s="4">
        <v>-74.040000000000006</v>
      </c>
      <c r="AF97" s="4">
        <f t="shared" si="9"/>
        <v>-74.040000000000006</v>
      </c>
      <c r="AG97" s="1">
        <v>-96.8</v>
      </c>
      <c r="AH97" s="2">
        <v>-98.19</v>
      </c>
      <c r="AI97"/>
      <c r="AJ97" s="3">
        <f t="shared" si="10"/>
        <v>7</v>
      </c>
      <c r="AK97" s="3" t="s">
        <v>2709</v>
      </c>
      <c r="AL97">
        <v>7</v>
      </c>
      <c r="AM97" t="s">
        <v>15</v>
      </c>
    </row>
    <row r="98" spans="1:39" ht="15" hidden="1" thickTop="1" x14ac:dyDescent="0.3">
      <c r="A98" s="51" t="s">
        <v>430</v>
      </c>
      <c r="B98" s="54" t="s">
        <v>176</v>
      </c>
      <c r="C98" s="51" t="s">
        <v>2765</v>
      </c>
      <c r="D98" s="53">
        <v>1</v>
      </c>
      <c r="E98" s="53">
        <v>0</v>
      </c>
      <c r="F98" s="51" t="s">
        <v>2744</v>
      </c>
      <c r="G98" s="51" t="s">
        <v>2695</v>
      </c>
      <c r="H98" s="25" t="str">
        <f t="shared" ref="H98:H129" si="13">IF(T98=1,"jgd",IF(W98=1,"Captures automne","Captures printemps-été"))</f>
        <v>jgd</v>
      </c>
      <c r="I98" t="s">
        <v>72</v>
      </c>
      <c r="J98" t="s">
        <v>155</v>
      </c>
      <c r="K98" t="s">
        <v>431</v>
      </c>
      <c r="L98" s="25">
        <v>46.118476729999998</v>
      </c>
      <c r="M98" s="25">
        <v>8.8331713220000001</v>
      </c>
      <c r="N98">
        <v>4</v>
      </c>
      <c r="O98">
        <v>28</v>
      </c>
      <c r="P98">
        <v>10</v>
      </c>
      <c r="Q98">
        <v>2014</v>
      </c>
      <c r="R98" s="9">
        <v>41940</v>
      </c>
      <c r="S98">
        <v>305</v>
      </c>
      <c r="T98">
        <v>1</v>
      </c>
      <c r="U98">
        <v>0</v>
      </c>
      <c r="V98">
        <v>0</v>
      </c>
      <c r="W98">
        <v>0</v>
      </c>
      <c r="X98">
        <f t="shared" si="8"/>
        <v>-97.6</v>
      </c>
      <c r="Y98">
        <v>-23.4268</v>
      </c>
      <c r="Z98">
        <v>3.893231841</v>
      </c>
      <c r="AA98" s="3">
        <f t="shared" si="11"/>
        <v>10</v>
      </c>
      <c r="AB98" s="3">
        <f t="shared" si="12"/>
        <v>4</v>
      </c>
      <c r="AD98" s="3" t="s">
        <v>2754</v>
      </c>
      <c r="AE98" s="4">
        <v>-73.569999999999993</v>
      </c>
      <c r="AF98" s="4">
        <f t="shared" si="9"/>
        <v>-73.569999999999993</v>
      </c>
      <c r="AG98" s="1">
        <v>-96.3</v>
      </c>
      <c r="AH98" s="2">
        <v>-97.6</v>
      </c>
      <c r="AI98"/>
      <c r="AJ98" s="3">
        <f t="shared" si="10"/>
        <v>7</v>
      </c>
      <c r="AK98" s="3" t="s">
        <v>2709</v>
      </c>
      <c r="AL98">
        <v>7</v>
      </c>
      <c r="AM98" t="s">
        <v>15</v>
      </c>
    </row>
    <row r="99" spans="1:39" ht="15" hidden="1" thickTop="1" x14ac:dyDescent="0.3">
      <c r="A99" s="51" t="s">
        <v>1133</v>
      </c>
      <c r="B99" s="54" t="s">
        <v>221</v>
      </c>
      <c r="C99" s="51" t="s">
        <v>2765</v>
      </c>
      <c r="D99" s="53">
        <v>1</v>
      </c>
      <c r="E99" s="53">
        <v>0</v>
      </c>
      <c r="F99" s="51" t="s">
        <v>2744</v>
      </c>
      <c r="G99" s="51" t="s">
        <v>2695</v>
      </c>
      <c r="H99" s="25" t="str">
        <f t="shared" si="13"/>
        <v>jgd</v>
      </c>
      <c r="I99" t="s">
        <v>13</v>
      </c>
      <c r="J99" t="s">
        <v>66</v>
      </c>
      <c r="K99" t="s">
        <v>1134</v>
      </c>
      <c r="L99" s="25">
        <v>47.001506239999998</v>
      </c>
      <c r="M99" s="25">
        <v>6.8055348179999999</v>
      </c>
      <c r="N99">
        <v>5</v>
      </c>
      <c r="O99">
        <v>19</v>
      </c>
      <c r="P99">
        <v>11</v>
      </c>
      <c r="Q99">
        <v>2015</v>
      </c>
      <c r="R99" s="9">
        <v>42327</v>
      </c>
      <c r="S99">
        <v>312</v>
      </c>
      <c r="T99">
        <v>1</v>
      </c>
      <c r="U99">
        <v>0</v>
      </c>
      <c r="V99">
        <v>0</v>
      </c>
      <c r="W99">
        <v>0</v>
      </c>
      <c r="X99">
        <f t="shared" si="8"/>
        <v>-97.55</v>
      </c>
      <c r="Y99">
        <v>-24.474599999999999</v>
      </c>
      <c r="Z99">
        <v>8.9899593289999995</v>
      </c>
      <c r="AA99" s="3">
        <f t="shared" si="11"/>
        <v>10</v>
      </c>
      <c r="AB99" s="3">
        <f t="shared" si="12"/>
        <v>9</v>
      </c>
      <c r="AD99" s="3" t="s">
        <v>2750</v>
      </c>
      <c r="AE99" s="4">
        <v>-73.53</v>
      </c>
      <c r="AF99" s="4">
        <f t="shared" si="9"/>
        <v>-73.53</v>
      </c>
      <c r="AG99" s="1">
        <v>-96.2</v>
      </c>
      <c r="AH99" s="2">
        <v>-97.55</v>
      </c>
      <c r="AI99"/>
      <c r="AJ99" s="3">
        <f t="shared" si="10"/>
        <v>7</v>
      </c>
      <c r="AK99" s="3" t="s">
        <v>2709</v>
      </c>
      <c r="AL99">
        <v>7</v>
      </c>
      <c r="AM99" t="s">
        <v>15</v>
      </c>
    </row>
    <row r="100" spans="1:39" ht="15" hidden="1" thickTop="1" x14ac:dyDescent="0.3">
      <c r="A100" s="51" t="s">
        <v>118</v>
      </c>
      <c r="B100" s="54" t="s">
        <v>119</v>
      </c>
      <c r="C100" s="51" t="s">
        <v>2765</v>
      </c>
      <c r="D100" s="53">
        <v>1</v>
      </c>
      <c r="E100" s="53">
        <v>0</v>
      </c>
      <c r="F100" s="51" t="s">
        <v>2744</v>
      </c>
      <c r="G100" s="51" t="s">
        <v>2695</v>
      </c>
      <c r="H100" s="25" t="str">
        <f t="shared" si="13"/>
        <v>jgd</v>
      </c>
      <c r="I100" t="s">
        <v>72</v>
      </c>
      <c r="J100" t="s">
        <v>113</v>
      </c>
      <c r="K100" t="s">
        <v>120</v>
      </c>
      <c r="L100" s="25">
        <v>46.210657609999998</v>
      </c>
      <c r="M100" s="25">
        <v>8.7016873239999999</v>
      </c>
      <c r="N100">
        <v>5</v>
      </c>
      <c r="O100">
        <v>12</v>
      </c>
      <c r="P100">
        <v>11</v>
      </c>
      <c r="Q100">
        <v>2013</v>
      </c>
      <c r="R100" s="9">
        <v>41590</v>
      </c>
      <c r="S100">
        <v>287</v>
      </c>
      <c r="T100">
        <v>1</v>
      </c>
      <c r="U100">
        <v>0</v>
      </c>
      <c r="V100">
        <v>0</v>
      </c>
      <c r="W100">
        <v>0</v>
      </c>
      <c r="X100">
        <f t="shared" si="8"/>
        <v>-97.224999999999994</v>
      </c>
      <c r="Y100">
        <v>4.3416779610000003</v>
      </c>
      <c r="Z100">
        <v>4.6431023419999997</v>
      </c>
      <c r="AA100" s="3">
        <f t="shared" si="11"/>
        <v>10</v>
      </c>
      <c r="AB100" s="3">
        <f t="shared" si="12"/>
        <v>5</v>
      </c>
      <c r="AD100" s="3" t="s">
        <v>2754</v>
      </c>
      <c r="AE100" s="4">
        <v>-73.27</v>
      </c>
      <c r="AF100" s="4">
        <f t="shared" si="9"/>
        <v>-73.27</v>
      </c>
      <c r="AG100" s="1">
        <v>-96</v>
      </c>
      <c r="AH100" s="2">
        <v>-97.23</v>
      </c>
      <c r="AI100"/>
      <c r="AJ100" s="3">
        <f t="shared" si="10"/>
        <v>7</v>
      </c>
      <c r="AK100" s="3" t="s">
        <v>2709</v>
      </c>
      <c r="AL100">
        <v>7</v>
      </c>
      <c r="AM100" t="s">
        <v>15</v>
      </c>
    </row>
    <row r="101" spans="1:39" ht="15" hidden="1" thickTop="1" x14ac:dyDescent="0.3">
      <c r="A101" s="51" t="s">
        <v>1908</v>
      </c>
      <c r="B101" s="54" t="s">
        <v>1909</v>
      </c>
      <c r="C101" s="51" t="s">
        <v>2765</v>
      </c>
      <c r="D101" s="53">
        <v>1</v>
      </c>
      <c r="E101" s="53">
        <v>0</v>
      </c>
      <c r="F101" s="51" t="s">
        <v>2744</v>
      </c>
      <c r="G101" s="51" t="s">
        <v>2695</v>
      </c>
      <c r="H101" s="25" t="str">
        <f t="shared" si="13"/>
        <v>jgd</v>
      </c>
      <c r="I101" t="s">
        <v>13</v>
      </c>
      <c r="J101" t="s">
        <v>1146</v>
      </c>
      <c r="K101" t="s">
        <v>1910</v>
      </c>
      <c r="L101" s="25">
        <v>46.959335350000003</v>
      </c>
      <c r="M101" s="25">
        <v>6.5705730500000001</v>
      </c>
      <c r="N101">
        <v>5</v>
      </c>
      <c r="O101">
        <v>26</v>
      </c>
      <c r="P101">
        <v>10</v>
      </c>
      <c r="Q101">
        <v>2016</v>
      </c>
      <c r="R101" s="9">
        <v>42669</v>
      </c>
      <c r="S101">
        <v>336</v>
      </c>
      <c r="T101">
        <v>1</v>
      </c>
      <c r="U101">
        <v>0</v>
      </c>
      <c r="V101">
        <v>0</v>
      </c>
      <c r="W101">
        <v>0</v>
      </c>
      <c r="X101" s="57">
        <f t="shared" si="8"/>
        <v>-97.067123625000008</v>
      </c>
      <c r="Y101">
        <v>-24.81</v>
      </c>
      <c r="Z101">
        <v>3.22</v>
      </c>
      <c r="AA101" s="3">
        <f t="shared" si="11"/>
        <v>10</v>
      </c>
      <c r="AB101" s="3">
        <f t="shared" si="12"/>
        <v>3</v>
      </c>
      <c r="AD101" s="3" t="s">
        <v>2750</v>
      </c>
      <c r="AE101" s="4">
        <v>-73.143698900000004</v>
      </c>
      <c r="AF101" s="4">
        <f t="shared" si="9"/>
        <v>-73.143698900000004</v>
      </c>
      <c r="AG101" s="60" t="s">
        <v>16</v>
      </c>
      <c r="AH101" s="61" t="s">
        <v>16</v>
      </c>
      <c r="AJ101" s="3">
        <f t="shared" si="10"/>
        <v>7</v>
      </c>
      <c r="AK101" s="3" t="s">
        <v>2709</v>
      </c>
      <c r="AL101">
        <v>7</v>
      </c>
      <c r="AM101" t="s">
        <v>15</v>
      </c>
    </row>
    <row r="102" spans="1:39" ht="15" hidden="1" thickTop="1" x14ac:dyDescent="0.3">
      <c r="A102" s="51" t="s">
        <v>450</v>
      </c>
      <c r="B102" s="54" t="s">
        <v>451</v>
      </c>
      <c r="C102" s="51" t="s">
        <v>2765</v>
      </c>
      <c r="D102" s="53">
        <v>1</v>
      </c>
      <c r="E102" s="53">
        <v>0</v>
      </c>
      <c r="F102" s="51" t="s">
        <v>2744</v>
      </c>
      <c r="G102" s="51" t="s">
        <v>2695</v>
      </c>
      <c r="H102" s="25" t="str">
        <f t="shared" si="13"/>
        <v>jgd</v>
      </c>
      <c r="I102" t="s">
        <v>72</v>
      </c>
      <c r="J102" t="s">
        <v>452</v>
      </c>
      <c r="K102" t="s">
        <v>78</v>
      </c>
      <c r="L102" s="25">
        <v>46.498109900000003</v>
      </c>
      <c r="M102" s="25">
        <v>8.9250605140000001</v>
      </c>
      <c r="N102">
        <v>4</v>
      </c>
      <c r="O102">
        <v>8</v>
      </c>
      <c r="P102">
        <v>11</v>
      </c>
      <c r="Q102">
        <v>2014</v>
      </c>
      <c r="R102" s="9">
        <v>41951</v>
      </c>
      <c r="S102">
        <v>329</v>
      </c>
      <c r="T102">
        <v>1</v>
      </c>
      <c r="U102">
        <v>0</v>
      </c>
      <c r="V102">
        <v>0</v>
      </c>
      <c r="W102">
        <v>0</v>
      </c>
      <c r="X102">
        <f t="shared" si="8"/>
        <v>-96.912499999999994</v>
      </c>
      <c r="Y102">
        <v>-24.039750000000002</v>
      </c>
      <c r="Z102">
        <v>2.31360812</v>
      </c>
      <c r="AA102" s="3">
        <f t="shared" si="11"/>
        <v>10</v>
      </c>
      <c r="AB102" s="3">
        <f t="shared" si="12"/>
        <v>2</v>
      </c>
      <c r="AD102" s="3" t="s">
        <v>2754</v>
      </c>
      <c r="AE102" s="4">
        <v>-73.02</v>
      </c>
      <c r="AF102" s="4">
        <f t="shared" si="9"/>
        <v>-73.02</v>
      </c>
      <c r="AG102" s="1">
        <v>-95.7</v>
      </c>
      <c r="AH102" s="2">
        <v>-96.91</v>
      </c>
      <c r="AI102"/>
      <c r="AJ102" s="3">
        <f t="shared" si="10"/>
        <v>7</v>
      </c>
      <c r="AK102" s="3" t="s">
        <v>2709</v>
      </c>
      <c r="AL102">
        <v>7</v>
      </c>
      <c r="AM102" t="s">
        <v>15</v>
      </c>
    </row>
    <row r="103" spans="1:39" ht="15" hidden="1" thickTop="1" x14ac:dyDescent="0.3">
      <c r="A103" s="51" t="s">
        <v>453</v>
      </c>
      <c r="B103" s="54" t="s">
        <v>454</v>
      </c>
      <c r="C103" s="51" t="s">
        <v>2765</v>
      </c>
      <c r="D103" s="53">
        <v>1</v>
      </c>
      <c r="E103" s="53">
        <v>0</v>
      </c>
      <c r="F103" s="51" t="s">
        <v>2744</v>
      </c>
      <c r="G103" s="51" t="s">
        <v>2695</v>
      </c>
      <c r="H103" s="25" t="str">
        <f t="shared" si="13"/>
        <v>jgd</v>
      </c>
      <c r="I103" t="s">
        <v>72</v>
      </c>
      <c r="J103" t="s">
        <v>452</v>
      </c>
      <c r="K103" t="s">
        <v>455</v>
      </c>
      <c r="L103" s="25">
        <v>46.494991329999998</v>
      </c>
      <c r="M103" s="25">
        <v>8.9316582170000007</v>
      </c>
      <c r="N103">
        <v>6</v>
      </c>
      <c r="O103">
        <v>25</v>
      </c>
      <c r="P103">
        <v>10</v>
      </c>
      <c r="Q103">
        <v>2014</v>
      </c>
      <c r="R103" s="9">
        <v>41937</v>
      </c>
      <c r="S103">
        <v>292</v>
      </c>
      <c r="T103">
        <v>1</v>
      </c>
      <c r="U103">
        <v>0</v>
      </c>
      <c r="V103">
        <v>0</v>
      </c>
      <c r="W103">
        <v>0</v>
      </c>
      <c r="X103">
        <f t="shared" si="8"/>
        <v>-96.800000000000011</v>
      </c>
      <c r="Y103">
        <v>-25.158000000000001</v>
      </c>
      <c r="Z103">
        <v>7.5257229529999998</v>
      </c>
      <c r="AA103" s="3">
        <f t="shared" si="11"/>
        <v>10</v>
      </c>
      <c r="AB103" s="3">
        <f t="shared" si="12"/>
        <v>8</v>
      </c>
      <c r="AD103" s="3" t="s">
        <v>2754</v>
      </c>
      <c r="AE103" s="4">
        <v>-72.930000000000007</v>
      </c>
      <c r="AF103" s="4">
        <f t="shared" si="9"/>
        <v>-72.930000000000007</v>
      </c>
      <c r="AG103" s="1">
        <v>-95.6</v>
      </c>
      <c r="AH103" s="2">
        <v>-96.8</v>
      </c>
      <c r="AI103"/>
      <c r="AJ103" s="3">
        <f t="shared" si="10"/>
        <v>7</v>
      </c>
      <c r="AK103" s="3" t="s">
        <v>2709</v>
      </c>
      <c r="AL103">
        <v>7</v>
      </c>
      <c r="AM103" t="s">
        <v>15</v>
      </c>
    </row>
    <row r="104" spans="1:39" ht="15" hidden="1" thickTop="1" x14ac:dyDescent="0.3">
      <c r="A104" s="51" t="s">
        <v>172</v>
      </c>
      <c r="B104" s="54" t="s">
        <v>173</v>
      </c>
      <c r="C104" s="51" t="s">
        <v>2765</v>
      </c>
      <c r="D104" s="53">
        <v>1</v>
      </c>
      <c r="E104" s="53">
        <v>0</v>
      </c>
      <c r="F104" s="51" t="s">
        <v>2744</v>
      </c>
      <c r="G104" s="51" t="s">
        <v>2695</v>
      </c>
      <c r="H104" s="25" t="str">
        <f t="shared" si="13"/>
        <v>jgd</v>
      </c>
      <c r="I104" t="s">
        <v>72</v>
      </c>
      <c r="J104" t="s">
        <v>170</v>
      </c>
      <c r="K104" t="s">
        <v>174</v>
      </c>
      <c r="L104" s="25">
        <v>46.085840670000003</v>
      </c>
      <c r="M104" s="25">
        <v>8.8530256170000001</v>
      </c>
      <c r="N104">
        <v>4</v>
      </c>
      <c r="O104">
        <v>12</v>
      </c>
      <c r="P104">
        <v>11</v>
      </c>
      <c r="Q104">
        <v>2013</v>
      </c>
      <c r="R104" s="9">
        <v>41590</v>
      </c>
      <c r="S104">
        <v>293</v>
      </c>
      <c r="T104">
        <v>1</v>
      </c>
      <c r="U104">
        <v>0</v>
      </c>
      <c r="V104">
        <v>0</v>
      </c>
      <c r="W104">
        <v>0</v>
      </c>
      <c r="X104">
        <f t="shared" si="8"/>
        <v>-96.575000000000003</v>
      </c>
      <c r="Y104">
        <v>-352.6990965</v>
      </c>
      <c r="Z104">
        <v>4.5592224579999998</v>
      </c>
      <c r="AA104" s="3">
        <f t="shared" si="11"/>
        <v>10</v>
      </c>
      <c r="AB104" s="3">
        <f t="shared" si="12"/>
        <v>5</v>
      </c>
      <c r="AD104" s="3" t="s">
        <v>2754</v>
      </c>
      <c r="AE104" s="4">
        <v>-72.75</v>
      </c>
      <c r="AF104" s="4">
        <f t="shared" si="9"/>
        <v>-72.75</v>
      </c>
      <c r="AG104" s="1">
        <v>-95.5</v>
      </c>
      <c r="AH104" s="2">
        <v>-96.57</v>
      </c>
      <c r="AI104"/>
      <c r="AJ104" s="3">
        <f t="shared" si="10"/>
        <v>7</v>
      </c>
      <c r="AK104" s="3" t="s">
        <v>2709</v>
      </c>
      <c r="AL104">
        <v>7</v>
      </c>
      <c r="AM104" t="s">
        <v>15</v>
      </c>
    </row>
    <row r="105" spans="1:39" ht="15" hidden="1" thickTop="1" x14ac:dyDescent="0.3">
      <c r="A105" s="51" t="s">
        <v>2733</v>
      </c>
      <c r="B105" s="54" t="s">
        <v>583</v>
      </c>
      <c r="C105" s="51" t="s">
        <v>2765</v>
      </c>
      <c r="D105" s="53">
        <v>1</v>
      </c>
      <c r="E105" s="53">
        <v>0</v>
      </c>
      <c r="F105" s="51" t="s">
        <v>2744</v>
      </c>
      <c r="G105" s="51" t="s">
        <v>2695</v>
      </c>
      <c r="H105" s="25" t="str">
        <f t="shared" si="13"/>
        <v>jgd</v>
      </c>
      <c r="I105" t="s">
        <v>72</v>
      </c>
      <c r="J105" t="s">
        <v>584</v>
      </c>
      <c r="K105" t="s">
        <v>585</v>
      </c>
      <c r="L105" s="25">
        <v>46.336732519999998</v>
      </c>
      <c r="M105" s="25">
        <v>8.6187592510000002</v>
      </c>
      <c r="N105">
        <v>6</v>
      </c>
      <c r="O105">
        <v>19</v>
      </c>
      <c r="P105">
        <v>11</v>
      </c>
      <c r="Q105">
        <v>2014</v>
      </c>
      <c r="R105" s="9">
        <v>41962</v>
      </c>
      <c r="S105">
        <v>345</v>
      </c>
      <c r="T105">
        <v>1</v>
      </c>
      <c r="U105">
        <v>0</v>
      </c>
      <c r="V105">
        <v>0</v>
      </c>
      <c r="W105">
        <v>0</v>
      </c>
      <c r="X105">
        <f t="shared" si="8"/>
        <v>-95.7</v>
      </c>
      <c r="Y105">
        <v>-23.880800000000001</v>
      </c>
      <c r="Z105">
        <v>0.15858729199999999</v>
      </c>
      <c r="AA105" s="3">
        <f t="shared" si="11"/>
        <v>10</v>
      </c>
      <c r="AB105" s="3">
        <f t="shared" si="12"/>
        <v>0</v>
      </c>
      <c r="AD105" s="3" t="s">
        <v>2754</v>
      </c>
      <c r="AE105" s="4">
        <v>-72.05</v>
      </c>
      <c r="AF105" s="4">
        <f t="shared" si="9"/>
        <v>-72.05</v>
      </c>
      <c r="AG105" s="1">
        <v>-94.7</v>
      </c>
      <c r="AH105" s="2">
        <v>-95.7</v>
      </c>
      <c r="AI105"/>
      <c r="AJ105" s="3">
        <f t="shared" si="10"/>
        <v>7</v>
      </c>
      <c r="AK105" s="3" t="s">
        <v>2709</v>
      </c>
      <c r="AL105">
        <v>7</v>
      </c>
      <c r="AM105" t="s">
        <v>15</v>
      </c>
    </row>
    <row r="106" spans="1:39" ht="15" hidden="1" thickTop="1" x14ac:dyDescent="0.3">
      <c r="A106" s="51" t="s">
        <v>424</v>
      </c>
      <c r="B106" s="54" t="s">
        <v>161</v>
      </c>
      <c r="C106" s="51" t="s">
        <v>2765</v>
      </c>
      <c r="D106" s="53">
        <v>1</v>
      </c>
      <c r="E106" s="53">
        <v>0</v>
      </c>
      <c r="F106" s="51" t="s">
        <v>2744</v>
      </c>
      <c r="G106" s="51" t="s">
        <v>2695</v>
      </c>
      <c r="H106" s="25" t="str">
        <f t="shared" si="13"/>
        <v>jgd</v>
      </c>
      <c r="I106" t="s">
        <v>72</v>
      </c>
      <c r="J106" t="s">
        <v>155</v>
      </c>
      <c r="K106" t="s">
        <v>397</v>
      </c>
      <c r="L106" s="25">
        <v>46.080573479999998</v>
      </c>
      <c r="M106" s="25">
        <v>8.8425462909999997</v>
      </c>
      <c r="N106">
        <v>4</v>
      </c>
      <c r="O106">
        <v>16</v>
      </c>
      <c r="P106">
        <v>10</v>
      </c>
      <c r="Q106">
        <v>2014</v>
      </c>
      <c r="R106" s="9">
        <v>41928</v>
      </c>
      <c r="S106">
        <v>308</v>
      </c>
      <c r="T106">
        <v>1</v>
      </c>
      <c r="U106">
        <v>0</v>
      </c>
      <c r="V106">
        <v>0</v>
      </c>
      <c r="W106">
        <v>0</v>
      </c>
      <c r="X106">
        <f t="shared" si="8"/>
        <v>-95.65</v>
      </c>
      <c r="Y106">
        <v>-24.21575</v>
      </c>
      <c r="Z106">
        <v>8.2654915150000008</v>
      </c>
      <c r="AA106" s="3">
        <f t="shared" si="11"/>
        <v>10</v>
      </c>
      <c r="AB106" s="3">
        <f t="shared" si="12"/>
        <v>8</v>
      </c>
      <c r="AD106" s="3" t="s">
        <v>2754</v>
      </c>
      <c r="AE106" s="4">
        <v>-72.010000000000005</v>
      </c>
      <c r="AF106" s="4">
        <f t="shared" si="9"/>
        <v>-72.010000000000005</v>
      </c>
      <c r="AG106" s="1">
        <v>-94.7</v>
      </c>
      <c r="AH106" s="2">
        <v>-95.65</v>
      </c>
      <c r="AI106"/>
      <c r="AJ106" s="3">
        <f t="shared" si="10"/>
        <v>7</v>
      </c>
      <c r="AK106" s="3" t="s">
        <v>2709</v>
      </c>
      <c r="AL106">
        <v>7</v>
      </c>
      <c r="AM106" t="s">
        <v>15</v>
      </c>
    </row>
    <row r="107" spans="1:39" ht="15" hidden="1" thickTop="1" x14ac:dyDescent="0.3">
      <c r="A107" s="51" t="s">
        <v>346</v>
      </c>
      <c r="B107" s="54" t="s">
        <v>347</v>
      </c>
      <c r="C107" s="51" t="s">
        <v>2765</v>
      </c>
      <c r="D107" s="53">
        <v>1</v>
      </c>
      <c r="E107" s="53">
        <v>0</v>
      </c>
      <c r="F107" s="51" t="s">
        <v>2744</v>
      </c>
      <c r="G107" s="51" t="s">
        <v>2695</v>
      </c>
      <c r="H107" s="25" t="str">
        <f t="shared" si="13"/>
        <v>jgd</v>
      </c>
      <c r="I107" t="s">
        <v>72</v>
      </c>
      <c r="J107" t="s">
        <v>335</v>
      </c>
      <c r="K107" t="s">
        <v>345</v>
      </c>
      <c r="L107" s="25">
        <v>46.505732950000002</v>
      </c>
      <c r="M107" s="25">
        <v>8.6522001450000001</v>
      </c>
      <c r="N107">
        <v>5</v>
      </c>
      <c r="O107">
        <v>19</v>
      </c>
      <c r="P107">
        <v>10</v>
      </c>
      <c r="Q107">
        <v>2014</v>
      </c>
      <c r="R107" s="9">
        <v>41931</v>
      </c>
      <c r="S107">
        <v>353</v>
      </c>
      <c r="T107">
        <v>1</v>
      </c>
      <c r="U107">
        <v>0</v>
      </c>
      <c r="V107">
        <v>0</v>
      </c>
      <c r="W107">
        <v>0</v>
      </c>
      <c r="X107">
        <f t="shared" si="8"/>
        <v>-95.325000000000003</v>
      </c>
      <c r="Y107">
        <v>-24.85</v>
      </c>
      <c r="Z107">
        <v>8.3733465309999993</v>
      </c>
      <c r="AA107" s="3">
        <f t="shared" si="11"/>
        <v>10</v>
      </c>
      <c r="AB107" s="3">
        <f t="shared" si="12"/>
        <v>8</v>
      </c>
      <c r="AD107" s="3" t="s">
        <v>2754</v>
      </c>
      <c r="AE107" s="4">
        <v>-71.75</v>
      </c>
      <c r="AF107" s="4">
        <f t="shared" si="9"/>
        <v>-71.75</v>
      </c>
      <c r="AG107" s="1">
        <v>-94.4</v>
      </c>
      <c r="AH107" s="2">
        <v>-95.32</v>
      </c>
      <c r="AI107"/>
      <c r="AJ107" s="3">
        <f t="shared" si="10"/>
        <v>7</v>
      </c>
      <c r="AK107" s="3" t="s">
        <v>2709</v>
      </c>
      <c r="AL107">
        <v>7</v>
      </c>
      <c r="AM107" t="s">
        <v>15</v>
      </c>
    </row>
    <row r="108" spans="1:39" ht="15" hidden="1" thickTop="1" x14ac:dyDescent="0.3">
      <c r="A108" s="51" t="s">
        <v>2473</v>
      </c>
      <c r="B108" s="54" t="s">
        <v>2474</v>
      </c>
      <c r="C108" s="51" t="s">
        <v>2765</v>
      </c>
      <c r="D108" s="53">
        <v>1</v>
      </c>
      <c r="E108" s="53">
        <v>0</v>
      </c>
      <c r="F108" s="51" t="s">
        <v>2744</v>
      </c>
      <c r="G108" s="51" t="s">
        <v>2695</v>
      </c>
      <c r="H108" s="25" t="str">
        <f t="shared" si="13"/>
        <v>jgd</v>
      </c>
      <c r="I108" t="s">
        <v>1488</v>
      </c>
      <c r="J108" t="s">
        <v>2471</v>
      </c>
      <c r="K108" t="s">
        <v>2472</v>
      </c>
      <c r="L108" s="25">
        <v>47.279339999999998</v>
      </c>
      <c r="M108" s="25">
        <v>7.0800299999999998</v>
      </c>
      <c r="N108">
        <v>5</v>
      </c>
      <c r="O108">
        <v>28</v>
      </c>
      <c r="P108">
        <v>10</v>
      </c>
      <c r="Q108">
        <v>2017</v>
      </c>
      <c r="R108" s="9">
        <v>43036</v>
      </c>
      <c r="S108">
        <v>328</v>
      </c>
      <c r="T108">
        <v>1</v>
      </c>
      <c r="U108">
        <v>0</v>
      </c>
      <c r="V108">
        <v>0</v>
      </c>
      <c r="W108">
        <v>0</v>
      </c>
      <c r="X108" s="57">
        <f t="shared" si="8"/>
        <v>-95.257975999999999</v>
      </c>
      <c r="Y108" t="s">
        <v>16</v>
      </c>
      <c r="Z108">
        <v>5.2302281119999998</v>
      </c>
      <c r="AA108" s="3">
        <f t="shared" si="11"/>
        <v>10</v>
      </c>
      <c r="AB108" s="3">
        <f t="shared" si="12"/>
        <v>5</v>
      </c>
      <c r="AD108" s="3" t="s">
        <v>2750</v>
      </c>
      <c r="AE108" s="4">
        <v>-71.6963808</v>
      </c>
      <c r="AF108" s="4">
        <f t="shared" si="9"/>
        <v>-71.6963808</v>
      </c>
      <c r="AG108" s="60" t="s">
        <v>16</v>
      </c>
      <c r="AH108" s="61" t="s">
        <v>16</v>
      </c>
      <c r="AJ108" s="3">
        <f t="shared" si="10"/>
        <v>7</v>
      </c>
      <c r="AK108" s="3" t="s">
        <v>2709</v>
      </c>
      <c r="AL108">
        <v>7</v>
      </c>
      <c r="AM108" t="s">
        <v>2675</v>
      </c>
    </row>
    <row r="109" spans="1:39" ht="15" hidden="1" thickTop="1" x14ac:dyDescent="0.3">
      <c r="A109" s="51" t="s">
        <v>459</v>
      </c>
      <c r="B109" s="54" t="s">
        <v>460</v>
      </c>
      <c r="C109" s="51" t="s">
        <v>2765</v>
      </c>
      <c r="D109" s="53">
        <v>1</v>
      </c>
      <c r="E109" s="53">
        <v>0</v>
      </c>
      <c r="F109" s="51" t="s">
        <v>2744</v>
      </c>
      <c r="G109" s="51" t="s">
        <v>2695</v>
      </c>
      <c r="H109" s="25" t="str">
        <f t="shared" si="13"/>
        <v>jgd</v>
      </c>
      <c r="I109" t="s">
        <v>72</v>
      </c>
      <c r="J109" t="s">
        <v>458</v>
      </c>
      <c r="K109" t="s">
        <v>455</v>
      </c>
      <c r="L109" s="25">
        <v>46.489154659999997</v>
      </c>
      <c r="M109" s="25">
        <v>8.9266645830000009</v>
      </c>
      <c r="N109">
        <v>4</v>
      </c>
      <c r="O109">
        <v>8</v>
      </c>
      <c r="P109">
        <v>11</v>
      </c>
      <c r="Q109">
        <v>2014</v>
      </c>
      <c r="R109" s="9">
        <v>41951</v>
      </c>
      <c r="S109">
        <v>329</v>
      </c>
      <c r="T109">
        <v>1</v>
      </c>
      <c r="U109">
        <v>0</v>
      </c>
      <c r="V109">
        <v>0</v>
      </c>
      <c r="W109">
        <v>0</v>
      </c>
      <c r="X109">
        <f t="shared" si="8"/>
        <v>-95.05</v>
      </c>
      <c r="Y109">
        <v>-23.965199999999999</v>
      </c>
      <c r="Z109">
        <v>11.65135905</v>
      </c>
      <c r="AA109" s="3">
        <f t="shared" si="11"/>
        <v>10</v>
      </c>
      <c r="AB109" s="3">
        <f t="shared" si="12"/>
        <v>12</v>
      </c>
      <c r="AD109" s="3" t="s">
        <v>2754</v>
      </c>
      <c r="AE109" s="4">
        <v>-71.53</v>
      </c>
      <c r="AF109" s="4">
        <f t="shared" si="9"/>
        <v>-71.53</v>
      </c>
      <c r="AG109" s="1">
        <v>-94.2</v>
      </c>
      <c r="AH109" s="2">
        <v>-95.05</v>
      </c>
      <c r="AI109"/>
      <c r="AJ109" s="3">
        <f t="shared" si="10"/>
        <v>7</v>
      </c>
      <c r="AK109" s="3" t="s">
        <v>2709</v>
      </c>
      <c r="AL109">
        <v>7</v>
      </c>
      <c r="AM109" t="s">
        <v>15</v>
      </c>
    </row>
    <row r="110" spans="1:39" ht="15" hidden="1" thickTop="1" x14ac:dyDescent="0.3">
      <c r="A110" s="51" t="s">
        <v>132</v>
      </c>
      <c r="B110" s="54" t="s">
        <v>133</v>
      </c>
      <c r="C110" s="51" t="s">
        <v>2765</v>
      </c>
      <c r="D110" s="53">
        <v>1</v>
      </c>
      <c r="E110" s="53">
        <v>0</v>
      </c>
      <c r="F110" s="51" t="s">
        <v>2744</v>
      </c>
      <c r="G110" s="51" t="s">
        <v>2695</v>
      </c>
      <c r="H110" s="25" t="str">
        <f t="shared" si="13"/>
        <v>jgd</v>
      </c>
      <c r="I110" t="s">
        <v>72</v>
      </c>
      <c r="J110" t="s">
        <v>106</v>
      </c>
      <c r="K110" t="s">
        <v>134</v>
      </c>
      <c r="L110" s="25">
        <v>46.204379709999998</v>
      </c>
      <c r="M110" s="25">
        <v>8.7286103750000006</v>
      </c>
      <c r="N110">
        <v>5</v>
      </c>
      <c r="O110">
        <v>30</v>
      </c>
      <c r="P110">
        <v>11</v>
      </c>
      <c r="Q110">
        <v>2013</v>
      </c>
      <c r="R110" s="9">
        <v>41608</v>
      </c>
      <c r="S110">
        <v>303</v>
      </c>
      <c r="T110">
        <v>1</v>
      </c>
      <c r="U110">
        <v>0</v>
      </c>
      <c r="V110">
        <v>0</v>
      </c>
      <c r="W110">
        <v>0</v>
      </c>
      <c r="X110">
        <f t="shared" si="8"/>
        <v>-94.45</v>
      </c>
      <c r="Y110">
        <v>-13.485777990000001</v>
      </c>
      <c r="Z110">
        <v>5.9060327719999997</v>
      </c>
      <c r="AA110" s="3">
        <f t="shared" si="11"/>
        <v>9</v>
      </c>
      <c r="AB110" s="3">
        <f t="shared" si="12"/>
        <v>6</v>
      </c>
      <c r="AD110" s="3" t="s">
        <v>2754</v>
      </c>
      <c r="AE110" s="4">
        <v>-71.05</v>
      </c>
      <c r="AF110" s="4">
        <f t="shared" si="9"/>
        <v>-71.05</v>
      </c>
      <c r="AG110" s="1">
        <v>-93.7</v>
      </c>
      <c r="AH110" s="2">
        <v>-94.46</v>
      </c>
      <c r="AI110"/>
      <c r="AJ110" s="3">
        <f t="shared" si="10"/>
        <v>7</v>
      </c>
      <c r="AK110" s="3" t="s">
        <v>2709</v>
      </c>
      <c r="AL110">
        <v>7</v>
      </c>
      <c r="AM110" t="s">
        <v>15</v>
      </c>
    </row>
    <row r="111" spans="1:39" ht="15" hidden="1" thickTop="1" x14ac:dyDescent="0.3">
      <c r="A111" s="51" t="s">
        <v>153</v>
      </c>
      <c r="B111" s="54" t="s">
        <v>154</v>
      </c>
      <c r="C111" s="51" t="s">
        <v>2765</v>
      </c>
      <c r="D111" s="53">
        <v>1</v>
      </c>
      <c r="E111" s="53">
        <v>0</v>
      </c>
      <c r="F111" s="51" t="s">
        <v>2744</v>
      </c>
      <c r="G111" s="51" t="s">
        <v>2695</v>
      </c>
      <c r="H111" s="25" t="str">
        <f t="shared" si="13"/>
        <v>jgd</v>
      </c>
      <c r="I111" t="s">
        <v>72</v>
      </c>
      <c r="J111" t="s">
        <v>155</v>
      </c>
      <c r="K111" t="s">
        <v>156</v>
      </c>
      <c r="L111" s="25">
        <v>46.078710200000003</v>
      </c>
      <c r="M111" s="25">
        <v>8.8476696659999998</v>
      </c>
      <c r="N111">
        <v>4</v>
      </c>
      <c r="O111">
        <v>5</v>
      </c>
      <c r="P111">
        <v>11</v>
      </c>
      <c r="Q111">
        <v>2013</v>
      </c>
      <c r="R111" s="9">
        <v>41583</v>
      </c>
      <c r="S111">
        <v>266</v>
      </c>
      <c r="T111">
        <v>1</v>
      </c>
      <c r="U111">
        <v>0</v>
      </c>
      <c r="V111">
        <v>0</v>
      </c>
      <c r="W111">
        <v>0</v>
      </c>
      <c r="X111">
        <f t="shared" si="8"/>
        <v>-94.25</v>
      </c>
      <c r="Y111">
        <v>-23.311362670000001</v>
      </c>
      <c r="Z111">
        <v>4.5318202300000001</v>
      </c>
      <c r="AA111" s="3">
        <f t="shared" si="11"/>
        <v>9</v>
      </c>
      <c r="AB111" s="3">
        <f t="shared" si="12"/>
        <v>5</v>
      </c>
      <c r="AD111" s="3" t="s">
        <v>2754</v>
      </c>
      <c r="AE111" s="4">
        <v>-70.89</v>
      </c>
      <c r="AF111" s="4">
        <f t="shared" si="9"/>
        <v>-70.89</v>
      </c>
      <c r="AG111" s="1">
        <v>-93.6</v>
      </c>
      <c r="AH111" s="2">
        <v>-94.25</v>
      </c>
      <c r="AI111"/>
      <c r="AJ111" s="3">
        <f t="shared" si="10"/>
        <v>7</v>
      </c>
      <c r="AK111" s="3" t="s">
        <v>2709</v>
      </c>
      <c r="AL111">
        <v>7</v>
      </c>
      <c r="AM111" t="s">
        <v>15</v>
      </c>
    </row>
    <row r="112" spans="1:39" ht="15" hidden="1" thickTop="1" x14ac:dyDescent="0.3">
      <c r="A112" s="51" t="s">
        <v>362</v>
      </c>
      <c r="B112" s="54" t="s">
        <v>363</v>
      </c>
      <c r="C112" s="51" t="s">
        <v>2765</v>
      </c>
      <c r="D112" s="53">
        <v>1</v>
      </c>
      <c r="E112" s="53">
        <v>0</v>
      </c>
      <c r="F112" s="51" t="s">
        <v>2744</v>
      </c>
      <c r="G112" s="51" t="s">
        <v>2695</v>
      </c>
      <c r="H112" s="25" t="str">
        <f t="shared" si="13"/>
        <v>jgd</v>
      </c>
      <c r="I112" t="s">
        <v>72</v>
      </c>
      <c r="J112" t="s">
        <v>234</v>
      </c>
      <c r="K112" t="s">
        <v>364</v>
      </c>
      <c r="L112" s="25">
        <v>46.215312869999998</v>
      </c>
      <c r="M112" s="25">
        <v>8.7221040080000005</v>
      </c>
      <c r="N112">
        <v>6</v>
      </c>
      <c r="O112">
        <v>28</v>
      </c>
      <c r="P112">
        <v>10</v>
      </c>
      <c r="Q112">
        <v>2014</v>
      </c>
      <c r="R112" s="9">
        <v>41940</v>
      </c>
      <c r="S112">
        <v>420</v>
      </c>
      <c r="T112">
        <v>1</v>
      </c>
      <c r="U112">
        <v>0</v>
      </c>
      <c r="V112">
        <v>0</v>
      </c>
      <c r="W112">
        <v>0</v>
      </c>
      <c r="X112">
        <f t="shared" si="8"/>
        <v>-93.737500000000011</v>
      </c>
      <c r="Y112">
        <v>-23.540199999999999</v>
      </c>
      <c r="Z112">
        <v>2.3244389860000001</v>
      </c>
      <c r="AA112" s="3">
        <f t="shared" si="11"/>
        <v>9</v>
      </c>
      <c r="AB112" s="3">
        <f t="shared" si="12"/>
        <v>2</v>
      </c>
      <c r="AD112" s="3" t="s">
        <v>2754</v>
      </c>
      <c r="AE112" s="4">
        <v>-70.48</v>
      </c>
      <c r="AF112" s="4">
        <f t="shared" si="9"/>
        <v>-70.48</v>
      </c>
      <c r="AG112" s="1">
        <v>-93.1</v>
      </c>
      <c r="AH112" s="2">
        <v>-93.73</v>
      </c>
      <c r="AI112"/>
      <c r="AJ112" s="3">
        <f t="shared" si="10"/>
        <v>7</v>
      </c>
      <c r="AK112" s="3" t="s">
        <v>2709</v>
      </c>
      <c r="AL112">
        <v>7</v>
      </c>
      <c r="AM112" t="s">
        <v>15</v>
      </c>
    </row>
    <row r="113" spans="1:39" ht="15" hidden="1" thickTop="1" x14ac:dyDescent="0.3">
      <c r="A113" s="51" t="s">
        <v>2439</v>
      </c>
      <c r="B113" s="54" t="s">
        <v>1056</v>
      </c>
      <c r="C113" s="51" t="s">
        <v>2765</v>
      </c>
      <c r="D113" s="53">
        <v>1</v>
      </c>
      <c r="E113" s="53">
        <v>0</v>
      </c>
      <c r="F113" s="51" t="s">
        <v>2744</v>
      </c>
      <c r="G113" s="51" t="s">
        <v>2695</v>
      </c>
      <c r="H113" s="25" t="str">
        <f t="shared" si="13"/>
        <v>jgd</v>
      </c>
      <c r="I113" t="s">
        <v>13</v>
      </c>
      <c r="J113" t="s">
        <v>2440</v>
      </c>
      <c r="K113" t="s">
        <v>2441</v>
      </c>
      <c r="L113" s="25">
        <v>46.931250509999998</v>
      </c>
      <c r="M113" s="25">
        <v>6.559943123</v>
      </c>
      <c r="N113">
        <v>6</v>
      </c>
      <c r="O113">
        <v>2</v>
      </c>
      <c r="P113">
        <v>11</v>
      </c>
      <c r="Q113">
        <v>2017</v>
      </c>
      <c r="R113" s="9">
        <v>43041</v>
      </c>
      <c r="S113">
        <v>324</v>
      </c>
      <c r="T113">
        <v>1</v>
      </c>
      <c r="U113">
        <v>0</v>
      </c>
      <c r="V113">
        <v>0</v>
      </c>
      <c r="W113">
        <v>0</v>
      </c>
      <c r="X113" s="57">
        <f t="shared" si="8"/>
        <v>-93.379548750000012</v>
      </c>
      <c r="Y113" t="s">
        <v>16</v>
      </c>
      <c r="Z113">
        <v>6.4442586869999996</v>
      </c>
      <c r="AA113" s="3">
        <f t="shared" si="11"/>
        <v>9</v>
      </c>
      <c r="AB113" s="3">
        <f t="shared" si="12"/>
        <v>6</v>
      </c>
      <c r="AD113" s="3" t="s">
        <v>2750</v>
      </c>
      <c r="AE113" s="4">
        <v>-70.193639000000005</v>
      </c>
      <c r="AF113" s="4">
        <f t="shared" si="9"/>
        <v>-70.193639000000005</v>
      </c>
      <c r="AG113" s="60" t="s">
        <v>16</v>
      </c>
      <c r="AH113" s="61" t="s">
        <v>16</v>
      </c>
      <c r="AJ113" s="3">
        <f t="shared" si="10"/>
        <v>7</v>
      </c>
      <c r="AK113" s="3" t="s">
        <v>2709</v>
      </c>
      <c r="AL113">
        <v>7</v>
      </c>
      <c r="AM113" t="s">
        <v>15</v>
      </c>
    </row>
    <row r="114" spans="1:39" ht="15" hidden="1" thickTop="1" x14ac:dyDescent="0.3">
      <c r="A114" s="51" t="s">
        <v>2520</v>
      </c>
      <c r="B114" s="54" t="s">
        <v>2521</v>
      </c>
      <c r="C114" s="51" t="s">
        <v>2765</v>
      </c>
      <c r="D114" s="53">
        <v>1</v>
      </c>
      <c r="E114" s="53">
        <v>0</v>
      </c>
      <c r="F114" s="51" t="s">
        <v>2744</v>
      </c>
      <c r="G114" s="51" t="s">
        <v>2695</v>
      </c>
      <c r="H114" s="25" t="str">
        <f t="shared" si="13"/>
        <v>jgd</v>
      </c>
      <c r="I114" t="s">
        <v>72</v>
      </c>
      <c r="J114" t="s">
        <v>298</v>
      </c>
      <c r="K114" t="s">
        <v>2515</v>
      </c>
      <c r="L114" s="25">
        <v>46.143263599999997</v>
      </c>
      <c r="M114" s="25">
        <v>9.0001315910000006</v>
      </c>
      <c r="N114">
        <v>5</v>
      </c>
      <c r="O114">
        <v>26</v>
      </c>
      <c r="P114">
        <v>11</v>
      </c>
      <c r="Q114">
        <v>2017</v>
      </c>
      <c r="R114" s="9">
        <v>43065</v>
      </c>
      <c r="S114">
        <v>320</v>
      </c>
      <c r="T114">
        <v>1</v>
      </c>
      <c r="U114">
        <v>0</v>
      </c>
      <c r="V114">
        <v>0</v>
      </c>
      <c r="W114">
        <v>0</v>
      </c>
      <c r="X114" s="57">
        <f t="shared" si="8"/>
        <v>-93.273727750000006</v>
      </c>
      <c r="Y114" t="s">
        <v>16</v>
      </c>
      <c r="Z114">
        <v>5.4847364299999999</v>
      </c>
      <c r="AA114" s="3">
        <f t="shared" si="11"/>
        <v>9</v>
      </c>
      <c r="AB114" s="3">
        <f t="shared" si="12"/>
        <v>5</v>
      </c>
      <c r="AD114" s="3" t="s">
        <v>2754</v>
      </c>
      <c r="AE114" s="4">
        <v>-70.1089822</v>
      </c>
      <c r="AF114" s="4">
        <f t="shared" si="9"/>
        <v>-70.1089822</v>
      </c>
      <c r="AG114" s="60" t="s">
        <v>16</v>
      </c>
      <c r="AH114" s="61" t="s">
        <v>16</v>
      </c>
      <c r="AJ114" s="3">
        <f t="shared" si="10"/>
        <v>7</v>
      </c>
      <c r="AK114" s="3" t="s">
        <v>2709</v>
      </c>
      <c r="AL114">
        <v>7</v>
      </c>
      <c r="AM114" t="s">
        <v>15</v>
      </c>
    </row>
    <row r="115" spans="1:39" ht="15" hidden="1" thickTop="1" x14ac:dyDescent="0.3">
      <c r="A115" s="51" t="s">
        <v>306</v>
      </c>
      <c r="B115" s="54" t="s">
        <v>307</v>
      </c>
      <c r="C115" s="51" t="s">
        <v>2765</v>
      </c>
      <c r="D115" s="53">
        <v>1</v>
      </c>
      <c r="E115" s="53">
        <v>0</v>
      </c>
      <c r="F115" s="51" t="s">
        <v>2744</v>
      </c>
      <c r="G115" s="51" t="s">
        <v>2695</v>
      </c>
      <c r="H115" s="25" t="str">
        <f t="shared" si="13"/>
        <v>jgd</v>
      </c>
      <c r="I115" t="s">
        <v>72</v>
      </c>
      <c r="J115" t="s">
        <v>140</v>
      </c>
      <c r="K115" t="s">
        <v>308</v>
      </c>
      <c r="L115" s="25">
        <v>46.092546900000002</v>
      </c>
      <c r="M115" s="25">
        <v>9.0568748919999997</v>
      </c>
      <c r="N115">
        <v>5</v>
      </c>
      <c r="O115">
        <v>1</v>
      </c>
      <c r="P115">
        <v>11</v>
      </c>
      <c r="Q115">
        <v>2014</v>
      </c>
      <c r="R115" s="9">
        <v>41944</v>
      </c>
      <c r="S115">
        <v>360</v>
      </c>
      <c r="T115">
        <v>1</v>
      </c>
      <c r="U115">
        <v>0</v>
      </c>
      <c r="V115">
        <v>0</v>
      </c>
      <c r="W115">
        <v>0</v>
      </c>
      <c r="X115">
        <f t="shared" si="8"/>
        <v>-92.425000000000011</v>
      </c>
      <c r="Y115" t="s">
        <v>16</v>
      </c>
      <c r="Z115" t="s">
        <v>16</v>
      </c>
      <c r="AA115" s="3">
        <f t="shared" si="11"/>
        <v>9</v>
      </c>
      <c r="AD115" s="3" t="s">
        <v>2754</v>
      </c>
      <c r="AE115" s="4">
        <v>-69.430000000000007</v>
      </c>
      <c r="AF115" s="4">
        <f t="shared" si="9"/>
        <v>-69.430000000000007</v>
      </c>
      <c r="AG115" s="1">
        <v>-92.1</v>
      </c>
      <c r="AH115" s="2">
        <v>-92.42</v>
      </c>
      <c r="AI115"/>
      <c r="AJ115" s="3">
        <f t="shared" si="10"/>
        <v>7</v>
      </c>
      <c r="AK115" s="3" t="s">
        <v>2709</v>
      </c>
      <c r="AL115">
        <v>7</v>
      </c>
      <c r="AM115" t="s">
        <v>15</v>
      </c>
    </row>
    <row r="116" spans="1:39" ht="15" hidden="1" thickTop="1" x14ac:dyDescent="0.3">
      <c r="A116" s="51" t="s">
        <v>593</v>
      </c>
      <c r="B116" s="54" t="s">
        <v>594</v>
      </c>
      <c r="C116" s="51" t="s">
        <v>2765</v>
      </c>
      <c r="D116" s="53">
        <v>1</v>
      </c>
      <c r="E116" s="53">
        <v>0</v>
      </c>
      <c r="F116" s="51" t="s">
        <v>2744</v>
      </c>
      <c r="G116" s="51" t="s">
        <v>2695</v>
      </c>
      <c r="H116" s="25" t="str">
        <f t="shared" si="13"/>
        <v>jgd</v>
      </c>
      <c r="I116" t="s">
        <v>72</v>
      </c>
      <c r="J116" t="s">
        <v>579</v>
      </c>
      <c r="K116" t="s">
        <v>595</v>
      </c>
      <c r="L116" s="25">
        <v>46.208087570000004</v>
      </c>
      <c r="M116" s="25">
        <v>8.5470218019999997</v>
      </c>
      <c r="N116">
        <v>6</v>
      </c>
      <c r="O116">
        <v>26</v>
      </c>
      <c r="P116">
        <v>10</v>
      </c>
      <c r="Q116">
        <v>2014</v>
      </c>
      <c r="R116" s="9">
        <v>41938</v>
      </c>
      <c r="S116">
        <v>295</v>
      </c>
      <c r="T116">
        <v>1</v>
      </c>
      <c r="U116">
        <v>0</v>
      </c>
      <c r="V116">
        <v>0</v>
      </c>
      <c r="W116">
        <v>0</v>
      </c>
      <c r="X116">
        <f t="shared" si="8"/>
        <v>-91.4375</v>
      </c>
      <c r="Y116">
        <v>-24.479199999999999</v>
      </c>
      <c r="Z116">
        <v>8.350550557</v>
      </c>
      <c r="AA116" s="3">
        <f t="shared" si="11"/>
        <v>9</v>
      </c>
      <c r="AB116" s="3">
        <f t="shared" si="12"/>
        <v>8</v>
      </c>
      <c r="AD116" s="3" t="s">
        <v>2754</v>
      </c>
      <c r="AE116" s="4">
        <v>-68.64</v>
      </c>
      <c r="AF116" s="4">
        <f t="shared" si="9"/>
        <v>-68.64</v>
      </c>
      <c r="AG116" s="1">
        <v>-91.3</v>
      </c>
      <c r="AH116" s="2">
        <v>-91.44</v>
      </c>
      <c r="AI116"/>
      <c r="AJ116" s="3">
        <f t="shared" si="10"/>
        <v>7</v>
      </c>
      <c r="AK116" s="3" t="s">
        <v>2709</v>
      </c>
      <c r="AL116">
        <v>7</v>
      </c>
      <c r="AM116" t="s">
        <v>15</v>
      </c>
    </row>
    <row r="117" spans="1:39" ht="15" hidden="1" thickTop="1" x14ac:dyDescent="0.3">
      <c r="A117" s="51" t="s">
        <v>401</v>
      </c>
      <c r="B117" s="54" t="s">
        <v>402</v>
      </c>
      <c r="C117" s="51" t="s">
        <v>2765</v>
      </c>
      <c r="D117" s="53">
        <v>1</v>
      </c>
      <c r="E117" s="53">
        <v>0</v>
      </c>
      <c r="F117" s="51" t="s">
        <v>2744</v>
      </c>
      <c r="G117" s="51" t="s">
        <v>2695</v>
      </c>
      <c r="H117" s="25" t="str">
        <f t="shared" si="13"/>
        <v>jgd</v>
      </c>
      <c r="I117" t="s">
        <v>72</v>
      </c>
      <c r="J117" t="s">
        <v>155</v>
      </c>
      <c r="K117" t="s">
        <v>400</v>
      </c>
      <c r="L117" s="25">
        <v>46.118476729999998</v>
      </c>
      <c r="M117" s="25">
        <v>8.8331713220000001</v>
      </c>
      <c r="N117">
        <v>4</v>
      </c>
      <c r="O117">
        <v>28</v>
      </c>
      <c r="P117">
        <v>10</v>
      </c>
      <c r="Q117">
        <v>2014</v>
      </c>
      <c r="R117" s="9">
        <v>41940</v>
      </c>
      <c r="S117">
        <v>341</v>
      </c>
      <c r="T117">
        <v>1</v>
      </c>
      <c r="U117">
        <v>0</v>
      </c>
      <c r="V117">
        <v>0</v>
      </c>
      <c r="W117">
        <v>0</v>
      </c>
      <c r="X117">
        <f t="shared" si="8"/>
        <v>-89.437500000000014</v>
      </c>
      <c r="Y117">
        <v>-22.2652</v>
      </c>
      <c r="Z117">
        <v>-1.2788375329999999</v>
      </c>
      <c r="AA117" s="3">
        <f t="shared" si="11"/>
        <v>9</v>
      </c>
      <c r="AB117" s="3">
        <f t="shared" si="12"/>
        <v>-1</v>
      </c>
      <c r="AD117" s="3" t="s">
        <v>2754</v>
      </c>
      <c r="AE117" s="4">
        <v>-67.040000000000006</v>
      </c>
      <c r="AF117" s="4">
        <f t="shared" si="9"/>
        <v>-67.040000000000006</v>
      </c>
      <c r="AG117" s="1">
        <v>-89.6</v>
      </c>
      <c r="AH117" s="2">
        <v>-89.44</v>
      </c>
      <c r="AI117"/>
      <c r="AJ117" s="3">
        <f t="shared" si="10"/>
        <v>7</v>
      </c>
      <c r="AK117" s="3" t="s">
        <v>2709</v>
      </c>
      <c r="AL117">
        <v>7</v>
      </c>
      <c r="AM117" t="s">
        <v>15</v>
      </c>
    </row>
    <row r="118" spans="1:39" ht="15" hidden="1" thickTop="1" x14ac:dyDescent="0.3">
      <c r="A118" s="51" t="s">
        <v>1504</v>
      </c>
      <c r="B118" s="54" t="s">
        <v>1505</v>
      </c>
      <c r="C118" s="51" t="s">
        <v>2765</v>
      </c>
      <c r="D118" s="53">
        <v>1</v>
      </c>
      <c r="E118" s="53">
        <v>0</v>
      </c>
      <c r="F118" s="51" t="s">
        <v>2744</v>
      </c>
      <c r="G118" s="51" t="s">
        <v>2695</v>
      </c>
      <c r="H118" s="25" t="str">
        <f t="shared" si="13"/>
        <v>jgd</v>
      </c>
      <c r="I118" t="s">
        <v>1488</v>
      </c>
      <c r="J118" t="s">
        <v>1500</v>
      </c>
      <c r="K118" t="s">
        <v>1501</v>
      </c>
      <c r="L118" s="25">
        <v>47.28505706</v>
      </c>
      <c r="M118" s="25">
        <v>7.0429224000000001</v>
      </c>
      <c r="N118">
        <v>5</v>
      </c>
      <c r="O118">
        <v>2</v>
      </c>
      <c r="P118">
        <v>11</v>
      </c>
      <c r="Q118">
        <v>2016</v>
      </c>
      <c r="R118" s="9">
        <v>42676</v>
      </c>
      <c r="S118">
        <v>308</v>
      </c>
      <c r="T118">
        <v>1</v>
      </c>
      <c r="U118">
        <v>0</v>
      </c>
      <c r="V118">
        <v>0</v>
      </c>
      <c r="W118">
        <v>0</v>
      </c>
      <c r="X118" s="57">
        <f t="shared" si="8"/>
        <v>-89.424200249999998</v>
      </c>
      <c r="Y118">
        <v>-23.11</v>
      </c>
      <c r="Z118">
        <v>3.78</v>
      </c>
      <c r="AA118" s="3">
        <f t="shared" si="11"/>
        <v>9</v>
      </c>
      <c r="AB118" s="3">
        <f t="shared" si="12"/>
        <v>4</v>
      </c>
      <c r="AD118" s="3" t="s">
        <v>2750</v>
      </c>
      <c r="AE118" s="4">
        <v>-67.029360199999999</v>
      </c>
      <c r="AF118" s="4">
        <f t="shared" si="9"/>
        <v>-67.029360199999999</v>
      </c>
      <c r="AG118" s="60" t="s">
        <v>16</v>
      </c>
      <c r="AH118" s="61" t="s">
        <v>16</v>
      </c>
      <c r="AJ118" s="3">
        <f t="shared" si="10"/>
        <v>7</v>
      </c>
      <c r="AK118" s="3" t="s">
        <v>2709</v>
      </c>
      <c r="AL118">
        <v>7</v>
      </c>
      <c r="AM118" t="s">
        <v>15</v>
      </c>
    </row>
    <row r="119" spans="1:39" ht="15" hidden="1" thickTop="1" x14ac:dyDescent="0.3">
      <c r="A119" s="51" t="s">
        <v>2058</v>
      </c>
      <c r="B119" s="54" t="s">
        <v>71</v>
      </c>
      <c r="C119" s="51" t="s">
        <v>2765</v>
      </c>
      <c r="D119" s="53">
        <v>1</v>
      </c>
      <c r="E119" s="53">
        <v>0</v>
      </c>
      <c r="F119" s="51" t="s">
        <v>2744</v>
      </c>
      <c r="G119" s="51" t="s">
        <v>2695</v>
      </c>
      <c r="H119" s="25" t="str">
        <f t="shared" si="13"/>
        <v>jgd</v>
      </c>
      <c r="I119" t="s">
        <v>72</v>
      </c>
      <c r="J119" t="s">
        <v>2059</v>
      </c>
      <c r="K119" t="s">
        <v>312</v>
      </c>
      <c r="L119" s="25">
        <v>46.101697590000001</v>
      </c>
      <c r="M119" s="25">
        <v>9.0461520929999999</v>
      </c>
      <c r="N119">
        <v>5</v>
      </c>
      <c r="O119">
        <v>29</v>
      </c>
      <c r="P119">
        <v>10</v>
      </c>
      <c r="Q119">
        <v>2017</v>
      </c>
      <c r="R119" s="9">
        <v>43037</v>
      </c>
      <c r="S119">
        <v>251</v>
      </c>
      <c r="T119">
        <v>1</v>
      </c>
      <c r="U119">
        <v>0</v>
      </c>
      <c r="V119">
        <v>0</v>
      </c>
      <c r="W119">
        <v>0</v>
      </c>
      <c r="X119" s="57">
        <f t="shared" si="8"/>
        <v>-89.148551999999995</v>
      </c>
      <c r="Y119" t="s">
        <v>16</v>
      </c>
      <c r="Z119">
        <v>8.8688167789999994</v>
      </c>
      <c r="AA119" s="3">
        <f t="shared" si="11"/>
        <v>9</v>
      </c>
      <c r="AB119" s="3">
        <f t="shared" si="12"/>
        <v>9</v>
      </c>
      <c r="AD119" s="3" t="s">
        <v>2754</v>
      </c>
      <c r="AE119" s="4">
        <v>-66.808841599999994</v>
      </c>
      <c r="AF119" s="4">
        <f t="shared" si="9"/>
        <v>-66.808841599999994</v>
      </c>
      <c r="AG119" s="60" t="s">
        <v>16</v>
      </c>
      <c r="AH119" s="61" t="s">
        <v>16</v>
      </c>
      <c r="AJ119" s="3">
        <f t="shared" si="10"/>
        <v>7</v>
      </c>
      <c r="AK119" s="3" t="s">
        <v>2709</v>
      </c>
      <c r="AL119">
        <v>7</v>
      </c>
      <c r="AM119" t="s">
        <v>15</v>
      </c>
    </row>
    <row r="120" spans="1:39" ht="15" hidden="1" thickTop="1" x14ac:dyDescent="0.3">
      <c r="A120" s="51" t="s">
        <v>296</v>
      </c>
      <c r="B120" s="54" t="s">
        <v>297</v>
      </c>
      <c r="C120" s="51" t="s">
        <v>2765</v>
      </c>
      <c r="D120" s="53">
        <v>1</v>
      </c>
      <c r="E120" s="53">
        <v>0</v>
      </c>
      <c r="F120" s="51" t="s">
        <v>2744</v>
      </c>
      <c r="G120" s="51" t="s">
        <v>2695</v>
      </c>
      <c r="H120" s="25" t="str">
        <f t="shared" si="13"/>
        <v>jgd</v>
      </c>
      <c r="I120" t="s">
        <v>72</v>
      </c>
      <c r="J120" t="s">
        <v>298</v>
      </c>
      <c r="K120" t="s">
        <v>299</v>
      </c>
      <c r="L120" s="25">
        <v>46.146987230000001</v>
      </c>
      <c r="M120" s="25">
        <v>8.9759667200000006</v>
      </c>
      <c r="N120">
        <v>6</v>
      </c>
      <c r="O120">
        <v>30</v>
      </c>
      <c r="P120">
        <v>10</v>
      </c>
      <c r="Q120">
        <v>2014</v>
      </c>
      <c r="R120" s="9">
        <v>41942</v>
      </c>
      <c r="S120">
        <v>320</v>
      </c>
      <c r="T120">
        <v>1</v>
      </c>
      <c r="U120">
        <v>0</v>
      </c>
      <c r="V120">
        <v>0</v>
      </c>
      <c r="W120">
        <v>0</v>
      </c>
      <c r="X120">
        <f t="shared" si="8"/>
        <v>-88.962499999999991</v>
      </c>
      <c r="Y120">
        <v>-23.917200000000001</v>
      </c>
      <c r="Z120">
        <v>3.7713615389999999</v>
      </c>
      <c r="AA120" s="3">
        <f t="shared" si="11"/>
        <v>9</v>
      </c>
      <c r="AB120" s="3">
        <f t="shared" si="12"/>
        <v>4</v>
      </c>
      <c r="AD120" s="3" t="s">
        <v>2754</v>
      </c>
      <c r="AE120" s="4">
        <v>-66.66</v>
      </c>
      <c r="AF120" s="4">
        <f t="shared" si="9"/>
        <v>-66.66</v>
      </c>
      <c r="AG120" s="1">
        <v>-89.2</v>
      </c>
      <c r="AH120" s="2">
        <v>-88.96</v>
      </c>
      <c r="AI120"/>
      <c r="AJ120" s="3">
        <f t="shared" si="10"/>
        <v>7</v>
      </c>
      <c r="AK120" s="3" t="s">
        <v>2709</v>
      </c>
      <c r="AL120">
        <v>7</v>
      </c>
      <c r="AM120" t="s">
        <v>15</v>
      </c>
    </row>
    <row r="121" spans="1:39" ht="15" hidden="1" thickTop="1" x14ac:dyDescent="0.3">
      <c r="A121" s="51" t="s">
        <v>437</v>
      </c>
      <c r="B121" s="54" t="s">
        <v>183</v>
      </c>
      <c r="C121" s="51" t="s">
        <v>2765</v>
      </c>
      <c r="D121" s="53">
        <v>1</v>
      </c>
      <c r="E121" s="53">
        <v>0</v>
      </c>
      <c r="F121" s="51" t="s">
        <v>2744</v>
      </c>
      <c r="G121" s="51" t="s">
        <v>2695</v>
      </c>
      <c r="H121" s="25" t="str">
        <f t="shared" si="13"/>
        <v>jgd</v>
      </c>
      <c r="I121" t="s">
        <v>72</v>
      </c>
      <c r="J121" t="s">
        <v>180</v>
      </c>
      <c r="K121" t="s">
        <v>438</v>
      </c>
      <c r="L121" s="25">
        <v>46.103400720000003</v>
      </c>
      <c r="M121" s="25">
        <v>8.9556608279999992</v>
      </c>
      <c r="N121">
        <v>5</v>
      </c>
      <c r="O121">
        <v>4</v>
      </c>
      <c r="P121">
        <v>11</v>
      </c>
      <c r="Q121">
        <v>2014</v>
      </c>
      <c r="R121" s="9">
        <v>41947</v>
      </c>
      <c r="S121">
        <v>317</v>
      </c>
      <c r="T121">
        <v>1</v>
      </c>
      <c r="U121">
        <v>0</v>
      </c>
      <c r="V121">
        <v>0</v>
      </c>
      <c r="W121">
        <v>0</v>
      </c>
      <c r="X121">
        <f t="shared" si="8"/>
        <v>-88.9375</v>
      </c>
      <c r="Y121">
        <v>-23.305199999999999</v>
      </c>
      <c r="Z121">
        <v>-0.57820553799999996</v>
      </c>
      <c r="AA121" s="3">
        <f t="shared" si="11"/>
        <v>9</v>
      </c>
      <c r="AB121" s="3">
        <f t="shared" si="12"/>
        <v>-1</v>
      </c>
      <c r="AD121" s="3" t="s">
        <v>2754</v>
      </c>
      <c r="AE121" s="4">
        <v>-66.64</v>
      </c>
      <c r="AF121" s="4">
        <f t="shared" si="9"/>
        <v>-66.64</v>
      </c>
      <c r="AG121" s="1">
        <v>-89.2</v>
      </c>
      <c r="AH121" s="2">
        <v>-88.94</v>
      </c>
      <c r="AI121"/>
      <c r="AJ121" s="3">
        <f t="shared" si="10"/>
        <v>7</v>
      </c>
      <c r="AK121" s="3" t="s">
        <v>2709</v>
      </c>
      <c r="AL121">
        <v>7</v>
      </c>
      <c r="AM121" t="s">
        <v>15</v>
      </c>
    </row>
    <row r="122" spans="1:39" ht="15" hidden="1" thickTop="1" x14ac:dyDescent="0.3">
      <c r="A122" s="51" t="s">
        <v>2462</v>
      </c>
      <c r="B122" s="54" t="s">
        <v>2463</v>
      </c>
      <c r="C122" s="51" t="s">
        <v>2765</v>
      </c>
      <c r="D122" s="53">
        <v>1</v>
      </c>
      <c r="E122" s="53">
        <v>0</v>
      </c>
      <c r="F122" s="51" t="s">
        <v>2744</v>
      </c>
      <c r="G122" s="51" t="s">
        <v>2695</v>
      </c>
      <c r="H122" s="25" t="str">
        <f t="shared" si="13"/>
        <v>jgd</v>
      </c>
      <c r="I122" t="s">
        <v>1488</v>
      </c>
      <c r="J122" t="s">
        <v>2464</v>
      </c>
      <c r="K122" t="s">
        <v>2465</v>
      </c>
      <c r="L122" s="25">
        <v>47.388829999999999</v>
      </c>
      <c r="M122" s="25">
        <v>7.2331399999999997</v>
      </c>
      <c r="N122">
        <v>5</v>
      </c>
      <c r="O122">
        <v>21</v>
      </c>
      <c r="P122">
        <v>10</v>
      </c>
      <c r="Q122">
        <v>2017</v>
      </c>
      <c r="R122" s="9">
        <v>43029</v>
      </c>
      <c r="S122">
        <v>292</v>
      </c>
      <c r="T122">
        <v>1</v>
      </c>
      <c r="U122">
        <v>0</v>
      </c>
      <c r="V122">
        <v>0</v>
      </c>
      <c r="W122">
        <v>0</v>
      </c>
      <c r="X122" s="57">
        <f t="shared" si="8"/>
        <v>-88.932072500000018</v>
      </c>
      <c r="Y122" t="s">
        <v>16</v>
      </c>
      <c r="Z122">
        <v>8.4021259260000001</v>
      </c>
      <c r="AA122" s="3">
        <f t="shared" si="11"/>
        <v>9</v>
      </c>
      <c r="AB122" s="3">
        <f t="shared" si="12"/>
        <v>8</v>
      </c>
      <c r="AD122" s="3" t="s">
        <v>2750</v>
      </c>
      <c r="AE122" s="4">
        <v>-66.635658000000006</v>
      </c>
      <c r="AF122" s="4">
        <f t="shared" si="9"/>
        <v>-66.635658000000006</v>
      </c>
      <c r="AG122" s="60" t="s">
        <v>16</v>
      </c>
      <c r="AH122" s="61" t="s">
        <v>16</v>
      </c>
      <c r="AJ122" s="3">
        <f t="shared" si="10"/>
        <v>7</v>
      </c>
      <c r="AK122" s="3" t="s">
        <v>2709</v>
      </c>
      <c r="AL122">
        <v>7</v>
      </c>
      <c r="AM122" t="s">
        <v>2672</v>
      </c>
    </row>
    <row r="123" spans="1:39" ht="15" hidden="1" thickTop="1" x14ac:dyDescent="0.3">
      <c r="A123" s="51" t="s">
        <v>2565</v>
      </c>
      <c r="B123" s="54" t="s">
        <v>1392</v>
      </c>
      <c r="C123" s="51" t="s">
        <v>2765</v>
      </c>
      <c r="D123" s="53">
        <v>1</v>
      </c>
      <c r="E123" s="53">
        <v>0</v>
      </c>
      <c r="F123" s="51" t="s">
        <v>2744</v>
      </c>
      <c r="G123" s="51" t="s">
        <v>2695</v>
      </c>
      <c r="H123" s="25" t="str">
        <f t="shared" si="13"/>
        <v>jgd</v>
      </c>
      <c r="I123" t="s">
        <v>72</v>
      </c>
      <c r="J123" t="s">
        <v>1387</v>
      </c>
      <c r="K123" t="s">
        <v>2566</v>
      </c>
      <c r="L123" s="25">
        <v>46.098929890000001</v>
      </c>
      <c r="M123" s="25">
        <v>8.9535965859999997</v>
      </c>
      <c r="N123">
        <v>5</v>
      </c>
      <c r="O123">
        <v>21</v>
      </c>
      <c r="P123">
        <v>11</v>
      </c>
      <c r="Q123">
        <v>2017</v>
      </c>
      <c r="R123" s="9">
        <v>43060</v>
      </c>
      <c r="S123">
        <v>307</v>
      </c>
      <c r="T123">
        <v>1</v>
      </c>
      <c r="U123">
        <v>0</v>
      </c>
      <c r="V123">
        <v>0</v>
      </c>
      <c r="W123">
        <v>0</v>
      </c>
      <c r="X123" s="57">
        <f t="shared" si="8"/>
        <v>-88.731828500000006</v>
      </c>
      <c r="Y123" t="s">
        <v>16</v>
      </c>
      <c r="Z123">
        <v>8.9286055609999995</v>
      </c>
      <c r="AA123" s="3">
        <f t="shared" si="11"/>
        <v>9</v>
      </c>
      <c r="AB123" s="3">
        <f t="shared" si="12"/>
        <v>9</v>
      </c>
      <c r="AD123" s="3" t="s">
        <v>2754</v>
      </c>
      <c r="AE123" s="4">
        <v>-66.475462800000003</v>
      </c>
      <c r="AF123" s="4">
        <f t="shared" si="9"/>
        <v>-66.475462800000003</v>
      </c>
      <c r="AG123" s="60" t="s">
        <v>16</v>
      </c>
      <c r="AH123" s="61" t="s">
        <v>16</v>
      </c>
      <c r="AJ123" s="3">
        <f t="shared" si="10"/>
        <v>7</v>
      </c>
      <c r="AK123" s="3" t="s">
        <v>2709</v>
      </c>
      <c r="AL123">
        <v>7</v>
      </c>
      <c r="AM123" t="s">
        <v>15</v>
      </c>
    </row>
    <row r="124" spans="1:39" ht="15" hidden="1" thickTop="1" x14ac:dyDescent="0.3">
      <c r="A124" s="51" t="s">
        <v>1570</v>
      </c>
      <c r="B124" s="54" t="s">
        <v>1571</v>
      </c>
      <c r="C124" s="51" t="s">
        <v>2765</v>
      </c>
      <c r="D124" s="53">
        <v>1</v>
      </c>
      <c r="E124" s="53">
        <v>0</v>
      </c>
      <c r="F124" s="51" t="s">
        <v>2744</v>
      </c>
      <c r="G124" s="51" t="s">
        <v>2695</v>
      </c>
      <c r="H124" s="25" t="str">
        <f t="shared" si="13"/>
        <v>jgd</v>
      </c>
      <c r="I124" t="s">
        <v>30</v>
      </c>
      <c r="J124" t="s">
        <v>1572</v>
      </c>
      <c r="K124" t="s">
        <v>1573</v>
      </c>
      <c r="L124" s="25">
        <v>46.675304920000002</v>
      </c>
      <c r="M124" s="25">
        <v>6.8701308010000002</v>
      </c>
      <c r="N124">
        <v>3</v>
      </c>
      <c r="O124">
        <v>7</v>
      </c>
      <c r="P124">
        <v>11</v>
      </c>
      <c r="Q124">
        <v>2016</v>
      </c>
      <c r="R124" s="9">
        <v>42681</v>
      </c>
      <c r="S124">
        <v>372</v>
      </c>
      <c r="T124">
        <v>1</v>
      </c>
      <c r="U124">
        <v>0</v>
      </c>
      <c r="V124">
        <v>0</v>
      </c>
      <c r="W124">
        <v>0</v>
      </c>
      <c r="X124" s="57">
        <f t="shared" si="8"/>
        <v>-88.597489375000009</v>
      </c>
      <c r="Y124">
        <v>-22.97</v>
      </c>
      <c r="Z124">
        <v>-2.38</v>
      </c>
      <c r="AA124" s="3">
        <f t="shared" si="11"/>
        <v>9</v>
      </c>
      <c r="AB124" s="3">
        <f t="shared" si="12"/>
        <v>-2</v>
      </c>
      <c r="AD124" s="3" t="s">
        <v>2751</v>
      </c>
      <c r="AE124" s="4">
        <v>-66.367991500000002</v>
      </c>
      <c r="AF124" s="4">
        <f t="shared" si="9"/>
        <v>-66.367991500000002</v>
      </c>
      <c r="AG124" s="60" t="s">
        <v>16</v>
      </c>
      <c r="AH124" s="61" t="s">
        <v>16</v>
      </c>
      <c r="AJ124" s="3">
        <f t="shared" si="10"/>
        <v>7</v>
      </c>
      <c r="AK124" s="3" t="s">
        <v>2709</v>
      </c>
      <c r="AL124">
        <v>7</v>
      </c>
      <c r="AM124" t="s">
        <v>15</v>
      </c>
    </row>
    <row r="125" spans="1:39" ht="15" hidden="1" thickTop="1" x14ac:dyDescent="0.3">
      <c r="A125" s="51" t="s">
        <v>2164</v>
      </c>
      <c r="B125" s="54" t="s">
        <v>1005</v>
      </c>
      <c r="C125" s="51" t="s">
        <v>2765</v>
      </c>
      <c r="D125" s="53">
        <v>1</v>
      </c>
      <c r="E125" s="53">
        <v>0</v>
      </c>
      <c r="F125" s="51" t="s">
        <v>2744</v>
      </c>
      <c r="G125" s="51" t="s">
        <v>2695</v>
      </c>
      <c r="H125" s="25" t="str">
        <f t="shared" si="13"/>
        <v>jgd</v>
      </c>
      <c r="I125" t="s">
        <v>385</v>
      </c>
      <c r="J125" t="s">
        <v>392</v>
      </c>
      <c r="K125" t="s">
        <v>16</v>
      </c>
      <c r="L125" s="25">
        <v>46.798820970000001</v>
      </c>
      <c r="M125" s="25">
        <v>6.5020398190000002</v>
      </c>
      <c r="N125">
        <v>3</v>
      </c>
      <c r="O125">
        <v>24</v>
      </c>
      <c r="P125">
        <v>10</v>
      </c>
      <c r="Q125">
        <v>2017</v>
      </c>
      <c r="R125" s="9">
        <v>43032</v>
      </c>
      <c r="S125">
        <v>319</v>
      </c>
      <c r="T125">
        <v>1</v>
      </c>
      <c r="U125">
        <v>0</v>
      </c>
      <c r="V125">
        <v>0</v>
      </c>
      <c r="W125">
        <v>0</v>
      </c>
      <c r="X125" s="57">
        <f t="shared" si="8"/>
        <v>-88.575191500000003</v>
      </c>
      <c r="Y125" t="s">
        <v>16</v>
      </c>
      <c r="Z125">
        <v>6.3032905000000001</v>
      </c>
      <c r="AA125" s="3">
        <f t="shared" si="11"/>
        <v>9</v>
      </c>
      <c r="AB125" s="3">
        <f t="shared" si="12"/>
        <v>6</v>
      </c>
      <c r="AD125" s="3" t="s">
        <v>2750</v>
      </c>
      <c r="AE125" s="4">
        <v>-66.350153199999994</v>
      </c>
      <c r="AF125" s="4">
        <f t="shared" si="9"/>
        <v>-66.350153199999994</v>
      </c>
      <c r="AG125" s="60" t="s">
        <v>16</v>
      </c>
      <c r="AH125" s="61" t="s">
        <v>16</v>
      </c>
      <c r="AJ125" s="3">
        <f t="shared" si="10"/>
        <v>7</v>
      </c>
      <c r="AK125" s="3" t="s">
        <v>2709</v>
      </c>
      <c r="AL125">
        <v>7</v>
      </c>
      <c r="AM125" t="s">
        <v>15</v>
      </c>
    </row>
    <row r="126" spans="1:39" ht="15" hidden="1" thickTop="1" x14ac:dyDescent="0.3">
      <c r="A126" s="51" t="s">
        <v>2519</v>
      </c>
      <c r="B126" s="54" t="s">
        <v>1170</v>
      </c>
      <c r="C126" s="51" t="s">
        <v>2765</v>
      </c>
      <c r="D126" s="53">
        <v>1</v>
      </c>
      <c r="E126" s="53">
        <v>0</v>
      </c>
      <c r="F126" s="51" t="s">
        <v>2744</v>
      </c>
      <c r="G126" s="51" t="s">
        <v>2695</v>
      </c>
      <c r="H126" s="25" t="str">
        <f t="shared" si="13"/>
        <v>jgd</v>
      </c>
      <c r="I126" t="s">
        <v>72</v>
      </c>
      <c r="J126" t="s">
        <v>298</v>
      </c>
      <c r="K126" t="s">
        <v>2515</v>
      </c>
      <c r="L126" s="25">
        <v>46.134063009999998</v>
      </c>
      <c r="M126" s="25">
        <v>8.9769354729999993</v>
      </c>
      <c r="N126">
        <v>5</v>
      </c>
      <c r="O126">
        <v>8</v>
      </c>
      <c r="P126">
        <v>11</v>
      </c>
      <c r="Q126">
        <v>2017</v>
      </c>
      <c r="R126" s="9">
        <v>43047</v>
      </c>
      <c r="S126">
        <v>280</v>
      </c>
      <c r="T126">
        <v>1</v>
      </c>
      <c r="U126">
        <v>0</v>
      </c>
      <c r="V126">
        <v>0</v>
      </c>
      <c r="W126">
        <v>0</v>
      </c>
      <c r="X126" s="57">
        <f t="shared" si="8"/>
        <v>-88.105640875000006</v>
      </c>
      <c r="Y126" t="s">
        <v>16</v>
      </c>
      <c r="Z126">
        <v>5.3447673250000003</v>
      </c>
      <c r="AA126" s="3">
        <f t="shared" si="11"/>
        <v>9</v>
      </c>
      <c r="AB126" s="3">
        <f t="shared" si="12"/>
        <v>5</v>
      </c>
      <c r="AD126" s="3" t="s">
        <v>2754</v>
      </c>
      <c r="AE126" s="4">
        <v>-65.974512700000005</v>
      </c>
      <c r="AF126" s="4">
        <f t="shared" si="9"/>
        <v>-65.974512700000005</v>
      </c>
      <c r="AG126" s="60" t="s">
        <v>16</v>
      </c>
      <c r="AH126" s="61" t="s">
        <v>16</v>
      </c>
      <c r="AJ126" s="3">
        <f t="shared" si="10"/>
        <v>7</v>
      </c>
      <c r="AK126" s="3" t="s">
        <v>2709</v>
      </c>
      <c r="AL126">
        <v>7</v>
      </c>
      <c r="AM126" t="s">
        <v>15</v>
      </c>
    </row>
    <row r="127" spans="1:39" ht="15" hidden="1" thickTop="1" x14ac:dyDescent="0.3">
      <c r="A127" s="51" t="s">
        <v>2458</v>
      </c>
      <c r="B127" s="54" t="s">
        <v>1087</v>
      </c>
      <c r="C127" s="51" t="s">
        <v>2765</v>
      </c>
      <c r="D127" s="53">
        <v>1</v>
      </c>
      <c r="E127" s="53">
        <v>0</v>
      </c>
      <c r="F127" s="51" t="s">
        <v>2744</v>
      </c>
      <c r="G127" s="51" t="s">
        <v>2695</v>
      </c>
      <c r="H127" s="25" t="str">
        <f t="shared" si="13"/>
        <v>jgd</v>
      </c>
      <c r="I127" t="s">
        <v>13</v>
      </c>
      <c r="J127" t="s">
        <v>2459</v>
      </c>
      <c r="K127" t="s">
        <v>2460</v>
      </c>
      <c r="L127" s="25">
        <v>47.006028409999999</v>
      </c>
      <c r="M127" s="25">
        <v>6.7858223000000004</v>
      </c>
      <c r="N127">
        <v>6</v>
      </c>
      <c r="O127">
        <v>31</v>
      </c>
      <c r="P127">
        <v>10</v>
      </c>
      <c r="Q127">
        <v>2017</v>
      </c>
      <c r="R127" s="9">
        <v>43039</v>
      </c>
      <c r="S127">
        <v>314</v>
      </c>
      <c r="T127">
        <v>1</v>
      </c>
      <c r="U127">
        <v>0</v>
      </c>
      <c r="V127">
        <v>0</v>
      </c>
      <c r="W127">
        <v>0</v>
      </c>
      <c r="X127" s="57">
        <f t="shared" si="8"/>
        <v>-87.949221749999992</v>
      </c>
      <c r="Y127" t="s">
        <v>16</v>
      </c>
      <c r="Z127">
        <v>4.5536058810000002</v>
      </c>
      <c r="AA127" s="3">
        <f t="shared" si="11"/>
        <v>9</v>
      </c>
      <c r="AB127" s="3">
        <f t="shared" si="12"/>
        <v>5</v>
      </c>
      <c r="AD127" s="3" t="s">
        <v>2750</v>
      </c>
      <c r="AE127" s="4">
        <v>-65.849377399999995</v>
      </c>
      <c r="AF127" s="4">
        <f t="shared" si="9"/>
        <v>-65.849377399999995</v>
      </c>
      <c r="AG127" s="60" t="s">
        <v>16</v>
      </c>
      <c r="AH127" s="61" t="s">
        <v>16</v>
      </c>
      <c r="AJ127" s="3">
        <f t="shared" si="10"/>
        <v>7</v>
      </c>
      <c r="AK127" s="3" t="s">
        <v>2709</v>
      </c>
      <c r="AL127">
        <v>7</v>
      </c>
      <c r="AM127" t="s">
        <v>15</v>
      </c>
    </row>
    <row r="128" spans="1:39" ht="15" hidden="1" thickTop="1" x14ac:dyDescent="0.3">
      <c r="A128" s="51" t="s">
        <v>413</v>
      </c>
      <c r="B128" s="54" t="s">
        <v>414</v>
      </c>
      <c r="C128" s="51" t="s">
        <v>2765</v>
      </c>
      <c r="D128" s="53">
        <v>1</v>
      </c>
      <c r="E128" s="53">
        <v>0</v>
      </c>
      <c r="F128" s="51" t="s">
        <v>2744</v>
      </c>
      <c r="G128" s="51" t="s">
        <v>2695</v>
      </c>
      <c r="H128" s="25" t="str">
        <f t="shared" si="13"/>
        <v>jgd</v>
      </c>
      <c r="I128" t="s">
        <v>72</v>
      </c>
      <c r="J128" t="s">
        <v>155</v>
      </c>
      <c r="K128" t="s">
        <v>415</v>
      </c>
      <c r="L128" s="25">
        <v>46.091366290000003</v>
      </c>
      <c r="M128" s="25">
        <v>8.8428238060000002</v>
      </c>
      <c r="N128">
        <v>4</v>
      </c>
      <c r="O128">
        <v>9</v>
      </c>
      <c r="P128">
        <v>11</v>
      </c>
      <c r="Q128">
        <v>2014</v>
      </c>
      <c r="R128" s="9">
        <v>41952</v>
      </c>
      <c r="S128">
        <v>329</v>
      </c>
      <c r="T128">
        <v>1</v>
      </c>
      <c r="U128">
        <v>0</v>
      </c>
      <c r="V128">
        <v>0</v>
      </c>
      <c r="W128">
        <v>0</v>
      </c>
      <c r="X128">
        <f t="shared" si="8"/>
        <v>-87.475000000000009</v>
      </c>
      <c r="Y128">
        <v>-23.508800000000001</v>
      </c>
      <c r="Z128">
        <v>5.3730797150000003</v>
      </c>
      <c r="AA128" s="3">
        <f t="shared" si="11"/>
        <v>9</v>
      </c>
      <c r="AB128" s="3">
        <f t="shared" si="12"/>
        <v>5</v>
      </c>
      <c r="AD128" s="3" t="s">
        <v>2754</v>
      </c>
      <c r="AE128" s="4">
        <v>-65.47</v>
      </c>
      <c r="AF128" s="4">
        <f t="shared" si="9"/>
        <v>-65.47</v>
      </c>
      <c r="AG128" s="1">
        <v>-88</v>
      </c>
      <c r="AH128" s="2">
        <v>-87.48</v>
      </c>
      <c r="AI128"/>
      <c r="AJ128" s="3">
        <f t="shared" si="10"/>
        <v>7</v>
      </c>
      <c r="AK128" s="3" t="s">
        <v>2709</v>
      </c>
      <c r="AL128">
        <v>7</v>
      </c>
      <c r="AM128" t="s">
        <v>15</v>
      </c>
    </row>
    <row r="129" spans="1:39" ht="15" hidden="1" thickTop="1" x14ac:dyDescent="0.3">
      <c r="A129" s="51" t="s">
        <v>396</v>
      </c>
      <c r="B129" s="54" t="s">
        <v>154</v>
      </c>
      <c r="C129" s="51" t="s">
        <v>2765</v>
      </c>
      <c r="D129" s="53">
        <v>1</v>
      </c>
      <c r="E129" s="53">
        <v>0</v>
      </c>
      <c r="F129" s="51" t="s">
        <v>2744</v>
      </c>
      <c r="G129" s="51" t="s">
        <v>2695</v>
      </c>
      <c r="H129" s="25" t="str">
        <f t="shared" si="13"/>
        <v>jgd</v>
      </c>
      <c r="I129" t="s">
        <v>72</v>
      </c>
      <c r="J129" t="s">
        <v>155</v>
      </c>
      <c r="K129" t="s">
        <v>397</v>
      </c>
      <c r="L129" s="25">
        <v>46.083207199999997</v>
      </c>
      <c r="M129" s="25">
        <v>8.8477857009999994</v>
      </c>
      <c r="N129">
        <v>4</v>
      </c>
      <c r="O129">
        <v>16</v>
      </c>
      <c r="P129">
        <v>10</v>
      </c>
      <c r="Q129">
        <v>2014</v>
      </c>
      <c r="R129" s="9">
        <v>41928</v>
      </c>
      <c r="S129">
        <v>326</v>
      </c>
      <c r="T129">
        <v>1</v>
      </c>
      <c r="U129">
        <v>0</v>
      </c>
      <c r="V129">
        <v>0</v>
      </c>
      <c r="W129">
        <v>0</v>
      </c>
      <c r="X129">
        <f t="shared" si="8"/>
        <v>-86.762500000000003</v>
      </c>
      <c r="Y129">
        <v>-22.897200000000002</v>
      </c>
      <c r="Z129">
        <v>1.274868372</v>
      </c>
      <c r="AA129" s="3">
        <f t="shared" si="11"/>
        <v>9</v>
      </c>
      <c r="AB129" s="3">
        <f t="shared" si="12"/>
        <v>1</v>
      </c>
      <c r="AD129" s="3" t="s">
        <v>2754</v>
      </c>
      <c r="AE129" s="4">
        <v>-64.900000000000006</v>
      </c>
      <c r="AF129" s="4">
        <f t="shared" si="9"/>
        <v>-64.900000000000006</v>
      </c>
      <c r="AG129" s="1">
        <v>-87.4</v>
      </c>
      <c r="AH129" s="2">
        <v>-86.76</v>
      </c>
      <c r="AI129"/>
      <c r="AJ129" s="3">
        <f t="shared" si="10"/>
        <v>6</v>
      </c>
      <c r="AK129" s="3" t="s">
        <v>2707</v>
      </c>
      <c r="AL129">
        <v>6</v>
      </c>
      <c r="AM129" t="s">
        <v>15</v>
      </c>
    </row>
    <row r="130" spans="1:39" ht="15" hidden="1" thickTop="1" x14ac:dyDescent="0.3">
      <c r="A130" s="51" t="s">
        <v>2060</v>
      </c>
      <c r="B130" s="54" t="s">
        <v>305</v>
      </c>
      <c r="C130" s="51" t="s">
        <v>2765</v>
      </c>
      <c r="D130" s="53">
        <v>1</v>
      </c>
      <c r="E130" s="53">
        <v>0</v>
      </c>
      <c r="F130" s="51" t="s">
        <v>2744</v>
      </c>
      <c r="G130" s="51" t="s">
        <v>2695</v>
      </c>
      <c r="H130" s="25" t="str">
        <f t="shared" ref="H130:H161" si="14">IF(T130=1,"jgd",IF(W130=1,"Captures automne","Captures printemps-été"))</f>
        <v>jgd</v>
      </c>
      <c r="I130" t="s">
        <v>72</v>
      </c>
      <c r="J130" t="s">
        <v>2059</v>
      </c>
      <c r="K130" t="s">
        <v>2061</v>
      </c>
      <c r="L130" s="25">
        <v>46.106616410000001</v>
      </c>
      <c r="M130" s="25">
        <v>9.0482372860000009</v>
      </c>
      <c r="N130">
        <v>5</v>
      </c>
      <c r="O130">
        <v>29</v>
      </c>
      <c r="P130">
        <v>10</v>
      </c>
      <c r="Q130">
        <v>2017</v>
      </c>
      <c r="R130" s="9">
        <v>43037</v>
      </c>
      <c r="S130">
        <v>311</v>
      </c>
      <c r="T130">
        <v>1</v>
      </c>
      <c r="U130">
        <v>0</v>
      </c>
      <c r="V130">
        <v>0</v>
      </c>
      <c r="W130">
        <v>0</v>
      </c>
      <c r="X130" s="57">
        <f t="shared" ref="X130:X193" si="15">1.25 * AF130 - 5.6375</f>
        <v>-86.302790000000002</v>
      </c>
      <c r="Y130" t="s">
        <v>16</v>
      </c>
      <c r="Z130">
        <v>6.9332123399999999</v>
      </c>
      <c r="AA130" s="3">
        <f t="shared" si="11"/>
        <v>9</v>
      </c>
      <c r="AB130" s="3">
        <f t="shared" si="12"/>
        <v>7</v>
      </c>
      <c r="AD130" s="3" t="s">
        <v>2754</v>
      </c>
      <c r="AE130" s="4">
        <v>-64.532231999999993</v>
      </c>
      <c r="AF130" s="4">
        <f t="shared" ref="AF130:AF193" si="16">IF(AI130&lt;0,AI130,AE130)</f>
        <v>-64.532231999999993</v>
      </c>
      <c r="AG130" s="60" t="s">
        <v>16</v>
      </c>
      <c r="AH130" s="61" t="s">
        <v>16</v>
      </c>
      <c r="AJ130" s="3">
        <f t="shared" ref="AJ130:AJ193" si="17">-ROUND(AF130/10,0)</f>
        <v>6</v>
      </c>
      <c r="AK130" s="3" t="s">
        <v>2707</v>
      </c>
      <c r="AL130">
        <v>6</v>
      </c>
      <c r="AM130" t="s">
        <v>15</v>
      </c>
    </row>
    <row r="131" spans="1:39" ht="15" hidden="1" thickTop="1" x14ac:dyDescent="0.3">
      <c r="A131" s="51" t="s">
        <v>2735</v>
      </c>
      <c r="B131" s="54" t="s">
        <v>588</v>
      </c>
      <c r="C131" s="51" t="s">
        <v>2765</v>
      </c>
      <c r="D131" s="53">
        <v>1</v>
      </c>
      <c r="E131" s="53">
        <v>0</v>
      </c>
      <c r="F131" s="51" t="s">
        <v>2744</v>
      </c>
      <c r="G131" s="51" t="s">
        <v>2695</v>
      </c>
      <c r="H131" s="25" t="str">
        <f t="shared" si="14"/>
        <v>jgd</v>
      </c>
      <c r="I131" t="s">
        <v>72</v>
      </c>
      <c r="J131" t="s">
        <v>579</v>
      </c>
      <c r="K131" t="s">
        <v>589</v>
      </c>
      <c r="L131" s="25">
        <v>46.221265690000003</v>
      </c>
      <c r="M131" s="25">
        <v>8.6226215059999998</v>
      </c>
      <c r="N131">
        <v>6</v>
      </c>
      <c r="O131">
        <v>9</v>
      </c>
      <c r="P131">
        <v>11</v>
      </c>
      <c r="Q131">
        <v>2014</v>
      </c>
      <c r="R131" s="9">
        <v>41952</v>
      </c>
      <c r="S131">
        <v>298</v>
      </c>
      <c r="T131">
        <v>1</v>
      </c>
      <c r="U131">
        <v>0</v>
      </c>
      <c r="V131">
        <v>0</v>
      </c>
      <c r="W131">
        <v>0</v>
      </c>
      <c r="X131">
        <f t="shared" si="15"/>
        <v>-85.524999999999991</v>
      </c>
      <c r="Y131">
        <v>-23.311800000000002</v>
      </c>
      <c r="Z131">
        <v>1.4389842660000001</v>
      </c>
      <c r="AA131" s="3">
        <f t="shared" ref="AA131:AA194" si="18">-ROUND(X131/10,0)</f>
        <v>9</v>
      </c>
      <c r="AB131" s="3">
        <f t="shared" ref="AB131:AB194" si="19">ROUND(Z131,0)</f>
        <v>1</v>
      </c>
      <c r="AD131" s="3" t="s">
        <v>2754</v>
      </c>
      <c r="AE131" s="4">
        <v>-63.91</v>
      </c>
      <c r="AF131" s="4">
        <f t="shared" si="16"/>
        <v>-63.91</v>
      </c>
      <c r="AG131" s="1">
        <v>-86.4</v>
      </c>
      <c r="AH131" s="2">
        <v>-85.52</v>
      </c>
      <c r="AI131"/>
      <c r="AJ131" s="3">
        <f t="shared" si="17"/>
        <v>6</v>
      </c>
      <c r="AK131" s="3" t="s">
        <v>2707</v>
      </c>
      <c r="AL131">
        <v>6</v>
      </c>
      <c r="AM131" t="s">
        <v>15</v>
      </c>
    </row>
    <row r="132" spans="1:39" ht="15" hidden="1" thickTop="1" x14ac:dyDescent="0.3">
      <c r="A132" s="51" t="s">
        <v>1123</v>
      </c>
      <c r="B132" s="54" t="s">
        <v>1124</v>
      </c>
      <c r="C132" s="51" t="s">
        <v>2765</v>
      </c>
      <c r="D132" s="53">
        <v>1</v>
      </c>
      <c r="E132" s="53">
        <v>0</v>
      </c>
      <c r="F132" s="51" t="s">
        <v>2744</v>
      </c>
      <c r="G132" s="51" t="s">
        <v>2695</v>
      </c>
      <c r="H132" s="25" t="str">
        <f t="shared" si="14"/>
        <v>jgd</v>
      </c>
      <c r="I132" t="s">
        <v>13</v>
      </c>
      <c r="J132" t="s">
        <v>519</v>
      </c>
      <c r="K132" t="s">
        <v>1125</v>
      </c>
      <c r="L132" s="25">
        <v>47.03852071</v>
      </c>
      <c r="M132" s="25">
        <v>6.5618178949999999</v>
      </c>
      <c r="N132">
        <v>6</v>
      </c>
      <c r="O132">
        <v>3</v>
      </c>
      <c r="P132">
        <v>10</v>
      </c>
      <c r="Q132">
        <v>2015</v>
      </c>
      <c r="R132" s="9">
        <v>42280</v>
      </c>
      <c r="S132">
        <v>277</v>
      </c>
      <c r="T132">
        <v>1</v>
      </c>
      <c r="U132">
        <v>0</v>
      </c>
      <c r="V132">
        <v>0</v>
      </c>
      <c r="W132">
        <v>0</v>
      </c>
      <c r="X132">
        <f t="shared" si="15"/>
        <v>-85.5</v>
      </c>
      <c r="Y132">
        <v>-23.7</v>
      </c>
      <c r="Z132">
        <v>1.147890852</v>
      </c>
      <c r="AA132" s="3">
        <f t="shared" si="18"/>
        <v>9</v>
      </c>
      <c r="AB132" s="3">
        <f t="shared" si="19"/>
        <v>1</v>
      </c>
      <c r="AD132" s="3" t="s">
        <v>2750</v>
      </c>
      <c r="AE132" s="4">
        <v>-63.89</v>
      </c>
      <c r="AF132" s="4">
        <f t="shared" si="16"/>
        <v>-63.89</v>
      </c>
      <c r="AG132" s="1">
        <v>-86.4</v>
      </c>
      <c r="AH132" s="2">
        <v>-85.5</v>
      </c>
      <c r="AI132"/>
      <c r="AJ132" s="3">
        <f t="shared" si="17"/>
        <v>6</v>
      </c>
      <c r="AK132" s="3" t="s">
        <v>2707</v>
      </c>
      <c r="AL132">
        <v>6</v>
      </c>
      <c r="AM132" t="s">
        <v>15</v>
      </c>
    </row>
    <row r="133" spans="1:39" ht="15" hidden="1" thickTop="1" x14ac:dyDescent="0.3">
      <c r="A133" s="51" t="s">
        <v>160</v>
      </c>
      <c r="B133" s="54" t="s">
        <v>161</v>
      </c>
      <c r="C133" s="51" t="s">
        <v>2765</v>
      </c>
      <c r="D133" s="53">
        <v>1</v>
      </c>
      <c r="E133" s="53">
        <v>0</v>
      </c>
      <c r="F133" s="51" t="s">
        <v>2744</v>
      </c>
      <c r="G133" s="51" t="s">
        <v>2695</v>
      </c>
      <c r="H133" s="25" t="str">
        <f t="shared" si="14"/>
        <v>jgd</v>
      </c>
      <c r="I133" t="s">
        <v>72</v>
      </c>
      <c r="J133" t="s">
        <v>155</v>
      </c>
      <c r="K133" t="s">
        <v>162</v>
      </c>
      <c r="L133" s="25">
        <v>46.08312626</v>
      </c>
      <c r="M133" s="25">
        <v>8.8542482360000001</v>
      </c>
      <c r="N133">
        <v>3</v>
      </c>
      <c r="O133" t="s">
        <v>16</v>
      </c>
      <c r="P133" t="s">
        <v>16</v>
      </c>
      <c r="Q133">
        <v>2013</v>
      </c>
      <c r="R133" s="9" t="s">
        <v>16</v>
      </c>
      <c r="S133">
        <v>359</v>
      </c>
      <c r="T133">
        <v>1</v>
      </c>
      <c r="U133">
        <v>0</v>
      </c>
      <c r="V133">
        <v>0</v>
      </c>
      <c r="W133">
        <v>0</v>
      </c>
      <c r="X133">
        <f t="shared" si="15"/>
        <v>-84.987499999999997</v>
      </c>
      <c r="Y133">
        <v>-20.89521873</v>
      </c>
      <c r="Z133">
        <v>1.718314814</v>
      </c>
      <c r="AA133" s="3">
        <f t="shared" si="18"/>
        <v>8</v>
      </c>
      <c r="AB133" s="3">
        <f t="shared" si="19"/>
        <v>2</v>
      </c>
      <c r="AD133" s="3" t="s">
        <v>2754</v>
      </c>
      <c r="AE133" s="4">
        <v>-63.48</v>
      </c>
      <c r="AF133" s="4">
        <f t="shared" si="16"/>
        <v>-63.48</v>
      </c>
      <c r="AG133" s="1">
        <v>-86</v>
      </c>
      <c r="AH133" s="2">
        <v>-84.98</v>
      </c>
      <c r="AI133"/>
      <c r="AJ133" s="3">
        <f t="shared" si="17"/>
        <v>6</v>
      </c>
      <c r="AK133" s="3" t="s">
        <v>2707</v>
      </c>
      <c r="AL133">
        <v>6</v>
      </c>
      <c r="AM133" t="s">
        <v>15</v>
      </c>
    </row>
    <row r="134" spans="1:39" ht="15" hidden="1" thickTop="1" x14ac:dyDescent="0.3">
      <c r="A134" s="51" t="s">
        <v>456</v>
      </c>
      <c r="B134" s="54" t="s">
        <v>457</v>
      </c>
      <c r="C134" s="51" t="s">
        <v>2765</v>
      </c>
      <c r="D134" s="53">
        <v>1</v>
      </c>
      <c r="E134" s="53">
        <v>0</v>
      </c>
      <c r="F134" s="51" t="s">
        <v>2744</v>
      </c>
      <c r="G134" s="51" t="s">
        <v>2695</v>
      </c>
      <c r="H134" s="25" t="str">
        <f t="shared" si="14"/>
        <v>jgd</v>
      </c>
      <c r="I134" t="s">
        <v>72</v>
      </c>
      <c r="J134" t="s">
        <v>458</v>
      </c>
      <c r="K134" t="s">
        <v>455</v>
      </c>
      <c r="L134" s="25">
        <v>46.487488339999999</v>
      </c>
      <c r="M134" s="25">
        <v>8.9274915630000002</v>
      </c>
      <c r="N134">
        <v>6</v>
      </c>
      <c r="O134">
        <v>1</v>
      </c>
      <c r="P134">
        <v>11</v>
      </c>
      <c r="Q134">
        <v>2014</v>
      </c>
      <c r="R134" s="9">
        <v>41944</v>
      </c>
      <c r="S134">
        <v>312</v>
      </c>
      <c r="T134">
        <v>1</v>
      </c>
      <c r="U134">
        <v>0</v>
      </c>
      <c r="V134">
        <v>0</v>
      </c>
      <c r="W134">
        <v>0</v>
      </c>
      <c r="X134">
        <f t="shared" si="15"/>
        <v>-84.987499999999997</v>
      </c>
      <c r="Y134">
        <v>-24.156199999999998</v>
      </c>
      <c r="Z134">
        <v>9.5737913060000004</v>
      </c>
      <c r="AA134" s="3">
        <f t="shared" si="18"/>
        <v>8</v>
      </c>
      <c r="AB134" s="3">
        <f t="shared" si="19"/>
        <v>10</v>
      </c>
      <c r="AD134" s="3" t="s">
        <v>2754</v>
      </c>
      <c r="AE134" s="4">
        <v>-63.48</v>
      </c>
      <c r="AF134" s="4">
        <f t="shared" si="16"/>
        <v>-63.48</v>
      </c>
      <c r="AG134" s="1">
        <v>-86</v>
      </c>
      <c r="AH134" s="2">
        <v>-84.99</v>
      </c>
      <c r="AI134"/>
      <c r="AJ134" s="3">
        <f t="shared" si="17"/>
        <v>6</v>
      </c>
      <c r="AK134" s="3" t="s">
        <v>2707</v>
      </c>
      <c r="AL134">
        <v>6</v>
      </c>
      <c r="AM134" t="s">
        <v>15</v>
      </c>
    </row>
    <row r="135" spans="1:39" ht="15" hidden="1" thickTop="1" x14ac:dyDescent="0.3">
      <c r="A135" s="51" t="s">
        <v>1442</v>
      </c>
      <c r="B135" s="54" t="s">
        <v>93</v>
      </c>
      <c r="C135" s="51" t="s">
        <v>2765</v>
      </c>
      <c r="D135" s="53">
        <v>1</v>
      </c>
      <c r="E135" s="53">
        <v>0</v>
      </c>
      <c r="F135" s="51" t="s">
        <v>2744</v>
      </c>
      <c r="G135" s="51" t="s">
        <v>2695</v>
      </c>
      <c r="H135" s="25" t="str">
        <f t="shared" si="14"/>
        <v>jgd</v>
      </c>
      <c r="I135" t="s">
        <v>13</v>
      </c>
      <c r="J135" t="s">
        <v>519</v>
      </c>
      <c r="K135" t="s">
        <v>16</v>
      </c>
      <c r="L135" s="25">
        <v>47.03976497</v>
      </c>
      <c r="M135" s="25">
        <v>6.8991641640000001</v>
      </c>
      <c r="N135">
        <v>2</v>
      </c>
      <c r="O135">
        <v>13</v>
      </c>
      <c r="P135">
        <v>10</v>
      </c>
      <c r="Q135">
        <v>2016</v>
      </c>
      <c r="R135" s="9">
        <v>42656</v>
      </c>
      <c r="S135">
        <v>360</v>
      </c>
      <c r="T135">
        <v>1</v>
      </c>
      <c r="U135">
        <v>0</v>
      </c>
      <c r="V135">
        <v>0</v>
      </c>
      <c r="W135">
        <v>0</v>
      </c>
      <c r="X135" s="57">
        <f t="shared" si="15"/>
        <v>-84.415346624999998</v>
      </c>
      <c r="Y135">
        <v>-24.46</v>
      </c>
      <c r="Z135">
        <v>6.2</v>
      </c>
      <c r="AA135" s="3">
        <f t="shared" si="18"/>
        <v>8</v>
      </c>
      <c r="AB135" s="3">
        <f t="shared" si="19"/>
        <v>6</v>
      </c>
      <c r="AD135" s="3" t="s">
        <v>2750</v>
      </c>
      <c r="AE135" s="4">
        <v>-63.022277299999999</v>
      </c>
      <c r="AF135" s="4">
        <f t="shared" si="16"/>
        <v>-63.022277299999999</v>
      </c>
      <c r="AG135" s="60" t="s">
        <v>16</v>
      </c>
      <c r="AH135" s="61" t="s">
        <v>16</v>
      </c>
      <c r="AJ135" s="3">
        <f t="shared" si="17"/>
        <v>6</v>
      </c>
      <c r="AK135" s="3" t="s">
        <v>2707</v>
      </c>
      <c r="AL135">
        <v>6</v>
      </c>
      <c r="AM135" t="s">
        <v>15</v>
      </c>
    </row>
    <row r="136" spans="1:39" ht="15" hidden="1" thickTop="1" x14ac:dyDescent="0.3">
      <c r="A136" s="51" t="s">
        <v>2112</v>
      </c>
      <c r="B136" s="54" t="s">
        <v>366</v>
      </c>
      <c r="C136" s="51" t="s">
        <v>2765</v>
      </c>
      <c r="D136" s="53">
        <v>1</v>
      </c>
      <c r="E136" s="53">
        <v>0</v>
      </c>
      <c r="F136" s="51" t="s">
        <v>2744</v>
      </c>
      <c r="G136" s="51" t="s">
        <v>2695</v>
      </c>
      <c r="H136" s="25" t="str">
        <f t="shared" si="14"/>
        <v>jgd</v>
      </c>
      <c r="I136" t="s">
        <v>30</v>
      </c>
      <c r="J136" t="s">
        <v>2113</v>
      </c>
      <c r="K136" t="s">
        <v>2114</v>
      </c>
      <c r="L136" s="25">
        <v>46.749627519999997</v>
      </c>
      <c r="M136" s="25">
        <v>7.2611511030000004</v>
      </c>
      <c r="N136">
        <v>5</v>
      </c>
      <c r="O136">
        <v>9</v>
      </c>
      <c r="P136">
        <v>11</v>
      </c>
      <c r="Q136">
        <v>2017</v>
      </c>
      <c r="R136" s="9">
        <v>43048</v>
      </c>
      <c r="S136">
        <v>330</v>
      </c>
      <c r="T136">
        <v>1</v>
      </c>
      <c r="U136">
        <v>0</v>
      </c>
      <c r="V136">
        <v>0</v>
      </c>
      <c r="W136">
        <v>0</v>
      </c>
      <c r="X136" s="57">
        <f t="shared" si="15"/>
        <v>-83.795589000000007</v>
      </c>
      <c r="Y136" t="s">
        <v>16</v>
      </c>
      <c r="Z136">
        <v>5.9596984769999999</v>
      </c>
      <c r="AA136" s="3">
        <f t="shared" si="18"/>
        <v>8</v>
      </c>
      <c r="AB136" s="3">
        <f t="shared" si="19"/>
        <v>6</v>
      </c>
      <c r="AD136" s="3" t="s">
        <v>2752</v>
      </c>
      <c r="AE136" s="4">
        <v>-62.526471200000003</v>
      </c>
      <c r="AF136" s="4">
        <f t="shared" si="16"/>
        <v>-62.526471200000003</v>
      </c>
      <c r="AG136" s="60" t="s">
        <v>16</v>
      </c>
      <c r="AH136" s="61" t="s">
        <v>16</v>
      </c>
      <c r="AJ136" s="3">
        <f t="shared" si="17"/>
        <v>6</v>
      </c>
      <c r="AK136" s="3" t="s">
        <v>2707</v>
      </c>
      <c r="AL136">
        <v>6</v>
      </c>
      <c r="AM136" t="s">
        <v>15</v>
      </c>
    </row>
    <row r="137" spans="1:39" ht="15" hidden="1" thickTop="1" x14ac:dyDescent="0.3">
      <c r="A137" s="51" t="s">
        <v>281</v>
      </c>
      <c r="B137" s="54" t="s">
        <v>282</v>
      </c>
      <c r="C137" s="51" t="s">
        <v>2765</v>
      </c>
      <c r="D137" s="53">
        <v>1</v>
      </c>
      <c r="E137" s="53">
        <v>0</v>
      </c>
      <c r="F137" s="51" t="s">
        <v>2744</v>
      </c>
      <c r="G137" s="51" t="s">
        <v>2695</v>
      </c>
      <c r="H137" s="25" t="str">
        <f t="shared" si="14"/>
        <v>jgd</v>
      </c>
      <c r="I137" t="s">
        <v>13</v>
      </c>
      <c r="J137" t="s">
        <v>283</v>
      </c>
      <c r="K137" t="s">
        <v>22</v>
      </c>
      <c r="L137" s="25">
        <v>46.968498719999999</v>
      </c>
      <c r="M137" s="25">
        <v>6.6445800740000003</v>
      </c>
      <c r="N137">
        <v>5</v>
      </c>
      <c r="O137">
        <v>9</v>
      </c>
      <c r="P137">
        <v>11</v>
      </c>
      <c r="Q137">
        <v>2013</v>
      </c>
      <c r="R137" s="9">
        <v>41587</v>
      </c>
      <c r="S137">
        <v>389</v>
      </c>
      <c r="T137">
        <v>1</v>
      </c>
      <c r="U137">
        <v>0</v>
      </c>
      <c r="V137">
        <v>0</v>
      </c>
      <c r="W137">
        <v>0</v>
      </c>
      <c r="X137">
        <f t="shared" si="15"/>
        <v>-83.7</v>
      </c>
      <c r="Y137">
        <v>-41.02526409</v>
      </c>
      <c r="Z137">
        <v>3.2503141499999999</v>
      </c>
      <c r="AA137" s="3">
        <f t="shared" si="18"/>
        <v>8</v>
      </c>
      <c r="AB137" s="3">
        <f t="shared" si="19"/>
        <v>3</v>
      </c>
      <c r="AD137" s="3" t="s">
        <v>2750</v>
      </c>
      <c r="AE137" s="4">
        <v>-62.45</v>
      </c>
      <c r="AF137" s="4">
        <f t="shared" si="16"/>
        <v>-62.45</v>
      </c>
      <c r="AG137" s="1">
        <v>-84.9</v>
      </c>
      <c r="AH137" s="2">
        <v>-83.7</v>
      </c>
      <c r="AI137"/>
      <c r="AJ137" s="3">
        <f t="shared" si="17"/>
        <v>6</v>
      </c>
      <c r="AK137" s="3" t="s">
        <v>2707</v>
      </c>
      <c r="AL137">
        <v>6</v>
      </c>
      <c r="AM137" t="s">
        <v>15</v>
      </c>
    </row>
    <row r="138" spans="1:39" ht="15" hidden="1" thickTop="1" x14ac:dyDescent="0.3">
      <c r="A138" s="51" t="s">
        <v>2582</v>
      </c>
      <c r="B138" s="54" t="s">
        <v>2583</v>
      </c>
      <c r="C138" s="51" t="s">
        <v>2765</v>
      </c>
      <c r="D138" s="53">
        <v>1</v>
      </c>
      <c r="E138" s="53">
        <v>0</v>
      </c>
      <c r="F138" s="51" t="s">
        <v>2744</v>
      </c>
      <c r="G138" s="51" t="s">
        <v>2695</v>
      </c>
      <c r="H138" s="25" t="str">
        <f t="shared" si="14"/>
        <v>jgd</v>
      </c>
      <c r="I138" t="s">
        <v>385</v>
      </c>
      <c r="J138" t="s">
        <v>2576</v>
      </c>
      <c r="K138" t="s">
        <v>2584</v>
      </c>
      <c r="L138" s="25">
        <v>46.537196739999999</v>
      </c>
      <c r="M138" s="25">
        <v>6.416612239</v>
      </c>
      <c r="N138">
        <v>4</v>
      </c>
      <c r="O138">
        <v>28</v>
      </c>
      <c r="P138">
        <v>11</v>
      </c>
      <c r="Q138">
        <v>2017</v>
      </c>
      <c r="R138" s="9">
        <v>43067</v>
      </c>
      <c r="S138">
        <v>306</v>
      </c>
      <c r="T138">
        <v>1</v>
      </c>
      <c r="U138">
        <v>0</v>
      </c>
      <c r="V138">
        <v>0</v>
      </c>
      <c r="W138">
        <v>0</v>
      </c>
      <c r="X138" s="57">
        <f t="shared" si="15"/>
        <v>-82.736486249999999</v>
      </c>
      <c r="Y138" t="s">
        <v>16</v>
      </c>
      <c r="Z138">
        <v>7.1829979780000004</v>
      </c>
      <c r="AA138" s="3">
        <f t="shared" si="18"/>
        <v>8</v>
      </c>
      <c r="AB138" s="3">
        <f t="shared" si="19"/>
        <v>7</v>
      </c>
      <c r="AD138" s="3" t="s">
        <v>2751</v>
      </c>
      <c r="AE138" s="4">
        <v>-61.679189000000001</v>
      </c>
      <c r="AF138" s="4">
        <f t="shared" si="16"/>
        <v>-61.679189000000001</v>
      </c>
      <c r="AG138" s="60" t="s">
        <v>16</v>
      </c>
      <c r="AH138" s="61" t="s">
        <v>16</v>
      </c>
      <c r="AJ138" s="3">
        <f t="shared" si="17"/>
        <v>6</v>
      </c>
      <c r="AK138" s="3" t="s">
        <v>2707</v>
      </c>
      <c r="AL138">
        <v>6</v>
      </c>
      <c r="AM138" t="s">
        <v>15</v>
      </c>
    </row>
    <row r="139" spans="1:39" ht="15" hidden="1" thickTop="1" x14ac:dyDescent="0.3">
      <c r="A139" s="51" t="s">
        <v>576</v>
      </c>
      <c r="B139" s="54" t="s">
        <v>577</v>
      </c>
      <c r="C139" s="51" t="s">
        <v>2765</v>
      </c>
      <c r="D139" s="53">
        <v>1</v>
      </c>
      <c r="E139" s="53">
        <v>0</v>
      </c>
      <c r="F139" s="51" t="s">
        <v>2744</v>
      </c>
      <c r="G139" s="51" t="s">
        <v>2695</v>
      </c>
      <c r="H139" s="25" t="str">
        <f t="shared" si="14"/>
        <v>jgd</v>
      </c>
      <c r="I139" t="s">
        <v>72</v>
      </c>
      <c r="J139" t="s">
        <v>574</v>
      </c>
      <c r="K139" t="s">
        <v>16</v>
      </c>
      <c r="L139" s="25">
        <v>46.083150000000003</v>
      </c>
      <c r="M139" s="25">
        <v>9.0533639190000006</v>
      </c>
      <c r="N139">
        <v>5</v>
      </c>
      <c r="O139">
        <v>5</v>
      </c>
      <c r="P139">
        <v>11</v>
      </c>
      <c r="Q139">
        <v>2014</v>
      </c>
      <c r="R139" s="9">
        <v>41948</v>
      </c>
      <c r="S139">
        <v>350</v>
      </c>
      <c r="T139">
        <v>1</v>
      </c>
      <c r="U139">
        <v>0</v>
      </c>
      <c r="V139">
        <v>0</v>
      </c>
      <c r="W139">
        <v>0</v>
      </c>
      <c r="X139">
        <f t="shared" si="15"/>
        <v>-82.325000000000003</v>
      </c>
      <c r="Y139">
        <v>-22.864750000000001</v>
      </c>
      <c r="Z139">
        <v>2.654092157</v>
      </c>
      <c r="AA139" s="3">
        <f t="shared" si="18"/>
        <v>8</v>
      </c>
      <c r="AB139" s="3">
        <f t="shared" si="19"/>
        <v>3</v>
      </c>
      <c r="AD139" s="3" t="s">
        <v>2754</v>
      </c>
      <c r="AE139" s="4">
        <v>-61.35</v>
      </c>
      <c r="AF139" s="4">
        <f t="shared" si="16"/>
        <v>-61.35</v>
      </c>
      <c r="AG139" s="1">
        <v>-83.8</v>
      </c>
      <c r="AH139" s="2">
        <v>-82.33</v>
      </c>
      <c r="AI139"/>
      <c r="AJ139" s="3">
        <f t="shared" si="17"/>
        <v>6</v>
      </c>
      <c r="AK139" s="3" t="s">
        <v>2707</v>
      </c>
      <c r="AL139">
        <v>6</v>
      </c>
      <c r="AM139" t="s">
        <v>15</v>
      </c>
    </row>
    <row r="140" spans="1:39" ht="15" hidden="1" thickTop="1" x14ac:dyDescent="0.3">
      <c r="A140" s="51" t="s">
        <v>2588</v>
      </c>
      <c r="B140" s="54" t="s">
        <v>2589</v>
      </c>
      <c r="C140" s="51" t="s">
        <v>2765</v>
      </c>
      <c r="D140" s="53">
        <v>1</v>
      </c>
      <c r="E140" s="53">
        <v>0</v>
      </c>
      <c r="F140" s="51" t="s">
        <v>2744</v>
      </c>
      <c r="G140" s="51" t="s">
        <v>2695</v>
      </c>
      <c r="H140" s="25" t="str">
        <f t="shared" si="14"/>
        <v>jgd</v>
      </c>
      <c r="I140" t="s">
        <v>30</v>
      </c>
      <c r="J140" t="s">
        <v>64</v>
      </c>
      <c r="K140" t="s">
        <v>2103</v>
      </c>
      <c r="L140" s="25">
        <v>46.658780999999998</v>
      </c>
      <c r="M140" s="25">
        <v>7.0057150000000004</v>
      </c>
      <c r="N140">
        <v>5</v>
      </c>
      <c r="O140">
        <v>2</v>
      </c>
      <c r="P140">
        <v>11</v>
      </c>
      <c r="Q140">
        <v>2017</v>
      </c>
      <c r="R140" s="9">
        <v>43041</v>
      </c>
      <c r="S140">
        <v>323</v>
      </c>
      <c r="T140">
        <v>1</v>
      </c>
      <c r="U140">
        <v>0</v>
      </c>
      <c r="V140">
        <v>0</v>
      </c>
      <c r="W140">
        <v>0</v>
      </c>
      <c r="X140" s="57">
        <f t="shared" si="15"/>
        <v>-80.938556000000005</v>
      </c>
      <c r="Y140" t="s">
        <v>16</v>
      </c>
      <c r="Z140">
        <v>7.3712855289999997</v>
      </c>
      <c r="AA140" s="3">
        <f t="shared" si="18"/>
        <v>8</v>
      </c>
      <c r="AB140" s="3">
        <f t="shared" si="19"/>
        <v>7</v>
      </c>
      <c r="AD140" s="3" t="s">
        <v>2751</v>
      </c>
      <c r="AE140" s="4">
        <v>-60.240844799999998</v>
      </c>
      <c r="AF140" s="4">
        <f t="shared" si="16"/>
        <v>-60.240844799999998</v>
      </c>
      <c r="AG140" s="60" t="s">
        <v>16</v>
      </c>
      <c r="AH140" s="61" t="s">
        <v>16</v>
      </c>
      <c r="AJ140" s="3">
        <f t="shared" si="17"/>
        <v>6</v>
      </c>
      <c r="AK140" s="3" t="s">
        <v>2707</v>
      </c>
      <c r="AL140">
        <v>6</v>
      </c>
      <c r="AM140" t="s">
        <v>15</v>
      </c>
    </row>
    <row r="141" spans="1:39" ht="15" hidden="1" thickTop="1" x14ac:dyDescent="0.3">
      <c r="A141" s="51" t="s">
        <v>2165</v>
      </c>
      <c r="B141" s="54" t="s">
        <v>1008</v>
      </c>
      <c r="C141" s="51" t="s">
        <v>2765</v>
      </c>
      <c r="D141" s="53">
        <v>1</v>
      </c>
      <c r="E141" s="53">
        <v>0</v>
      </c>
      <c r="F141" s="51" t="s">
        <v>2744</v>
      </c>
      <c r="G141" s="51" t="s">
        <v>2695</v>
      </c>
      <c r="H141" s="25" t="str">
        <f t="shared" si="14"/>
        <v>jgd</v>
      </c>
      <c r="I141" t="s">
        <v>385</v>
      </c>
      <c r="J141" t="s">
        <v>392</v>
      </c>
      <c r="K141" t="s">
        <v>16</v>
      </c>
      <c r="L141" s="25">
        <v>46.798820970000001</v>
      </c>
      <c r="M141" s="25">
        <v>6.5020398190000002</v>
      </c>
      <c r="N141">
        <v>3</v>
      </c>
      <c r="O141">
        <v>9</v>
      </c>
      <c r="P141">
        <v>11</v>
      </c>
      <c r="Q141">
        <v>2017</v>
      </c>
      <c r="R141" s="9">
        <v>43048</v>
      </c>
      <c r="S141">
        <v>340</v>
      </c>
      <c r="T141">
        <v>1</v>
      </c>
      <c r="U141">
        <v>0</v>
      </c>
      <c r="V141">
        <v>0</v>
      </c>
      <c r="W141">
        <v>0</v>
      </c>
      <c r="X141" s="57">
        <f t="shared" si="15"/>
        <v>-80.079662499999998</v>
      </c>
      <c r="Y141" t="s">
        <v>16</v>
      </c>
      <c r="Z141">
        <v>8.1894783760000003</v>
      </c>
      <c r="AA141" s="3">
        <f t="shared" si="18"/>
        <v>8</v>
      </c>
      <c r="AB141" s="3">
        <f t="shared" si="19"/>
        <v>8</v>
      </c>
      <c r="AD141" s="3" t="s">
        <v>2750</v>
      </c>
      <c r="AE141" s="4">
        <v>-59.553730000000002</v>
      </c>
      <c r="AF141" s="4">
        <f t="shared" si="16"/>
        <v>-59.553730000000002</v>
      </c>
      <c r="AG141" s="60" t="s">
        <v>16</v>
      </c>
      <c r="AH141" s="61" t="s">
        <v>16</v>
      </c>
      <c r="AJ141" s="3">
        <f t="shared" si="17"/>
        <v>6</v>
      </c>
      <c r="AK141" s="3" t="s">
        <v>2707</v>
      </c>
      <c r="AL141">
        <v>6</v>
      </c>
      <c r="AM141" t="s">
        <v>15</v>
      </c>
    </row>
    <row r="142" spans="1:39" ht="15" hidden="1" thickTop="1" x14ac:dyDescent="0.3">
      <c r="A142" s="51" t="s">
        <v>2477</v>
      </c>
      <c r="B142" s="54" t="s">
        <v>2478</v>
      </c>
      <c r="C142" s="51" t="s">
        <v>2765</v>
      </c>
      <c r="D142" s="53">
        <v>1</v>
      </c>
      <c r="E142" s="53">
        <v>0</v>
      </c>
      <c r="F142" s="51" t="s">
        <v>2744</v>
      </c>
      <c r="G142" s="51" t="s">
        <v>2695</v>
      </c>
      <c r="H142" s="25" t="str">
        <f t="shared" si="14"/>
        <v>jgd</v>
      </c>
      <c r="I142" t="s">
        <v>1488</v>
      </c>
      <c r="J142" t="s">
        <v>2464</v>
      </c>
      <c r="K142" t="s">
        <v>2465</v>
      </c>
      <c r="L142" s="25">
        <v>47.388959999999997</v>
      </c>
      <c r="M142" s="25">
        <v>7.2323500000000003</v>
      </c>
      <c r="N142">
        <v>5</v>
      </c>
      <c r="O142">
        <v>8</v>
      </c>
      <c r="P142">
        <v>11</v>
      </c>
      <c r="Q142">
        <v>2017</v>
      </c>
      <c r="R142" s="9">
        <v>43047</v>
      </c>
      <c r="S142">
        <v>332</v>
      </c>
      <c r="T142">
        <v>1</v>
      </c>
      <c r="U142">
        <v>0</v>
      </c>
      <c r="V142">
        <v>0</v>
      </c>
      <c r="W142">
        <v>0</v>
      </c>
      <c r="X142" s="57">
        <f t="shared" si="15"/>
        <v>-79.308128000000011</v>
      </c>
      <c r="Y142" t="s">
        <v>16</v>
      </c>
      <c r="Z142">
        <v>6.2071190280000001</v>
      </c>
      <c r="AA142" s="3">
        <f t="shared" si="18"/>
        <v>8</v>
      </c>
      <c r="AB142" s="3">
        <f t="shared" si="19"/>
        <v>6</v>
      </c>
      <c r="AD142" s="3" t="s">
        <v>2750</v>
      </c>
      <c r="AE142" s="4">
        <v>-58.936502400000002</v>
      </c>
      <c r="AF142" s="4">
        <f t="shared" si="16"/>
        <v>-58.936502400000002</v>
      </c>
      <c r="AG142" s="60" t="s">
        <v>16</v>
      </c>
      <c r="AH142" s="61" t="s">
        <v>16</v>
      </c>
      <c r="AJ142" s="3">
        <f t="shared" si="17"/>
        <v>6</v>
      </c>
      <c r="AK142" s="3" t="s">
        <v>2707</v>
      </c>
      <c r="AL142">
        <v>6</v>
      </c>
      <c r="AM142" t="s">
        <v>2676</v>
      </c>
    </row>
    <row r="143" spans="1:39" ht="15" hidden="1" thickTop="1" x14ac:dyDescent="0.3">
      <c r="A143" s="51" t="s">
        <v>2580</v>
      </c>
      <c r="B143" s="54" t="s">
        <v>2581</v>
      </c>
      <c r="C143" s="51" t="s">
        <v>2765</v>
      </c>
      <c r="D143" s="53">
        <v>1</v>
      </c>
      <c r="E143" s="53">
        <v>0</v>
      </c>
      <c r="F143" s="51" t="s">
        <v>2744</v>
      </c>
      <c r="G143" s="51" t="s">
        <v>2695</v>
      </c>
      <c r="H143" s="25" t="str">
        <f t="shared" si="14"/>
        <v>jgd</v>
      </c>
      <c r="I143" t="s">
        <v>385</v>
      </c>
      <c r="J143" t="s">
        <v>1162</v>
      </c>
      <c r="K143" t="s">
        <v>1163</v>
      </c>
      <c r="L143" s="25">
        <v>46.49967651</v>
      </c>
      <c r="M143" s="25">
        <v>6.348272616</v>
      </c>
      <c r="N143">
        <v>4</v>
      </c>
      <c r="O143">
        <v>24</v>
      </c>
      <c r="P143">
        <v>11</v>
      </c>
      <c r="Q143">
        <v>2017</v>
      </c>
      <c r="R143" s="9">
        <v>43063</v>
      </c>
      <c r="S143">
        <v>296</v>
      </c>
      <c r="T143">
        <v>1</v>
      </c>
      <c r="U143">
        <v>0</v>
      </c>
      <c r="V143">
        <v>0</v>
      </c>
      <c r="W143">
        <v>0</v>
      </c>
      <c r="X143" s="57">
        <f t="shared" si="15"/>
        <v>-79.288133999999999</v>
      </c>
      <c r="Y143" t="s">
        <v>16</v>
      </c>
      <c r="Z143">
        <v>6.6276773269999998</v>
      </c>
      <c r="AA143" s="3">
        <f t="shared" si="18"/>
        <v>8</v>
      </c>
      <c r="AB143" s="3">
        <f t="shared" si="19"/>
        <v>7</v>
      </c>
      <c r="AD143" s="3" t="s">
        <v>2751</v>
      </c>
      <c r="AE143" s="4">
        <v>-58.920507200000003</v>
      </c>
      <c r="AF143" s="4">
        <f t="shared" si="16"/>
        <v>-58.920507200000003</v>
      </c>
      <c r="AG143" s="60" t="s">
        <v>16</v>
      </c>
      <c r="AH143" s="61" t="s">
        <v>16</v>
      </c>
      <c r="AJ143" s="3">
        <f t="shared" si="17"/>
        <v>6</v>
      </c>
      <c r="AK143" s="3" t="s">
        <v>2707</v>
      </c>
      <c r="AL143">
        <v>6</v>
      </c>
      <c r="AM143" t="s">
        <v>15</v>
      </c>
    </row>
    <row r="144" spans="1:39" ht="15" hidden="1" thickTop="1" x14ac:dyDescent="0.3">
      <c r="A144" s="51" t="s">
        <v>2134</v>
      </c>
      <c r="B144" s="54" t="s">
        <v>2135</v>
      </c>
      <c r="C144" s="51" t="s">
        <v>2765</v>
      </c>
      <c r="D144" s="53">
        <v>1</v>
      </c>
      <c r="E144" s="53">
        <v>0</v>
      </c>
      <c r="F144" s="51" t="s">
        <v>2744</v>
      </c>
      <c r="G144" s="51" t="s">
        <v>2695</v>
      </c>
      <c r="H144" s="25" t="str">
        <f t="shared" si="14"/>
        <v>jgd</v>
      </c>
      <c r="I144" t="s">
        <v>72</v>
      </c>
      <c r="J144" t="s">
        <v>155</v>
      </c>
      <c r="K144" t="s">
        <v>16</v>
      </c>
      <c r="L144" s="25">
        <v>46.13795855</v>
      </c>
      <c r="M144" s="25">
        <v>8.8681345710000006</v>
      </c>
      <c r="N144">
        <v>6</v>
      </c>
      <c r="O144">
        <v>26</v>
      </c>
      <c r="P144">
        <v>11</v>
      </c>
      <c r="Q144">
        <v>2017</v>
      </c>
      <c r="R144" s="9">
        <v>43065</v>
      </c>
      <c r="S144">
        <v>308</v>
      </c>
      <c r="T144">
        <v>1</v>
      </c>
      <c r="U144">
        <v>0</v>
      </c>
      <c r="V144">
        <v>0</v>
      </c>
      <c r="W144">
        <v>0</v>
      </c>
      <c r="X144" s="57">
        <f t="shared" si="15"/>
        <v>-77.566322999999997</v>
      </c>
      <c r="Y144" t="s">
        <v>16</v>
      </c>
      <c r="Z144">
        <v>5.0227308099999997</v>
      </c>
      <c r="AA144" s="3">
        <f t="shared" si="18"/>
        <v>8</v>
      </c>
      <c r="AB144" s="3">
        <f t="shared" si="19"/>
        <v>5</v>
      </c>
      <c r="AD144" s="3" t="s">
        <v>2754</v>
      </c>
      <c r="AE144" s="4">
        <v>-57.5430584</v>
      </c>
      <c r="AF144" s="4">
        <f t="shared" si="16"/>
        <v>-57.5430584</v>
      </c>
      <c r="AG144" s="60" t="s">
        <v>16</v>
      </c>
      <c r="AH144" s="61" t="s">
        <v>16</v>
      </c>
      <c r="AJ144" s="3">
        <f t="shared" si="17"/>
        <v>6</v>
      </c>
      <c r="AK144" s="3" t="s">
        <v>2707</v>
      </c>
      <c r="AL144">
        <v>6</v>
      </c>
      <c r="AM144" t="s">
        <v>15</v>
      </c>
    </row>
    <row r="145" spans="1:39" ht="15" hidden="1" thickTop="1" x14ac:dyDescent="0.3">
      <c r="A145" s="51" t="s">
        <v>340</v>
      </c>
      <c r="B145" s="54" t="s">
        <v>341</v>
      </c>
      <c r="C145" s="51" t="s">
        <v>2765</v>
      </c>
      <c r="D145" s="53">
        <v>1</v>
      </c>
      <c r="E145" s="53">
        <v>0</v>
      </c>
      <c r="F145" s="51" t="s">
        <v>2744</v>
      </c>
      <c r="G145" s="51" t="s">
        <v>2695</v>
      </c>
      <c r="H145" s="25" t="str">
        <f t="shared" si="14"/>
        <v>jgd</v>
      </c>
      <c r="I145" t="s">
        <v>72</v>
      </c>
      <c r="J145" t="s">
        <v>113</v>
      </c>
      <c r="K145" t="s">
        <v>342</v>
      </c>
      <c r="L145" s="25">
        <v>46.219653569999998</v>
      </c>
      <c r="M145" s="25">
        <v>8.6888050539999995</v>
      </c>
      <c r="N145">
        <v>5</v>
      </c>
      <c r="O145">
        <v>1</v>
      </c>
      <c r="P145">
        <v>11</v>
      </c>
      <c r="Q145">
        <v>2014</v>
      </c>
      <c r="R145" s="9">
        <v>41944</v>
      </c>
      <c r="S145">
        <v>314</v>
      </c>
      <c r="T145">
        <v>1</v>
      </c>
      <c r="U145">
        <v>0</v>
      </c>
      <c r="V145">
        <v>0</v>
      </c>
      <c r="W145">
        <v>0</v>
      </c>
      <c r="X145">
        <f t="shared" si="15"/>
        <v>-76.987499999999997</v>
      </c>
      <c r="Y145">
        <v>-24.761749999999999</v>
      </c>
      <c r="Z145">
        <v>6.0646723439999999</v>
      </c>
      <c r="AA145" s="3">
        <f t="shared" si="18"/>
        <v>8</v>
      </c>
      <c r="AB145" s="3">
        <f t="shared" si="19"/>
        <v>6</v>
      </c>
      <c r="AD145" s="3" t="s">
        <v>2754</v>
      </c>
      <c r="AE145" s="4">
        <v>-57.08</v>
      </c>
      <c r="AF145" s="4">
        <f t="shared" si="16"/>
        <v>-57.08</v>
      </c>
      <c r="AG145" s="1">
        <v>-79.400000000000006</v>
      </c>
      <c r="AH145" s="2">
        <v>-76.98</v>
      </c>
      <c r="AI145"/>
      <c r="AJ145" s="3">
        <f t="shared" si="17"/>
        <v>6</v>
      </c>
      <c r="AK145" s="3" t="s">
        <v>2707</v>
      </c>
      <c r="AL145">
        <v>6</v>
      </c>
      <c r="AM145" t="s">
        <v>15</v>
      </c>
    </row>
    <row r="146" spans="1:39" ht="15" hidden="1" thickTop="1" x14ac:dyDescent="0.3">
      <c r="A146" s="51" t="s">
        <v>2557</v>
      </c>
      <c r="B146" s="54" t="s">
        <v>261</v>
      </c>
      <c r="C146" s="51" t="s">
        <v>2765</v>
      </c>
      <c r="D146" s="53">
        <v>1</v>
      </c>
      <c r="E146" s="53">
        <v>0</v>
      </c>
      <c r="F146" s="51" t="s">
        <v>2744</v>
      </c>
      <c r="G146" s="51" t="s">
        <v>2695</v>
      </c>
      <c r="H146" s="25" t="str">
        <f t="shared" si="14"/>
        <v>jgd</v>
      </c>
      <c r="I146" t="s">
        <v>30</v>
      </c>
      <c r="J146" t="s">
        <v>268</v>
      </c>
      <c r="K146" t="s">
        <v>269</v>
      </c>
      <c r="L146" s="25">
        <v>46.750146389999998</v>
      </c>
      <c r="M146" s="25">
        <v>7.068597209</v>
      </c>
      <c r="N146">
        <v>5</v>
      </c>
      <c r="O146">
        <v>8</v>
      </c>
      <c r="P146">
        <v>11</v>
      </c>
      <c r="Q146">
        <v>2017</v>
      </c>
      <c r="R146" s="9">
        <v>43047</v>
      </c>
      <c r="S146">
        <v>285</v>
      </c>
      <c r="T146">
        <v>1</v>
      </c>
      <c r="U146">
        <v>0</v>
      </c>
      <c r="V146">
        <v>0</v>
      </c>
      <c r="W146">
        <v>0</v>
      </c>
      <c r="X146" s="57">
        <f t="shared" si="15"/>
        <v>-76.724073000000004</v>
      </c>
      <c r="Y146" t="s">
        <v>16</v>
      </c>
      <c r="Z146">
        <v>5.4081495029999997</v>
      </c>
      <c r="AA146" s="3">
        <f t="shared" si="18"/>
        <v>8</v>
      </c>
      <c r="AB146" s="3">
        <f t="shared" si="19"/>
        <v>5</v>
      </c>
      <c r="AD146" s="3" t="s">
        <v>2751</v>
      </c>
      <c r="AE146" s="4">
        <v>-56.8692584</v>
      </c>
      <c r="AF146" s="4">
        <f t="shared" si="16"/>
        <v>-56.8692584</v>
      </c>
      <c r="AG146" s="60" t="s">
        <v>16</v>
      </c>
      <c r="AH146" s="61" t="s">
        <v>16</v>
      </c>
      <c r="AJ146" s="3">
        <f t="shared" si="17"/>
        <v>6</v>
      </c>
      <c r="AK146" s="3" t="s">
        <v>2707</v>
      </c>
      <c r="AL146">
        <v>6</v>
      </c>
      <c r="AM146" t="s">
        <v>15</v>
      </c>
    </row>
    <row r="147" spans="1:39" ht="15" hidden="1" thickTop="1" x14ac:dyDescent="0.3">
      <c r="A147" s="51" t="s">
        <v>517</v>
      </c>
      <c r="B147" s="54" t="s">
        <v>518</v>
      </c>
      <c r="C147" s="51" t="s">
        <v>2765</v>
      </c>
      <c r="D147" s="53">
        <v>1</v>
      </c>
      <c r="E147" s="53">
        <v>0</v>
      </c>
      <c r="F147" s="51" t="s">
        <v>2744</v>
      </c>
      <c r="G147" s="51" t="s">
        <v>2695</v>
      </c>
      <c r="H147" s="25" t="str">
        <f t="shared" si="14"/>
        <v>jgd</v>
      </c>
      <c r="I147" t="s">
        <v>13</v>
      </c>
      <c r="J147" t="s">
        <v>519</v>
      </c>
      <c r="K147" t="s">
        <v>520</v>
      </c>
      <c r="L147" s="25">
        <v>47.09206665</v>
      </c>
      <c r="M147" s="25">
        <v>6.9214498249999998</v>
      </c>
      <c r="N147">
        <v>6</v>
      </c>
      <c r="O147">
        <v>1</v>
      </c>
      <c r="P147">
        <v>11</v>
      </c>
      <c r="Q147">
        <v>2014</v>
      </c>
      <c r="R147" s="9">
        <v>41944</v>
      </c>
      <c r="S147">
        <v>328</v>
      </c>
      <c r="T147">
        <v>1</v>
      </c>
      <c r="U147">
        <v>0</v>
      </c>
      <c r="V147">
        <v>0</v>
      </c>
      <c r="W147">
        <v>0</v>
      </c>
      <c r="X147">
        <f t="shared" si="15"/>
        <v>-76.125</v>
      </c>
      <c r="Y147">
        <v>-23.232285709999999</v>
      </c>
      <c r="Z147">
        <v>5.3228368670000004</v>
      </c>
      <c r="AA147" s="3">
        <f t="shared" si="18"/>
        <v>8</v>
      </c>
      <c r="AB147" s="3">
        <f t="shared" si="19"/>
        <v>5</v>
      </c>
      <c r="AD147" s="3" t="s">
        <v>2750</v>
      </c>
      <c r="AE147" s="4">
        <v>-56.39</v>
      </c>
      <c r="AF147" s="4">
        <f t="shared" si="16"/>
        <v>-56.39</v>
      </c>
      <c r="AG147" s="1">
        <v>-78.7</v>
      </c>
      <c r="AH147" s="2">
        <v>-76.13</v>
      </c>
      <c r="AI147"/>
      <c r="AJ147" s="3">
        <f t="shared" si="17"/>
        <v>6</v>
      </c>
      <c r="AK147" s="3" t="s">
        <v>2707</v>
      </c>
      <c r="AL147">
        <v>6</v>
      </c>
      <c r="AM147" t="s">
        <v>15</v>
      </c>
    </row>
    <row r="148" spans="1:39" ht="15" hidden="1" thickTop="1" x14ac:dyDescent="0.3">
      <c r="A148" s="51" t="s">
        <v>445</v>
      </c>
      <c r="B148" s="54" t="s">
        <v>446</v>
      </c>
      <c r="C148" s="51" t="s">
        <v>2765</v>
      </c>
      <c r="D148" s="53">
        <v>1</v>
      </c>
      <c r="E148" s="53">
        <v>0</v>
      </c>
      <c r="F148" s="51" t="s">
        <v>2744</v>
      </c>
      <c r="G148" s="51" t="s">
        <v>2695</v>
      </c>
      <c r="H148" s="25" t="str">
        <f t="shared" si="14"/>
        <v>jgd</v>
      </c>
      <c r="I148" t="s">
        <v>72</v>
      </c>
      <c r="J148" t="s">
        <v>447</v>
      </c>
      <c r="K148" t="s">
        <v>16</v>
      </c>
      <c r="L148" s="25">
        <v>46.094528259999997</v>
      </c>
      <c r="M148" s="25">
        <v>8.9463617089999996</v>
      </c>
      <c r="N148">
        <v>5</v>
      </c>
      <c r="O148">
        <v>12</v>
      </c>
      <c r="P148">
        <v>11</v>
      </c>
      <c r="Q148">
        <v>2014</v>
      </c>
      <c r="R148" s="9">
        <v>41955</v>
      </c>
      <c r="S148">
        <v>378</v>
      </c>
      <c r="T148">
        <v>1</v>
      </c>
      <c r="U148">
        <v>0</v>
      </c>
      <c r="V148">
        <v>0</v>
      </c>
      <c r="W148">
        <v>0</v>
      </c>
      <c r="X148">
        <f t="shared" si="15"/>
        <v>-75.412500000000009</v>
      </c>
      <c r="Y148">
        <v>-22.90175</v>
      </c>
      <c r="Z148">
        <v>-2.3141301080000001</v>
      </c>
      <c r="AA148" s="3">
        <f t="shared" si="18"/>
        <v>8</v>
      </c>
      <c r="AB148" s="3">
        <f t="shared" si="19"/>
        <v>-2</v>
      </c>
      <c r="AD148" s="3" t="s">
        <v>2754</v>
      </c>
      <c r="AE148" s="4">
        <v>-55.82</v>
      </c>
      <c r="AF148" s="4">
        <f t="shared" si="16"/>
        <v>-55.82</v>
      </c>
      <c r="AG148" s="1">
        <v>-78.2</v>
      </c>
      <c r="AH148" s="2">
        <v>-75.41</v>
      </c>
      <c r="AI148"/>
      <c r="AJ148" s="3">
        <f t="shared" si="17"/>
        <v>6</v>
      </c>
      <c r="AK148" s="3" t="s">
        <v>2707</v>
      </c>
      <c r="AL148">
        <v>6</v>
      </c>
      <c r="AM148" t="s">
        <v>15</v>
      </c>
    </row>
    <row r="149" spans="1:39" ht="15" hidden="1" thickTop="1" x14ac:dyDescent="0.3">
      <c r="A149" s="51" t="s">
        <v>2157</v>
      </c>
      <c r="B149" s="54" t="s">
        <v>167</v>
      </c>
      <c r="C149" s="51" t="s">
        <v>2765</v>
      </c>
      <c r="D149" s="53">
        <v>1</v>
      </c>
      <c r="E149" s="53">
        <v>0</v>
      </c>
      <c r="F149" s="51" t="s">
        <v>2744</v>
      </c>
      <c r="G149" s="51" t="s">
        <v>2695</v>
      </c>
      <c r="H149" s="25" t="str">
        <f t="shared" si="14"/>
        <v>jgd</v>
      </c>
      <c r="I149" t="s">
        <v>72</v>
      </c>
      <c r="J149" t="s">
        <v>155</v>
      </c>
      <c r="K149" t="s">
        <v>2158</v>
      </c>
      <c r="L149" s="25">
        <v>46.1131441</v>
      </c>
      <c r="M149" s="25">
        <v>8.8278605389999996</v>
      </c>
      <c r="N149">
        <v>4</v>
      </c>
      <c r="O149">
        <v>5</v>
      </c>
      <c r="P149">
        <v>11</v>
      </c>
      <c r="Q149">
        <v>2017</v>
      </c>
      <c r="R149" s="9">
        <v>43044</v>
      </c>
      <c r="S149">
        <v>287</v>
      </c>
      <c r="T149">
        <v>1</v>
      </c>
      <c r="U149">
        <v>0</v>
      </c>
      <c r="V149">
        <v>0</v>
      </c>
      <c r="W149">
        <v>0</v>
      </c>
      <c r="X149" s="57">
        <f t="shared" si="15"/>
        <v>-74.674144499999997</v>
      </c>
      <c r="Y149" t="s">
        <v>16</v>
      </c>
      <c r="Z149">
        <v>6.4441190510000004</v>
      </c>
      <c r="AA149" s="3">
        <f t="shared" si="18"/>
        <v>7</v>
      </c>
      <c r="AB149" s="3">
        <f t="shared" si="19"/>
        <v>6</v>
      </c>
      <c r="AD149" s="3" t="s">
        <v>2754</v>
      </c>
      <c r="AE149" s="4">
        <v>-55.2293156</v>
      </c>
      <c r="AF149" s="4">
        <f t="shared" si="16"/>
        <v>-55.2293156</v>
      </c>
      <c r="AG149" s="60" t="s">
        <v>16</v>
      </c>
      <c r="AH149" s="61" t="s">
        <v>16</v>
      </c>
      <c r="AJ149" s="3">
        <f t="shared" si="17"/>
        <v>6</v>
      </c>
      <c r="AK149" s="3" t="s">
        <v>2707</v>
      </c>
      <c r="AL149">
        <v>6</v>
      </c>
      <c r="AM149" t="s">
        <v>15</v>
      </c>
    </row>
    <row r="150" spans="1:39" ht="15" hidden="1" thickTop="1" x14ac:dyDescent="0.3">
      <c r="A150" s="51" t="s">
        <v>432</v>
      </c>
      <c r="B150" s="54" t="s">
        <v>433</v>
      </c>
      <c r="C150" s="51" t="s">
        <v>2765</v>
      </c>
      <c r="D150" s="53">
        <v>1</v>
      </c>
      <c r="E150" s="53">
        <v>0</v>
      </c>
      <c r="F150" s="51" t="s">
        <v>2744</v>
      </c>
      <c r="G150" s="51" t="s">
        <v>2695</v>
      </c>
      <c r="H150" s="25" t="str">
        <f t="shared" si="14"/>
        <v>jgd</v>
      </c>
      <c r="I150" t="s">
        <v>72</v>
      </c>
      <c r="J150" t="s">
        <v>155</v>
      </c>
      <c r="K150" t="s">
        <v>400</v>
      </c>
      <c r="L150" s="25">
        <v>46.118476729999998</v>
      </c>
      <c r="M150" s="25">
        <v>8.8331713220000001</v>
      </c>
      <c r="N150">
        <v>4</v>
      </c>
      <c r="O150">
        <v>28</v>
      </c>
      <c r="P150">
        <v>10</v>
      </c>
      <c r="Q150">
        <v>2014</v>
      </c>
      <c r="R150" s="9">
        <v>41940</v>
      </c>
      <c r="S150">
        <v>344</v>
      </c>
      <c r="T150">
        <v>1</v>
      </c>
      <c r="U150">
        <v>0</v>
      </c>
      <c r="V150">
        <v>0</v>
      </c>
      <c r="W150">
        <v>0</v>
      </c>
      <c r="X150">
        <f t="shared" si="15"/>
        <v>-74.3125</v>
      </c>
      <c r="Y150">
        <v>-23.580749999999998</v>
      </c>
      <c r="Z150">
        <v>1.2550141539999999</v>
      </c>
      <c r="AA150" s="3">
        <f t="shared" si="18"/>
        <v>7</v>
      </c>
      <c r="AB150" s="3">
        <f t="shared" si="19"/>
        <v>1</v>
      </c>
      <c r="AD150" s="3" t="s">
        <v>2754</v>
      </c>
      <c r="AE150" s="4">
        <v>-54.94</v>
      </c>
      <c r="AF150" s="4">
        <f t="shared" si="16"/>
        <v>-54.94</v>
      </c>
      <c r="AG150" s="1">
        <v>-77.3</v>
      </c>
      <c r="AH150" s="2">
        <v>-74.31</v>
      </c>
      <c r="AI150"/>
      <c r="AJ150" s="3">
        <f t="shared" si="17"/>
        <v>5</v>
      </c>
      <c r="AK150" s="3" t="s">
        <v>2706</v>
      </c>
      <c r="AL150">
        <v>5</v>
      </c>
      <c r="AM150" t="s">
        <v>15</v>
      </c>
    </row>
    <row r="151" spans="1:39" ht="15" hidden="1" thickTop="1" x14ac:dyDescent="0.3">
      <c r="A151" s="51" t="s">
        <v>2545</v>
      </c>
      <c r="B151" s="54" t="s">
        <v>229</v>
      </c>
      <c r="C151" s="51" t="s">
        <v>2765</v>
      </c>
      <c r="D151" s="53">
        <v>1</v>
      </c>
      <c r="E151" s="53">
        <v>0</v>
      </c>
      <c r="F151" s="51" t="s">
        <v>2744</v>
      </c>
      <c r="G151" s="51" t="s">
        <v>2695</v>
      </c>
      <c r="H151" s="25" t="str">
        <f t="shared" si="14"/>
        <v>jgd</v>
      </c>
      <c r="I151" t="s">
        <v>72</v>
      </c>
      <c r="J151" t="s">
        <v>2543</v>
      </c>
      <c r="K151" t="s">
        <v>2544</v>
      </c>
      <c r="L151" s="25">
        <v>46.513441880000002</v>
      </c>
      <c r="M151" s="25">
        <v>8.5475226010000007</v>
      </c>
      <c r="N151">
        <v>5</v>
      </c>
      <c r="O151">
        <v>25</v>
      </c>
      <c r="P151">
        <v>10</v>
      </c>
      <c r="Q151">
        <v>2017</v>
      </c>
      <c r="R151" s="9">
        <v>43033</v>
      </c>
      <c r="S151">
        <v>319</v>
      </c>
      <c r="T151">
        <v>1</v>
      </c>
      <c r="U151">
        <v>0</v>
      </c>
      <c r="V151">
        <v>0</v>
      </c>
      <c r="W151">
        <v>0</v>
      </c>
      <c r="X151" s="57">
        <f t="shared" si="15"/>
        <v>-73.840697500000005</v>
      </c>
      <c r="Y151" t="s">
        <v>16</v>
      </c>
      <c r="Z151">
        <v>6.6736759040000004</v>
      </c>
      <c r="AA151" s="3">
        <f t="shared" si="18"/>
        <v>7</v>
      </c>
      <c r="AB151" s="3">
        <f t="shared" si="19"/>
        <v>7</v>
      </c>
      <c r="AD151" s="3" t="s">
        <v>2754</v>
      </c>
      <c r="AE151" s="4">
        <v>-54.562558000000003</v>
      </c>
      <c r="AF151" s="4">
        <f t="shared" si="16"/>
        <v>-54.562558000000003</v>
      </c>
      <c r="AG151" s="60" t="s">
        <v>16</v>
      </c>
      <c r="AH151" s="61" t="s">
        <v>16</v>
      </c>
      <c r="AJ151" s="3">
        <f t="shared" si="17"/>
        <v>5</v>
      </c>
      <c r="AK151" s="3" t="s">
        <v>2706</v>
      </c>
      <c r="AL151">
        <v>5</v>
      </c>
      <c r="AM151" t="s">
        <v>15</v>
      </c>
    </row>
    <row r="152" spans="1:39" ht="15" hidden="1" thickTop="1" x14ac:dyDescent="0.3">
      <c r="A152" s="51" t="s">
        <v>2159</v>
      </c>
      <c r="B152" s="54" t="s">
        <v>169</v>
      </c>
      <c r="C152" s="51" t="s">
        <v>2765</v>
      </c>
      <c r="D152" s="53">
        <v>1</v>
      </c>
      <c r="E152" s="53">
        <v>0</v>
      </c>
      <c r="F152" s="51" t="s">
        <v>2744</v>
      </c>
      <c r="G152" s="51" t="s">
        <v>2695</v>
      </c>
      <c r="H152" s="25" t="str">
        <f t="shared" si="14"/>
        <v>jgd</v>
      </c>
      <c r="I152" t="s">
        <v>72</v>
      </c>
      <c r="J152" t="s">
        <v>298</v>
      </c>
      <c r="K152" t="s">
        <v>1166</v>
      </c>
      <c r="L152" s="25">
        <v>46.148498189999998</v>
      </c>
      <c r="M152" s="25">
        <v>7.6418392700000002</v>
      </c>
      <c r="N152">
        <v>4</v>
      </c>
      <c r="O152">
        <v>11</v>
      </c>
      <c r="P152">
        <v>11</v>
      </c>
      <c r="Q152">
        <v>2017</v>
      </c>
      <c r="R152" s="9">
        <v>43050</v>
      </c>
      <c r="S152">
        <v>303</v>
      </c>
      <c r="T152">
        <v>1</v>
      </c>
      <c r="U152">
        <v>0</v>
      </c>
      <c r="V152">
        <v>0</v>
      </c>
      <c r="W152">
        <v>0</v>
      </c>
      <c r="X152" s="57">
        <f t="shared" si="15"/>
        <v>-73.642634999999999</v>
      </c>
      <c r="Y152" t="s">
        <v>16</v>
      </c>
      <c r="Z152">
        <v>6.6841224730000004</v>
      </c>
      <c r="AA152" s="3">
        <f t="shared" si="18"/>
        <v>7</v>
      </c>
      <c r="AB152" s="3">
        <f t="shared" si="19"/>
        <v>7</v>
      </c>
      <c r="AD152" s="3" t="s">
        <v>2753</v>
      </c>
      <c r="AE152" s="4">
        <v>-54.404108000000001</v>
      </c>
      <c r="AF152" s="4">
        <f t="shared" si="16"/>
        <v>-54.404108000000001</v>
      </c>
      <c r="AG152" s="60" t="s">
        <v>16</v>
      </c>
      <c r="AH152" s="61" t="s">
        <v>16</v>
      </c>
      <c r="AJ152" s="3">
        <f t="shared" si="17"/>
        <v>5</v>
      </c>
      <c r="AK152" s="3" t="s">
        <v>2706</v>
      </c>
      <c r="AL152">
        <v>5</v>
      </c>
      <c r="AM152" t="s">
        <v>15</v>
      </c>
    </row>
    <row r="153" spans="1:39" ht="15" hidden="1" thickTop="1" x14ac:dyDescent="0.3">
      <c r="A153" s="51" t="s">
        <v>2496</v>
      </c>
      <c r="B153" s="54" t="s">
        <v>2497</v>
      </c>
      <c r="C153" s="51" t="s">
        <v>2765</v>
      </c>
      <c r="D153" s="53">
        <v>1</v>
      </c>
      <c r="E153" s="53">
        <v>0</v>
      </c>
      <c r="F153" s="51" t="s">
        <v>2744</v>
      </c>
      <c r="G153" s="51" t="s">
        <v>2695</v>
      </c>
      <c r="H153" s="25" t="str">
        <f t="shared" si="14"/>
        <v>jgd</v>
      </c>
      <c r="I153" t="s">
        <v>72</v>
      </c>
      <c r="J153" t="s">
        <v>2490</v>
      </c>
      <c r="K153" t="s">
        <v>1193</v>
      </c>
      <c r="L153" s="25">
        <v>46.02071342</v>
      </c>
      <c r="M153" s="25">
        <v>8.9303521929999992</v>
      </c>
      <c r="N153">
        <v>6</v>
      </c>
      <c r="O153">
        <v>26</v>
      </c>
      <c r="P153">
        <v>11</v>
      </c>
      <c r="Q153">
        <v>2017</v>
      </c>
      <c r="R153" s="9">
        <v>43065</v>
      </c>
      <c r="S153">
        <v>372</v>
      </c>
      <c r="T153">
        <v>1</v>
      </c>
      <c r="U153">
        <v>0</v>
      </c>
      <c r="V153">
        <v>0</v>
      </c>
      <c r="W153">
        <v>0</v>
      </c>
      <c r="X153" s="57">
        <f t="shared" si="15"/>
        <v>-73.014245750000001</v>
      </c>
      <c r="Y153" t="s">
        <v>16</v>
      </c>
      <c r="Z153">
        <v>6.1231649890000002</v>
      </c>
      <c r="AA153" s="3">
        <f t="shared" si="18"/>
        <v>7</v>
      </c>
      <c r="AB153" s="3">
        <f t="shared" si="19"/>
        <v>6</v>
      </c>
      <c r="AD153" s="3" t="s">
        <v>2754</v>
      </c>
      <c r="AE153" s="4">
        <v>-53.901396599999998</v>
      </c>
      <c r="AF153" s="4">
        <f t="shared" si="16"/>
        <v>-53.901396599999998</v>
      </c>
      <c r="AG153" s="60" t="s">
        <v>16</v>
      </c>
      <c r="AH153" s="61" t="s">
        <v>16</v>
      </c>
      <c r="AJ153" s="3">
        <f t="shared" si="17"/>
        <v>5</v>
      </c>
      <c r="AK153" s="3" t="s">
        <v>2706</v>
      </c>
      <c r="AL153">
        <v>5</v>
      </c>
      <c r="AM153" t="s">
        <v>15</v>
      </c>
    </row>
    <row r="154" spans="1:39" ht="15" hidden="1" thickTop="1" x14ac:dyDescent="0.3">
      <c r="A154" s="51" t="s">
        <v>2556</v>
      </c>
      <c r="B154" s="54" t="s">
        <v>258</v>
      </c>
      <c r="C154" s="51" t="s">
        <v>2765</v>
      </c>
      <c r="D154" s="53">
        <v>1</v>
      </c>
      <c r="E154" s="53">
        <v>0</v>
      </c>
      <c r="F154" s="51" t="s">
        <v>2744</v>
      </c>
      <c r="G154" s="51" t="s">
        <v>2695</v>
      </c>
      <c r="H154" s="25" t="str">
        <f t="shared" si="14"/>
        <v>jgd</v>
      </c>
      <c r="I154" t="s">
        <v>30</v>
      </c>
      <c r="J154" t="s">
        <v>271</v>
      </c>
      <c r="K154" t="s">
        <v>271</v>
      </c>
      <c r="L154" s="25">
        <v>46.63917618</v>
      </c>
      <c r="M154" s="25">
        <v>7.0047208039999997</v>
      </c>
      <c r="N154">
        <v>5</v>
      </c>
      <c r="O154">
        <v>28</v>
      </c>
      <c r="P154">
        <v>10</v>
      </c>
      <c r="Q154">
        <v>2017</v>
      </c>
      <c r="R154" s="9">
        <v>43036</v>
      </c>
      <c r="S154">
        <v>325</v>
      </c>
      <c r="T154">
        <v>1</v>
      </c>
      <c r="U154">
        <v>0</v>
      </c>
      <c r="V154">
        <v>0</v>
      </c>
      <c r="W154">
        <v>0</v>
      </c>
      <c r="X154" s="57">
        <f t="shared" si="15"/>
        <v>-72.028892999999997</v>
      </c>
      <c r="Y154" t="s">
        <v>16</v>
      </c>
      <c r="Z154">
        <v>5.7561244809999996</v>
      </c>
      <c r="AA154" s="3">
        <f t="shared" si="18"/>
        <v>7</v>
      </c>
      <c r="AB154" s="3">
        <f t="shared" si="19"/>
        <v>6</v>
      </c>
      <c r="AD154" s="3" t="s">
        <v>2751</v>
      </c>
      <c r="AE154" s="4">
        <v>-53.113114400000001</v>
      </c>
      <c r="AF154" s="4">
        <f t="shared" si="16"/>
        <v>-53.113114400000001</v>
      </c>
      <c r="AG154" s="60" t="s">
        <v>16</v>
      </c>
      <c r="AH154" s="61" t="s">
        <v>16</v>
      </c>
      <c r="AJ154" s="3">
        <f t="shared" si="17"/>
        <v>5</v>
      </c>
      <c r="AK154" s="3" t="s">
        <v>2706</v>
      </c>
      <c r="AL154">
        <v>5</v>
      </c>
      <c r="AM154" t="s">
        <v>15</v>
      </c>
    </row>
    <row r="155" spans="1:39" ht="15" hidden="1" thickTop="1" x14ac:dyDescent="0.3">
      <c r="A155" s="51" t="s">
        <v>524</v>
      </c>
      <c r="B155" s="54" t="s">
        <v>525</v>
      </c>
      <c r="C155" s="51" t="s">
        <v>2765</v>
      </c>
      <c r="D155" s="53">
        <v>1</v>
      </c>
      <c r="E155" s="53">
        <v>0</v>
      </c>
      <c r="F155" s="51" t="s">
        <v>2744</v>
      </c>
      <c r="G155" s="51" t="s">
        <v>2695</v>
      </c>
      <c r="H155" s="25" t="str">
        <f t="shared" si="14"/>
        <v>jgd</v>
      </c>
      <c r="I155" t="s">
        <v>13</v>
      </c>
      <c r="J155" t="s">
        <v>24</v>
      </c>
      <c r="K155" t="s">
        <v>488</v>
      </c>
      <c r="L155" s="25">
        <v>47.097159920000003</v>
      </c>
      <c r="M155" s="25">
        <v>7.002158916</v>
      </c>
      <c r="N155">
        <v>6</v>
      </c>
      <c r="O155">
        <v>14</v>
      </c>
      <c r="P155">
        <v>11</v>
      </c>
      <c r="Q155">
        <v>2014</v>
      </c>
      <c r="R155" s="9">
        <v>41957</v>
      </c>
      <c r="S155">
        <v>370</v>
      </c>
      <c r="T155">
        <v>1</v>
      </c>
      <c r="U155">
        <v>0</v>
      </c>
      <c r="V155">
        <v>0</v>
      </c>
      <c r="W155">
        <v>0</v>
      </c>
      <c r="X155">
        <f t="shared" si="15"/>
        <v>-71.837500000000006</v>
      </c>
      <c r="Y155">
        <v>-24.40428571</v>
      </c>
      <c r="Z155">
        <v>6.5449959849999999</v>
      </c>
      <c r="AA155" s="3">
        <f t="shared" si="18"/>
        <v>7</v>
      </c>
      <c r="AB155" s="3">
        <f t="shared" si="19"/>
        <v>7</v>
      </c>
      <c r="AD155" s="3" t="s">
        <v>2750</v>
      </c>
      <c r="AE155" s="4">
        <v>-52.96</v>
      </c>
      <c r="AF155" s="4">
        <f t="shared" si="16"/>
        <v>-52.96</v>
      </c>
      <c r="AG155" s="1">
        <v>-75.2</v>
      </c>
      <c r="AH155" s="2">
        <v>-71.83</v>
      </c>
      <c r="AI155"/>
      <c r="AJ155" s="3">
        <f t="shared" si="17"/>
        <v>5</v>
      </c>
      <c r="AK155" s="3" t="s">
        <v>2706</v>
      </c>
      <c r="AL155">
        <v>5</v>
      </c>
      <c r="AM155" t="s">
        <v>15</v>
      </c>
    </row>
    <row r="156" spans="1:39" ht="15" hidden="1" thickTop="1" x14ac:dyDescent="0.3">
      <c r="A156" s="51" t="s">
        <v>461</v>
      </c>
      <c r="B156" s="54" t="s">
        <v>462</v>
      </c>
      <c r="C156" s="51" t="s">
        <v>2765</v>
      </c>
      <c r="D156" s="53">
        <v>1</v>
      </c>
      <c r="E156" s="53">
        <v>0</v>
      </c>
      <c r="F156" s="51" t="s">
        <v>2744</v>
      </c>
      <c r="G156" s="51" t="s">
        <v>2695</v>
      </c>
      <c r="H156" s="25" t="str">
        <f t="shared" si="14"/>
        <v>jgd</v>
      </c>
      <c r="I156" t="s">
        <v>72</v>
      </c>
      <c r="J156" t="s">
        <v>463</v>
      </c>
      <c r="K156" t="s">
        <v>16</v>
      </c>
      <c r="L156" s="25">
        <v>46.123132869999999</v>
      </c>
      <c r="M156" s="25">
        <v>8.8203516529999995</v>
      </c>
      <c r="N156">
        <v>3</v>
      </c>
      <c r="O156">
        <v>18</v>
      </c>
      <c r="P156">
        <v>11</v>
      </c>
      <c r="Q156">
        <v>2014</v>
      </c>
      <c r="R156" s="9">
        <v>41961</v>
      </c>
      <c r="S156">
        <v>309</v>
      </c>
      <c r="T156">
        <v>1</v>
      </c>
      <c r="U156">
        <v>0</v>
      </c>
      <c r="V156">
        <v>0</v>
      </c>
      <c r="W156">
        <v>0</v>
      </c>
      <c r="X156">
        <f t="shared" si="15"/>
        <v>-71.212500000000006</v>
      </c>
      <c r="Y156">
        <v>-24.535</v>
      </c>
      <c r="Z156">
        <v>4.6128611279999996</v>
      </c>
      <c r="AA156" s="3">
        <f t="shared" si="18"/>
        <v>7</v>
      </c>
      <c r="AB156" s="3">
        <f t="shared" si="19"/>
        <v>5</v>
      </c>
      <c r="AD156" s="3" t="s">
        <v>2754</v>
      </c>
      <c r="AE156" s="4">
        <v>-52.46</v>
      </c>
      <c r="AF156" s="4">
        <f t="shared" si="16"/>
        <v>-52.46</v>
      </c>
      <c r="AG156" s="1">
        <v>-74.7</v>
      </c>
      <c r="AH156" s="2">
        <v>-71.209999999999994</v>
      </c>
      <c r="AI156"/>
      <c r="AJ156" s="3">
        <f t="shared" si="17"/>
        <v>5</v>
      </c>
      <c r="AK156" s="3" t="s">
        <v>2706</v>
      </c>
      <c r="AL156">
        <v>5</v>
      </c>
      <c r="AM156" t="s">
        <v>15</v>
      </c>
    </row>
    <row r="157" spans="1:39" ht="15" hidden="1" thickTop="1" x14ac:dyDescent="0.3">
      <c r="A157" s="51" t="s">
        <v>2479</v>
      </c>
      <c r="B157" s="54" t="s">
        <v>2480</v>
      </c>
      <c r="C157" s="51" t="s">
        <v>2765</v>
      </c>
      <c r="D157" s="53">
        <v>1</v>
      </c>
      <c r="E157" s="53">
        <v>0</v>
      </c>
      <c r="F157" s="51" t="s">
        <v>2744</v>
      </c>
      <c r="G157" s="51" t="s">
        <v>2695</v>
      </c>
      <c r="H157" s="25" t="str">
        <f t="shared" si="14"/>
        <v>jgd</v>
      </c>
      <c r="I157" t="s">
        <v>72</v>
      </c>
      <c r="J157" t="s">
        <v>1047</v>
      </c>
      <c r="K157" t="s">
        <v>2481</v>
      </c>
      <c r="L157" s="25">
        <v>46.483271109999997</v>
      </c>
      <c r="M157" s="25">
        <v>8.4697778790000005</v>
      </c>
      <c r="N157">
        <v>6</v>
      </c>
      <c r="O157">
        <v>22</v>
      </c>
      <c r="P157">
        <v>10</v>
      </c>
      <c r="Q157">
        <v>2017</v>
      </c>
      <c r="R157" s="9">
        <v>43030</v>
      </c>
      <c r="S157">
        <v>315</v>
      </c>
      <c r="T157">
        <v>1</v>
      </c>
      <c r="U157">
        <v>0</v>
      </c>
      <c r="V157">
        <v>0</v>
      </c>
      <c r="W157">
        <v>0</v>
      </c>
      <c r="X157" s="57">
        <f t="shared" si="15"/>
        <v>-71.129618000000008</v>
      </c>
      <c r="Y157" t="s">
        <v>16</v>
      </c>
      <c r="Z157">
        <v>8.7866986669999996</v>
      </c>
      <c r="AA157" s="3">
        <f t="shared" si="18"/>
        <v>7</v>
      </c>
      <c r="AB157" s="3">
        <f t="shared" si="19"/>
        <v>9</v>
      </c>
      <c r="AD157" s="3" t="s">
        <v>2754</v>
      </c>
      <c r="AE157" s="4">
        <v>-52.393694400000001</v>
      </c>
      <c r="AF157" s="4">
        <f t="shared" si="16"/>
        <v>-52.393694400000001</v>
      </c>
      <c r="AG157" s="60" t="s">
        <v>16</v>
      </c>
      <c r="AH157" s="61" t="s">
        <v>16</v>
      </c>
      <c r="AJ157" s="3">
        <f t="shared" si="17"/>
        <v>5</v>
      </c>
      <c r="AK157" s="3" t="s">
        <v>2706</v>
      </c>
      <c r="AL157">
        <v>5</v>
      </c>
      <c r="AM157" t="s">
        <v>15</v>
      </c>
    </row>
    <row r="158" spans="1:39" ht="15" hidden="1" thickTop="1" x14ac:dyDescent="0.3">
      <c r="A158" s="51" t="s">
        <v>2452</v>
      </c>
      <c r="B158" s="54" t="s">
        <v>1077</v>
      </c>
      <c r="C158" s="51" t="s">
        <v>2765</v>
      </c>
      <c r="D158" s="53">
        <v>1</v>
      </c>
      <c r="E158" s="53">
        <v>0</v>
      </c>
      <c r="F158" s="51" t="s">
        <v>2744</v>
      </c>
      <c r="G158" s="51" t="s">
        <v>2695</v>
      </c>
      <c r="H158" s="25" t="str">
        <f t="shared" si="14"/>
        <v>jgd</v>
      </c>
      <c r="I158" t="s">
        <v>13</v>
      </c>
      <c r="J158" t="s">
        <v>1732</v>
      </c>
      <c r="K158" t="s">
        <v>2453</v>
      </c>
      <c r="L158" s="25">
        <v>46.986775999999999</v>
      </c>
      <c r="M158" s="25">
        <v>6.669391364</v>
      </c>
      <c r="N158">
        <v>6</v>
      </c>
      <c r="O158">
        <v>25</v>
      </c>
      <c r="P158">
        <v>10</v>
      </c>
      <c r="Q158">
        <v>2017</v>
      </c>
      <c r="R158" s="9">
        <v>43033</v>
      </c>
      <c r="S158">
        <v>333</v>
      </c>
      <c r="T158">
        <v>1</v>
      </c>
      <c r="U158">
        <v>0</v>
      </c>
      <c r="V158">
        <v>0</v>
      </c>
      <c r="W158">
        <v>0</v>
      </c>
      <c r="X158" s="57">
        <f t="shared" si="15"/>
        <v>-70.734265250000007</v>
      </c>
      <c r="Y158" t="s">
        <v>16</v>
      </c>
      <c r="Z158">
        <v>9.0988914909999998</v>
      </c>
      <c r="AA158" s="3">
        <f t="shared" si="18"/>
        <v>7</v>
      </c>
      <c r="AB158" s="3">
        <f t="shared" si="19"/>
        <v>9</v>
      </c>
      <c r="AD158" s="3" t="s">
        <v>2750</v>
      </c>
      <c r="AE158" s="4">
        <v>-52.077412199999998</v>
      </c>
      <c r="AF158" s="4">
        <f t="shared" si="16"/>
        <v>-52.077412199999998</v>
      </c>
      <c r="AG158" s="60" t="s">
        <v>16</v>
      </c>
      <c r="AH158" s="61" t="s">
        <v>16</v>
      </c>
      <c r="AJ158" s="3">
        <f t="shared" si="17"/>
        <v>5</v>
      </c>
      <c r="AK158" s="3" t="s">
        <v>2706</v>
      </c>
      <c r="AL158">
        <v>5</v>
      </c>
      <c r="AM158" t="s">
        <v>15</v>
      </c>
    </row>
    <row r="159" spans="1:39" ht="15" hidden="1" thickTop="1" x14ac:dyDescent="0.3">
      <c r="A159" s="51" t="s">
        <v>2558</v>
      </c>
      <c r="B159" s="54" t="s">
        <v>263</v>
      </c>
      <c r="C159" s="51" t="s">
        <v>2765</v>
      </c>
      <c r="D159" s="53">
        <v>1</v>
      </c>
      <c r="E159" s="53">
        <v>0</v>
      </c>
      <c r="F159" s="51" t="s">
        <v>2744</v>
      </c>
      <c r="G159" s="51" t="s">
        <v>2695</v>
      </c>
      <c r="H159" s="25" t="str">
        <f t="shared" si="14"/>
        <v>jgd</v>
      </c>
      <c r="I159" t="s">
        <v>30</v>
      </c>
      <c r="J159" t="s">
        <v>268</v>
      </c>
      <c r="K159" t="s">
        <v>269</v>
      </c>
      <c r="L159" s="25">
        <v>46.744740270000001</v>
      </c>
      <c r="M159" s="25">
        <v>7.0631512709999997</v>
      </c>
      <c r="N159">
        <v>5</v>
      </c>
      <c r="O159">
        <v>22</v>
      </c>
      <c r="P159">
        <v>11</v>
      </c>
      <c r="Q159">
        <v>2017</v>
      </c>
      <c r="R159" s="9">
        <v>43061</v>
      </c>
      <c r="S159">
        <v>330</v>
      </c>
      <c r="T159">
        <v>1</v>
      </c>
      <c r="U159">
        <v>0</v>
      </c>
      <c r="V159">
        <v>0</v>
      </c>
      <c r="W159">
        <v>0</v>
      </c>
      <c r="X159" s="57">
        <f t="shared" si="15"/>
        <v>-70.633115000000004</v>
      </c>
      <c r="Y159" t="s">
        <v>16</v>
      </c>
      <c r="Z159">
        <v>6.6833936920000001</v>
      </c>
      <c r="AA159" s="3">
        <f t="shared" si="18"/>
        <v>7</v>
      </c>
      <c r="AB159" s="3">
        <f t="shared" si="19"/>
        <v>7</v>
      </c>
      <c r="AD159" s="3" t="s">
        <v>2751</v>
      </c>
      <c r="AE159" s="4">
        <v>-51.996492000000003</v>
      </c>
      <c r="AF159" s="4">
        <f t="shared" si="16"/>
        <v>-51.996492000000003</v>
      </c>
      <c r="AG159" s="60" t="s">
        <v>16</v>
      </c>
      <c r="AH159" s="61" t="s">
        <v>16</v>
      </c>
      <c r="AJ159" s="3">
        <f t="shared" si="17"/>
        <v>5</v>
      </c>
      <c r="AK159" s="3" t="s">
        <v>2706</v>
      </c>
      <c r="AL159">
        <v>5</v>
      </c>
      <c r="AM159" t="s">
        <v>15</v>
      </c>
    </row>
    <row r="160" spans="1:39" ht="15" hidden="1" thickTop="1" x14ac:dyDescent="0.3">
      <c r="A160" s="51" t="s">
        <v>590</v>
      </c>
      <c r="B160" s="54" t="s">
        <v>591</v>
      </c>
      <c r="C160" s="51" t="s">
        <v>2765</v>
      </c>
      <c r="D160" s="53">
        <v>1</v>
      </c>
      <c r="E160" s="53">
        <v>0</v>
      </c>
      <c r="F160" s="51" t="s">
        <v>2744</v>
      </c>
      <c r="G160" s="51" t="s">
        <v>2695</v>
      </c>
      <c r="H160" s="25" t="str">
        <f t="shared" si="14"/>
        <v>jgd</v>
      </c>
      <c r="I160" t="s">
        <v>72</v>
      </c>
      <c r="J160" t="s">
        <v>579</v>
      </c>
      <c r="K160" t="s">
        <v>592</v>
      </c>
      <c r="L160" s="25">
        <v>46.209936409999997</v>
      </c>
      <c r="M160" s="25">
        <v>8.5620525349999994</v>
      </c>
      <c r="N160">
        <v>6</v>
      </c>
      <c r="O160">
        <v>21</v>
      </c>
      <c r="P160">
        <v>10</v>
      </c>
      <c r="Q160">
        <v>2014</v>
      </c>
      <c r="R160" s="9">
        <v>41933</v>
      </c>
      <c r="S160">
        <v>281</v>
      </c>
      <c r="T160">
        <v>1</v>
      </c>
      <c r="U160">
        <v>0</v>
      </c>
      <c r="V160">
        <v>0</v>
      </c>
      <c r="W160">
        <v>0</v>
      </c>
      <c r="X160">
        <f t="shared" si="15"/>
        <v>-69.975000000000009</v>
      </c>
      <c r="Y160">
        <v>-24.421749999999999</v>
      </c>
      <c r="Z160">
        <v>5.6833118059999999</v>
      </c>
      <c r="AA160" s="3">
        <f t="shared" si="18"/>
        <v>7</v>
      </c>
      <c r="AB160" s="3">
        <f t="shared" si="19"/>
        <v>6</v>
      </c>
      <c r="AD160" s="3" t="s">
        <v>2754</v>
      </c>
      <c r="AE160" s="4">
        <v>-51.47</v>
      </c>
      <c r="AF160" s="4">
        <f t="shared" si="16"/>
        <v>-51.47</v>
      </c>
      <c r="AG160" s="1">
        <v>-73.7</v>
      </c>
      <c r="AH160" s="2">
        <v>-69.97</v>
      </c>
      <c r="AI160"/>
      <c r="AJ160" s="3">
        <f t="shared" si="17"/>
        <v>5</v>
      </c>
      <c r="AK160" s="3" t="s">
        <v>2706</v>
      </c>
      <c r="AL160">
        <v>5</v>
      </c>
      <c r="AM160" t="s">
        <v>15</v>
      </c>
    </row>
    <row r="161" spans="1:39" ht="15" hidden="1" thickTop="1" x14ac:dyDescent="0.3">
      <c r="A161" s="51" t="s">
        <v>337</v>
      </c>
      <c r="B161" s="54" t="s">
        <v>338</v>
      </c>
      <c r="C161" s="51" t="s">
        <v>2765</v>
      </c>
      <c r="D161" s="53">
        <v>1</v>
      </c>
      <c r="E161" s="53">
        <v>0</v>
      </c>
      <c r="F161" s="51" t="s">
        <v>2744</v>
      </c>
      <c r="G161" s="51" t="s">
        <v>2695</v>
      </c>
      <c r="H161" s="25" t="str">
        <f t="shared" si="14"/>
        <v>jgd</v>
      </c>
      <c r="I161" t="s">
        <v>72</v>
      </c>
      <c r="J161" t="s">
        <v>113</v>
      </c>
      <c r="K161" t="s">
        <v>339</v>
      </c>
      <c r="L161" s="25">
        <v>46.219653569999998</v>
      </c>
      <c r="M161" s="25">
        <v>8.6888050539999995</v>
      </c>
      <c r="N161">
        <v>5</v>
      </c>
      <c r="O161">
        <v>28</v>
      </c>
      <c r="P161">
        <v>10</v>
      </c>
      <c r="Q161">
        <v>2014</v>
      </c>
      <c r="R161" s="9">
        <v>41940</v>
      </c>
      <c r="S161">
        <v>326</v>
      </c>
      <c r="T161">
        <v>1</v>
      </c>
      <c r="U161">
        <v>0</v>
      </c>
      <c r="V161">
        <v>0</v>
      </c>
      <c r="W161">
        <v>0</v>
      </c>
      <c r="X161">
        <f t="shared" si="15"/>
        <v>-68.2</v>
      </c>
      <c r="Y161">
        <v>-23.786000000000001</v>
      </c>
      <c r="Z161">
        <v>4.2251110140000003</v>
      </c>
      <c r="AA161" s="3">
        <f t="shared" si="18"/>
        <v>7</v>
      </c>
      <c r="AB161" s="3">
        <f t="shared" si="19"/>
        <v>4</v>
      </c>
      <c r="AD161" s="3" t="s">
        <v>2754</v>
      </c>
      <c r="AE161" s="4">
        <v>-50.05</v>
      </c>
      <c r="AF161" s="4">
        <f t="shared" si="16"/>
        <v>-50.05</v>
      </c>
      <c r="AG161" s="1">
        <v>-72.3</v>
      </c>
      <c r="AH161" s="2">
        <v>-68.2</v>
      </c>
      <c r="AI161"/>
      <c r="AJ161" s="3">
        <f t="shared" si="17"/>
        <v>5</v>
      </c>
      <c r="AK161" s="3" t="s">
        <v>2706</v>
      </c>
      <c r="AL161">
        <v>5</v>
      </c>
      <c r="AM161" t="s">
        <v>15</v>
      </c>
    </row>
    <row r="162" spans="1:39" ht="15" hidden="1" thickTop="1" x14ac:dyDescent="0.3">
      <c r="A162" s="51" t="s">
        <v>333</v>
      </c>
      <c r="B162" s="54" t="s">
        <v>334</v>
      </c>
      <c r="C162" s="51" t="s">
        <v>2765</v>
      </c>
      <c r="D162" s="53">
        <v>1</v>
      </c>
      <c r="E162" s="53">
        <v>0</v>
      </c>
      <c r="F162" s="51" t="s">
        <v>2744</v>
      </c>
      <c r="G162" s="51" t="s">
        <v>2695</v>
      </c>
      <c r="H162" s="25" t="str">
        <f t="shared" ref="H162:H191" si="20">IF(T162=1,"jgd",IF(W162=1,"Captures automne","Captures printemps-été"))</f>
        <v>jgd</v>
      </c>
      <c r="I162" t="s">
        <v>72</v>
      </c>
      <c r="J162" t="s">
        <v>335</v>
      </c>
      <c r="K162" t="s">
        <v>336</v>
      </c>
      <c r="L162" s="25">
        <v>46.502243309999997</v>
      </c>
      <c r="M162" s="25">
        <v>8.641946506</v>
      </c>
      <c r="N162">
        <v>5</v>
      </c>
      <c r="O162">
        <v>19</v>
      </c>
      <c r="P162">
        <v>11</v>
      </c>
      <c r="Q162">
        <v>2014</v>
      </c>
      <c r="R162" s="9">
        <v>41962</v>
      </c>
      <c r="S162">
        <v>323</v>
      </c>
      <c r="T162">
        <v>1</v>
      </c>
      <c r="U162">
        <v>0</v>
      </c>
      <c r="V162">
        <v>0</v>
      </c>
      <c r="W162">
        <v>0</v>
      </c>
      <c r="X162">
        <f t="shared" si="15"/>
        <v>-68.0625</v>
      </c>
      <c r="Y162">
        <v>-23.819199999999999</v>
      </c>
      <c r="Z162">
        <v>2.1809722819999999</v>
      </c>
      <c r="AA162" s="3">
        <f t="shared" si="18"/>
        <v>7</v>
      </c>
      <c r="AB162" s="3">
        <f t="shared" si="19"/>
        <v>2</v>
      </c>
      <c r="AD162" s="3" t="s">
        <v>2754</v>
      </c>
      <c r="AE162" s="4">
        <v>-49.94</v>
      </c>
      <c r="AF162" s="4">
        <f t="shared" si="16"/>
        <v>-49.94</v>
      </c>
      <c r="AG162" s="1">
        <v>-72.2</v>
      </c>
      <c r="AH162" s="2">
        <v>-68.069999999999993</v>
      </c>
      <c r="AI162"/>
      <c r="AJ162" s="3">
        <f t="shared" si="17"/>
        <v>5</v>
      </c>
      <c r="AK162" s="3" t="s">
        <v>2706</v>
      </c>
      <c r="AL162">
        <v>5</v>
      </c>
      <c r="AM162" t="s">
        <v>15</v>
      </c>
    </row>
    <row r="163" spans="1:39" ht="15" hidden="1" thickTop="1" x14ac:dyDescent="0.3">
      <c r="A163" s="51" t="s">
        <v>247</v>
      </c>
      <c r="B163" s="54" t="s">
        <v>248</v>
      </c>
      <c r="C163" s="51" t="s">
        <v>2765</v>
      </c>
      <c r="D163" s="53">
        <v>1</v>
      </c>
      <c r="E163" s="53">
        <v>0</v>
      </c>
      <c r="F163" s="51" t="s">
        <v>2744</v>
      </c>
      <c r="G163" s="51" t="s">
        <v>2695</v>
      </c>
      <c r="H163" s="25" t="str">
        <f t="shared" si="20"/>
        <v>jgd</v>
      </c>
      <c r="I163" t="s">
        <v>72</v>
      </c>
      <c r="J163" t="s">
        <v>249</v>
      </c>
      <c r="K163" t="s">
        <v>250</v>
      </c>
      <c r="L163" s="25">
        <v>46.22034051</v>
      </c>
      <c r="M163" s="25">
        <v>8.6233401870000002</v>
      </c>
      <c r="N163">
        <v>6</v>
      </c>
      <c r="O163">
        <v>6</v>
      </c>
      <c r="P163">
        <v>11</v>
      </c>
      <c r="Q163">
        <v>2013</v>
      </c>
      <c r="R163" s="9">
        <v>41584</v>
      </c>
      <c r="S163">
        <v>316</v>
      </c>
      <c r="T163">
        <v>1</v>
      </c>
      <c r="U163">
        <v>0</v>
      </c>
      <c r="V163">
        <v>0</v>
      </c>
      <c r="W163">
        <v>0</v>
      </c>
      <c r="X163">
        <f t="shared" si="15"/>
        <v>-66.087500000000006</v>
      </c>
      <c r="Y163">
        <v>-37.980553749999999</v>
      </c>
      <c r="Z163">
        <v>3.9660569749999999</v>
      </c>
      <c r="AA163" s="3">
        <f t="shared" si="18"/>
        <v>7</v>
      </c>
      <c r="AB163" s="3">
        <f t="shared" si="19"/>
        <v>4</v>
      </c>
      <c r="AD163" s="3" t="s">
        <v>2754</v>
      </c>
      <c r="AE163" s="4">
        <v>-48.36</v>
      </c>
      <c r="AF163" s="4">
        <f t="shared" si="16"/>
        <v>-48.36</v>
      </c>
      <c r="AG163" s="1">
        <v>-70.5</v>
      </c>
      <c r="AH163" s="2">
        <v>-66.08</v>
      </c>
      <c r="AI163"/>
      <c r="AJ163" s="3">
        <f t="shared" si="17"/>
        <v>5</v>
      </c>
      <c r="AK163" s="3" t="s">
        <v>2706</v>
      </c>
      <c r="AL163">
        <v>5</v>
      </c>
      <c r="AM163" t="s">
        <v>15</v>
      </c>
    </row>
    <row r="164" spans="1:39" ht="15" hidden="1" thickTop="1" x14ac:dyDescent="0.3">
      <c r="A164" s="51" t="s">
        <v>2125</v>
      </c>
      <c r="B164" s="54" t="s">
        <v>2126</v>
      </c>
      <c r="C164" s="51" t="s">
        <v>2765</v>
      </c>
      <c r="D164" s="53">
        <v>1</v>
      </c>
      <c r="E164" s="53">
        <v>0</v>
      </c>
      <c r="F164" s="51" t="s">
        <v>2744</v>
      </c>
      <c r="G164" s="51" t="s">
        <v>2695</v>
      </c>
      <c r="H164" s="25" t="str">
        <f t="shared" si="20"/>
        <v>jgd</v>
      </c>
      <c r="I164" t="s">
        <v>72</v>
      </c>
      <c r="J164" t="s">
        <v>155</v>
      </c>
      <c r="K164" t="s">
        <v>2127</v>
      </c>
      <c r="L164" s="25">
        <v>46.13567338</v>
      </c>
      <c r="M164" s="25">
        <v>8.8695500490000008</v>
      </c>
      <c r="N164">
        <v>6</v>
      </c>
      <c r="O164">
        <v>1</v>
      </c>
      <c r="P164">
        <v>11</v>
      </c>
      <c r="Q164">
        <v>2017</v>
      </c>
      <c r="R164" s="9">
        <v>43040</v>
      </c>
      <c r="S164">
        <v>302</v>
      </c>
      <c r="T164">
        <v>1</v>
      </c>
      <c r="U164">
        <v>0</v>
      </c>
      <c r="V164">
        <v>0</v>
      </c>
      <c r="W164">
        <v>0</v>
      </c>
      <c r="X164" s="57">
        <f t="shared" si="15"/>
        <v>-64.74261525</v>
      </c>
      <c r="Y164" t="s">
        <v>16</v>
      </c>
      <c r="Z164">
        <v>4.5723211050000003</v>
      </c>
      <c r="AA164" s="3">
        <f t="shared" si="18"/>
        <v>6</v>
      </c>
      <c r="AB164" s="3">
        <f t="shared" si="19"/>
        <v>5</v>
      </c>
      <c r="AD164" s="3" t="s">
        <v>2754</v>
      </c>
      <c r="AE164" s="4">
        <v>-47.284092200000003</v>
      </c>
      <c r="AF164" s="4">
        <f t="shared" si="16"/>
        <v>-47.284092200000003</v>
      </c>
      <c r="AG164" s="60" t="s">
        <v>16</v>
      </c>
      <c r="AH164" s="61" t="s">
        <v>16</v>
      </c>
      <c r="AJ164" s="3">
        <f t="shared" si="17"/>
        <v>5</v>
      </c>
      <c r="AK164" s="3" t="s">
        <v>2706</v>
      </c>
      <c r="AL164">
        <v>5</v>
      </c>
      <c r="AM164" t="s">
        <v>15</v>
      </c>
    </row>
    <row r="165" spans="1:39" ht="15" hidden="1" thickTop="1" x14ac:dyDescent="0.3">
      <c r="A165" s="51" t="s">
        <v>2131</v>
      </c>
      <c r="B165" s="54" t="s">
        <v>2132</v>
      </c>
      <c r="C165" s="51" t="s">
        <v>2765</v>
      </c>
      <c r="D165" s="53">
        <v>1</v>
      </c>
      <c r="E165" s="53">
        <v>0</v>
      </c>
      <c r="F165" s="51" t="s">
        <v>2744</v>
      </c>
      <c r="G165" s="51" t="s">
        <v>2695</v>
      </c>
      <c r="H165" s="25" t="str">
        <f t="shared" si="20"/>
        <v>jgd</v>
      </c>
      <c r="I165" t="s">
        <v>72</v>
      </c>
      <c r="J165" t="s">
        <v>155</v>
      </c>
      <c r="K165" t="s">
        <v>2133</v>
      </c>
      <c r="L165" s="25">
        <v>46.137688869999998</v>
      </c>
      <c r="M165" s="25">
        <v>8.8794390310000004</v>
      </c>
      <c r="N165">
        <v>6</v>
      </c>
      <c r="O165">
        <v>15</v>
      </c>
      <c r="P165">
        <v>11</v>
      </c>
      <c r="Q165">
        <v>2017</v>
      </c>
      <c r="R165" s="9">
        <v>43054</v>
      </c>
      <c r="S165">
        <v>312</v>
      </c>
      <c r="T165">
        <v>1</v>
      </c>
      <c r="U165">
        <v>0</v>
      </c>
      <c r="V165">
        <v>0</v>
      </c>
      <c r="W165">
        <v>0</v>
      </c>
      <c r="X165" s="57">
        <f t="shared" si="15"/>
        <v>-64.431995499999999</v>
      </c>
      <c r="Y165" t="s">
        <v>16</v>
      </c>
      <c r="Z165">
        <v>5.0836579520000003</v>
      </c>
      <c r="AA165" s="3">
        <f t="shared" si="18"/>
        <v>6</v>
      </c>
      <c r="AB165" s="3">
        <f t="shared" si="19"/>
        <v>5</v>
      </c>
      <c r="AD165" s="3" t="s">
        <v>2754</v>
      </c>
      <c r="AE165" s="4">
        <v>-47.035596400000003</v>
      </c>
      <c r="AF165" s="4">
        <f t="shared" si="16"/>
        <v>-47.035596400000003</v>
      </c>
      <c r="AG165" s="60" t="s">
        <v>16</v>
      </c>
      <c r="AH165" s="61" t="s">
        <v>16</v>
      </c>
      <c r="AJ165" s="3">
        <f t="shared" si="17"/>
        <v>5</v>
      </c>
      <c r="AK165" s="3" t="s">
        <v>2706</v>
      </c>
      <c r="AL165">
        <v>5</v>
      </c>
      <c r="AM165" t="s">
        <v>15</v>
      </c>
    </row>
    <row r="166" spans="1:39" ht="15" hidden="1" thickTop="1" x14ac:dyDescent="0.3">
      <c r="A166" s="51" t="s">
        <v>2562</v>
      </c>
      <c r="B166" s="54" t="s">
        <v>1375</v>
      </c>
      <c r="C166" s="51" t="s">
        <v>2765</v>
      </c>
      <c r="D166" s="53">
        <v>1</v>
      </c>
      <c r="E166" s="53">
        <v>0</v>
      </c>
      <c r="F166" s="51" t="s">
        <v>2744</v>
      </c>
      <c r="G166" s="51" t="s">
        <v>2695</v>
      </c>
      <c r="H166" s="25" t="str">
        <f t="shared" si="20"/>
        <v>jgd</v>
      </c>
      <c r="I166" t="s">
        <v>30</v>
      </c>
      <c r="J166" t="s">
        <v>330</v>
      </c>
      <c r="K166" t="s">
        <v>62</v>
      </c>
      <c r="L166" s="25">
        <v>46.659642359999999</v>
      </c>
      <c r="M166" s="25">
        <v>6.9730557080000004</v>
      </c>
      <c r="N166">
        <v>5</v>
      </c>
      <c r="O166">
        <v>8</v>
      </c>
      <c r="P166">
        <v>11</v>
      </c>
      <c r="Q166">
        <v>2017</v>
      </c>
      <c r="R166" s="9">
        <v>43047</v>
      </c>
      <c r="S166">
        <v>335</v>
      </c>
      <c r="T166">
        <v>1</v>
      </c>
      <c r="U166">
        <v>0</v>
      </c>
      <c r="V166">
        <v>0</v>
      </c>
      <c r="W166">
        <v>0</v>
      </c>
      <c r="X166" s="57">
        <f t="shared" si="15"/>
        <v>-63.505791250000001</v>
      </c>
      <c r="Y166" t="s">
        <v>16</v>
      </c>
      <c r="Z166">
        <v>5.8278533020000003</v>
      </c>
      <c r="AA166" s="3">
        <f t="shared" si="18"/>
        <v>6</v>
      </c>
      <c r="AB166" s="3">
        <f t="shared" si="19"/>
        <v>6</v>
      </c>
      <c r="AD166" s="3" t="s">
        <v>2751</v>
      </c>
      <c r="AE166" s="4">
        <v>-46.294632999999997</v>
      </c>
      <c r="AF166" s="4">
        <f t="shared" si="16"/>
        <v>-46.294632999999997</v>
      </c>
      <c r="AG166" s="60" t="s">
        <v>16</v>
      </c>
      <c r="AH166" s="61" t="s">
        <v>16</v>
      </c>
      <c r="AJ166" s="3">
        <f t="shared" si="17"/>
        <v>5</v>
      </c>
      <c r="AK166" s="3" t="s">
        <v>2706</v>
      </c>
      <c r="AL166">
        <v>5</v>
      </c>
      <c r="AM166" t="s">
        <v>2680</v>
      </c>
    </row>
    <row r="167" spans="1:39" ht="15" hidden="1" thickTop="1" x14ac:dyDescent="0.3">
      <c r="A167" s="51" t="s">
        <v>2475</v>
      </c>
      <c r="B167" s="54" t="s">
        <v>2476</v>
      </c>
      <c r="C167" s="51" t="s">
        <v>2765</v>
      </c>
      <c r="D167" s="53">
        <v>1</v>
      </c>
      <c r="E167" s="53">
        <v>0</v>
      </c>
      <c r="F167" s="51" t="s">
        <v>2744</v>
      </c>
      <c r="G167" s="51" t="s">
        <v>2695</v>
      </c>
      <c r="H167" s="25" t="str">
        <f t="shared" si="20"/>
        <v>jgd</v>
      </c>
      <c r="I167" t="s">
        <v>1488</v>
      </c>
      <c r="J167" t="s">
        <v>2464</v>
      </c>
      <c r="K167" t="s">
        <v>2468</v>
      </c>
      <c r="L167" s="25">
        <v>47.384160000000001</v>
      </c>
      <c r="M167" s="25">
        <v>7.2866400000000002</v>
      </c>
      <c r="N167">
        <v>5</v>
      </c>
      <c r="O167">
        <v>4</v>
      </c>
      <c r="P167">
        <v>11</v>
      </c>
      <c r="Q167">
        <v>2017</v>
      </c>
      <c r="R167" s="9">
        <v>43043</v>
      </c>
      <c r="S167">
        <v>316</v>
      </c>
      <c r="T167">
        <v>1</v>
      </c>
      <c r="U167">
        <v>0</v>
      </c>
      <c r="V167">
        <v>0</v>
      </c>
      <c r="W167">
        <v>0</v>
      </c>
      <c r="X167" s="57">
        <f t="shared" si="15"/>
        <v>-63.307039250000003</v>
      </c>
      <c r="Y167" t="s">
        <v>16</v>
      </c>
      <c r="Z167">
        <v>2.5178868639999998</v>
      </c>
      <c r="AA167" s="3">
        <f t="shared" si="18"/>
        <v>6</v>
      </c>
      <c r="AB167" s="3">
        <f t="shared" si="19"/>
        <v>3</v>
      </c>
      <c r="AD167" s="3" t="s">
        <v>2750</v>
      </c>
      <c r="AE167" s="4">
        <v>-46.135631400000001</v>
      </c>
      <c r="AF167" s="4">
        <f t="shared" si="16"/>
        <v>-46.135631400000001</v>
      </c>
      <c r="AG167" s="60" t="s">
        <v>16</v>
      </c>
      <c r="AH167" s="61" t="s">
        <v>16</v>
      </c>
      <c r="AJ167" s="3">
        <f t="shared" si="17"/>
        <v>5</v>
      </c>
      <c r="AK167" s="3" t="s">
        <v>2706</v>
      </c>
      <c r="AL167">
        <v>5</v>
      </c>
      <c r="AM167" t="s">
        <v>2674</v>
      </c>
    </row>
    <row r="168" spans="1:39" ht="15" hidden="1" thickTop="1" x14ac:dyDescent="0.3">
      <c r="A168" s="51" t="s">
        <v>2151</v>
      </c>
      <c r="B168" s="54" t="s">
        <v>161</v>
      </c>
      <c r="C168" s="51" t="s">
        <v>2765</v>
      </c>
      <c r="D168" s="53">
        <v>1</v>
      </c>
      <c r="E168" s="53">
        <v>0</v>
      </c>
      <c r="F168" s="51" t="s">
        <v>2744</v>
      </c>
      <c r="G168" s="51" t="s">
        <v>2695</v>
      </c>
      <c r="H168" s="25" t="str">
        <f t="shared" si="20"/>
        <v>jgd</v>
      </c>
      <c r="I168" t="s">
        <v>72</v>
      </c>
      <c r="J168" t="s">
        <v>2152</v>
      </c>
      <c r="K168" t="s">
        <v>2153</v>
      </c>
      <c r="L168" s="25">
        <v>46.522389650000001</v>
      </c>
      <c r="M168" s="25">
        <v>8.9087432320000008</v>
      </c>
      <c r="N168">
        <v>3</v>
      </c>
      <c r="O168">
        <v>26</v>
      </c>
      <c r="P168">
        <v>10</v>
      </c>
      <c r="Q168">
        <v>2017</v>
      </c>
      <c r="R168" s="9">
        <v>43034</v>
      </c>
      <c r="S168">
        <v>302</v>
      </c>
      <c r="T168">
        <v>1</v>
      </c>
      <c r="U168">
        <v>0</v>
      </c>
      <c r="V168">
        <v>0</v>
      </c>
      <c r="W168">
        <v>0</v>
      </c>
      <c r="X168" s="57">
        <f t="shared" si="15"/>
        <v>-60.296180249999999</v>
      </c>
      <c r="Y168" t="s">
        <v>16</v>
      </c>
      <c r="Z168">
        <v>6.308539991</v>
      </c>
      <c r="AA168" s="3">
        <f t="shared" si="18"/>
        <v>6</v>
      </c>
      <c r="AB168" s="3">
        <f t="shared" si="19"/>
        <v>6</v>
      </c>
      <c r="AD168" s="3" t="s">
        <v>2754</v>
      </c>
      <c r="AE168" s="4">
        <v>-43.726944199999998</v>
      </c>
      <c r="AF168" s="4">
        <f t="shared" si="16"/>
        <v>-43.726944199999998</v>
      </c>
      <c r="AG168" s="60" t="s">
        <v>16</v>
      </c>
      <c r="AH168" s="61" t="s">
        <v>16</v>
      </c>
      <c r="AJ168" s="3">
        <f t="shared" si="17"/>
        <v>4</v>
      </c>
      <c r="AK168" s="3" t="s">
        <v>2706</v>
      </c>
      <c r="AL168">
        <v>4</v>
      </c>
      <c r="AM168" t="s">
        <v>15</v>
      </c>
    </row>
    <row r="169" spans="1:39" ht="15" hidden="1" thickTop="1" x14ac:dyDescent="0.3">
      <c r="A169" s="51" t="s">
        <v>2100</v>
      </c>
      <c r="B169" s="54" t="s">
        <v>2101</v>
      </c>
      <c r="C169" s="51" t="s">
        <v>2765</v>
      </c>
      <c r="D169" s="53">
        <v>1</v>
      </c>
      <c r="E169" s="53">
        <v>0</v>
      </c>
      <c r="F169" s="51" t="s">
        <v>2744</v>
      </c>
      <c r="G169" s="51" t="s">
        <v>2695</v>
      </c>
      <c r="H169" s="25" t="str">
        <f t="shared" si="20"/>
        <v>jgd</v>
      </c>
      <c r="I169" t="s">
        <v>30</v>
      </c>
      <c r="J169" t="s">
        <v>2102</v>
      </c>
      <c r="K169" t="s">
        <v>2103</v>
      </c>
      <c r="L169" s="25">
        <v>46.675881599999997</v>
      </c>
      <c r="M169" s="25">
        <v>7.000818808</v>
      </c>
      <c r="N169">
        <v>3</v>
      </c>
      <c r="O169">
        <v>8</v>
      </c>
      <c r="P169">
        <v>11</v>
      </c>
      <c r="Q169">
        <v>2017</v>
      </c>
      <c r="R169" s="9">
        <v>43047</v>
      </c>
      <c r="S169">
        <v>386</v>
      </c>
      <c r="T169">
        <v>1</v>
      </c>
      <c r="U169">
        <v>0</v>
      </c>
      <c r="V169">
        <v>0</v>
      </c>
      <c r="W169">
        <v>0</v>
      </c>
      <c r="X169" s="57">
        <f t="shared" si="15"/>
        <v>-59.880514000000005</v>
      </c>
      <c r="Y169" t="s">
        <v>16</v>
      </c>
      <c r="Z169">
        <v>4.7433851579999997</v>
      </c>
      <c r="AA169" s="3">
        <f t="shared" si="18"/>
        <v>6</v>
      </c>
      <c r="AB169" s="3">
        <f t="shared" si="19"/>
        <v>5</v>
      </c>
      <c r="AD169" s="3" t="s">
        <v>2751</v>
      </c>
      <c r="AE169" s="4">
        <v>-43.3944112</v>
      </c>
      <c r="AF169" s="4">
        <f t="shared" si="16"/>
        <v>-43.3944112</v>
      </c>
      <c r="AG169" s="60" t="s">
        <v>16</v>
      </c>
      <c r="AH169" s="61" t="s">
        <v>16</v>
      </c>
      <c r="AJ169" s="3">
        <f t="shared" si="17"/>
        <v>4</v>
      </c>
      <c r="AK169" s="3" t="s">
        <v>2706</v>
      </c>
      <c r="AL169">
        <v>4</v>
      </c>
      <c r="AM169" t="s">
        <v>15</v>
      </c>
    </row>
    <row r="170" spans="1:39" ht="15" hidden="1" thickTop="1" x14ac:dyDescent="0.3">
      <c r="A170" s="51" t="s">
        <v>1007</v>
      </c>
      <c r="B170" s="54" t="s">
        <v>1008</v>
      </c>
      <c r="C170" s="51" t="s">
        <v>2765</v>
      </c>
      <c r="D170" s="53">
        <v>1</v>
      </c>
      <c r="E170" s="53">
        <v>0</v>
      </c>
      <c r="F170" s="51" t="s">
        <v>2744</v>
      </c>
      <c r="G170" s="51" t="s">
        <v>2695</v>
      </c>
      <c r="H170" s="25" t="str">
        <f t="shared" si="20"/>
        <v>jgd</v>
      </c>
      <c r="I170" t="s">
        <v>385</v>
      </c>
      <c r="J170" t="s">
        <v>392</v>
      </c>
      <c r="K170" t="s">
        <v>473</v>
      </c>
      <c r="L170" s="25">
        <v>46.84663269</v>
      </c>
      <c r="M170" s="25">
        <v>6.4567335850000003</v>
      </c>
      <c r="N170">
        <v>4</v>
      </c>
      <c r="O170">
        <v>30</v>
      </c>
      <c r="P170">
        <v>10</v>
      </c>
      <c r="Q170">
        <v>2015</v>
      </c>
      <c r="R170" s="9">
        <v>42307</v>
      </c>
      <c r="S170">
        <v>330</v>
      </c>
      <c r="T170">
        <v>1</v>
      </c>
      <c r="U170">
        <v>0</v>
      </c>
      <c r="V170">
        <v>0</v>
      </c>
      <c r="W170">
        <v>0</v>
      </c>
      <c r="X170">
        <f t="shared" si="15"/>
        <v>-59.25</v>
      </c>
      <c r="Y170">
        <v>-23.773</v>
      </c>
      <c r="Z170">
        <v>3.2257204970000002</v>
      </c>
      <c r="AA170" s="3">
        <f t="shared" si="18"/>
        <v>6</v>
      </c>
      <c r="AB170" s="3">
        <f t="shared" si="19"/>
        <v>3</v>
      </c>
      <c r="AD170" s="3" t="s">
        <v>2750</v>
      </c>
      <c r="AE170" s="4">
        <v>-42.89</v>
      </c>
      <c r="AF170" s="4">
        <f t="shared" si="16"/>
        <v>-42.89</v>
      </c>
      <c r="AG170" s="1">
        <v>-65</v>
      </c>
      <c r="AH170" s="2">
        <v>-59.25</v>
      </c>
      <c r="AI170"/>
      <c r="AJ170" s="3">
        <f t="shared" si="17"/>
        <v>4</v>
      </c>
      <c r="AK170" s="3" t="s">
        <v>2706</v>
      </c>
      <c r="AL170">
        <v>4</v>
      </c>
      <c r="AM170" t="s">
        <v>15</v>
      </c>
    </row>
    <row r="171" spans="1:39" ht="15" hidden="1" thickTop="1" x14ac:dyDescent="0.3">
      <c r="A171" s="51" t="s">
        <v>2574</v>
      </c>
      <c r="B171" s="54" t="s">
        <v>2575</v>
      </c>
      <c r="C171" s="51" t="s">
        <v>2765</v>
      </c>
      <c r="D171" s="53">
        <v>1</v>
      </c>
      <c r="E171" s="53">
        <v>0</v>
      </c>
      <c r="F171" s="51" t="s">
        <v>2744</v>
      </c>
      <c r="G171" s="51" t="s">
        <v>2695</v>
      </c>
      <c r="H171" s="25" t="str">
        <f t="shared" si="20"/>
        <v>jgd</v>
      </c>
      <c r="I171" t="s">
        <v>385</v>
      </c>
      <c r="J171" t="s">
        <v>2576</v>
      </c>
      <c r="K171" t="s">
        <v>2577</v>
      </c>
      <c r="L171" s="25">
        <v>46.542534879999998</v>
      </c>
      <c r="M171" s="25">
        <v>6.4099924460000004</v>
      </c>
      <c r="N171">
        <v>4</v>
      </c>
      <c r="O171">
        <v>20</v>
      </c>
      <c r="P171">
        <v>11</v>
      </c>
      <c r="Q171">
        <v>2017</v>
      </c>
      <c r="R171" s="9">
        <v>43059</v>
      </c>
      <c r="S171">
        <v>342</v>
      </c>
      <c r="T171">
        <v>1</v>
      </c>
      <c r="U171">
        <v>0</v>
      </c>
      <c r="V171">
        <v>0</v>
      </c>
      <c r="W171">
        <v>0</v>
      </c>
      <c r="X171" s="57">
        <f t="shared" si="15"/>
        <v>-59.113617750000003</v>
      </c>
      <c r="Y171" t="s">
        <v>16</v>
      </c>
      <c r="Z171">
        <v>4.8630116880000003</v>
      </c>
      <c r="AA171" s="3">
        <f t="shared" si="18"/>
        <v>6</v>
      </c>
      <c r="AB171" s="3">
        <f t="shared" si="19"/>
        <v>5</v>
      </c>
      <c r="AD171" s="3" t="s">
        <v>2751</v>
      </c>
      <c r="AE171" s="4">
        <v>-42.780894199999999</v>
      </c>
      <c r="AF171" s="4">
        <f t="shared" si="16"/>
        <v>-42.780894199999999</v>
      </c>
      <c r="AG171" s="60" t="s">
        <v>16</v>
      </c>
      <c r="AH171" s="61" t="s">
        <v>16</v>
      </c>
      <c r="AJ171" s="3">
        <f t="shared" si="17"/>
        <v>4</v>
      </c>
      <c r="AK171" s="3" t="s">
        <v>2706</v>
      </c>
      <c r="AL171">
        <v>4</v>
      </c>
      <c r="AM171" t="s">
        <v>15</v>
      </c>
    </row>
    <row r="172" spans="1:39" ht="15" hidden="1" thickTop="1" x14ac:dyDescent="0.3">
      <c r="A172" s="51" t="s">
        <v>511</v>
      </c>
      <c r="B172" s="54" t="s">
        <v>512</v>
      </c>
      <c r="C172" s="51" t="s">
        <v>2765</v>
      </c>
      <c r="D172" s="53">
        <v>1</v>
      </c>
      <c r="E172" s="53">
        <v>0</v>
      </c>
      <c r="F172" s="51" t="s">
        <v>2744</v>
      </c>
      <c r="G172" s="51" t="s">
        <v>2695</v>
      </c>
      <c r="H172" s="25" t="str">
        <f t="shared" si="20"/>
        <v>jgd</v>
      </c>
      <c r="I172" t="s">
        <v>13</v>
      </c>
      <c r="J172" t="s">
        <v>26</v>
      </c>
      <c r="K172" t="s">
        <v>513</v>
      </c>
      <c r="L172" s="25">
        <v>47.02734469</v>
      </c>
      <c r="M172" s="25">
        <v>6.8127679060000004</v>
      </c>
      <c r="N172">
        <v>6</v>
      </c>
      <c r="O172">
        <v>25</v>
      </c>
      <c r="P172">
        <v>10</v>
      </c>
      <c r="Q172">
        <v>2014</v>
      </c>
      <c r="R172" s="9">
        <v>41937</v>
      </c>
      <c r="S172">
        <v>325</v>
      </c>
      <c r="T172">
        <v>1</v>
      </c>
      <c r="U172">
        <v>0</v>
      </c>
      <c r="V172">
        <v>0</v>
      </c>
      <c r="W172">
        <v>0</v>
      </c>
      <c r="X172">
        <f t="shared" si="15"/>
        <v>-58.750000000000007</v>
      </c>
      <c r="Y172">
        <v>-22.975285710000001</v>
      </c>
      <c r="Z172">
        <v>4.6050565990000001</v>
      </c>
      <c r="AA172" s="3">
        <f t="shared" si="18"/>
        <v>6</v>
      </c>
      <c r="AB172" s="3">
        <f t="shared" si="19"/>
        <v>5</v>
      </c>
      <c r="AD172" s="3" t="s">
        <v>2750</v>
      </c>
      <c r="AE172" s="4">
        <v>-42.49</v>
      </c>
      <c r="AF172" s="4">
        <f t="shared" si="16"/>
        <v>-42.49</v>
      </c>
      <c r="AG172" s="1">
        <v>-64.5</v>
      </c>
      <c r="AH172" s="2">
        <v>-58.75</v>
      </c>
      <c r="AI172"/>
      <c r="AJ172" s="3">
        <f t="shared" si="17"/>
        <v>4</v>
      </c>
      <c r="AK172" s="3" t="s">
        <v>2706</v>
      </c>
      <c r="AL172">
        <v>4</v>
      </c>
      <c r="AM172" t="s">
        <v>15</v>
      </c>
    </row>
    <row r="173" spans="1:39" ht="15" hidden="1" thickTop="1" x14ac:dyDescent="0.3">
      <c r="A173" s="51" t="s">
        <v>322</v>
      </c>
      <c r="B173" s="54" t="s">
        <v>93</v>
      </c>
      <c r="C173" s="51" t="s">
        <v>2765</v>
      </c>
      <c r="D173" s="53">
        <v>1</v>
      </c>
      <c r="E173" s="53">
        <v>0</v>
      </c>
      <c r="F173" s="51" t="s">
        <v>2744</v>
      </c>
      <c r="G173" s="51" t="s">
        <v>2695</v>
      </c>
      <c r="H173" s="25" t="str">
        <f t="shared" si="20"/>
        <v>jgd</v>
      </c>
      <c r="I173" t="s">
        <v>13</v>
      </c>
      <c r="J173" t="s">
        <v>323</v>
      </c>
      <c r="K173" t="s">
        <v>324</v>
      </c>
      <c r="L173" s="25">
        <v>47.036705449999999</v>
      </c>
      <c r="M173" s="25">
        <v>6.8583544520000004</v>
      </c>
      <c r="N173">
        <v>6</v>
      </c>
      <c r="O173">
        <v>8</v>
      </c>
      <c r="P173">
        <v>11</v>
      </c>
      <c r="Q173">
        <v>2014</v>
      </c>
      <c r="R173" s="9">
        <v>41951</v>
      </c>
      <c r="S173">
        <v>360</v>
      </c>
      <c r="T173">
        <v>1</v>
      </c>
      <c r="U173">
        <v>0</v>
      </c>
      <c r="V173">
        <v>0</v>
      </c>
      <c r="W173">
        <v>0</v>
      </c>
      <c r="X173">
        <f t="shared" si="15"/>
        <v>-57.975000000000001</v>
      </c>
      <c r="Y173">
        <v>-23.225285710000001</v>
      </c>
      <c r="Z173">
        <v>6.554213861</v>
      </c>
      <c r="AA173" s="3">
        <f t="shared" si="18"/>
        <v>6</v>
      </c>
      <c r="AB173" s="3">
        <f t="shared" si="19"/>
        <v>7</v>
      </c>
      <c r="AD173" s="3" t="s">
        <v>2750</v>
      </c>
      <c r="AE173" s="4">
        <v>-41.87</v>
      </c>
      <c r="AF173" s="4">
        <f t="shared" si="16"/>
        <v>-41.87</v>
      </c>
      <c r="AG173" s="1">
        <v>-63.9</v>
      </c>
      <c r="AH173" s="2">
        <v>-57.98</v>
      </c>
      <c r="AI173"/>
      <c r="AJ173" s="3">
        <f t="shared" si="17"/>
        <v>4</v>
      </c>
      <c r="AK173" s="3" t="s">
        <v>2706</v>
      </c>
      <c r="AL173">
        <v>4</v>
      </c>
      <c r="AM173" t="s">
        <v>15</v>
      </c>
    </row>
    <row r="174" spans="1:39" ht="15" hidden="1" thickTop="1" x14ac:dyDescent="0.3">
      <c r="A174" s="51" t="s">
        <v>232</v>
      </c>
      <c r="B174" s="54" t="s">
        <v>233</v>
      </c>
      <c r="C174" s="51" t="s">
        <v>2765</v>
      </c>
      <c r="D174" s="53">
        <v>1</v>
      </c>
      <c r="E174" s="53">
        <v>0</v>
      </c>
      <c r="F174" s="51" t="s">
        <v>2744</v>
      </c>
      <c r="G174" s="51" t="s">
        <v>2695</v>
      </c>
      <c r="H174" s="25" t="str">
        <f t="shared" si="20"/>
        <v>jgd</v>
      </c>
      <c r="I174" t="s">
        <v>72</v>
      </c>
      <c r="J174" t="s">
        <v>234</v>
      </c>
      <c r="K174" t="s">
        <v>235</v>
      </c>
      <c r="L174" s="25">
        <v>46.22125277</v>
      </c>
      <c r="M174" s="25">
        <v>8.7203386080000005</v>
      </c>
      <c r="N174">
        <v>6</v>
      </c>
      <c r="O174" t="s">
        <v>16</v>
      </c>
      <c r="P174" t="s">
        <v>16</v>
      </c>
      <c r="Q174">
        <v>2013</v>
      </c>
      <c r="R174" s="9" t="s">
        <v>16</v>
      </c>
      <c r="S174">
        <v>317</v>
      </c>
      <c r="T174">
        <v>1</v>
      </c>
      <c r="U174">
        <v>0</v>
      </c>
      <c r="V174">
        <v>0</v>
      </c>
      <c r="W174">
        <v>0</v>
      </c>
      <c r="X174">
        <f t="shared" si="15"/>
        <v>-57.487499999999997</v>
      </c>
      <c r="Y174">
        <v>60.38491148</v>
      </c>
      <c r="Z174">
        <v>5.6515635069999997</v>
      </c>
      <c r="AA174" s="3">
        <f t="shared" si="18"/>
        <v>6</v>
      </c>
      <c r="AB174" s="3">
        <f t="shared" si="19"/>
        <v>6</v>
      </c>
      <c r="AD174" s="3" t="s">
        <v>2754</v>
      </c>
      <c r="AE174" s="4">
        <v>-41.48</v>
      </c>
      <c r="AF174" s="4">
        <f t="shared" si="16"/>
        <v>-41.48</v>
      </c>
      <c r="AG174" s="1">
        <v>-63.5</v>
      </c>
      <c r="AH174" s="2">
        <v>-57.49</v>
      </c>
      <c r="AI174"/>
      <c r="AJ174" s="3">
        <f t="shared" si="17"/>
        <v>4</v>
      </c>
      <c r="AK174" s="3" t="s">
        <v>2706</v>
      </c>
      <c r="AL174">
        <v>4</v>
      </c>
      <c r="AM174" t="s">
        <v>15</v>
      </c>
    </row>
    <row r="175" spans="1:39" ht="15" hidden="1" thickTop="1" x14ac:dyDescent="0.3">
      <c r="A175" s="51" t="s">
        <v>521</v>
      </c>
      <c r="B175" s="54" t="s">
        <v>522</v>
      </c>
      <c r="C175" s="51" t="s">
        <v>2765</v>
      </c>
      <c r="D175" s="53">
        <v>1</v>
      </c>
      <c r="E175" s="53">
        <v>0</v>
      </c>
      <c r="F175" s="51" t="s">
        <v>2744</v>
      </c>
      <c r="G175" s="51" t="s">
        <v>2695</v>
      </c>
      <c r="H175" s="25" t="str">
        <f t="shared" si="20"/>
        <v>jgd</v>
      </c>
      <c r="I175" t="s">
        <v>13</v>
      </c>
      <c r="J175" t="s">
        <v>26</v>
      </c>
      <c r="K175" t="s">
        <v>523</v>
      </c>
      <c r="L175" s="25">
        <v>47.01211438</v>
      </c>
      <c r="M175" s="25">
        <v>6.8076322989999998</v>
      </c>
      <c r="N175">
        <v>6</v>
      </c>
      <c r="O175">
        <v>8</v>
      </c>
      <c r="P175">
        <v>11</v>
      </c>
      <c r="Q175">
        <v>2014</v>
      </c>
      <c r="R175" s="9">
        <v>41951</v>
      </c>
      <c r="S175">
        <v>369</v>
      </c>
      <c r="T175">
        <v>1</v>
      </c>
      <c r="U175">
        <v>0</v>
      </c>
      <c r="V175">
        <v>0</v>
      </c>
      <c r="W175">
        <v>0</v>
      </c>
      <c r="X175">
        <f t="shared" si="15"/>
        <v>-55.787500000000001</v>
      </c>
      <c r="Y175">
        <v>-23.787285709999999</v>
      </c>
      <c r="Z175">
        <v>5.9248277380000003</v>
      </c>
      <c r="AA175" s="3">
        <f t="shared" si="18"/>
        <v>6</v>
      </c>
      <c r="AB175" s="3">
        <f t="shared" si="19"/>
        <v>6</v>
      </c>
      <c r="AD175" s="3" t="s">
        <v>2750</v>
      </c>
      <c r="AE175" s="4">
        <v>-40.119999999999997</v>
      </c>
      <c r="AF175" s="4">
        <f t="shared" si="16"/>
        <v>-40.119999999999997</v>
      </c>
      <c r="AG175" s="1">
        <v>-62.1</v>
      </c>
      <c r="AH175" s="2">
        <v>-55.79</v>
      </c>
      <c r="AI175"/>
      <c r="AJ175" s="3">
        <f t="shared" si="17"/>
        <v>4</v>
      </c>
      <c r="AK175" s="3" t="s">
        <v>2706</v>
      </c>
      <c r="AL175">
        <v>4</v>
      </c>
      <c r="AM175" t="s">
        <v>15</v>
      </c>
    </row>
    <row r="176" spans="1:39" ht="15" hidden="1" thickTop="1" x14ac:dyDescent="0.3">
      <c r="A176" s="51" t="s">
        <v>95</v>
      </c>
      <c r="B176" s="54" t="s">
        <v>96</v>
      </c>
      <c r="C176" s="51" t="s">
        <v>2765</v>
      </c>
      <c r="D176" s="53">
        <v>1</v>
      </c>
      <c r="E176" s="53">
        <v>0</v>
      </c>
      <c r="F176" s="51" t="s">
        <v>2744</v>
      </c>
      <c r="G176" s="51" t="s">
        <v>2695</v>
      </c>
      <c r="H176" s="25" t="str">
        <f t="shared" si="20"/>
        <v>jgd</v>
      </c>
      <c r="I176" t="s">
        <v>13</v>
      </c>
      <c r="J176" t="s">
        <v>16</v>
      </c>
      <c r="K176" t="s">
        <v>97</v>
      </c>
      <c r="L176" s="25">
        <v>47.07882343</v>
      </c>
      <c r="M176" s="25">
        <v>6.8787299400000004</v>
      </c>
      <c r="N176" t="s">
        <v>16</v>
      </c>
      <c r="O176">
        <v>2</v>
      </c>
      <c r="P176">
        <v>11</v>
      </c>
      <c r="Q176">
        <v>2013</v>
      </c>
      <c r="R176" s="9">
        <v>41580</v>
      </c>
      <c r="S176">
        <v>358</v>
      </c>
      <c r="T176">
        <v>1</v>
      </c>
      <c r="U176">
        <v>0</v>
      </c>
      <c r="V176">
        <v>0</v>
      </c>
      <c r="W176">
        <v>0</v>
      </c>
      <c r="X176">
        <f t="shared" si="15"/>
        <v>-55.162500000000001</v>
      </c>
      <c r="Y176">
        <v>-33.650945669999999</v>
      </c>
      <c r="Z176">
        <v>3.4035780510000002</v>
      </c>
      <c r="AA176" s="3">
        <f t="shared" si="18"/>
        <v>6</v>
      </c>
      <c r="AB176" s="3">
        <f t="shared" si="19"/>
        <v>3</v>
      </c>
      <c r="AD176" s="3" t="s">
        <v>2750</v>
      </c>
      <c r="AE176" s="4">
        <v>-39.619999999999997</v>
      </c>
      <c r="AF176" s="4">
        <f t="shared" si="16"/>
        <v>-39.619999999999997</v>
      </c>
      <c r="AG176" s="1">
        <v>-61.6</v>
      </c>
      <c r="AH176" s="2">
        <v>-55.16</v>
      </c>
      <c r="AI176"/>
      <c r="AJ176" s="3">
        <f t="shared" si="17"/>
        <v>4</v>
      </c>
      <c r="AK176" s="3" t="s">
        <v>2706</v>
      </c>
      <c r="AL176">
        <v>4</v>
      </c>
      <c r="AM176" t="s">
        <v>15</v>
      </c>
    </row>
    <row r="177" spans="1:39" ht="15" hidden="1" thickTop="1" x14ac:dyDescent="0.3">
      <c r="A177" s="51" t="s">
        <v>92</v>
      </c>
      <c r="B177" s="54" t="s">
        <v>93</v>
      </c>
      <c r="C177" s="51" t="s">
        <v>2765</v>
      </c>
      <c r="D177" s="53">
        <v>1</v>
      </c>
      <c r="E177" s="53">
        <v>0</v>
      </c>
      <c r="F177" s="51" t="s">
        <v>2744</v>
      </c>
      <c r="G177" s="51" t="s">
        <v>2695</v>
      </c>
      <c r="H177" s="25" t="str">
        <f t="shared" si="20"/>
        <v>jgd</v>
      </c>
      <c r="I177" t="s">
        <v>13</v>
      </c>
      <c r="J177" t="s">
        <v>16</v>
      </c>
      <c r="K177" t="s">
        <v>94</v>
      </c>
      <c r="L177" s="25">
        <v>47.051022930000002</v>
      </c>
      <c r="M177" s="25">
        <v>6.8471838890000001</v>
      </c>
      <c r="N177" t="s">
        <v>16</v>
      </c>
      <c r="O177">
        <v>24</v>
      </c>
      <c r="P177">
        <v>10</v>
      </c>
      <c r="Q177">
        <v>2013</v>
      </c>
      <c r="R177" s="9">
        <v>41571</v>
      </c>
      <c r="S177">
        <v>348</v>
      </c>
      <c r="T177">
        <v>1</v>
      </c>
      <c r="U177">
        <v>0</v>
      </c>
      <c r="V177">
        <v>0</v>
      </c>
      <c r="W177">
        <v>0</v>
      </c>
      <c r="X177">
        <f t="shared" si="15"/>
        <v>-54.712499999999999</v>
      </c>
      <c r="Y177">
        <v>66.36595355</v>
      </c>
      <c r="Z177">
        <v>4.4643169909999996</v>
      </c>
      <c r="AA177" s="3">
        <f t="shared" si="18"/>
        <v>5</v>
      </c>
      <c r="AB177" s="3">
        <f t="shared" si="19"/>
        <v>4</v>
      </c>
      <c r="AD177" s="3" t="s">
        <v>2750</v>
      </c>
      <c r="AE177" s="4">
        <v>-39.26</v>
      </c>
      <c r="AF177" s="4">
        <f t="shared" si="16"/>
        <v>-39.26</v>
      </c>
      <c r="AG177" s="1">
        <v>-61.2</v>
      </c>
      <c r="AH177" s="2">
        <v>-54.71</v>
      </c>
      <c r="AI177"/>
      <c r="AJ177" s="3">
        <f t="shared" si="17"/>
        <v>4</v>
      </c>
      <c r="AK177" s="3" t="s">
        <v>2706</v>
      </c>
      <c r="AL177">
        <v>4</v>
      </c>
      <c r="AM177" t="s">
        <v>15</v>
      </c>
    </row>
    <row r="178" spans="1:39" ht="15" hidden="1" thickTop="1" x14ac:dyDescent="0.3">
      <c r="A178" s="51" t="s">
        <v>2466</v>
      </c>
      <c r="B178" s="54" t="s">
        <v>2467</v>
      </c>
      <c r="C178" s="51" t="s">
        <v>2765</v>
      </c>
      <c r="D178" s="53">
        <v>1</v>
      </c>
      <c r="E178" s="53">
        <v>0</v>
      </c>
      <c r="F178" s="51" t="s">
        <v>2744</v>
      </c>
      <c r="G178" s="51" t="s">
        <v>2695</v>
      </c>
      <c r="H178" s="25" t="str">
        <f t="shared" si="20"/>
        <v>jgd</v>
      </c>
      <c r="I178" t="s">
        <v>1488</v>
      </c>
      <c r="J178" t="s">
        <v>2464</v>
      </c>
      <c r="K178" t="s">
        <v>2468</v>
      </c>
      <c r="L178" s="25">
        <v>47.384180000000001</v>
      </c>
      <c r="M178" s="25">
        <v>7.28146</v>
      </c>
      <c r="N178">
        <v>5</v>
      </c>
      <c r="O178">
        <v>23</v>
      </c>
      <c r="P178">
        <v>10</v>
      </c>
      <c r="Q178">
        <v>2017</v>
      </c>
      <c r="R178" s="9">
        <v>43031</v>
      </c>
      <c r="S178">
        <v>328</v>
      </c>
      <c r="T178">
        <v>1</v>
      </c>
      <c r="U178">
        <v>0</v>
      </c>
      <c r="V178">
        <v>0</v>
      </c>
      <c r="W178">
        <v>0</v>
      </c>
      <c r="X178" s="57">
        <f t="shared" si="15"/>
        <v>-53.967247999999998</v>
      </c>
      <c r="Y178" t="s">
        <v>16</v>
      </c>
      <c r="Z178">
        <v>6.2372421649999996</v>
      </c>
      <c r="AA178" s="3">
        <f t="shared" si="18"/>
        <v>5</v>
      </c>
      <c r="AB178" s="3">
        <f t="shared" si="19"/>
        <v>6</v>
      </c>
      <c r="AD178" s="3" t="s">
        <v>2750</v>
      </c>
      <c r="AE178" s="4">
        <v>-38.663798399999997</v>
      </c>
      <c r="AF178" s="4">
        <f t="shared" si="16"/>
        <v>-38.663798399999997</v>
      </c>
      <c r="AG178" s="60" t="s">
        <v>16</v>
      </c>
      <c r="AH178" s="61" t="s">
        <v>16</v>
      </c>
      <c r="AJ178" s="3">
        <f t="shared" si="17"/>
        <v>4</v>
      </c>
      <c r="AK178" s="3" t="s">
        <v>2706</v>
      </c>
      <c r="AL178">
        <v>4</v>
      </c>
      <c r="AM178" t="s">
        <v>2673</v>
      </c>
    </row>
    <row r="179" spans="1:39" ht="15" hidden="1" thickTop="1" x14ac:dyDescent="0.3">
      <c r="A179" s="51" t="s">
        <v>2485</v>
      </c>
      <c r="B179" s="54" t="s">
        <v>2486</v>
      </c>
      <c r="C179" s="51" t="s">
        <v>2765</v>
      </c>
      <c r="D179" s="53">
        <v>1</v>
      </c>
      <c r="E179" s="53">
        <v>0</v>
      </c>
      <c r="F179" s="51" t="s">
        <v>2744</v>
      </c>
      <c r="G179" s="51" t="s">
        <v>2695</v>
      </c>
      <c r="H179" s="25" t="str">
        <f t="shared" si="20"/>
        <v>jgd</v>
      </c>
      <c r="I179" t="s">
        <v>72</v>
      </c>
      <c r="J179" t="s">
        <v>2487</v>
      </c>
      <c r="K179" t="s">
        <v>16</v>
      </c>
      <c r="L179" s="25">
        <v>46.017183129999999</v>
      </c>
      <c r="M179" s="25">
        <v>8.8836887119999997</v>
      </c>
      <c r="N179">
        <v>6</v>
      </c>
      <c r="O179">
        <v>12</v>
      </c>
      <c r="P179">
        <v>11</v>
      </c>
      <c r="Q179">
        <v>2017</v>
      </c>
      <c r="R179" s="9">
        <v>43051</v>
      </c>
      <c r="S179">
        <v>322</v>
      </c>
      <c r="T179">
        <v>1</v>
      </c>
      <c r="U179">
        <v>0</v>
      </c>
      <c r="V179">
        <v>0</v>
      </c>
      <c r="W179">
        <v>0</v>
      </c>
      <c r="X179" s="57">
        <f t="shared" si="15"/>
        <v>-53.598146249999999</v>
      </c>
      <c r="Y179" t="s">
        <v>16</v>
      </c>
      <c r="Z179">
        <v>4.143578626</v>
      </c>
      <c r="AA179" s="3">
        <f t="shared" si="18"/>
        <v>5</v>
      </c>
      <c r="AB179" s="3">
        <f t="shared" si="19"/>
        <v>4</v>
      </c>
      <c r="AD179" s="3" t="s">
        <v>2754</v>
      </c>
      <c r="AE179" s="4">
        <v>-38.368516999999997</v>
      </c>
      <c r="AF179" s="4">
        <f t="shared" si="16"/>
        <v>-38.368516999999997</v>
      </c>
      <c r="AG179" s="60" t="s">
        <v>16</v>
      </c>
      <c r="AH179" s="61" t="s">
        <v>16</v>
      </c>
      <c r="AJ179" s="3">
        <f t="shared" si="17"/>
        <v>4</v>
      </c>
      <c r="AK179" s="3" t="s">
        <v>2706</v>
      </c>
      <c r="AL179">
        <v>4</v>
      </c>
      <c r="AM179" t="s">
        <v>15</v>
      </c>
    </row>
    <row r="180" spans="1:39" ht="15" hidden="1" thickTop="1" x14ac:dyDescent="0.3">
      <c r="A180" s="51" t="s">
        <v>1000</v>
      </c>
      <c r="B180" s="54" t="s">
        <v>1001</v>
      </c>
      <c r="C180" s="51" t="s">
        <v>2765</v>
      </c>
      <c r="D180" s="53">
        <v>1</v>
      </c>
      <c r="E180" s="53">
        <v>0</v>
      </c>
      <c r="F180" s="51" t="s">
        <v>2744</v>
      </c>
      <c r="G180" s="51" t="s">
        <v>2695</v>
      </c>
      <c r="H180" s="25" t="str">
        <f t="shared" si="20"/>
        <v>jgd</v>
      </c>
      <c r="I180" t="s">
        <v>385</v>
      </c>
      <c r="J180" t="s">
        <v>392</v>
      </c>
      <c r="K180" t="s">
        <v>473</v>
      </c>
      <c r="L180" s="25">
        <v>46.844870649999997</v>
      </c>
      <c r="M180" s="25">
        <v>6.4579195059999996</v>
      </c>
      <c r="N180">
        <v>5</v>
      </c>
      <c r="O180">
        <v>22</v>
      </c>
      <c r="P180">
        <v>10</v>
      </c>
      <c r="Q180">
        <v>2015</v>
      </c>
      <c r="R180" s="9">
        <v>42299</v>
      </c>
      <c r="S180">
        <v>270</v>
      </c>
      <c r="T180">
        <v>1</v>
      </c>
      <c r="U180">
        <v>0</v>
      </c>
      <c r="V180">
        <v>0</v>
      </c>
      <c r="W180">
        <v>0</v>
      </c>
      <c r="X180">
        <f t="shared" si="15"/>
        <v>-53.437500000000007</v>
      </c>
      <c r="Y180">
        <v>-23.143000000000001</v>
      </c>
      <c r="Z180">
        <v>4.6951264610000001</v>
      </c>
      <c r="AA180" s="3">
        <f t="shared" si="18"/>
        <v>5</v>
      </c>
      <c r="AB180" s="3">
        <f t="shared" si="19"/>
        <v>5</v>
      </c>
      <c r="AD180" s="3" t="s">
        <v>2750</v>
      </c>
      <c r="AE180" s="4">
        <v>-38.24</v>
      </c>
      <c r="AF180" s="4">
        <f t="shared" si="16"/>
        <v>-38.24</v>
      </c>
      <c r="AG180" s="1">
        <v>-60.2</v>
      </c>
      <c r="AH180" s="2">
        <v>-53.43</v>
      </c>
      <c r="AI180"/>
      <c r="AJ180" s="3">
        <f t="shared" si="17"/>
        <v>4</v>
      </c>
      <c r="AK180" s="3" t="s">
        <v>2706</v>
      </c>
      <c r="AL180">
        <v>4</v>
      </c>
      <c r="AM180" t="s">
        <v>15</v>
      </c>
    </row>
    <row r="181" spans="1:39" ht="15" hidden="1" thickTop="1" x14ac:dyDescent="0.3">
      <c r="A181" s="51" t="s">
        <v>602</v>
      </c>
      <c r="B181" s="54" t="s">
        <v>603</v>
      </c>
      <c r="C181" s="51" t="s">
        <v>2765</v>
      </c>
      <c r="D181" s="53">
        <v>1</v>
      </c>
      <c r="E181" s="53">
        <v>0</v>
      </c>
      <c r="F181" s="51" t="s">
        <v>2744</v>
      </c>
      <c r="G181" s="51" t="s">
        <v>2695</v>
      </c>
      <c r="H181" s="25" t="str">
        <f t="shared" si="20"/>
        <v>jgd</v>
      </c>
      <c r="I181" t="s">
        <v>72</v>
      </c>
      <c r="J181" t="s">
        <v>579</v>
      </c>
      <c r="K181" t="s">
        <v>604</v>
      </c>
      <c r="L181" s="25">
        <v>46.195616819999998</v>
      </c>
      <c r="M181" s="25">
        <v>8.6139671500000006</v>
      </c>
      <c r="N181">
        <v>5</v>
      </c>
      <c r="O181">
        <v>9</v>
      </c>
      <c r="P181">
        <v>11</v>
      </c>
      <c r="Q181">
        <v>2014</v>
      </c>
      <c r="R181" s="9">
        <v>41952</v>
      </c>
      <c r="S181">
        <v>312</v>
      </c>
      <c r="T181">
        <v>1</v>
      </c>
      <c r="U181">
        <v>0</v>
      </c>
      <c r="V181">
        <v>0</v>
      </c>
      <c r="W181">
        <v>0</v>
      </c>
      <c r="X181">
        <f t="shared" si="15"/>
        <v>-51.9375</v>
      </c>
      <c r="Y181">
        <v>-23.987200000000001</v>
      </c>
      <c r="Z181">
        <v>3.3433716809999998</v>
      </c>
      <c r="AA181" s="3">
        <f t="shared" si="18"/>
        <v>5</v>
      </c>
      <c r="AB181" s="3">
        <f t="shared" si="19"/>
        <v>3</v>
      </c>
      <c r="AD181" s="3" t="s">
        <v>2754</v>
      </c>
      <c r="AE181" s="4">
        <v>-37.04</v>
      </c>
      <c r="AF181" s="4">
        <f t="shared" si="16"/>
        <v>-37.04</v>
      </c>
      <c r="AG181" s="1">
        <v>-59</v>
      </c>
      <c r="AH181" s="2">
        <v>-51.94</v>
      </c>
      <c r="AI181"/>
      <c r="AJ181" s="3">
        <f t="shared" si="17"/>
        <v>4</v>
      </c>
      <c r="AK181" s="3" t="s">
        <v>2706</v>
      </c>
      <c r="AL181">
        <v>4</v>
      </c>
      <c r="AM181" t="s">
        <v>15</v>
      </c>
    </row>
    <row r="182" spans="1:39" ht="15" hidden="1" thickTop="1" x14ac:dyDescent="0.3">
      <c r="A182" s="51" t="s">
        <v>2554</v>
      </c>
      <c r="B182" s="54" t="s">
        <v>2555</v>
      </c>
      <c r="C182" s="51" t="s">
        <v>2765</v>
      </c>
      <c r="D182" s="53">
        <v>1</v>
      </c>
      <c r="E182" s="53">
        <v>0</v>
      </c>
      <c r="F182" s="51" t="s">
        <v>2744</v>
      </c>
      <c r="G182" s="51" t="s">
        <v>2695</v>
      </c>
      <c r="H182" s="25" t="str">
        <f t="shared" si="20"/>
        <v>jgd</v>
      </c>
      <c r="I182" t="s">
        <v>72</v>
      </c>
      <c r="J182" t="s">
        <v>1387</v>
      </c>
      <c r="K182" t="s">
        <v>180</v>
      </c>
      <c r="L182" s="25">
        <v>46.107903159999999</v>
      </c>
      <c r="M182" s="25">
        <v>8.9838818020000009</v>
      </c>
      <c r="N182">
        <v>5</v>
      </c>
      <c r="O182">
        <v>18</v>
      </c>
      <c r="P182">
        <v>11</v>
      </c>
      <c r="Q182">
        <v>2017</v>
      </c>
      <c r="R182" s="9">
        <v>43057</v>
      </c>
      <c r="S182">
        <v>303</v>
      </c>
      <c r="T182">
        <v>1</v>
      </c>
      <c r="U182">
        <v>0</v>
      </c>
      <c r="V182">
        <v>0</v>
      </c>
      <c r="W182">
        <v>0</v>
      </c>
      <c r="X182" s="57">
        <f t="shared" si="15"/>
        <v>-51.889034500000001</v>
      </c>
      <c r="Y182" t="s">
        <v>16</v>
      </c>
      <c r="Z182">
        <v>4.3369842680000001</v>
      </c>
      <c r="AA182" s="3">
        <f t="shared" si="18"/>
        <v>5</v>
      </c>
      <c r="AB182" s="3">
        <f t="shared" si="19"/>
        <v>4</v>
      </c>
      <c r="AD182" s="3" t="s">
        <v>2754</v>
      </c>
      <c r="AE182" s="4">
        <v>-37.0012276</v>
      </c>
      <c r="AF182" s="4">
        <f t="shared" si="16"/>
        <v>-37.0012276</v>
      </c>
      <c r="AG182" s="60" t="s">
        <v>16</v>
      </c>
      <c r="AH182" s="61" t="s">
        <v>16</v>
      </c>
      <c r="AJ182" s="3">
        <f t="shared" si="17"/>
        <v>4</v>
      </c>
      <c r="AK182" s="3" t="s">
        <v>2706</v>
      </c>
      <c r="AL182">
        <v>4</v>
      </c>
      <c r="AM182" t="s">
        <v>15</v>
      </c>
    </row>
    <row r="183" spans="1:39" ht="15" hidden="1" thickTop="1" x14ac:dyDescent="0.3">
      <c r="A183" s="51" t="s">
        <v>2121</v>
      </c>
      <c r="B183" s="54" t="s">
        <v>2122</v>
      </c>
      <c r="C183" s="51" t="s">
        <v>2765</v>
      </c>
      <c r="D183" s="53">
        <v>1</v>
      </c>
      <c r="E183" s="53">
        <v>0</v>
      </c>
      <c r="F183" s="51" t="s">
        <v>2744</v>
      </c>
      <c r="G183" s="51" t="s">
        <v>2695</v>
      </c>
      <c r="H183" s="25" t="str">
        <f t="shared" si="20"/>
        <v>jgd</v>
      </c>
      <c r="I183" t="s">
        <v>30</v>
      </c>
      <c r="J183" t="s">
        <v>2123</v>
      </c>
      <c r="K183" t="s">
        <v>2124</v>
      </c>
      <c r="L183" s="25">
        <v>46.797958719999997</v>
      </c>
      <c r="M183" s="25">
        <v>7.0802282099999996</v>
      </c>
      <c r="N183">
        <v>5</v>
      </c>
      <c r="O183">
        <v>14</v>
      </c>
      <c r="P183">
        <v>11</v>
      </c>
      <c r="Q183">
        <v>2017</v>
      </c>
      <c r="R183" s="9">
        <v>43053</v>
      </c>
      <c r="S183">
        <v>344</v>
      </c>
      <c r="T183">
        <v>1</v>
      </c>
      <c r="U183">
        <v>0</v>
      </c>
      <c r="V183">
        <v>0</v>
      </c>
      <c r="W183">
        <v>0</v>
      </c>
      <c r="X183" s="57">
        <f t="shared" si="15"/>
        <v>-51.858783000000003</v>
      </c>
      <c r="Y183" t="s">
        <v>16</v>
      </c>
      <c r="Z183">
        <v>1.0860827200000001</v>
      </c>
      <c r="AA183" s="3">
        <f t="shared" si="18"/>
        <v>5</v>
      </c>
      <c r="AB183" s="3">
        <f t="shared" si="19"/>
        <v>1</v>
      </c>
      <c r="AD183" s="3" t="s">
        <v>2751</v>
      </c>
      <c r="AE183" s="4">
        <v>-36.9770264</v>
      </c>
      <c r="AF183" s="4">
        <f t="shared" si="16"/>
        <v>-36.9770264</v>
      </c>
      <c r="AG183" s="60" t="s">
        <v>16</v>
      </c>
      <c r="AH183" s="61" t="s">
        <v>16</v>
      </c>
      <c r="AJ183" s="3">
        <f t="shared" si="17"/>
        <v>4</v>
      </c>
      <c r="AK183" s="3" t="s">
        <v>2706</v>
      </c>
      <c r="AL183">
        <v>4</v>
      </c>
      <c r="AM183" t="s">
        <v>15</v>
      </c>
    </row>
    <row r="184" spans="1:39" ht="15" hidden="1" thickTop="1" x14ac:dyDescent="0.3">
      <c r="A184" s="51" t="s">
        <v>2104</v>
      </c>
      <c r="B184" s="54" t="s">
        <v>1588</v>
      </c>
      <c r="C184" s="51" t="s">
        <v>2765</v>
      </c>
      <c r="D184" s="53">
        <v>1</v>
      </c>
      <c r="E184" s="53">
        <v>0</v>
      </c>
      <c r="F184" s="51" t="s">
        <v>2744</v>
      </c>
      <c r="G184" s="51" t="s">
        <v>2695</v>
      </c>
      <c r="H184" s="25" t="str">
        <f t="shared" si="20"/>
        <v>jgd</v>
      </c>
      <c r="I184" t="s">
        <v>30</v>
      </c>
      <c r="J184" t="s">
        <v>2105</v>
      </c>
      <c r="K184" t="s">
        <v>2106</v>
      </c>
      <c r="L184" s="25">
        <v>46.703011570000001</v>
      </c>
      <c r="M184" s="25">
        <v>7.0398264749999999</v>
      </c>
      <c r="N184">
        <v>3</v>
      </c>
      <c r="O184">
        <v>9</v>
      </c>
      <c r="P184">
        <v>11</v>
      </c>
      <c r="Q184">
        <v>2017</v>
      </c>
      <c r="R184" s="9">
        <v>43048</v>
      </c>
      <c r="S184">
        <v>338</v>
      </c>
      <c r="T184">
        <v>1</v>
      </c>
      <c r="U184">
        <v>0</v>
      </c>
      <c r="V184">
        <v>0</v>
      </c>
      <c r="W184">
        <v>0</v>
      </c>
      <c r="X184" s="57">
        <f t="shared" si="15"/>
        <v>-51.550561999999999</v>
      </c>
      <c r="Y184" t="s">
        <v>16</v>
      </c>
      <c r="Z184">
        <v>3.0585517100000001</v>
      </c>
      <c r="AA184" s="3">
        <f t="shared" si="18"/>
        <v>5</v>
      </c>
      <c r="AB184" s="3">
        <f t="shared" si="19"/>
        <v>3</v>
      </c>
      <c r="AD184" s="3" t="s">
        <v>2751</v>
      </c>
      <c r="AE184" s="4">
        <v>-36.7304496</v>
      </c>
      <c r="AF184" s="4">
        <f t="shared" si="16"/>
        <v>-36.7304496</v>
      </c>
      <c r="AG184" s="60" t="s">
        <v>16</v>
      </c>
      <c r="AH184" s="61" t="s">
        <v>16</v>
      </c>
      <c r="AJ184" s="3">
        <f t="shared" si="17"/>
        <v>4</v>
      </c>
      <c r="AK184" s="3" t="s">
        <v>2706</v>
      </c>
      <c r="AL184">
        <v>4</v>
      </c>
      <c r="AM184" t="s">
        <v>15</v>
      </c>
    </row>
    <row r="185" spans="1:39" ht="15" hidden="1" thickTop="1" x14ac:dyDescent="0.3">
      <c r="A185" s="51" t="s">
        <v>2552</v>
      </c>
      <c r="B185" s="54" t="s">
        <v>2553</v>
      </c>
      <c r="C185" s="51" t="s">
        <v>2765</v>
      </c>
      <c r="D185" s="53">
        <v>1</v>
      </c>
      <c r="E185" s="53">
        <v>0</v>
      </c>
      <c r="F185" s="51" t="s">
        <v>2744</v>
      </c>
      <c r="G185" s="51" t="s">
        <v>2695</v>
      </c>
      <c r="H185" s="25" t="str">
        <f t="shared" si="20"/>
        <v>jgd</v>
      </c>
      <c r="I185" t="s">
        <v>385</v>
      </c>
      <c r="J185" t="s">
        <v>16</v>
      </c>
      <c r="K185" t="s">
        <v>16</v>
      </c>
      <c r="L185" s="25">
        <v>46.572177539999998</v>
      </c>
      <c r="M185" s="25">
        <v>6.3102845810000003</v>
      </c>
      <c r="N185">
        <v>3</v>
      </c>
      <c r="O185">
        <v>9</v>
      </c>
      <c r="P185">
        <v>11</v>
      </c>
      <c r="Q185">
        <v>2017</v>
      </c>
      <c r="R185" s="9">
        <v>43048</v>
      </c>
      <c r="S185">
        <v>322</v>
      </c>
      <c r="T185">
        <v>1</v>
      </c>
      <c r="U185">
        <v>0</v>
      </c>
      <c r="V185">
        <v>0</v>
      </c>
      <c r="W185">
        <v>0</v>
      </c>
      <c r="X185" s="57">
        <f t="shared" si="15"/>
        <v>-50.099338000000003</v>
      </c>
      <c r="Y185" t="s">
        <v>16</v>
      </c>
      <c r="Z185">
        <v>6.7541484350000003</v>
      </c>
      <c r="AA185" s="3">
        <f t="shared" si="18"/>
        <v>5</v>
      </c>
      <c r="AB185" s="3">
        <f t="shared" si="19"/>
        <v>7</v>
      </c>
      <c r="AD185" s="3" t="s">
        <v>2750</v>
      </c>
      <c r="AE185" s="4">
        <v>-35.5694704</v>
      </c>
      <c r="AF185" s="4">
        <f t="shared" si="16"/>
        <v>-35.5694704</v>
      </c>
      <c r="AG185" s="60" t="s">
        <v>16</v>
      </c>
      <c r="AH185" s="61" t="s">
        <v>16</v>
      </c>
      <c r="AJ185" s="3">
        <f t="shared" si="17"/>
        <v>4</v>
      </c>
      <c r="AK185" s="3" t="s">
        <v>2706</v>
      </c>
      <c r="AL185">
        <v>4</v>
      </c>
      <c r="AM185" t="s">
        <v>15</v>
      </c>
    </row>
    <row r="186" spans="1:39" ht="15" hidden="1" thickTop="1" x14ac:dyDescent="0.3">
      <c r="A186" s="51" t="s">
        <v>2534</v>
      </c>
      <c r="B186" s="54" t="s">
        <v>2535</v>
      </c>
      <c r="C186" s="51" t="s">
        <v>2765</v>
      </c>
      <c r="D186" s="53">
        <v>1</v>
      </c>
      <c r="E186" s="53">
        <v>0</v>
      </c>
      <c r="F186" s="51" t="s">
        <v>2744</v>
      </c>
      <c r="G186" s="51" t="s">
        <v>2695</v>
      </c>
      <c r="H186" s="25" t="str">
        <f t="shared" si="20"/>
        <v>jgd</v>
      </c>
      <c r="I186" t="s">
        <v>385</v>
      </c>
      <c r="J186" t="s">
        <v>558</v>
      </c>
      <c r="K186" t="s">
        <v>16</v>
      </c>
      <c r="L186" s="25">
        <v>46.670988090000002</v>
      </c>
      <c r="M186" s="25">
        <v>6.2951509059999999</v>
      </c>
      <c r="N186">
        <v>3</v>
      </c>
      <c r="O186">
        <v>3</v>
      </c>
      <c r="P186">
        <v>11</v>
      </c>
      <c r="Q186">
        <v>2017</v>
      </c>
      <c r="R186" s="9">
        <v>43042</v>
      </c>
      <c r="S186">
        <v>352</v>
      </c>
      <c r="T186">
        <v>1</v>
      </c>
      <c r="U186">
        <v>0</v>
      </c>
      <c r="V186">
        <v>0</v>
      </c>
      <c r="W186">
        <v>0</v>
      </c>
      <c r="X186" s="57">
        <f t="shared" si="15"/>
        <v>-49.760336750000008</v>
      </c>
      <c r="Y186" t="s">
        <v>16</v>
      </c>
      <c r="Z186">
        <v>9.3910979920000006</v>
      </c>
      <c r="AA186" s="3">
        <f t="shared" si="18"/>
        <v>5</v>
      </c>
      <c r="AB186" s="3">
        <f t="shared" si="19"/>
        <v>9</v>
      </c>
      <c r="AD186" s="3" t="s">
        <v>2750</v>
      </c>
      <c r="AE186" s="4">
        <v>-35.298269400000002</v>
      </c>
      <c r="AF186" s="4">
        <f t="shared" si="16"/>
        <v>-35.298269400000002</v>
      </c>
      <c r="AG186" s="60" t="s">
        <v>16</v>
      </c>
      <c r="AH186" s="61" t="s">
        <v>16</v>
      </c>
      <c r="AJ186" s="3">
        <f t="shared" si="17"/>
        <v>4</v>
      </c>
      <c r="AK186" s="3" t="s">
        <v>2706</v>
      </c>
      <c r="AL186">
        <v>4</v>
      </c>
      <c r="AM186" t="s">
        <v>15</v>
      </c>
    </row>
    <row r="187" spans="1:39" ht="15" hidden="1" thickTop="1" x14ac:dyDescent="0.3">
      <c r="A187" s="51" t="s">
        <v>2514</v>
      </c>
      <c r="B187" s="54" t="s">
        <v>1165</v>
      </c>
      <c r="C187" s="51" t="s">
        <v>2765</v>
      </c>
      <c r="D187" s="53">
        <v>1</v>
      </c>
      <c r="E187" s="53">
        <v>0</v>
      </c>
      <c r="F187" s="51" t="s">
        <v>2744</v>
      </c>
      <c r="G187" s="51" t="s">
        <v>2695</v>
      </c>
      <c r="H187" s="25" t="str">
        <f t="shared" si="20"/>
        <v>jgd</v>
      </c>
      <c r="I187" t="s">
        <v>72</v>
      </c>
      <c r="J187" t="s">
        <v>298</v>
      </c>
      <c r="K187" t="s">
        <v>2515</v>
      </c>
      <c r="L187" s="25">
        <v>46.129460559999998</v>
      </c>
      <c r="M187" s="25">
        <v>8.9042871839999993</v>
      </c>
      <c r="N187">
        <v>5</v>
      </c>
      <c r="O187">
        <v>17</v>
      </c>
      <c r="P187">
        <v>10</v>
      </c>
      <c r="Q187">
        <v>2017</v>
      </c>
      <c r="R187" s="9">
        <v>43025</v>
      </c>
      <c r="S187">
        <v>270</v>
      </c>
      <c r="T187">
        <v>1</v>
      </c>
      <c r="U187">
        <v>0</v>
      </c>
      <c r="V187">
        <v>0</v>
      </c>
      <c r="W187">
        <v>0</v>
      </c>
      <c r="X187" s="57">
        <f t="shared" si="15"/>
        <v>-39.336625500000004</v>
      </c>
      <c r="Y187" t="s">
        <v>16</v>
      </c>
      <c r="Z187">
        <v>2.1530488000000001</v>
      </c>
      <c r="AA187" s="3">
        <f t="shared" si="18"/>
        <v>4</v>
      </c>
      <c r="AB187" s="3">
        <f t="shared" si="19"/>
        <v>2</v>
      </c>
      <c r="AD187" s="3" t="s">
        <v>2754</v>
      </c>
      <c r="AE187" s="4">
        <v>-26.9593004</v>
      </c>
      <c r="AF187" s="4">
        <f t="shared" si="16"/>
        <v>-26.9593004</v>
      </c>
      <c r="AG187" s="60" t="s">
        <v>16</v>
      </c>
      <c r="AH187" s="61" t="s">
        <v>16</v>
      </c>
      <c r="AJ187" s="3">
        <f t="shared" si="17"/>
        <v>3</v>
      </c>
      <c r="AK187" s="3" t="s">
        <v>2746</v>
      </c>
      <c r="AL187">
        <v>3</v>
      </c>
      <c r="AM187" t="s">
        <v>15</v>
      </c>
    </row>
    <row r="188" spans="1:39" ht="15" hidden="1" thickTop="1" x14ac:dyDescent="0.3">
      <c r="A188" s="51" t="s">
        <v>2062</v>
      </c>
      <c r="B188" s="54" t="s">
        <v>307</v>
      </c>
      <c r="C188" s="51" t="s">
        <v>2765</v>
      </c>
      <c r="D188" s="53">
        <v>1</v>
      </c>
      <c r="E188" s="53">
        <v>0</v>
      </c>
      <c r="F188" s="51" t="s">
        <v>2744</v>
      </c>
      <c r="G188" s="51" t="s">
        <v>2695</v>
      </c>
      <c r="H188" s="25" t="str">
        <f t="shared" si="20"/>
        <v>jgd</v>
      </c>
      <c r="I188" t="s">
        <v>72</v>
      </c>
      <c r="J188" t="s">
        <v>2063</v>
      </c>
      <c r="K188" t="s">
        <v>1298</v>
      </c>
      <c r="L188" s="25">
        <v>46.075148149999997</v>
      </c>
      <c r="M188" s="25">
        <v>9.046663337</v>
      </c>
      <c r="N188">
        <v>5</v>
      </c>
      <c r="O188">
        <v>11</v>
      </c>
      <c r="P188">
        <v>11</v>
      </c>
      <c r="Q188">
        <v>2017</v>
      </c>
      <c r="R188" s="9">
        <v>43050</v>
      </c>
      <c r="S188">
        <v>304</v>
      </c>
      <c r="T188">
        <v>1</v>
      </c>
      <c r="U188">
        <v>0</v>
      </c>
      <c r="V188">
        <v>0</v>
      </c>
      <c r="W188">
        <v>0</v>
      </c>
      <c r="X188" s="57">
        <f t="shared" si="15"/>
        <v>-37.864625000000004</v>
      </c>
      <c r="Y188" t="s">
        <v>16</v>
      </c>
      <c r="Z188">
        <v>4.74909654</v>
      </c>
      <c r="AA188" s="3">
        <f t="shared" si="18"/>
        <v>4</v>
      </c>
      <c r="AB188" s="3">
        <f t="shared" si="19"/>
        <v>5</v>
      </c>
      <c r="AD188" s="3" t="s">
        <v>2754</v>
      </c>
      <c r="AE188" s="4">
        <v>-25.781700000000001</v>
      </c>
      <c r="AF188" s="4">
        <f t="shared" si="16"/>
        <v>-25.781700000000001</v>
      </c>
      <c r="AG188" s="60" t="s">
        <v>16</v>
      </c>
      <c r="AH188" s="61" t="s">
        <v>16</v>
      </c>
      <c r="AJ188" s="3">
        <f t="shared" si="17"/>
        <v>3</v>
      </c>
      <c r="AK188" s="3" t="s">
        <v>2746</v>
      </c>
      <c r="AL188">
        <v>3</v>
      </c>
      <c r="AM188" t="s">
        <v>15</v>
      </c>
    </row>
    <row r="189" spans="1:39" ht="15" hidden="1" thickTop="1" x14ac:dyDescent="0.3">
      <c r="A189" s="51" t="s">
        <v>2506</v>
      </c>
      <c r="B189" s="54" t="s">
        <v>1149</v>
      </c>
      <c r="C189" s="51" t="s">
        <v>2765</v>
      </c>
      <c r="D189" s="53">
        <v>1</v>
      </c>
      <c r="E189" s="53">
        <v>0</v>
      </c>
      <c r="F189" s="51" t="s">
        <v>2744</v>
      </c>
      <c r="G189" s="51" t="s">
        <v>2695</v>
      </c>
      <c r="H189" s="25" t="str">
        <f t="shared" si="20"/>
        <v>jgd</v>
      </c>
      <c r="I189" t="s">
        <v>13</v>
      </c>
      <c r="J189" t="s">
        <v>1146</v>
      </c>
      <c r="K189" t="s">
        <v>1910</v>
      </c>
      <c r="L189" s="25">
        <v>46.958262849999997</v>
      </c>
      <c r="M189" s="25">
        <v>6.5762662680000004</v>
      </c>
      <c r="N189">
        <v>5</v>
      </c>
      <c r="O189">
        <v>23</v>
      </c>
      <c r="P189">
        <v>10</v>
      </c>
      <c r="Q189">
        <v>2017</v>
      </c>
      <c r="R189" s="9">
        <v>43031</v>
      </c>
      <c r="S189">
        <v>332</v>
      </c>
      <c r="T189">
        <v>1</v>
      </c>
      <c r="U189">
        <v>0</v>
      </c>
      <c r="V189">
        <v>0</v>
      </c>
      <c r="W189">
        <v>0</v>
      </c>
      <c r="X189" s="57">
        <f t="shared" si="15"/>
        <v>-37.17081975</v>
      </c>
      <c r="Y189" t="s">
        <v>16</v>
      </c>
      <c r="Z189">
        <v>2.5285279159999998</v>
      </c>
      <c r="AA189" s="3">
        <f t="shared" si="18"/>
        <v>4</v>
      </c>
      <c r="AB189" s="3">
        <f t="shared" si="19"/>
        <v>3</v>
      </c>
      <c r="AD189" s="3" t="s">
        <v>2750</v>
      </c>
      <c r="AE189" s="4">
        <v>-25.2266558</v>
      </c>
      <c r="AF189" s="4">
        <f t="shared" si="16"/>
        <v>-25.2266558</v>
      </c>
      <c r="AG189" s="60" t="s">
        <v>16</v>
      </c>
      <c r="AH189" s="61" t="s">
        <v>16</v>
      </c>
      <c r="AJ189" s="3">
        <f t="shared" si="17"/>
        <v>3</v>
      </c>
      <c r="AK189" s="3" t="s">
        <v>2746</v>
      </c>
      <c r="AL189">
        <v>3</v>
      </c>
      <c r="AM189" t="s">
        <v>15</v>
      </c>
    </row>
    <row r="190" spans="1:39" ht="15" hidden="1" thickTop="1" x14ac:dyDescent="0.3">
      <c r="A190" s="51" t="s">
        <v>356</v>
      </c>
      <c r="B190" s="54" t="s">
        <v>357</v>
      </c>
      <c r="C190" s="51" t="s">
        <v>2765</v>
      </c>
      <c r="D190" s="53">
        <v>1</v>
      </c>
      <c r="E190" s="53">
        <v>0</v>
      </c>
      <c r="F190" s="51" t="s">
        <v>2744</v>
      </c>
      <c r="G190" s="51" t="s">
        <v>2695</v>
      </c>
      <c r="H190" s="25" t="str">
        <f t="shared" si="20"/>
        <v>jgd</v>
      </c>
      <c r="I190" t="s">
        <v>72</v>
      </c>
      <c r="J190" t="s">
        <v>113</v>
      </c>
      <c r="K190" t="s">
        <v>358</v>
      </c>
      <c r="L190" s="25">
        <v>46.219565060000001</v>
      </c>
      <c r="M190" s="25">
        <v>8.6772286619999992</v>
      </c>
      <c r="N190">
        <v>5</v>
      </c>
      <c r="O190">
        <v>21</v>
      </c>
      <c r="P190">
        <v>10</v>
      </c>
      <c r="Q190">
        <v>2014</v>
      </c>
      <c r="R190" s="9">
        <v>41933</v>
      </c>
      <c r="S190">
        <v>339</v>
      </c>
      <c r="T190">
        <v>1</v>
      </c>
      <c r="U190">
        <v>0</v>
      </c>
      <c r="V190">
        <v>0</v>
      </c>
      <c r="W190">
        <v>0</v>
      </c>
      <c r="X190">
        <f t="shared" si="15"/>
        <v>-29.85</v>
      </c>
      <c r="Y190">
        <v>-22.41075</v>
      </c>
      <c r="Z190">
        <v>4.448716224</v>
      </c>
      <c r="AA190" s="3">
        <f t="shared" si="18"/>
        <v>3</v>
      </c>
      <c r="AB190" s="3">
        <f t="shared" si="19"/>
        <v>4</v>
      </c>
      <c r="AD190" s="3" t="s">
        <v>2754</v>
      </c>
      <c r="AE190" s="4">
        <v>-19.37</v>
      </c>
      <c r="AF190" s="4">
        <f t="shared" si="16"/>
        <v>-19.37</v>
      </c>
      <c r="AG190" s="1">
        <v>-40.9</v>
      </c>
      <c r="AH190" s="2">
        <v>-29.86</v>
      </c>
      <c r="AI190"/>
      <c r="AJ190" s="3">
        <f t="shared" si="17"/>
        <v>2</v>
      </c>
      <c r="AK190" s="3" t="s">
        <v>2746</v>
      </c>
      <c r="AL190">
        <v>2</v>
      </c>
      <c r="AM190" t="s">
        <v>15</v>
      </c>
    </row>
    <row r="191" spans="1:39" ht="15" hidden="1" thickTop="1" x14ac:dyDescent="0.3">
      <c r="A191" s="51" t="s">
        <v>1723</v>
      </c>
      <c r="B191" s="54" t="s">
        <v>1724</v>
      </c>
      <c r="C191" s="51" t="s">
        <v>2765</v>
      </c>
      <c r="D191" s="53">
        <v>1</v>
      </c>
      <c r="E191" s="53">
        <v>0</v>
      </c>
      <c r="F191" s="51" t="s">
        <v>2744</v>
      </c>
      <c r="G191" s="51" t="s">
        <v>2696</v>
      </c>
      <c r="H191" s="25" t="str">
        <f t="shared" si="20"/>
        <v>jgd</v>
      </c>
      <c r="I191">
        <v>25</v>
      </c>
      <c r="J191" t="s">
        <v>1725</v>
      </c>
      <c r="K191" t="s">
        <v>1726</v>
      </c>
      <c r="L191" s="25">
        <v>46.988877819999999</v>
      </c>
      <c r="M191" s="25">
        <v>6.4748904999999999</v>
      </c>
      <c r="N191">
        <v>6</v>
      </c>
      <c r="O191">
        <v>2</v>
      </c>
      <c r="P191">
        <v>11</v>
      </c>
      <c r="Q191">
        <v>2017</v>
      </c>
      <c r="R191" s="9">
        <v>43041</v>
      </c>
      <c r="S191" t="s">
        <v>16</v>
      </c>
      <c r="T191">
        <v>1</v>
      </c>
      <c r="U191">
        <v>0</v>
      </c>
      <c r="V191">
        <v>0</v>
      </c>
      <c r="W191">
        <v>0</v>
      </c>
      <c r="X191" s="57">
        <f t="shared" si="15"/>
        <v>-26.812774867499996</v>
      </c>
      <c r="Y191" t="s">
        <v>16</v>
      </c>
      <c r="Z191">
        <v>-1.2541429799999999</v>
      </c>
      <c r="AA191" s="3">
        <f t="shared" si="18"/>
        <v>3</v>
      </c>
      <c r="AB191" s="3">
        <f t="shared" si="19"/>
        <v>-1</v>
      </c>
      <c r="AD191" s="3" t="s">
        <v>2750</v>
      </c>
      <c r="AE191" s="4">
        <v>-12.8490929</v>
      </c>
      <c r="AF191" s="4">
        <f t="shared" si="16"/>
        <v>-16.940219893999998</v>
      </c>
      <c r="AG191" s="60" t="s">
        <v>16</v>
      </c>
      <c r="AH191" s="61" t="s">
        <v>16</v>
      </c>
      <c r="AI191" s="57">
        <f t="shared" ref="AI191:AI222" si="21">(-5.89) + 0.86*AE191</f>
        <v>-16.940219893999998</v>
      </c>
      <c r="AJ191" s="3">
        <f t="shared" si="17"/>
        <v>2</v>
      </c>
      <c r="AK191" s="3" t="s">
        <v>2710</v>
      </c>
      <c r="AL191">
        <v>1</v>
      </c>
      <c r="AM191" t="s">
        <v>2671</v>
      </c>
    </row>
    <row r="192" spans="1:39" ht="15" hidden="1" thickTop="1" x14ac:dyDescent="0.3">
      <c r="A192" s="51" t="s">
        <v>2657</v>
      </c>
      <c r="B192" s="54" t="s">
        <v>2627</v>
      </c>
      <c r="C192" s="51" t="s">
        <v>2765</v>
      </c>
      <c r="D192" s="53">
        <v>1</v>
      </c>
      <c r="E192" s="53">
        <v>0</v>
      </c>
      <c r="F192" s="51" t="s">
        <v>2744</v>
      </c>
      <c r="G192" s="51" t="s">
        <v>2695</v>
      </c>
      <c r="H192" s="25" t="s">
        <v>2763</v>
      </c>
      <c r="I192" t="s">
        <v>13</v>
      </c>
      <c r="J192" t="s">
        <v>58</v>
      </c>
      <c r="K192" t="s">
        <v>2661</v>
      </c>
      <c r="L192" s="55">
        <v>46.916020000000003</v>
      </c>
      <c r="M192" s="55">
        <v>6.6073300000000001</v>
      </c>
      <c r="N192">
        <v>6</v>
      </c>
      <c r="O192">
        <v>22</v>
      </c>
      <c r="P192">
        <v>3</v>
      </c>
      <c r="Q192">
        <v>2018</v>
      </c>
      <c r="R192" s="9">
        <v>43181</v>
      </c>
      <c r="S192" t="s">
        <v>16</v>
      </c>
      <c r="T192">
        <v>0</v>
      </c>
      <c r="U192">
        <v>1</v>
      </c>
      <c r="V192">
        <v>0</v>
      </c>
      <c r="W192">
        <v>0</v>
      </c>
      <c r="X192" s="57">
        <f t="shared" si="15"/>
        <v>-79.734084887500003</v>
      </c>
      <c r="Y192">
        <v>-24.065666666666662</v>
      </c>
      <c r="Z192">
        <v>4.4813557011342304</v>
      </c>
      <c r="AA192" s="3">
        <f t="shared" si="18"/>
        <v>8</v>
      </c>
      <c r="AB192" s="3">
        <f t="shared" si="19"/>
        <v>4</v>
      </c>
      <c r="AD192" s="3" t="s">
        <v>2750</v>
      </c>
      <c r="AE192" s="4">
        <v>-62.078218500000006</v>
      </c>
      <c r="AF192" s="4">
        <f t="shared" si="16"/>
        <v>-59.277267910000006</v>
      </c>
      <c r="AG192" s="60" t="s">
        <v>16</v>
      </c>
      <c r="AH192" s="61" t="s">
        <v>16</v>
      </c>
      <c r="AI192" s="57">
        <f t="shared" si="21"/>
        <v>-59.277267910000006</v>
      </c>
      <c r="AJ192" s="3">
        <f t="shared" si="17"/>
        <v>6</v>
      </c>
      <c r="AK192" s="3" t="s">
        <v>2707</v>
      </c>
      <c r="AM192" t="s">
        <v>980</v>
      </c>
    </row>
    <row r="193" spans="1:39" ht="15" hidden="1" thickTop="1" x14ac:dyDescent="0.3">
      <c r="A193" s="51" t="s">
        <v>2646</v>
      </c>
      <c r="B193" s="54" t="s">
        <v>2616</v>
      </c>
      <c r="C193" s="51" t="s">
        <v>2765</v>
      </c>
      <c r="D193" s="53">
        <v>1</v>
      </c>
      <c r="E193" s="53">
        <v>0</v>
      </c>
      <c r="F193" s="51" t="s">
        <v>2744</v>
      </c>
      <c r="G193" s="51" t="s">
        <v>2696</v>
      </c>
      <c r="H193" s="25" t="s">
        <v>2763</v>
      </c>
      <c r="I193" t="s">
        <v>13</v>
      </c>
      <c r="J193" t="s">
        <v>1057</v>
      </c>
      <c r="K193" t="s">
        <v>2664</v>
      </c>
      <c r="L193" s="55">
        <v>46.857303999999999</v>
      </c>
      <c r="M193" s="55">
        <v>6.5194470000000004</v>
      </c>
      <c r="N193">
        <v>6</v>
      </c>
      <c r="O193">
        <v>24</v>
      </c>
      <c r="P193">
        <v>4</v>
      </c>
      <c r="Q193">
        <v>2018</v>
      </c>
      <c r="R193" s="9">
        <v>43214</v>
      </c>
      <c r="S193" t="s">
        <v>16</v>
      </c>
      <c r="T193">
        <v>0</v>
      </c>
      <c r="U193">
        <v>0</v>
      </c>
      <c r="V193">
        <v>1</v>
      </c>
      <c r="W193">
        <v>0</v>
      </c>
      <c r="X193" s="57">
        <f t="shared" si="15"/>
        <v>-74.546977150000018</v>
      </c>
      <c r="Y193">
        <v>-22.536428571428576</v>
      </c>
      <c r="Z193">
        <v>-0.78862924886818908</v>
      </c>
      <c r="AA193" s="3">
        <f t="shared" si="18"/>
        <v>7</v>
      </c>
      <c r="AB193" s="3">
        <f t="shared" si="19"/>
        <v>-1</v>
      </c>
      <c r="AD193" s="3" t="s">
        <v>2750</v>
      </c>
      <c r="AE193" s="4">
        <v>-57.253002000000009</v>
      </c>
      <c r="AF193" s="4">
        <f t="shared" si="16"/>
        <v>-55.127581720000009</v>
      </c>
      <c r="AG193" s="60" t="s">
        <v>16</v>
      </c>
      <c r="AH193" s="61" t="s">
        <v>16</v>
      </c>
      <c r="AI193" s="57">
        <f t="shared" si="21"/>
        <v>-55.127581720000009</v>
      </c>
      <c r="AJ193" s="3">
        <f t="shared" si="17"/>
        <v>6</v>
      </c>
      <c r="AK193" s="3" t="s">
        <v>2710</v>
      </c>
      <c r="AM193" t="s">
        <v>980</v>
      </c>
    </row>
    <row r="194" spans="1:39" ht="15" hidden="1" thickTop="1" x14ac:dyDescent="0.3">
      <c r="A194" s="51" t="s">
        <v>2287</v>
      </c>
      <c r="B194" s="54" t="s">
        <v>2288</v>
      </c>
      <c r="C194" s="51" t="s">
        <v>2765</v>
      </c>
      <c r="D194" s="53">
        <v>1</v>
      </c>
      <c r="E194" s="53">
        <v>0</v>
      </c>
      <c r="F194" s="51" t="s">
        <v>2744</v>
      </c>
      <c r="G194" s="51" t="s">
        <v>2695</v>
      </c>
      <c r="H194" s="25" t="s">
        <v>2763</v>
      </c>
      <c r="I194" t="s">
        <v>13</v>
      </c>
      <c r="J194" t="s">
        <v>1057</v>
      </c>
      <c r="K194" t="s">
        <v>1854</v>
      </c>
      <c r="L194" s="25">
        <v>46.935235579999997</v>
      </c>
      <c r="M194" s="25">
        <v>6.5849226249999999</v>
      </c>
      <c r="N194">
        <v>6</v>
      </c>
      <c r="O194">
        <v>24</v>
      </c>
      <c r="P194">
        <v>3</v>
      </c>
      <c r="Q194">
        <v>2017</v>
      </c>
      <c r="R194" s="9">
        <v>42818</v>
      </c>
      <c r="S194" t="s">
        <v>16</v>
      </c>
      <c r="T194">
        <v>0</v>
      </c>
      <c r="U194">
        <v>1</v>
      </c>
      <c r="V194">
        <v>0</v>
      </c>
      <c r="W194">
        <v>0</v>
      </c>
      <c r="X194" s="57">
        <f t="shared" ref="X194:X257" si="22">1.25 * AF194 - 5.6375</f>
        <v>-73.763801917500004</v>
      </c>
      <c r="Y194" t="s">
        <v>16</v>
      </c>
      <c r="Z194">
        <v>5.5331506380000004</v>
      </c>
      <c r="AA194" s="3">
        <f t="shared" si="18"/>
        <v>7</v>
      </c>
      <c r="AB194" s="3">
        <f t="shared" si="19"/>
        <v>6</v>
      </c>
      <c r="AD194" s="3" t="s">
        <v>2750</v>
      </c>
      <c r="AE194" s="4">
        <v>-56.5244669</v>
      </c>
      <c r="AF194" s="4">
        <f t="shared" ref="AF194:AF257" si="23">IF(AI194&lt;0,AI194,AE194)</f>
        <v>-54.501041534000002</v>
      </c>
      <c r="AG194" s="60" t="s">
        <v>16</v>
      </c>
      <c r="AH194" s="61" t="s">
        <v>16</v>
      </c>
      <c r="AI194" s="57">
        <f t="shared" si="21"/>
        <v>-54.501041534000002</v>
      </c>
      <c r="AJ194" s="3">
        <f t="shared" ref="AJ194:AJ247" si="24">-ROUND(AF194/10,0)</f>
        <v>5</v>
      </c>
      <c r="AK194" s="3" t="s">
        <v>2706</v>
      </c>
      <c r="AL194">
        <v>6</v>
      </c>
      <c r="AM194" t="s">
        <v>980</v>
      </c>
    </row>
    <row r="195" spans="1:39" ht="15" hidden="1" thickTop="1" x14ac:dyDescent="0.3">
      <c r="A195" s="51" t="s">
        <v>2656</v>
      </c>
      <c r="B195" s="54" t="s">
        <v>2626</v>
      </c>
      <c r="C195" s="51" t="s">
        <v>2765</v>
      </c>
      <c r="D195" s="53">
        <v>1</v>
      </c>
      <c r="E195" s="53">
        <v>0</v>
      </c>
      <c r="F195" s="51" t="s">
        <v>2744</v>
      </c>
      <c r="G195" s="51" t="s">
        <v>2695</v>
      </c>
      <c r="H195" s="25" t="s">
        <v>2763</v>
      </c>
      <c r="I195" t="s">
        <v>13</v>
      </c>
      <c r="J195" t="s">
        <v>58</v>
      </c>
      <c r="K195" t="s">
        <v>2661</v>
      </c>
      <c r="L195" s="55">
        <v>46.9163</v>
      </c>
      <c r="M195" s="55">
        <v>6.6070599999999997</v>
      </c>
      <c r="N195">
        <v>6</v>
      </c>
      <c r="O195">
        <v>22</v>
      </c>
      <c r="P195">
        <v>3</v>
      </c>
      <c r="Q195">
        <v>2018</v>
      </c>
      <c r="R195" s="9">
        <v>43181</v>
      </c>
      <c r="S195" t="s">
        <v>16</v>
      </c>
      <c r="T195">
        <v>0</v>
      </c>
      <c r="U195">
        <v>1</v>
      </c>
      <c r="V195">
        <v>0</v>
      </c>
      <c r="W195">
        <v>0</v>
      </c>
      <c r="X195" s="57">
        <f t="shared" si="22"/>
        <v>-70.735145400000007</v>
      </c>
      <c r="Y195">
        <v>-25.168666666666663</v>
      </c>
      <c r="Z195">
        <v>4.6636115257952433</v>
      </c>
      <c r="AA195" s="3">
        <f t="shared" ref="AA195:AA258" si="25">-ROUND(X195/10,0)</f>
        <v>7</v>
      </c>
      <c r="AB195" s="3">
        <f t="shared" ref="AB195:AB258" si="26">ROUND(Z195,0)</f>
        <v>5</v>
      </c>
      <c r="AD195" s="3" t="s">
        <v>2750</v>
      </c>
      <c r="AE195" s="4">
        <v>-53.707112000000009</v>
      </c>
      <c r="AF195" s="4">
        <f t="shared" si="23"/>
        <v>-52.078116320000007</v>
      </c>
      <c r="AG195" s="60" t="s">
        <v>16</v>
      </c>
      <c r="AH195" s="61" t="s">
        <v>16</v>
      </c>
      <c r="AI195" s="57">
        <f t="shared" si="21"/>
        <v>-52.078116320000007</v>
      </c>
      <c r="AJ195" s="3">
        <f t="shared" si="24"/>
        <v>5</v>
      </c>
      <c r="AK195" s="3" t="s">
        <v>2706</v>
      </c>
      <c r="AM195" t="s">
        <v>980</v>
      </c>
    </row>
    <row r="196" spans="1:39" ht="15" hidden="1" thickTop="1" x14ac:dyDescent="0.3">
      <c r="A196" s="51" t="s">
        <v>2648</v>
      </c>
      <c r="B196" s="54" t="s">
        <v>2618</v>
      </c>
      <c r="C196" s="51" t="s">
        <v>2765</v>
      </c>
      <c r="D196" s="53">
        <v>1</v>
      </c>
      <c r="E196" s="53">
        <v>0</v>
      </c>
      <c r="F196" s="51" t="s">
        <v>2744</v>
      </c>
      <c r="G196" s="51" t="s">
        <v>2696</v>
      </c>
      <c r="H196" s="25" t="s">
        <v>2763</v>
      </c>
      <c r="I196" t="s">
        <v>13</v>
      </c>
      <c r="J196" t="s">
        <v>19</v>
      </c>
      <c r="K196" t="s">
        <v>1729</v>
      </c>
      <c r="L196" s="55">
        <v>46.942126999999999</v>
      </c>
      <c r="M196" s="55">
        <v>6.4785760000000003</v>
      </c>
      <c r="N196">
        <v>6</v>
      </c>
      <c r="O196">
        <v>18</v>
      </c>
      <c r="P196">
        <v>4</v>
      </c>
      <c r="Q196">
        <v>2018</v>
      </c>
      <c r="R196" s="9">
        <v>43208</v>
      </c>
      <c r="S196" t="s">
        <v>16</v>
      </c>
      <c r="T196">
        <v>0</v>
      </c>
      <c r="U196">
        <v>0</v>
      </c>
      <c r="V196">
        <v>1</v>
      </c>
      <c r="W196">
        <v>0</v>
      </c>
      <c r="X196" s="57">
        <f t="shared" si="22"/>
        <v>-68.117596187500013</v>
      </c>
      <c r="Y196">
        <v>-24.601428571428574</v>
      </c>
      <c r="Z196">
        <v>6.7388229332522256</v>
      </c>
      <c r="AA196" s="3">
        <f t="shared" si="25"/>
        <v>7</v>
      </c>
      <c r="AB196" s="3">
        <f t="shared" si="26"/>
        <v>7</v>
      </c>
      <c r="AD196" s="3" t="s">
        <v>2750</v>
      </c>
      <c r="AE196" s="4">
        <v>-51.272182500000014</v>
      </c>
      <c r="AF196" s="4">
        <f t="shared" si="23"/>
        <v>-49.984076950000009</v>
      </c>
      <c r="AG196" s="60" t="s">
        <v>16</v>
      </c>
      <c r="AH196" s="61" t="s">
        <v>16</v>
      </c>
      <c r="AI196" s="57">
        <f t="shared" si="21"/>
        <v>-49.984076950000009</v>
      </c>
      <c r="AJ196" s="3">
        <f t="shared" si="24"/>
        <v>5</v>
      </c>
      <c r="AK196" s="3" t="s">
        <v>2710</v>
      </c>
      <c r="AM196" t="s">
        <v>980</v>
      </c>
    </row>
    <row r="197" spans="1:39" ht="15" hidden="1" thickTop="1" x14ac:dyDescent="0.3">
      <c r="A197" s="51" t="s">
        <v>1814</v>
      </c>
      <c r="B197" s="54" t="s">
        <v>1815</v>
      </c>
      <c r="C197" s="51" t="s">
        <v>2765</v>
      </c>
      <c r="D197" s="53">
        <v>1</v>
      </c>
      <c r="E197" s="53">
        <v>0</v>
      </c>
      <c r="F197" s="51" t="s">
        <v>2744</v>
      </c>
      <c r="G197" s="51" t="s">
        <v>2696</v>
      </c>
      <c r="H197" s="25" t="s">
        <v>2763</v>
      </c>
      <c r="I197" t="s">
        <v>385</v>
      </c>
      <c r="J197" t="s">
        <v>624</v>
      </c>
      <c r="K197" t="s">
        <v>1816</v>
      </c>
      <c r="L197" s="25">
        <v>46.872664579999999</v>
      </c>
      <c r="M197" s="25">
        <v>6.6037290889999998</v>
      </c>
      <c r="N197">
        <v>6</v>
      </c>
      <c r="O197">
        <v>18</v>
      </c>
      <c r="P197">
        <v>6</v>
      </c>
      <c r="Q197">
        <v>2017</v>
      </c>
      <c r="R197" s="9">
        <v>42904</v>
      </c>
      <c r="S197" t="s">
        <v>16</v>
      </c>
      <c r="T197">
        <v>0</v>
      </c>
      <c r="U197">
        <v>0</v>
      </c>
      <c r="V197">
        <v>1</v>
      </c>
      <c r="W197">
        <v>0</v>
      </c>
      <c r="X197" s="57">
        <f t="shared" si="22"/>
        <v>-64.296228757500003</v>
      </c>
      <c r="Y197" t="s">
        <v>16</v>
      </c>
      <c r="Z197">
        <v>-1.2004385360000001</v>
      </c>
      <c r="AA197" s="3">
        <f t="shared" si="25"/>
        <v>6</v>
      </c>
      <c r="AB197" s="3">
        <f t="shared" si="26"/>
        <v>-1</v>
      </c>
      <c r="AD197" s="3" t="s">
        <v>2750</v>
      </c>
      <c r="AE197" s="4">
        <v>-47.7174221</v>
      </c>
      <c r="AF197" s="4">
        <f t="shared" si="23"/>
        <v>-46.926983006</v>
      </c>
      <c r="AG197" s="60" t="s">
        <v>16</v>
      </c>
      <c r="AH197" s="61" t="s">
        <v>16</v>
      </c>
      <c r="AI197" s="57">
        <f t="shared" si="21"/>
        <v>-46.926983006</v>
      </c>
      <c r="AJ197" s="3">
        <f t="shared" si="24"/>
        <v>5</v>
      </c>
      <c r="AK197" s="3" t="s">
        <v>2710</v>
      </c>
      <c r="AL197">
        <v>5</v>
      </c>
      <c r="AM197" t="s">
        <v>980</v>
      </c>
    </row>
    <row r="198" spans="1:39" ht="15" hidden="1" thickTop="1" x14ac:dyDescent="0.3">
      <c r="A198" s="51" t="s">
        <v>2654</v>
      </c>
      <c r="B198" s="54" t="s">
        <v>2624</v>
      </c>
      <c r="C198" s="51" t="s">
        <v>2765</v>
      </c>
      <c r="D198" s="53">
        <v>1</v>
      </c>
      <c r="E198" s="53">
        <v>0</v>
      </c>
      <c r="F198" s="51" t="s">
        <v>2744</v>
      </c>
      <c r="G198" s="51" t="s">
        <v>2696</v>
      </c>
      <c r="H198" s="25" t="s">
        <v>2763</v>
      </c>
      <c r="I198" t="s">
        <v>13</v>
      </c>
      <c r="J198" t="s">
        <v>1732</v>
      </c>
      <c r="K198" t="s">
        <v>1733</v>
      </c>
      <c r="L198" s="55">
        <v>46.989804128380513</v>
      </c>
      <c r="M198" s="55">
        <v>6.6756187134169203</v>
      </c>
      <c r="N198">
        <v>6</v>
      </c>
      <c r="O198">
        <v>10</v>
      </c>
      <c r="P198">
        <v>4</v>
      </c>
      <c r="Q198">
        <v>2018</v>
      </c>
      <c r="R198" s="9">
        <v>43200</v>
      </c>
      <c r="S198" t="s">
        <v>16</v>
      </c>
      <c r="T198">
        <v>0</v>
      </c>
      <c r="U198">
        <v>0</v>
      </c>
      <c r="V198">
        <v>1</v>
      </c>
      <c r="W198">
        <v>0</v>
      </c>
      <c r="X198" s="57">
        <f t="shared" si="22"/>
        <v>-62.75497965000001</v>
      </c>
      <c r="Y198">
        <v>-23.321666666666662</v>
      </c>
      <c r="Z198">
        <v>-0.63101091745464055</v>
      </c>
      <c r="AA198" s="3">
        <f t="shared" si="25"/>
        <v>6</v>
      </c>
      <c r="AB198" s="3">
        <f t="shared" si="26"/>
        <v>-1</v>
      </c>
      <c r="AD198" s="3" t="s">
        <v>2750</v>
      </c>
      <c r="AE198" s="4">
        <v>-46.283702000000005</v>
      </c>
      <c r="AF198" s="4">
        <f t="shared" si="23"/>
        <v>-45.693983720000006</v>
      </c>
      <c r="AG198" s="60" t="s">
        <v>16</v>
      </c>
      <c r="AH198" s="61" t="s">
        <v>16</v>
      </c>
      <c r="AI198" s="57">
        <f t="shared" si="21"/>
        <v>-45.693983720000006</v>
      </c>
      <c r="AJ198" s="3">
        <f t="shared" si="24"/>
        <v>5</v>
      </c>
      <c r="AK198" s="3" t="s">
        <v>2710</v>
      </c>
      <c r="AM198" t="s">
        <v>980</v>
      </c>
    </row>
    <row r="199" spans="1:39" ht="15" hidden="1" thickTop="1" x14ac:dyDescent="0.3">
      <c r="A199" s="51" t="s">
        <v>2645</v>
      </c>
      <c r="B199" s="54" t="s">
        <v>2615</v>
      </c>
      <c r="C199" s="51" t="s">
        <v>2765</v>
      </c>
      <c r="D199" s="53">
        <v>1</v>
      </c>
      <c r="E199" s="53">
        <v>0</v>
      </c>
      <c r="F199" s="51" t="s">
        <v>2744</v>
      </c>
      <c r="G199" s="51" t="s">
        <v>2696</v>
      </c>
      <c r="H199" s="25" t="s">
        <v>2763</v>
      </c>
      <c r="I199" t="s">
        <v>13</v>
      </c>
      <c r="J199" t="s">
        <v>209</v>
      </c>
      <c r="K199" t="s">
        <v>2665</v>
      </c>
      <c r="L199" s="55">
        <v>46.939292999999999</v>
      </c>
      <c r="M199" s="55">
        <v>6.7456009999999997</v>
      </c>
      <c r="N199">
        <v>6</v>
      </c>
      <c r="O199">
        <v>26</v>
      </c>
      <c r="P199">
        <v>4</v>
      </c>
      <c r="Q199">
        <v>2018</v>
      </c>
      <c r="R199" s="9">
        <v>43216</v>
      </c>
      <c r="S199" t="s">
        <v>16</v>
      </c>
      <c r="T199">
        <v>0</v>
      </c>
      <c r="U199">
        <v>0</v>
      </c>
      <c r="V199">
        <v>1</v>
      </c>
      <c r="W199">
        <v>0</v>
      </c>
      <c r="X199" s="57">
        <f t="shared" si="22"/>
        <v>-62.111904437500002</v>
      </c>
      <c r="Y199">
        <v>-23.417428571428577</v>
      </c>
      <c r="Z199">
        <v>1.2578462762450267</v>
      </c>
      <c r="AA199" s="3">
        <f t="shared" si="25"/>
        <v>6</v>
      </c>
      <c r="AB199" s="3">
        <f t="shared" si="26"/>
        <v>1</v>
      </c>
      <c r="AD199" s="3" t="s">
        <v>2750</v>
      </c>
      <c r="AE199" s="4">
        <v>-45.685492500000002</v>
      </c>
      <c r="AF199" s="4">
        <f t="shared" si="23"/>
        <v>-45.179523549999999</v>
      </c>
      <c r="AG199" s="60" t="s">
        <v>16</v>
      </c>
      <c r="AH199" s="61" t="s">
        <v>16</v>
      </c>
      <c r="AI199" s="57">
        <f t="shared" si="21"/>
        <v>-45.179523549999999</v>
      </c>
      <c r="AJ199" s="3">
        <f t="shared" si="24"/>
        <v>5</v>
      </c>
      <c r="AK199" s="3" t="s">
        <v>2710</v>
      </c>
      <c r="AM199" t="s">
        <v>980</v>
      </c>
    </row>
    <row r="200" spans="1:39" ht="15" hidden="1" thickTop="1" x14ac:dyDescent="0.3">
      <c r="A200" s="51" t="s">
        <v>2653</v>
      </c>
      <c r="B200" s="54" t="s">
        <v>2623</v>
      </c>
      <c r="C200" s="51" t="s">
        <v>2765</v>
      </c>
      <c r="D200" s="53">
        <v>1</v>
      </c>
      <c r="E200" s="53">
        <v>0</v>
      </c>
      <c r="F200" s="51" t="s">
        <v>2744</v>
      </c>
      <c r="G200" s="51" t="s">
        <v>2696</v>
      </c>
      <c r="H200" s="25" t="s">
        <v>2763</v>
      </c>
      <c r="I200" t="s">
        <v>13</v>
      </c>
      <c r="J200" t="s">
        <v>1057</v>
      </c>
      <c r="K200" t="s">
        <v>2662</v>
      </c>
      <c r="L200" s="55">
        <v>46.885719000000002</v>
      </c>
      <c r="M200" s="55">
        <v>6.5919629999999998</v>
      </c>
      <c r="N200">
        <v>6</v>
      </c>
      <c r="O200">
        <v>11</v>
      </c>
      <c r="P200">
        <v>4</v>
      </c>
      <c r="Q200">
        <v>2018</v>
      </c>
      <c r="R200" s="9">
        <v>43201</v>
      </c>
      <c r="S200" t="s">
        <v>16</v>
      </c>
      <c r="T200">
        <v>0</v>
      </c>
      <c r="U200">
        <v>0</v>
      </c>
      <c r="V200">
        <v>1</v>
      </c>
      <c r="W200">
        <v>0</v>
      </c>
      <c r="X200" s="57">
        <f t="shared" si="22"/>
        <v>-57.434869150000004</v>
      </c>
      <c r="Y200">
        <v>-23.648666666666664</v>
      </c>
      <c r="Z200">
        <v>-1.1351922241528278</v>
      </c>
      <c r="AA200" s="3">
        <f t="shared" si="25"/>
        <v>6</v>
      </c>
      <c r="AB200" s="3">
        <f t="shared" si="26"/>
        <v>-1</v>
      </c>
      <c r="AD200" s="3" t="s">
        <v>2750</v>
      </c>
      <c r="AE200" s="4">
        <v>-41.334762000000005</v>
      </c>
      <c r="AF200" s="4">
        <f t="shared" si="23"/>
        <v>-41.437895320000003</v>
      </c>
      <c r="AG200" s="60" t="s">
        <v>16</v>
      </c>
      <c r="AH200" s="61" t="s">
        <v>16</v>
      </c>
      <c r="AI200" s="57">
        <f t="shared" si="21"/>
        <v>-41.437895320000003</v>
      </c>
      <c r="AJ200" s="3">
        <f t="shared" si="24"/>
        <v>4</v>
      </c>
      <c r="AK200" s="3" t="s">
        <v>2710</v>
      </c>
      <c r="AM200" t="s">
        <v>980</v>
      </c>
    </row>
    <row r="201" spans="1:39" ht="15" hidden="1" thickTop="1" x14ac:dyDescent="0.3">
      <c r="A201" s="51" t="s">
        <v>2638</v>
      </c>
      <c r="B201" s="54" t="s">
        <v>2608</v>
      </c>
      <c r="C201" s="51" t="s">
        <v>2765</v>
      </c>
      <c r="D201" s="53">
        <v>1</v>
      </c>
      <c r="E201" s="53">
        <v>0</v>
      </c>
      <c r="F201" s="51" t="s">
        <v>2744</v>
      </c>
      <c r="G201" s="51" t="s">
        <v>2696</v>
      </c>
      <c r="H201" s="25" t="s">
        <v>2763</v>
      </c>
      <c r="I201" t="s">
        <v>13</v>
      </c>
      <c r="J201" t="s">
        <v>209</v>
      </c>
      <c r="K201" t="s">
        <v>2665</v>
      </c>
      <c r="L201" s="55">
        <v>46.939423741743127</v>
      </c>
      <c r="M201" s="55">
        <v>6.7456277783524161</v>
      </c>
      <c r="N201">
        <v>6</v>
      </c>
      <c r="O201">
        <v>26</v>
      </c>
      <c r="P201">
        <v>5</v>
      </c>
      <c r="Q201">
        <v>2018</v>
      </c>
      <c r="R201" s="9">
        <v>43246</v>
      </c>
      <c r="S201" t="s">
        <v>16</v>
      </c>
      <c r="T201">
        <v>0</v>
      </c>
      <c r="U201">
        <v>0</v>
      </c>
      <c r="V201">
        <v>1</v>
      </c>
      <c r="W201">
        <v>0</v>
      </c>
      <c r="X201" s="57">
        <f t="shared" si="22"/>
        <v>-55.889569012500019</v>
      </c>
      <c r="Y201">
        <v>-23.109428571428577</v>
      </c>
      <c r="Z201">
        <v>1.3105372472643015</v>
      </c>
      <c r="AA201" s="3">
        <f t="shared" si="25"/>
        <v>6</v>
      </c>
      <c r="AB201" s="3">
        <f t="shared" si="26"/>
        <v>1</v>
      </c>
      <c r="AD201" s="3" t="s">
        <v>2750</v>
      </c>
      <c r="AE201" s="4">
        <v>-39.897273500000011</v>
      </c>
      <c r="AF201" s="4">
        <f t="shared" si="23"/>
        <v>-40.201655210000013</v>
      </c>
      <c r="AG201" s="60" t="s">
        <v>16</v>
      </c>
      <c r="AH201" s="61" t="s">
        <v>16</v>
      </c>
      <c r="AI201" s="57">
        <f t="shared" si="21"/>
        <v>-40.201655210000013</v>
      </c>
      <c r="AJ201" s="3">
        <f t="shared" si="24"/>
        <v>4</v>
      </c>
      <c r="AK201" s="3" t="s">
        <v>2710</v>
      </c>
      <c r="AM201" t="s">
        <v>980</v>
      </c>
    </row>
    <row r="202" spans="1:39" ht="15" hidden="1" thickTop="1" x14ac:dyDescent="0.3">
      <c r="A202" s="51" t="s">
        <v>1772</v>
      </c>
      <c r="B202" s="54" t="s">
        <v>1773</v>
      </c>
      <c r="C202" s="51" t="s">
        <v>2765</v>
      </c>
      <c r="D202" s="53">
        <v>1</v>
      </c>
      <c r="E202" s="53">
        <v>0</v>
      </c>
      <c r="F202" s="51" t="s">
        <v>2744</v>
      </c>
      <c r="G202" s="51" t="s">
        <v>2696</v>
      </c>
      <c r="H202" s="25" t="s">
        <v>2763</v>
      </c>
      <c r="I202" t="s">
        <v>13</v>
      </c>
      <c r="J202" t="s">
        <v>1732</v>
      </c>
      <c r="K202" t="s">
        <v>1733</v>
      </c>
      <c r="L202" s="25">
        <v>46.988754720000003</v>
      </c>
      <c r="M202" s="25">
        <v>6.6760805850000002</v>
      </c>
      <c r="N202">
        <v>6</v>
      </c>
      <c r="O202">
        <v>13</v>
      </c>
      <c r="P202">
        <v>4</v>
      </c>
      <c r="Q202">
        <v>2017</v>
      </c>
      <c r="R202" s="9">
        <v>42838</v>
      </c>
      <c r="S202" t="s">
        <v>16</v>
      </c>
      <c r="T202">
        <v>0</v>
      </c>
      <c r="U202">
        <v>0</v>
      </c>
      <c r="V202">
        <v>1</v>
      </c>
      <c r="W202">
        <v>0</v>
      </c>
      <c r="X202" s="57">
        <f t="shared" si="22"/>
        <v>-54.803359665000009</v>
      </c>
      <c r="Y202" t="s">
        <v>16</v>
      </c>
      <c r="Z202">
        <v>-1.6715452049999999</v>
      </c>
      <c r="AA202" s="3">
        <f t="shared" si="25"/>
        <v>5</v>
      </c>
      <c r="AB202" s="3">
        <f t="shared" si="26"/>
        <v>-2</v>
      </c>
      <c r="AD202" s="3" t="s">
        <v>2750</v>
      </c>
      <c r="AE202" s="4">
        <v>-38.886846200000001</v>
      </c>
      <c r="AF202" s="4">
        <f t="shared" si="23"/>
        <v>-39.332687732000004</v>
      </c>
      <c r="AG202" s="60" t="s">
        <v>16</v>
      </c>
      <c r="AH202" s="61" t="s">
        <v>16</v>
      </c>
      <c r="AI202" s="57">
        <f t="shared" si="21"/>
        <v>-39.332687732000004</v>
      </c>
      <c r="AJ202" s="3">
        <f t="shared" si="24"/>
        <v>4</v>
      </c>
      <c r="AK202" s="3" t="s">
        <v>2710</v>
      </c>
      <c r="AL202">
        <v>4</v>
      </c>
      <c r="AM202" t="s">
        <v>980</v>
      </c>
    </row>
    <row r="203" spans="1:39" ht="15" hidden="1" thickTop="1" x14ac:dyDescent="0.3">
      <c r="A203" s="51" t="s">
        <v>2635</v>
      </c>
      <c r="B203" s="54" t="s">
        <v>2605</v>
      </c>
      <c r="C203" s="51" t="s">
        <v>2765</v>
      </c>
      <c r="D203" s="53">
        <v>1</v>
      </c>
      <c r="E203" s="53">
        <v>0</v>
      </c>
      <c r="F203" s="51" t="s">
        <v>2744</v>
      </c>
      <c r="G203" s="51" t="s">
        <v>2696</v>
      </c>
      <c r="H203" s="25" t="s">
        <v>2763</v>
      </c>
      <c r="I203" t="s">
        <v>13</v>
      </c>
      <c r="J203" t="s">
        <v>19</v>
      </c>
      <c r="K203" t="s">
        <v>2668</v>
      </c>
      <c r="L203" s="55">
        <v>46.95550188910817</v>
      </c>
      <c r="M203" s="55">
        <v>6.5073753784385042</v>
      </c>
      <c r="N203">
        <v>6</v>
      </c>
      <c r="O203">
        <v>7</v>
      </c>
      <c r="P203">
        <v>6</v>
      </c>
      <c r="Q203">
        <v>2018</v>
      </c>
      <c r="R203" s="9">
        <v>43258</v>
      </c>
      <c r="S203" t="s">
        <v>16</v>
      </c>
      <c r="T203">
        <v>0</v>
      </c>
      <c r="U203">
        <v>0</v>
      </c>
      <c r="V203">
        <v>1</v>
      </c>
      <c r="W203">
        <v>0</v>
      </c>
      <c r="X203" s="57">
        <f t="shared" si="22"/>
        <v>-53.400909075000008</v>
      </c>
      <c r="Y203">
        <v>-22.840428571428575</v>
      </c>
      <c r="Z203">
        <v>-5.8946983736034131E-2</v>
      </c>
      <c r="AA203" s="3">
        <f t="shared" si="25"/>
        <v>5</v>
      </c>
      <c r="AB203" s="3">
        <f t="shared" si="26"/>
        <v>0</v>
      </c>
      <c r="AD203" s="3" t="s">
        <v>2750</v>
      </c>
      <c r="AE203" s="4">
        <v>-37.582241000000003</v>
      </c>
      <c r="AF203" s="4">
        <f t="shared" si="23"/>
        <v>-38.210727260000006</v>
      </c>
      <c r="AG203" s="60" t="s">
        <v>16</v>
      </c>
      <c r="AH203" s="61" t="s">
        <v>16</v>
      </c>
      <c r="AI203" s="57">
        <f t="shared" si="21"/>
        <v>-38.210727260000006</v>
      </c>
      <c r="AJ203" s="3">
        <f t="shared" si="24"/>
        <v>4</v>
      </c>
      <c r="AK203" s="3" t="s">
        <v>2710</v>
      </c>
      <c r="AM203" t="s">
        <v>980</v>
      </c>
    </row>
    <row r="204" spans="1:39" ht="15" hidden="1" thickTop="1" x14ac:dyDescent="0.3">
      <c r="A204" s="51" t="s">
        <v>1797</v>
      </c>
      <c r="B204" s="54" t="s">
        <v>1798</v>
      </c>
      <c r="C204" s="51" t="s">
        <v>2765</v>
      </c>
      <c r="D204" s="53">
        <v>1</v>
      </c>
      <c r="E204" s="53">
        <v>0</v>
      </c>
      <c r="F204" s="51" t="s">
        <v>2744</v>
      </c>
      <c r="G204" s="51" t="s">
        <v>2696</v>
      </c>
      <c r="H204" s="25" t="s">
        <v>2763</v>
      </c>
      <c r="I204" t="s">
        <v>13</v>
      </c>
      <c r="J204" t="s">
        <v>1057</v>
      </c>
      <c r="K204" t="s">
        <v>1722</v>
      </c>
      <c r="L204" s="25">
        <v>46.933473999999997</v>
      </c>
      <c r="M204" s="25">
        <v>6.5044213050000002</v>
      </c>
      <c r="N204">
        <v>6</v>
      </c>
      <c r="O204">
        <v>23</v>
      </c>
      <c r="P204">
        <v>5</v>
      </c>
      <c r="Q204">
        <v>2017</v>
      </c>
      <c r="R204" s="9">
        <v>42878</v>
      </c>
      <c r="S204" t="s">
        <v>16</v>
      </c>
      <c r="T204">
        <v>0</v>
      </c>
      <c r="U204">
        <v>0</v>
      </c>
      <c r="V204">
        <v>1</v>
      </c>
      <c r="W204">
        <v>0</v>
      </c>
      <c r="X204" s="57">
        <f t="shared" si="22"/>
        <v>-53.293540117500001</v>
      </c>
      <c r="Y204" t="s">
        <v>16</v>
      </c>
      <c r="Z204">
        <v>-1.0430805439999999</v>
      </c>
      <c r="AA204" s="3">
        <f t="shared" si="25"/>
        <v>5</v>
      </c>
      <c r="AB204" s="3">
        <f t="shared" si="26"/>
        <v>-1</v>
      </c>
      <c r="AD204" s="3" t="s">
        <v>2750</v>
      </c>
      <c r="AE204" s="4">
        <v>-37.482362899999998</v>
      </c>
      <c r="AF204" s="4">
        <f t="shared" si="23"/>
        <v>-38.124832093999999</v>
      </c>
      <c r="AG204" s="60" t="s">
        <v>16</v>
      </c>
      <c r="AH204" s="61" t="s">
        <v>16</v>
      </c>
      <c r="AI204" s="57">
        <f t="shared" si="21"/>
        <v>-38.124832093999999</v>
      </c>
      <c r="AJ204" s="3">
        <f t="shared" si="24"/>
        <v>4</v>
      </c>
      <c r="AK204" s="3" t="s">
        <v>2710</v>
      </c>
      <c r="AL204">
        <v>4</v>
      </c>
      <c r="AM204" t="s">
        <v>980</v>
      </c>
    </row>
    <row r="205" spans="1:39" ht="15" hidden="1" thickTop="1" x14ac:dyDescent="0.3">
      <c r="A205" s="51" t="s">
        <v>1026</v>
      </c>
      <c r="B205" s="54" t="s">
        <v>1027</v>
      </c>
      <c r="C205" s="51" t="s">
        <v>2765</v>
      </c>
      <c r="D205" s="53">
        <v>1</v>
      </c>
      <c r="E205" s="53">
        <v>0</v>
      </c>
      <c r="F205" s="51" t="s">
        <v>2744</v>
      </c>
      <c r="G205" s="51" t="s">
        <v>2696</v>
      </c>
      <c r="H205" s="25" t="s">
        <v>2763</v>
      </c>
      <c r="I205" t="s">
        <v>13</v>
      </c>
      <c r="J205" t="s">
        <v>21</v>
      </c>
      <c r="K205" t="s">
        <v>1014</v>
      </c>
      <c r="L205" s="25">
        <v>46.956040000000002</v>
      </c>
      <c r="M205" s="25">
        <v>6.4973999999999998</v>
      </c>
      <c r="N205">
        <v>6</v>
      </c>
      <c r="O205">
        <v>24</v>
      </c>
      <c r="P205">
        <v>6</v>
      </c>
      <c r="Q205">
        <v>2015</v>
      </c>
      <c r="R205" s="9">
        <v>42179</v>
      </c>
      <c r="S205">
        <v>262</v>
      </c>
      <c r="T205">
        <v>0</v>
      </c>
      <c r="U205">
        <v>0</v>
      </c>
      <c r="V205">
        <v>1</v>
      </c>
      <c r="W205">
        <v>0</v>
      </c>
      <c r="X205">
        <f t="shared" si="22"/>
        <v>-52.549250000000001</v>
      </c>
      <c r="Y205">
        <v>-22.202483869999998</v>
      </c>
      <c r="Z205">
        <v>0.60270095999999995</v>
      </c>
      <c r="AA205" s="3">
        <f t="shared" si="25"/>
        <v>5</v>
      </c>
      <c r="AB205" s="3">
        <f t="shared" si="26"/>
        <v>1</v>
      </c>
      <c r="AD205" s="3" t="s">
        <v>2750</v>
      </c>
      <c r="AE205" s="4">
        <v>-36.79</v>
      </c>
      <c r="AF205" s="4">
        <f t="shared" si="23"/>
        <v>-37.529399999999995</v>
      </c>
      <c r="AG205" s="1">
        <v>-58.7</v>
      </c>
      <c r="AH205" s="2">
        <v>-51.62</v>
      </c>
      <c r="AI205">
        <f t="shared" si="21"/>
        <v>-37.529399999999995</v>
      </c>
      <c r="AJ205" s="3">
        <f t="shared" si="24"/>
        <v>4</v>
      </c>
      <c r="AK205" s="3" t="s">
        <v>2710</v>
      </c>
      <c r="AL205">
        <v>4</v>
      </c>
      <c r="AM205" t="s">
        <v>980</v>
      </c>
    </row>
    <row r="206" spans="1:39" ht="15" hidden="1" thickTop="1" x14ac:dyDescent="0.3">
      <c r="A206" s="51" t="s">
        <v>2634</v>
      </c>
      <c r="B206" s="54" t="s">
        <v>2604</v>
      </c>
      <c r="C206" s="51" t="s">
        <v>2765</v>
      </c>
      <c r="D206" s="53">
        <v>1</v>
      </c>
      <c r="E206" s="53">
        <v>0</v>
      </c>
      <c r="F206" s="51" t="s">
        <v>2744</v>
      </c>
      <c r="G206" s="51" t="s">
        <v>2696</v>
      </c>
      <c r="H206" s="25" t="s">
        <v>2763</v>
      </c>
      <c r="I206" t="s">
        <v>13</v>
      </c>
      <c r="J206" t="s">
        <v>519</v>
      </c>
      <c r="K206" t="s">
        <v>2669</v>
      </c>
      <c r="L206" s="55">
        <v>47.022271376133645</v>
      </c>
      <c r="M206" s="55">
        <v>6.8328999215852511</v>
      </c>
      <c r="N206">
        <v>6</v>
      </c>
      <c r="O206">
        <v>14</v>
      </c>
      <c r="P206">
        <v>6</v>
      </c>
      <c r="Q206">
        <v>2018</v>
      </c>
      <c r="R206" s="9">
        <v>43265</v>
      </c>
      <c r="S206" t="s">
        <v>16</v>
      </c>
      <c r="T206">
        <v>0</v>
      </c>
      <c r="U206">
        <v>0</v>
      </c>
      <c r="V206">
        <v>1</v>
      </c>
      <c r="W206">
        <v>0</v>
      </c>
      <c r="X206" s="57">
        <f t="shared" si="22"/>
        <v>-52.327288837500006</v>
      </c>
      <c r="Y206">
        <v>-22.557428571428574</v>
      </c>
      <c r="Z206">
        <v>0.26806939995990509</v>
      </c>
      <c r="AA206" s="3">
        <f t="shared" si="25"/>
        <v>5</v>
      </c>
      <c r="AB206" s="3">
        <f t="shared" si="26"/>
        <v>0</v>
      </c>
      <c r="AD206" s="3" t="s">
        <v>2750</v>
      </c>
      <c r="AE206" s="4">
        <v>-36.583524500000003</v>
      </c>
      <c r="AF206" s="4">
        <f t="shared" si="23"/>
        <v>-37.351831070000003</v>
      </c>
      <c r="AG206" s="60" t="s">
        <v>16</v>
      </c>
      <c r="AH206" s="61" t="s">
        <v>16</v>
      </c>
      <c r="AI206" s="57">
        <f t="shared" si="21"/>
        <v>-37.351831070000003</v>
      </c>
      <c r="AJ206" s="3">
        <f t="shared" si="24"/>
        <v>4</v>
      </c>
      <c r="AK206" s="3" t="s">
        <v>2710</v>
      </c>
      <c r="AM206" t="s">
        <v>980</v>
      </c>
    </row>
    <row r="207" spans="1:39" ht="15" hidden="1" thickTop="1" x14ac:dyDescent="0.3">
      <c r="A207" s="51" t="s">
        <v>2639</v>
      </c>
      <c r="B207" s="54" t="s">
        <v>2609</v>
      </c>
      <c r="C207" s="51" t="s">
        <v>2765</v>
      </c>
      <c r="D207" s="53">
        <v>1</v>
      </c>
      <c r="E207" s="53">
        <v>0</v>
      </c>
      <c r="F207" s="51" t="s">
        <v>2744</v>
      </c>
      <c r="G207" s="51" t="s">
        <v>2696</v>
      </c>
      <c r="H207" s="25" t="s">
        <v>2763</v>
      </c>
      <c r="I207" t="s">
        <v>385</v>
      </c>
      <c r="J207" t="s">
        <v>624</v>
      </c>
      <c r="K207" t="s">
        <v>2667</v>
      </c>
      <c r="L207" s="55">
        <v>46.877703973733752</v>
      </c>
      <c r="M207" s="55">
        <v>6.6101578713519551</v>
      </c>
      <c r="N207">
        <v>6</v>
      </c>
      <c r="O207">
        <v>25</v>
      </c>
      <c r="P207">
        <v>5</v>
      </c>
      <c r="Q207">
        <v>2018</v>
      </c>
      <c r="R207" s="9">
        <v>43245</v>
      </c>
      <c r="S207" t="s">
        <v>16</v>
      </c>
      <c r="T207">
        <v>0</v>
      </c>
      <c r="U207">
        <v>0</v>
      </c>
      <c r="V207">
        <v>1</v>
      </c>
      <c r="W207">
        <v>0</v>
      </c>
      <c r="X207" s="57">
        <f t="shared" si="22"/>
        <v>-50.941043550000003</v>
      </c>
      <c r="Y207">
        <v>-22.893428571428576</v>
      </c>
      <c r="Z207">
        <v>-0.16429921586171181</v>
      </c>
      <c r="AA207" s="3">
        <f t="shared" si="25"/>
        <v>5</v>
      </c>
      <c r="AB207" s="3">
        <f t="shared" si="26"/>
        <v>0</v>
      </c>
      <c r="AD207" s="3" t="s">
        <v>2750</v>
      </c>
      <c r="AE207" s="4">
        <v>-35.293994000000005</v>
      </c>
      <c r="AF207" s="4">
        <f t="shared" si="23"/>
        <v>-36.24283484</v>
      </c>
      <c r="AG207" s="60" t="s">
        <v>16</v>
      </c>
      <c r="AH207" s="61" t="s">
        <v>16</v>
      </c>
      <c r="AI207" s="57">
        <f t="shared" si="21"/>
        <v>-36.24283484</v>
      </c>
      <c r="AJ207" s="3">
        <f t="shared" si="24"/>
        <v>4</v>
      </c>
      <c r="AK207" s="3" t="s">
        <v>2710</v>
      </c>
      <c r="AM207" t="s">
        <v>980</v>
      </c>
    </row>
    <row r="208" spans="1:39" ht="15" hidden="1" thickTop="1" x14ac:dyDescent="0.3">
      <c r="A208" s="51" t="s">
        <v>2636</v>
      </c>
      <c r="B208" s="54" t="s">
        <v>2606</v>
      </c>
      <c r="C208" s="51" t="s">
        <v>2765</v>
      </c>
      <c r="D208" s="53">
        <v>1</v>
      </c>
      <c r="E208" s="53">
        <v>0</v>
      </c>
      <c r="F208" s="51" t="s">
        <v>2744</v>
      </c>
      <c r="G208" s="51" t="s">
        <v>2696</v>
      </c>
      <c r="H208" s="25" t="s">
        <v>2763</v>
      </c>
      <c r="I208" t="s">
        <v>385</v>
      </c>
      <c r="J208" t="s">
        <v>386</v>
      </c>
      <c r="K208" t="s">
        <v>1808</v>
      </c>
      <c r="L208" s="55">
        <v>46.850265116850537</v>
      </c>
      <c r="M208" s="55">
        <v>6.5523354663209785</v>
      </c>
      <c r="N208">
        <v>6</v>
      </c>
      <c r="O208">
        <v>1</v>
      </c>
      <c r="P208">
        <v>6</v>
      </c>
      <c r="Q208">
        <v>2018</v>
      </c>
      <c r="R208" s="9">
        <v>43252</v>
      </c>
      <c r="S208" t="s">
        <v>16</v>
      </c>
      <c r="T208">
        <v>0</v>
      </c>
      <c r="U208">
        <v>0</v>
      </c>
      <c r="V208">
        <v>1</v>
      </c>
      <c r="W208">
        <v>0</v>
      </c>
      <c r="X208" s="57">
        <f t="shared" si="22"/>
        <v>-50.326762750000007</v>
      </c>
      <c r="Y208">
        <v>-21.378428571428575</v>
      </c>
      <c r="Z208">
        <v>2.3573002094732995</v>
      </c>
      <c r="AA208" s="3">
        <f t="shared" si="25"/>
        <v>5</v>
      </c>
      <c r="AB208" s="3">
        <f t="shared" si="26"/>
        <v>2</v>
      </c>
      <c r="AD208" s="3" t="s">
        <v>2750</v>
      </c>
      <c r="AE208" s="4">
        <v>-34.722570000000005</v>
      </c>
      <c r="AF208" s="4">
        <f t="shared" si="23"/>
        <v>-35.751410200000002</v>
      </c>
      <c r="AG208" s="60" t="s">
        <v>16</v>
      </c>
      <c r="AH208" s="61" t="s">
        <v>16</v>
      </c>
      <c r="AI208" s="57">
        <f t="shared" si="21"/>
        <v>-35.751410200000002</v>
      </c>
      <c r="AJ208" s="3">
        <f t="shared" si="24"/>
        <v>4</v>
      </c>
      <c r="AK208" s="3" t="s">
        <v>2710</v>
      </c>
      <c r="AM208" t="s">
        <v>980</v>
      </c>
    </row>
    <row r="209" spans="1:39" ht="15" hidden="1" thickTop="1" x14ac:dyDescent="0.3">
      <c r="A209" s="51" t="s">
        <v>1785</v>
      </c>
      <c r="B209" s="54" t="s">
        <v>1786</v>
      </c>
      <c r="C209" s="51" t="s">
        <v>2765</v>
      </c>
      <c r="D209" s="53">
        <v>1</v>
      </c>
      <c r="E209" s="53">
        <v>0</v>
      </c>
      <c r="F209" s="51" t="s">
        <v>2744</v>
      </c>
      <c r="G209" s="51" t="s">
        <v>2696</v>
      </c>
      <c r="H209" s="25" t="s">
        <v>2763</v>
      </c>
      <c r="I209" t="s">
        <v>13</v>
      </c>
      <c r="J209" t="s">
        <v>1057</v>
      </c>
      <c r="K209" t="s">
        <v>1784</v>
      </c>
      <c r="L209" s="25">
        <v>46.865259389999999</v>
      </c>
      <c r="M209" s="25">
        <v>6.5314308609999996</v>
      </c>
      <c r="N209">
        <v>6</v>
      </c>
      <c r="O209">
        <v>30</v>
      </c>
      <c r="P209">
        <v>4</v>
      </c>
      <c r="Q209">
        <v>2017</v>
      </c>
      <c r="R209" s="9">
        <v>42855</v>
      </c>
      <c r="S209" t="s">
        <v>16</v>
      </c>
      <c r="T209">
        <v>0</v>
      </c>
      <c r="U209">
        <v>0</v>
      </c>
      <c r="V209">
        <v>1</v>
      </c>
      <c r="W209">
        <v>0</v>
      </c>
      <c r="X209" s="57">
        <f t="shared" si="22"/>
        <v>-50.113075432499997</v>
      </c>
      <c r="Y209" t="s">
        <v>16</v>
      </c>
      <c r="Z209">
        <v>0.73120513499999995</v>
      </c>
      <c r="AA209" s="3">
        <f t="shared" si="25"/>
        <v>5</v>
      </c>
      <c r="AB209" s="3">
        <f t="shared" si="26"/>
        <v>1</v>
      </c>
      <c r="AD209" s="3" t="s">
        <v>2750</v>
      </c>
      <c r="AE209" s="4">
        <v>-34.523791099999997</v>
      </c>
      <c r="AF209" s="4">
        <f t="shared" si="23"/>
        <v>-35.580460345999995</v>
      </c>
      <c r="AG209" s="60" t="s">
        <v>16</v>
      </c>
      <c r="AH209" s="61" t="s">
        <v>16</v>
      </c>
      <c r="AI209" s="57">
        <f t="shared" si="21"/>
        <v>-35.580460345999995</v>
      </c>
      <c r="AJ209" s="3">
        <f t="shared" si="24"/>
        <v>4</v>
      </c>
      <c r="AK209" s="3" t="s">
        <v>2710</v>
      </c>
      <c r="AL209">
        <v>3</v>
      </c>
      <c r="AM209" t="s">
        <v>980</v>
      </c>
    </row>
    <row r="210" spans="1:39" ht="15" hidden="1" thickTop="1" x14ac:dyDescent="0.3">
      <c r="A210" s="51" t="s">
        <v>1028</v>
      </c>
      <c r="B210" s="54" t="s">
        <v>1029</v>
      </c>
      <c r="C210" s="51" t="s">
        <v>2765</v>
      </c>
      <c r="D210" s="53">
        <v>1</v>
      </c>
      <c r="E210" s="53">
        <v>0</v>
      </c>
      <c r="F210" s="51" t="s">
        <v>2744</v>
      </c>
      <c r="G210" s="51" t="s">
        <v>2696</v>
      </c>
      <c r="H210" s="25" t="s">
        <v>2763</v>
      </c>
      <c r="I210" t="s">
        <v>13</v>
      </c>
      <c r="J210" t="s">
        <v>209</v>
      </c>
      <c r="K210" t="s">
        <v>1017</v>
      </c>
      <c r="L210" s="25">
        <v>46.939315999999998</v>
      </c>
      <c r="M210" s="25">
        <v>6.7455800000000004</v>
      </c>
      <c r="N210">
        <v>6</v>
      </c>
      <c r="O210">
        <v>26</v>
      </c>
      <c r="P210">
        <v>6</v>
      </c>
      <c r="Q210">
        <v>2015</v>
      </c>
      <c r="R210" s="9">
        <v>42181</v>
      </c>
      <c r="S210">
        <v>265</v>
      </c>
      <c r="T210">
        <v>0</v>
      </c>
      <c r="U210">
        <v>0</v>
      </c>
      <c r="V210">
        <v>1</v>
      </c>
      <c r="W210">
        <v>0</v>
      </c>
      <c r="X210">
        <f t="shared" si="22"/>
        <v>-49.614500000000007</v>
      </c>
      <c r="Y210">
        <v>-22.520387100000001</v>
      </c>
      <c r="Z210">
        <v>-1.2849384619999999</v>
      </c>
      <c r="AA210" s="3">
        <f t="shared" si="25"/>
        <v>5</v>
      </c>
      <c r="AB210" s="3">
        <f t="shared" si="26"/>
        <v>-1</v>
      </c>
      <c r="AD210" s="3" t="s">
        <v>2750</v>
      </c>
      <c r="AE210" s="4">
        <v>-34.06</v>
      </c>
      <c r="AF210" s="4">
        <f t="shared" si="23"/>
        <v>-35.181600000000003</v>
      </c>
      <c r="AG210" s="1">
        <v>-55.9</v>
      </c>
      <c r="AH210" s="2">
        <v>-48.22</v>
      </c>
      <c r="AI210">
        <f t="shared" si="21"/>
        <v>-35.181600000000003</v>
      </c>
      <c r="AJ210" s="3">
        <f t="shared" si="24"/>
        <v>4</v>
      </c>
      <c r="AK210" s="3" t="s">
        <v>2710</v>
      </c>
      <c r="AL210">
        <v>3</v>
      </c>
      <c r="AM210" t="s">
        <v>980</v>
      </c>
    </row>
    <row r="211" spans="1:39" ht="15" hidden="1" thickTop="1" x14ac:dyDescent="0.3">
      <c r="A211" s="51" t="s">
        <v>2651</v>
      </c>
      <c r="B211" s="54" t="s">
        <v>2621</v>
      </c>
      <c r="C211" s="51" t="s">
        <v>2765</v>
      </c>
      <c r="D211" s="53">
        <v>1</v>
      </c>
      <c r="E211" s="53">
        <v>0</v>
      </c>
      <c r="F211" s="51" t="s">
        <v>2744</v>
      </c>
      <c r="G211" s="51" t="s">
        <v>2696</v>
      </c>
      <c r="H211" s="25" t="s">
        <v>2763</v>
      </c>
      <c r="I211" t="s">
        <v>13</v>
      </c>
      <c r="J211" t="s">
        <v>1732</v>
      </c>
      <c r="K211" t="s">
        <v>1733</v>
      </c>
      <c r="L211" s="55">
        <v>46.989804128380513</v>
      </c>
      <c r="M211" s="55">
        <v>6.6756187134169203</v>
      </c>
      <c r="N211">
        <v>6</v>
      </c>
      <c r="O211">
        <v>17</v>
      </c>
      <c r="P211">
        <v>4</v>
      </c>
      <c r="Q211">
        <v>2018</v>
      </c>
      <c r="R211" s="9">
        <v>43207</v>
      </c>
      <c r="S211" t="s">
        <v>16</v>
      </c>
      <c r="T211">
        <v>0</v>
      </c>
      <c r="U211">
        <v>0</v>
      </c>
      <c r="V211">
        <v>1</v>
      </c>
      <c r="W211">
        <v>0</v>
      </c>
      <c r="X211" s="57">
        <f t="shared" si="22"/>
        <v>-48.19049157500001</v>
      </c>
      <c r="Y211">
        <v>-23.637666666666664</v>
      </c>
      <c r="Z211">
        <v>-1.3106764455763671</v>
      </c>
      <c r="AA211" s="3">
        <f t="shared" si="25"/>
        <v>5</v>
      </c>
      <c r="AB211" s="3">
        <f t="shared" si="26"/>
        <v>-1</v>
      </c>
      <c r="AD211" s="3" t="s">
        <v>2750</v>
      </c>
      <c r="AE211" s="4">
        <v>-32.735341000000005</v>
      </c>
      <c r="AF211" s="4">
        <f t="shared" si="23"/>
        <v>-34.042393260000004</v>
      </c>
      <c r="AG211" s="60" t="s">
        <v>16</v>
      </c>
      <c r="AH211" s="61" t="s">
        <v>16</v>
      </c>
      <c r="AI211" s="57">
        <f t="shared" si="21"/>
        <v>-34.042393260000004</v>
      </c>
      <c r="AJ211" s="3">
        <f t="shared" si="24"/>
        <v>3</v>
      </c>
      <c r="AK211" s="3" t="s">
        <v>2710</v>
      </c>
      <c r="AM211" t="s">
        <v>980</v>
      </c>
    </row>
    <row r="212" spans="1:39" ht="15" hidden="1" thickTop="1" x14ac:dyDescent="0.3">
      <c r="A212" s="51" t="s">
        <v>2633</v>
      </c>
      <c r="B212" s="54" t="s">
        <v>2603</v>
      </c>
      <c r="C212" s="51" t="s">
        <v>2765</v>
      </c>
      <c r="D212" s="53">
        <v>1</v>
      </c>
      <c r="E212" s="53">
        <v>0</v>
      </c>
      <c r="F212" s="51" t="s">
        <v>2744</v>
      </c>
      <c r="G212" s="51" t="s">
        <v>2696</v>
      </c>
      <c r="H212" s="25" t="s">
        <v>2763</v>
      </c>
      <c r="I212" t="s">
        <v>13</v>
      </c>
      <c r="J212" t="s">
        <v>19</v>
      </c>
      <c r="K212" t="s">
        <v>2670</v>
      </c>
      <c r="L212" s="55">
        <v>46.957912337020197</v>
      </c>
      <c r="M212" s="55">
        <v>6.4941292111832905</v>
      </c>
      <c r="N212">
        <v>6</v>
      </c>
      <c r="O212">
        <v>29</v>
      </c>
      <c r="P212">
        <v>6</v>
      </c>
      <c r="Q212">
        <v>2018</v>
      </c>
      <c r="R212" s="9">
        <v>43280</v>
      </c>
      <c r="S212" t="s">
        <v>16</v>
      </c>
      <c r="T212">
        <v>0</v>
      </c>
      <c r="U212">
        <v>0</v>
      </c>
      <c r="V212">
        <v>1</v>
      </c>
      <c r="W212">
        <v>0</v>
      </c>
      <c r="X212" s="57">
        <f t="shared" si="22"/>
        <v>-48.163068324999998</v>
      </c>
      <c r="Y212">
        <v>-22.549428571428574</v>
      </c>
      <c r="Z212">
        <v>-0.3724813647843539</v>
      </c>
      <c r="AA212" s="3">
        <f t="shared" si="25"/>
        <v>5</v>
      </c>
      <c r="AB212" s="3">
        <f t="shared" si="26"/>
        <v>0</v>
      </c>
      <c r="AD212" s="3" t="s">
        <v>2750</v>
      </c>
      <c r="AE212" s="4">
        <v>-32.709831000000001</v>
      </c>
      <c r="AF212" s="4">
        <f t="shared" si="23"/>
        <v>-34.020454659999999</v>
      </c>
      <c r="AG212" s="60" t="s">
        <v>16</v>
      </c>
      <c r="AH212" s="61" t="s">
        <v>16</v>
      </c>
      <c r="AI212" s="57">
        <f t="shared" si="21"/>
        <v>-34.020454659999999</v>
      </c>
      <c r="AJ212" s="3">
        <f t="shared" si="24"/>
        <v>3</v>
      </c>
      <c r="AK212" s="3" t="s">
        <v>2710</v>
      </c>
      <c r="AM212" t="s">
        <v>980</v>
      </c>
    </row>
    <row r="213" spans="1:39" ht="15" hidden="1" thickTop="1" x14ac:dyDescent="0.3">
      <c r="A213" s="51" t="s">
        <v>1791</v>
      </c>
      <c r="B213" s="54" t="s">
        <v>1792</v>
      </c>
      <c r="C213" s="51" t="s">
        <v>2765</v>
      </c>
      <c r="D213" s="53">
        <v>1</v>
      </c>
      <c r="E213" s="53">
        <v>0</v>
      </c>
      <c r="F213" s="51" t="s">
        <v>2744</v>
      </c>
      <c r="G213" s="51" t="s">
        <v>2696</v>
      </c>
      <c r="H213" s="25" t="s">
        <v>2763</v>
      </c>
      <c r="I213" t="s">
        <v>13</v>
      </c>
      <c r="J213" t="s">
        <v>19</v>
      </c>
      <c r="K213" t="s">
        <v>1793</v>
      </c>
      <c r="L213" s="25">
        <v>46.931926420000003</v>
      </c>
      <c r="M213" s="25">
        <v>6.4999832099999999</v>
      </c>
      <c r="N213">
        <v>6</v>
      </c>
      <c r="O213">
        <v>9</v>
      </c>
      <c r="P213">
        <v>5</v>
      </c>
      <c r="Q213">
        <v>2017</v>
      </c>
      <c r="R213" s="9">
        <v>42864</v>
      </c>
      <c r="S213" t="s">
        <v>16</v>
      </c>
      <c r="T213">
        <v>0</v>
      </c>
      <c r="U213">
        <v>0</v>
      </c>
      <c r="V213">
        <v>1</v>
      </c>
      <c r="W213">
        <v>0</v>
      </c>
      <c r="X213" s="57">
        <f t="shared" si="22"/>
        <v>-47.377653975000001</v>
      </c>
      <c r="Y213" t="s">
        <v>16</v>
      </c>
      <c r="Z213">
        <v>-0.67011379999999998</v>
      </c>
      <c r="AA213" s="3">
        <f t="shared" si="25"/>
        <v>5</v>
      </c>
      <c r="AB213" s="3">
        <f t="shared" si="26"/>
        <v>-1</v>
      </c>
      <c r="AD213" s="3" t="s">
        <v>2750</v>
      </c>
      <c r="AE213" s="4">
        <v>-31.979213000000001</v>
      </c>
      <c r="AF213" s="4">
        <f t="shared" si="23"/>
        <v>-33.392123179999999</v>
      </c>
      <c r="AG213" s="60" t="s">
        <v>16</v>
      </c>
      <c r="AH213" s="61" t="s">
        <v>16</v>
      </c>
      <c r="AI213" s="57">
        <f t="shared" si="21"/>
        <v>-33.392123179999999</v>
      </c>
      <c r="AJ213" s="3">
        <f t="shared" si="24"/>
        <v>3</v>
      </c>
      <c r="AK213" s="3" t="s">
        <v>2710</v>
      </c>
      <c r="AL213">
        <v>3</v>
      </c>
      <c r="AM213" t="s">
        <v>980</v>
      </c>
    </row>
    <row r="214" spans="1:39" ht="15" hidden="1" thickTop="1" x14ac:dyDescent="0.3">
      <c r="A214" s="51" t="s">
        <v>2652</v>
      </c>
      <c r="B214" s="54" t="s">
        <v>2622</v>
      </c>
      <c r="C214" s="51" t="s">
        <v>2765</v>
      </c>
      <c r="D214" s="53">
        <v>1</v>
      </c>
      <c r="E214" s="53">
        <v>0</v>
      </c>
      <c r="F214" s="51" t="s">
        <v>2744</v>
      </c>
      <c r="G214" s="51" t="s">
        <v>2696</v>
      </c>
      <c r="H214" s="25" t="s">
        <v>2763</v>
      </c>
      <c r="I214" t="s">
        <v>13</v>
      </c>
      <c r="J214" t="s">
        <v>1732</v>
      </c>
      <c r="K214" t="s">
        <v>1733</v>
      </c>
      <c r="L214" s="55">
        <v>46.989804128380513</v>
      </c>
      <c r="M214" s="55">
        <v>6.6756187134169203</v>
      </c>
      <c r="N214">
        <v>6</v>
      </c>
      <c r="O214">
        <v>16</v>
      </c>
      <c r="P214">
        <v>4</v>
      </c>
      <c r="Q214">
        <v>2018</v>
      </c>
      <c r="R214" s="9">
        <v>43206</v>
      </c>
      <c r="S214" t="s">
        <v>16</v>
      </c>
      <c r="T214">
        <v>0</v>
      </c>
      <c r="U214">
        <v>0</v>
      </c>
      <c r="V214">
        <v>1</v>
      </c>
      <c r="W214">
        <v>0</v>
      </c>
      <c r="X214" s="57">
        <f t="shared" si="22"/>
        <v>-46.918052775000007</v>
      </c>
      <c r="Y214">
        <v>-23.580666666666662</v>
      </c>
      <c r="Z214">
        <v>1.5747509275122344</v>
      </c>
      <c r="AA214" s="3">
        <f t="shared" si="25"/>
        <v>5</v>
      </c>
      <c r="AB214" s="3">
        <f t="shared" si="26"/>
        <v>2</v>
      </c>
      <c r="AD214" s="3" t="s">
        <v>2750</v>
      </c>
      <c r="AE214" s="4">
        <v>-31.551677000000005</v>
      </c>
      <c r="AF214" s="4">
        <f t="shared" si="23"/>
        <v>-33.024442220000005</v>
      </c>
      <c r="AG214" s="60" t="s">
        <v>16</v>
      </c>
      <c r="AH214" s="61" t="s">
        <v>16</v>
      </c>
      <c r="AI214" s="57">
        <f t="shared" si="21"/>
        <v>-33.024442220000005</v>
      </c>
      <c r="AJ214" s="3">
        <f t="shared" si="24"/>
        <v>3</v>
      </c>
      <c r="AK214" s="3" t="s">
        <v>2710</v>
      </c>
      <c r="AM214" t="s">
        <v>980</v>
      </c>
    </row>
    <row r="215" spans="1:39" ht="15" hidden="1" thickTop="1" x14ac:dyDescent="0.3">
      <c r="A215" s="51" t="s">
        <v>1272</v>
      </c>
      <c r="B215" s="54" t="s">
        <v>1273</v>
      </c>
      <c r="C215" s="51" t="s">
        <v>2765</v>
      </c>
      <c r="D215" s="53">
        <v>1</v>
      </c>
      <c r="E215" s="53">
        <v>0</v>
      </c>
      <c r="F215" s="51" t="s">
        <v>2744</v>
      </c>
      <c r="G215" s="51" t="s">
        <v>2696</v>
      </c>
      <c r="H215" s="25" t="s">
        <v>2763</v>
      </c>
      <c r="I215" t="s">
        <v>30</v>
      </c>
      <c r="J215" t="s">
        <v>978</v>
      </c>
      <c r="K215" t="s">
        <v>1274</v>
      </c>
      <c r="L215" s="25">
        <v>46.568413200000002</v>
      </c>
      <c r="M215" s="25">
        <v>7.0087315669999999</v>
      </c>
      <c r="N215">
        <v>6</v>
      </c>
      <c r="O215">
        <v>19</v>
      </c>
      <c r="P215">
        <v>6</v>
      </c>
      <c r="Q215">
        <v>2015</v>
      </c>
      <c r="R215" s="9">
        <v>42174</v>
      </c>
      <c r="S215" t="s">
        <v>16</v>
      </c>
      <c r="T215">
        <v>0</v>
      </c>
      <c r="U215">
        <v>0</v>
      </c>
      <c r="V215">
        <v>1</v>
      </c>
      <c r="W215">
        <v>0</v>
      </c>
      <c r="X215">
        <f t="shared" si="22"/>
        <v>-46.851749999999996</v>
      </c>
      <c r="Y215">
        <v>-22.00193548</v>
      </c>
      <c r="Z215">
        <v>2.0857327219999999</v>
      </c>
      <c r="AA215" s="3">
        <f t="shared" si="25"/>
        <v>5</v>
      </c>
      <c r="AB215" s="3">
        <f t="shared" si="26"/>
        <v>2</v>
      </c>
      <c r="AD215" s="3" t="s">
        <v>2752</v>
      </c>
      <c r="AE215" s="4">
        <v>-31.49</v>
      </c>
      <c r="AF215" s="4">
        <f t="shared" si="23"/>
        <v>-32.971399999999996</v>
      </c>
      <c r="AG215" s="1">
        <v>-53.3</v>
      </c>
      <c r="AH215" s="2">
        <v>-45</v>
      </c>
      <c r="AI215">
        <f t="shared" si="21"/>
        <v>-32.971399999999996</v>
      </c>
      <c r="AJ215" s="3">
        <f t="shared" si="24"/>
        <v>3</v>
      </c>
      <c r="AK215" s="3" t="s">
        <v>2710</v>
      </c>
      <c r="AL215">
        <v>3</v>
      </c>
      <c r="AM215" t="s">
        <v>980</v>
      </c>
    </row>
    <row r="216" spans="1:39" ht="15" hidden="1" thickTop="1" x14ac:dyDescent="0.3">
      <c r="A216" s="51" t="s">
        <v>976</v>
      </c>
      <c r="B216" s="54" t="s">
        <v>977</v>
      </c>
      <c r="C216" s="51" t="s">
        <v>2765</v>
      </c>
      <c r="D216" s="53">
        <v>1</v>
      </c>
      <c r="E216" s="53">
        <v>0</v>
      </c>
      <c r="F216" s="51" t="s">
        <v>2744</v>
      </c>
      <c r="G216" s="51" t="s">
        <v>2696</v>
      </c>
      <c r="H216" s="25" t="s">
        <v>2763</v>
      </c>
      <c r="I216" t="s">
        <v>30</v>
      </c>
      <c r="J216" t="s">
        <v>978</v>
      </c>
      <c r="K216" t="s">
        <v>979</v>
      </c>
      <c r="L216" s="25">
        <v>46.563969749999998</v>
      </c>
      <c r="M216" s="25">
        <v>7.0041107509999998</v>
      </c>
      <c r="N216">
        <v>6</v>
      </c>
      <c r="O216">
        <v>10</v>
      </c>
      <c r="P216">
        <v>6</v>
      </c>
      <c r="Q216">
        <v>2015</v>
      </c>
      <c r="R216" s="9">
        <v>42165</v>
      </c>
      <c r="S216" t="s">
        <v>16</v>
      </c>
      <c r="T216">
        <v>0</v>
      </c>
      <c r="U216">
        <v>0</v>
      </c>
      <c r="V216">
        <v>1</v>
      </c>
      <c r="W216">
        <v>0</v>
      </c>
      <c r="X216">
        <f t="shared" si="22"/>
        <v>-46.647500000000001</v>
      </c>
      <c r="Y216">
        <v>-23.10174194</v>
      </c>
      <c r="Z216">
        <v>3.0885518529999998</v>
      </c>
      <c r="AA216" s="3">
        <f t="shared" si="25"/>
        <v>5</v>
      </c>
      <c r="AB216" s="3">
        <f t="shared" si="26"/>
        <v>3</v>
      </c>
      <c r="AD216" s="3" t="s">
        <v>2752</v>
      </c>
      <c r="AE216" s="4">
        <v>-31.3</v>
      </c>
      <c r="AF216" s="4">
        <f t="shared" si="23"/>
        <v>-32.808</v>
      </c>
      <c r="AG216" s="1">
        <v>-53.1</v>
      </c>
      <c r="AH216" s="2">
        <v>-44.76</v>
      </c>
      <c r="AI216">
        <f t="shared" si="21"/>
        <v>-32.808</v>
      </c>
      <c r="AJ216" s="3">
        <f t="shared" si="24"/>
        <v>3</v>
      </c>
      <c r="AK216" s="3" t="s">
        <v>2710</v>
      </c>
      <c r="AL216">
        <v>3</v>
      </c>
      <c r="AM216" t="s">
        <v>980</v>
      </c>
    </row>
    <row r="217" spans="1:39" ht="15" hidden="1" thickTop="1" x14ac:dyDescent="0.3">
      <c r="A217" s="51" t="s">
        <v>1730</v>
      </c>
      <c r="B217" s="54" t="s">
        <v>1731</v>
      </c>
      <c r="C217" s="51" t="s">
        <v>2765</v>
      </c>
      <c r="D217" s="53">
        <v>1</v>
      </c>
      <c r="E217" s="53">
        <v>0</v>
      </c>
      <c r="F217" s="51" t="s">
        <v>2744</v>
      </c>
      <c r="G217" s="51" t="s">
        <v>2696</v>
      </c>
      <c r="H217" s="25" t="s">
        <v>2763</v>
      </c>
      <c r="I217" t="s">
        <v>13</v>
      </c>
      <c r="J217" t="s">
        <v>1732</v>
      </c>
      <c r="K217" t="s">
        <v>1733</v>
      </c>
      <c r="L217" s="25">
        <v>46.989804130000003</v>
      </c>
      <c r="M217" s="25">
        <v>6.6756187130000004</v>
      </c>
      <c r="N217">
        <v>6</v>
      </c>
      <c r="O217">
        <v>16</v>
      </c>
      <c r="P217">
        <v>6</v>
      </c>
      <c r="Q217">
        <v>2017</v>
      </c>
      <c r="R217" s="9">
        <v>42902</v>
      </c>
      <c r="S217" t="s">
        <v>16</v>
      </c>
      <c r="T217">
        <v>0</v>
      </c>
      <c r="U217">
        <v>0</v>
      </c>
      <c r="V217">
        <v>1</v>
      </c>
      <c r="W217">
        <v>0</v>
      </c>
      <c r="X217" s="57">
        <f t="shared" si="22"/>
        <v>-45.568366087500003</v>
      </c>
      <c r="Y217" t="s">
        <v>16</v>
      </c>
      <c r="Z217">
        <v>2.6561990980000001</v>
      </c>
      <c r="AA217" s="3">
        <f t="shared" si="25"/>
        <v>5</v>
      </c>
      <c r="AB217" s="3">
        <f t="shared" si="26"/>
        <v>3</v>
      </c>
      <c r="AD217" s="3" t="s">
        <v>2750</v>
      </c>
      <c r="AE217" s="4">
        <v>-30.2961545</v>
      </c>
      <c r="AF217" s="4">
        <f t="shared" si="23"/>
        <v>-31.944692870000001</v>
      </c>
      <c r="AG217" s="60" t="s">
        <v>16</v>
      </c>
      <c r="AH217" s="61" t="s">
        <v>16</v>
      </c>
      <c r="AI217" s="57">
        <f t="shared" si="21"/>
        <v>-31.944692870000001</v>
      </c>
      <c r="AJ217" s="3">
        <f t="shared" si="24"/>
        <v>3</v>
      </c>
      <c r="AK217" s="3" t="s">
        <v>2710</v>
      </c>
      <c r="AL217">
        <v>3</v>
      </c>
      <c r="AM217" t="s">
        <v>980</v>
      </c>
    </row>
    <row r="218" spans="1:39" ht="15" hidden="1" thickTop="1" x14ac:dyDescent="0.3">
      <c r="A218" s="51" t="s">
        <v>981</v>
      </c>
      <c r="B218" s="54" t="s">
        <v>982</v>
      </c>
      <c r="C218" s="51" t="s">
        <v>2765</v>
      </c>
      <c r="D218" s="53">
        <v>1</v>
      </c>
      <c r="E218" s="53">
        <v>0</v>
      </c>
      <c r="F218" s="51" t="s">
        <v>2744</v>
      </c>
      <c r="G218" s="51" t="s">
        <v>2696</v>
      </c>
      <c r="H218" s="25" t="s">
        <v>2763</v>
      </c>
      <c r="I218" t="s">
        <v>30</v>
      </c>
      <c r="J218" t="s">
        <v>978</v>
      </c>
      <c r="K218" t="s">
        <v>979</v>
      </c>
      <c r="L218" s="25">
        <v>46.563969749999998</v>
      </c>
      <c r="M218" s="25">
        <v>7.0041107509999998</v>
      </c>
      <c r="N218">
        <v>6</v>
      </c>
      <c r="O218">
        <v>10</v>
      </c>
      <c r="P218">
        <v>6</v>
      </c>
      <c r="Q218">
        <v>2015</v>
      </c>
      <c r="R218" s="9">
        <v>42165</v>
      </c>
      <c r="S218" t="s">
        <v>16</v>
      </c>
      <c r="T218">
        <v>0</v>
      </c>
      <c r="U218">
        <v>0</v>
      </c>
      <c r="V218">
        <v>1</v>
      </c>
      <c r="W218">
        <v>0</v>
      </c>
      <c r="X218">
        <f t="shared" si="22"/>
        <v>-43.110750000000003</v>
      </c>
      <c r="Y218">
        <v>-22.928838710000001</v>
      </c>
      <c r="Z218">
        <v>1.887067598</v>
      </c>
      <c r="AA218" s="3">
        <f t="shared" si="25"/>
        <v>4</v>
      </c>
      <c r="AB218" s="3">
        <f t="shared" si="26"/>
        <v>2</v>
      </c>
      <c r="AD218" s="3" t="s">
        <v>2752</v>
      </c>
      <c r="AE218" s="4">
        <v>-28.01</v>
      </c>
      <c r="AF218" s="4">
        <f t="shared" si="23"/>
        <v>-29.9786</v>
      </c>
      <c r="AG218" s="1">
        <v>-49.8</v>
      </c>
      <c r="AH218" s="2">
        <v>-40.65</v>
      </c>
      <c r="AI218">
        <f t="shared" si="21"/>
        <v>-29.9786</v>
      </c>
      <c r="AJ218" s="3">
        <f t="shared" si="24"/>
        <v>3</v>
      </c>
      <c r="AK218" s="3" t="s">
        <v>2710</v>
      </c>
      <c r="AL218">
        <v>3</v>
      </c>
      <c r="AM218" t="s">
        <v>980</v>
      </c>
    </row>
    <row r="219" spans="1:39" ht="15" hidden="1" thickTop="1" x14ac:dyDescent="0.3">
      <c r="A219" s="51" t="s">
        <v>2644</v>
      </c>
      <c r="B219" s="54" t="s">
        <v>2614</v>
      </c>
      <c r="C219" s="51" t="s">
        <v>2765</v>
      </c>
      <c r="D219" s="53">
        <v>1</v>
      </c>
      <c r="E219" s="53">
        <v>0</v>
      </c>
      <c r="F219" s="51" t="s">
        <v>2744</v>
      </c>
      <c r="G219" s="51" t="s">
        <v>2696</v>
      </c>
      <c r="H219" s="25" t="s">
        <v>2763</v>
      </c>
      <c r="I219" t="s">
        <v>385</v>
      </c>
      <c r="J219" t="s">
        <v>386</v>
      </c>
      <c r="K219" t="s">
        <v>1808</v>
      </c>
      <c r="L219" s="55">
        <v>46.850239000000002</v>
      </c>
      <c r="M219" s="55">
        <v>6.5521029999999998</v>
      </c>
      <c r="N219">
        <v>6</v>
      </c>
      <c r="O219">
        <v>18</v>
      </c>
      <c r="P219">
        <v>5</v>
      </c>
      <c r="Q219">
        <v>2018</v>
      </c>
      <c r="R219" s="9">
        <v>43238</v>
      </c>
      <c r="S219" t="s">
        <v>16</v>
      </c>
      <c r="T219">
        <v>0</v>
      </c>
      <c r="U219">
        <v>0</v>
      </c>
      <c r="V219">
        <v>1</v>
      </c>
      <c r="W219">
        <v>0</v>
      </c>
      <c r="X219" s="57">
        <f t="shared" si="22"/>
        <v>-42.193026800000005</v>
      </c>
      <c r="Y219">
        <v>-22.643428571428572</v>
      </c>
      <c r="Z219">
        <v>2.0479478071630148</v>
      </c>
      <c r="AA219" s="3">
        <f t="shared" si="25"/>
        <v>4</v>
      </c>
      <c r="AB219" s="3">
        <f t="shared" si="26"/>
        <v>2</v>
      </c>
      <c r="AD219" s="3" t="s">
        <v>2750</v>
      </c>
      <c r="AE219" s="4">
        <v>-27.156303999999999</v>
      </c>
      <c r="AF219" s="4">
        <f t="shared" si="23"/>
        <v>-29.24442144</v>
      </c>
      <c r="AG219" s="60" t="s">
        <v>16</v>
      </c>
      <c r="AH219" s="61" t="s">
        <v>16</v>
      </c>
      <c r="AI219" s="57">
        <f t="shared" si="21"/>
        <v>-29.24442144</v>
      </c>
      <c r="AJ219" s="3">
        <f t="shared" si="24"/>
        <v>3</v>
      </c>
      <c r="AK219" s="3" t="s">
        <v>2710</v>
      </c>
      <c r="AM219" t="s">
        <v>980</v>
      </c>
    </row>
    <row r="220" spans="1:39" ht="15" hidden="1" thickTop="1" x14ac:dyDescent="0.3">
      <c r="A220" s="51" t="s">
        <v>2658</v>
      </c>
      <c r="B220" s="54" t="s">
        <v>2290</v>
      </c>
      <c r="C220" s="51" t="s">
        <v>2765</v>
      </c>
      <c r="D220" s="53">
        <v>1</v>
      </c>
      <c r="E220" s="53">
        <v>0</v>
      </c>
      <c r="F220" s="51" t="s">
        <v>2744</v>
      </c>
      <c r="G220" s="51" t="s">
        <v>2696</v>
      </c>
      <c r="H220" s="25" t="s">
        <v>2763</v>
      </c>
      <c r="I220" t="s">
        <v>13</v>
      </c>
      <c r="J220" t="s">
        <v>1732</v>
      </c>
      <c r="K220" t="s">
        <v>1733</v>
      </c>
      <c r="L220" s="55">
        <v>46.989804128380513</v>
      </c>
      <c r="M220" s="55">
        <v>6.6756187134169203</v>
      </c>
      <c r="N220">
        <v>6</v>
      </c>
      <c r="O220">
        <v>5</v>
      </c>
      <c r="P220">
        <v>4</v>
      </c>
      <c r="Q220">
        <v>2018</v>
      </c>
      <c r="R220" s="9">
        <v>43195</v>
      </c>
      <c r="S220" t="s">
        <v>16</v>
      </c>
      <c r="T220">
        <v>0</v>
      </c>
      <c r="U220">
        <v>0</v>
      </c>
      <c r="V220">
        <v>1</v>
      </c>
      <c r="W220">
        <v>0</v>
      </c>
      <c r="X220" s="57">
        <f t="shared" si="22"/>
        <v>-42.057281712500007</v>
      </c>
      <c r="Y220">
        <v>-23.002666666666663</v>
      </c>
      <c r="Z220">
        <v>-0.37463331092662133</v>
      </c>
      <c r="AA220" s="3">
        <f t="shared" si="25"/>
        <v>4</v>
      </c>
      <c r="AB220" s="3">
        <f t="shared" si="26"/>
        <v>0</v>
      </c>
      <c r="AD220" s="3" t="s">
        <v>2750</v>
      </c>
      <c r="AE220" s="4">
        <v>-27.030029500000005</v>
      </c>
      <c r="AF220" s="4">
        <f t="shared" si="23"/>
        <v>-29.135825370000003</v>
      </c>
      <c r="AG220" s="60" t="s">
        <v>16</v>
      </c>
      <c r="AH220" s="61" t="s">
        <v>16</v>
      </c>
      <c r="AI220" s="57">
        <f t="shared" si="21"/>
        <v>-29.135825370000003</v>
      </c>
      <c r="AJ220" s="3">
        <f t="shared" si="24"/>
        <v>3</v>
      </c>
      <c r="AK220" s="3" t="s">
        <v>2710</v>
      </c>
      <c r="AM220" t="s">
        <v>980</v>
      </c>
    </row>
    <row r="221" spans="1:39" ht="15" hidden="1" thickTop="1" x14ac:dyDescent="0.3">
      <c r="A221" s="51" t="s">
        <v>1777</v>
      </c>
      <c r="B221" s="54" t="s">
        <v>1778</v>
      </c>
      <c r="C221" s="51" t="s">
        <v>2765</v>
      </c>
      <c r="D221" s="53">
        <v>1</v>
      </c>
      <c r="E221" s="53">
        <v>0</v>
      </c>
      <c r="F221" s="51" t="s">
        <v>2744</v>
      </c>
      <c r="G221" s="51" t="s">
        <v>2696</v>
      </c>
      <c r="H221" s="25" t="s">
        <v>2763</v>
      </c>
      <c r="I221" t="s">
        <v>13</v>
      </c>
      <c r="J221" t="s">
        <v>1057</v>
      </c>
      <c r="K221" t="s">
        <v>1779</v>
      </c>
      <c r="L221" s="25">
        <v>46.884682429999998</v>
      </c>
      <c r="M221" s="25">
        <v>6.5999606670000004</v>
      </c>
      <c r="N221">
        <v>6</v>
      </c>
      <c r="O221">
        <v>21</v>
      </c>
      <c r="P221">
        <v>4</v>
      </c>
      <c r="Q221">
        <v>2017</v>
      </c>
      <c r="R221" s="9">
        <v>42846</v>
      </c>
      <c r="S221" t="s">
        <v>16</v>
      </c>
      <c r="T221">
        <v>0</v>
      </c>
      <c r="U221">
        <v>0</v>
      </c>
      <c r="V221">
        <v>1</v>
      </c>
      <c r="W221">
        <v>0</v>
      </c>
      <c r="X221" s="57">
        <f t="shared" si="22"/>
        <v>-41.400765022499996</v>
      </c>
      <c r="Y221" t="s">
        <v>16</v>
      </c>
      <c r="Z221">
        <v>-1.1691658789999999</v>
      </c>
      <c r="AA221" s="3">
        <f t="shared" si="25"/>
        <v>4</v>
      </c>
      <c r="AB221" s="3">
        <f t="shared" si="26"/>
        <v>-1</v>
      </c>
      <c r="AD221" s="3" t="s">
        <v>2750</v>
      </c>
      <c r="AE221" s="4">
        <v>-26.419316299999998</v>
      </c>
      <c r="AF221" s="4">
        <f t="shared" si="23"/>
        <v>-28.610612017999998</v>
      </c>
      <c r="AG221" s="60" t="s">
        <v>16</v>
      </c>
      <c r="AH221" s="61" t="s">
        <v>16</v>
      </c>
      <c r="AI221" s="57">
        <f t="shared" si="21"/>
        <v>-28.610612017999998</v>
      </c>
      <c r="AJ221" s="3">
        <f t="shared" si="24"/>
        <v>3</v>
      </c>
      <c r="AK221" s="3" t="s">
        <v>2710</v>
      </c>
      <c r="AL221">
        <v>3</v>
      </c>
      <c r="AM221" t="s">
        <v>980</v>
      </c>
    </row>
    <row r="222" spans="1:39" ht="15" hidden="1" thickTop="1" x14ac:dyDescent="0.3">
      <c r="A222" s="51" t="s">
        <v>2289</v>
      </c>
      <c r="B222" s="54" t="s">
        <v>2290</v>
      </c>
      <c r="C222" s="51" t="s">
        <v>2765</v>
      </c>
      <c r="D222" s="53">
        <v>1</v>
      </c>
      <c r="E222" s="53">
        <v>0</v>
      </c>
      <c r="F222" s="51" t="s">
        <v>2744</v>
      </c>
      <c r="G222" s="51" t="s">
        <v>2696</v>
      </c>
      <c r="H222" s="25" t="s">
        <v>2763</v>
      </c>
      <c r="I222" t="s">
        <v>13</v>
      </c>
      <c r="J222" t="s">
        <v>2291</v>
      </c>
      <c r="K222" t="s">
        <v>2292</v>
      </c>
      <c r="L222" s="25">
        <v>47.007839070000003</v>
      </c>
      <c r="M222" s="25">
        <v>6.7243481689999998</v>
      </c>
      <c r="N222">
        <v>6</v>
      </c>
      <c r="O222">
        <v>30</v>
      </c>
      <c r="P222">
        <v>3</v>
      </c>
      <c r="Q222">
        <v>2017</v>
      </c>
      <c r="R222" s="9">
        <v>42824</v>
      </c>
      <c r="S222" t="s">
        <v>16</v>
      </c>
      <c r="T222">
        <v>0</v>
      </c>
      <c r="U222">
        <v>1</v>
      </c>
      <c r="V222">
        <v>0</v>
      </c>
      <c r="W222">
        <v>0</v>
      </c>
      <c r="X222" s="57">
        <f t="shared" si="22"/>
        <v>-41.394625267500004</v>
      </c>
      <c r="Y222" t="s">
        <v>16</v>
      </c>
      <c r="Z222">
        <v>0.39691395899999998</v>
      </c>
      <c r="AA222" s="3">
        <f t="shared" si="25"/>
        <v>4</v>
      </c>
      <c r="AB222" s="3">
        <f t="shared" si="26"/>
        <v>0</v>
      </c>
      <c r="AD222" s="3" t="s">
        <v>2750</v>
      </c>
      <c r="AE222" s="4">
        <v>-26.413604899999999</v>
      </c>
      <c r="AF222" s="4">
        <f t="shared" si="23"/>
        <v>-28.605700213999999</v>
      </c>
      <c r="AG222" s="60" t="s">
        <v>16</v>
      </c>
      <c r="AH222" s="61" t="s">
        <v>16</v>
      </c>
      <c r="AI222" s="57">
        <f t="shared" si="21"/>
        <v>-28.605700213999999</v>
      </c>
      <c r="AJ222" s="3">
        <f t="shared" si="24"/>
        <v>3</v>
      </c>
      <c r="AK222" s="3" t="s">
        <v>2710</v>
      </c>
      <c r="AL222">
        <v>3</v>
      </c>
      <c r="AM222" t="s">
        <v>980</v>
      </c>
    </row>
    <row r="223" spans="1:39" ht="15" hidden="1" thickTop="1" x14ac:dyDescent="0.3">
      <c r="A223" s="51" t="s">
        <v>2641</v>
      </c>
      <c r="B223" s="54" t="s">
        <v>2610</v>
      </c>
      <c r="C223" s="51" t="s">
        <v>2765</v>
      </c>
      <c r="D223" s="53">
        <v>1</v>
      </c>
      <c r="E223" s="53">
        <v>0</v>
      </c>
      <c r="F223" s="51" t="s">
        <v>2744</v>
      </c>
      <c r="G223" s="51" t="s">
        <v>2696</v>
      </c>
      <c r="H223" s="25" t="s">
        <v>2763</v>
      </c>
      <c r="I223" t="s">
        <v>385</v>
      </c>
      <c r="J223" t="s">
        <v>624</v>
      </c>
      <c r="K223" t="s">
        <v>2667</v>
      </c>
      <c r="L223" s="55">
        <v>46.877703593915989</v>
      </c>
      <c r="M223" s="55">
        <v>6.6101054016219045</v>
      </c>
      <c r="N223">
        <v>6</v>
      </c>
      <c r="O223">
        <v>25</v>
      </c>
      <c r="P223">
        <v>5</v>
      </c>
      <c r="Q223">
        <v>2018</v>
      </c>
      <c r="R223" s="9">
        <v>43245</v>
      </c>
      <c r="S223" t="s">
        <v>16</v>
      </c>
      <c r="T223">
        <v>0</v>
      </c>
      <c r="U223">
        <v>0</v>
      </c>
      <c r="V223">
        <v>1</v>
      </c>
      <c r="W223">
        <v>0</v>
      </c>
      <c r="X223" s="57">
        <f t="shared" si="22"/>
        <v>-40.753306175000006</v>
      </c>
      <c r="Y223">
        <v>-22.688428571428574</v>
      </c>
      <c r="Z223">
        <v>2.5328247165417843</v>
      </c>
      <c r="AA223" s="3">
        <f t="shared" si="25"/>
        <v>4</v>
      </c>
      <c r="AB223" s="3">
        <f t="shared" si="26"/>
        <v>3</v>
      </c>
      <c r="AD223" s="3" t="s">
        <v>2750</v>
      </c>
      <c r="AE223" s="4">
        <v>-25.817029000000005</v>
      </c>
      <c r="AF223" s="4">
        <f t="shared" si="23"/>
        <v>-28.092644940000003</v>
      </c>
      <c r="AG223" s="60" t="s">
        <v>16</v>
      </c>
      <c r="AH223" s="61" t="s">
        <v>16</v>
      </c>
      <c r="AI223" s="57">
        <f t="shared" ref="AI223:AI254" si="27">(-5.89) + 0.86*AE223</f>
        <v>-28.092644940000003</v>
      </c>
      <c r="AJ223" s="3">
        <f t="shared" si="24"/>
        <v>3</v>
      </c>
      <c r="AK223" s="3" t="s">
        <v>2710</v>
      </c>
      <c r="AM223" t="s">
        <v>980</v>
      </c>
    </row>
    <row r="224" spans="1:39" ht="15" hidden="1" thickTop="1" x14ac:dyDescent="0.3">
      <c r="A224" s="51" t="s">
        <v>1767</v>
      </c>
      <c r="B224" s="54" t="s">
        <v>1768</v>
      </c>
      <c r="C224" s="51" t="s">
        <v>2765</v>
      </c>
      <c r="D224" s="53">
        <v>1</v>
      </c>
      <c r="E224" s="53">
        <v>0</v>
      </c>
      <c r="F224" s="51" t="s">
        <v>2744</v>
      </c>
      <c r="G224" s="51" t="s">
        <v>2696</v>
      </c>
      <c r="H224" s="25" t="s">
        <v>2763</v>
      </c>
      <c r="I224" t="s">
        <v>13</v>
      </c>
      <c r="J224" t="s">
        <v>19</v>
      </c>
      <c r="K224" t="s">
        <v>1769</v>
      </c>
      <c r="L224" s="25">
        <v>46.926481199999998</v>
      </c>
      <c r="M224" s="25">
        <v>6.4909128300000001</v>
      </c>
      <c r="N224">
        <v>6</v>
      </c>
      <c r="O224">
        <v>31</v>
      </c>
      <c r="P224">
        <v>3</v>
      </c>
      <c r="Q224">
        <v>2017</v>
      </c>
      <c r="R224" s="9">
        <v>42825</v>
      </c>
      <c r="S224" t="s">
        <v>16</v>
      </c>
      <c r="T224">
        <v>0</v>
      </c>
      <c r="U224">
        <v>1</v>
      </c>
      <c r="V224">
        <v>0</v>
      </c>
      <c r="W224">
        <v>0</v>
      </c>
      <c r="X224" s="57">
        <f t="shared" si="22"/>
        <v>-40.431652200000002</v>
      </c>
      <c r="Y224" t="s">
        <v>16</v>
      </c>
      <c r="Z224">
        <v>-1.3365580610000001</v>
      </c>
      <c r="AA224" s="3">
        <f t="shared" si="25"/>
        <v>4</v>
      </c>
      <c r="AB224" s="3">
        <f t="shared" si="26"/>
        <v>-1</v>
      </c>
      <c r="AD224" s="3" t="s">
        <v>2750</v>
      </c>
      <c r="AE224" s="4">
        <v>-25.517816</v>
      </c>
      <c r="AF224" s="4">
        <f t="shared" si="23"/>
        <v>-27.835321759999999</v>
      </c>
      <c r="AG224" s="60" t="s">
        <v>16</v>
      </c>
      <c r="AH224" s="61" t="s">
        <v>16</v>
      </c>
      <c r="AI224" s="57">
        <f t="shared" si="27"/>
        <v>-27.835321759999999</v>
      </c>
      <c r="AJ224" s="3">
        <f t="shared" si="24"/>
        <v>3</v>
      </c>
      <c r="AK224" s="3" t="s">
        <v>2710</v>
      </c>
      <c r="AL224">
        <v>3</v>
      </c>
      <c r="AM224" t="s">
        <v>980</v>
      </c>
    </row>
    <row r="225" spans="1:39" ht="15" hidden="1" thickTop="1" x14ac:dyDescent="0.3">
      <c r="A225" s="51" t="s">
        <v>2659</v>
      </c>
      <c r="B225" s="54" t="s">
        <v>1721</v>
      </c>
      <c r="C225" s="51" t="s">
        <v>2765</v>
      </c>
      <c r="D225" s="53">
        <v>1</v>
      </c>
      <c r="E225" s="53">
        <v>0</v>
      </c>
      <c r="F225" s="51" t="s">
        <v>2744</v>
      </c>
      <c r="G225" s="51" t="s">
        <v>2696</v>
      </c>
      <c r="H225" s="25" t="s">
        <v>2763</v>
      </c>
      <c r="I225">
        <v>25</v>
      </c>
      <c r="J225" t="s">
        <v>2628</v>
      </c>
      <c r="K225" t="s">
        <v>2660</v>
      </c>
      <c r="L225" s="55">
        <v>47.087837999999998</v>
      </c>
      <c r="M225" s="55">
        <v>6.1111269999999998</v>
      </c>
      <c r="N225">
        <v>6</v>
      </c>
      <c r="O225">
        <v>27</v>
      </c>
      <c r="P225">
        <v>3</v>
      </c>
      <c r="Q225">
        <v>2018</v>
      </c>
      <c r="R225" s="9">
        <v>43186</v>
      </c>
      <c r="S225" t="s">
        <v>16</v>
      </c>
      <c r="T225">
        <v>0</v>
      </c>
      <c r="U225">
        <v>1</v>
      </c>
      <c r="V225">
        <v>0</v>
      </c>
      <c r="W225">
        <v>0</v>
      </c>
      <c r="X225" s="57">
        <f t="shared" si="22"/>
        <v>-40.407773225000007</v>
      </c>
      <c r="Y225">
        <v>-22.698666666666664</v>
      </c>
      <c r="Z225">
        <v>0.65172609636182832</v>
      </c>
      <c r="AA225" s="3">
        <f t="shared" si="25"/>
        <v>4</v>
      </c>
      <c r="AB225" s="3">
        <f t="shared" si="26"/>
        <v>1</v>
      </c>
      <c r="AD225" s="3" t="s">
        <v>2750</v>
      </c>
      <c r="AE225" s="4">
        <v>-25.495603000000003</v>
      </c>
      <c r="AF225" s="4">
        <f t="shared" si="23"/>
        <v>-27.816218580000001</v>
      </c>
      <c r="AG225" s="60" t="s">
        <v>16</v>
      </c>
      <c r="AH225" s="61" t="s">
        <v>16</v>
      </c>
      <c r="AI225" s="57">
        <f t="shared" si="27"/>
        <v>-27.816218580000001</v>
      </c>
      <c r="AJ225" s="3">
        <f t="shared" si="24"/>
        <v>3</v>
      </c>
      <c r="AK225" s="3" t="s">
        <v>2710</v>
      </c>
      <c r="AM225" t="s">
        <v>980</v>
      </c>
    </row>
    <row r="226" spans="1:39" ht="15" hidden="1" thickTop="1" x14ac:dyDescent="0.3">
      <c r="A226" s="51" t="s">
        <v>1780</v>
      </c>
      <c r="B226" s="54" t="s">
        <v>1781</v>
      </c>
      <c r="C226" s="51" t="s">
        <v>2765</v>
      </c>
      <c r="D226" s="53">
        <v>1</v>
      </c>
      <c r="E226" s="53">
        <v>0</v>
      </c>
      <c r="F226" s="51" t="s">
        <v>2744</v>
      </c>
      <c r="G226" s="51" t="s">
        <v>2696</v>
      </c>
      <c r="H226" s="25" t="s">
        <v>2763</v>
      </c>
      <c r="I226" t="s">
        <v>13</v>
      </c>
      <c r="J226" t="s">
        <v>19</v>
      </c>
      <c r="K226" t="s">
        <v>1729</v>
      </c>
      <c r="L226" s="25">
        <v>46.942803660000003</v>
      </c>
      <c r="M226" s="25">
        <v>6.4773454709999996</v>
      </c>
      <c r="N226">
        <v>6</v>
      </c>
      <c r="O226">
        <v>23</v>
      </c>
      <c r="P226">
        <v>4</v>
      </c>
      <c r="Q226">
        <v>2017</v>
      </c>
      <c r="R226" s="9">
        <v>42848</v>
      </c>
      <c r="S226" t="s">
        <v>16</v>
      </c>
      <c r="T226">
        <v>0</v>
      </c>
      <c r="U226">
        <v>0</v>
      </c>
      <c r="V226">
        <v>1</v>
      </c>
      <c r="W226">
        <v>0</v>
      </c>
      <c r="X226" s="57">
        <f t="shared" si="22"/>
        <v>-39.964426132500002</v>
      </c>
      <c r="Y226" t="s">
        <v>16</v>
      </c>
      <c r="Z226">
        <v>-0.79126873200000003</v>
      </c>
      <c r="AA226" s="3">
        <f t="shared" si="25"/>
        <v>4</v>
      </c>
      <c r="AB226" s="3">
        <f t="shared" si="26"/>
        <v>-1</v>
      </c>
      <c r="AD226" s="3" t="s">
        <v>2750</v>
      </c>
      <c r="AE226" s="4">
        <v>-25.0831871</v>
      </c>
      <c r="AF226" s="4">
        <f t="shared" si="23"/>
        <v>-27.461540906</v>
      </c>
      <c r="AG226" s="60" t="s">
        <v>16</v>
      </c>
      <c r="AH226" s="61" t="s">
        <v>16</v>
      </c>
      <c r="AI226" s="57">
        <f t="shared" si="27"/>
        <v>-27.461540906</v>
      </c>
      <c r="AJ226" s="3">
        <f t="shared" si="24"/>
        <v>3</v>
      </c>
      <c r="AK226" s="3" t="s">
        <v>2710</v>
      </c>
      <c r="AL226">
        <v>3</v>
      </c>
      <c r="AM226" t="s">
        <v>980</v>
      </c>
    </row>
    <row r="227" spans="1:39" ht="15" hidden="1" thickTop="1" x14ac:dyDescent="0.3">
      <c r="A227" s="51" t="s">
        <v>2640</v>
      </c>
      <c r="B227" s="54" t="s">
        <v>1027</v>
      </c>
      <c r="C227" s="51" t="s">
        <v>2765</v>
      </c>
      <c r="D227" s="53">
        <v>1</v>
      </c>
      <c r="E227" s="53">
        <v>0</v>
      </c>
      <c r="F227" s="51" t="s">
        <v>2744</v>
      </c>
      <c r="G227" s="51" t="s">
        <v>2696</v>
      </c>
      <c r="H227" s="25" t="s">
        <v>2763</v>
      </c>
      <c r="I227" t="s">
        <v>13</v>
      </c>
      <c r="J227" t="s">
        <v>19</v>
      </c>
      <c r="K227" t="s">
        <v>1729</v>
      </c>
      <c r="L227" s="55">
        <v>46.942742465392641</v>
      </c>
      <c r="M227" s="55">
        <v>6.4775567259562425</v>
      </c>
      <c r="N227">
        <v>6</v>
      </c>
      <c r="O227">
        <v>19</v>
      </c>
      <c r="P227">
        <v>6</v>
      </c>
      <c r="Q227">
        <v>2018</v>
      </c>
      <c r="R227" s="9">
        <v>43270</v>
      </c>
      <c r="S227" t="s">
        <v>16</v>
      </c>
      <c r="T227">
        <v>0</v>
      </c>
      <c r="U227">
        <v>0</v>
      </c>
      <c r="V227">
        <v>1</v>
      </c>
      <c r="W227">
        <v>0</v>
      </c>
      <c r="X227" s="57">
        <f t="shared" si="22"/>
        <v>-39.815431025000002</v>
      </c>
      <c r="Y227">
        <v>-22.819428571428574</v>
      </c>
      <c r="Z227">
        <v>4.303145512077255</v>
      </c>
      <c r="AA227" s="3">
        <f t="shared" si="25"/>
        <v>4</v>
      </c>
      <c r="AB227" s="3">
        <f t="shared" si="26"/>
        <v>4</v>
      </c>
      <c r="AD227" s="3" t="s">
        <v>2750</v>
      </c>
      <c r="AE227" s="4">
        <v>-24.944586999999999</v>
      </c>
      <c r="AF227" s="4">
        <f t="shared" si="23"/>
        <v>-27.342344819999997</v>
      </c>
      <c r="AG227" s="60" t="s">
        <v>16</v>
      </c>
      <c r="AH227" s="61" t="s">
        <v>16</v>
      </c>
      <c r="AI227" s="57">
        <f t="shared" si="27"/>
        <v>-27.342344819999997</v>
      </c>
      <c r="AJ227" s="3">
        <f t="shared" si="24"/>
        <v>3</v>
      </c>
      <c r="AK227" s="3" t="s">
        <v>2710</v>
      </c>
      <c r="AM227" t="s">
        <v>980</v>
      </c>
    </row>
    <row r="228" spans="1:39" ht="15" hidden="1" thickTop="1" x14ac:dyDescent="0.3">
      <c r="A228" s="51" t="s">
        <v>1802</v>
      </c>
      <c r="B228" s="54" t="s">
        <v>1803</v>
      </c>
      <c r="C228" s="51" t="s">
        <v>2765</v>
      </c>
      <c r="D228" s="53">
        <v>1</v>
      </c>
      <c r="E228" s="53">
        <v>0</v>
      </c>
      <c r="F228" s="51" t="s">
        <v>2744</v>
      </c>
      <c r="G228" s="51" t="s">
        <v>2696</v>
      </c>
      <c r="H228" s="25" t="s">
        <v>2763</v>
      </c>
      <c r="I228" t="s">
        <v>13</v>
      </c>
      <c r="J228" t="s">
        <v>1804</v>
      </c>
      <c r="K228" t="s">
        <v>1805</v>
      </c>
      <c r="L228" s="25">
        <v>46.955330250000003</v>
      </c>
      <c r="M228" s="25">
        <v>6.5072863869999997</v>
      </c>
      <c r="N228">
        <v>6</v>
      </c>
      <c r="O228">
        <v>30</v>
      </c>
      <c r="P228">
        <v>5</v>
      </c>
      <c r="Q228">
        <v>2017</v>
      </c>
      <c r="R228" s="9">
        <v>42885</v>
      </c>
      <c r="S228" t="s">
        <v>16</v>
      </c>
      <c r="T228">
        <v>0</v>
      </c>
      <c r="U228">
        <v>0</v>
      </c>
      <c r="V228">
        <v>1</v>
      </c>
      <c r="W228">
        <v>0</v>
      </c>
      <c r="X228" s="57">
        <f t="shared" si="22"/>
        <v>-39.613659975000004</v>
      </c>
      <c r="Y228" t="s">
        <v>16</v>
      </c>
      <c r="Z228">
        <v>-0.81615113100000003</v>
      </c>
      <c r="AA228" s="3">
        <f t="shared" si="25"/>
        <v>4</v>
      </c>
      <c r="AB228" s="3">
        <f t="shared" si="26"/>
        <v>-1</v>
      </c>
      <c r="AD228" s="3" t="s">
        <v>2750</v>
      </c>
      <c r="AE228" s="4">
        <v>-24.756893000000002</v>
      </c>
      <c r="AF228" s="4">
        <f t="shared" si="23"/>
        <v>-27.18092798</v>
      </c>
      <c r="AG228" s="60" t="s">
        <v>16</v>
      </c>
      <c r="AH228" s="61" t="s">
        <v>16</v>
      </c>
      <c r="AI228" s="57">
        <f t="shared" si="27"/>
        <v>-27.18092798</v>
      </c>
      <c r="AJ228" s="3">
        <f t="shared" si="24"/>
        <v>3</v>
      </c>
      <c r="AK228" s="3" t="s">
        <v>2710</v>
      </c>
      <c r="AL228">
        <v>2</v>
      </c>
      <c r="AM228" t="s">
        <v>980</v>
      </c>
    </row>
    <row r="229" spans="1:39" ht="15" hidden="1" thickTop="1" x14ac:dyDescent="0.3">
      <c r="A229" s="51" t="s">
        <v>1806</v>
      </c>
      <c r="B229" s="54" t="s">
        <v>1807</v>
      </c>
      <c r="C229" s="51" t="s">
        <v>2765</v>
      </c>
      <c r="D229" s="53">
        <v>1</v>
      </c>
      <c r="E229" s="53">
        <v>0</v>
      </c>
      <c r="F229" s="51" t="s">
        <v>2744</v>
      </c>
      <c r="G229" s="51" t="s">
        <v>2696</v>
      </c>
      <c r="H229" s="25" t="s">
        <v>2763</v>
      </c>
      <c r="I229" t="s">
        <v>385</v>
      </c>
      <c r="J229" t="s">
        <v>386</v>
      </c>
      <c r="K229" t="s">
        <v>1808</v>
      </c>
      <c r="L229" s="25">
        <v>46.850290680000001</v>
      </c>
      <c r="M229" s="25">
        <v>6.5521514730000003</v>
      </c>
      <c r="N229">
        <v>6</v>
      </c>
      <c r="O229">
        <v>2</v>
      </c>
      <c r="P229">
        <v>6</v>
      </c>
      <c r="Q229">
        <v>2017</v>
      </c>
      <c r="R229" s="9">
        <v>42888</v>
      </c>
      <c r="S229" t="s">
        <v>16</v>
      </c>
      <c r="T229">
        <v>0</v>
      </c>
      <c r="U229">
        <v>0</v>
      </c>
      <c r="V229">
        <v>1</v>
      </c>
      <c r="W229">
        <v>0</v>
      </c>
      <c r="X229" s="57">
        <f t="shared" si="22"/>
        <v>-39.594249990000002</v>
      </c>
      <c r="Y229" t="s">
        <v>16</v>
      </c>
      <c r="Z229">
        <v>-1.3236157209999999</v>
      </c>
      <c r="AA229" s="3">
        <f t="shared" si="25"/>
        <v>4</v>
      </c>
      <c r="AB229" s="3">
        <f t="shared" si="26"/>
        <v>-1</v>
      </c>
      <c r="AD229" s="3" t="s">
        <v>2750</v>
      </c>
      <c r="AE229" s="4">
        <v>-24.738837199999999</v>
      </c>
      <c r="AF229" s="4">
        <f t="shared" si="23"/>
        <v>-27.165399992000001</v>
      </c>
      <c r="AG229" s="60" t="s">
        <v>16</v>
      </c>
      <c r="AH229" s="61" t="s">
        <v>16</v>
      </c>
      <c r="AI229" s="57">
        <f t="shared" si="27"/>
        <v>-27.165399992000001</v>
      </c>
      <c r="AJ229" s="3">
        <f t="shared" si="24"/>
        <v>3</v>
      </c>
      <c r="AK229" s="3" t="s">
        <v>2710</v>
      </c>
      <c r="AL229">
        <v>2</v>
      </c>
      <c r="AM229" t="s">
        <v>980</v>
      </c>
    </row>
    <row r="230" spans="1:39" ht="15" hidden="1" thickTop="1" x14ac:dyDescent="0.3">
      <c r="A230" s="51" t="s">
        <v>1812</v>
      </c>
      <c r="B230" s="54" t="s">
        <v>1813</v>
      </c>
      <c r="C230" s="51" t="s">
        <v>2765</v>
      </c>
      <c r="D230" s="53">
        <v>1</v>
      </c>
      <c r="E230" s="53">
        <v>0</v>
      </c>
      <c r="F230" s="51" t="s">
        <v>2744</v>
      </c>
      <c r="G230" s="51" t="s">
        <v>2696</v>
      </c>
      <c r="H230" s="25" t="s">
        <v>2763</v>
      </c>
      <c r="I230" t="s">
        <v>13</v>
      </c>
      <c r="J230" t="s">
        <v>519</v>
      </c>
      <c r="K230" t="s">
        <v>1811</v>
      </c>
      <c r="L230" s="25">
        <v>47.022307980000001</v>
      </c>
      <c r="M230" s="25">
        <v>6.8330178940000001</v>
      </c>
      <c r="N230">
        <v>6</v>
      </c>
      <c r="O230">
        <v>15</v>
      </c>
      <c r="P230">
        <v>6</v>
      </c>
      <c r="Q230">
        <v>2017</v>
      </c>
      <c r="R230" s="9">
        <v>42901</v>
      </c>
      <c r="S230" t="s">
        <v>16</v>
      </c>
      <c r="T230">
        <v>0</v>
      </c>
      <c r="U230">
        <v>0</v>
      </c>
      <c r="V230">
        <v>1</v>
      </c>
      <c r="W230">
        <v>0</v>
      </c>
      <c r="X230" s="57">
        <f t="shared" si="22"/>
        <v>-37.934696272500005</v>
      </c>
      <c r="Y230" t="s">
        <v>16</v>
      </c>
      <c r="Z230">
        <v>-0.47035755200000001</v>
      </c>
      <c r="AA230" s="3">
        <f t="shared" si="25"/>
        <v>4</v>
      </c>
      <c r="AB230" s="3">
        <f t="shared" si="26"/>
        <v>0</v>
      </c>
      <c r="AD230" s="3" t="s">
        <v>2750</v>
      </c>
      <c r="AE230" s="4">
        <v>-23.195066300000001</v>
      </c>
      <c r="AF230" s="4">
        <f t="shared" si="23"/>
        <v>-25.837757018000001</v>
      </c>
      <c r="AG230" s="60" t="s">
        <v>16</v>
      </c>
      <c r="AH230" s="61" t="s">
        <v>16</v>
      </c>
      <c r="AI230" s="57">
        <f t="shared" si="27"/>
        <v>-25.837757018000001</v>
      </c>
      <c r="AJ230" s="3">
        <f t="shared" si="24"/>
        <v>3</v>
      </c>
      <c r="AK230" s="3" t="s">
        <v>2710</v>
      </c>
      <c r="AL230">
        <v>2</v>
      </c>
      <c r="AM230" t="s">
        <v>980</v>
      </c>
    </row>
    <row r="231" spans="1:39" ht="15" hidden="1" thickTop="1" x14ac:dyDescent="0.3">
      <c r="A231" s="51" t="s">
        <v>1774</v>
      </c>
      <c r="B231" s="54" t="s">
        <v>1775</v>
      </c>
      <c r="C231" s="51" t="s">
        <v>2765</v>
      </c>
      <c r="D231" s="53">
        <v>1</v>
      </c>
      <c r="E231" s="53">
        <v>0</v>
      </c>
      <c r="F231" s="51" t="s">
        <v>2744</v>
      </c>
      <c r="G231" s="51" t="s">
        <v>2696</v>
      </c>
      <c r="H231" s="25" t="s">
        <v>2763</v>
      </c>
      <c r="I231" t="s">
        <v>13</v>
      </c>
      <c r="J231" t="s">
        <v>19</v>
      </c>
      <c r="K231" t="s">
        <v>1776</v>
      </c>
      <c r="L231" s="25">
        <v>46.933698649999997</v>
      </c>
      <c r="M231" s="25">
        <v>6.4718611890000002</v>
      </c>
      <c r="N231">
        <v>6</v>
      </c>
      <c r="O231">
        <v>19</v>
      </c>
      <c r="P231">
        <v>4</v>
      </c>
      <c r="Q231">
        <v>2017</v>
      </c>
      <c r="R231" s="9">
        <v>42844</v>
      </c>
      <c r="S231" t="s">
        <v>16</v>
      </c>
      <c r="T231">
        <v>0</v>
      </c>
      <c r="U231">
        <v>0</v>
      </c>
      <c r="V231">
        <v>1</v>
      </c>
      <c r="W231">
        <v>0</v>
      </c>
      <c r="X231" s="57">
        <f t="shared" si="22"/>
        <v>-36.180865485000005</v>
      </c>
      <c r="Y231" t="s">
        <v>16</v>
      </c>
      <c r="Z231">
        <v>0.100789875</v>
      </c>
      <c r="AA231" s="3">
        <f t="shared" si="25"/>
        <v>4</v>
      </c>
      <c r="AB231" s="3">
        <f t="shared" si="26"/>
        <v>0</v>
      </c>
      <c r="AD231" s="3" t="s">
        <v>2750</v>
      </c>
      <c r="AE231" s="4">
        <v>-21.563595800000002</v>
      </c>
      <c r="AF231" s="4">
        <f t="shared" si="23"/>
        <v>-24.434692388000002</v>
      </c>
      <c r="AG231" s="60" t="s">
        <v>16</v>
      </c>
      <c r="AH231" s="61" t="s">
        <v>16</v>
      </c>
      <c r="AI231" s="57">
        <f t="shared" si="27"/>
        <v>-24.434692388000002</v>
      </c>
      <c r="AJ231" s="3">
        <f t="shared" si="24"/>
        <v>2</v>
      </c>
      <c r="AK231" s="3" t="s">
        <v>2710</v>
      </c>
      <c r="AL231">
        <v>2</v>
      </c>
      <c r="AM231" t="s">
        <v>980</v>
      </c>
    </row>
    <row r="232" spans="1:39" ht="15" hidden="1" thickTop="1" x14ac:dyDescent="0.3">
      <c r="A232" s="51" t="s">
        <v>1789</v>
      </c>
      <c r="B232" s="54" t="s">
        <v>1790</v>
      </c>
      <c r="C232" s="51" t="s">
        <v>2765</v>
      </c>
      <c r="D232" s="53">
        <v>1</v>
      </c>
      <c r="E232" s="53">
        <v>0</v>
      </c>
      <c r="F232" s="51" t="s">
        <v>2744</v>
      </c>
      <c r="G232" s="51" t="s">
        <v>2696</v>
      </c>
      <c r="H232" s="25" t="s">
        <v>2763</v>
      </c>
      <c r="I232" t="s">
        <v>13</v>
      </c>
      <c r="J232" t="s">
        <v>209</v>
      </c>
      <c r="K232" t="s">
        <v>1017</v>
      </c>
      <c r="L232" s="25">
        <v>46.93927051</v>
      </c>
      <c r="M232" s="25">
        <v>6.7455772190000003</v>
      </c>
      <c r="N232">
        <v>6</v>
      </c>
      <c r="O232">
        <v>4</v>
      </c>
      <c r="P232">
        <v>5</v>
      </c>
      <c r="Q232">
        <v>2017</v>
      </c>
      <c r="R232" s="9">
        <v>42859</v>
      </c>
      <c r="S232" t="s">
        <v>16</v>
      </c>
      <c r="T232">
        <v>0</v>
      </c>
      <c r="U232">
        <v>0</v>
      </c>
      <c r="V232">
        <v>1</v>
      </c>
      <c r="W232">
        <v>0</v>
      </c>
      <c r="X232" s="57">
        <f t="shared" si="22"/>
        <v>-35.716412272500001</v>
      </c>
      <c r="Y232" t="s">
        <v>16</v>
      </c>
      <c r="Z232">
        <v>-0.92334619100000004</v>
      </c>
      <c r="AA232" s="3">
        <f t="shared" si="25"/>
        <v>4</v>
      </c>
      <c r="AB232" s="3">
        <f t="shared" si="26"/>
        <v>-1</v>
      </c>
      <c r="AD232" s="3" t="s">
        <v>2750</v>
      </c>
      <c r="AE232" s="4">
        <v>-21.1315463</v>
      </c>
      <c r="AF232" s="4">
        <f t="shared" si="23"/>
        <v>-24.063129818</v>
      </c>
      <c r="AG232" s="60" t="s">
        <v>16</v>
      </c>
      <c r="AH232" s="61" t="s">
        <v>16</v>
      </c>
      <c r="AI232" s="57">
        <f t="shared" si="27"/>
        <v>-24.063129818</v>
      </c>
      <c r="AJ232" s="3">
        <f t="shared" si="24"/>
        <v>2</v>
      </c>
      <c r="AK232" s="3" t="s">
        <v>2710</v>
      </c>
      <c r="AL232">
        <v>2</v>
      </c>
      <c r="AM232" t="s">
        <v>980</v>
      </c>
    </row>
    <row r="233" spans="1:39" ht="15" hidden="1" thickTop="1" x14ac:dyDescent="0.3">
      <c r="A233" s="51" t="s">
        <v>1718</v>
      </c>
      <c r="B233" s="54" t="s">
        <v>1719</v>
      </c>
      <c r="C233" s="51" t="s">
        <v>2765</v>
      </c>
      <c r="D233" s="53">
        <v>1</v>
      </c>
      <c r="E233" s="53">
        <v>0</v>
      </c>
      <c r="F233" s="51" t="s">
        <v>2744</v>
      </c>
      <c r="G233" s="51" t="s">
        <v>2696</v>
      </c>
      <c r="H233" s="25" t="s">
        <v>2763</v>
      </c>
      <c r="I233" t="s">
        <v>13</v>
      </c>
      <c r="J233" t="s">
        <v>209</v>
      </c>
      <c r="K233" t="s">
        <v>1017</v>
      </c>
      <c r="L233" s="25">
        <v>46.939351389999999</v>
      </c>
      <c r="M233" s="25">
        <v>6.7455630429999998</v>
      </c>
      <c r="N233">
        <v>6</v>
      </c>
      <c r="O233">
        <v>5</v>
      </c>
      <c r="P233">
        <v>4</v>
      </c>
      <c r="Q233">
        <v>2017</v>
      </c>
      <c r="R233" s="9">
        <v>42830</v>
      </c>
      <c r="S233" t="s">
        <v>16</v>
      </c>
      <c r="T233">
        <v>0</v>
      </c>
      <c r="U233">
        <v>1</v>
      </c>
      <c r="V233">
        <v>0</v>
      </c>
      <c r="W233">
        <v>0</v>
      </c>
      <c r="X233" s="57">
        <f t="shared" si="22"/>
        <v>-34.894203252499999</v>
      </c>
      <c r="Y233" t="s">
        <v>16</v>
      </c>
      <c r="Z233">
        <v>-0.27530228699999998</v>
      </c>
      <c r="AA233" s="3">
        <f t="shared" si="25"/>
        <v>3</v>
      </c>
      <c r="AB233" s="3">
        <f t="shared" si="26"/>
        <v>0</v>
      </c>
      <c r="AD233" s="3" t="s">
        <v>2750</v>
      </c>
      <c r="AE233" s="4">
        <v>-20.366700699999999</v>
      </c>
      <c r="AF233" s="4">
        <f t="shared" si="23"/>
        <v>-23.405362602</v>
      </c>
      <c r="AG233" s="60" t="s">
        <v>16</v>
      </c>
      <c r="AH233" s="61" t="s">
        <v>16</v>
      </c>
      <c r="AI233" s="57">
        <f t="shared" si="27"/>
        <v>-23.405362602</v>
      </c>
      <c r="AJ233" s="3">
        <f t="shared" si="24"/>
        <v>2</v>
      </c>
      <c r="AK233" s="3" t="s">
        <v>2710</v>
      </c>
      <c r="AL233">
        <v>2</v>
      </c>
      <c r="AM233" t="s">
        <v>980</v>
      </c>
    </row>
    <row r="234" spans="1:39" ht="15" hidden="1" thickTop="1" x14ac:dyDescent="0.3">
      <c r="A234" s="51" t="s">
        <v>1734</v>
      </c>
      <c r="B234" s="54" t="s">
        <v>1735</v>
      </c>
      <c r="C234" s="51" t="s">
        <v>2765</v>
      </c>
      <c r="D234" s="53">
        <v>1</v>
      </c>
      <c r="E234" s="53">
        <v>0</v>
      </c>
      <c r="F234" s="51" t="s">
        <v>2744</v>
      </c>
      <c r="G234" s="51" t="s">
        <v>2696</v>
      </c>
      <c r="H234" s="25" t="s">
        <v>2763</v>
      </c>
      <c r="I234" t="s">
        <v>13</v>
      </c>
      <c r="J234" t="s">
        <v>209</v>
      </c>
      <c r="K234" t="s">
        <v>1017</v>
      </c>
      <c r="L234" s="25">
        <v>46.939306729999998</v>
      </c>
      <c r="M234" s="25">
        <v>6.7456161530000003</v>
      </c>
      <c r="N234">
        <v>6</v>
      </c>
      <c r="O234">
        <v>12</v>
      </c>
      <c r="P234">
        <v>4</v>
      </c>
      <c r="Q234">
        <v>2017</v>
      </c>
      <c r="R234" s="9">
        <v>42837</v>
      </c>
      <c r="S234" t="s">
        <v>16</v>
      </c>
      <c r="T234">
        <v>0</v>
      </c>
      <c r="U234">
        <v>0</v>
      </c>
      <c r="V234">
        <v>1</v>
      </c>
      <c r="W234">
        <v>0</v>
      </c>
      <c r="X234" s="57">
        <f t="shared" si="22"/>
        <v>-34.544881035000003</v>
      </c>
      <c r="Y234" t="s">
        <v>16</v>
      </c>
      <c r="Z234">
        <v>4.1568201020000002</v>
      </c>
      <c r="AA234" s="3">
        <f t="shared" si="25"/>
        <v>3</v>
      </c>
      <c r="AB234" s="3">
        <f t="shared" si="26"/>
        <v>4</v>
      </c>
      <c r="AD234" s="3" t="s">
        <v>2750</v>
      </c>
      <c r="AE234" s="4">
        <v>-20.041749800000002</v>
      </c>
      <c r="AF234" s="4">
        <f t="shared" si="23"/>
        <v>-23.125904828000003</v>
      </c>
      <c r="AG234" s="60" t="s">
        <v>16</v>
      </c>
      <c r="AH234" s="61" t="s">
        <v>16</v>
      </c>
      <c r="AI234" s="57">
        <f t="shared" si="27"/>
        <v>-23.125904828000003</v>
      </c>
      <c r="AJ234" s="3">
        <f t="shared" si="24"/>
        <v>2</v>
      </c>
      <c r="AK234" s="3" t="s">
        <v>2710</v>
      </c>
      <c r="AL234">
        <v>2</v>
      </c>
      <c r="AM234" t="s">
        <v>980</v>
      </c>
    </row>
    <row r="235" spans="1:39" ht="15" hidden="1" thickTop="1" x14ac:dyDescent="0.3">
      <c r="A235" s="51" t="s">
        <v>1782</v>
      </c>
      <c r="B235" s="54" t="s">
        <v>1783</v>
      </c>
      <c r="C235" s="51" t="s">
        <v>2765</v>
      </c>
      <c r="D235" s="53">
        <v>1</v>
      </c>
      <c r="E235" s="53">
        <v>0</v>
      </c>
      <c r="F235" s="51" t="s">
        <v>2744</v>
      </c>
      <c r="G235" s="51" t="s">
        <v>2696</v>
      </c>
      <c r="H235" s="25" t="s">
        <v>2763</v>
      </c>
      <c r="I235" t="s">
        <v>13</v>
      </c>
      <c r="J235" t="s">
        <v>1057</v>
      </c>
      <c r="K235" t="s">
        <v>1784</v>
      </c>
      <c r="L235" s="25">
        <v>46.865259389999999</v>
      </c>
      <c r="M235" s="25">
        <v>6.5314308609999996</v>
      </c>
      <c r="N235">
        <v>6</v>
      </c>
      <c r="O235">
        <v>30</v>
      </c>
      <c r="P235">
        <v>4</v>
      </c>
      <c r="Q235">
        <v>2017</v>
      </c>
      <c r="R235" s="9">
        <v>42855</v>
      </c>
      <c r="S235" t="s">
        <v>16</v>
      </c>
      <c r="T235">
        <v>0</v>
      </c>
      <c r="U235">
        <v>0</v>
      </c>
      <c r="V235">
        <v>1</v>
      </c>
      <c r="W235">
        <v>0</v>
      </c>
      <c r="X235" s="57">
        <f t="shared" si="22"/>
        <v>-33.670045282500006</v>
      </c>
      <c r="Y235" t="s">
        <v>16</v>
      </c>
      <c r="Z235">
        <v>1.0884486019999999</v>
      </c>
      <c r="AA235" s="3">
        <f t="shared" si="25"/>
        <v>3</v>
      </c>
      <c r="AB235" s="3">
        <f t="shared" si="26"/>
        <v>1</v>
      </c>
      <c r="AD235" s="3" t="s">
        <v>2750</v>
      </c>
      <c r="AE235" s="4">
        <v>-19.2279491</v>
      </c>
      <c r="AF235" s="4">
        <f t="shared" si="23"/>
        <v>-22.426036226000001</v>
      </c>
      <c r="AG235" s="60" t="s">
        <v>16</v>
      </c>
      <c r="AH235" s="61" t="s">
        <v>16</v>
      </c>
      <c r="AI235" s="57">
        <f t="shared" si="27"/>
        <v>-22.426036226000001</v>
      </c>
      <c r="AJ235" s="3">
        <f t="shared" si="24"/>
        <v>2</v>
      </c>
      <c r="AK235" s="3" t="s">
        <v>2710</v>
      </c>
      <c r="AL235">
        <v>2</v>
      </c>
      <c r="AM235" t="s">
        <v>980</v>
      </c>
    </row>
    <row r="236" spans="1:39" ht="15" hidden="1" thickTop="1" x14ac:dyDescent="0.3">
      <c r="A236" s="51" t="s">
        <v>2637</v>
      </c>
      <c r="B236" s="54" t="s">
        <v>2607</v>
      </c>
      <c r="C236" s="51" t="s">
        <v>2765</v>
      </c>
      <c r="D236" s="53">
        <v>1</v>
      </c>
      <c r="E236" s="53">
        <v>0</v>
      </c>
      <c r="F236" s="51" t="s">
        <v>2744</v>
      </c>
      <c r="G236" s="51" t="s">
        <v>2696</v>
      </c>
      <c r="H236" s="25" t="s">
        <v>2763</v>
      </c>
      <c r="I236" t="s">
        <v>385</v>
      </c>
      <c r="J236" t="s">
        <v>386</v>
      </c>
      <c r="K236" t="s">
        <v>1808</v>
      </c>
      <c r="L236" s="55">
        <v>46.850264710520349</v>
      </c>
      <c r="M236" s="55">
        <v>6.5522830237541845</v>
      </c>
      <c r="N236">
        <v>6</v>
      </c>
      <c r="O236">
        <v>1</v>
      </c>
      <c r="P236">
        <v>6</v>
      </c>
      <c r="Q236">
        <v>2018</v>
      </c>
      <c r="R236" s="9">
        <v>43252</v>
      </c>
      <c r="S236" t="s">
        <v>16</v>
      </c>
      <c r="T236">
        <v>0</v>
      </c>
      <c r="U236">
        <v>0</v>
      </c>
      <c r="V236">
        <v>1</v>
      </c>
      <c r="W236">
        <v>0</v>
      </c>
      <c r="X236" s="57">
        <f t="shared" si="22"/>
        <v>-33.202314287500002</v>
      </c>
      <c r="Y236">
        <v>-22.690428571428576</v>
      </c>
      <c r="Z236">
        <v>0.12422535017686376</v>
      </c>
      <c r="AA236" s="3">
        <f t="shared" si="25"/>
        <v>3</v>
      </c>
      <c r="AB236" s="3">
        <f t="shared" si="26"/>
        <v>0</v>
      </c>
      <c r="AD236" s="3" t="s">
        <v>2750</v>
      </c>
      <c r="AE236" s="4">
        <v>-18.7928505</v>
      </c>
      <c r="AF236" s="4">
        <f t="shared" si="23"/>
        <v>-22.051851429999999</v>
      </c>
      <c r="AG236" s="60" t="s">
        <v>16</v>
      </c>
      <c r="AH236" s="61" t="s">
        <v>16</v>
      </c>
      <c r="AI236" s="57">
        <f t="shared" si="27"/>
        <v>-22.051851429999999</v>
      </c>
      <c r="AJ236" s="3">
        <f t="shared" si="24"/>
        <v>2</v>
      </c>
      <c r="AK236" s="3" t="s">
        <v>2710</v>
      </c>
      <c r="AM236" t="s">
        <v>980</v>
      </c>
    </row>
    <row r="237" spans="1:39" ht="15" hidden="1" thickTop="1" x14ac:dyDescent="0.3">
      <c r="A237" s="51" t="s">
        <v>2650</v>
      </c>
      <c r="B237" s="54" t="s">
        <v>2620</v>
      </c>
      <c r="C237" s="51" t="s">
        <v>2765</v>
      </c>
      <c r="D237" s="53">
        <v>1</v>
      </c>
      <c r="E237" s="53">
        <v>0</v>
      </c>
      <c r="F237" s="51" t="s">
        <v>2744</v>
      </c>
      <c r="G237" s="51" t="s">
        <v>2696</v>
      </c>
      <c r="H237" s="25" t="s">
        <v>2763</v>
      </c>
      <c r="I237" t="s">
        <v>13</v>
      </c>
      <c r="J237" t="s">
        <v>1057</v>
      </c>
      <c r="K237" t="s">
        <v>2663</v>
      </c>
      <c r="L237" s="55">
        <v>46.890217</v>
      </c>
      <c r="M237" s="55">
        <v>6.621054</v>
      </c>
      <c r="N237">
        <v>6</v>
      </c>
      <c r="O237">
        <v>17</v>
      </c>
      <c r="P237">
        <v>4</v>
      </c>
      <c r="Q237">
        <v>2018</v>
      </c>
      <c r="R237" s="9">
        <v>43207</v>
      </c>
      <c r="S237" t="s">
        <v>16</v>
      </c>
      <c r="T237">
        <v>0</v>
      </c>
      <c r="U237">
        <v>0</v>
      </c>
      <c r="V237">
        <v>1</v>
      </c>
      <c r="W237">
        <v>0</v>
      </c>
      <c r="X237" s="57">
        <f t="shared" si="22"/>
        <v>-32.651106962499995</v>
      </c>
      <c r="Y237">
        <v>-23.109666666666662</v>
      </c>
      <c r="Z237">
        <v>2.0368459365255687</v>
      </c>
      <c r="AA237" s="3">
        <f t="shared" si="25"/>
        <v>3</v>
      </c>
      <c r="AB237" s="3">
        <f t="shared" si="26"/>
        <v>2</v>
      </c>
      <c r="AD237" s="3" t="s">
        <v>2750</v>
      </c>
      <c r="AE237" s="4">
        <v>-18.280099499999999</v>
      </c>
      <c r="AF237" s="4">
        <f t="shared" si="23"/>
        <v>-21.610885569999997</v>
      </c>
      <c r="AG237" s="60" t="s">
        <v>16</v>
      </c>
      <c r="AH237" s="61" t="s">
        <v>16</v>
      </c>
      <c r="AI237" s="57">
        <f t="shared" si="27"/>
        <v>-21.610885569999997</v>
      </c>
      <c r="AJ237" s="3">
        <f t="shared" si="24"/>
        <v>2</v>
      </c>
      <c r="AK237" s="3" t="s">
        <v>2710</v>
      </c>
      <c r="AM237" t="s">
        <v>980</v>
      </c>
    </row>
    <row r="238" spans="1:39" ht="15" hidden="1" thickTop="1" x14ac:dyDescent="0.3">
      <c r="A238" s="51" t="s">
        <v>1727</v>
      </c>
      <c r="B238" s="54" t="s">
        <v>1728</v>
      </c>
      <c r="C238" s="51" t="s">
        <v>2765</v>
      </c>
      <c r="D238" s="53">
        <v>1</v>
      </c>
      <c r="E238" s="53">
        <v>0</v>
      </c>
      <c r="F238" s="51" t="s">
        <v>2744</v>
      </c>
      <c r="G238" s="51" t="s">
        <v>2696</v>
      </c>
      <c r="H238" s="25" t="s">
        <v>2763</v>
      </c>
      <c r="I238" t="s">
        <v>13</v>
      </c>
      <c r="J238" t="s">
        <v>19</v>
      </c>
      <c r="K238" t="s">
        <v>1729</v>
      </c>
      <c r="L238" s="25">
        <v>46.942732919999997</v>
      </c>
      <c r="M238" s="25">
        <v>6.4774912220000003</v>
      </c>
      <c r="N238">
        <v>6</v>
      </c>
      <c r="O238">
        <v>25</v>
      </c>
      <c r="P238">
        <v>4</v>
      </c>
      <c r="Q238">
        <v>2017</v>
      </c>
      <c r="R238" s="9">
        <v>42850</v>
      </c>
      <c r="S238" t="s">
        <v>16</v>
      </c>
      <c r="T238">
        <v>0</v>
      </c>
      <c r="U238">
        <v>0</v>
      </c>
      <c r="V238">
        <v>1</v>
      </c>
      <c r="W238">
        <v>0</v>
      </c>
      <c r="X238" s="57">
        <f t="shared" si="22"/>
        <v>-32.598336824999997</v>
      </c>
      <c r="Y238" t="s">
        <v>16</v>
      </c>
      <c r="Z238">
        <v>-1.413145592</v>
      </c>
      <c r="AA238" s="3">
        <f t="shared" si="25"/>
        <v>3</v>
      </c>
      <c r="AB238" s="3">
        <f t="shared" si="26"/>
        <v>-1</v>
      </c>
      <c r="AD238" s="3" t="s">
        <v>2750</v>
      </c>
      <c r="AE238" s="4">
        <v>-18.231010999999999</v>
      </c>
      <c r="AF238" s="4">
        <f t="shared" si="23"/>
        <v>-21.568669459999999</v>
      </c>
      <c r="AG238" s="60" t="s">
        <v>16</v>
      </c>
      <c r="AH238" s="61" t="s">
        <v>16</v>
      </c>
      <c r="AI238" s="57">
        <f t="shared" si="27"/>
        <v>-21.568669459999999</v>
      </c>
      <c r="AJ238" s="3">
        <f t="shared" si="24"/>
        <v>2</v>
      </c>
      <c r="AK238" s="3" t="s">
        <v>2710</v>
      </c>
      <c r="AL238">
        <v>2</v>
      </c>
      <c r="AM238" t="s">
        <v>980</v>
      </c>
    </row>
    <row r="239" spans="1:39" ht="15" hidden="1" thickTop="1" x14ac:dyDescent="0.3">
      <c r="A239" s="51" t="s">
        <v>1799</v>
      </c>
      <c r="B239" s="54" t="s">
        <v>1800</v>
      </c>
      <c r="C239" s="51" t="s">
        <v>2765</v>
      </c>
      <c r="D239" s="53">
        <v>1</v>
      </c>
      <c r="E239" s="53">
        <v>0</v>
      </c>
      <c r="F239" s="51" t="s">
        <v>2744</v>
      </c>
      <c r="G239" s="51" t="s">
        <v>2696</v>
      </c>
      <c r="H239" s="25" t="s">
        <v>2763</v>
      </c>
      <c r="I239" t="s">
        <v>13</v>
      </c>
      <c r="J239" t="s">
        <v>19</v>
      </c>
      <c r="K239" t="s">
        <v>1801</v>
      </c>
      <c r="L239" s="25">
        <v>46.933701200000002</v>
      </c>
      <c r="M239" s="25">
        <v>6.4721631989999997</v>
      </c>
      <c r="N239">
        <v>6</v>
      </c>
      <c r="O239">
        <v>26</v>
      </c>
      <c r="P239">
        <v>5</v>
      </c>
      <c r="Q239">
        <v>2017</v>
      </c>
      <c r="R239" s="9">
        <v>42881</v>
      </c>
      <c r="S239" t="s">
        <v>16</v>
      </c>
      <c r="T239">
        <v>0</v>
      </c>
      <c r="U239">
        <v>0</v>
      </c>
      <c r="V239">
        <v>1</v>
      </c>
      <c r="W239">
        <v>0</v>
      </c>
      <c r="X239" s="57">
        <f t="shared" si="22"/>
        <v>-32.411169112499998</v>
      </c>
      <c r="Y239" t="s">
        <v>16</v>
      </c>
      <c r="Z239">
        <v>0.43389958299999998</v>
      </c>
      <c r="AA239" s="3">
        <f t="shared" si="25"/>
        <v>3</v>
      </c>
      <c r="AB239" s="3">
        <f t="shared" si="26"/>
        <v>0</v>
      </c>
      <c r="AD239" s="3" t="s">
        <v>2750</v>
      </c>
      <c r="AE239" s="4">
        <v>-18.056901499999999</v>
      </c>
      <c r="AF239" s="4">
        <f t="shared" si="23"/>
        <v>-21.418935289999997</v>
      </c>
      <c r="AG239" s="60" t="s">
        <v>16</v>
      </c>
      <c r="AH239" s="61" t="s">
        <v>16</v>
      </c>
      <c r="AI239" s="57">
        <f t="shared" si="27"/>
        <v>-21.418935289999997</v>
      </c>
      <c r="AJ239" s="3">
        <f t="shared" si="24"/>
        <v>2</v>
      </c>
      <c r="AK239" s="3" t="s">
        <v>2710</v>
      </c>
      <c r="AL239">
        <v>2</v>
      </c>
      <c r="AM239" t="s">
        <v>980</v>
      </c>
    </row>
    <row r="240" spans="1:39" ht="15" hidden="1" thickTop="1" x14ac:dyDescent="0.3">
      <c r="A240" s="51" t="s">
        <v>2643</v>
      </c>
      <c r="B240" s="54" t="s">
        <v>2612</v>
      </c>
      <c r="C240" s="51" t="s">
        <v>2765</v>
      </c>
      <c r="D240" s="53">
        <v>1</v>
      </c>
      <c r="E240" s="53">
        <v>0</v>
      </c>
      <c r="F240" s="51" t="s">
        <v>2744</v>
      </c>
      <c r="G240" s="51" t="s">
        <v>2696</v>
      </c>
      <c r="H240" s="25" t="s">
        <v>2763</v>
      </c>
      <c r="I240" t="s">
        <v>385</v>
      </c>
      <c r="J240" t="s">
        <v>2613</v>
      </c>
      <c r="K240" t="s">
        <v>2666</v>
      </c>
      <c r="L240" s="55">
        <v>46.847938914251465</v>
      </c>
      <c r="M240" s="55">
        <v>6.5042010291928687</v>
      </c>
      <c r="N240">
        <v>6</v>
      </c>
      <c r="O240">
        <v>22</v>
      </c>
      <c r="P240">
        <v>5</v>
      </c>
      <c r="Q240">
        <v>2018</v>
      </c>
      <c r="R240" s="9">
        <v>43242</v>
      </c>
      <c r="S240" t="s">
        <v>16</v>
      </c>
      <c r="T240">
        <v>0</v>
      </c>
      <c r="U240">
        <v>0</v>
      </c>
      <c r="V240">
        <v>1</v>
      </c>
      <c r="W240">
        <v>0</v>
      </c>
      <c r="X240" s="57">
        <f t="shared" si="22"/>
        <v>-32.077961037500003</v>
      </c>
      <c r="Y240">
        <v>-22.485428571428574</v>
      </c>
      <c r="Z240">
        <v>1.4755743795724348</v>
      </c>
      <c r="AA240" s="3">
        <f t="shared" si="25"/>
        <v>3</v>
      </c>
      <c r="AB240" s="3">
        <f t="shared" si="26"/>
        <v>1</v>
      </c>
      <c r="AD240" s="3" t="s">
        <v>2750</v>
      </c>
      <c r="AE240" s="4">
        <v>-17.746940500000001</v>
      </c>
      <c r="AF240" s="4">
        <f t="shared" si="23"/>
        <v>-21.15236883</v>
      </c>
      <c r="AG240" s="60" t="s">
        <v>16</v>
      </c>
      <c r="AH240" s="61" t="s">
        <v>16</v>
      </c>
      <c r="AI240" s="57">
        <f t="shared" si="27"/>
        <v>-21.15236883</v>
      </c>
      <c r="AJ240" s="3">
        <f t="shared" si="24"/>
        <v>2</v>
      </c>
      <c r="AK240" s="3" t="s">
        <v>2710</v>
      </c>
      <c r="AM240" t="s">
        <v>980</v>
      </c>
    </row>
    <row r="241" spans="1:39" ht="15" hidden="1" thickTop="1" x14ac:dyDescent="0.3">
      <c r="A241" s="51" t="s">
        <v>1794</v>
      </c>
      <c r="B241" s="54" t="s">
        <v>1795</v>
      </c>
      <c r="C241" s="51" t="s">
        <v>2765</v>
      </c>
      <c r="D241" s="53">
        <v>1</v>
      </c>
      <c r="E241" s="53">
        <v>0</v>
      </c>
      <c r="F241" s="51" t="s">
        <v>2744</v>
      </c>
      <c r="G241" s="51" t="s">
        <v>2696</v>
      </c>
      <c r="H241" s="25" t="s">
        <v>2763</v>
      </c>
      <c r="I241" t="s">
        <v>13</v>
      </c>
      <c r="J241" t="s">
        <v>1057</v>
      </c>
      <c r="K241" t="s">
        <v>1796</v>
      </c>
      <c r="L241" s="25">
        <v>46.945311820000001</v>
      </c>
      <c r="M241" s="25">
        <v>6.5449357700000004</v>
      </c>
      <c r="N241">
        <v>6</v>
      </c>
      <c r="O241">
        <v>20</v>
      </c>
      <c r="P241">
        <v>6</v>
      </c>
      <c r="Q241">
        <v>2017</v>
      </c>
      <c r="R241" s="9">
        <v>42906</v>
      </c>
      <c r="S241" t="s">
        <v>16</v>
      </c>
      <c r="T241">
        <v>0</v>
      </c>
      <c r="U241">
        <v>0</v>
      </c>
      <c r="V241">
        <v>1</v>
      </c>
      <c r="W241">
        <v>0</v>
      </c>
      <c r="X241" s="57">
        <f t="shared" si="22"/>
        <v>-30.630996202499997</v>
      </c>
      <c r="Y241" t="s">
        <v>16</v>
      </c>
      <c r="Z241">
        <v>9.886901E-3</v>
      </c>
      <c r="AA241" s="3">
        <f t="shared" si="25"/>
        <v>3</v>
      </c>
      <c r="AB241" s="3">
        <f t="shared" si="26"/>
        <v>0</v>
      </c>
      <c r="AD241" s="3" t="s">
        <v>2750</v>
      </c>
      <c r="AE241" s="4">
        <v>-16.400926699999999</v>
      </c>
      <c r="AF241" s="4">
        <f t="shared" si="23"/>
        <v>-19.994796961999999</v>
      </c>
      <c r="AG241" s="60" t="s">
        <v>16</v>
      </c>
      <c r="AH241" s="61" t="s">
        <v>16</v>
      </c>
      <c r="AI241" s="57">
        <f t="shared" si="27"/>
        <v>-19.994796961999999</v>
      </c>
      <c r="AJ241" s="3">
        <f t="shared" si="24"/>
        <v>2</v>
      </c>
      <c r="AK241" s="3" t="s">
        <v>2710</v>
      </c>
      <c r="AL241">
        <v>2</v>
      </c>
      <c r="AM241" t="s">
        <v>980</v>
      </c>
    </row>
    <row r="242" spans="1:39" ht="15" hidden="1" thickTop="1" x14ac:dyDescent="0.3">
      <c r="A242" s="51" t="s">
        <v>1012</v>
      </c>
      <c r="B242" s="54" t="s">
        <v>1013</v>
      </c>
      <c r="C242" s="51" t="s">
        <v>2765</v>
      </c>
      <c r="D242" s="53">
        <v>1</v>
      </c>
      <c r="E242" s="53">
        <v>0</v>
      </c>
      <c r="F242" s="51" t="s">
        <v>2744</v>
      </c>
      <c r="G242" s="51" t="s">
        <v>2696</v>
      </c>
      <c r="H242" s="25" t="s">
        <v>2763</v>
      </c>
      <c r="I242" t="s">
        <v>13</v>
      </c>
      <c r="J242" t="s">
        <v>21</v>
      </c>
      <c r="K242" t="s">
        <v>1014</v>
      </c>
      <c r="L242" s="25">
        <v>46.955402739999997</v>
      </c>
      <c r="M242" s="25">
        <v>6.5073508210000002</v>
      </c>
      <c r="N242">
        <v>6</v>
      </c>
      <c r="O242">
        <v>16</v>
      </c>
      <c r="P242">
        <v>6</v>
      </c>
      <c r="Q242">
        <v>2015</v>
      </c>
      <c r="R242" s="9">
        <v>42171</v>
      </c>
      <c r="S242">
        <v>292</v>
      </c>
      <c r="T242">
        <v>0</v>
      </c>
      <c r="U242">
        <v>0</v>
      </c>
      <c r="V242">
        <v>1</v>
      </c>
      <c r="W242">
        <v>0</v>
      </c>
      <c r="X242">
        <f t="shared" si="22"/>
        <v>-30.554749999999995</v>
      </c>
      <c r="Y242">
        <v>-22.479548390000001</v>
      </c>
      <c r="Z242">
        <v>2.2135804690000001</v>
      </c>
      <c r="AA242" s="3">
        <f t="shared" si="25"/>
        <v>3</v>
      </c>
      <c r="AB242" s="3">
        <f t="shared" si="26"/>
        <v>2</v>
      </c>
      <c r="AD242" s="3" t="s">
        <v>2750</v>
      </c>
      <c r="AE242" s="4">
        <v>-16.329999999999998</v>
      </c>
      <c r="AF242" s="4">
        <f t="shared" si="23"/>
        <v>-19.933799999999998</v>
      </c>
      <c r="AG242" s="1">
        <v>-37.799999999999997</v>
      </c>
      <c r="AH242" s="2">
        <v>-26.05</v>
      </c>
      <c r="AI242">
        <f t="shared" si="27"/>
        <v>-19.933799999999998</v>
      </c>
      <c r="AJ242" s="3">
        <f t="shared" si="24"/>
        <v>2</v>
      </c>
      <c r="AK242" s="3" t="s">
        <v>2710</v>
      </c>
      <c r="AL242">
        <v>2</v>
      </c>
      <c r="AM242" t="s">
        <v>980</v>
      </c>
    </row>
    <row r="243" spans="1:39" ht="15" hidden="1" thickTop="1" x14ac:dyDescent="0.3">
      <c r="A243" s="51" t="s">
        <v>2649</v>
      </c>
      <c r="B243" s="54" t="s">
        <v>2619</v>
      </c>
      <c r="C243" s="51" t="s">
        <v>2765</v>
      </c>
      <c r="D243" s="53">
        <v>1</v>
      </c>
      <c r="E243" s="53">
        <v>0</v>
      </c>
      <c r="F243" s="51" t="s">
        <v>2744</v>
      </c>
      <c r="G243" s="51" t="s">
        <v>2696</v>
      </c>
      <c r="H243" s="25" t="s">
        <v>2763</v>
      </c>
      <c r="I243" t="s">
        <v>13</v>
      </c>
      <c r="J243" t="s">
        <v>1057</v>
      </c>
      <c r="K243" t="s">
        <v>2663</v>
      </c>
      <c r="L243" s="55">
        <v>46.890217</v>
      </c>
      <c r="M243" s="55">
        <v>6.621054</v>
      </c>
      <c r="N243">
        <v>6</v>
      </c>
      <c r="O243">
        <v>18</v>
      </c>
      <c r="P243">
        <v>4</v>
      </c>
      <c r="Q243">
        <v>2018</v>
      </c>
      <c r="R243" s="9">
        <v>43208</v>
      </c>
      <c r="S243" t="s">
        <v>16</v>
      </c>
      <c r="T243">
        <v>0</v>
      </c>
      <c r="U243">
        <v>0</v>
      </c>
      <c r="V243">
        <v>1</v>
      </c>
      <c r="W243">
        <v>0</v>
      </c>
      <c r="X243" s="57">
        <f t="shared" si="22"/>
        <v>-30.551857174999999</v>
      </c>
      <c r="Y243">
        <v>-22.853428571428577</v>
      </c>
      <c r="Z243">
        <v>0.6062469160672852</v>
      </c>
      <c r="AA243" s="3">
        <f t="shared" si="25"/>
        <v>3</v>
      </c>
      <c r="AB243" s="3">
        <f t="shared" si="26"/>
        <v>1</v>
      </c>
      <c r="AD243" s="3" t="s">
        <v>2750</v>
      </c>
      <c r="AE243" s="4">
        <v>-16.327309</v>
      </c>
      <c r="AF243" s="4">
        <f t="shared" si="23"/>
        <v>-19.931485739999999</v>
      </c>
      <c r="AG243" s="60" t="s">
        <v>16</v>
      </c>
      <c r="AH243" s="61" t="s">
        <v>16</v>
      </c>
      <c r="AI243" s="57">
        <f t="shared" si="27"/>
        <v>-19.931485739999999</v>
      </c>
      <c r="AJ243" s="3">
        <f t="shared" si="24"/>
        <v>2</v>
      </c>
      <c r="AK243" s="3" t="s">
        <v>2710</v>
      </c>
      <c r="AM243" t="s">
        <v>980</v>
      </c>
    </row>
    <row r="244" spans="1:39" ht="15" hidden="1" thickTop="1" x14ac:dyDescent="0.3">
      <c r="A244" s="51" t="s">
        <v>1720</v>
      </c>
      <c r="B244" s="54" t="s">
        <v>1721</v>
      </c>
      <c r="C244" s="51" t="s">
        <v>2765</v>
      </c>
      <c r="D244" s="53">
        <v>1</v>
      </c>
      <c r="E244" s="53">
        <v>0</v>
      </c>
      <c r="F244" s="51" t="s">
        <v>2744</v>
      </c>
      <c r="G244" s="51" t="s">
        <v>2696</v>
      </c>
      <c r="H244" s="25" t="s">
        <v>2763</v>
      </c>
      <c r="I244" t="s">
        <v>13</v>
      </c>
      <c r="J244" t="s">
        <v>1057</v>
      </c>
      <c r="K244" t="s">
        <v>1722</v>
      </c>
      <c r="L244" s="25">
        <v>46.936150830000003</v>
      </c>
      <c r="M244" s="25">
        <v>6.5116900590000002</v>
      </c>
      <c r="N244">
        <v>6</v>
      </c>
      <c r="O244">
        <v>12</v>
      </c>
      <c r="P244">
        <v>5</v>
      </c>
      <c r="Q244">
        <v>2017</v>
      </c>
      <c r="R244" s="9">
        <v>42867</v>
      </c>
      <c r="S244" t="s">
        <v>16</v>
      </c>
      <c r="T244">
        <v>0</v>
      </c>
      <c r="U244">
        <v>0</v>
      </c>
      <c r="V244">
        <v>1</v>
      </c>
      <c r="W244">
        <v>0</v>
      </c>
      <c r="X244" s="57">
        <f t="shared" si="22"/>
        <v>-29.100380242500002</v>
      </c>
      <c r="Y244" t="s">
        <v>16</v>
      </c>
      <c r="Z244">
        <v>-0.76427224599999999</v>
      </c>
      <c r="AA244" s="3">
        <f t="shared" si="25"/>
        <v>3</v>
      </c>
      <c r="AB244" s="3">
        <f t="shared" si="26"/>
        <v>-1</v>
      </c>
      <c r="AD244" s="3" t="s">
        <v>2750</v>
      </c>
      <c r="AE244" s="4">
        <v>-14.9770979</v>
      </c>
      <c r="AF244" s="4">
        <f t="shared" si="23"/>
        <v>-18.770304194000001</v>
      </c>
      <c r="AG244" s="60" t="s">
        <v>16</v>
      </c>
      <c r="AH244" s="61" t="s">
        <v>16</v>
      </c>
      <c r="AI244" s="57">
        <f t="shared" si="27"/>
        <v>-18.770304194000001</v>
      </c>
      <c r="AJ244" s="3">
        <f t="shared" si="24"/>
        <v>2</v>
      </c>
      <c r="AK244" s="3" t="s">
        <v>2710</v>
      </c>
      <c r="AL244">
        <v>1</v>
      </c>
      <c r="AM244" t="s">
        <v>980</v>
      </c>
    </row>
    <row r="245" spans="1:39" ht="15" hidden="1" thickTop="1" x14ac:dyDescent="0.3">
      <c r="A245" s="51" t="s">
        <v>2647</v>
      </c>
      <c r="B245" s="54" t="s">
        <v>2617</v>
      </c>
      <c r="C245" s="51" t="s">
        <v>2765</v>
      </c>
      <c r="D245" s="53">
        <v>1</v>
      </c>
      <c r="E245" s="53">
        <v>0</v>
      </c>
      <c r="F245" s="51" t="s">
        <v>2744</v>
      </c>
      <c r="G245" s="51" t="s">
        <v>2696</v>
      </c>
      <c r="H245" s="25" t="s">
        <v>2763</v>
      </c>
      <c r="I245" t="s">
        <v>13</v>
      </c>
      <c r="J245" t="s">
        <v>19</v>
      </c>
      <c r="K245" t="s">
        <v>1729</v>
      </c>
      <c r="L245" s="55">
        <v>46.942126999999999</v>
      </c>
      <c r="M245" s="55">
        <v>6.4785760000000003</v>
      </c>
      <c r="N245">
        <v>6</v>
      </c>
      <c r="O245">
        <v>19</v>
      </c>
      <c r="P245">
        <v>4</v>
      </c>
      <c r="Q245">
        <v>2018</v>
      </c>
      <c r="R245" s="9">
        <v>43209</v>
      </c>
      <c r="S245" t="s">
        <v>16</v>
      </c>
      <c r="T245">
        <v>0</v>
      </c>
      <c r="U245">
        <v>0</v>
      </c>
      <c r="V245">
        <v>1</v>
      </c>
      <c r="W245">
        <v>0</v>
      </c>
      <c r="X245" s="57">
        <f t="shared" si="22"/>
        <v>-28.900977525000002</v>
      </c>
      <c r="Y245">
        <v>-23.296428571428574</v>
      </c>
      <c r="Z245">
        <v>4.3163520451468553</v>
      </c>
      <c r="AA245" s="3">
        <f t="shared" si="25"/>
        <v>3</v>
      </c>
      <c r="AB245" s="3">
        <f t="shared" si="26"/>
        <v>4</v>
      </c>
      <c r="AD245" s="3" t="s">
        <v>2750</v>
      </c>
      <c r="AE245" s="4">
        <v>-14.791607000000003</v>
      </c>
      <c r="AF245" s="4">
        <f t="shared" si="23"/>
        <v>-18.610782020000002</v>
      </c>
      <c r="AG245" s="60" t="s">
        <v>16</v>
      </c>
      <c r="AH245" s="61" t="s">
        <v>16</v>
      </c>
      <c r="AI245" s="57">
        <f t="shared" si="27"/>
        <v>-18.610782020000002</v>
      </c>
      <c r="AJ245" s="3">
        <f t="shared" si="24"/>
        <v>2</v>
      </c>
      <c r="AK245" s="3" t="s">
        <v>2710</v>
      </c>
      <c r="AM245" t="s">
        <v>980</v>
      </c>
    </row>
    <row r="246" spans="1:39" ht="15" hidden="1" thickTop="1" x14ac:dyDescent="0.3">
      <c r="A246" s="51" t="s">
        <v>1809</v>
      </c>
      <c r="B246" s="54" t="s">
        <v>1810</v>
      </c>
      <c r="C246" s="51" t="s">
        <v>2765</v>
      </c>
      <c r="D246" s="53">
        <v>1</v>
      </c>
      <c r="E246" s="53">
        <v>0</v>
      </c>
      <c r="F246" s="51" t="s">
        <v>2744</v>
      </c>
      <c r="G246" s="51" t="s">
        <v>2696</v>
      </c>
      <c r="H246" s="25" t="s">
        <v>2763</v>
      </c>
      <c r="I246" t="s">
        <v>13</v>
      </c>
      <c r="J246" t="s">
        <v>519</v>
      </c>
      <c r="K246" t="s">
        <v>1811</v>
      </c>
      <c r="L246" s="25">
        <v>47.022316969999999</v>
      </c>
      <c r="M246" s="25">
        <v>6.8330177919999997</v>
      </c>
      <c r="N246">
        <v>6</v>
      </c>
      <c r="O246">
        <v>15</v>
      </c>
      <c r="P246">
        <v>6</v>
      </c>
      <c r="Q246">
        <v>2017</v>
      </c>
      <c r="R246" s="9">
        <v>42901</v>
      </c>
      <c r="S246" t="s">
        <v>16</v>
      </c>
      <c r="T246">
        <v>0</v>
      </c>
      <c r="U246">
        <v>0</v>
      </c>
      <c r="V246">
        <v>1</v>
      </c>
      <c r="W246">
        <v>0</v>
      </c>
      <c r="X246" s="57">
        <f t="shared" si="22"/>
        <v>-28.282388017499997</v>
      </c>
      <c r="Y246" t="s">
        <v>16</v>
      </c>
      <c r="Z246">
        <v>-1.5456571690000001</v>
      </c>
      <c r="AA246" s="3">
        <f t="shared" si="25"/>
        <v>3</v>
      </c>
      <c r="AB246" s="3">
        <f t="shared" si="26"/>
        <v>-2</v>
      </c>
      <c r="AD246" s="3" t="s">
        <v>2750</v>
      </c>
      <c r="AE246" s="4">
        <v>-14.2161749</v>
      </c>
      <c r="AF246" s="4">
        <f t="shared" si="23"/>
        <v>-18.115910413999998</v>
      </c>
      <c r="AG246" s="60" t="s">
        <v>16</v>
      </c>
      <c r="AH246" s="61" t="s">
        <v>16</v>
      </c>
      <c r="AI246" s="57">
        <f t="shared" si="27"/>
        <v>-18.115910413999998</v>
      </c>
      <c r="AJ246" s="3">
        <f t="shared" si="24"/>
        <v>2</v>
      </c>
      <c r="AK246" s="3" t="s">
        <v>2710</v>
      </c>
      <c r="AL246">
        <v>1</v>
      </c>
      <c r="AM246" t="s">
        <v>980</v>
      </c>
    </row>
    <row r="247" spans="1:39" ht="15" hidden="1" thickTop="1" x14ac:dyDescent="0.3">
      <c r="A247" s="51" t="s">
        <v>1787</v>
      </c>
      <c r="B247" s="54" t="s">
        <v>1788</v>
      </c>
      <c r="C247" s="51" t="s">
        <v>2765</v>
      </c>
      <c r="D247" s="53">
        <v>1</v>
      </c>
      <c r="E247" s="53">
        <v>0</v>
      </c>
      <c r="F247" s="51" t="s">
        <v>2744</v>
      </c>
      <c r="G247" s="51" t="s">
        <v>2696</v>
      </c>
      <c r="H247" s="25" t="s">
        <v>2763</v>
      </c>
      <c r="I247" t="s">
        <v>13</v>
      </c>
      <c r="J247" t="s">
        <v>209</v>
      </c>
      <c r="K247" t="s">
        <v>1017</v>
      </c>
      <c r="L247" s="25">
        <v>46.939190029999999</v>
      </c>
      <c r="M247" s="25">
        <v>6.745657059</v>
      </c>
      <c r="N247">
        <v>6</v>
      </c>
      <c r="O247">
        <v>4</v>
      </c>
      <c r="P247">
        <v>5</v>
      </c>
      <c r="Q247">
        <v>2017</v>
      </c>
      <c r="R247" s="9">
        <v>42859</v>
      </c>
      <c r="S247" t="s">
        <v>16</v>
      </c>
      <c r="T247">
        <v>0</v>
      </c>
      <c r="U247">
        <v>0</v>
      </c>
      <c r="V247">
        <v>1</v>
      </c>
      <c r="W247">
        <v>0</v>
      </c>
      <c r="X247" s="57">
        <f t="shared" si="22"/>
        <v>-27.939940425</v>
      </c>
      <c r="Y247" t="s">
        <v>16</v>
      </c>
      <c r="Z247">
        <v>1.1488561859999999</v>
      </c>
      <c r="AA247" s="3">
        <f t="shared" si="25"/>
        <v>3</v>
      </c>
      <c r="AB247" s="3">
        <f t="shared" si="26"/>
        <v>1</v>
      </c>
      <c r="AD247" s="3" t="s">
        <v>2750</v>
      </c>
      <c r="AE247" s="4">
        <v>-13.897619000000001</v>
      </c>
      <c r="AF247" s="4">
        <f t="shared" si="23"/>
        <v>-17.841952339999999</v>
      </c>
      <c r="AG247" s="60" t="s">
        <v>16</v>
      </c>
      <c r="AH247" s="61" t="s">
        <v>16</v>
      </c>
      <c r="AI247" s="57">
        <f t="shared" si="27"/>
        <v>-17.841952339999999</v>
      </c>
      <c r="AJ247" s="3">
        <f t="shared" si="24"/>
        <v>2</v>
      </c>
      <c r="AK247" s="3" t="s">
        <v>2710</v>
      </c>
      <c r="AL247">
        <v>1</v>
      </c>
      <c r="AM247" t="s">
        <v>980</v>
      </c>
    </row>
    <row r="248" spans="1:39" ht="15" hidden="1" thickTop="1" x14ac:dyDescent="0.3">
      <c r="A248" s="51" t="s">
        <v>2629</v>
      </c>
      <c r="B248" s="54" t="s">
        <v>2599</v>
      </c>
      <c r="C248" s="51" t="s">
        <v>2765</v>
      </c>
      <c r="D248" s="53">
        <v>1</v>
      </c>
      <c r="E248" s="53">
        <v>0</v>
      </c>
      <c r="F248" s="51" t="s">
        <v>2744</v>
      </c>
      <c r="G248" s="51" t="s">
        <v>2696</v>
      </c>
      <c r="H248" s="25" t="s">
        <v>2763</v>
      </c>
      <c r="I248" t="s">
        <v>13</v>
      </c>
      <c r="J248" t="s">
        <v>1732</v>
      </c>
      <c r="K248" t="s">
        <v>1733</v>
      </c>
      <c r="L248" s="55">
        <v>46.989812685846466</v>
      </c>
      <c r="M248" s="55">
        <v>6.6755528609543209</v>
      </c>
      <c r="N248">
        <v>6</v>
      </c>
      <c r="O248">
        <v>8</v>
      </c>
      <c r="P248">
        <v>7</v>
      </c>
      <c r="Q248">
        <v>2018</v>
      </c>
      <c r="R248" s="9">
        <v>43289</v>
      </c>
      <c r="S248" t="s">
        <v>16</v>
      </c>
      <c r="T248">
        <v>0</v>
      </c>
      <c r="U248">
        <v>0</v>
      </c>
      <c r="V248">
        <v>1</v>
      </c>
      <c r="W248">
        <v>0</v>
      </c>
      <c r="X248" s="57">
        <f t="shared" si="22"/>
        <v>-27.682014062499999</v>
      </c>
      <c r="Y248">
        <v>-22.815428571428576</v>
      </c>
      <c r="Z248">
        <v>1.3894092580109372</v>
      </c>
      <c r="AA248" s="3">
        <f t="shared" si="25"/>
        <v>3</v>
      </c>
      <c r="AB248" s="3">
        <f t="shared" si="26"/>
        <v>1</v>
      </c>
      <c r="AD248" s="3" t="s">
        <v>2750</v>
      </c>
      <c r="AE248" s="4">
        <v>-13.657687500000002</v>
      </c>
      <c r="AF248" s="4">
        <f t="shared" si="23"/>
        <v>-17.63561125</v>
      </c>
      <c r="AG248" s="60" t="s">
        <v>16</v>
      </c>
      <c r="AH248" s="61" t="s">
        <v>16</v>
      </c>
      <c r="AI248" s="57">
        <f t="shared" si="27"/>
        <v>-17.63561125</v>
      </c>
      <c r="AJ248" s="3">
        <f>-ROUNDDOWN(AF248/10,0)</f>
        <v>1</v>
      </c>
      <c r="AK248" s="3" t="s">
        <v>2710</v>
      </c>
      <c r="AM248" t="s">
        <v>980</v>
      </c>
    </row>
    <row r="249" spans="1:39" ht="15" hidden="1" thickTop="1" x14ac:dyDescent="0.3">
      <c r="A249" s="51" t="s">
        <v>1770</v>
      </c>
      <c r="B249" s="54" t="s">
        <v>1771</v>
      </c>
      <c r="C249" s="51" t="s">
        <v>2765</v>
      </c>
      <c r="D249" s="53">
        <v>1</v>
      </c>
      <c r="E249" s="53">
        <v>0</v>
      </c>
      <c r="F249" s="51" t="s">
        <v>2744</v>
      </c>
      <c r="G249" s="51" t="s">
        <v>2696</v>
      </c>
      <c r="H249" s="25" t="s">
        <v>2763</v>
      </c>
      <c r="I249" t="s">
        <v>13</v>
      </c>
      <c r="J249" t="s">
        <v>209</v>
      </c>
      <c r="K249" t="s">
        <v>1017</v>
      </c>
      <c r="L249" s="25">
        <v>46.939306729999998</v>
      </c>
      <c r="M249" s="25">
        <v>6.7456161530000003</v>
      </c>
      <c r="N249">
        <v>6</v>
      </c>
      <c r="O249">
        <v>12</v>
      </c>
      <c r="P249">
        <v>4</v>
      </c>
      <c r="Q249">
        <v>2017</v>
      </c>
      <c r="R249" s="9">
        <v>42837</v>
      </c>
      <c r="S249" t="s">
        <v>16</v>
      </c>
      <c r="T249">
        <v>0</v>
      </c>
      <c r="U249">
        <v>0</v>
      </c>
      <c r="V249">
        <v>1</v>
      </c>
      <c r="W249">
        <v>0</v>
      </c>
      <c r="X249" s="57">
        <f t="shared" si="22"/>
        <v>-26.927848349999994</v>
      </c>
      <c r="Y249" t="s">
        <v>16</v>
      </c>
      <c r="Z249">
        <v>3.5803873999999999E-2</v>
      </c>
      <c r="AA249" s="3">
        <f t="shared" si="25"/>
        <v>3</v>
      </c>
      <c r="AB249" s="3">
        <f t="shared" si="26"/>
        <v>0</v>
      </c>
      <c r="AD249" s="3" t="s">
        <v>2750</v>
      </c>
      <c r="AE249" s="4">
        <v>-12.956137999999999</v>
      </c>
      <c r="AF249" s="4">
        <f t="shared" si="23"/>
        <v>-17.032278679999997</v>
      </c>
      <c r="AG249" s="60" t="s">
        <v>16</v>
      </c>
      <c r="AH249" s="61" t="s">
        <v>16</v>
      </c>
      <c r="AI249" s="57">
        <f t="shared" si="27"/>
        <v>-17.032278679999997</v>
      </c>
      <c r="AJ249" s="3">
        <f t="shared" ref="AJ249:AJ277" si="28">-ROUND(AF249/10,0)</f>
        <v>2</v>
      </c>
      <c r="AK249" s="3" t="s">
        <v>2710</v>
      </c>
      <c r="AL249">
        <v>1</v>
      </c>
      <c r="AM249" t="s">
        <v>980</v>
      </c>
    </row>
    <row r="250" spans="1:39" ht="15" hidden="1" thickTop="1" x14ac:dyDescent="0.3">
      <c r="A250" s="51" t="s">
        <v>2655</v>
      </c>
      <c r="B250" s="54" t="s">
        <v>2625</v>
      </c>
      <c r="C250" s="51" t="s">
        <v>2765</v>
      </c>
      <c r="D250" s="53">
        <v>1</v>
      </c>
      <c r="E250" s="53">
        <v>0</v>
      </c>
      <c r="F250" s="51" t="s">
        <v>2744</v>
      </c>
      <c r="G250" s="51" t="s">
        <v>2696</v>
      </c>
      <c r="H250" s="25" t="s">
        <v>2763</v>
      </c>
      <c r="I250" t="s">
        <v>13</v>
      </c>
      <c r="J250" t="s">
        <v>1732</v>
      </c>
      <c r="K250" t="s">
        <v>1733</v>
      </c>
      <c r="L250" s="55">
        <v>46.989804128380513</v>
      </c>
      <c r="M250" s="55">
        <v>6.6756187134169203</v>
      </c>
      <c r="N250">
        <v>6</v>
      </c>
      <c r="O250">
        <v>5</v>
      </c>
      <c r="P250">
        <v>4</v>
      </c>
      <c r="Q250">
        <v>2018</v>
      </c>
      <c r="R250" s="9">
        <v>43195</v>
      </c>
      <c r="S250" t="s">
        <v>16</v>
      </c>
      <c r="T250">
        <v>0</v>
      </c>
      <c r="U250">
        <v>0</v>
      </c>
      <c r="V250">
        <v>1</v>
      </c>
      <c r="W250">
        <v>0</v>
      </c>
      <c r="X250" s="57">
        <f t="shared" si="22"/>
        <v>-25.732220987500003</v>
      </c>
      <c r="Y250">
        <v>-22.527666666666661</v>
      </c>
      <c r="Z250">
        <v>1.5919531131477958</v>
      </c>
      <c r="AA250" s="3">
        <f t="shared" si="25"/>
        <v>3</v>
      </c>
      <c r="AB250" s="3">
        <f t="shared" si="26"/>
        <v>2</v>
      </c>
      <c r="AD250" s="3" t="s">
        <v>2750</v>
      </c>
      <c r="AE250" s="4">
        <v>-11.843926500000002</v>
      </c>
      <c r="AF250" s="4">
        <f t="shared" si="23"/>
        <v>-16.075776790000003</v>
      </c>
      <c r="AG250" s="60" t="s">
        <v>16</v>
      </c>
      <c r="AH250" s="61" t="s">
        <v>16</v>
      </c>
      <c r="AI250" s="57">
        <f t="shared" si="27"/>
        <v>-16.075776790000003</v>
      </c>
      <c r="AJ250" s="3">
        <f t="shared" si="28"/>
        <v>2</v>
      </c>
      <c r="AK250" s="3" t="s">
        <v>2710</v>
      </c>
      <c r="AM250" t="s">
        <v>980</v>
      </c>
    </row>
    <row r="251" spans="1:39" ht="15" hidden="1" thickTop="1" x14ac:dyDescent="0.3">
      <c r="A251" s="51" t="s">
        <v>2642</v>
      </c>
      <c r="B251" s="54" t="s">
        <v>2611</v>
      </c>
      <c r="C251" s="51" t="s">
        <v>2765</v>
      </c>
      <c r="D251" s="53">
        <v>1</v>
      </c>
      <c r="E251" s="53">
        <v>0</v>
      </c>
      <c r="F251" s="51" t="s">
        <v>2744</v>
      </c>
      <c r="G251" s="51" t="s">
        <v>2696</v>
      </c>
      <c r="H251" s="25" t="s">
        <v>2763</v>
      </c>
      <c r="I251" t="s">
        <v>13</v>
      </c>
      <c r="J251" t="s">
        <v>19</v>
      </c>
      <c r="K251" t="s">
        <v>1776</v>
      </c>
      <c r="L251" s="55">
        <v>46.935590934410612</v>
      </c>
      <c r="M251" s="55">
        <v>6.4754388086457313</v>
      </c>
      <c r="N251">
        <v>6</v>
      </c>
      <c r="O251">
        <v>24</v>
      </c>
      <c r="P251">
        <v>5</v>
      </c>
      <c r="Q251">
        <v>2018</v>
      </c>
      <c r="R251" s="9">
        <v>43244</v>
      </c>
      <c r="S251" t="s">
        <v>16</v>
      </c>
      <c r="T251">
        <v>0</v>
      </c>
      <c r="U251">
        <v>0</v>
      </c>
      <c r="V251">
        <v>1</v>
      </c>
      <c r="W251">
        <v>0</v>
      </c>
      <c r="X251" s="57">
        <f t="shared" si="22"/>
        <v>-25.078176474999996</v>
      </c>
      <c r="Y251">
        <v>-22.243428571428574</v>
      </c>
      <c r="Z251">
        <v>2.7406756114669628</v>
      </c>
      <c r="AA251" s="3">
        <f t="shared" si="25"/>
        <v>3</v>
      </c>
      <c r="AB251" s="3">
        <f t="shared" si="26"/>
        <v>3</v>
      </c>
      <c r="AD251" s="3" t="s">
        <v>2750</v>
      </c>
      <c r="AE251" s="4">
        <v>-11.235513000000001</v>
      </c>
      <c r="AF251" s="4">
        <f t="shared" si="23"/>
        <v>-15.552541179999999</v>
      </c>
      <c r="AG251" s="60" t="s">
        <v>16</v>
      </c>
      <c r="AH251" s="61" t="s">
        <v>16</v>
      </c>
      <c r="AI251" s="57">
        <f t="shared" si="27"/>
        <v>-15.552541179999999</v>
      </c>
      <c r="AJ251" s="3">
        <f t="shared" si="28"/>
        <v>2</v>
      </c>
      <c r="AK251" s="3" t="s">
        <v>2710</v>
      </c>
      <c r="AM251" t="s">
        <v>980</v>
      </c>
    </row>
    <row r="252" spans="1:39" ht="15" hidden="1" thickTop="1" x14ac:dyDescent="0.3">
      <c r="A252" s="51" t="s">
        <v>2434</v>
      </c>
      <c r="B252" s="54" t="s">
        <v>2435</v>
      </c>
      <c r="C252" s="51" t="s">
        <v>2765</v>
      </c>
      <c r="D252" s="53">
        <v>1</v>
      </c>
      <c r="E252" s="53">
        <v>0</v>
      </c>
      <c r="F252" s="51" t="s">
        <v>2744</v>
      </c>
      <c r="G252" s="51" t="s">
        <v>2696</v>
      </c>
      <c r="H252" s="25" t="s">
        <v>2763</v>
      </c>
      <c r="I252" t="s">
        <v>13</v>
      </c>
      <c r="J252" t="s">
        <v>19</v>
      </c>
      <c r="K252" t="s">
        <v>1729</v>
      </c>
      <c r="L252" s="25">
        <v>46.942732919999997</v>
      </c>
      <c r="M252" s="25">
        <v>6.4774912220000003</v>
      </c>
      <c r="N252">
        <v>6</v>
      </c>
      <c r="O252">
        <v>25</v>
      </c>
      <c r="P252">
        <v>4</v>
      </c>
      <c r="Q252">
        <v>2017</v>
      </c>
      <c r="R252" s="9">
        <v>42850</v>
      </c>
      <c r="S252" t="s">
        <v>16</v>
      </c>
      <c r="T252">
        <v>0</v>
      </c>
      <c r="U252">
        <v>0</v>
      </c>
      <c r="V252">
        <v>1</v>
      </c>
      <c r="W252">
        <v>0</v>
      </c>
      <c r="X252" s="57">
        <f t="shared" si="22"/>
        <v>-24.049157664999999</v>
      </c>
      <c r="Y252" t="s">
        <v>16</v>
      </c>
      <c r="Z252">
        <v>-1.1691658789999999</v>
      </c>
      <c r="AA252" s="3">
        <f t="shared" si="25"/>
        <v>2</v>
      </c>
      <c r="AB252" s="3">
        <f t="shared" si="26"/>
        <v>-1</v>
      </c>
      <c r="AD252" s="3" t="s">
        <v>2750</v>
      </c>
      <c r="AE252" s="4">
        <v>-10.2782862</v>
      </c>
      <c r="AF252" s="4">
        <f t="shared" si="23"/>
        <v>-14.729326132000001</v>
      </c>
      <c r="AG252" s="60" t="s">
        <v>16</v>
      </c>
      <c r="AH252" s="61" t="s">
        <v>16</v>
      </c>
      <c r="AI252" s="57">
        <f t="shared" si="27"/>
        <v>-14.729326132000001</v>
      </c>
      <c r="AJ252" s="3">
        <f t="shared" si="28"/>
        <v>1</v>
      </c>
      <c r="AK252" s="3" t="s">
        <v>2710</v>
      </c>
      <c r="AL252">
        <v>1</v>
      </c>
      <c r="AM252" t="s">
        <v>980</v>
      </c>
    </row>
    <row r="253" spans="1:39" ht="15" hidden="1" thickTop="1" x14ac:dyDescent="0.3">
      <c r="A253" s="51" t="s">
        <v>2328</v>
      </c>
      <c r="B253" s="54" t="s">
        <v>2329</v>
      </c>
      <c r="C253" s="51" t="s">
        <v>2765</v>
      </c>
      <c r="D253" s="53">
        <v>1</v>
      </c>
      <c r="E253" s="53">
        <v>0</v>
      </c>
      <c r="F253" s="51" t="s">
        <v>2744</v>
      </c>
      <c r="G253" s="51" t="s">
        <v>2695</v>
      </c>
      <c r="H253" s="25" t="s">
        <v>2762</v>
      </c>
      <c r="I253" t="s">
        <v>385</v>
      </c>
      <c r="J253" t="s">
        <v>386</v>
      </c>
      <c r="K253" t="s">
        <v>1832</v>
      </c>
      <c r="L253" s="25">
        <v>46.851751010000001</v>
      </c>
      <c r="M253" s="25">
        <v>6.54099903</v>
      </c>
      <c r="N253">
        <v>6</v>
      </c>
      <c r="O253">
        <v>25</v>
      </c>
      <c r="P253">
        <v>10</v>
      </c>
      <c r="Q253">
        <v>2017</v>
      </c>
      <c r="R253" s="9">
        <v>43033</v>
      </c>
      <c r="S253" t="s">
        <v>16</v>
      </c>
      <c r="T253">
        <v>0</v>
      </c>
      <c r="U253">
        <v>0</v>
      </c>
      <c r="V253">
        <v>0</v>
      </c>
      <c r="W253">
        <v>1</v>
      </c>
      <c r="X253" s="57">
        <f t="shared" si="22"/>
        <v>-99.546353914999997</v>
      </c>
      <c r="Y253" t="s">
        <v>16</v>
      </c>
      <c r="Z253">
        <v>6.4512236940000003</v>
      </c>
      <c r="AA253" s="3">
        <f t="shared" si="25"/>
        <v>10</v>
      </c>
      <c r="AB253" s="3">
        <f t="shared" si="26"/>
        <v>6</v>
      </c>
      <c r="AD253" s="3" t="s">
        <v>2750</v>
      </c>
      <c r="AE253" s="4">
        <v>-80.508236199999999</v>
      </c>
      <c r="AF253" s="4">
        <f t="shared" si="23"/>
        <v>-75.127083131999996</v>
      </c>
      <c r="AG253" s="60" t="s">
        <v>16</v>
      </c>
      <c r="AH253" s="61" t="s">
        <v>16</v>
      </c>
      <c r="AI253" s="57">
        <f t="shared" si="27"/>
        <v>-75.127083131999996</v>
      </c>
      <c r="AJ253" s="3">
        <f t="shared" si="28"/>
        <v>8</v>
      </c>
      <c r="AK253" s="3" t="s">
        <v>2709</v>
      </c>
      <c r="AL253">
        <v>8</v>
      </c>
      <c r="AM253" t="s">
        <v>980</v>
      </c>
    </row>
    <row r="254" spans="1:39" ht="15" hidden="1" thickTop="1" x14ac:dyDescent="0.3">
      <c r="A254" s="51" t="s">
        <v>2295</v>
      </c>
      <c r="B254" s="54" t="s">
        <v>2296</v>
      </c>
      <c r="C254" s="51" t="s">
        <v>2765</v>
      </c>
      <c r="D254" s="53">
        <v>1</v>
      </c>
      <c r="E254" s="53">
        <v>0</v>
      </c>
      <c r="F254" s="51" t="s">
        <v>2744</v>
      </c>
      <c r="G254" s="51" t="s">
        <v>2695</v>
      </c>
      <c r="H254" s="25" t="s">
        <v>2762</v>
      </c>
      <c r="I254" t="s">
        <v>13</v>
      </c>
      <c r="J254" t="s">
        <v>19</v>
      </c>
      <c r="K254" t="s">
        <v>1837</v>
      </c>
      <c r="L254" s="25">
        <v>46.934231680000003</v>
      </c>
      <c r="M254" s="25">
        <v>6.464694132</v>
      </c>
      <c r="N254">
        <v>6</v>
      </c>
      <c r="O254">
        <v>22</v>
      </c>
      <c r="P254">
        <v>10</v>
      </c>
      <c r="Q254">
        <v>2017</v>
      </c>
      <c r="R254" s="9">
        <v>43030</v>
      </c>
      <c r="S254" t="s">
        <v>16</v>
      </c>
      <c r="T254">
        <v>0</v>
      </c>
      <c r="U254">
        <v>0</v>
      </c>
      <c r="V254">
        <v>0</v>
      </c>
      <c r="W254">
        <v>1</v>
      </c>
      <c r="X254" s="57">
        <f t="shared" si="22"/>
        <v>-93.795457374999998</v>
      </c>
      <c r="Y254" t="s">
        <v>16</v>
      </c>
      <c r="Z254">
        <v>6.8160371270000004</v>
      </c>
      <c r="AA254" s="3">
        <f t="shared" si="25"/>
        <v>9</v>
      </c>
      <c r="AB254" s="3">
        <f t="shared" si="26"/>
        <v>7</v>
      </c>
      <c r="AD254" s="3" t="s">
        <v>2750</v>
      </c>
      <c r="AE254" s="4">
        <v>-75.158564999999996</v>
      </c>
      <c r="AF254" s="4">
        <f t="shared" si="23"/>
        <v>-70.526365900000002</v>
      </c>
      <c r="AG254" s="60" t="s">
        <v>16</v>
      </c>
      <c r="AH254" s="61" t="s">
        <v>16</v>
      </c>
      <c r="AI254" s="57">
        <f t="shared" si="27"/>
        <v>-70.526365900000002</v>
      </c>
      <c r="AJ254" s="3">
        <f t="shared" si="28"/>
        <v>7</v>
      </c>
      <c r="AK254" s="3" t="s">
        <v>2709</v>
      </c>
      <c r="AL254">
        <v>8</v>
      </c>
      <c r="AM254" t="s">
        <v>980</v>
      </c>
    </row>
    <row r="255" spans="1:39" ht="15" hidden="1" thickTop="1" x14ac:dyDescent="0.3">
      <c r="A255" s="51" t="s">
        <v>2301</v>
      </c>
      <c r="B255" s="54" t="s">
        <v>2302</v>
      </c>
      <c r="C255" s="51" t="s">
        <v>2765</v>
      </c>
      <c r="D255" s="53">
        <v>1</v>
      </c>
      <c r="E255" s="53">
        <v>0</v>
      </c>
      <c r="F255" s="51" t="s">
        <v>2744</v>
      </c>
      <c r="G255" s="51" t="s">
        <v>2695</v>
      </c>
      <c r="H255" s="25" t="s">
        <v>2762</v>
      </c>
      <c r="I255" t="s">
        <v>13</v>
      </c>
      <c r="J255" t="s">
        <v>19</v>
      </c>
      <c r="K255" t="s">
        <v>1837</v>
      </c>
      <c r="L255" s="25">
        <v>46.930800429999998</v>
      </c>
      <c r="M255" s="25">
        <v>6.4610793009999998</v>
      </c>
      <c r="N255">
        <v>6</v>
      </c>
      <c r="O255">
        <v>22</v>
      </c>
      <c r="P255">
        <v>10</v>
      </c>
      <c r="Q255">
        <v>2017</v>
      </c>
      <c r="R255" s="9">
        <v>43030</v>
      </c>
      <c r="S255" t="s">
        <v>16</v>
      </c>
      <c r="T255">
        <v>0</v>
      </c>
      <c r="U255">
        <v>0</v>
      </c>
      <c r="V255">
        <v>0</v>
      </c>
      <c r="W255">
        <v>1</v>
      </c>
      <c r="X255" s="57">
        <f t="shared" si="22"/>
        <v>-92.677076502500014</v>
      </c>
      <c r="Y255" t="s">
        <v>16</v>
      </c>
      <c r="Z255">
        <v>7.1116463679999997</v>
      </c>
      <c r="AA255" s="3">
        <f t="shared" si="25"/>
        <v>9</v>
      </c>
      <c r="AB255" s="3">
        <f t="shared" si="26"/>
        <v>7</v>
      </c>
      <c r="AD255" s="3" t="s">
        <v>2750</v>
      </c>
      <c r="AE255" s="4">
        <v>-74.118210700000006</v>
      </c>
      <c r="AF255" s="4">
        <f t="shared" si="23"/>
        <v>-69.631661202000004</v>
      </c>
      <c r="AG255" s="60" t="s">
        <v>16</v>
      </c>
      <c r="AH255" s="61" t="s">
        <v>16</v>
      </c>
      <c r="AI255" s="57">
        <f t="shared" ref="AI255:AI277" si="29">(-5.89) + 0.86*AE255</f>
        <v>-69.631661202000004</v>
      </c>
      <c r="AJ255" s="3">
        <f t="shared" si="28"/>
        <v>7</v>
      </c>
      <c r="AK255" s="3" t="s">
        <v>2709</v>
      </c>
      <c r="AL255">
        <v>7</v>
      </c>
      <c r="AM255" t="s">
        <v>980</v>
      </c>
    </row>
    <row r="256" spans="1:39" ht="15" hidden="1" thickTop="1" x14ac:dyDescent="0.3">
      <c r="A256" s="51" t="s">
        <v>2299</v>
      </c>
      <c r="B256" s="54" t="s">
        <v>2300</v>
      </c>
      <c r="C256" s="51" t="s">
        <v>2765</v>
      </c>
      <c r="D256" s="53">
        <v>1</v>
      </c>
      <c r="E256" s="53">
        <v>0</v>
      </c>
      <c r="F256" s="51" t="s">
        <v>2744</v>
      </c>
      <c r="G256" s="51" t="s">
        <v>2695</v>
      </c>
      <c r="H256" s="25" t="s">
        <v>2762</v>
      </c>
      <c r="I256" t="s">
        <v>13</v>
      </c>
      <c r="J256" t="s">
        <v>19</v>
      </c>
      <c r="K256" t="s">
        <v>1837</v>
      </c>
      <c r="L256" s="25">
        <v>46.931089489999998</v>
      </c>
      <c r="M256" s="25">
        <v>6.4612184990000001</v>
      </c>
      <c r="N256">
        <v>6</v>
      </c>
      <c r="O256">
        <v>26</v>
      </c>
      <c r="P256">
        <v>10</v>
      </c>
      <c r="Q256">
        <v>2017</v>
      </c>
      <c r="R256" s="9">
        <v>43034</v>
      </c>
      <c r="S256" t="s">
        <v>16</v>
      </c>
      <c r="T256">
        <v>0</v>
      </c>
      <c r="U256">
        <v>0</v>
      </c>
      <c r="V256">
        <v>0</v>
      </c>
      <c r="W256">
        <v>1</v>
      </c>
      <c r="X256" s="57">
        <f t="shared" si="22"/>
        <v>-91.792427719999992</v>
      </c>
      <c r="Y256" t="s">
        <v>16</v>
      </c>
      <c r="Z256">
        <v>4.2654212060000001</v>
      </c>
      <c r="AA256" s="3">
        <f t="shared" si="25"/>
        <v>9</v>
      </c>
      <c r="AB256" s="3">
        <f t="shared" si="26"/>
        <v>4</v>
      </c>
      <c r="AD256" s="3" t="s">
        <v>2750</v>
      </c>
      <c r="AE256" s="4">
        <v>-73.295281599999996</v>
      </c>
      <c r="AF256" s="4">
        <f t="shared" si="23"/>
        <v>-68.923942175999997</v>
      </c>
      <c r="AG256" s="60" t="s">
        <v>16</v>
      </c>
      <c r="AH256" s="61" t="s">
        <v>16</v>
      </c>
      <c r="AI256" s="57">
        <f t="shared" si="29"/>
        <v>-68.923942175999997</v>
      </c>
      <c r="AJ256" s="3">
        <f t="shared" si="28"/>
        <v>7</v>
      </c>
      <c r="AK256" s="3" t="s">
        <v>2709</v>
      </c>
      <c r="AL256">
        <v>7</v>
      </c>
      <c r="AM256" t="s">
        <v>980</v>
      </c>
    </row>
    <row r="257" spans="1:39" ht="15" hidden="1" thickTop="1" x14ac:dyDescent="0.3">
      <c r="A257" s="51" t="s">
        <v>2359</v>
      </c>
      <c r="B257" s="54" t="s">
        <v>2360</v>
      </c>
      <c r="C257" s="51" t="s">
        <v>2765</v>
      </c>
      <c r="D257" s="53">
        <v>1</v>
      </c>
      <c r="E257" s="53">
        <v>0</v>
      </c>
      <c r="F257" s="51" t="s">
        <v>2744</v>
      </c>
      <c r="G257" s="51" t="s">
        <v>2695</v>
      </c>
      <c r="H257" s="25" t="s">
        <v>2762</v>
      </c>
      <c r="I257" t="s">
        <v>13</v>
      </c>
      <c r="J257" t="s">
        <v>1732</v>
      </c>
      <c r="K257" t="s">
        <v>1822</v>
      </c>
      <c r="L257" s="25">
        <v>46.995529789999999</v>
      </c>
      <c r="M257" s="25">
        <v>6.6968751900000001</v>
      </c>
      <c r="N257">
        <v>6</v>
      </c>
      <c r="O257">
        <v>27</v>
      </c>
      <c r="P257">
        <v>10</v>
      </c>
      <c r="Q257">
        <v>2017</v>
      </c>
      <c r="R257" s="9">
        <v>43035</v>
      </c>
      <c r="S257" t="s">
        <v>16</v>
      </c>
      <c r="T257">
        <v>0</v>
      </c>
      <c r="U257">
        <v>0</v>
      </c>
      <c r="V257">
        <v>0</v>
      </c>
      <c r="W257">
        <v>1</v>
      </c>
      <c r="X257" s="57">
        <f t="shared" si="22"/>
        <v>-91.303420647499991</v>
      </c>
      <c r="Y257" t="s">
        <v>16</v>
      </c>
      <c r="Z257">
        <v>5.7633601329999999</v>
      </c>
      <c r="AA257" s="3">
        <f t="shared" si="25"/>
        <v>9</v>
      </c>
      <c r="AB257" s="3">
        <f t="shared" si="26"/>
        <v>6</v>
      </c>
      <c r="AD257" s="3" t="s">
        <v>2750</v>
      </c>
      <c r="AE257" s="4">
        <v>-72.840391299999993</v>
      </c>
      <c r="AF257" s="4">
        <f t="shared" si="23"/>
        <v>-68.532736517999993</v>
      </c>
      <c r="AG257" s="60" t="s">
        <v>16</v>
      </c>
      <c r="AH257" s="61" t="s">
        <v>16</v>
      </c>
      <c r="AI257" s="57">
        <f t="shared" si="29"/>
        <v>-68.532736517999993</v>
      </c>
      <c r="AJ257" s="3">
        <f t="shared" si="28"/>
        <v>7</v>
      </c>
      <c r="AK257" s="3" t="s">
        <v>2709</v>
      </c>
      <c r="AL257">
        <v>7</v>
      </c>
      <c r="AM257" t="s">
        <v>980</v>
      </c>
    </row>
    <row r="258" spans="1:39" ht="15" hidden="1" thickTop="1" x14ac:dyDescent="0.3">
      <c r="A258" s="51" t="s">
        <v>2353</v>
      </c>
      <c r="B258" s="54" t="s">
        <v>2354</v>
      </c>
      <c r="C258" s="51" t="s">
        <v>2765</v>
      </c>
      <c r="D258" s="53">
        <v>1</v>
      </c>
      <c r="E258" s="53">
        <v>0</v>
      </c>
      <c r="F258" s="51" t="s">
        <v>2744</v>
      </c>
      <c r="G258" s="51" t="s">
        <v>2695</v>
      </c>
      <c r="H258" s="25" t="s">
        <v>2762</v>
      </c>
      <c r="I258" t="s">
        <v>13</v>
      </c>
      <c r="J258" t="s">
        <v>1732</v>
      </c>
      <c r="K258" t="s">
        <v>1822</v>
      </c>
      <c r="L258" s="25">
        <v>46.995720830000003</v>
      </c>
      <c r="M258" s="25">
        <v>6.702793131</v>
      </c>
      <c r="N258">
        <v>6</v>
      </c>
      <c r="O258">
        <v>27</v>
      </c>
      <c r="P258">
        <v>10</v>
      </c>
      <c r="Q258">
        <v>2017</v>
      </c>
      <c r="R258" s="9">
        <v>43035</v>
      </c>
      <c r="S258" t="s">
        <v>16</v>
      </c>
      <c r="T258">
        <v>0</v>
      </c>
      <c r="U258">
        <v>0</v>
      </c>
      <c r="V258">
        <v>0</v>
      </c>
      <c r="W258">
        <v>1</v>
      </c>
      <c r="X258" s="57">
        <f t="shared" ref="X258:X277" si="30">1.25 * AF258 - 5.6375</f>
        <v>-90.112821059999987</v>
      </c>
      <c r="Y258" t="s">
        <v>16</v>
      </c>
      <c r="Z258">
        <v>6.2884790529999997</v>
      </c>
      <c r="AA258" s="3">
        <f t="shared" si="25"/>
        <v>9</v>
      </c>
      <c r="AB258" s="3">
        <f t="shared" si="26"/>
        <v>6</v>
      </c>
      <c r="AD258" s="3" t="s">
        <v>2750</v>
      </c>
      <c r="AE258" s="4">
        <v>-71.732856799999993</v>
      </c>
      <c r="AF258" s="4">
        <f t="shared" ref="AF258:AF277" si="31">IF(AI258&lt;0,AI258,AE258)</f>
        <v>-67.580256847999991</v>
      </c>
      <c r="AG258" s="60" t="s">
        <v>16</v>
      </c>
      <c r="AH258" s="61" t="s">
        <v>16</v>
      </c>
      <c r="AI258" s="57">
        <f t="shared" si="29"/>
        <v>-67.580256847999991</v>
      </c>
      <c r="AJ258" s="3">
        <f t="shared" si="28"/>
        <v>7</v>
      </c>
      <c r="AK258" s="3" t="s">
        <v>2709</v>
      </c>
      <c r="AL258">
        <v>7</v>
      </c>
      <c r="AM258" t="s">
        <v>980</v>
      </c>
    </row>
    <row r="259" spans="1:39" ht="15" hidden="1" thickTop="1" x14ac:dyDescent="0.3">
      <c r="A259" s="51" t="s">
        <v>2316</v>
      </c>
      <c r="B259" s="54" t="s">
        <v>2317</v>
      </c>
      <c r="C259" s="51" t="s">
        <v>2765</v>
      </c>
      <c r="D259" s="53">
        <v>1</v>
      </c>
      <c r="E259" s="53">
        <v>0</v>
      </c>
      <c r="F259" s="51" t="s">
        <v>2744</v>
      </c>
      <c r="G259" s="51" t="s">
        <v>2695</v>
      </c>
      <c r="H259" s="25" t="s">
        <v>2762</v>
      </c>
      <c r="I259" t="s">
        <v>13</v>
      </c>
      <c r="J259" t="s">
        <v>209</v>
      </c>
      <c r="K259" t="s">
        <v>2318</v>
      </c>
      <c r="L259" s="25">
        <v>46.9293792</v>
      </c>
      <c r="M259" s="25">
        <v>6.7242320810000002</v>
      </c>
      <c r="N259">
        <v>6</v>
      </c>
      <c r="O259">
        <v>24</v>
      </c>
      <c r="P259">
        <v>10</v>
      </c>
      <c r="Q259">
        <v>2017</v>
      </c>
      <c r="R259" s="9">
        <v>43032</v>
      </c>
      <c r="S259" t="s">
        <v>16</v>
      </c>
      <c r="T259">
        <v>0</v>
      </c>
      <c r="U259">
        <v>0</v>
      </c>
      <c r="V259">
        <v>0</v>
      </c>
      <c r="W259">
        <v>1</v>
      </c>
      <c r="X259" s="57">
        <f t="shared" si="30"/>
        <v>-86.041531180000007</v>
      </c>
      <c r="Y259" t="s">
        <v>16</v>
      </c>
      <c r="Z259">
        <v>5.9523365699999999</v>
      </c>
      <c r="AA259" s="3">
        <f t="shared" ref="AA259:AA277" si="32">-ROUND(X259/10,0)</f>
        <v>9</v>
      </c>
      <c r="AB259" s="3">
        <f t="shared" ref="AB259:AB277" si="33">ROUND(Z259,0)</f>
        <v>6</v>
      </c>
      <c r="AD259" s="3" t="s">
        <v>2750</v>
      </c>
      <c r="AE259" s="4">
        <v>-67.945610400000007</v>
      </c>
      <c r="AF259" s="4">
        <f t="shared" si="31"/>
        <v>-64.323224944000003</v>
      </c>
      <c r="AG259" s="60" t="s">
        <v>16</v>
      </c>
      <c r="AH259" s="61" t="s">
        <v>16</v>
      </c>
      <c r="AI259" s="57">
        <f t="shared" si="29"/>
        <v>-64.323224944000003</v>
      </c>
      <c r="AJ259" s="3">
        <f t="shared" si="28"/>
        <v>6</v>
      </c>
      <c r="AK259" s="3" t="s">
        <v>2707</v>
      </c>
      <c r="AL259">
        <v>7</v>
      </c>
      <c r="AM259" t="s">
        <v>980</v>
      </c>
    </row>
    <row r="260" spans="1:39" ht="15" hidden="1" thickTop="1" x14ac:dyDescent="0.3">
      <c r="A260" s="51" t="s">
        <v>2186</v>
      </c>
      <c r="B260" s="54" t="s">
        <v>2187</v>
      </c>
      <c r="C260" s="51" t="s">
        <v>2765</v>
      </c>
      <c r="D260" s="53">
        <v>1</v>
      </c>
      <c r="E260" s="53">
        <v>0</v>
      </c>
      <c r="F260" s="51" t="s">
        <v>2744</v>
      </c>
      <c r="G260" s="51" t="s">
        <v>2695</v>
      </c>
      <c r="H260" s="25" t="s">
        <v>2762</v>
      </c>
      <c r="I260" t="s">
        <v>13</v>
      </c>
      <c r="J260" t="s">
        <v>1732</v>
      </c>
      <c r="K260" t="s">
        <v>1822</v>
      </c>
      <c r="L260" s="25">
        <v>46.993613750000002</v>
      </c>
      <c r="M260" s="25">
        <v>6.6968760080000003</v>
      </c>
      <c r="N260">
        <v>6</v>
      </c>
      <c r="O260">
        <v>22</v>
      </c>
      <c r="P260">
        <v>10</v>
      </c>
      <c r="Q260">
        <v>2017</v>
      </c>
      <c r="R260" s="9">
        <v>43030</v>
      </c>
      <c r="S260" t="s">
        <v>16</v>
      </c>
      <c r="T260">
        <v>0</v>
      </c>
      <c r="U260">
        <v>0</v>
      </c>
      <c r="V260">
        <v>0</v>
      </c>
      <c r="W260">
        <v>1</v>
      </c>
      <c r="X260" s="57">
        <f t="shared" si="30"/>
        <v>-85.938254209999997</v>
      </c>
      <c r="Y260" t="s">
        <v>16</v>
      </c>
      <c r="Z260">
        <v>9.1052703650000009</v>
      </c>
      <c r="AA260" s="3">
        <f t="shared" si="32"/>
        <v>9</v>
      </c>
      <c r="AB260" s="3">
        <f t="shared" si="33"/>
        <v>9</v>
      </c>
      <c r="AD260" s="3" t="s">
        <v>2750</v>
      </c>
      <c r="AE260" s="4">
        <v>-67.849538800000005</v>
      </c>
      <c r="AF260" s="4">
        <f t="shared" si="31"/>
        <v>-64.240603367999995</v>
      </c>
      <c r="AG260" s="60" t="s">
        <v>16</v>
      </c>
      <c r="AH260" s="61" t="s">
        <v>16</v>
      </c>
      <c r="AI260" s="57">
        <f t="shared" si="29"/>
        <v>-64.240603367999995</v>
      </c>
      <c r="AJ260" s="3">
        <f t="shared" si="28"/>
        <v>6</v>
      </c>
      <c r="AK260" s="3" t="s">
        <v>2707</v>
      </c>
      <c r="AL260">
        <v>7</v>
      </c>
      <c r="AM260" t="s">
        <v>980</v>
      </c>
    </row>
    <row r="261" spans="1:39" ht="15" hidden="1" thickTop="1" x14ac:dyDescent="0.3">
      <c r="A261" s="51" t="s">
        <v>1857</v>
      </c>
      <c r="B261" s="54" t="s">
        <v>1858</v>
      </c>
      <c r="C261" s="51" t="s">
        <v>2765</v>
      </c>
      <c r="D261" s="53">
        <v>1</v>
      </c>
      <c r="E261" s="53">
        <v>0</v>
      </c>
      <c r="F261" s="51" t="s">
        <v>2744</v>
      </c>
      <c r="G261" s="51" t="s">
        <v>2695</v>
      </c>
      <c r="H261" s="25" t="s">
        <v>2762</v>
      </c>
      <c r="I261" t="s">
        <v>13</v>
      </c>
      <c r="J261" t="s">
        <v>1057</v>
      </c>
      <c r="K261" t="s">
        <v>1859</v>
      </c>
      <c r="L261" s="25">
        <v>46.978187849999998</v>
      </c>
      <c r="M261" s="25">
        <v>6.6724716129999999</v>
      </c>
      <c r="N261">
        <v>6</v>
      </c>
      <c r="O261">
        <v>20</v>
      </c>
      <c r="P261">
        <v>10</v>
      </c>
      <c r="Q261">
        <v>2017</v>
      </c>
      <c r="R261" s="9">
        <v>43028</v>
      </c>
      <c r="S261" t="s">
        <v>16</v>
      </c>
      <c r="T261">
        <v>0</v>
      </c>
      <c r="U261">
        <v>0</v>
      </c>
      <c r="V261">
        <v>0</v>
      </c>
      <c r="W261">
        <v>1</v>
      </c>
      <c r="X261" s="57">
        <f t="shared" si="30"/>
        <v>-85.637848147500009</v>
      </c>
      <c r="Y261" t="s">
        <v>16</v>
      </c>
      <c r="Z261">
        <v>7.5137012109999999</v>
      </c>
      <c r="AA261" s="3">
        <f t="shared" si="32"/>
        <v>9</v>
      </c>
      <c r="AB261" s="3">
        <f t="shared" si="33"/>
        <v>8</v>
      </c>
      <c r="AD261" s="3" t="s">
        <v>2750</v>
      </c>
      <c r="AE261" s="4">
        <v>-67.570091300000001</v>
      </c>
      <c r="AF261" s="4">
        <f t="shared" si="31"/>
        <v>-64.000278518000002</v>
      </c>
      <c r="AG261" s="60" t="s">
        <v>16</v>
      </c>
      <c r="AH261" s="61" t="s">
        <v>16</v>
      </c>
      <c r="AI261" s="57">
        <f t="shared" si="29"/>
        <v>-64.000278518000002</v>
      </c>
      <c r="AJ261" s="3">
        <f t="shared" si="28"/>
        <v>6</v>
      </c>
      <c r="AK261" s="3" t="s">
        <v>2707</v>
      </c>
      <c r="AL261">
        <v>7</v>
      </c>
      <c r="AM261" t="s">
        <v>980</v>
      </c>
    </row>
    <row r="262" spans="1:39" ht="15" hidden="1" thickTop="1" x14ac:dyDescent="0.3">
      <c r="A262" s="51" t="s">
        <v>2389</v>
      </c>
      <c r="B262" s="54" t="s">
        <v>2390</v>
      </c>
      <c r="C262" s="51" t="s">
        <v>2765</v>
      </c>
      <c r="D262" s="53">
        <v>1</v>
      </c>
      <c r="E262" s="53">
        <v>0</v>
      </c>
      <c r="F262" s="51" t="s">
        <v>2744</v>
      </c>
      <c r="G262" s="51" t="s">
        <v>2695</v>
      </c>
      <c r="H262" s="25" t="s">
        <v>2762</v>
      </c>
      <c r="I262" t="s">
        <v>13</v>
      </c>
      <c r="J262" t="s">
        <v>19</v>
      </c>
      <c r="K262" t="s">
        <v>1837</v>
      </c>
      <c r="L262" s="25">
        <v>46.93085705</v>
      </c>
      <c r="M262" s="25">
        <v>6.4624440160000001</v>
      </c>
      <c r="N262">
        <v>6</v>
      </c>
      <c r="O262">
        <v>31</v>
      </c>
      <c r="P262">
        <v>10</v>
      </c>
      <c r="Q262">
        <v>2017</v>
      </c>
      <c r="R262" s="9">
        <v>43039</v>
      </c>
      <c r="S262" t="s">
        <v>16</v>
      </c>
      <c r="T262">
        <v>0</v>
      </c>
      <c r="U262">
        <v>0</v>
      </c>
      <c r="V262">
        <v>0</v>
      </c>
      <c r="W262">
        <v>1</v>
      </c>
      <c r="X262" s="57">
        <f t="shared" si="30"/>
        <v>-83.777232665000014</v>
      </c>
      <c r="Y262" t="s">
        <v>16</v>
      </c>
      <c r="Z262">
        <v>5.4825289420000001</v>
      </c>
      <c r="AA262" s="3">
        <f t="shared" si="32"/>
        <v>8</v>
      </c>
      <c r="AB262" s="3">
        <f t="shared" si="33"/>
        <v>5</v>
      </c>
      <c r="AD262" s="3" t="s">
        <v>2750</v>
      </c>
      <c r="AE262" s="4">
        <v>-65.839286200000004</v>
      </c>
      <c r="AF262" s="4">
        <f t="shared" si="31"/>
        <v>-62.511786132000005</v>
      </c>
      <c r="AG262" s="60" t="s">
        <v>16</v>
      </c>
      <c r="AH262" s="61" t="s">
        <v>16</v>
      </c>
      <c r="AI262" s="57">
        <f t="shared" si="29"/>
        <v>-62.511786132000005</v>
      </c>
      <c r="AJ262" s="3">
        <f t="shared" si="28"/>
        <v>6</v>
      </c>
      <c r="AK262" s="3" t="s">
        <v>2707</v>
      </c>
      <c r="AL262">
        <v>7</v>
      </c>
      <c r="AM262" t="s">
        <v>980</v>
      </c>
    </row>
    <row r="263" spans="1:39" ht="15" hidden="1" thickTop="1" x14ac:dyDescent="0.3">
      <c r="A263" s="51" t="s">
        <v>2405</v>
      </c>
      <c r="B263" s="54" t="s">
        <v>2406</v>
      </c>
      <c r="C263" s="51" t="s">
        <v>2765</v>
      </c>
      <c r="D263" s="53">
        <v>1</v>
      </c>
      <c r="E263" s="53">
        <v>0</v>
      </c>
      <c r="F263" s="51" t="s">
        <v>2744</v>
      </c>
      <c r="G263" s="51" t="s">
        <v>2695</v>
      </c>
      <c r="H263" s="25" t="s">
        <v>2762</v>
      </c>
      <c r="I263" t="s">
        <v>385</v>
      </c>
      <c r="J263" t="s">
        <v>386</v>
      </c>
      <c r="K263" t="s">
        <v>2407</v>
      </c>
      <c r="L263" s="25">
        <v>46.864614830000001</v>
      </c>
      <c r="M263" s="25">
        <v>6.5724679850000003</v>
      </c>
      <c r="N263">
        <v>6</v>
      </c>
      <c r="O263">
        <v>3</v>
      </c>
      <c r="P263">
        <v>11</v>
      </c>
      <c r="Q263">
        <v>2017</v>
      </c>
      <c r="R263" s="9">
        <v>43042</v>
      </c>
      <c r="S263" t="s">
        <v>16</v>
      </c>
      <c r="T263">
        <v>0</v>
      </c>
      <c r="U263">
        <v>0</v>
      </c>
      <c r="V263">
        <v>0</v>
      </c>
      <c r="W263">
        <v>1</v>
      </c>
      <c r="X263" s="57">
        <f t="shared" si="30"/>
        <v>-83.249894210000008</v>
      </c>
      <c r="Y263" t="s">
        <v>16</v>
      </c>
      <c r="Z263">
        <v>5.9723008990000004</v>
      </c>
      <c r="AA263" s="3">
        <f t="shared" si="32"/>
        <v>8</v>
      </c>
      <c r="AB263" s="3">
        <f t="shared" si="33"/>
        <v>6</v>
      </c>
      <c r="AD263" s="3" t="s">
        <v>2750</v>
      </c>
      <c r="AE263" s="4">
        <v>-65.348738800000007</v>
      </c>
      <c r="AF263" s="4">
        <f t="shared" si="31"/>
        <v>-62.089915368000007</v>
      </c>
      <c r="AG263" s="60" t="s">
        <v>16</v>
      </c>
      <c r="AH263" s="61" t="s">
        <v>16</v>
      </c>
      <c r="AI263" s="57">
        <f t="shared" si="29"/>
        <v>-62.089915368000007</v>
      </c>
      <c r="AJ263" s="3">
        <f t="shared" si="28"/>
        <v>6</v>
      </c>
      <c r="AK263" s="3" t="s">
        <v>2707</v>
      </c>
      <c r="AL263">
        <v>7</v>
      </c>
      <c r="AM263" t="s">
        <v>980</v>
      </c>
    </row>
    <row r="264" spans="1:39" ht="15" hidden="1" thickTop="1" x14ac:dyDescent="0.3">
      <c r="A264" s="51" t="s">
        <v>2382</v>
      </c>
      <c r="B264" s="54" t="s">
        <v>2383</v>
      </c>
      <c r="C264" s="51" t="s">
        <v>2765</v>
      </c>
      <c r="D264" s="53">
        <v>1</v>
      </c>
      <c r="E264" s="53">
        <v>0</v>
      </c>
      <c r="F264" s="51" t="s">
        <v>2744</v>
      </c>
      <c r="G264" s="51" t="s">
        <v>2695</v>
      </c>
      <c r="H264" s="25" t="s">
        <v>2762</v>
      </c>
      <c r="I264" t="s">
        <v>385</v>
      </c>
      <c r="J264" t="s">
        <v>539</v>
      </c>
      <c r="K264" t="s">
        <v>2325</v>
      </c>
      <c r="L264" s="25">
        <v>46.9011122</v>
      </c>
      <c r="M264" s="25">
        <v>6.6777273350000002</v>
      </c>
      <c r="N264">
        <v>6</v>
      </c>
      <c r="O264">
        <v>28</v>
      </c>
      <c r="P264">
        <v>10</v>
      </c>
      <c r="Q264">
        <v>2017</v>
      </c>
      <c r="R264" s="9">
        <v>43036</v>
      </c>
      <c r="S264" t="s">
        <v>16</v>
      </c>
      <c r="T264">
        <v>0</v>
      </c>
      <c r="U264">
        <v>0</v>
      </c>
      <c r="V264">
        <v>0</v>
      </c>
      <c r="W264">
        <v>1</v>
      </c>
      <c r="X264" s="57">
        <f t="shared" si="30"/>
        <v>-82.383259525000014</v>
      </c>
      <c r="Y264" t="s">
        <v>16</v>
      </c>
      <c r="Z264">
        <v>6.8170682840000003</v>
      </c>
      <c r="AA264" s="3">
        <f t="shared" si="32"/>
        <v>8</v>
      </c>
      <c r="AB264" s="3">
        <f t="shared" si="33"/>
        <v>7</v>
      </c>
      <c r="AD264" s="3" t="s">
        <v>2750</v>
      </c>
      <c r="AE264" s="4">
        <v>-64.542567000000005</v>
      </c>
      <c r="AF264" s="4">
        <f t="shared" si="31"/>
        <v>-61.396607620000005</v>
      </c>
      <c r="AG264" s="60" t="s">
        <v>16</v>
      </c>
      <c r="AH264" s="61" t="s">
        <v>16</v>
      </c>
      <c r="AI264" s="57">
        <f t="shared" si="29"/>
        <v>-61.396607620000005</v>
      </c>
      <c r="AJ264" s="3">
        <f t="shared" si="28"/>
        <v>6</v>
      </c>
      <c r="AK264" s="3" t="s">
        <v>2707</v>
      </c>
      <c r="AL264">
        <v>6</v>
      </c>
      <c r="AM264" t="s">
        <v>980</v>
      </c>
    </row>
    <row r="265" spans="1:39" ht="15" hidden="1" thickTop="1" x14ac:dyDescent="0.3">
      <c r="A265" s="51" t="s">
        <v>2330</v>
      </c>
      <c r="B265" s="54" t="s">
        <v>2331</v>
      </c>
      <c r="C265" s="51" t="s">
        <v>2765</v>
      </c>
      <c r="D265" s="53">
        <v>1</v>
      </c>
      <c r="E265" s="53">
        <v>0</v>
      </c>
      <c r="F265" s="51" t="s">
        <v>2744</v>
      </c>
      <c r="G265" s="51" t="s">
        <v>2695</v>
      </c>
      <c r="H265" s="25" t="s">
        <v>2762</v>
      </c>
      <c r="I265" t="s">
        <v>385</v>
      </c>
      <c r="J265" t="s">
        <v>386</v>
      </c>
      <c r="K265" t="s">
        <v>1832</v>
      </c>
      <c r="L265" s="25">
        <v>46.855404319999998</v>
      </c>
      <c r="M265" s="25">
        <v>6.5468740490000004</v>
      </c>
      <c r="N265">
        <v>6</v>
      </c>
      <c r="O265">
        <v>25</v>
      </c>
      <c r="P265">
        <v>10</v>
      </c>
      <c r="Q265">
        <v>2017</v>
      </c>
      <c r="R265" s="9">
        <v>43033</v>
      </c>
      <c r="S265" t="s">
        <v>16</v>
      </c>
      <c r="T265">
        <v>0</v>
      </c>
      <c r="U265">
        <v>0</v>
      </c>
      <c r="V265">
        <v>0</v>
      </c>
      <c r="W265">
        <v>1</v>
      </c>
      <c r="X265" s="57">
        <f t="shared" si="30"/>
        <v>-81.131798382500008</v>
      </c>
      <c r="Y265" t="s">
        <v>16</v>
      </c>
      <c r="Z265">
        <v>6.3187365340000001</v>
      </c>
      <c r="AA265" s="3">
        <f t="shared" si="32"/>
        <v>8</v>
      </c>
      <c r="AB265" s="3">
        <f t="shared" si="33"/>
        <v>6</v>
      </c>
      <c r="AD265" s="3" t="s">
        <v>2750</v>
      </c>
      <c r="AE265" s="4">
        <v>-63.3784171</v>
      </c>
      <c r="AF265" s="4">
        <f t="shared" si="31"/>
        <v>-60.395438706</v>
      </c>
      <c r="AG265" s="60" t="s">
        <v>16</v>
      </c>
      <c r="AH265" s="61" t="s">
        <v>16</v>
      </c>
      <c r="AI265" s="57">
        <f t="shared" si="29"/>
        <v>-60.395438706</v>
      </c>
      <c r="AJ265" s="3">
        <f t="shared" si="28"/>
        <v>6</v>
      </c>
      <c r="AK265" s="3" t="s">
        <v>2707</v>
      </c>
      <c r="AL265">
        <v>6</v>
      </c>
      <c r="AM265" t="s">
        <v>980</v>
      </c>
    </row>
    <row r="266" spans="1:39" ht="15" hidden="1" thickTop="1" x14ac:dyDescent="0.3">
      <c r="A266" s="51" t="s">
        <v>2269</v>
      </c>
      <c r="B266" s="54" t="s">
        <v>2270</v>
      </c>
      <c r="C266" s="51" t="s">
        <v>2765</v>
      </c>
      <c r="D266" s="53">
        <v>1</v>
      </c>
      <c r="E266" s="53">
        <v>0</v>
      </c>
      <c r="F266" s="51" t="s">
        <v>2744</v>
      </c>
      <c r="G266" s="51" t="s">
        <v>2695</v>
      </c>
      <c r="H266" s="25" t="s">
        <v>2762</v>
      </c>
      <c r="I266" t="s">
        <v>13</v>
      </c>
      <c r="J266" t="s">
        <v>1715</v>
      </c>
      <c r="K266" t="s">
        <v>1764</v>
      </c>
      <c r="L266" s="25">
        <v>46.933526200000003</v>
      </c>
      <c r="M266" s="25">
        <v>6.4642472670000002</v>
      </c>
      <c r="N266">
        <v>6</v>
      </c>
      <c r="O266">
        <v>5</v>
      </c>
      <c r="P266">
        <v>11</v>
      </c>
      <c r="Q266">
        <v>2016</v>
      </c>
      <c r="R266" s="9">
        <v>42679</v>
      </c>
      <c r="S266">
        <v>280</v>
      </c>
      <c r="T266">
        <v>0</v>
      </c>
      <c r="U266">
        <v>0</v>
      </c>
      <c r="V266">
        <v>0</v>
      </c>
      <c r="W266">
        <v>1</v>
      </c>
      <c r="X266" s="57">
        <f t="shared" si="30"/>
        <v>-80.937697995000008</v>
      </c>
      <c r="Y266">
        <v>-22.76</v>
      </c>
      <c r="Z266">
        <v>5.83</v>
      </c>
      <c r="AA266" s="3">
        <f t="shared" si="32"/>
        <v>8</v>
      </c>
      <c r="AB266" s="3">
        <f t="shared" si="33"/>
        <v>6</v>
      </c>
      <c r="AD266" s="3" t="s">
        <v>2750</v>
      </c>
      <c r="AE266" s="4">
        <v>-63.197858600000004</v>
      </c>
      <c r="AF266" s="4">
        <f t="shared" si="31"/>
        <v>-60.240158396000005</v>
      </c>
      <c r="AG266" s="60" t="s">
        <v>16</v>
      </c>
      <c r="AH266" s="61" t="s">
        <v>16</v>
      </c>
      <c r="AI266" s="57">
        <f t="shared" si="29"/>
        <v>-60.240158396000005</v>
      </c>
      <c r="AJ266" s="3">
        <f t="shared" si="28"/>
        <v>6</v>
      </c>
      <c r="AK266" s="3" t="s">
        <v>2707</v>
      </c>
      <c r="AL266">
        <v>6</v>
      </c>
      <c r="AM266" t="s">
        <v>980</v>
      </c>
    </row>
    <row r="267" spans="1:39" ht="15" hidden="1" thickTop="1" x14ac:dyDescent="0.3">
      <c r="A267" s="51" t="s">
        <v>2415</v>
      </c>
      <c r="B267" s="54" t="s">
        <v>2416</v>
      </c>
      <c r="C267" s="51" t="s">
        <v>2765</v>
      </c>
      <c r="D267" s="53">
        <v>1</v>
      </c>
      <c r="E267" s="53">
        <v>0</v>
      </c>
      <c r="F267" s="51" t="s">
        <v>2744</v>
      </c>
      <c r="G267" s="51" t="s">
        <v>2695</v>
      </c>
      <c r="H267" s="25" t="s">
        <v>2762</v>
      </c>
      <c r="I267" t="s">
        <v>13</v>
      </c>
      <c r="J267" t="s">
        <v>1732</v>
      </c>
      <c r="K267" t="s">
        <v>1822</v>
      </c>
      <c r="L267" s="25">
        <v>46.996700920000002</v>
      </c>
      <c r="M267" s="25">
        <v>6.7041303990000003</v>
      </c>
      <c r="N267">
        <v>6</v>
      </c>
      <c r="O267">
        <v>10</v>
      </c>
      <c r="P267">
        <v>11</v>
      </c>
      <c r="Q267">
        <v>2017</v>
      </c>
      <c r="R267" s="9">
        <v>43049</v>
      </c>
      <c r="S267" t="s">
        <v>16</v>
      </c>
      <c r="T267">
        <v>0</v>
      </c>
      <c r="U267">
        <v>0</v>
      </c>
      <c r="V267">
        <v>0</v>
      </c>
      <c r="W267">
        <v>1</v>
      </c>
      <c r="X267" s="57">
        <f t="shared" si="30"/>
        <v>-80.919682285000007</v>
      </c>
      <c r="Y267" t="s">
        <v>16</v>
      </c>
      <c r="Z267">
        <v>5.9358978100000002</v>
      </c>
      <c r="AA267" s="3">
        <f t="shared" si="32"/>
        <v>8</v>
      </c>
      <c r="AB267" s="3">
        <f t="shared" si="33"/>
        <v>6</v>
      </c>
      <c r="AD267" s="3" t="s">
        <v>2750</v>
      </c>
      <c r="AE267" s="4">
        <v>-63.181099799999998</v>
      </c>
      <c r="AF267" s="4">
        <f t="shared" si="31"/>
        <v>-60.225745828000001</v>
      </c>
      <c r="AG267" s="60" t="s">
        <v>16</v>
      </c>
      <c r="AH267" s="61" t="s">
        <v>16</v>
      </c>
      <c r="AI267" s="57">
        <f t="shared" si="29"/>
        <v>-60.225745828000001</v>
      </c>
      <c r="AJ267" s="3">
        <f t="shared" si="28"/>
        <v>6</v>
      </c>
      <c r="AK267" s="3" t="s">
        <v>2707</v>
      </c>
      <c r="AL267">
        <v>6</v>
      </c>
      <c r="AM267" t="s">
        <v>980</v>
      </c>
    </row>
    <row r="268" spans="1:39" ht="15" hidden="1" thickTop="1" x14ac:dyDescent="0.3">
      <c r="A268" s="51" t="s">
        <v>2200</v>
      </c>
      <c r="B268" s="54" t="s">
        <v>2199</v>
      </c>
      <c r="C268" s="51" t="s">
        <v>2765</v>
      </c>
      <c r="D268" s="53">
        <v>1</v>
      </c>
      <c r="E268" s="53">
        <v>0</v>
      </c>
      <c r="F268" s="51" t="s">
        <v>2744</v>
      </c>
      <c r="G268" s="51" t="s">
        <v>2695</v>
      </c>
      <c r="H268" s="25" t="s">
        <v>2762</v>
      </c>
      <c r="I268" t="s">
        <v>13</v>
      </c>
      <c r="J268" t="s">
        <v>1732</v>
      </c>
      <c r="K268" t="s">
        <v>1822</v>
      </c>
      <c r="L268" s="25">
        <v>46.993412210000002</v>
      </c>
      <c r="M268" s="25">
        <v>6.697704087</v>
      </c>
      <c r="N268">
        <v>6</v>
      </c>
      <c r="O268">
        <v>24</v>
      </c>
      <c r="P268">
        <v>10</v>
      </c>
      <c r="Q268">
        <v>2017</v>
      </c>
      <c r="R268" s="9">
        <v>43032</v>
      </c>
      <c r="S268" t="s">
        <v>16</v>
      </c>
      <c r="T268">
        <v>0</v>
      </c>
      <c r="U268">
        <v>0</v>
      </c>
      <c r="V268">
        <v>0</v>
      </c>
      <c r="W268">
        <v>1</v>
      </c>
      <c r="X268" s="57">
        <f t="shared" si="30"/>
        <v>-80.200946744999996</v>
      </c>
      <c r="Y268" t="s">
        <v>16</v>
      </c>
      <c r="Z268">
        <v>5.5928286270000003</v>
      </c>
      <c r="AA268" s="3">
        <f t="shared" si="32"/>
        <v>8</v>
      </c>
      <c r="AB268" s="3">
        <f t="shared" si="33"/>
        <v>6</v>
      </c>
      <c r="AD268" s="3" t="s">
        <v>2750</v>
      </c>
      <c r="AE268" s="4">
        <v>-62.512508599999997</v>
      </c>
      <c r="AF268" s="4">
        <f t="shared" si="31"/>
        <v>-59.650757395999996</v>
      </c>
      <c r="AG268" s="60" t="s">
        <v>16</v>
      </c>
      <c r="AH268" s="61" t="s">
        <v>16</v>
      </c>
      <c r="AI268" s="57">
        <f t="shared" si="29"/>
        <v>-59.650757395999996</v>
      </c>
      <c r="AJ268" s="3">
        <f t="shared" si="28"/>
        <v>6</v>
      </c>
      <c r="AK268" s="3" t="s">
        <v>2707</v>
      </c>
      <c r="AL268">
        <v>6</v>
      </c>
      <c r="AM268" t="s">
        <v>980</v>
      </c>
    </row>
    <row r="269" spans="1:39" ht="15" hidden="1" thickTop="1" x14ac:dyDescent="0.3">
      <c r="A269" s="51" t="s">
        <v>2397</v>
      </c>
      <c r="B269" s="54" t="s">
        <v>2398</v>
      </c>
      <c r="C269" s="51" t="s">
        <v>2765</v>
      </c>
      <c r="D269" s="53">
        <v>1</v>
      </c>
      <c r="E269" s="53">
        <v>0</v>
      </c>
      <c r="F269" s="51" t="s">
        <v>2744</v>
      </c>
      <c r="G269" s="51" t="s">
        <v>2695</v>
      </c>
      <c r="H269" s="25" t="s">
        <v>2762</v>
      </c>
      <c r="I269" t="s">
        <v>385</v>
      </c>
      <c r="J269" t="s">
        <v>539</v>
      </c>
      <c r="K269" t="s">
        <v>1819</v>
      </c>
      <c r="L269" s="25">
        <v>46.906095100000002</v>
      </c>
      <c r="M269" s="25">
        <v>6.677620084</v>
      </c>
      <c r="N269">
        <v>6</v>
      </c>
      <c r="O269">
        <v>2</v>
      </c>
      <c r="P269">
        <v>11</v>
      </c>
      <c r="Q269">
        <v>2017</v>
      </c>
      <c r="R269" s="9">
        <v>43041</v>
      </c>
      <c r="S269" t="s">
        <v>16</v>
      </c>
      <c r="T269">
        <v>0</v>
      </c>
      <c r="U269">
        <v>0</v>
      </c>
      <c r="V269">
        <v>0</v>
      </c>
      <c r="W269">
        <v>1</v>
      </c>
      <c r="X269" s="57">
        <f t="shared" si="30"/>
        <v>-79.413608575000012</v>
      </c>
      <c r="Y269" t="s">
        <v>16</v>
      </c>
      <c r="Z269">
        <v>6.7294726100000002</v>
      </c>
      <c r="AA269" s="3">
        <f t="shared" si="32"/>
        <v>8</v>
      </c>
      <c r="AB269" s="3">
        <f t="shared" si="33"/>
        <v>7</v>
      </c>
      <c r="AD269" s="3" t="s">
        <v>2750</v>
      </c>
      <c r="AE269" s="4">
        <v>-61.780101000000002</v>
      </c>
      <c r="AF269" s="4">
        <f t="shared" si="31"/>
        <v>-59.020886860000005</v>
      </c>
      <c r="AG269" s="60" t="s">
        <v>16</v>
      </c>
      <c r="AH269" s="61" t="s">
        <v>16</v>
      </c>
      <c r="AI269" s="57">
        <f t="shared" si="29"/>
        <v>-59.020886860000005</v>
      </c>
      <c r="AJ269" s="3">
        <f t="shared" si="28"/>
        <v>6</v>
      </c>
      <c r="AK269" s="3" t="s">
        <v>2707</v>
      </c>
      <c r="AL269">
        <v>6</v>
      </c>
      <c r="AM269" t="s">
        <v>980</v>
      </c>
    </row>
    <row r="270" spans="1:39" ht="15" hidden="1" thickTop="1" x14ac:dyDescent="0.3">
      <c r="A270" s="51" t="s">
        <v>2419</v>
      </c>
      <c r="B270" s="54" t="s">
        <v>2420</v>
      </c>
      <c r="C270" s="51" t="s">
        <v>2765</v>
      </c>
      <c r="D270" s="53">
        <v>1</v>
      </c>
      <c r="E270" s="53">
        <v>0</v>
      </c>
      <c r="F270" s="51" t="s">
        <v>2744</v>
      </c>
      <c r="G270" s="51" t="s">
        <v>2695</v>
      </c>
      <c r="H270" s="25" t="s">
        <v>2762</v>
      </c>
      <c r="I270" t="s">
        <v>13</v>
      </c>
      <c r="J270" t="s">
        <v>1732</v>
      </c>
      <c r="K270" t="s">
        <v>1822</v>
      </c>
      <c r="L270" s="25">
        <v>46.996610359999998</v>
      </c>
      <c r="M270" s="25">
        <v>6.70263279</v>
      </c>
      <c r="N270">
        <v>6</v>
      </c>
      <c r="O270">
        <v>10</v>
      </c>
      <c r="P270">
        <v>11</v>
      </c>
      <c r="Q270">
        <v>2017</v>
      </c>
      <c r="R270" s="9">
        <v>43049</v>
      </c>
      <c r="S270" t="s">
        <v>16</v>
      </c>
      <c r="T270">
        <v>0</v>
      </c>
      <c r="U270">
        <v>0</v>
      </c>
      <c r="V270">
        <v>0</v>
      </c>
      <c r="W270">
        <v>1</v>
      </c>
      <c r="X270" s="57">
        <f t="shared" si="30"/>
        <v>-79.26650041500001</v>
      </c>
      <c r="Y270" t="s">
        <v>16</v>
      </c>
      <c r="Z270">
        <v>8.8922701620000009</v>
      </c>
      <c r="AA270" s="3">
        <f t="shared" si="32"/>
        <v>8</v>
      </c>
      <c r="AB270" s="3">
        <f t="shared" si="33"/>
        <v>9</v>
      </c>
      <c r="AD270" s="3" t="s">
        <v>2750</v>
      </c>
      <c r="AE270" s="4">
        <v>-61.643256200000003</v>
      </c>
      <c r="AF270" s="4">
        <f t="shared" si="31"/>
        <v>-58.903200332000004</v>
      </c>
      <c r="AG270" s="60" t="s">
        <v>16</v>
      </c>
      <c r="AH270" s="61" t="s">
        <v>16</v>
      </c>
      <c r="AI270" s="57">
        <f t="shared" si="29"/>
        <v>-58.903200332000004</v>
      </c>
      <c r="AJ270" s="3">
        <f t="shared" si="28"/>
        <v>6</v>
      </c>
      <c r="AK270" s="3" t="s">
        <v>2707</v>
      </c>
      <c r="AL270">
        <v>6</v>
      </c>
      <c r="AM270" t="s">
        <v>980</v>
      </c>
    </row>
    <row r="271" spans="1:39" ht="15" hidden="1" thickTop="1" x14ac:dyDescent="0.3">
      <c r="A271" s="51" t="s">
        <v>2166</v>
      </c>
      <c r="B271" s="54" t="s">
        <v>2167</v>
      </c>
      <c r="C271" s="51" t="s">
        <v>2765</v>
      </c>
      <c r="D271" s="53">
        <v>1</v>
      </c>
      <c r="E271" s="53">
        <v>0</v>
      </c>
      <c r="F271" s="51" t="s">
        <v>2744</v>
      </c>
      <c r="G271" s="51" t="s">
        <v>2695</v>
      </c>
      <c r="H271" s="25" t="s">
        <v>2762</v>
      </c>
      <c r="I271" t="s">
        <v>385</v>
      </c>
      <c r="J271" t="s">
        <v>539</v>
      </c>
      <c r="K271" t="s">
        <v>1819</v>
      </c>
      <c r="L271" s="25">
        <v>46.909555189999999</v>
      </c>
      <c r="M271" s="25">
        <v>6.6839243679999996</v>
      </c>
      <c r="N271">
        <v>6</v>
      </c>
      <c r="O271">
        <v>20</v>
      </c>
      <c r="P271">
        <v>10</v>
      </c>
      <c r="Q271">
        <v>2017</v>
      </c>
      <c r="R271" s="9">
        <v>43028</v>
      </c>
      <c r="S271" t="s">
        <v>16</v>
      </c>
      <c r="T271">
        <v>0</v>
      </c>
      <c r="U271">
        <v>0</v>
      </c>
      <c r="V271">
        <v>0</v>
      </c>
      <c r="W271">
        <v>1</v>
      </c>
      <c r="X271" s="57">
        <f t="shared" si="30"/>
        <v>-78.349548850000005</v>
      </c>
      <c r="Y271" t="s">
        <v>16</v>
      </c>
      <c r="Z271">
        <v>4.7507726830000001</v>
      </c>
      <c r="AA271" s="3">
        <f t="shared" si="32"/>
        <v>8</v>
      </c>
      <c r="AB271" s="3">
        <f t="shared" si="33"/>
        <v>5</v>
      </c>
      <c r="AD271" s="3" t="s">
        <v>2750</v>
      </c>
      <c r="AE271" s="4">
        <v>-60.790278000000001</v>
      </c>
      <c r="AF271" s="4">
        <f t="shared" si="31"/>
        <v>-58.169639080000003</v>
      </c>
      <c r="AG271" s="60" t="s">
        <v>16</v>
      </c>
      <c r="AH271" s="61" t="s">
        <v>16</v>
      </c>
      <c r="AI271" s="57">
        <f t="shared" si="29"/>
        <v>-58.169639080000003</v>
      </c>
      <c r="AJ271" s="3">
        <f t="shared" si="28"/>
        <v>6</v>
      </c>
      <c r="AK271" s="3" t="s">
        <v>2707</v>
      </c>
      <c r="AL271">
        <v>6</v>
      </c>
      <c r="AM271" t="s">
        <v>980</v>
      </c>
    </row>
    <row r="272" spans="1:39" ht="15" hidden="1" thickTop="1" x14ac:dyDescent="0.3">
      <c r="A272" s="51" t="s">
        <v>1765</v>
      </c>
      <c r="B272" s="54" t="s">
        <v>1766</v>
      </c>
      <c r="C272" s="51" t="s">
        <v>2765</v>
      </c>
      <c r="D272" s="53">
        <v>1</v>
      </c>
      <c r="E272" s="53">
        <v>0</v>
      </c>
      <c r="F272" s="51" t="s">
        <v>2744</v>
      </c>
      <c r="G272" s="51" t="s">
        <v>2695</v>
      </c>
      <c r="H272" s="25" t="s">
        <v>2762</v>
      </c>
      <c r="I272" t="s">
        <v>13</v>
      </c>
      <c r="J272" t="s">
        <v>1715</v>
      </c>
      <c r="K272" t="s">
        <v>1764</v>
      </c>
      <c r="L272" s="25">
        <v>46.932756009999999</v>
      </c>
      <c r="M272" s="25">
        <v>6.4625408550000003</v>
      </c>
      <c r="N272">
        <v>6</v>
      </c>
      <c r="O272">
        <v>23</v>
      </c>
      <c r="P272">
        <v>10</v>
      </c>
      <c r="Q272">
        <v>2016</v>
      </c>
      <c r="R272" s="9">
        <v>42666</v>
      </c>
      <c r="S272">
        <v>350</v>
      </c>
      <c r="T272">
        <v>0</v>
      </c>
      <c r="U272">
        <v>0</v>
      </c>
      <c r="V272">
        <v>0</v>
      </c>
      <c r="W272">
        <v>1</v>
      </c>
      <c r="X272" s="57">
        <f t="shared" si="30"/>
        <v>-76.705613915000001</v>
      </c>
      <c r="Y272">
        <v>-23.92</v>
      </c>
      <c r="Z272">
        <v>5.78</v>
      </c>
      <c r="AA272" s="3">
        <f t="shared" si="32"/>
        <v>8</v>
      </c>
      <c r="AB272" s="3">
        <f t="shared" si="33"/>
        <v>6</v>
      </c>
      <c r="AD272" s="3" t="s">
        <v>2750</v>
      </c>
      <c r="AE272" s="4">
        <v>-59.261036199999999</v>
      </c>
      <c r="AF272" s="4">
        <f t="shared" si="31"/>
        <v>-56.854491132</v>
      </c>
      <c r="AG272" s="60" t="s">
        <v>16</v>
      </c>
      <c r="AH272" s="61" t="s">
        <v>16</v>
      </c>
      <c r="AI272" s="57">
        <f t="shared" si="29"/>
        <v>-56.854491132</v>
      </c>
      <c r="AJ272" s="3">
        <f t="shared" si="28"/>
        <v>6</v>
      </c>
      <c r="AK272" s="3" t="s">
        <v>2707</v>
      </c>
      <c r="AL272">
        <v>6</v>
      </c>
      <c r="AM272" t="s">
        <v>980</v>
      </c>
    </row>
    <row r="273" spans="1:39" ht="15" hidden="1" thickTop="1" x14ac:dyDescent="0.3">
      <c r="A273" s="51" t="s">
        <v>2176</v>
      </c>
      <c r="B273" s="54" t="s">
        <v>2177</v>
      </c>
      <c r="C273" s="51" t="s">
        <v>2765</v>
      </c>
      <c r="D273" s="53">
        <v>1</v>
      </c>
      <c r="E273" s="53">
        <v>0</v>
      </c>
      <c r="F273" s="51" t="s">
        <v>2744</v>
      </c>
      <c r="G273" s="51" t="s">
        <v>2695</v>
      </c>
      <c r="H273" s="25" t="s">
        <v>2762</v>
      </c>
      <c r="I273" t="s">
        <v>385</v>
      </c>
      <c r="J273" t="s">
        <v>539</v>
      </c>
      <c r="K273" t="s">
        <v>1819</v>
      </c>
      <c r="L273" s="25">
        <v>46.904700890000001</v>
      </c>
      <c r="M273" s="25">
        <v>6.6749359860000004</v>
      </c>
      <c r="N273">
        <v>6</v>
      </c>
      <c r="O273">
        <v>21</v>
      </c>
      <c r="P273">
        <v>10</v>
      </c>
      <c r="Q273">
        <v>2017</v>
      </c>
      <c r="R273" s="9">
        <v>43029</v>
      </c>
      <c r="S273" t="s">
        <v>16</v>
      </c>
      <c r="T273">
        <v>0</v>
      </c>
      <c r="U273">
        <v>0</v>
      </c>
      <c r="V273">
        <v>0</v>
      </c>
      <c r="W273">
        <v>1</v>
      </c>
      <c r="X273" s="57">
        <f t="shared" si="30"/>
        <v>-75.755960312500008</v>
      </c>
      <c r="Y273" t="s">
        <v>16</v>
      </c>
      <c r="Z273">
        <v>5.9873324280000002</v>
      </c>
      <c r="AA273" s="3">
        <f t="shared" si="32"/>
        <v>8</v>
      </c>
      <c r="AB273" s="3">
        <f t="shared" si="33"/>
        <v>6</v>
      </c>
      <c r="AD273" s="3" t="s">
        <v>2750</v>
      </c>
      <c r="AE273" s="4">
        <v>-58.377637499999999</v>
      </c>
      <c r="AF273" s="4">
        <f t="shared" si="31"/>
        <v>-56.094768250000001</v>
      </c>
      <c r="AG273" s="60" t="s">
        <v>16</v>
      </c>
      <c r="AH273" s="61" t="s">
        <v>16</v>
      </c>
      <c r="AI273" s="57">
        <f t="shared" si="29"/>
        <v>-56.094768250000001</v>
      </c>
      <c r="AJ273" s="3">
        <f t="shared" si="28"/>
        <v>6</v>
      </c>
      <c r="AK273" s="3" t="s">
        <v>2707</v>
      </c>
      <c r="AL273">
        <v>6</v>
      </c>
      <c r="AM273" t="s">
        <v>980</v>
      </c>
    </row>
    <row r="274" spans="1:39" ht="15" hidden="1" thickTop="1" x14ac:dyDescent="0.3">
      <c r="A274" s="51" t="s">
        <v>2401</v>
      </c>
      <c r="B274" s="54" t="s">
        <v>2402</v>
      </c>
      <c r="C274" s="51" t="s">
        <v>2765</v>
      </c>
      <c r="D274" s="53">
        <v>1</v>
      </c>
      <c r="E274" s="53">
        <v>0</v>
      </c>
      <c r="F274" s="51" t="s">
        <v>2744</v>
      </c>
      <c r="G274" s="51" t="s">
        <v>2695</v>
      </c>
      <c r="H274" s="25" t="s">
        <v>2762</v>
      </c>
      <c r="I274" t="s">
        <v>385</v>
      </c>
      <c r="J274" t="s">
        <v>539</v>
      </c>
      <c r="K274" t="s">
        <v>2325</v>
      </c>
      <c r="L274" s="25">
        <v>46.901266</v>
      </c>
      <c r="M274" s="25">
        <v>6.6778590280000003</v>
      </c>
      <c r="N274">
        <v>6</v>
      </c>
      <c r="O274">
        <v>2</v>
      </c>
      <c r="P274">
        <v>11</v>
      </c>
      <c r="Q274">
        <v>2017</v>
      </c>
      <c r="R274" s="9">
        <v>43041</v>
      </c>
      <c r="S274" t="s">
        <v>16</v>
      </c>
      <c r="T274">
        <v>0</v>
      </c>
      <c r="U274">
        <v>0</v>
      </c>
      <c r="V274">
        <v>0</v>
      </c>
      <c r="W274">
        <v>1</v>
      </c>
      <c r="X274" s="57">
        <f t="shared" si="30"/>
        <v>-74.861131280000009</v>
      </c>
      <c r="Y274" t="s">
        <v>16</v>
      </c>
      <c r="Z274">
        <v>6.4195077019999998</v>
      </c>
      <c r="AA274" s="3">
        <f t="shared" si="32"/>
        <v>7</v>
      </c>
      <c r="AB274" s="3">
        <f t="shared" si="33"/>
        <v>6</v>
      </c>
      <c r="AD274" s="3" t="s">
        <v>2750</v>
      </c>
      <c r="AE274" s="4">
        <v>-57.545238400000002</v>
      </c>
      <c r="AF274" s="4">
        <f t="shared" si="31"/>
        <v>-55.378905024000005</v>
      </c>
      <c r="AG274" s="60" t="s">
        <v>16</v>
      </c>
      <c r="AH274" s="61" t="s">
        <v>16</v>
      </c>
      <c r="AI274" s="57">
        <f t="shared" si="29"/>
        <v>-55.378905024000005</v>
      </c>
      <c r="AJ274" s="3">
        <f t="shared" si="28"/>
        <v>6</v>
      </c>
      <c r="AK274" s="3" t="s">
        <v>2707</v>
      </c>
      <c r="AL274">
        <v>6</v>
      </c>
      <c r="AM274" t="s">
        <v>980</v>
      </c>
    </row>
    <row r="275" spans="1:39" ht="15" hidden="1" thickTop="1" x14ac:dyDescent="0.3">
      <c r="A275" s="51" t="s">
        <v>2172</v>
      </c>
      <c r="B275" s="54" t="s">
        <v>2173</v>
      </c>
      <c r="C275" s="51" t="s">
        <v>2765</v>
      </c>
      <c r="D275" s="53">
        <v>1</v>
      </c>
      <c r="E275" s="53">
        <v>0</v>
      </c>
      <c r="F275" s="51" t="s">
        <v>2744</v>
      </c>
      <c r="G275" s="51" t="s">
        <v>2695</v>
      </c>
      <c r="H275" s="25" t="s">
        <v>2762</v>
      </c>
      <c r="I275" t="s">
        <v>385</v>
      </c>
      <c r="J275" t="s">
        <v>539</v>
      </c>
      <c r="K275" t="s">
        <v>1819</v>
      </c>
      <c r="L275" s="25">
        <v>46.903400400000002</v>
      </c>
      <c r="M275" s="25">
        <v>6.6755188289999996</v>
      </c>
      <c r="N275">
        <v>6</v>
      </c>
      <c r="O275">
        <v>21</v>
      </c>
      <c r="P275">
        <v>10</v>
      </c>
      <c r="Q275">
        <v>2017</v>
      </c>
      <c r="R275" s="9">
        <v>43029</v>
      </c>
      <c r="S275" t="s">
        <v>16</v>
      </c>
      <c r="T275">
        <v>0</v>
      </c>
      <c r="U275">
        <v>0</v>
      </c>
      <c r="V275">
        <v>0</v>
      </c>
      <c r="W275">
        <v>1</v>
      </c>
      <c r="X275" s="57">
        <f t="shared" si="30"/>
        <v>-74.443255667499997</v>
      </c>
      <c r="Y275" t="s">
        <v>16</v>
      </c>
      <c r="Z275">
        <v>6.2494094899999997</v>
      </c>
      <c r="AA275" s="3">
        <f t="shared" si="32"/>
        <v>7</v>
      </c>
      <c r="AB275" s="3">
        <f t="shared" si="33"/>
        <v>6</v>
      </c>
      <c r="AD275" s="3" t="s">
        <v>2750</v>
      </c>
      <c r="AE275" s="4">
        <v>-57.1565169</v>
      </c>
      <c r="AF275" s="4">
        <f t="shared" si="31"/>
        <v>-55.044604534000001</v>
      </c>
      <c r="AG275" s="60" t="s">
        <v>16</v>
      </c>
      <c r="AH275" s="61" t="s">
        <v>16</v>
      </c>
      <c r="AI275" s="57">
        <f t="shared" si="29"/>
        <v>-55.044604534000001</v>
      </c>
      <c r="AJ275" s="3">
        <f t="shared" si="28"/>
        <v>6</v>
      </c>
      <c r="AK275" s="3" t="s">
        <v>2707</v>
      </c>
      <c r="AL275">
        <v>6</v>
      </c>
      <c r="AM275" t="s">
        <v>980</v>
      </c>
    </row>
    <row r="276" spans="1:39" ht="15" hidden="1" thickTop="1" x14ac:dyDescent="0.3">
      <c r="A276" s="51" t="s">
        <v>1860</v>
      </c>
      <c r="B276" s="54" t="s">
        <v>1861</v>
      </c>
      <c r="C276" s="51" t="s">
        <v>2765</v>
      </c>
      <c r="D276" s="53">
        <v>1</v>
      </c>
      <c r="E276" s="53">
        <v>0</v>
      </c>
      <c r="F276" s="51" t="s">
        <v>2744</v>
      </c>
      <c r="G276" s="51" t="s">
        <v>2695</v>
      </c>
      <c r="H276" s="25" t="s">
        <v>2762</v>
      </c>
      <c r="I276" t="s">
        <v>385</v>
      </c>
      <c r="J276" t="s">
        <v>539</v>
      </c>
      <c r="K276" t="s">
        <v>1819</v>
      </c>
      <c r="L276" s="25">
        <v>46.909555189999999</v>
      </c>
      <c r="M276" s="25">
        <v>6.6839243679999996</v>
      </c>
      <c r="N276">
        <v>6</v>
      </c>
      <c r="O276">
        <v>20</v>
      </c>
      <c r="P276">
        <v>10</v>
      </c>
      <c r="Q276">
        <v>2017</v>
      </c>
      <c r="R276" s="9">
        <v>43028</v>
      </c>
      <c r="S276" t="s">
        <v>16</v>
      </c>
      <c r="T276">
        <v>0</v>
      </c>
      <c r="U276">
        <v>0</v>
      </c>
      <c r="V276">
        <v>0</v>
      </c>
      <c r="W276">
        <v>1</v>
      </c>
      <c r="X276" s="57">
        <f t="shared" si="30"/>
        <v>-74.005879877500007</v>
      </c>
      <c r="Y276" t="s">
        <v>16</v>
      </c>
      <c r="Z276">
        <v>8.603591539</v>
      </c>
      <c r="AA276" s="3">
        <f t="shared" si="32"/>
        <v>7</v>
      </c>
      <c r="AB276" s="3">
        <f t="shared" si="33"/>
        <v>9</v>
      </c>
      <c r="AD276" s="3" t="s">
        <v>2750</v>
      </c>
      <c r="AE276" s="4">
        <v>-56.749655699999998</v>
      </c>
      <c r="AF276" s="4">
        <f t="shared" si="31"/>
        <v>-54.694703902000001</v>
      </c>
      <c r="AG276" s="60" t="s">
        <v>16</v>
      </c>
      <c r="AH276" s="61" t="s">
        <v>16</v>
      </c>
      <c r="AI276" s="57">
        <f t="shared" si="29"/>
        <v>-54.694703902000001</v>
      </c>
      <c r="AJ276" s="3">
        <f t="shared" si="28"/>
        <v>5</v>
      </c>
      <c r="AK276" s="3" t="s">
        <v>2706</v>
      </c>
      <c r="AL276">
        <v>6</v>
      </c>
      <c r="AM276" t="s">
        <v>980</v>
      </c>
    </row>
    <row r="277" spans="1:39" ht="15" hidden="1" thickTop="1" x14ac:dyDescent="0.3">
      <c r="A277" s="51" t="s">
        <v>2428</v>
      </c>
      <c r="B277" s="54" t="s">
        <v>2429</v>
      </c>
      <c r="C277" s="51" t="s">
        <v>2765</v>
      </c>
      <c r="D277" s="53">
        <v>1</v>
      </c>
      <c r="E277" s="53">
        <v>0</v>
      </c>
      <c r="F277" s="51" t="s">
        <v>2744</v>
      </c>
      <c r="G277" s="51" t="s">
        <v>2695</v>
      </c>
      <c r="H277" s="25" t="s">
        <v>2762</v>
      </c>
      <c r="I277" t="s">
        <v>13</v>
      </c>
      <c r="J277" t="s">
        <v>1732</v>
      </c>
      <c r="K277" t="s">
        <v>1822</v>
      </c>
      <c r="L277" s="25">
        <v>46.99492</v>
      </c>
      <c r="M277" s="25">
        <v>6.6970799999999997</v>
      </c>
      <c r="N277">
        <v>6</v>
      </c>
      <c r="O277">
        <v>24</v>
      </c>
      <c r="P277">
        <v>11</v>
      </c>
      <c r="Q277">
        <v>2017</v>
      </c>
      <c r="R277" s="9">
        <v>43063</v>
      </c>
      <c r="S277" t="s">
        <v>16</v>
      </c>
      <c r="T277">
        <v>0</v>
      </c>
      <c r="U277">
        <v>0</v>
      </c>
      <c r="V277">
        <v>0</v>
      </c>
      <c r="W277">
        <v>1</v>
      </c>
      <c r="X277" s="57">
        <f t="shared" si="30"/>
        <v>-73.333406425000007</v>
      </c>
      <c r="Y277" t="s">
        <v>16</v>
      </c>
      <c r="Z277">
        <v>6.0384375830000003</v>
      </c>
      <c r="AA277" s="3">
        <f t="shared" si="32"/>
        <v>7</v>
      </c>
      <c r="AB277" s="3">
        <f t="shared" si="33"/>
        <v>6</v>
      </c>
      <c r="AD277" s="3" t="s">
        <v>2750</v>
      </c>
      <c r="AE277" s="4">
        <v>-56.124099000000001</v>
      </c>
      <c r="AF277" s="4">
        <f t="shared" si="31"/>
        <v>-54.156725139999999</v>
      </c>
      <c r="AG277" s="60" t="s">
        <v>16</v>
      </c>
      <c r="AH277" s="61" t="s">
        <v>16</v>
      </c>
      <c r="AI277" s="57">
        <f t="shared" si="29"/>
        <v>-54.156725139999999</v>
      </c>
      <c r="AJ277" s="3">
        <f t="shared" si="28"/>
        <v>5</v>
      </c>
      <c r="AK277" s="3" t="s">
        <v>2706</v>
      </c>
      <c r="AL277">
        <v>6</v>
      </c>
      <c r="AM277" t="s">
        <v>980</v>
      </c>
    </row>
    <row r="278" spans="1:39" ht="15" hidden="1" thickTop="1" x14ac:dyDescent="0.3">
      <c r="A278" s="51" t="s">
        <v>2393</v>
      </c>
      <c r="B278" s="54" t="s">
        <v>2394</v>
      </c>
      <c r="C278" s="51" t="s">
        <v>2765</v>
      </c>
      <c r="D278" s="53">
        <v>1</v>
      </c>
      <c r="E278" s="53">
        <v>0</v>
      </c>
      <c r="F278" s="51" t="s">
        <v>2744</v>
      </c>
      <c r="G278" s="51" t="s">
        <v>2695</v>
      </c>
      <c r="H278" s="25" t="s">
        <v>2762</v>
      </c>
      <c r="I278" t="s">
        <v>13</v>
      </c>
      <c r="J278" t="s">
        <v>1732</v>
      </c>
      <c r="K278" t="s">
        <v>1822</v>
      </c>
      <c r="L278" s="25">
        <v>46.996004149999997</v>
      </c>
      <c r="M278" s="25">
        <v>6.6978947980000001</v>
      </c>
      <c r="N278">
        <v>6</v>
      </c>
      <c r="O278">
        <v>2</v>
      </c>
      <c r="P278">
        <v>11</v>
      </c>
      <c r="Q278">
        <v>2017</v>
      </c>
      <c r="R278" s="9">
        <v>43041</v>
      </c>
      <c r="S278" t="s">
        <v>16</v>
      </c>
      <c r="T278">
        <v>0</v>
      </c>
      <c r="U278">
        <v>0</v>
      </c>
      <c r="V278">
        <v>0</v>
      </c>
      <c r="W278">
        <v>1</v>
      </c>
      <c r="X278" s="57">
        <f t="shared" ref="X278:X308" si="34">1.25 * AF278 - 5.6375</f>
        <v>-72.533239205000001</v>
      </c>
      <c r="Y278" t="s">
        <v>16</v>
      </c>
      <c r="Z278">
        <v>5.7328943819999996</v>
      </c>
      <c r="AA278" s="3">
        <f t="shared" ref="AA278:AA341" si="35">-ROUND(X278/10,0)</f>
        <v>7</v>
      </c>
      <c r="AB278" s="3">
        <f t="shared" ref="AB278:AB309" si="36">ROUND(Z278,0)</f>
        <v>6</v>
      </c>
      <c r="AD278" s="3" t="s">
        <v>2750</v>
      </c>
      <c r="AE278" s="4">
        <v>-55.379757400000003</v>
      </c>
      <c r="AF278" s="4">
        <f t="shared" ref="AF278:AF341" si="37">IF(AI278&lt;0,AI278,AE278)</f>
        <v>-53.516591364</v>
      </c>
      <c r="AG278" s="60" t="s">
        <v>16</v>
      </c>
      <c r="AH278" s="61" t="s">
        <v>16</v>
      </c>
      <c r="AI278" s="57">
        <f t="shared" ref="AI278:AI308" si="38">(-5.89) + 0.86*AE278</f>
        <v>-53.516591364</v>
      </c>
      <c r="AJ278" s="3">
        <f t="shared" ref="AJ278:AJ341" si="39">-ROUND(AF278/10,0)</f>
        <v>5</v>
      </c>
      <c r="AK278" s="3" t="s">
        <v>2706</v>
      </c>
      <c r="AL278">
        <v>6</v>
      </c>
      <c r="AM278" t="s">
        <v>980</v>
      </c>
    </row>
    <row r="279" spans="1:39" ht="15" hidden="1" thickTop="1" x14ac:dyDescent="0.3">
      <c r="A279" s="51" t="s">
        <v>2238</v>
      </c>
      <c r="B279" s="54" t="s">
        <v>2239</v>
      </c>
      <c r="C279" s="51" t="s">
        <v>2765</v>
      </c>
      <c r="D279" s="53">
        <v>1</v>
      </c>
      <c r="E279" s="53">
        <v>0</v>
      </c>
      <c r="F279" s="51" t="s">
        <v>2744</v>
      </c>
      <c r="G279" s="51" t="s">
        <v>2695</v>
      </c>
      <c r="H279" s="25" t="s">
        <v>2762</v>
      </c>
      <c r="I279" t="s">
        <v>385</v>
      </c>
      <c r="J279" t="s">
        <v>539</v>
      </c>
      <c r="K279" t="s">
        <v>2240</v>
      </c>
      <c r="L279" s="25">
        <v>46.910787020000001</v>
      </c>
      <c r="M279" s="25">
        <v>6.686571829</v>
      </c>
      <c r="N279">
        <v>6</v>
      </c>
      <c r="O279">
        <v>1</v>
      </c>
      <c r="P279">
        <v>11</v>
      </c>
      <c r="Q279">
        <v>2016</v>
      </c>
      <c r="R279" s="9">
        <v>42675</v>
      </c>
      <c r="S279">
        <v>300</v>
      </c>
      <c r="T279">
        <v>0</v>
      </c>
      <c r="U279">
        <v>0</v>
      </c>
      <c r="V279">
        <v>0</v>
      </c>
      <c r="W279">
        <v>1</v>
      </c>
      <c r="X279" s="57">
        <f t="shared" si="34"/>
        <v>-72.080425340000005</v>
      </c>
      <c r="Y279">
        <v>-23.25</v>
      </c>
      <c r="Z279">
        <v>6.99</v>
      </c>
      <c r="AA279" s="3">
        <f t="shared" si="35"/>
        <v>7</v>
      </c>
      <c r="AB279" s="3">
        <f t="shared" si="36"/>
        <v>7</v>
      </c>
      <c r="AD279" s="3" t="s">
        <v>2750</v>
      </c>
      <c r="AE279" s="4">
        <v>-54.9585352</v>
      </c>
      <c r="AF279" s="4">
        <f t="shared" si="37"/>
        <v>-53.154340271999999</v>
      </c>
      <c r="AG279" s="60" t="s">
        <v>16</v>
      </c>
      <c r="AH279" s="61" t="s">
        <v>16</v>
      </c>
      <c r="AI279" s="57">
        <f t="shared" si="38"/>
        <v>-53.154340271999999</v>
      </c>
      <c r="AJ279" s="3">
        <f t="shared" si="39"/>
        <v>5</v>
      </c>
      <c r="AK279" s="3" t="s">
        <v>2706</v>
      </c>
      <c r="AL279">
        <v>5</v>
      </c>
      <c r="AM279" t="s">
        <v>980</v>
      </c>
    </row>
    <row r="280" spans="1:39" ht="15" hidden="1" thickTop="1" x14ac:dyDescent="0.3">
      <c r="A280" s="51" t="s">
        <v>2326</v>
      </c>
      <c r="B280" s="54" t="s">
        <v>2327</v>
      </c>
      <c r="C280" s="51" t="s">
        <v>2765</v>
      </c>
      <c r="D280" s="53">
        <v>1</v>
      </c>
      <c r="E280" s="53">
        <v>0</v>
      </c>
      <c r="F280" s="51" t="s">
        <v>2744</v>
      </c>
      <c r="G280" s="51" t="s">
        <v>2695</v>
      </c>
      <c r="H280" s="25" t="s">
        <v>2762</v>
      </c>
      <c r="I280" t="s">
        <v>385</v>
      </c>
      <c r="J280" t="s">
        <v>539</v>
      </c>
      <c r="K280" t="s">
        <v>1819</v>
      </c>
      <c r="L280" s="25">
        <v>46.905613879999997</v>
      </c>
      <c r="M280" s="25">
        <v>6.6783034490000004</v>
      </c>
      <c r="N280">
        <v>6</v>
      </c>
      <c r="O280">
        <v>25</v>
      </c>
      <c r="P280">
        <v>10</v>
      </c>
      <c r="Q280">
        <v>2017</v>
      </c>
      <c r="R280" s="9">
        <v>43033</v>
      </c>
      <c r="S280" t="s">
        <v>16</v>
      </c>
      <c r="T280">
        <v>0</v>
      </c>
      <c r="U280">
        <v>0</v>
      </c>
      <c r="V280">
        <v>0</v>
      </c>
      <c r="W280">
        <v>1</v>
      </c>
      <c r="X280" s="57">
        <f t="shared" si="34"/>
        <v>-71.544705969999995</v>
      </c>
      <c r="Y280" t="s">
        <v>16</v>
      </c>
      <c r="Z280">
        <v>9.0923998259999994</v>
      </c>
      <c r="AA280" s="3">
        <f t="shared" si="35"/>
        <v>7</v>
      </c>
      <c r="AB280" s="3">
        <f t="shared" si="36"/>
        <v>9</v>
      </c>
      <c r="AD280" s="3" t="s">
        <v>2750</v>
      </c>
      <c r="AE280" s="4">
        <v>-54.460191600000002</v>
      </c>
      <c r="AF280" s="4">
        <f t="shared" si="37"/>
        <v>-52.725764775999998</v>
      </c>
      <c r="AG280" s="60" t="s">
        <v>16</v>
      </c>
      <c r="AH280" s="61" t="s">
        <v>16</v>
      </c>
      <c r="AI280" s="57">
        <f t="shared" si="38"/>
        <v>-52.725764775999998</v>
      </c>
      <c r="AJ280" s="3">
        <f t="shared" si="39"/>
        <v>5</v>
      </c>
      <c r="AK280" s="3" t="s">
        <v>2706</v>
      </c>
      <c r="AL280">
        <v>5</v>
      </c>
      <c r="AM280" t="s">
        <v>980</v>
      </c>
    </row>
    <row r="281" spans="1:39" ht="15" hidden="1" thickTop="1" x14ac:dyDescent="0.3">
      <c r="A281" s="51" t="s">
        <v>2344</v>
      </c>
      <c r="B281" s="54" t="s">
        <v>2345</v>
      </c>
      <c r="C281" s="51" t="s">
        <v>2765</v>
      </c>
      <c r="D281" s="53">
        <v>1</v>
      </c>
      <c r="E281" s="53">
        <v>0</v>
      </c>
      <c r="F281" s="51" t="s">
        <v>2744</v>
      </c>
      <c r="G281" s="51" t="s">
        <v>2695</v>
      </c>
      <c r="H281" s="25" t="s">
        <v>2762</v>
      </c>
      <c r="I281" t="s">
        <v>13</v>
      </c>
      <c r="J281" t="s">
        <v>1057</v>
      </c>
      <c r="K281" t="s">
        <v>1854</v>
      </c>
      <c r="L281" s="25">
        <v>46.930979829999998</v>
      </c>
      <c r="M281" s="25">
        <v>6.5872384039999998</v>
      </c>
      <c r="N281">
        <v>6</v>
      </c>
      <c r="O281">
        <v>27</v>
      </c>
      <c r="P281">
        <v>10</v>
      </c>
      <c r="Q281">
        <v>2017</v>
      </c>
      <c r="R281" s="9">
        <v>43035</v>
      </c>
      <c r="S281" t="s">
        <v>16</v>
      </c>
      <c r="T281">
        <v>0</v>
      </c>
      <c r="U281">
        <v>0</v>
      </c>
      <c r="V281">
        <v>0</v>
      </c>
      <c r="W281">
        <v>1</v>
      </c>
      <c r="X281" s="57">
        <f t="shared" si="34"/>
        <v>-71.003055180000004</v>
      </c>
      <c r="Y281" t="s">
        <v>16</v>
      </c>
      <c r="Z281">
        <v>4.5338786420000003</v>
      </c>
      <c r="AA281" s="3">
        <f t="shared" si="35"/>
        <v>7</v>
      </c>
      <c r="AB281" s="3">
        <f t="shared" si="36"/>
        <v>5</v>
      </c>
      <c r="AD281" s="3" t="s">
        <v>2750</v>
      </c>
      <c r="AE281" s="4">
        <v>-53.956330399999999</v>
      </c>
      <c r="AF281" s="4">
        <f t="shared" si="37"/>
        <v>-52.292444144000001</v>
      </c>
      <c r="AG281" s="60" t="s">
        <v>16</v>
      </c>
      <c r="AH281" s="61" t="s">
        <v>16</v>
      </c>
      <c r="AI281" s="57">
        <f t="shared" si="38"/>
        <v>-52.292444144000001</v>
      </c>
      <c r="AJ281" s="3">
        <f t="shared" si="39"/>
        <v>5</v>
      </c>
      <c r="AK281" s="3" t="s">
        <v>2706</v>
      </c>
      <c r="AL281">
        <v>5</v>
      </c>
      <c r="AM281" t="s">
        <v>980</v>
      </c>
    </row>
    <row r="282" spans="1:39" ht="15" hidden="1" thickTop="1" x14ac:dyDescent="0.3">
      <c r="A282" s="51" t="s">
        <v>2303</v>
      </c>
      <c r="B282" s="54" t="s">
        <v>2304</v>
      </c>
      <c r="C282" s="51" t="s">
        <v>2765</v>
      </c>
      <c r="D282" s="53">
        <v>1</v>
      </c>
      <c r="E282" s="53">
        <v>0</v>
      </c>
      <c r="F282" s="51" t="s">
        <v>2744</v>
      </c>
      <c r="G282" s="51" t="s">
        <v>2695</v>
      </c>
      <c r="H282" s="25" t="s">
        <v>2762</v>
      </c>
      <c r="I282" t="s">
        <v>13</v>
      </c>
      <c r="J282" t="s">
        <v>19</v>
      </c>
      <c r="K282" t="s">
        <v>1837</v>
      </c>
      <c r="L282" s="25">
        <v>46.929676270000002</v>
      </c>
      <c r="M282" s="25">
        <v>6.4590117759999996</v>
      </c>
      <c r="N282">
        <v>6</v>
      </c>
      <c r="O282">
        <v>22</v>
      </c>
      <c r="P282">
        <v>10</v>
      </c>
      <c r="Q282">
        <v>2017</v>
      </c>
      <c r="R282" s="9">
        <v>43030</v>
      </c>
      <c r="S282" t="s">
        <v>16</v>
      </c>
      <c r="T282">
        <v>0</v>
      </c>
      <c r="U282">
        <v>0</v>
      </c>
      <c r="V282">
        <v>0</v>
      </c>
      <c r="W282">
        <v>1</v>
      </c>
      <c r="X282" s="57">
        <f t="shared" si="34"/>
        <v>-69.559342112500005</v>
      </c>
      <c r="Y282" t="s">
        <v>16</v>
      </c>
      <c r="Z282">
        <v>3.9123731039999998</v>
      </c>
      <c r="AA282" s="3">
        <f t="shared" si="35"/>
        <v>7</v>
      </c>
      <c r="AB282" s="3">
        <f t="shared" si="36"/>
        <v>4</v>
      </c>
      <c r="AD282" s="3" t="s">
        <v>2750</v>
      </c>
      <c r="AE282" s="4">
        <v>-52.613341499999997</v>
      </c>
      <c r="AF282" s="4">
        <f t="shared" si="37"/>
        <v>-51.13747369</v>
      </c>
      <c r="AG282" s="60" t="s">
        <v>16</v>
      </c>
      <c r="AH282" s="61" t="s">
        <v>16</v>
      </c>
      <c r="AI282" s="57">
        <f t="shared" si="38"/>
        <v>-51.13747369</v>
      </c>
      <c r="AJ282" s="3">
        <f t="shared" si="39"/>
        <v>5</v>
      </c>
      <c r="AK282" s="3" t="s">
        <v>2706</v>
      </c>
      <c r="AL282">
        <v>5</v>
      </c>
      <c r="AM282" t="s">
        <v>980</v>
      </c>
    </row>
    <row r="283" spans="1:39" ht="15" hidden="1" thickTop="1" x14ac:dyDescent="0.3">
      <c r="A283" s="51" t="s">
        <v>1848</v>
      </c>
      <c r="B283" s="54" t="s">
        <v>1849</v>
      </c>
      <c r="C283" s="51" t="s">
        <v>2765</v>
      </c>
      <c r="D283" s="53">
        <v>1</v>
      </c>
      <c r="E283" s="53">
        <v>0</v>
      </c>
      <c r="F283" s="51" t="s">
        <v>2744</v>
      </c>
      <c r="G283" s="51" t="s">
        <v>2695</v>
      </c>
      <c r="H283" s="25" t="s">
        <v>2762</v>
      </c>
      <c r="I283" t="s">
        <v>385</v>
      </c>
      <c r="J283" t="s">
        <v>386</v>
      </c>
      <c r="K283" t="s">
        <v>1829</v>
      </c>
      <c r="L283" s="25">
        <v>46.862811319999999</v>
      </c>
      <c r="M283" s="25">
        <v>6.5683394469999996</v>
      </c>
      <c r="N283">
        <v>6</v>
      </c>
      <c r="O283">
        <v>19</v>
      </c>
      <c r="P283">
        <v>10</v>
      </c>
      <c r="Q283">
        <v>2017</v>
      </c>
      <c r="R283" s="9">
        <v>43027</v>
      </c>
      <c r="S283" t="s">
        <v>16</v>
      </c>
      <c r="T283">
        <v>0</v>
      </c>
      <c r="U283">
        <v>0</v>
      </c>
      <c r="V283">
        <v>0</v>
      </c>
      <c r="W283">
        <v>1</v>
      </c>
      <c r="X283" s="57">
        <f t="shared" si="34"/>
        <v>-66.805007320000001</v>
      </c>
      <c r="Y283" t="s">
        <v>16</v>
      </c>
      <c r="Z283">
        <v>6.3007440209999999</v>
      </c>
      <c r="AA283" s="3">
        <f t="shared" si="35"/>
        <v>7</v>
      </c>
      <c r="AB283" s="3">
        <f t="shared" si="36"/>
        <v>6</v>
      </c>
      <c r="AD283" s="3" t="s">
        <v>2750</v>
      </c>
      <c r="AE283" s="4">
        <v>-50.051169600000001</v>
      </c>
      <c r="AF283" s="4">
        <f t="shared" si="37"/>
        <v>-48.934005855999999</v>
      </c>
      <c r="AG283" s="60" t="s">
        <v>16</v>
      </c>
      <c r="AH283" s="61" t="s">
        <v>16</v>
      </c>
      <c r="AI283" s="57">
        <f t="shared" si="38"/>
        <v>-48.934005855999999</v>
      </c>
      <c r="AJ283" s="3">
        <f t="shared" si="39"/>
        <v>5</v>
      </c>
      <c r="AK283" s="3" t="s">
        <v>2706</v>
      </c>
      <c r="AL283">
        <v>5</v>
      </c>
      <c r="AM283" t="s">
        <v>980</v>
      </c>
    </row>
    <row r="284" spans="1:39" ht="15" hidden="1" thickTop="1" x14ac:dyDescent="0.3">
      <c r="A284" s="51" t="s">
        <v>2275</v>
      </c>
      <c r="B284" s="54" t="s">
        <v>2276</v>
      </c>
      <c r="C284" s="51" t="s">
        <v>2765</v>
      </c>
      <c r="D284" s="53">
        <v>1</v>
      </c>
      <c r="E284" s="53">
        <v>0</v>
      </c>
      <c r="F284" s="51" t="s">
        <v>2744</v>
      </c>
      <c r="G284" s="51" t="s">
        <v>2695</v>
      </c>
      <c r="H284" s="25" t="s">
        <v>2762</v>
      </c>
      <c r="I284" t="s">
        <v>13</v>
      </c>
      <c r="J284" t="s">
        <v>1743</v>
      </c>
      <c r="K284" t="s">
        <v>1744</v>
      </c>
      <c r="L284" s="25">
        <v>46.993385060000001</v>
      </c>
      <c r="M284" s="25">
        <v>6.6962875510000002</v>
      </c>
      <c r="N284">
        <v>6</v>
      </c>
      <c r="O284">
        <v>5</v>
      </c>
      <c r="P284">
        <v>11</v>
      </c>
      <c r="Q284">
        <v>2016</v>
      </c>
      <c r="R284" s="9">
        <v>42679</v>
      </c>
      <c r="S284" t="s">
        <v>16</v>
      </c>
      <c r="T284">
        <v>0</v>
      </c>
      <c r="U284">
        <v>0</v>
      </c>
      <c r="V284">
        <v>0</v>
      </c>
      <c r="W284">
        <v>1</v>
      </c>
      <c r="X284" s="57">
        <f t="shared" si="34"/>
        <v>-65.138989089999995</v>
      </c>
      <c r="Y284">
        <v>-24.04</v>
      </c>
      <c r="Z284">
        <v>7.73</v>
      </c>
      <c r="AA284" s="3">
        <f t="shared" si="35"/>
        <v>7</v>
      </c>
      <c r="AB284" s="3">
        <f t="shared" si="36"/>
        <v>8</v>
      </c>
      <c r="AD284" s="3" t="s">
        <v>2750</v>
      </c>
      <c r="AE284" s="4">
        <v>-48.501385200000001</v>
      </c>
      <c r="AF284" s="4">
        <f t="shared" si="37"/>
        <v>-47.601191272000001</v>
      </c>
      <c r="AG284" s="60" t="s">
        <v>16</v>
      </c>
      <c r="AH284" s="61" t="s">
        <v>16</v>
      </c>
      <c r="AI284" s="57">
        <f t="shared" si="38"/>
        <v>-47.601191272000001</v>
      </c>
      <c r="AJ284" s="3">
        <f t="shared" si="39"/>
        <v>5</v>
      </c>
      <c r="AK284" s="3" t="s">
        <v>2706</v>
      </c>
      <c r="AL284">
        <v>5</v>
      </c>
      <c r="AM284" t="s">
        <v>980</v>
      </c>
    </row>
    <row r="285" spans="1:39" ht="15" hidden="1" thickTop="1" x14ac:dyDescent="0.3">
      <c r="A285" s="51" t="s">
        <v>2196</v>
      </c>
      <c r="B285" s="54" t="s">
        <v>2197</v>
      </c>
      <c r="C285" s="51" t="s">
        <v>2765</v>
      </c>
      <c r="D285" s="53">
        <v>1</v>
      </c>
      <c r="E285" s="53">
        <v>0</v>
      </c>
      <c r="F285" s="51" t="s">
        <v>2744</v>
      </c>
      <c r="G285" s="51" t="s">
        <v>2695</v>
      </c>
      <c r="H285" s="25" t="s">
        <v>2762</v>
      </c>
      <c r="I285" t="s">
        <v>13</v>
      </c>
      <c r="J285" t="s">
        <v>1743</v>
      </c>
      <c r="K285" t="s">
        <v>1744</v>
      </c>
      <c r="L285" s="25">
        <v>46.996084979999999</v>
      </c>
      <c r="M285" s="25">
        <v>6.7034682940000003</v>
      </c>
      <c r="N285">
        <v>6</v>
      </c>
      <c r="O285">
        <v>26</v>
      </c>
      <c r="P285">
        <v>10</v>
      </c>
      <c r="Q285">
        <v>2016</v>
      </c>
      <c r="R285" s="9">
        <v>42669</v>
      </c>
      <c r="S285">
        <v>343</v>
      </c>
      <c r="T285">
        <v>0</v>
      </c>
      <c r="U285">
        <v>0</v>
      </c>
      <c r="V285">
        <v>0</v>
      </c>
      <c r="W285">
        <v>1</v>
      </c>
      <c r="X285" s="57">
        <f t="shared" si="34"/>
        <v>-65.062998629999996</v>
      </c>
      <c r="Y285">
        <v>-24.27</v>
      </c>
      <c r="Z285">
        <v>6.18</v>
      </c>
      <c r="AA285" s="3">
        <f t="shared" si="35"/>
        <v>7</v>
      </c>
      <c r="AB285" s="3">
        <f t="shared" si="36"/>
        <v>6</v>
      </c>
      <c r="AD285" s="3" t="s">
        <v>2750</v>
      </c>
      <c r="AE285" s="4">
        <v>-48.430696400000002</v>
      </c>
      <c r="AF285" s="4">
        <f t="shared" si="37"/>
        <v>-47.540398904</v>
      </c>
      <c r="AG285" s="60" t="s">
        <v>16</v>
      </c>
      <c r="AH285" s="61" t="s">
        <v>16</v>
      </c>
      <c r="AI285" s="57">
        <f t="shared" si="38"/>
        <v>-47.540398904</v>
      </c>
      <c r="AJ285" s="3">
        <f t="shared" si="39"/>
        <v>5</v>
      </c>
      <c r="AK285" s="3" t="s">
        <v>2706</v>
      </c>
      <c r="AL285">
        <v>5</v>
      </c>
      <c r="AM285" t="s">
        <v>980</v>
      </c>
    </row>
    <row r="286" spans="1:39" ht="15" hidden="1" thickTop="1" x14ac:dyDescent="0.3">
      <c r="A286" s="51" t="s">
        <v>2432</v>
      </c>
      <c r="B286" s="54" t="s">
        <v>2433</v>
      </c>
      <c r="C286" s="51" t="s">
        <v>2765</v>
      </c>
      <c r="D286" s="53">
        <v>1</v>
      </c>
      <c r="E286" s="53">
        <v>0</v>
      </c>
      <c r="F286" s="51" t="s">
        <v>2744</v>
      </c>
      <c r="G286" s="51" t="s">
        <v>2695</v>
      </c>
      <c r="H286" s="25" t="s">
        <v>2762</v>
      </c>
      <c r="I286" t="s">
        <v>13</v>
      </c>
      <c r="J286" t="s">
        <v>1057</v>
      </c>
      <c r="K286" t="s">
        <v>1859</v>
      </c>
      <c r="L286" s="25">
        <v>46.9758</v>
      </c>
      <c r="M286" s="25">
        <v>6.6694899999999997</v>
      </c>
      <c r="N286">
        <v>6</v>
      </c>
      <c r="O286">
        <v>24</v>
      </c>
      <c r="P286">
        <v>11</v>
      </c>
      <c r="Q286">
        <v>2017</v>
      </c>
      <c r="R286" s="9">
        <v>43063</v>
      </c>
      <c r="S286" t="s">
        <v>16</v>
      </c>
      <c r="T286">
        <v>0</v>
      </c>
      <c r="U286">
        <v>0</v>
      </c>
      <c r="V286">
        <v>0</v>
      </c>
      <c r="W286">
        <v>1</v>
      </c>
      <c r="X286" s="57">
        <f t="shared" si="34"/>
        <v>-64.630900014999995</v>
      </c>
      <c r="Y286" t="s">
        <v>16</v>
      </c>
      <c r="Z286">
        <v>-0.25282767299999998</v>
      </c>
      <c r="AA286" s="3">
        <f t="shared" si="35"/>
        <v>6</v>
      </c>
      <c r="AB286" s="3">
        <f t="shared" si="36"/>
        <v>0</v>
      </c>
      <c r="AD286" s="3" t="s">
        <v>2750</v>
      </c>
      <c r="AE286" s="4">
        <v>-48.028744199999998</v>
      </c>
      <c r="AF286" s="4">
        <f t="shared" si="37"/>
        <v>-47.194720011999998</v>
      </c>
      <c r="AG286" s="60" t="s">
        <v>16</v>
      </c>
      <c r="AH286" s="61" t="s">
        <v>16</v>
      </c>
      <c r="AI286" s="57">
        <f t="shared" si="38"/>
        <v>-47.194720011999998</v>
      </c>
      <c r="AJ286" s="3">
        <f t="shared" si="39"/>
        <v>5</v>
      </c>
      <c r="AK286" s="3" t="s">
        <v>2706</v>
      </c>
      <c r="AL286">
        <v>5</v>
      </c>
      <c r="AM286" t="s">
        <v>980</v>
      </c>
    </row>
    <row r="287" spans="1:39" ht="15" hidden="1" thickTop="1" x14ac:dyDescent="0.3">
      <c r="A287" s="51" t="s">
        <v>2168</v>
      </c>
      <c r="B287" s="54" t="s">
        <v>2169</v>
      </c>
      <c r="C287" s="51" t="s">
        <v>2765</v>
      </c>
      <c r="D287" s="53">
        <v>1</v>
      </c>
      <c r="E287" s="53">
        <v>0</v>
      </c>
      <c r="F287" s="51" t="s">
        <v>2744</v>
      </c>
      <c r="G287" s="51" t="s">
        <v>2695</v>
      </c>
      <c r="H287" s="25" t="s">
        <v>2762</v>
      </c>
      <c r="I287" t="s">
        <v>385</v>
      </c>
      <c r="J287" t="s">
        <v>539</v>
      </c>
      <c r="K287" t="s">
        <v>1819</v>
      </c>
      <c r="L287" s="25">
        <v>46.906267380000003</v>
      </c>
      <c r="M287" s="25">
        <v>6.6791796100000003</v>
      </c>
      <c r="N287">
        <v>6</v>
      </c>
      <c r="O287">
        <v>20</v>
      </c>
      <c r="P287">
        <v>10</v>
      </c>
      <c r="Q287">
        <v>2017</v>
      </c>
      <c r="R287" s="9">
        <v>43028</v>
      </c>
      <c r="S287" t="s">
        <v>16</v>
      </c>
      <c r="T287">
        <v>0</v>
      </c>
      <c r="U287">
        <v>0</v>
      </c>
      <c r="V287">
        <v>0</v>
      </c>
      <c r="W287">
        <v>1</v>
      </c>
      <c r="X287" s="57">
        <f t="shared" si="34"/>
        <v>-64.455507422500006</v>
      </c>
      <c r="Y287" t="s">
        <v>16</v>
      </c>
      <c r="Z287">
        <v>0.10775367299999999</v>
      </c>
      <c r="AA287" s="3">
        <f t="shared" si="35"/>
        <v>6</v>
      </c>
      <c r="AB287" s="3">
        <f t="shared" si="36"/>
        <v>0</v>
      </c>
      <c r="AD287" s="3" t="s">
        <v>2750</v>
      </c>
      <c r="AE287" s="4">
        <v>-47.865588299999999</v>
      </c>
      <c r="AF287" s="4">
        <f t="shared" si="37"/>
        <v>-47.054405938000002</v>
      </c>
      <c r="AG287" s="60" t="s">
        <v>16</v>
      </c>
      <c r="AH287" s="61" t="s">
        <v>16</v>
      </c>
      <c r="AI287" s="57">
        <f t="shared" si="38"/>
        <v>-47.054405938000002</v>
      </c>
      <c r="AJ287" s="3">
        <f t="shared" si="39"/>
        <v>5</v>
      </c>
      <c r="AK287" s="3" t="s">
        <v>2706</v>
      </c>
      <c r="AL287">
        <v>5</v>
      </c>
      <c r="AM287" t="s">
        <v>980</v>
      </c>
    </row>
    <row r="288" spans="1:39" ht="15" hidden="1" thickTop="1" x14ac:dyDescent="0.3">
      <c r="A288" s="51" t="s">
        <v>2319</v>
      </c>
      <c r="B288" s="54" t="s">
        <v>2320</v>
      </c>
      <c r="C288" s="51" t="s">
        <v>2765</v>
      </c>
      <c r="D288" s="53">
        <v>1</v>
      </c>
      <c r="E288" s="53">
        <v>0</v>
      </c>
      <c r="F288" s="51" t="s">
        <v>2744</v>
      </c>
      <c r="G288" s="51" t="s">
        <v>2695</v>
      </c>
      <c r="H288" s="25" t="s">
        <v>2762</v>
      </c>
      <c r="I288" t="s">
        <v>385</v>
      </c>
      <c r="J288" t="s">
        <v>539</v>
      </c>
      <c r="K288" t="s">
        <v>1819</v>
      </c>
      <c r="L288" s="25">
        <v>46.907385730000001</v>
      </c>
      <c r="M288" s="25">
        <v>6.680973442</v>
      </c>
      <c r="N288">
        <v>6</v>
      </c>
      <c r="O288">
        <v>25</v>
      </c>
      <c r="P288">
        <v>10</v>
      </c>
      <c r="Q288">
        <v>2017</v>
      </c>
      <c r="R288" s="9">
        <v>43033</v>
      </c>
      <c r="S288" t="s">
        <v>16</v>
      </c>
      <c r="T288">
        <v>0</v>
      </c>
      <c r="U288">
        <v>0</v>
      </c>
      <c r="V288">
        <v>0</v>
      </c>
      <c r="W288">
        <v>1</v>
      </c>
      <c r="X288" s="57">
        <f t="shared" si="34"/>
        <v>-62.794700577499995</v>
      </c>
      <c r="Y288" t="s">
        <v>16</v>
      </c>
      <c r="Z288">
        <v>6.4356554460000002</v>
      </c>
      <c r="AA288" s="3">
        <f t="shared" si="35"/>
        <v>6</v>
      </c>
      <c r="AB288" s="3">
        <f t="shared" si="36"/>
        <v>6</v>
      </c>
      <c r="AD288" s="3" t="s">
        <v>2750</v>
      </c>
      <c r="AE288" s="4">
        <v>-46.320651699999999</v>
      </c>
      <c r="AF288" s="4">
        <f t="shared" si="37"/>
        <v>-45.725760461999997</v>
      </c>
      <c r="AG288" s="60" t="s">
        <v>16</v>
      </c>
      <c r="AH288" s="61" t="s">
        <v>16</v>
      </c>
      <c r="AI288" s="57">
        <f t="shared" si="38"/>
        <v>-45.725760461999997</v>
      </c>
      <c r="AJ288" s="3">
        <f t="shared" si="39"/>
        <v>5</v>
      </c>
      <c r="AK288" s="3" t="s">
        <v>2706</v>
      </c>
      <c r="AL288">
        <v>5</v>
      </c>
      <c r="AM288" t="s">
        <v>980</v>
      </c>
    </row>
    <row r="289" spans="1:39" ht="15" hidden="1" thickTop="1" x14ac:dyDescent="0.3">
      <c r="A289" s="51" t="s">
        <v>2342</v>
      </c>
      <c r="B289" s="54" t="s">
        <v>2343</v>
      </c>
      <c r="C289" s="51" t="s">
        <v>2765</v>
      </c>
      <c r="D289" s="53">
        <v>1</v>
      </c>
      <c r="E289" s="53">
        <v>0</v>
      </c>
      <c r="F289" s="51" t="s">
        <v>2744</v>
      </c>
      <c r="G289" s="51" t="s">
        <v>2695</v>
      </c>
      <c r="H289" s="25" t="s">
        <v>2762</v>
      </c>
      <c r="I289" t="s">
        <v>13</v>
      </c>
      <c r="J289" t="s">
        <v>1057</v>
      </c>
      <c r="K289" t="s">
        <v>1854</v>
      </c>
      <c r="L289" s="25">
        <v>46.930878919999998</v>
      </c>
      <c r="M289" s="25">
        <v>6.5881864759999997</v>
      </c>
      <c r="N289">
        <v>6</v>
      </c>
      <c r="O289">
        <v>27</v>
      </c>
      <c r="P289">
        <v>10</v>
      </c>
      <c r="Q289">
        <v>2017</v>
      </c>
      <c r="R289" s="9">
        <v>43035</v>
      </c>
      <c r="S289" t="s">
        <v>16</v>
      </c>
      <c r="T289">
        <v>0</v>
      </c>
      <c r="U289">
        <v>0</v>
      </c>
      <c r="V289">
        <v>0</v>
      </c>
      <c r="W289">
        <v>1</v>
      </c>
      <c r="X289" s="57">
        <f t="shared" si="34"/>
        <v>-62.671889459999996</v>
      </c>
      <c r="Y289" t="s">
        <v>16</v>
      </c>
      <c r="Z289">
        <v>6.7982294169999999</v>
      </c>
      <c r="AA289" s="3">
        <f t="shared" si="35"/>
        <v>6</v>
      </c>
      <c r="AB289" s="3">
        <f t="shared" si="36"/>
        <v>7</v>
      </c>
      <c r="AD289" s="3" t="s">
        <v>2750</v>
      </c>
      <c r="AE289" s="4">
        <v>-46.206408799999998</v>
      </c>
      <c r="AF289" s="4">
        <f t="shared" si="37"/>
        <v>-45.627511567999996</v>
      </c>
      <c r="AG289" s="60" t="s">
        <v>16</v>
      </c>
      <c r="AH289" s="61" t="s">
        <v>16</v>
      </c>
      <c r="AI289" s="57">
        <f t="shared" si="38"/>
        <v>-45.627511567999996</v>
      </c>
      <c r="AJ289" s="3">
        <f t="shared" si="39"/>
        <v>5</v>
      </c>
      <c r="AK289" s="3" t="s">
        <v>2706</v>
      </c>
      <c r="AL289">
        <v>5</v>
      </c>
      <c r="AM289" t="s">
        <v>2682</v>
      </c>
    </row>
    <row r="290" spans="1:39" ht="15" hidden="1" thickTop="1" x14ac:dyDescent="0.3">
      <c r="A290" s="51" t="s">
        <v>1855</v>
      </c>
      <c r="B290" s="54" t="s">
        <v>1856</v>
      </c>
      <c r="C290" s="51" t="s">
        <v>2765</v>
      </c>
      <c r="D290" s="53">
        <v>1</v>
      </c>
      <c r="E290" s="53">
        <v>0</v>
      </c>
      <c r="F290" s="51" t="s">
        <v>2744</v>
      </c>
      <c r="G290" s="51" t="s">
        <v>2695</v>
      </c>
      <c r="H290" s="25" t="s">
        <v>2762</v>
      </c>
      <c r="I290" t="s">
        <v>13</v>
      </c>
      <c r="J290" t="s">
        <v>1057</v>
      </c>
      <c r="K290" t="s">
        <v>1854</v>
      </c>
      <c r="L290" s="25">
        <v>46.933382440000003</v>
      </c>
      <c r="M290" s="25">
        <v>6.5825094049999997</v>
      </c>
      <c r="N290">
        <v>6</v>
      </c>
      <c r="O290">
        <v>20</v>
      </c>
      <c r="P290">
        <v>10</v>
      </c>
      <c r="Q290">
        <v>2017</v>
      </c>
      <c r="R290" s="9">
        <v>43028</v>
      </c>
      <c r="S290" t="s">
        <v>16</v>
      </c>
      <c r="T290">
        <v>0</v>
      </c>
      <c r="U290">
        <v>0</v>
      </c>
      <c r="V290">
        <v>0</v>
      </c>
      <c r="W290">
        <v>1</v>
      </c>
      <c r="X290" s="57">
        <f t="shared" si="34"/>
        <v>-60.978943877500001</v>
      </c>
      <c r="Y290" t="s">
        <v>16</v>
      </c>
      <c r="Z290">
        <v>5.7212481039999998</v>
      </c>
      <c r="AA290" s="3">
        <f t="shared" si="35"/>
        <v>6</v>
      </c>
      <c r="AB290" s="3">
        <f t="shared" si="36"/>
        <v>6</v>
      </c>
      <c r="AD290" s="3" t="s">
        <v>2750</v>
      </c>
      <c r="AE290" s="4">
        <v>-44.631575699999999</v>
      </c>
      <c r="AF290" s="4">
        <f t="shared" si="37"/>
        <v>-44.273155101999997</v>
      </c>
      <c r="AG290" s="60" t="s">
        <v>16</v>
      </c>
      <c r="AH290" s="61" t="s">
        <v>16</v>
      </c>
      <c r="AI290" s="57">
        <f t="shared" si="38"/>
        <v>-44.273155101999997</v>
      </c>
      <c r="AJ290" s="3">
        <f t="shared" si="39"/>
        <v>4</v>
      </c>
      <c r="AK290" s="3" t="s">
        <v>2706</v>
      </c>
      <c r="AL290">
        <v>4</v>
      </c>
      <c r="AM290" t="s">
        <v>980</v>
      </c>
    </row>
    <row r="291" spans="1:39" ht="15" hidden="1" thickTop="1" x14ac:dyDescent="0.3">
      <c r="A291" s="51" t="s">
        <v>2188</v>
      </c>
      <c r="B291" s="54" t="s">
        <v>2189</v>
      </c>
      <c r="C291" s="51" t="s">
        <v>2765</v>
      </c>
      <c r="D291" s="53">
        <v>1</v>
      </c>
      <c r="E291" s="53">
        <v>0</v>
      </c>
      <c r="F291" s="51" t="s">
        <v>2744</v>
      </c>
      <c r="G291" s="51" t="s">
        <v>2695</v>
      </c>
      <c r="H291" s="25" t="s">
        <v>2762</v>
      </c>
      <c r="I291" t="s">
        <v>13</v>
      </c>
      <c r="J291" t="s">
        <v>1715</v>
      </c>
      <c r="K291" t="s">
        <v>1764</v>
      </c>
      <c r="L291" s="25">
        <v>46.934877280000002</v>
      </c>
      <c r="M291" s="25">
        <v>6.4644460380000002</v>
      </c>
      <c r="N291">
        <v>6</v>
      </c>
      <c r="O291">
        <v>23</v>
      </c>
      <c r="P291">
        <v>10</v>
      </c>
      <c r="Q291">
        <v>2016</v>
      </c>
      <c r="R291" s="9">
        <v>42666</v>
      </c>
      <c r="S291">
        <v>278</v>
      </c>
      <c r="T291">
        <v>0</v>
      </c>
      <c r="U291">
        <v>0</v>
      </c>
      <c r="V291">
        <v>0</v>
      </c>
      <c r="W291">
        <v>1</v>
      </c>
      <c r="X291" s="57">
        <f t="shared" si="34"/>
        <v>-60.391046695</v>
      </c>
      <c r="Y291">
        <v>-23.17</v>
      </c>
      <c r="Z291">
        <v>5.92</v>
      </c>
      <c r="AA291" s="3">
        <f t="shared" si="35"/>
        <v>6</v>
      </c>
      <c r="AB291" s="3">
        <f t="shared" si="36"/>
        <v>6</v>
      </c>
      <c r="AD291" s="3" t="s">
        <v>2750</v>
      </c>
      <c r="AE291" s="4">
        <v>-44.084694599999999</v>
      </c>
      <c r="AF291" s="4">
        <f t="shared" si="37"/>
        <v>-43.802837355999998</v>
      </c>
      <c r="AG291" s="60" t="s">
        <v>16</v>
      </c>
      <c r="AH291" s="61" t="s">
        <v>16</v>
      </c>
      <c r="AI291" s="57">
        <f t="shared" si="38"/>
        <v>-43.802837355999998</v>
      </c>
      <c r="AJ291" s="3">
        <f t="shared" si="39"/>
        <v>4</v>
      </c>
      <c r="AK291" s="3" t="s">
        <v>2706</v>
      </c>
      <c r="AL291">
        <v>4</v>
      </c>
      <c r="AM291" t="s">
        <v>980</v>
      </c>
    </row>
    <row r="292" spans="1:39" ht="15" hidden="1" thickTop="1" x14ac:dyDescent="0.3">
      <c r="A292" s="51" t="s">
        <v>2198</v>
      </c>
      <c r="B292" s="54" t="s">
        <v>2199</v>
      </c>
      <c r="C292" s="51" t="s">
        <v>2765</v>
      </c>
      <c r="D292" s="53">
        <v>1</v>
      </c>
      <c r="E292" s="53">
        <v>0</v>
      </c>
      <c r="F292" s="51" t="s">
        <v>2744</v>
      </c>
      <c r="G292" s="51" t="s">
        <v>2695</v>
      </c>
      <c r="H292" s="25" t="s">
        <v>2762</v>
      </c>
      <c r="I292" t="s">
        <v>13</v>
      </c>
      <c r="J292" t="s">
        <v>1743</v>
      </c>
      <c r="K292" t="s">
        <v>1744</v>
      </c>
      <c r="L292" s="25">
        <v>46.996559189999999</v>
      </c>
      <c r="M292" s="25">
        <v>6.6988732249999998</v>
      </c>
      <c r="N292">
        <v>6</v>
      </c>
      <c r="O292">
        <v>26</v>
      </c>
      <c r="P292">
        <v>10</v>
      </c>
      <c r="Q292">
        <v>2016</v>
      </c>
      <c r="R292" s="9">
        <v>42669</v>
      </c>
      <c r="S292">
        <v>365</v>
      </c>
      <c r="T292">
        <v>0</v>
      </c>
      <c r="U292">
        <v>0</v>
      </c>
      <c r="V292">
        <v>0</v>
      </c>
      <c r="W292">
        <v>1</v>
      </c>
      <c r="X292" s="57">
        <f t="shared" si="34"/>
        <v>-57.613010840000001</v>
      </c>
      <c r="Y292">
        <v>-23.1</v>
      </c>
      <c r="Z292">
        <v>6.55</v>
      </c>
      <c r="AA292" s="3">
        <f t="shared" si="35"/>
        <v>6</v>
      </c>
      <c r="AB292" s="3">
        <f t="shared" si="36"/>
        <v>7</v>
      </c>
      <c r="AD292" s="3" t="s">
        <v>2750</v>
      </c>
      <c r="AE292" s="4">
        <v>-41.500475199999997</v>
      </c>
      <c r="AF292" s="4">
        <f t="shared" si="37"/>
        <v>-41.580408671999997</v>
      </c>
      <c r="AG292" s="60" t="s">
        <v>16</v>
      </c>
      <c r="AH292" s="61" t="s">
        <v>16</v>
      </c>
      <c r="AI292" s="57">
        <f t="shared" si="38"/>
        <v>-41.580408671999997</v>
      </c>
      <c r="AJ292" s="3">
        <f t="shared" si="39"/>
        <v>4</v>
      </c>
      <c r="AK292" s="3" t="s">
        <v>2706</v>
      </c>
      <c r="AL292">
        <v>4</v>
      </c>
      <c r="AM292" t="s">
        <v>980</v>
      </c>
    </row>
    <row r="293" spans="1:39" ht="15" hidden="1" thickTop="1" x14ac:dyDescent="0.3">
      <c r="A293" s="51" t="s">
        <v>2375</v>
      </c>
      <c r="B293" s="54" t="s">
        <v>2376</v>
      </c>
      <c r="C293" s="51" t="s">
        <v>2765</v>
      </c>
      <c r="D293" s="53">
        <v>1</v>
      </c>
      <c r="E293" s="53">
        <v>0</v>
      </c>
      <c r="F293" s="51" t="s">
        <v>2744</v>
      </c>
      <c r="G293" s="51" t="s">
        <v>2695</v>
      </c>
      <c r="H293" s="25" t="s">
        <v>2762</v>
      </c>
      <c r="I293" t="s">
        <v>13</v>
      </c>
      <c r="J293" t="s">
        <v>1057</v>
      </c>
      <c r="K293" t="s">
        <v>1859</v>
      </c>
      <c r="L293" s="25">
        <v>46.975145070000003</v>
      </c>
      <c r="M293" s="25">
        <v>6.6694446620000001</v>
      </c>
      <c r="N293">
        <v>6</v>
      </c>
      <c r="O293">
        <v>28</v>
      </c>
      <c r="P293">
        <v>10</v>
      </c>
      <c r="Q293">
        <v>2017</v>
      </c>
      <c r="R293" s="9">
        <v>43036</v>
      </c>
      <c r="S293" t="s">
        <v>16</v>
      </c>
      <c r="T293">
        <v>0</v>
      </c>
      <c r="U293">
        <v>0</v>
      </c>
      <c r="V293">
        <v>0</v>
      </c>
      <c r="W293">
        <v>1</v>
      </c>
      <c r="X293" s="57">
        <f t="shared" si="34"/>
        <v>-57.316151095000002</v>
      </c>
      <c r="Y293" t="s">
        <v>16</v>
      </c>
      <c r="Z293">
        <v>3.893059037</v>
      </c>
      <c r="AA293" s="3">
        <f t="shared" si="35"/>
        <v>6</v>
      </c>
      <c r="AB293" s="3">
        <f t="shared" si="36"/>
        <v>4</v>
      </c>
      <c r="AD293" s="3" t="s">
        <v>2750</v>
      </c>
      <c r="AE293" s="4">
        <v>-41.224326599999998</v>
      </c>
      <c r="AF293" s="4">
        <f t="shared" si="37"/>
        <v>-41.342920876000001</v>
      </c>
      <c r="AG293" s="60" t="s">
        <v>16</v>
      </c>
      <c r="AH293" s="61" t="s">
        <v>16</v>
      </c>
      <c r="AI293" s="57">
        <f t="shared" si="38"/>
        <v>-41.342920876000001</v>
      </c>
      <c r="AJ293" s="3">
        <f t="shared" si="39"/>
        <v>4</v>
      </c>
      <c r="AK293" s="3" t="s">
        <v>2706</v>
      </c>
      <c r="AL293">
        <v>4</v>
      </c>
      <c r="AM293" t="s">
        <v>980</v>
      </c>
    </row>
    <row r="294" spans="1:39" ht="15" hidden="1" thickTop="1" x14ac:dyDescent="0.3">
      <c r="A294" s="51" t="s">
        <v>2201</v>
      </c>
      <c r="B294" s="54" t="s">
        <v>2202</v>
      </c>
      <c r="C294" s="51" t="s">
        <v>2765</v>
      </c>
      <c r="D294" s="53">
        <v>1</v>
      </c>
      <c r="E294" s="53">
        <v>0</v>
      </c>
      <c r="F294" s="51" t="s">
        <v>2744</v>
      </c>
      <c r="G294" s="51" t="s">
        <v>2695</v>
      </c>
      <c r="H294" s="25" t="s">
        <v>2762</v>
      </c>
      <c r="I294" t="s">
        <v>13</v>
      </c>
      <c r="J294" t="s">
        <v>1743</v>
      </c>
      <c r="K294" t="s">
        <v>1744</v>
      </c>
      <c r="L294" s="25">
        <v>46.994627360000003</v>
      </c>
      <c r="M294" s="25">
        <v>6.6978217600000001</v>
      </c>
      <c r="N294">
        <v>6</v>
      </c>
      <c r="O294">
        <v>26</v>
      </c>
      <c r="P294">
        <v>10</v>
      </c>
      <c r="Q294">
        <v>2016</v>
      </c>
      <c r="R294" s="9">
        <v>42669</v>
      </c>
      <c r="S294">
        <v>315</v>
      </c>
      <c r="T294">
        <v>0</v>
      </c>
      <c r="U294">
        <v>0</v>
      </c>
      <c r="V294">
        <v>0</v>
      </c>
      <c r="W294">
        <v>1</v>
      </c>
      <c r="X294" s="57">
        <f t="shared" si="34"/>
        <v>-52.556722539999996</v>
      </c>
      <c r="Y294">
        <v>-22.83</v>
      </c>
      <c r="Z294">
        <v>-1.33</v>
      </c>
      <c r="AA294" s="3">
        <f t="shared" si="35"/>
        <v>5</v>
      </c>
      <c r="AB294" s="3">
        <f t="shared" si="36"/>
        <v>-1</v>
      </c>
      <c r="AD294" s="3" t="s">
        <v>2750</v>
      </c>
      <c r="AE294" s="4">
        <v>-36.796951200000002</v>
      </c>
      <c r="AF294" s="4">
        <f t="shared" si="37"/>
        <v>-37.535378031999997</v>
      </c>
      <c r="AG294" s="60" t="s">
        <v>16</v>
      </c>
      <c r="AH294" s="61" t="s">
        <v>16</v>
      </c>
      <c r="AI294" s="57">
        <f t="shared" si="38"/>
        <v>-37.535378031999997</v>
      </c>
      <c r="AJ294" s="3">
        <f t="shared" si="39"/>
        <v>4</v>
      </c>
      <c r="AK294" s="3" t="s">
        <v>2706</v>
      </c>
      <c r="AL294">
        <v>4</v>
      </c>
      <c r="AM294" t="s">
        <v>980</v>
      </c>
    </row>
    <row r="295" spans="1:39" ht="15" hidden="1" thickTop="1" x14ac:dyDescent="0.3">
      <c r="A295" s="51" t="s">
        <v>2267</v>
      </c>
      <c r="B295" s="54" t="s">
        <v>2268</v>
      </c>
      <c r="C295" s="51" t="s">
        <v>2765</v>
      </c>
      <c r="D295" s="53">
        <v>1</v>
      </c>
      <c r="E295" s="53">
        <v>0</v>
      </c>
      <c r="F295" s="51" t="s">
        <v>2744</v>
      </c>
      <c r="G295" s="51" t="s">
        <v>2695</v>
      </c>
      <c r="H295" s="25" t="s">
        <v>2762</v>
      </c>
      <c r="I295" t="s">
        <v>13</v>
      </c>
      <c r="J295" t="s">
        <v>1715</v>
      </c>
      <c r="K295" t="s">
        <v>1764</v>
      </c>
      <c r="L295" s="25">
        <v>46.933503790000003</v>
      </c>
      <c r="M295" s="25">
        <v>6.4647861180000001</v>
      </c>
      <c r="N295">
        <v>6</v>
      </c>
      <c r="O295">
        <v>5</v>
      </c>
      <c r="P295">
        <v>11</v>
      </c>
      <c r="Q295">
        <v>2016</v>
      </c>
      <c r="R295" s="9">
        <v>42679</v>
      </c>
      <c r="S295">
        <v>320</v>
      </c>
      <c r="T295">
        <v>0</v>
      </c>
      <c r="U295">
        <v>0</v>
      </c>
      <c r="V295">
        <v>0</v>
      </c>
      <c r="W295">
        <v>1</v>
      </c>
      <c r="X295" s="57">
        <f t="shared" si="34"/>
        <v>-51.923955825</v>
      </c>
      <c r="Y295">
        <v>-23.38</v>
      </c>
      <c r="Z295">
        <v>8.75</v>
      </c>
      <c r="AA295" s="3">
        <f t="shared" si="35"/>
        <v>5</v>
      </c>
      <c r="AB295" s="3">
        <f t="shared" si="36"/>
        <v>9</v>
      </c>
      <c r="AD295" s="3" t="s">
        <v>2750</v>
      </c>
      <c r="AE295" s="4">
        <v>-36.208331000000001</v>
      </c>
      <c r="AF295" s="4">
        <f t="shared" si="37"/>
        <v>-37.029164659999999</v>
      </c>
      <c r="AG295" s="60" t="s">
        <v>16</v>
      </c>
      <c r="AH295" s="61" t="s">
        <v>16</v>
      </c>
      <c r="AI295" s="57">
        <f t="shared" si="38"/>
        <v>-37.029164659999999</v>
      </c>
      <c r="AJ295" s="3">
        <f t="shared" si="39"/>
        <v>4</v>
      </c>
      <c r="AK295" s="3" t="s">
        <v>2706</v>
      </c>
      <c r="AL295">
        <v>4</v>
      </c>
      <c r="AM295" t="s">
        <v>980</v>
      </c>
    </row>
    <row r="296" spans="1:39" ht="15" hidden="1" thickTop="1" x14ac:dyDescent="0.3">
      <c r="A296" s="51" t="s">
        <v>2384</v>
      </c>
      <c r="B296" s="54" t="s">
        <v>2385</v>
      </c>
      <c r="C296" s="51" t="s">
        <v>2765</v>
      </c>
      <c r="D296" s="53">
        <v>1</v>
      </c>
      <c r="E296" s="53">
        <v>0</v>
      </c>
      <c r="F296" s="51" t="s">
        <v>2744</v>
      </c>
      <c r="G296" s="51" t="s">
        <v>2695</v>
      </c>
      <c r="H296" s="25" t="s">
        <v>2762</v>
      </c>
      <c r="I296" t="s">
        <v>385</v>
      </c>
      <c r="J296" t="s">
        <v>539</v>
      </c>
      <c r="K296" t="s">
        <v>1819</v>
      </c>
      <c r="L296" s="25">
        <v>46.906083590000001</v>
      </c>
      <c r="M296" s="25">
        <v>6.6785953810000001</v>
      </c>
      <c r="N296">
        <v>6</v>
      </c>
      <c r="O296">
        <v>28</v>
      </c>
      <c r="P296">
        <v>10</v>
      </c>
      <c r="Q296">
        <v>2017</v>
      </c>
      <c r="R296" s="9">
        <v>43036</v>
      </c>
      <c r="S296" t="s">
        <v>16</v>
      </c>
      <c r="T296">
        <v>0</v>
      </c>
      <c r="U296">
        <v>0</v>
      </c>
      <c r="V296">
        <v>0</v>
      </c>
      <c r="W296">
        <v>1</v>
      </c>
      <c r="X296" s="57">
        <f t="shared" si="34"/>
        <v>-51.558553864999993</v>
      </c>
      <c r="Y296" t="s">
        <v>16</v>
      </c>
      <c r="Z296">
        <v>10.515709879999999</v>
      </c>
      <c r="AA296" s="3">
        <f t="shared" si="35"/>
        <v>5</v>
      </c>
      <c r="AB296" s="3">
        <f t="shared" si="36"/>
        <v>11</v>
      </c>
      <c r="AD296" s="3" t="s">
        <v>2750</v>
      </c>
      <c r="AE296" s="4">
        <v>-35.868422199999998</v>
      </c>
      <c r="AF296" s="4">
        <f t="shared" si="37"/>
        <v>-36.736843091999994</v>
      </c>
      <c r="AG296" s="60" t="s">
        <v>16</v>
      </c>
      <c r="AH296" s="61" t="s">
        <v>16</v>
      </c>
      <c r="AI296" s="57">
        <f t="shared" si="38"/>
        <v>-36.736843091999994</v>
      </c>
      <c r="AJ296" s="3">
        <f t="shared" si="39"/>
        <v>4</v>
      </c>
      <c r="AK296" s="3" t="s">
        <v>2706</v>
      </c>
      <c r="AL296">
        <v>4</v>
      </c>
      <c r="AM296" t="s">
        <v>980</v>
      </c>
    </row>
    <row r="297" spans="1:39" ht="15" hidden="1" thickTop="1" x14ac:dyDescent="0.3">
      <c r="A297" s="51" t="s">
        <v>2215</v>
      </c>
      <c r="B297" s="54" t="s">
        <v>2216</v>
      </c>
      <c r="C297" s="51" t="s">
        <v>2765</v>
      </c>
      <c r="D297" s="53">
        <v>1</v>
      </c>
      <c r="E297" s="53">
        <v>0</v>
      </c>
      <c r="F297" s="51" t="s">
        <v>2744</v>
      </c>
      <c r="G297" s="51" t="s">
        <v>2695</v>
      </c>
      <c r="H297" s="25" t="s">
        <v>2762</v>
      </c>
      <c r="I297" t="s">
        <v>13</v>
      </c>
      <c r="J297" t="s">
        <v>209</v>
      </c>
      <c r="K297" t="s">
        <v>2214</v>
      </c>
      <c r="L297" s="25">
        <v>46.928345569999998</v>
      </c>
      <c r="M297" s="25">
        <v>6.7214912719999997</v>
      </c>
      <c r="N297">
        <v>6</v>
      </c>
      <c r="O297">
        <v>27</v>
      </c>
      <c r="P297">
        <v>10</v>
      </c>
      <c r="Q297">
        <v>2016</v>
      </c>
      <c r="R297" s="9">
        <v>42670</v>
      </c>
      <c r="S297">
        <v>345</v>
      </c>
      <c r="T297">
        <v>0</v>
      </c>
      <c r="U297">
        <v>0</v>
      </c>
      <c r="V297">
        <v>0</v>
      </c>
      <c r="W297">
        <v>1</v>
      </c>
      <c r="X297" s="57">
        <f t="shared" si="34"/>
        <v>-48.019215265000007</v>
      </c>
      <c r="Y297">
        <v>-23.09</v>
      </c>
      <c r="Z297">
        <v>4.2699999999999996</v>
      </c>
      <c r="AA297" s="3">
        <f t="shared" si="35"/>
        <v>5</v>
      </c>
      <c r="AB297" s="3">
        <f t="shared" si="36"/>
        <v>4</v>
      </c>
      <c r="AD297" s="3" t="s">
        <v>2750</v>
      </c>
      <c r="AE297" s="4">
        <v>-32.576014200000003</v>
      </c>
      <c r="AF297" s="4">
        <f t="shared" si="37"/>
        <v>-33.905372212000003</v>
      </c>
      <c r="AG297" s="60" t="s">
        <v>16</v>
      </c>
      <c r="AH297" s="61" t="s">
        <v>16</v>
      </c>
      <c r="AI297" s="57">
        <f t="shared" si="38"/>
        <v>-33.905372212000003</v>
      </c>
      <c r="AJ297" s="3">
        <f t="shared" si="39"/>
        <v>3</v>
      </c>
      <c r="AK297" s="3" t="s">
        <v>2746</v>
      </c>
      <c r="AL297">
        <v>3</v>
      </c>
      <c r="AM297" t="s">
        <v>980</v>
      </c>
    </row>
    <row r="298" spans="1:39" ht="15" hidden="1" thickTop="1" x14ac:dyDescent="0.3">
      <c r="A298" s="51" t="s">
        <v>2232</v>
      </c>
      <c r="B298" s="54" t="s">
        <v>2233</v>
      </c>
      <c r="C298" s="51" t="s">
        <v>2765</v>
      </c>
      <c r="D298" s="53">
        <v>1</v>
      </c>
      <c r="E298" s="53">
        <v>0</v>
      </c>
      <c r="F298" s="51" t="s">
        <v>2744</v>
      </c>
      <c r="G298" s="51" t="s">
        <v>2695</v>
      </c>
      <c r="H298" s="25" t="s">
        <v>2762</v>
      </c>
      <c r="I298" t="s">
        <v>385</v>
      </c>
      <c r="J298" t="s">
        <v>539</v>
      </c>
      <c r="K298" t="s">
        <v>2229</v>
      </c>
      <c r="L298" s="25">
        <v>46.902534160000002</v>
      </c>
      <c r="M298" s="25">
        <v>6.673772391</v>
      </c>
      <c r="N298">
        <v>6</v>
      </c>
      <c r="O298">
        <v>1</v>
      </c>
      <c r="P298">
        <v>11</v>
      </c>
      <c r="Q298">
        <v>2016</v>
      </c>
      <c r="R298" s="9">
        <v>42675</v>
      </c>
      <c r="S298">
        <v>325</v>
      </c>
      <c r="T298">
        <v>0</v>
      </c>
      <c r="U298">
        <v>0</v>
      </c>
      <c r="V298">
        <v>0</v>
      </c>
      <c r="W298">
        <v>1</v>
      </c>
      <c r="X298" s="57">
        <f t="shared" si="34"/>
        <v>-47.279769635000001</v>
      </c>
      <c r="Y298">
        <v>-24.41</v>
      </c>
      <c r="Z298">
        <v>7.25</v>
      </c>
      <c r="AA298" s="3">
        <f t="shared" si="35"/>
        <v>5</v>
      </c>
      <c r="AB298" s="3">
        <f t="shared" si="36"/>
        <v>7</v>
      </c>
      <c r="AD298" s="3" t="s">
        <v>2750</v>
      </c>
      <c r="AE298" s="4">
        <v>-31.888157799999998</v>
      </c>
      <c r="AF298" s="4">
        <f t="shared" si="37"/>
        <v>-33.313815708</v>
      </c>
      <c r="AG298" s="60" t="s">
        <v>16</v>
      </c>
      <c r="AH298" s="61" t="s">
        <v>16</v>
      </c>
      <c r="AI298" s="57">
        <f t="shared" si="38"/>
        <v>-33.313815708</v>
      </c>
      <c r="AJ298" s="3">
        <f t="shared" si="39"/>
        <v>3</v>
      </c>
      <c r="AK298" s="3" t="s">
        <v>2746</v>
      </c>
      <c r="AL298">
        <v>3</v>
      </c>
      <c r="AM298" t="s">
        <v>980</v>
      </c>
    </row>
    <row r="299" spans="1:39" ht="15" hidden="1" thickTop="1" x14ac:dyDescent="0.3">
      <c r="A299" s="51" t="s">
        <v>2355</v>
      </c>
      <c r="B299" s="54" t="s">
        <v>2356</v>
      </c>
      <c r="C299" s="51" t="s">
        <v>2765</v>
      </c>
      <c r="D299" s="53">
        <v>1</v>
      </c>
      <c r="E299" s="53">
        <v>0</v>
      </c>
      <c r="F299" s="51" t="s">
        <v>2744</v>
      </c>
      <c r="G299" s="51" t="s">
        <v>2695</v>
      </c>
      <c r="H299" s="25" t="s">
        <v>2762</v>
      </c>
      <c r="I299" t="s">
        <v>13</v>
      </c>
      <c r="J299" t="s">
        <v>1732</v>
      </c>
      <c r="K299" t="s">
        <v>1822</v>
      </c>
      <c r="L299" s="25">
        <v>46.995916190000003</v>
      </c>
      <c r="M299" s="25">
        <v>6.7023971470000001</v>
      </c>
      <c r="N299">
        <v>6</v>
      </c>
      <c r="O299">
        <v>27</v>
      </c>
      <c r="P299">
        <v>10</v>
      </c>
      <c r="Q299">
        <v>2017</v>
      </c>
      <c r="R299" s="9">
        <v>43035</v>
      </c>
      <c r="S299" t="s">
        <v>16</v>
      </c>
      <c r="T299">
        <v>0</v>
      </c>
      <c r="U299">
        <v>0</v>
      </c>
      <c r="V299">
        <v>0</v>
      </c>
      <c r="W299">
        <v>1</v>
      </c>
      <c r="X299" s="57">
        <f t="shared" si="34"/>
        <v>-44.321822855000001</v>
      </c>
      <c r="Y299" t="s">
        <v>16</v>
      </c>
      <c r="Z299">
        <v>7.6500159810000001</v>
      </c>
      <c r="AA299" s="3">
        <f t="shared" si="35"/>
        <v>4</v>
      </c>
      <c r="AB299" s="3">
        <f t="shared" si="36"/>
        <v>8</v>
      </c>
      <c r="AD299" s="3" t="s">
        <v>2750</v>
      </c>
      <c r="AE299" s="4">
        <v>-29.136579399999999</v>
      </c>
      <c r="AF299" s="4">
        <f t="shared" si="37"/>
        <v>-30.947458284</v>
      </c>
      <c r="AG299" s="60" t="s">
        <v>16</v>
      </c>
      <c r="AH299" s="61" t="s">
        <v>16</v>
      </c>
      <c r="AI299" s="57">
        <f t="shared" si="38"/>
        <v>-30.947458284</v>
      </c>
      <c r="AJ299" s="3">
        <f t="shared" si="39"/>
        <v>3</v>
      </c>
      <c r="AK299" s="3" t="s">
        <v>2746</v>
      </c>
      <c r="AL299">
        <v>3</v>
      </c>
      <c r="AM299" t="s">
        <v>980</v>
      </c>
    </row>
    <row r="300" spans="1:39" ht="15" hidden="1" thickTop="1" x14ac:dyDescent="0.3">
      <c r="A300" s="51" t="s">
        <v>2234</v>
      </c>
      <c r="B300" s="54" t="s">
        <v>2235</v>
      </c>
      <c r="C300" s="51" t="s">
        <v>2765</v>
      </c>
      <c r="D300" s="53">
        <v>1</v>
      </c>
      <c r="E300" s="53">
        <v>0</v>
      </c>
      <c r="F300" s="51" t="s">
        <v>2744</v>
      </c>
      <c r="G300" s="51" t="s">
        <v>2695</v>
      </c>
      <c r="H300" s="25" t="s">
        <v>2762</v>
      </c>
      <c r="I300" t="s">
        <v>385</v>
      </c>
      <c r="J300" t="s">
        <v>539</v>
      </c>
      <c r="K300" t="s">
        <v>2195</v>
      </c>
      <c r="L300" s="25">
        <v>46.903699140000001</v>
      </c>
      <c r="M300" s="25">
        <v>6.6744514549999998</v>
      </c>
      <c r="N300">
        <v>6</v>
      </c>
      <c r="O300">
        <v>1</v>
      </c>
      <c r="P300">
        <v>11</v>
      </c>
      <c r="Q300">
        <v>2016</v>
      </c>
      <c r="R300" s="9">
        <v>42675</v>
      </c>
      <c r="S300">
        <v>345</v>
      </c>
      <c r="T300">
        <v>0</v>
      </c>
      <c r="U300">
        <v>0</v>
      </c>
      <c r="V300">
        <v>0</v>
      </c>
      <c r="W300">
        <v>1</v>
      </c>
      <c r="X300" s="57">
        <f t="shared" si="34"/>
        <v>-43.942034815000007</v>
      </c>
      <c r="Y300">
        <v>-22.97</v>
      </c>
      <c r="Z300">
        <v>2.95</v>
      </c>
      <c r="AA300" s="3">
        <f t="shared" si="35"/>
        <v>4</v>
      </c>
      <c r="AB300" s="3">
        <f t="shared" si="36"/>
        <v>3</v>
      </c>
      <c r="AD300" s="3" t="s">
        <v>2750</v>
      </c>
      <c r="AE300" s="4">
        <v>-28.783288200000001</v>
      </c>
      <c r="AF300" s="4">
        <f t="shared" si="37"/>
        <v>-30.643627852000002</v>
      </c>
      <c r="AG300" s="60" t="s">
        <v>16</v>
      </c>
      <c r="AH300" s="61" t="s">
        <v>16</v>
      </c>
      <c r="AI300" s="57">
        <f t="shared" si="38"/>
        <v>-30.643627852000002</v>
      </c>
      <c r="AJ300" s="3">
        <f t="shared" si="39"/>
        <v>3</v>
      </c>
      <c r="AK300" s="3" t="s">
        <v>2746</v>
      </c>
      <c r="AL300">
        <v>3</v>
      </c>
      <c r="AM300" t="s">
        <v>980</v>
      </c>
    </row>
    <row r="301" spans="1:39" ht="15" hidden="1" thickTop="1" x14ac:dyDescent="0.3">
      <c r="A301" s="51" t="s">
        <v>2351</v>
      </c>
      <c r="B301" s="54" t="s">
        <v>2352</v>
      </c>
      <c r="C301" s="51" t="s">
        <v>2765</v>
      </c>
      <c r="D301" s="53">
        <v>1</v>
      </c>
      <c r="E301" s="53">
        <v>0</v>
      </c>
      <c r="F301" s="51" t="s">
        <v>2744</v>
      </c>
      <c r="G301" s="51" t="s">
        <v>2695</v>
      </c>
      <c r="H301" s="25" t="s">
        <v>2762</v>
      </c>
      <c r="I301" t="s">
        <v>13</v>
      </c>
      <c r="J301" t="s">
        <v>1057</v>
      </c>
      <c r="K301" t="s">
        <v>2348</v>
      </c>
      <c r="L301" s="25">
        <v>46.93508258</v>
      </c>
      <c r="M301" s="25">
        <v>6.5849125629999996</v>
      </c>
      <c r="N301">
        <v>6</v>
      </c>
      <c r="O301">
        <v>27</v>
      </c>
      <c r="P301">
        <v>10</v>
      </c>
      <c r="Q301">
        <v>2017</v>
      </c>
      <c r="R301" s="9">
        <v>43035</v>
      </c>
      <c r="S301" t="s">
        <v>16</v>
      </c>
      <c r="T301">
        <v>0</v>
      </c>
      <c r="U301">
        <v>0</v>
      </c>
      <c r="V301">
        <v>0</v>
      </c>
      <c r="W301">
        <v>1</v>
      </c>
      <c r="X301" s="57">
        <f t="shared" si="34"/>
        <v>-43.676117439999999</v>
      </c>
      <c r="Y301" t="s">
        <v>16</v>
      </c>
      <c r="Z301">
        <v>5.6548415350000001</v>
      </c>
      <c r="AA301" s="3">
        <f t="shared" si="35"/>
        <v>4</v>
      </c>
      <c r="AB301" s="3">
        <f t="shared" si="36"/>
        <v>6</v>
      </c>
      <c r="AD301" s="3" t="s">
        <v>2750</v>
      </c>
      <c r="AE301" s="4">
        <v>-28.535923199999999</v>
      </c>
      <c r="AF301" s="4">
        <f t="shared" si="37"/>
        <v>-30.430893951999998</v>
      </c>
      <c r="AG301" s="60" t="s">
        <v>16</v>
      </c>
      <c r="AH301" s="61" t="s">
        <v>16</v>
      </c>
      <c r="AI301" s="57">
        <f t="shared" si="38"/>
        <v>-30.430893951999998</v>
      </c>
      <c r="AJ301" s="3">
        <f t="shared" si="39"/>
        <v>3</v>
      </c>
      <c r="AK301" s="3" t="s">
        <v>2746</v>
      </c>
      <c r="AL301">
        <v>3</v>
      </c>
      <c r="AM301" t="s">
        <v>980</v>
      </c>
    </row>
    <row r="302" spans="1:39" ht="15" hidden="1" thickTop="1" x14ac:dyDescent="0.3">
      <c r="A302" s="51" t="s">
        <v>1846</v>
      </c>
      <c r="B302" s="54" t="s">
        <v>1847</v>
      </c>
      <c r="C302" s="51" t="s">
        <v>2765</v>
      </c>
      <c r="D302" s="53">
        <v>1</v>
      </c>
      <c r="E302" s="53">
        <v>0</v>
      </c>
      <c r="F302" s="51" t="s">
        <v>2744</v>
      </c>
      <c r="G302" s="51" t="s">
        <v>2695</v>
      </c>
      <c r="H302" s="25" t="s">
        <v>2762</v>
      </c>
      <c r="I302" t="s">
        <v>385</v>
      </c>
      <c r="J302" t="s">
        <v>386</v>
      </c>
      <c r="K302" t="s">
        <v>1829</v>
      </c>
      <c r="L302" s="25">
        <v>46.862246460000001</v>
      </c>
      <c r="M302" s="25">
        <v>6.5674042860000004</v>
      </c>
      <c r="N302">
        <v>6</v>
      </c>
      <c r="O302">
        <v>18</v>
      </c>
      <c r="P302">
        <v>10</v>
      </c>
      <c r="Q302">
        <v>2017</v>
      </c>
      <c r="R302" s="9">
        <v>43026</v>
      </c>
      <c r="S302" t="s">
        <v>16</v>
      </c>
      <c r="T302">
        <v>0</v>
      </c>
      <c r="U302">
        <v>0</v>
      </c>
      <c r="V302">
        <v>0</v>
      </c>
      <c r="W302">
        <v>1</v>
      </c>
      <c r="X302" s="57">
        <f t="shared" si="34"/>
        <v>-42.990986400000004</v>
      </c>
      <c r="Y302" t="s">
        <v>16</v>
      </c>
      <c r="Z302">
        <v>7.1977436279999996</v>
      </c>
      <c r="AA302" s="3">
        <f t="shared" si="35"/>
        <v>4</v>
      </c>
      <c r="AB302" s="3">
        <f t="shared" si="36"/>
        <v>7</v>
      </c>
      <c r="AD302" s="3" t="s">
        <v>2750</v>
      </c>
      <c r="AE302" s="4">
        <v>-27.898592000000001</v>
      </c>
      <c r="AF302" s="4">
        <f t="shared" si="37"/>
        <v>-29.882789120000002</v>
      </c>
      <c r="AG302" s="60" t="s">
        <v>16</v>
      </c>
      <c r="AH302" s="61" t="s">
        <v>16</v>
      </c>
      <c r="AI302" s="57">
        <f t="shared" si="38"/>
        <v>-29.882789120000002</v>
      </c>
      <c r="AJ302" s="3">
        <f t="shared" si="39"/>
        <v>3</v>
      </c>
      <c r="AK302" s="3" t="s">
        <v>2746</v>
      </c>
      <c r="AL302">
        <v>3</v>
      </c>
      <c r="AM302" t="s">
        <v>980</v>
      </c>
    </row>
    <row r="303" spans="1:39" ht="15" hidden="1" thickTop="1" x14ac:dyDescent="0.3">
      <c r="A303" s="51" t="s">
        <v>1747</v>
      </c>
      <c r="B303" s="54" t="s">
        <v>1748</v>
      </c>
      <c r="C303" s="51" t="s">
        <v>2765</v>
      </c>
      <c r="D303" s="53">
        <v>1</v>
      </c>
      <c r="E303" s="53">
        <v>0</v>
      </c>
      <c r="F303" s="51" t="s">
        <v>2744</v>
      </c>
      <c r="G303" s="51" t="s">
        <v>2695</v>
      </c>
      <c r="H303" s="25" t="s">
        <v>2762</v>
      </c>
      <c r="I303" t="s">
        <v>13</v>
      </c>
      <c r="J303" t="s">
        <v>1743</v>
      </c>
      <c r="K303" t="s">
        <v>1744</v>
      </c>
      <c r="L303" s="25">
        <v>46.992742939999999</v>
      </c>
      <c r="M303" s="25">
        <v>6.6957574070000003</v>
      </c>
      <c r="N303">
        <v>6</v>
      </c>
      <c r="O303">
        <v>18</v>
      </c>
      <c r="P303">
        <v>10</v>
      </c>
      <c r="Q303">
        <v>2016</v>
      </c>
      <c r="R303" s="9">
        <v>42661</v>
      </c>
      <c r="S303">
        <v>330</v>
      </c>
      <c r="T303">
        <v>0</v>
      </c>
      <c r="U303">
        <v>0</v>
      </c>
      <c r="V303">
        <v>0</v>
      </c>
      <c r="W303">
        <v>1</v>
      </c>
      <c r="X303" s="57">
        <f t="shared" si="34"/>
        <v>-42.357925995000002</v>
      </c>
      <c r="Y303">
        <v>-23.66</v>
      </c>
      <c r="Z303">
        <v>3.81</v>
      </c>
      <c r="AA303" s="3">
        <f t="shared" si="35"/>
        <v>4</v>
      </c>
      <c r="AB303" s="3">
        <f t="shared" si="36"/>
        <v>4</v>
      </c>
      <c r="AD303" s="3" t="s">
        <v>2750</v>
      </c>
      <c r="AE303" s="4">
        <v>-27.309698600000001</v>
      </c>
      <c r="AF303" s="4">
        <f t="shared" si="37"/>
        <v>-29.376340796000001</v>
      </c>
      <c r="AG303" s="60" t="s">
        <v>16</v>
      </c>
      <c r="AH303" s="61" t="s">
        <v>16</v>
      </c>
      <c r="AI303" s="57">
        <f t="shared" si="38"/>
        <v>-29.376340796000001</v>
      </c>
      <c r="AJ303" s="3">
        <f t="shared" si="39"/>
        <v>3</v>
      </c>
      <c r="AK303" s="3" t="s">
        <v>2746</v>
      </c>
      <c r="AL303">
        <v>3</v>
      </c>
      <c r="AM303" t="s">
        <v>980</v>
      </c>
    </row>
    <row r="304" spans="1:39" ht="15" hidden="1" thickTop="1" x14ac:dyDescent="0.3">
      <c r="A304" s="51" t="s">
        <v>1820</v>
      </c>
      <c r="B304" s="54" t="s">
        <v>1821</v>
      </c>
      <c r="C304" s="51" t="s">
        <v>2765</v>
      </c>
      <c r="D304" s="53">
        <v>1</v>
      </c>
      <c r="E304" s="53">
        <v>0</v>
      </c>
      <c r="F304" s="51" t="s">
        <v>2744</v>
      </c>
      <c r="G304" s="51" t="s">
        <v>2696</v>
      </c>
      <c r="H304" s="25" t="s">
        <v>2762</v>
      </c>
      <c r="I304" t="s">
        <v>13</v>
      </c>
      <c r="J304" t="s">
        <v>1732</v>
      </c>
      <c r="K304" t="s">
        <v>1822</v>
      </c>
      <c r="L304" s="25">
        <v>46.995261739999997</v>
      </c>
      <c r="M304" s="25">
        <v>6.6971556339999996</v>
      </c>
      <c r="N304">
        <v>6</v>
      </c>
      <c r="O304">
        <v>22</v>
      </c>
      <c r="P304">
        <v>9</v>
      </c>
      <c r="Q304">
        <v>2017</v>
      </c>
      <c r="R304" s="9">
        <v>43000</v>
      </c>
      <c r="S304" t="s">
        <v>16</v>
      </c>
      <c r="T304">
        <v>0</v>
      </c>
      <c r="U304">
        <v>0</v>
      </c>
      <c r="V304">
        <v>0</v>
      </c>
      <c r="W304">
        <v>1</v>
      </c>
      <c r="X304" s="57">
        <f t="shared" si="34"/>
        <v>-40.116933157500007</v>
      </c>
      <c r="Y304" t="s">
        <v>16</v>
      </c>
      <c r="Z304">
        <v>-1.2479256569999999</v>
      </c>
      <c r="AA304" s="3">
        <f t="shared" si="35"/>
        <v>4</v>
      </c>
      <c r="AB304" s="3">
        <f t="shared" si="36"/>
        <v>-1</v>
      </c>
      <c r="AD304" s="3" t="s">
        <v>2750</v>
      </c>
      <c r="AE304" s="4">
        <v>-25.225054100000001</v>
      </c>
      <c r="AF304" s="4">
        <f t="shared" si="37"/>
        <v>-27.583546526000003</v>
      </c>
      <c r="AG304" s="60" t="s">
        <v>16</v>
      </c>
      <c r="AH304" s="61" t="s">
        <v>16</v>
      </c>
      <c r="AI304" s="57">
        <f t="shared" si="38"/>
        <v>-27.583546526000003</v>
      </c>
      <c r="AJ304" s="3">
        <f t="shared" si="39"/>
        <v>3</v>
      </c>
      <c r="AK304" s="3" t="s">
        <v>2710</v>
      </c>
      <c r="AL304">
        <v>3</v>
      </c>
      <c r="AM304" t="s">
        <v>980</v>
      </c>
    </row>
    <row r="305" spans="1:39" ht="15" hidden="1" thickTop="1" x14ac:dyDescent="0.3">
      <c r="A305" s="51" t="s">
        <v>1756</v>
      </c>
      <c r="B305" s="54" t="s">
        <v>1757</v>
      </c>
      <c r="C305" s="51" t="s">
        <v>2765</v>
      </c>
      <c r="D305" s="53">
        <v>1</v>
      </c>
      <c r="E305" s="53">
        <v>0</v>
      </c>
      <c r="F305" s="51" t="s">
        <v>2744</v>
      </c>
      <c r="G305" s="51" t="s">
        <v>2695</v>
      </c>
      <c r="H305" s="25" t="s">
        <v>2762</v>
      </c>
      <c r="I305" t="s">
        <v>385</v>
      </c>
      <c r="J305" t="s">
        <v>539</v>
      </c>
      <c r="K305" t="s">
        <v>1753</v>
      </c>
      <c r="L305" s="25">
        <v>46.88605785</v>
      </c>
      <c r="M305" s="25">
        <v>6.6234912939999999</v>
      </c>
      <c r="N305">
        <v>6</v>
      </c>
      <c r="O305">
        <v>20</v>
      </c>
      <c r="P305">
        <v>10</v>
      </c>
      <c r="Q305">
        <v>2016</v>
      </c>
      <c r="R305" s="9">
        <v>42663</v>
      </c>
      <c r="S305">
        <v>320</v>
      </c>
      <c r="T305">
        <v>0</v>
      </c>
      <c r="U305">
        <v>0</v>
      </c>
      <c r="V305">
        <v>0</v>
      </c>
      <c r="W305">
        <v>1</v>
      </c>
      <c r="X305" s="57">
        <f t="shared" si="34"/>
        <v>-38.068849069999999</v>
      </c>
      <c r="Y305">
        <v>-22.81</v>
      </c>
      <c r="Z305">
        <v>1.0900000000000001</v>
      </c>
      <c r="AA305" s="3">
        <f t="shared" si="35"/>
        <v>4</v>
      </c>
      <c r="AB305" s="3">
        <f t="shared" si="36"/>
        <v>1</v>
      </c>
      <c r="AD305" s="3" t="s">
        <v>2750</v>
      </c>
      <c r="AE305" s="4">
        <v>-23.319859600000001</v>
      </c>
      <c r="AF305" s="4">
        <f t="shared" si="37"/>
        <v>-25.945079256</v>
      </c>
      <c r="AG305" s="60" t="s">
        <v>16</v>
      </c>
      <c r="AH305" s="61" t="s">
        <v>16</v>
      </c>
      <c r="AI305" s="57">
        <f t="shared" si="38"/>
        <v>-25.945079256</v>
      </c>
      <c r="AJ305" s="3">
        <f t="shared" si="39"/>
        <v>3</v>
      </c>
      <c r="AK305" s="3" t="s">
        <v>2746</v>
      </c>
      <c r="AL305">
        <v>2</v>
      </c>
      <c r="AM305" t="s">
        <v>980</v>
      </c>
    </row>
    <row r="306" spans="1:39" ht="15" hidden="1" thickTop="1" x14ac:dyDescent="0.3">
      <c r="A306" s="51" t="s">
        <v>2207</v>
      </c>
      <c r="B306" s="54" t="s">
        <v>2208</v>
      </c>
      <c r="C306" s="51" t="s">
        <v>2765</v>
      </c>
      <c r="D306" s="53">
        <v>1</v>
      </c>
      <c r="E306" s="53">
        <v>0</v>
      </c>
      <c r="F306" s="51" t="s">
        <v>2744</v>
      </c>
      <c r="G306" s="51" t="s">
        <v>2695</v>
      </c>
      <c r="H306" s="25" t="s">
        <v>2762</v>
      </c>
      <c r="I306" t="s">
        <v>13</v>
      </c>
      <c r="J306" t="s">
        <v>2205</v>
      </c>
      <c r="K306" t="s">
        <v>2206</v>
      </c>
      <c r="L306" s="25">
        <v>46.89948072</v>
      </c>
      <c r="M306" s="25">
        <v>6.5102221289999997</v>
      </c>
      <c r="N306">
        <v>6</v>
      </c>
      <c r="O306">
        <v>27</v>
      </c>
      <c r="P306">
        <v>10</v>
      </c>
      <c r="Q306">
        <v>2016</v>
      </c>
      <c r="R306" s="9">
        <v>42670</v>
      </c>
      <c r="S306">
        <v>368</v>
      </c>
      <c r="T306">
        <v>0</v>
      </c>
      <c r="U306">
        <v>0</v>
      </c>
      <c r="V306">
        <v>0</v>
      </c>
      <c r="W306">
        <v>1</v>
      </c>
      <c r="X306" s="57">
        <f t="shared" si="34"/>
        <v>-37.865720725000003</v>
      </c>
      <c r="Y306">
        <v>-22.39</v>
      </c>
      <c r="Z306">
        <v>1.3</v>
      </c>
      <c r="AA306" s="3">
        <f t="shared" si="35"/>
        <v>4</v>
      </c>
      <c r="AB306" s="3">
        <f t="shared" si="36"/>
        <v>1</v>
      </c>
      <c r="AD306" s="3" t="s">
        <v>2750</v>
      </c>
      <c r="AE306" s="4">
        <v>-23.130903</v>
      </c>
      <c r="AF306" s="4">
        <f t="shared" si="37"/>
        <v>-25.782576580000001</v>
      </c>
      <c r="AG306" s="60" t="s">
        <v>16</v>
      </c>
      <c r="AH306" s="61" t="s">
        <v>16</v>
      </c>
      <c r="AI306" s="57">
        <f t="shared" si="38"/>
        <v>-25.782576580000001</v>
      </c>
      <c r="AJ306" s="3">
        <f t="shared" si="39"/>
        <v>3</v>
      </c>
      <c r="AK306" s="3" t="s">
        <v>2746</v>
      </c>
      <c r="AL306">
        <v>2</v>
      </c>
      <c r="AM306" t="s">
        <v>980</v>
      </c>
    </row>
    <row r="307" spans="1:39" ht="15" hidden="1" thickTop="1" x14ac:dyDescent="0.3">
      <c r="A307" s="51" t="s">
        <v>2219</v>
      </c>
      <c r="B307" s="54" t="s">
        <v>2220</v>
      </c>
      <c r="C307" s="51" t="s">
        <v>2765</v>
      </c>
      <c r="D307" s="53">
        <v>1</v>
      </c>
      <c r="E307" s="53">
        <v>0</v>
      </c>
      <c r="F307" s="51" t="s">
        <v>2744</v>
      </c>
      <c r="G307" s="51" t="s">
        <v>2695</v>
      </c>
      <c r="H307" s="25" t="s">
        <v>2762</v>
      </c>
      <c r="I307" t="s">
        <v>13</v>
      </c>
      <c r="J307" t="s">
        <v>1057</v>
      </c>
      <c r="K307" t="s">
        <v>1738</v>
      </c>
      <c r="L307" s="25">
        <v>46.930614849999998</v>
      </c>
      <c r="M307" s="25">
        <v>6.5865455659999999</v>
      </c>
      <c r="N307">
        <v>6</v>
      </c>
      <c r="O307">
        <v>31</v>
      </c>
      <c r="P307">
        <v>10</v>
      </c>
      <c r="Q307">
        <v>2016</v>
      </c>
      <c r="R307" s="9">
        <v>42674</v>
      </c>
      <c r="S307">
        <v>330</v>
      </c>
      <c r="T307">
        <v>0</v>
      </c>
      <c r="U307">
        <v>0</v>
      </c>
      <c r="V307">
        <v>0</v>
      </c>
      <c r="W307">
        <v>1</v>
      </c>
      <c r="X307" s="57">
        <f t="shared" si="34"/>
        <v>-34.964931049999997</v>
      </c>
      <c r="Y307">
        <v>-21.67</v>
      </c>
      <c r="Z307">
        <v>0.19</v>
      </c>
      <c r="AA307" s="3">
        <f t="shared" si="35"/>
        <v>3</v>
      </c>
      <c r="AB307" s="3">
        <f t="shared" si="36"/>
        <v>0</v>
      </c>
      <c r="AD307" s="3" t="s">
        <v>2750</v>
      </c>
      <c r="AE307" s="4">
        <v>-20.432493999999998</v>
      </c>
      <c r="AF307" s="4">
        <f t="shared" si="37"/>
        <v>-23.461944839999997</v>
      </c>
      <c r="AG307" s="60" t="s">
        <v>16</v>
      </c>
      <c r="AH307" s="61" t="s">
        <v>16</v>
      </c>
      <c r="AI307" s="57">
        <f t="shared" si="38"/>
        <v>-23.461944839999997</v>
      </c>
      <c r="AJ307" s="3">
        <f t="shared" si="39"/>
        <v>2</v>
      </c>
      <c r="AK307" s="3" t="s">
        <v>2746</v>
      </c>
      <c r="AL307">
        <v>2</v>
      </c>
      <c r="AM307" t="s">
        <v>980</v>
      </c>
    </row>
    <row r="308" spans="1:39" ht="15" hidden="1" thickTop="1" x14ac:dyDescent="0.3">
      <c r="A308" s="51" t="s">
        <v>1827</v>
      </c>
      <c r="B308" s="54" t="s">
        <v>1828</v>
      </c>
      <c r="C308" s="51" t="s">
        <v>2765</v>
      </c>
      <c r="D308" s="53">
        <v>1</v>
      </c>
      <c r="E308" s="53">
        <v>0</v>
      </c>
      <c r="F308" s="51" t="s">
        <v>2744</v>
      </c>
      <c r="G308" s="51" t="s">
        <v>2696</v>
      </c>
      <c r="H308" s="25" t="s">
        <v>2762</v>
      </c>
      <c r="I308" t="s">
        <v>385</v>
      </c>
      <c r="J308" t="s">
        <v>386</v>
      </c>
      <c r="K308" t="s">
        <v>1829</v>
      </c>
      <c r="L308" s="25">
        <v>46.867148419999999</v>
      </c>
      <c r="M308" s="25">
        <v>6.5791952629999999</v>
      </c>
      <c r="N308">
        <v>6</v>
      </c>
      <c r="O308">
        <v>28</v>
      </c>
      <c r="P308">
        <v>9</v>
      </c>
      <c r="Q308">
        <v>2017</v>
      </c>
      <c r="R308" s="9">
        <v>43006</v>
      </c>
      <c r="S308" t="s">
        <v>16</v>
      </c>
      <c r="T308">
        <v>0</v>
      </c>
      <c r="U308">
        <v>0</v>
      </c>
      <c r="V308">
        <v>0</v>
      </c>
      <c r="W308">
        <v>1</v>
      </c>
      <c r="X308" s="57">
        <f t="shared" si="34"/>
        <v>-31.044151597500001</v>
      </c>
      <c r="Y308" t="s">
        <v>16</v>
      </c>
      <c r="Z308">
        <v>1.180864336</v>
      </c>
      <c r="AA308" s="3">
        <f t="shared" si="35"/>
        <v>3</v>
      </c>
      <c r="AB308" s="3">
        <f t="shared" si="36"/>
        <v>1</v>
      </c>
      <c r="AD308" s="3" t="s">
        <v>2750</v>
      </c>
      <c r="AE308" s="4">
        <v>-16.785257300000001</v>
      </c>
      <c r="AF308" s="4">
        <f t="shared" si="37"/>
        <v>-20.325321278000001</v>
      </c>
      <c r="AG308" s="60" t="s">
        <v>16</v>
      </c>
      <c r="AH308" s="61" t="s">
        <v>16</v>
      </c>
      <c r="AI308" s="57">
        <f t="shared" si="38"/>
        <v>-20.325321278000001</v>
      </c>
      <c r="AJ308" s="3">
        <f t="shared" si="39"/>
        <v>2</v>
      </c>
      <c r="AK308" s="3" t="s">
        <v>2710</v>
      </c>
      <c r="AL308">
        <v>2</v>
      </c>
      <c r="AM308" t="s">
        <v>980</v>
      </c>
    </row>
    <row r="309" spans="1:39" ht="15" thickTop="1" x14ac:dyDescent="0.3">
      <c r="A309" s="51" t="s">
        <v>1639</v>
      </c>
      <c r="B309" s="54" t="s">
        <v>877</v>
      </c>
      <c r="C309" s="51" t="s">
        <v>2765</v>
      </c>
      <c r="D309" s="53">
        <v>0</v>
      </c>
      <c r="E309" s="53">
        <v>1</v>
      </c>
      <c r="F309" s="51" t="s">
        <v>2715</v>
      </c>
      <c r="G309" s="51" t="s">
        <v>2695</v>
      </c>
      <c r="H309" s="25" t="str">
        <f t="shared" ref="H309:H372" si="40">IF(T309=1,"jgd",IF(W309=1,"Captures automne","Captures printemps-été"))</f>
        <v>jgd</v>
      </c>
      <c r="I309" t="s">
        <v>72</v>
      </c>
      <c r="J309" t="s">
        <v>848</v>
      </c>
      <c r="K309" t="s">
        <v>16</v>
      </c>
      <c r="L309" s="25">
        <v>46.155335739999998</v>
      </c>
      <c r="M309" s="25">
        <v>8.6961468069999999</v>
      </c>
      <c r="N309">
        <v>5</v>
      </c>
      <c r="O309">
        <v>20</v>
      </c>
      <c r="P309">
        <v>10</v>
      </c>
      <c r="Q309">
        <v>2016</v>
      </c>
      <c r="R309" s="9">
        <v>42663</v>
      </c>
      <c r="S309">
        <v>280</v>
      </c>
      <c r="T309">
        <v>1</v>
      </c>
      <c r="U309">
        <v>0</v>
      </c>
      <c r="V309">
        <v>0</v>
      </c>
      <c r="W309">
        <v>0</v>
      </c>
      <c r="X309" s="57">
        <f t="shared" ref="X309:X372" si="41">1.25*AF309+30.275</f>
        <v>-122.14454025000001</v>
      </c>
      <c r="Y309">
        <v>-22.87</v>
      </c>
      <c r="Z309">
        <v>5.66</v>
      </c>
      <c r="AA309" s="3">
        <f t="shared" si="35"/>
        <v>12</v>
      </c>
      <c r="AB309" s="3">
        <f t="shared" si="36"/>
        <v>6</v>
      </c>
      <c r="AD309" s="3" t="s">
        <v>2754</v>
      </c>
      <c r="AE309" s="22">
        <v>-121.9356322</v>
      </c>
      <c r="AF309" s="22">
        <f t="shared" si="37"/>
        <v>-121.9356322</v>
      </c>
      <c r="AG309" s="60" t="s">
        <v>16</v>
      </c>
      <c r="AH309" s="61" t="s">
        <v>16</v>
      </c>
      <c r="AJ309" s="3">
        <f t="shared" si="39"/>
        <v>12</v>
      </c>
      <c r="AK309" s="3" t="s">
        <v>2741</v>
      </c>
      <c r="AL309">
        <v>12</v>
      </c>
      <c r="AM309" t="s">
        <v>15</v>
      </c>
    </row>
    <row r="310" spans="1:39" x14ac:dyDescent="0.3">
      <c r="A310" s="51" t="s">
        <v>1673</v>
      </c>
      <c r="B310" s="54" t="s">
        <v>945</v>
      </c>
      <c r="C310" s="51" t="s">
        <v>2765</v>
      </c>
      <c r="D310" s="53">
        <v>0</v>
      </c>
      <c r="E310" s="53">
        <v>1</v>
      </c>
      <c r="F310" s="51" t="s">
        <v>2715</v>
      </c>
      <c r="G310" s="51" t="s">
        <v>2695</v>
      </c>
      <c r="H310" s="25" t="str">
        <f t="shared" si="40"/>
        <v>jgd</v>
      </c>
      <c r="I310" t="s">
        <v>72</v>
      </c>
      <c r="J310" t="s">
        <v>708</v>
      </c>
      <c r="K310" t="s">
        <v>16</v>
      </c>
      <c r="L310" s="25">
        <v>46.539085540000002</v>
      </c>
      <c r="M310" s="25">
        <v>8.5923751530000008</v>
      </c>
      <c r="N310">
        <v>2</v>
      </c>
      <c r="O310">
        <v>27</v>
      </c>
      <c r="P310">
        <v>10</v>
      </c>
      <c r="Q310">
        <v>2016</v>
      </c>
      <c r="R310" s="9">
        <v>42670</v>
      </c>
      <c r="S310">
        <v>310</v>
      </c>
      <c r="T310">
        <v>1</v>
      </c>
      <c r="U310">
        <v>0</v>
      </c>
      <c r="V310">
        <v>0</v>
      </c>
      <c r="W310">
        <v>0</v>
      </c>
      <c r="X310" s="57">
        <f t="shared" si="41"/>
        <v>-118.45487212499998</v>
      </c>
      <c r="Y310">
        <v>-22.03</v>
      </c>
      <c r="Z310">
        <v>6.31</v>
      </c>
      <c r="AA310" s="3">
        <f t="shared" si="35"/>
        <v>12</v>
      </c>
      <c r="AB310" s="3">
        <f t="shared" ref="AB310:AB341" si="42">ROUND(Z310,0)</f>
        <v>6</v>
      </c>
      <c r="AD310" s="3" t="s">
        <v>2754</v>
      </c>
      <c r="AE310" s="22">
        <v>-118.9838977</v>
      </c>
      <c r="AF310" s="22">
        <f t="shared" si="37"/>
        <v>-118.9838977</v>
      </c>
      <c r="AG310" s="60" t="s">
        <v>16</v>
      </c>
      <c r="AH310" s="61" t="s">
        <v>16</v>
      </c>
      <c r="AJ310" s="3">
        <f t="shared" si="39"/>
        <v>12</v>
      </c>
      <c r="AK310" s="3" t="s">
        <v>2741</v>
      </c>
      <c r="AL310">
        <v>12</v>
      </c>
      <c r="AM310" t="s">
        <v>15</v>
      </c>
    </row>
    <row r="311" spans="1:39" x14ac:dyDescent="0.3">
      <c r="A311" s="51" t="s">
        <v>1979</v>
      </c>
      <c r="B311" s="54" t="s">
        <v>1248</v>
      </c>
      <c r="C311" s="51" t="s">
        <v>2765</v>
      </c>
      <c r="D311" s="53">
        <v>0</v>
      </c>
      <c r="E311" s="53">
        <v>1</v>
      </c>
      <c r="F311" s="51" t="s">
        <v>2715</v>
      </c>
      <c r="G311" s="51" t="s">
        <v>2695</v>
      </c>
      <c r="H311" s="25" t="str">
        <f t="shared" si="40"/>
        <v>jgd</v>
      </c>
      <c r="I311" t="s">
        <v>72</v>
      </c>
      <c r="J311" t="s">
        <v>694</v>
      </c>
      <c r="K311" t="s">
        <v>698</v>
      </c>
      <c r="L311" s="25">
        <v>46.129126290000002</v>
      </c>
      <c r="M311" s="25">
        <v>8.8981445039999993</v>
      </c>
      <c r="N311">
        <v>4</v>
      </c>
      <c r="O311">
        <v>19</v>
      </c>
      <c r="P311">
        <v>10</v>
      </c>
      <c r="Q311">
        <v>2016</v>
      </c>
      <c r="R311" s="9">
        <v>42662</v>
      </c>
      <c r="S311">
        <v>300</v>
      </c>
      <c r="T311">
        <v>1</v>
      </c>
      <c r="U311">
        <v>0</v>
      </c>
      <c r="V311">
        <v>0</v>
      </c>
      <c r="W311">
        <v>0</v>
      </c>
      <c r="X311" s="57">
        <f t="shared" si="41"/>
        <v>-115.75619399999999</v>
      </c>
      <c r="Y311">
        <v>-23.12</v>
      </c>
      <c r="Z311">
        <v>5.87</v>
      </c>
      <c r="AA311" s="3">
        <f t="shared" si="35"/>
        <v>12</v>
      </c>
      <c r="AB311" s="3">
        <f t="shared" si="42"/>
        <v>6</v>
      </c>
      <c r="AD311" s="3" t="s">
        <v>2754</v>
      </c>
      <c r="AE311" s="22">
        <v>-116.82495520000001</v>
      </c>
      <c r="AF311" s="22">
        <f t="shared" si="37"/>
        <v>-116.82495520000001</v>
      </c>
      <c r="AG311" s="60" t="s">
        <v>16</v>
      </c>
      <c r="AH311" s="61" t="s">
        <v>16</v>
      </c>
      <c r="AJ311" s="3">
        <f t="shared" si="39"/>
        <v>12</v>
      </c>
      <c r="AK311" s="3" t="s">
        <v>2741</v>
      </c>
      <c r="AL311">
        <v>12</v>
      </c>
      <c r="AM311" t="s">
        <v>15</v>
      </c>
    </row>
    <row r="312" spans="1:39" hidden="1" x14ac:dyDescent="0.3">
      <c r="A312" s="51" t="s">
        <v>380</v>
      </c>
      <c r="B312" s="54" t="s">
        <v>381</v>
      </c>
      <c r="C312" s="51" t="s">
        <v>2765</v>
      </c>
      <c r="D312" s="53">
        <v>0</v>
      </c>
      <c r="E312" s="53">
        <v>1</v>
      </c>
      <c r="F312" s="51" t="s">
        <v>2715</v>
      </c>
      <c r="G312" s="51" t="s">
        <v>2695</v>
      </c>
      <c r="H312" s="25" t="str">
        <f t="shared" si="40"/>
        <v>jgd</v>
      </c>
      <c r="I312" t="s">
        <v>30</v>
      </c>
      <c r="J312" t="s">
        <v>42</v>
      </c>
      <c r="K312" t="s">
        <v>382</v>
      </c>
      <c r="L312" s="25">
        <v>46.634279139999997</v>
      </c>
      <c r="M312" s="25">
        <v>6.8874089060000001</v>
      </c>
      <c r="N312">
        <v>5</v>
      </c>
      <c r="O312">
        <v>11</v>
      </c>
      <c r="P312">
        <v>11</v>
      </c>
      <c r="Q312">
        <v>2014</v>
      </c>
      <c r="R312" s="9">
        <v>41954</v>
      </c>
      <c r="S312">
        <v>386</v>
      </c>
      <c r="T312">
        <v>1</v>
      </c>
      <c r="U312">
        <v>0</v>
      </c>
      <c r="V312">
        <v>0</v>
      </c>
      <c r="W312">
        <v>0</v>
      </c>
      <c r="X312">
        <f t="shared" si="41"/>
        <v>-113.42499999999998</v>
      </c>
      <c r="Y312">
        <v>-22.763999999999999</v>
      </c>
      <c r="Z312">
        <v>5.2198509839999998</v>
      </c>
      <c r="AA312" s="3">
        <f t="shared" si="35"/>
        <v>11</v>
      </c>
      <c r="AB312" s="3">
        <f t="shared" si="42"/>
        <v>5</v>
      </c>
      <c r="AD312" s="3" t="s">
        <v>2751</v>
      </c>
      <c r="AE312" s="22">
        <v>-114.96</v>
      </c>
      <c r="AF312" s="22">
        <f t="shared" si="37"/>
        <v>-114.96</v>
      </c>
      <c r="AG312" s="1">
        <v>-138.6</v>
      </c>
      <c r="AH312" s="2" t="s">
        <v>16</v>
      </c>
      <c r="AI312"/>
      <c r="AJ312" s="3">
        <f t="shared" si="39"/>
        <v>11</v>
      </c>
      <c r="AK312" s="3" t="s">
        <v>2709</v>
      </c>
      <c r="AL312">
        <v>11</v>
      </c>
      <c r="AM312" t="s">
        <v>15</v>
      </c>
    </row>
    <row r="313" spans="1:39" x14ac:dyDescent="0.3">
      <c r="A313" s="51" t="s">
        <v>1319</v>
      </c>
      <c r="B313" s="54" t="s">
        <v>1320</v>
      </c>
      <c r="C313" s="51" t="s">
        <v>2765</v>
      </c>
      <c r="D313" s="53">
        <v>0</v>
      </c>
      <c r="E313" s="53">
        <v>1</v>
      </c>
      <c r="F313" s="51" t="s">
        <v>2715</v>
      </c>
      <c r="G313" s="51" t="s">
        <v>2695</v>
      </c>
      <c r="H313" s="25" t="str">
        <f t="shared" si="40"/>
        <v>jgd</v>
      </c>
      <c r="I313" t="s">
        <v>72</v>
      </c>
      <c r="J313" t="s">
        <v>242</v>
      </c>
      <c r="K313" t="s">
        <v>1321</v>
      </c>
      <c r="L313" s="25">
        <v>46.190868430000002</v>
      </c>
      <c r="M313" s="25">
        <v>8.6386203120000005</v>
      </c>
      <c r="N313">
        <v>6</v>
      </c>
      <c r="O313">
        <v>11</v>
      </c>
      <c r="P313">
        <v>11</v>
      </c>
      <c r="Q313">
        <v>2015</v>
      </c>
      <c r="R313" s="9">
        <v>42319</v>
      </c>
      <c r="S313">
        <v>323</v>
      </c>
      <c r="T313">
        <v>1</v>
      </c>
      <c r="U313">
        <v>0</v>
      </c>
      <c r="V313">
        <v>0</v>
      </c>
      <c r="W313">
        <v>0</v>
      </c>
      <c r="X313">
        <f t="shared" si="41"/>
        <v>-108.8125</v>
      </c>
      <c r="Y313">
        <v>-23.752400000000002</v>
      </c>
      <c r="Z313">
        <v>7.8065244859999998</v>
      </c>
      <c r="AA313" s="3">
        <f t="shared" si="35"/>
        <v>11</v>
      </c>
      <c r="AB313" s="3">
        <f t="shared" si="42"/>
        <v>8</v>
      </c>
      <c r="AD313" s="3" t="s">
        <v>2754</v>
      </c>
      <c r="AE313" s="22">
        <v>-111.27</v>
      </c>
      <c r="AF313" s="22">
        <f t="shared" si="37"/>
        <v>-111.27</v>
      </c>
      <c r="AG313" s="1">
        <v>-134.80000000000001</v>
      </c>
      <c r="AH313" s="2" t="s">
        <v>16</v>
      </c>
      <c r="AI313"/>
      <c r="AJ313" s="3">
        <f t="shared" si="39"/>
        <v>11</v>
      </c>
      <c r="AK313" s="3" t="s">
        <v>2709</v>
      </c>
      <c r="AL313">
        <v>11</v>
      </c>
      <c r="AM313" t="s">
        <v>15</v>
      </c>
    </row>
    <row r="314" spans="1:39" x14ac:dyDescent="0.3">
      <c r="A314" s="51" t="s">
        <v>1704</v>
      </c>
      <c r="B314" s="54" t="s">
        <v>183</v>
      </c>
      <c r="C314" s="51" t="s">
        <v>2765</v>
      </c>
      <c r="D314" s="53">
        <v>0</v>
      </c>
      <c r="E314" s="53">
        <v>1</v>
      </c>
      <c r="F314" s="51" t="s">
        <v>2715</v>
      </c>
      <c r="G314" s="51" t="s">
        <v>2695</v>
      </c>
      <c r="H314" s="25" t="str">
        <f t="shared" si="40"/>
        <v>jgd</v>
      </c>
      <c r="I314" t="s">
        <v>72</v>
      </c>
      <c r="J314" t="s">
        <v>441</v>
      </c>
      <c r="K314" t="s">
        <v>442</v>
      </c>
      <c r="L314" s="25">
        <v>46.109486629999999</v>
      </c>
      <c r="M314" s="25">
        <v>8.9713529800000007</v>
      </c>
      <c r="N314">
        <v>5</v>
      </c>
      <c r="O314">
        <v>18</v>
      </c>
      <c r="P314">
        <v>10</v>
      </c>
      <c r="Q314">
        <v>2016</v>
      </c>
      <c r="R314" s="9">
        <v>42661</v>
      </c>
      <c r="S314">
        <v>323</v>
      </c>
      <c r="T314">
        <v>1</v>
      </c>
      <c r="U314">
        <v>0</v>
      </c>
      <c r="V314">
        <v>0</v>
      </c>
      <c r="W314">
        <v>0</v>
      </c>
      <c r="X314" s="57">
        <f t="shared" si="41"/>
        <v>-107.106267</v>
      </c>
      <c r="Y314">
        <v>-22.68</v>
      </c>
      <c r="Z314">
        <v>8.3000000000000007</v>
      </c>
      <c r="AA314" s="3">
        <f t="shared" si="35"/>
        <v>11</v>
      </c>
      <c r="AB314" s="3">
        <f t="shared" si="42"/>
        <v>8</v>
      </c>
      <c r="AD314" s="3" t="s">
        <v>2754</v>
      </c>
      <c r="AE314" s="22">
        <v>-109.9050136</v>
      </c>
      <c r="AF314" s="22">
        <f t="shared" si="37"/>
        <v>-109.9050136</v>
      </c>
      <c r="AG314" s="60" t="s">
        <v>16</v>
      </c>
      <c r="AH314" s="61" t="s">
        <v>16</v>
      </c>
      <c r="AJ314" s="3">
        <f t="shared" si="39"/>
        <v>11</v>
      </c>
      <c r="AK314" s="3" t="s">
        <v>2709</v>
      </c>
      <c r="AL314">
        <v>11</v>
      </c>
      <c r="AM314" t="s">
        <v>15</v>
      </c>
    </row>
    <row r="315" spans="1:39" hidden="1" x14ac:dyDescent="0.3">
      <c r="A315" s="51" t="s">
        <v>2116</v>
      </c>
      <c r="B315" s="54" t="s">
        <v>2117</v>
      </c>
      <c r="C315" s="51" t="s">
        <v>2765</v>
      </c>
      <c r="D315" s="53">
        <v>0</v>
      </c>
      <c r="E315" s="53">
        <v>1</v>
      </c>
      <c r="F315" s="51" t="s">
        <v>2715</v>
      </c>
      <c r="G315" s="51" t="s">
        <v>2695</v>
      </c>
      <c r="H315" s="25" t="str">
        <f t="shared" si="40"/>
        <v>jgd</v>
      </c>
      <c r="I315" t="s">
        <v>30</v>
      </c>
      <c r="J315" t="s">
        <v>2118</v>
      </c>
      <c r="K315" t="s">
        <v>2119</v>
      </c>
      <c r="L315" s="25">
        <v>46.740234170000001</v>
      </c>
      <c r="M315" s="25">
        <v>7.0499145609999996</v>
      </c>
      <c r="N315">
        <v>6</v>
      </c>
      <c r="O315">
        <v>13</v>
      </c>
      <c r="P315">
        <v>11</v>
      </c>
      <c r="Q315">
        <v>2017</v>
      </c>
      <c r="R315" s="9">
        <v>43052</v>
      </c>
      <c r="S315">
        <v>331</v>
      </c>
      <c r="T315">
        <v>1</v>
      </c>
      <c r="U315">
        <v>0</v>
      </c>
      <c r="V315">
        <v>0</v>
      </c>
      <c r="W315">
        <v>0</v>
      </c>
      <c r="X315" s="57">
        <f t="shared" si="41"/>
        <v>-106.49777999999998</v>
      </c>
      <c r="Y315" t="s">
        <v>16</v>
      </c>
      <c r="Z315">
        <v>6.362445471</v>
      </c>
      <c r="AA315" s="3">
        <f t="shared" si="35"/>
        <v>11</v>
      </c>
      <c r="AB315" s="3">
        <f t="shared" si="42"/>
        <v>6</v>
      </c>
      <c r="AD315" s="3" t="s">
        <v>2751</v>
      </c>
      <c r="AE315" s="22">
        <v>-109.418224</v>
      </c>
      <c r="AF315" s="22">
        <f t="shared" si="37"/>
        <v>-109.418224</v>
      </c>
      <c r="AG315" s="60" t="s">
        <v>16</v>
      </c>
      <c r="AH315" s="61" t="s">
        <v>16</v>
      </c>
      <c r="AJ315" s="3">
        <f t="shared" si="39"/>
        <v>11</v>
      </c>
      <c r="AK315" s="3" t="s">
        <v>2709</v>
      </c>
      <c r="AL315">
        <v>11</v>
      </c>
      <c r="AM315" t="s">
        <v>15</v>
      </c>
    </row>
    <row r="316" spans="1:39" hidden="1" x14ac:dyDescent="0.3">
      <c r="A316" s="51" t="s">
        <v>1131</v>
      </c>
      <c r="B316" s="54" t="s">
        <v>218</v>
      </c>
      <c r="C316" s="51" t="s">
        <v>2765</v>
      </c>
      <c r="D316" s="53">
        <v>0</v>
      </c>
      <c r="E316" s="53">
        <v>1</v>
      </c>
      <c r="F316" s="51" t="s">
        <v>2715</v>
      </c>
      <c r="G316" s="51" t="s">
        <v>2695</v>
      </c>
      <c r="H316" s="25" t="str">
        <f t="shared" si="40"/>
        <v>jgd</v>
      </c>
      <c r="I316" t="s">
        <v>13</v>
      </c>
      <c r="J316" t="s">
        <v>21</v>
      </c>
      <c r="K316" t="s">
        <v>1132</v>
      </c>
      <c r="L316" s="25">
        <v>46.973635889999997</v>
      </c>
      <c r="M316" s="25">
        <v>6.6459760670000003</v>
      </c>
      <c r="N316">
        <v>4</v>
      </c>
      <c r="O316">
        <v>4</v>
      </c>
      <c r="P316">
        <v>11</v>
      </c>
      <c r="Q316">
        <v>2015</v>
      </c>
      <c r="R316" s="9">
        <v>42312</v>
      </c>
      <c r="S316">
        <v>310</v>
      </c>
      <c r="T316">
        <v>1</v>
      </c>
      <c r="U316">
        <v>0</v>
      </c>
      <c r="V316">
        <v>0</v>
      </c>
      <c r="W316">
        <v>0</v>
      </c>
      <c r="X316">
        <f t="shared" si="41"/>
        <v>-104.33750000000001</v>
      </c>
      <c r="Y316">
        <v>-25.044799999999999</v>
      </c>
      <c r="Z316">
        <v>4.3584891429999999</v>
      </c>
      <c r="AA316" s="3">
        <f t="shared" si="35"/>
        <v>10</v>
      </c>
      <c r="AB316" s="3">
        <f t="shared" si="42"/>
        <v>4</v>
      </c>
      <c r="AD316" s="3" t="s">
        <v>2750</v>
      </c>
      <c r="AE316" s="22">
        <v>-107.69</v>
      </c>
      <c r="AF316" s="22">
        <f t="shared" si="37"/>
        <v>-107.69</v>
      </c>
      <c r="AG316" s="1">
        <v>-131.1</v>
      </c>
      <c r="AH316" s="2" t="s">
        <v>16</v>
      </c>
      <c r="AI316"/>
      <c r="AJ316" s="3">
        <f t="shared" si="39"/>
        <v>11</v>
      </c>
      <c r="AK316" s="3" t="s">
        <v>2709</v>
      </c>
      <c r="AL316">
        <v>11</v>
      </c>
      <c r="AM316" t="s">
        <v>15</v>
      </c>
    </row>
    <row r="317" spans="1:39" hidden="1" x14ac:dyDescent="0.3">
      <c r="A317" s="51" t="s">
        <v>1365</v>
      </c>
      <c r="B317" s="54" t="s">
        <v>263</v>
      </c>
      <c r="C317" s="51" t="s">
        <v>2765</v>
      </c>
      <c r="D317" s="53">
        <v>0</v>
      </c>
      <c r="E317" s="53">
        <v>1</v>
      </c>
      <c r="F317" s="51" t="s">
        <v>2715</v>
      </c>
      <c r="G317" s="51" t="s">
        <v>2695</v>
      </c>
      <c r="H317" s="25" t="str">
        <f t="shared" si="40"/>
        <v>jgd</v>
      </c>
      <c r="I317" t="s">
        <v>30</v>
      </c>
      <c r="J317" t="s">
        <v>69</v>
      </c>
      <c r="K317" t="s">
        <v>269</v>
      </c>
      <c r="L317" s="25">
        <v>46.747708009999997</v>
      </c>
      <c r="M317" s="25">
        <v>7.0629081400000002</v>
      </c>
      <c r="N317">
        <v>5</v>
      </c>
      <c r="O317">
        <v>4</v>
      </c>
      <c r="P317">
        <v>11</v>
      </c>
      <c r="Q317">
        <v>2015</v>
      </c>
      <c r="R317" s="9">
        <v>42312</v>
      </c>
      <c r="S317">
        <v>333</v>
      </c>
      <c r="T317">
        <v>1</v>
      </c>
      <c r="U317">
        <v>0</v>
      </c>
      <c r="V317">
        <v>0</v>
      </c>
      <c r="W317">
        <v>0</v>
      </c>
      <c r="X317">
        <f t="shared" si="41"/>
        <v>-104.0625</v>
      </c>
      <c r="Y317">
        <v>-23.5024938</v>
      </c>
      <c r="Z317">
        <v>7.0451623860000003</v>
      </c>
      <c r="AA317" s="3">
        <f t="shared" si="35"/>
        <v>10</v>
      </c>
      <c r="AB317" s="3">
        <f t="shared" si="42"/>
        <v>7</v>
      </c>
      <c r="AD317" s="3" t="s">
        <v>2751</v>
      </c>
      <c r="AE317" s="22">
        <v>-107.47</v>
      </c>
      <c r="AF317" s="22">
        <f t="shared" si="37"/>
        <v>-107.47</v>
      </c>
      <c r="AG317" s="1">
        <v>-130.9</v>
      </c>
      <c r="AH317" s="2" t="s">
        <v>16</v>
      </c>
      <c r="AI317"/>
      <c r="AJ317" s="3">
        <f t="shared" si="39"/>
        <v>11</v>
      </c>
      <c r="AK317" s="3" t="s">
        <v>2709</v>
      </c>
      <c r="AL317">
        <v>11</v>
      </c>
      <c r="AM317" t="s">
        <v>15</v>
      </c>
    </row>
    <row r="318" spans="1:39" hidden="1" x14ac:dyDescent="0.3">
      <c r="A318" s="51" t="s">
        <v>1864</v>
      </c>
      <c r="B318" s="54" t="s">
        <v>1865</v>
      </c>
      <c r="C318" s="51" t="s">
        <v>2765</v>
      </c>
      <c r="D318" s="53">
        <v>0</v>
      </c>
      <c r="E318" s="53">
        <v>1</v>
      </c>
      <c r="F318" s="51" t="s">
        <v>2715</v>
      </c>
      <c r="G318" s="51" t="s">
        <v>2695</v>
      </c>
      <c r="H318" s="25" t="str">
        <f t="shared" si="40"/>
        <v>jgd</v>
      </c>
      <c r="I318" t="s">
        <v>13</v>
      </c>
      <c r="J318" t="s">
        <v>55</v>
      </c>
      <c r="K318" t="s">
        <v>1061</v>
      </c>
      <c r="L318" s="25">
        <v>46.935466409999997</v>
      </c>
      <c r="M318" s="25">
        <v>6.5583638989999997</v>
      </c>
      <c r="N318">
        <v>6</v>
      </c>
      <c r="O318">
        <v>19</v>
      </c>
      <c r="P318">
        <v>10</v>
      </c>
      <c r="Q318">
        <v>2016</v>
      </c>
      <c r="R318" s="9">
        <v>42662</v>
      </c>
      <c r="S318">
        <v>375</v>
      </c>
      <c r="T318">
        <v>1</v>
      </c>
      <c r="U318">
        <v>0</v>
      </c>
      <c r="V318">
        <v>0</v>
      </c>
      <c r="W318">
        <v>0</v>
      </c>
      <c r="X318" s="57">
        <f t="shared" si="41"/>
        <v>-103.54182749999998</v>
      </c>
      <c r="Y318">
        <v>-23.75</v>
      </c>
      <c r="Z318">
        <v>8.1999999999999993</v>
      </c>
      <c r="AA318" s="3">
        <f t="shared" si="35"/>
        <v>10</v>
      </c>
      <c r="AB318" s="3">
        <f t="shared" si="42"/>
        <v>8</v>
      </c>
      <c r="AD318" s="3" t="s">
        <v>2750</v>
      </c>
      <c r="AE318" s="22">
        <v>-107.053462</v>
      </c>
      <c r="AF318" s="22">
        <f t="shared" si="37"/>
        <v>-107.053462</v>
      </c>
      <c r="AG318" s="60" t="s">
        <v>16</v>
      </c>
      <c r="AH318" s="61" t="s">
        <v>16</v>
      </c>
      <c r="AJ318" s="3">
        <f t="shared" si="39"/>
        <v>11</v>
      </c>
      <c r="AK318" s="3" t="s">
        <v>2709</v>
      </c>
      <c r="AL318">
        <v>11</v>
      </c>
      <c r="AM318" t="s">
        <v>15</v>
      </c>
    </row>
    <row r="319" spans="1:39" hidden="1" x14ac:dyDescent="0.3">
      <c r="A319" s="51" t="s">
        <v>2454</v>
      </c>
      <c r="B319" s="54" t="s">
        <v>1079</v>
      </c>
      <c r="C319" s="51" t="s">
        <v>2765</v>
      </c>
      <c r="D319" s="53">
        <v>0</v>
      </c>
      <c r="E319" s="53">
        <v>1</v>
      </c>
      <c r="F319" s="51" t="s">
        <v>2715</v>
      </c>
      <c r="G319" s="51" t="s">
        <v>2695</v>
      </c>
      <c r="H319" s="25" t="str">
        <f t="shared" si="40"/>
        <v>jgd</v>
      </c>
      <c r="I319" t="s">
        <v>13</v>
      </c>
      <c r="J319" t="s">
        <v>2437</v>
      </c>
      <c r="K319" t="s">
        <v>194</v>
      </c>
      <c r="L319" s="25">
        <v>47.080838200000002</v>
      </c>
      <c r="M319" s="25">
        <v>6.8955641820000002</v>
      </c>
      <c r="N319">
        <v>6</v>
      </c>
      <c r="O319">
        <v>27</v>
      </c>
      <c r="P319">
        <v>10</v>
      </c>
      <c r="Q319">
        <v>2017</v>
      </c>
      <c r="R319" s="9">
        <v>43035</v>
      </c>
      <c r="S319">
        <v>316</v>
      </c>
      <c r="T319">
        <v>1</v>
      </c>
      <c r="U319">
        <v>0</v>
      </c>
      <c r="V319">
        <v>0</v>
      </c>
      <c r="W319">
        <v>0</v>
      </c>
      <c r="X319" s="57">
        <f t="shared" si="41"/>
        <v>-103.49665400000001</v>
      </c>
      <c r="Y319" t="s">
        <v>16</v>
      </c>
      <c r="Z319">
        <v>5.1691810089999999</v>
      </c>
      <c r="AA319" s="3">
        <f t="shared" si="35"/>
        <v>10</v>
      </c>
      <c r="AB319" s="3">
        <f t="shared" si="42"/>
        <v>5</v>
      </c>
      <c r="AD319" s="3" t="s">
        <v>2750</v>
      </c>
      <c r="AE319" s="22">
        <v>-107.01732320000001</v>
      </c>
      <c r="AF319" s="22">
        <f t="shared" si="37"/>
        <v>-107.01732320000001</v>
      </c>
      <c r="AG319" s="60" t="s">
        <v>16</v>
      </c>
      <c r="AH319" s="61" t="s">
        <v>16</v>
      </c>
      <c r="AJ319" s="3">
        <f t="shared" si="39"/>
        <v>11</v>
      </c>
      <c r="AK319" s="3" t="s">
        <v>2709</v>
      </c>
      <c r="AL319">
        <v>11</v>
      </c>
      <c r="AM319" t="s">
        <v>15</v>
      </c>
    </row>
    <row r="320" spans="1:39" x14ac:dyDescent="0.3">
      <c r="A320" s="51" t="s">
        <v>893</v>
      </c>
      <c r="B320" s="54" t="s">
        <v>139</v>
      </c>
      <c r="C320" s="51" t="s">
        <v>2765</v>
      </c>
      <c r="D320" s="53">
        <v>0</v>
      </c>
      <c r="E320" s="53">
        <v>1</v>
      </c>
      <c r="F320" s="51" t="s">
        <v>2715</v>
      </c>
      <c r="G320" s="51" t="s">
        <v>2695</v>
      </c>
      <c r="H320" s="25" t="str">
        <f t="shared" si="40"/>
        <v>jgd</v>
      </c>
      <c r="I320" t="s">
        <v>72</v>
      </c>
      <c r="J320" t="s">
        <v>140</v>
      </c>
      <c r="K320" t="s">
        <v>894</v>
      </c>
      <c r="L320" s="25">
        <v>46.092726069999998</v>
      </c>
      <c r="M320" s="25">
        <v>9.0756318379999996</v>
      </c>
      <c r="N320">
        <v>4</v>
      </c>
      <c r="O320">
        <v>15</v>
      </c>
      <c r="P320">
        <v>11</v>
      </c>
      <c r="Q320">
        <v>2015</v>
      </c>
      <c r="R320" s="9">
        <v>42323</v>
      </c>
      <c r="S320">
        <v>280</v>
      </c>
      <c r="T320">
        <v>1</v>
      </c>
      <c r="U320">
        <v>0</v>
      </c>
      <c r="V320">
        <v>0</v>
      </c>
      <c r="W320">
        <v>0</v>
      </c>
      <c r="X320">
        <f t="shared" si="41"/>
        <v>-103.4375</v>
      </c>
      <c r="Y320">
        <v>-23.805800000000001</v>
      </c>
      <c r="Z320">
        <v>7.6914488600000004</v>
      </c>
      <c r="AA320" s="3">
        <f t="shared" si="35"/>
        <v>10</v>
      </c>
      <c r="AB320" s="3">
        <f t="shared" si="42"/>
        <v>8</v>
      </c>
      <c r="AD320" s="3" t="s">
        <v>2754</v>
      </c>
      <c r="AE320" s="22">
        <v>-106.97</v>
      </c>
      <c r="AF320" s="22">
        <f t="shared" si="37"/>
        <v>-106.97</v>
      </c>
      <c r="AG320" s="1">
        <v>-130.4</v>
      </c>
      <c r="AH320" s="2" t="s">
        <v>16</v>
      </c>
      <c r="AI320"/>
      <c r="AJ320" s="3">
        <f t="shared" si="39"/>
        <v>11</v>
      </c>
      <c r="AK320" s="3" t="s">
        <v>2709</v>
      </c>
      <c r="AL320">
        <v>11</v>
      </c>
      <c r="AM320" t="s">
        <v>15</v>
      </c>
    </row>
    <row r="321" spans="1:39" x14ac:dyDescent="0.3">
      <c r="A321" s="51" t="s">
        <v>1529</v>
      </c>
      <c r="B321" s="54" t="s">
        <v>1530</v>
      </c>
      <c r="C321" s="51" t="s">
        <v>2765</v>
      </c>
      <c r="D321" s="53">
        <v>0</v>
      </c>
      <c r="E321" s="53">
        <v>1</v>
      </c>
      <c r="F321" s="51" t="s">
        <v>2715</v>
      </c>
      <c r="G321" s="51" t="s">
        <v>2695</v>
      </c>
      <c r="H321" s="25" t="str">
        <f t="shared" si="40"/>
        <v>jgd</v>
      </c>
      <c r="I321" t="s">
        <v>72</v>
      </c>
      <c r="J321" t="s">
        <v>1310</v>
      </c>
      <c r="K321" t="s">
        <v>1531</v>
      </c>
      <c r="L321" s="25">
        <v>46.223369300000002</v>
      </c>
      <c r="M321" s="25">
        <v>8.6806334740000004</v>
      </c>
      <c r="N321">
        <v>6</v>
      </c>
      <c r="O321">
        <v>25</v>
      </c>
      <c r="P321">
        <v>10</v>
      </c>
      <c r="Q321">
        <v>2016</v>
      </c>
      <c r="R321" s="9">
        <v>42668</v>
      </c>
      <c r="S321">
        <v>365</v>
      </c>
      <c r="T321">
        <v>1</v>
      </c>
      <c r="U321">
        <v>0</v>
      </c>
      <c r="V321">
        <v>0</v>
      </c>
      <c r="W321">
        <v>0</v>
      </c>
      <c r="X321" s="57">
        <f t="shared" si="41"/>
        <v>-102.42696000000001</v>
      </c>
      <c r="Y321">
        <v>-22.72</v>
      </c>
      <c r="Z321">
        <v>8.02</v>
      </c>
      <c r="AA321" s="3">
        <f t="shared" si="35"/>
        <v>10</v>
      </c>
      <c r="AB321" s="3">
        <f t="shared" si="42"/>
        <v>8</v>
      </c>
      <c r="AD321" s="3" t="s">
        <v>2754</v>
      </c>
      <c r="AE321" s="22">
        <v>-106.161568</v>
      </c>
      <c r="AF321" s="22">
        <f t="shared" si="37"/>
        <v>-106.161568</v>
      </c>
      <c r="AG321" s="60" t="s">
        <v>16</v>
      </c>
      <c r="AH321" s="61" t="s">
        <v>16</v>
      </c>
      <c r="AJ321" s="3">
        <f t="shared" si="39"/>
        <v>11</v>
      </c>
      <c r="AK321" s="3" t="s">
        <v>2709</v>
      </c>
      <c r="AL321">
        <v>11</v>
      </c>
      <c r="AM321" t="s">
        <v>15</v>
      </c>
    </row>
    <row r="322" spans="1:39" x14ac:dyDescent="0.3">
      <c r="A322" s="51" t="s">
        <v>895</v>
      </c>
      <c r="B322" s="54" t="s">
        <v>143</v>
      </c>
      <c r="C322" s="51" t="s">
        <v>2765</v>
      </c>
      <c r="D322" s="53">
        <v>0</v>
      </c>
      <c r="E322" s="53">
        <v>1</v>
      </c>
      <c r="F322" s="51" t="s">
        <v>2715</v>
      </c>
      <c r="G322" s="51" t="s">
        <v>2695</v>
      </c>
      <c r="H322" s="25" t="str">
        <f t="shared" si="40"/>
        <v>jgd</v>
      </c>
      <c r="I322" t="s">
        <v>72</v>
      </c>
      <c r="J322" t="s">
        <v>140</v>
      </c>
      <c r="K322" t="s">
        <v>896</v>
      </c>
      <c r="L322" s="25">
        <v>46.082954659999999</v>
      </c>
      <c r="M322" s="25">
        <v>9.0824503060000001</v>
      </c>
      <c r="N322">
        <v>5</v>
      </c>
      <c r="O322">
        <v>28</v>
      </c>
      <c r="P322">
        <v>11</v>
      </c>
      <c r="Q322">
        <v>2015</v>
      </c>
      <c r="R322" s="9">
        <v>42336</v>
      </c>
      <c r="S322">
        <v>345</v>
      </c>
      <c r="T322">
        <v>1</v>
      </c>
      <c r="U322">
        <v>0</v>
      </c>
      <c r="V322">
        <v>0</v>
      </c>
      <c r="W322">
        <v>0</v>
      </c>
      <c r="X322">
        <f t="shared" si="41"/>
        <v>-101.4</v>
      </c>
      <c r="Y322">
        <v>-23.701799999999999</v>
      </c>
      <c r="Z322">
        <v>7.7953084480000001</v>
      </c>
      <c r="AA322" s="3">
        <f t="shared" si="35"/>
        <v>10</v>
      </c>
      <c r="AB322" s="3">
        <f t="shared" si="42"/>
        <v>8</v>
      </c>
      <c r="AD322" s="3" t="s">
        <v>2754</v>
      </c>
      <c r="AE322" s="22">
        <v>-105.34</v>
      </c>
      <c r="AF322" s="22">
        <f t="shared" si="37"/>
        <v>-105.34</v>
      </c>
      <c r="AG322" s="1">
        <v>-128.69999999999999</v>
      </c>
      <c r="AH322" s="2" t="s">
        <v>16</v>
      </c>
      <c r="AI322"/>
      <c r="AJ322" s="3">
        <f t="shared" si="39"/>
        <v>11</v>
      </c>
      <c r="AK322" s="3" t="s">
        <v>2709</v>
      </c>
      <c r="AL322">
        <v>11</v>
      </c>
      <c r="AM322" t="s">
        <v>15</v>
      </c>
    </row>
    <row r="323" spans="1:39" x14ac:dyDescent="0.3">
      <c r="A323" s="51" t="s">
        <v>814</v>
      </c>
      <c r="B323" s="54" t="s">
        <v>815</v>
      </c>
      <c r="C323" s="51" t="s">
        <v>2765</v>
      </c>
      <c r="D323" s="53">
        <v>0</v>
      </c>
      <c r="E323" s="53">
        <v>1</v>
      </c>
      <c r="F323" s="51" t="s">
        <v>2715</v>
      </c>
      <c r="G323" s="51" t="s">
        <v>2695</v>
      </c>
      <c r="H323" s="25" t="str">
        <f t="shared" si="40"/>
        <v>jgd</v>
      </c>
      <c r="I323" t="s">
        <v>72</v>
      </c>
      <c r="J323" t="s">
        <v>804</v>
      </c>
      <c r="K323" t="s">
        <v>816</v>
      </c>
      <c r="L323" s="25">
        <v>46.052913629999999</v>
      </c>
      <c r="M323" s="25">
        <v>8.9084493289999998</v>
      </c>
      <c r="N323">
        <v>5</v>
      </c>
      <c r="O323">
        <v>22</v>
      </c>
      <c r="P323">
        <v>10</v>
      </c>
      <c r="Q323">
        <v>2015</v>
      </c>
      <c r="R323" s="9">
        <v>42299</v>
      </c>
      <c r="S323">
        <v>357</v>
      </c>
      <c r="T323">
        <v>1</v>
      </c>
      <c r="U323">
        <v>0</v>
      </c>
      <c r="V323">
        <v>0</v>
      </c>
      <c r="W323">
        <v>0</v>
      </c>
      <c r="X323">
        <f t="shared" si="41"/>
        <v>-100.38749999999999</v>
      </c>
      <c r="Y323">
        <v>-23.991399999999999</v>
      </c>
      <c r="Z323">
        <v>5.402386184</v>
      </c>
      <c r="AA323" s="3">
        <f t="shared" si="35"/>
        <v>10</v>
      </c>
      <c r="AB323" s="3">
        <f t="shared" si="42"/>
        <v>5</v>
      </c>
      <c r="AD323" s="3" t="s">
        <v>2754</v>
      </c>
      <c r="AE323" s="22">
        <v>-104.53</v>
      </c>
      <c r="AF323" s="22">
        <f t="shared" si="37"/>
        <v>-104.53</v>
      </c>
      <c r="AG323" s="1">
        <v>-127.9</v>
      </c>
      <c r="AH323" s="2" t="s">
        <v>16</v>
      </c>
      <c r="AI323"/>
      <c r="AJ323" s="3">
        <f t="shared" si="39"/>
        <v>10</v>
      </c>
      <c r="AK323" s="3" t="s">
        <v>2709</v>
      </c>
      <c r="AL323">
        <v>10</v>
      </c>
      <c r="AM323" t="s">
        <v>15</v>
      </c>
    </row>
    <row r="324" spans="1:39" x14ac:dyDescent="0.3">
      <c r="A324" s="51" t="s">
        <v>1931</v>
      </c>
      <c r="B324" s="54" t="s">
        <v>1932</v>
      </c>
      <c r="C324" s="51" t="s">
        <v>2765</v>
      </c>
      <c r="D324" s="53">
        <v>0</v>
      </c>
      <c r="E324" s="53">
        <v>1</v>
      </c>
      <c r="F324" s="51" t="s">
        <v>2715</v>
      </c>
      <c r="G324" s="51" t="s">
        <v>2695</v>
      </c>
      <c r="H324" s="25" t="str">
        <f t="shared" si="40"/>
        <v>jgd</v>
      </c>
      <c r="I324" t="s">
        <v>72</v>
      </c>
      <c r="J324" t="s">
        <v>298</v>
      </c>
      <c r="K324" t="s">
        <v>1933</v>
      </c>
      <c r="L324" s="25">
        <v>46.137870800000002</v>
      </c>
      <c r="M324" s="25">
        <v>8.9346172409999998</v>
      </c>
      <c r="N324">
        <v>5</v>
      </c>
      <c r="O324">
        <v>27</v>
      </c>
      <c r="P324">
        <v>11</v>
      </c>
      <c r="Q324">
        <v>2016</v>
      </c>
      <c r="R324" s="9">
        <v>42701</v>
      </c>
      <c r="S324">
        <v>325</v>
      </c>
      <c r="T324">
        <v>1</v>
      </c>
      <c r="U324">
        <v>0</v>
      </c>
      <c r="V324">
        <v>0</v>
      </c>
      <c r="W324">
        <v>0</v>
      </c>
      <c r="X324" s="57">
        <f t="shared" si="41"/>
        <v>-100.30933300000001</v>
      </c>
      <c r="Y324">
        <v>-23.16</v>
      </c>
      <c r="Z324">
        <v>8.74</v>
      </c>
      <c r="AA324" s="3">
        <f t="shared" si="35"/>
        <v>10</v>
      </c>
      <c r="AB324" s="3">
        <f t="shared" si="42"/>
        <v>9</v>
      </c>
      <c r="AD324" s="3" t="s">
        <v>2754</v>
      </c>
      <c r="AE324" s="22">
        <v>-104.46746640000001</v>
      </c>
      <c r="AF324" s="22">
        <f t="shared" si="37"/>
        <v>-104.46746640000001</v>
      </c>
      <c r="AG324" s="60" t="s">
        <v>16</v>
      </c>
      <c r="AH324" s="61" t="s">
        <v>16</v>
      </c>
      <c r="AJ324" s="3">
        <f t="shared" si="39"/>
        <v>10</v>
      </c>
      <c r="AK324" s="3" t="s">
        <v>2709</v>
      </c>
      <c r="AL324">
        <v>10</v>
      </c>
      <c r="AM324" t="s">
        <v>15</v>
      </c>
    </row>
    <row r="325" spans="1:39" hidden="1" x14ac:dyDescent="0.3">
      <c r="A325" s="51" t="s">
        <v>2088</v>
      </c>
      <c r="B325" s="54" t="s">
        <v>2089</v>
      </c>
      <c r="C325" s="51" t="s">
        <v>2765</v>
      </c>
      <c r="D325" s="53">
        <v>0</v>
      </c>
      <c r="E325" s="53">
        <v>1</v>
      </c>
      <c r="F325" s="51" t="s">
        <v>2715</v>
      </c>
      <c r="G325" s="51" t="s">
        <v>2695</v>
      </c>
      <c r="H325" s="25" t="str">
        <f t="shared" si="40"/>
        <v>jgd</v>
      </c>
      <c r="I325" t="s">
        <v>778</v>
      </c>
      <c r="J325" t="s">
        <v>2090</v>
      </c>
      <c r="K325" t="s">
        <v>1885</v>
      </c>
      <c r="L325" s="25">
        <v>46.172967270000001</v>
      </c>
      <c r="M325" s="25">
        <v>7.4580601209999999</v>
      </c>
      <c r="N325">
        <v>3</v>
      </c>
      <c r="O325">
        <v>26</v>
      </c>
      <c r="P325">
        <v>10</v>
      </c>
      <c r="Q325">
        <v>2017</v>
      </c>
      <c r="R325" s="9">
        <v>43034</v>
      </c>
      <c r="S325">
        <v>298</v>
      </c>
      <c r="T325">
        <v>1</v>
      </c>
      <c r="U325">
        <v>0</v>
      </c>
      <c r="V325">
        <v>0</v>
      </c>
      <c r="W325">
        <v>0</v>
      </c>
      <c r="X325" s="57">
        <f t="shared" si="41"/>
        <v>-99.522882249999981</v>
      </c>
      <c r="Y325" t="s">
        <v>16</v>
      </c>
      <c r="Z325">
        <v>8.1397045049999992</v>
      </c>
      <c r="AA325" s="3">
        <f t="shared" si="35"/>
        <v>10</v>
      </c>
      <c r="AB325" s="3">
        <f t="shared" si="42"/>
        <v>8</v>
      </c>
      <c r="AD325" s="3" t="s">
        <v>2753</v>
      </c>
      <c r="AE325" s="22">
        <v>-103.8383058</v>
      </c>
      <c r="AF325" s="22">
        <f t="shared" si="37"/>
        <v>-103.8383058</v>
      </c>
      <c r="AG325" s="60" t="s">
        <v>16</v>
      </c>
      <c r="AH325" s="61" t="s">
        <v>16</v>
      </c>
      <c r="AJ325" s="3">
        <f t="shared" si="39"/>
        <v>10</v>
      </c>
      <c r="AK325" s="3" t="s">
        <v>2709</v>
      </c>
      <c r="AL325">
        <v>10</v>
      </c>
      <c r="AM325" t="s">
        <v>15</v>
      </c>
    </row>
    <row r="326" spans="1:39" x14ac:dyDescent="0.3">
      <c r="A326" s="51" t="s">
        <v>1667</v>
      </c>
      <c r="B326" s="54" t="s">
        <v>937</v>
      </c>
      <c r="C326" s="51" t="s">
        <v>2765</v>
      </c>
      <c r="D326" s="53">
        <v>0</v>
      </c>
      <c r="E326" s="53">
        <v>1</v>
      </c>
      <c r="F326" s="51" t="s">
        <v>2715</v>
      </c>
      <c r="G326" s="51" t="s">
        <v>2695</v>
      </c>
      <c r="H326" s="25" t="str">
        <f t="shared" si="40"/>
        <v>jgd</v>
      </c>
      <c r="I326" t="s">
        <v>72</v>
      </c>
      <c r="J326" t="s">
        <v>931</v>
      </c>
      <c r="K326" t="s">
        <v>16</v>
      </c>
      <c r="L326" s="25">
        <v>46.055440760000003</v>
      </c>
      <c r="M326" s="25">
        <v>8.8806686520000007</v>
      </c>
      <c r="N326">
        <v>2</v>
      </c>
      <c r="O326">
        <v>16</v>
      </c>
      <c r="P326">
        <v>10</v>
      </c>
      <c r="Q326">
        <v>2016</v>
      </c>
      <c r="R326" s="9">
        <v>42659</v>
      </c>
      <c r="S326">
        <v>280</v>
      </c>
      <c r="T326">
        <v>1</v>
      </c>
      <c r="U326">
        <v>0</v>
      </c>
      <c r="V326">
        <v>0</v>
      </c>
      <c r="W326">
        <v>0</v>
      </c>
      <c r="X326" s="57">
        <f t="shared" si="41"/>
        <v>-98.629763249999996</v>
      </c>
      <c r="Y326">
        <v>-23.2</v>
      </c>
      <c r="Z326">
        <v>6.58</v>
      </c>
      <c r="AA326" s="3">
        <f t="shared" si="35"/>
        <v>10</v>
      </c>
      <c r="AB326" s="3">
        <f t="shared" si="42"/>
        <v>7</v>
      </c>
      <c r="AD326" s="3" t="s">
        <v>2754</v>
      </c>
      <c r="AE326" s="22">
        <v>-103.1238106</v>
      </c>
      <c r="AF326" s="22">
        <f t="shared" si="37"/>
        <v>-103.1238106</v>
      </c>
      <c r="AG326" s="60" t="s">
        <v>16</v>
      </c>
      <c r="AH326" s="61" t="s">
        <v>16</v>
      </c>
      <c r="AJ326" s="3">
        <f t="shared" si="39"/>
        <v>10</v>
      </c>
      <c r="AK326" s="3" t="s">
        <v>2709</v>
      </c>
      <c r="AL326">
        <v>10</v>
      </c>
      <c r="AM326" t="s">
        <v>15</v>
      </c>
    </row>
    <row r="327" spans="1:39" x14ac:dyDescent="0.3">
      <c r="A327" s="51" t="s">
        <v>1600</v>
      </c>
      <c r="B327" s="54" t="s">
        <v>1601</v>
      </c>
      <c r="C327" s="51" t="s">
        <v>2765</v>
      </c>
      <c r="D327" s="53">
        <v>0</v>
      </c>
      <c r="E327" s="53">
        <v>1</v>
      </c>
      <c r="F327" s="51" t="s">
        <v>2715</v>
      </c>
      <c r="G327" s="51" t="s">
        <v>2695</v>
      </c>
      <c r="H327" s="25" t="str">
        <f t="shared" si="40"/>
        <v>jgd</v>
      </c>
      <c r="I327" t="s">
        <v>72</v>
      </c>
      <c r="J327" t="s">
        <v>804</v>
      </c>
      <c r="K327" t="s">
        <v>1599</v>
      </c>
      <c r="L327" s="25">
        <v>46.061627979999997</v>
      </c>
      <c r="M327" s="25">
        <v>8.8969614529999994</v>
      </c>
      <c r="N327">
        <v>5</v>
      </c>
      <c r="O327">
        <v>2</v>
      </c>
      <c r="P327">
        <v>11</v>
      </c>
      <c r="Q327">
        <v>2016</v>
      </c>
      <c r="R327" s="9">
        <v>42676</v>
      </c>
      <c r="S327">
        <v>270</v>
      </c>
      <c r="T327">
        <v>1</v>
      </c>
      <c r="U327">
        <v>0</v>
      </c>
      <c r="V327">
        <v>0</v>
      </c>
      <c r="W327">
        <v>0</v>
      </c>
      <c r="X327" s="57">
        <f t="shared" si="41"/>
        <v>-98.320077124999983</v>
      </c>
      <c r="Y327">
        <v>-24.118124999999999</v>
      </c>
      <c r="Z327">
        <v>5.9535</v>
      </c>
      <c r="AA327" s="3">
        <f t="shared" si="35"/>
        <v>10</v>
      </c>
      <c r="AB327" s="3">
        <f t="shared" si="42"/>
        <v>6</v>
      </c>
      <c r="AD327" s="3" t="s">
        <v>2754</v>
      </c>
      <c r="AE327" s="22">
        <v>-102.87606169999999</v>
      </c>
      <c r="AF327" s="22">
        <f t="shared" si="37"/>
        <v>-102.87606169999999</v>
      </c>
      <c r="AG327" s="60" t="s">
        <v>16</v>
      </c>
      <c r="AH327" s="61" t="s">
        <v>16</v>
      </c>
      <c r="AJ327" s="3">
        <f t="shared" si="39"/>
        <v>10</v>
      </c>
      <c r="AK327" s="3" t="s">
        <v>2709</v>
      </c>
      <c r="AL327">
        <v>10</v>
      </c>
      <c r="AM327" t="s">
        <v>15</v>
      </c>
    </row>
    <row r="328" spans="1:39" hidden="1" x14ac:dyDescent="0.3">
      <c r="A328" s="51" t="s">
        <v>2592</v>
      </c>
      <c r="B328" s="54" t="s">
        <v>289</v>
      </c>
      <c r="C328" s="51" t="s">
        <v>2765</v>
      </c>
      <c r="D328" s="53">
        <v>0</v>
      </c>
      <c r="E328" s="53">
        <v>1</v>
      </c>
      <c r="F328" s="51" t="s">
        <v>2715</v>
      </c>
      <c r="G328" s="51" t="s">
        <v>2695</v>
      </c>
      <c r="H328" s="25" t="str">
        <f t="shared" si="40"/>
        <v>jgd</v>
      </c>
      <c r="I328" t="s">
        <v>30</v>
      </c>
      <c r="J328" t="s">
        <v>2593</v>
      </c>
      <c r="K328" t="s">
        <v>16</v>
      </c>
      <c r="L328" s="25">
        <v>46.818765999999997</v>
      </c>
      <c r="M328" s="25">
        <v>7.0141239999999998</v>
      </c>
      <c r="N328">
        <v>5</v>
      </c>
      <c r="O328">
        <v>16</v>
      </c>
      <c r="P328">
        <v>11</v>
      </c>
      <c r="Q328">
        <v>2017</v>
      </c>
      <c r="R328" s="9">
        <v>43055</v>
      </c>
      <c r="S328">
        <v>350</v>
      </c>
      <c r="T328">
        <v>1</v>
      </c>
      <c r="U328">
        <v>0</v>
      </c>
      <c r="V328">
        <v>0</v>
      </c>
      <c r="W328">
        <v>0</v>
      </c>
      <c r="X328" s="57">
        <f t="shared" si="41"/>
        <v>-98.270035999999976</v>
      </c>
      <c r="Y328" t="s">
        <v>16</v>
      </c>
      <c r="Z328">
        <v>6.4662387350000001</v>
      </c>
      <c r="AA328" s="3">
        <f t="shared" si="35"/>
        <v>10</v>
      </c>
      <c r="AB328" s="3">
        <f t="shared" si="42"/>
        <v>6</v>
      </c>
      <c r="AD328" s="3" t="s">
        <v>2751</v>
      </c>
      <c r="AE328" s="22">
        <v>-102.83602879999999</v>
      </c>
      <c r="AF328" s="22">
        <f t="shared" si="37"/>
        <v>-102.83602879999999</v>
      </c>
      <c r="AG328" s="60" t="s">
        <v>16</v>
      </c>
      <c r="AH328" s="61" t="s">
        <v>16</v>
      </c>
      <c r="AJ328" s="3">
        <f t="shared" si="39"/>
        <v>10</v>
      </c>
      <c r="AK328" s="3" t="s">
        <v>2709</v>
      </c>
      <c r="AL328">
        <v>10</v>
      </c>
      <c r="AM328" t="s">
        <v>15</v>
      </c>
    </row>
    <row r="329" spans="1:39" x14ac:dyDescent="0.3">
      <c r="A329" s="51" t="s">
        <v>1999</v>
      </c>
      <c r="B329" s="54" t="s">
        <v>573</v>
      </c>
      <c r="C329" s="51" t="s">
        <v>2765</v>
      </c>
      <c r="D329" s="53">
        <v>0</v>
      </c>
      <c r="E329" s="53">
        <v>1</v>
      </c>
      <c r="F329" s="51" t="s">
        <v>2715</v>
      </c>
      <c r="G329" s="51" t="s">
        <v>2695</v>
      </c>
      <c r="H329" s="25" t="str">
        <f t="shared" si="40"/>
        <v>jgd</v>
      </c>
      <c r="I329" t="s">
        <v>72</v>
      </c>
      <c r="J329" t="s">
        <v>1189</v>
      </c>
      <c r="K329" t="s">
        <v>575</v>
      </c>
      <c r="L329" s="25">
        <v>46.082333779999999</v>
      </c>
      <c r="M329" s="25">
        <v>9.0475214390000005</v>
      </c>
      <c r="N329">
        <v>5</v>
      </c>
      <c r="O329">
        <v>5</v>
      </c>
      <c r="P329">
        <v>11</v>
      </c>
      <c r="Q329">
        <v>2016</v>
      </c>
      <c r="R329" s="9">
        <v>42679</v>
      </c>
      <c r="S329">
        <v>280</v>
      </c>
      <c r="T329">
        <v>1</v>
      </c>
      <c r="U329">
        <v>0</v>
      </c>
      <c r="V329">
        <v>0</v>
      </c>
      <c r="W329">
        <v>0</v>
      </c>
      <c r="X329" s="57">
        <f t="shared" si="41"/>
        <v>-98.225696499999998</v>
      </c>
      <c r="Y329">
        <v>-23.62</v>
      </c>
      <c r="Z329">
        <v>10.220000000000001</v>
      </c>
      <c r="AA329" s="3">
        <f t="shared" si="35"/>
        <v>10</v>
      </c>
      <c r="AB329" s="3">
        <f t="shared" si="42"/>
        <v>10</v>
      </c>
      <c r="AD329" s="3" t="s">
        <v>2754</v>
      </c>
      <c r="AE329" s="22">
        <v>-102.8005572</v>
      </c>
      <c r="AF329" s="22">
        <f t="shared" si="37"/>
        <v>-102.8005572</v>
      </c>
      <c r="AG329" s="60" t="s">
        <v>16</v>
      </c>
      <c r="AH329" s="61" t="s">
        <v>16</v>
      </c>
      <c r="AJ329" s="3">
        <f t="shared" si="39"/>
        <v>10</v>
      </c>
      <c r="AK329" s="3" t="s">
        <v>2709</v>
      </c>
      <c r="AL329">
        <v>10</v>
      </c>
      <c r="AM329" t="s">
        <v>15</v>
      </c>
    </row>
    <row r="330" spans="1:39" x14ac:dyDescent="0.3">
      <c r="A330" s="51" t="s">
        <v>2053</v>
      </c>
      <c r="B330" s="54" t="s">
        <v>2054</v>
      </c>
      <c r="C330" s="51" t="s">
        <v>2765</v>
      </c>
      <c r="D330" s="53">
        <v>0</v>
      </c>
      <c r="E330" s="53">
        <v>1</v>
      </c>
      <c r="F330" s="51" t="s">
        <v>2715</v>
      </c>
      <c r="G330" s="51" t="s">
        <v>2695</v>
      </c>
      <c r="H330" s="25" t="str">
        <f t="shared" si="40"/>
        <v>jgd</v>
      </c>
      <c r="I330" t="s">
        <v>72</v>
      </c>
      <c r="J330" t="s">
        <v>2051</v>
      </c>
      <c r="K330" t="s">
        <v>2052</v>
      </c>
      <c r="L330" s="25">
        <v>46.496112340000003</v>
      </c>
      <c r="M330" s="25">
        <v>8.6995866779999993</v>
      </c>
      <c r="N330">
        <v>3</v>
      </c>
      <c r="O330">
        <v>3</v>
      </c>
      <c r="P330">
        <v>11</v>
      </c>
      <c r="Q330">
        <v>2016</v>
      </c>
      <c r="R330" s="9">
        <v>42677</v>
      </c>
      <c r="S330">
        <v>350</v>
      </c>
      <c r="T330">
        <v>1</v>
      </c>
      <c r="U330">
        <v>0</v>
      </c>
      <c r="V330">
        <v>0</v>
      </c>
      <c r="W330">
        <v>0</v>
      </c>
      <c r="X330" s="57">
        <f t="shared" si="41"/>
        <v>-97.919986999999992</v>
      </c>
      <c r="Y330">
        <v>-23.96</v>
      </c>
      <c r="Z330">
        <v>5.41</v>
      </c>
      <c r="AA330" s="3">
        <f t="shared" si="35"/>
        <v>10</v>
      </c>
      <c r="AB330" s="3">
        <f t="shared" si="42"/>
        <v>5</v>
      </c>
      <c r="AD330" s="3" t="s">
        <v>2754</v>
      </c>
      <c r="AE330" s="22">
        <v>-102.5559896</v>
      </c>
      <c r="AF330" s="22">
        <f t="shared" si="37"/>
        <v>-102.5559896</v>
      </c>
      <c r="AG330" s="60" t="s">
        <v>16</v>
      </c>
      <c r="AH330" s="61" t="s">
        <v>16</v>
      </c>
      <c r="AJ330" s="3">
        <f t="shared" si="39"/>
        <v>10</v>
      </c>
      <c r="AK330" s="3" t="s">
        <v>2709</v>
      </c>
      <c r="AL330">
        <v>10</v>
      </c>
      <c r="AM330" t="s">
        <v>15</v>
      </c>
    </row>
    <row r="331" spans="1:39" x14ac:dyDescent="0.3">
      <c r="A331" s="51" t="s">
        <v>1301</v>
      </c>
      <c r="B331" s="54" t="s">
        <v>1302</v>
      </c>
      <c r="C331" s="51" t="s">
        <v>2765</v>
      </c>
      <c r="D331" s="53">
        <v>0</v>
      </c>
      <c r="E331" s="53">
        <v>1</v>
      </c>
      <c r="F331" s="51" t="s">
        <v>2715</v>
      </c>
      <c r="G331" s="51" t="s">
        <v>2695</v>
      </c>
      <c r="H331" s="25" t="str">
        <f t="shared" si="40"/>
        <v>jgd</v>
      </c>
      <c r="I331" t="s">
        <v>72</v>
      </c>
      <c r="J331" t="s">
        <v>574</v>
      </c>
      <c r="K331" t="s">
        <v>1303</v>
      </c>
      <c r="L331" s="25">
        <v>46.083140739999997</v>
      </c>
      <c r="M331" s="25">
        <v>9.0540101380000007</v>
      </c>
      <c r="N331">
        <v>4</v>
      </c>
      <c r="O331">
        <v>18</v>
      </c>
      <c r="P331">
        <v>11</v>
      </c>
      <c r="Q331">
        <v>2015</v>
      </c>
      <c r="R331" s="9">
        <v>42326</v>
      </c>
      <c r="S331">
        <v>325</v>
      </c>
      <c r="T331">
        <v>1</v>
      </c>
      <c r="U331">
        <v>0</v>
      </c>
      <c r="V331">
        <v>0</v>
      </c>
      <c r="W331">
        <v>0</v>
      </c>
      <c r="X331">
        <f t="shared" si="41"/>
        <v>-96.912499999999994</v>
      </c>
      <c r="Y331">
        <v>-24.064800000000002</v>
      </c>
      <c r="Z331">
        <v>8.5965912400000004</v>
      </c>
      <c r="AA331" s="3">
        <f t="shared" si="35"/>
        <v>10</v>
      </c>
      <c r="AB331" s="3">
        <f t="shared" si="42"/>
        <v>9</v>
      </c>
      <c r="AD331" s="3" t="s">
        <v>2754</v>
      </c>
      <c r="AE331" s="22">
        <v>-101.75</v>
      </c>
      <c r="AF331" s="22">
        <f t="shared" si="37"/>
        <v>-101.75</v>
      </c>
      <c r="AG331" s="1">
        <v>-125.1</v>
      </c>
      <c r="AH331" s="2" t="s">
        <v>16</v>
      </c>
      <c r="AI331"/>
      <c r="AJ331" s="3">
        <f t="shared" si="39"/>
        <v>10</v>
      </c>
      <c r="AK331" s="3" t="s">
        <v>2709</v>
      </c>
      <c r="AL331">
        <v>10</v>
      </c>
      <c r="AM331" t="s">
        <v>15</v>
      </c>
    </row>
    <row r="332" spans="1:39" x14ac:dyDescent="0.3">
      <c r="A332" s="51" t="s">
        <v>751</v>
      </c>
      <c r="B332" s="54" t="s">
        <v>752</v>
      </c>
      <c r="C332" s="51" t="s">
        <v>2765</v>
      </c>
      <c r="D332" s="53">
        <v>0</v>
      </c>
      <c r="E332" s="53">
        <v>1</v>
      </c>
      <c r="F332" s="51" t="s">
        <v>2715</v>
      </c>
      <c r="G332" s="51" t="s">
        <v>2695</v>
      </c>
      <c r="H332" s="25" t="str">
        <f t="shared" si="40"/>
        <v>jgd</v>
      </c>
      <c r="I332" t="s">
        <v>72</v>
      </c>
      <c r="J332" t="s">
        <v>750</v>
      </c>
      <c r="K332" t="s">
        <v>753</v>
      </c>
      <c r="L332" s="25">
        <v>46.236660909999998</v>
      </c>
      <c r="M332" s="25">
        <v>8.6949780590000003</v>
      </c>
      <c r="N332">
        <v>6</v>
      </c>
      <c r="O332">
        <v>4</v>
      </c>
      <c r="P332">
        <v>11</v>
      </c>
      <c r="Q332">
        <v>2015</v>
      </c>
      <c r="R332" s="9">
        <v>42312</v>
      </c>
      <c r="S332">
        <v>314</v>
      </c>
      <c r="T332">
        <v>1</v>
      </c>
      <c r="U332">
        <v>0</v>
      </c>
      <c r="V332">
        <v>0</v>
      </c>
      <c r="W332">
        <v>0</v>
      </c>
      <c r="X332">
        <f t="shared" si="41"/>
        <v>-96.825000000000017</v>
      </c>
      <c r="Y332">
        <v>-23.5182</v>
      </c>
      <c r="Z332">
        <v>6.0787344680000004</v>
      </c>
      <c r="AA332" s="3">
        <f t="shared" si="35"/>
        <v>10</v>
      </c>
      <c r="AB332" s="3">
        <f t="shared" si="42"/>
        <v>6</v>
      </c>
      <c r="AD332" s="3" t="s">
        <v>2754</v>
      </c>
      <c r="AE332" s="22">
        <v>-101.68</v>
      </c>
      <c r="AF332" s="22">
        <f t="shared" si="37"/>
        <v>-101.68</v>
      </c>
      <c r="AG332" s="1">
        <v>-125</v>
      </c>
      <c r="AH332" s="2" t="s">
        <v>16</v>
      </c>
      <c r="AI332"/>
      <c r="AJ332" s="3">
        <f t="shared" si="39"/>
        <v>10</v>
      </c>
      <c r="AK332" s="3" t="s">
        <v>2709</v>
      </c>
      <c r="AL332">
        <v>10</v>
      </c>
      <c r="AM332" t="s">
        <v>15</v>
      </c>
    </row>
    <row r="333" spans="1:39" hidden="1" x14ac:dyDescent="0.3">
      <c r="A333" s="51" t="s">
        <v>2140</v>
      </c>
      <c r="B333" s="54" t="s">
        <v>2141</v>
      </c>
      <c r="C333" s="51" t="s">
        <v>2765</v>
      </c>
      <c r="D333" s="53">
        <v>0</v>
      </c>
      <c r="E333" s="53">
        <v>1</v>
      </c>
      <c r="F333" s="51" t="s">
        <v>2715</v>
      </c>
      <c r="G333" s="51" t="s">
        <v>2695</v>
      </c>
      <c r="H333" s="25" t="str">
        <f t="shared" si="40"/>
        <v>jgd</v>
      </c>
      <c r="I333" t="s">
        <v>13</v>
      </c>
      <c r="J333" t="s">
        <v>21</v>
      </c>
      <c r="K333" t="s">
        <v>16</v>
      </c>
      <c r="L333" s="25">
        <v>46.979030250000001</v>
      </c>
      <c r="M333" s="25">
        <v>6.5383285530000004</v>
      </c>
      <c r="N333">
        <v>3</v>
      </c>
      <c r="O333">
        <v>28</v>
      </c>
      <c r="P333">
        <v>10</v>
      </c>
      <c r="Q333">
        <v>2017</v>
      </c>
      <c r="R333" s="9">
        <v>43036</v>
      </c>
      <c r="S333">
        <v>313</v>
      </c>
      <c r="T333">
        <v>1</v>
      </c>
      <c r="U333">
        <v>0</v>
      </c>
      <c r="V333">
        <v>0</v>
      </c>
      <c r="W333">
        <v>0</v>
      </c>
      <c r="X333" s="57">
        <f t="shared" si="41"/>
        <v>-96.586216250000007</v>
      </c>
      <c r="Y333" t="s">
        <v>16</v>
      </c>
      <c r="Z333">
        <v>7.9045893879999998</v>
      </c>
      <c r="AA333" s="3">
        <f t="shared" si="35"/>
        <v>10</v>
      </c>
      <c r="AB333" s="3">
        <f t="shared" si="42"/>
        <v>8</v>
      </c>
      <c r="AD333" s="3" t="s">
        <v>2750</v>
      </c>
      <c r="AE333" s="22">
        <v>-101.488973</v>
      </c>
      <c r="AF333" s="22">
        <f t="shared" si="37"/>
        <v>-101.488973</v>
      </c>
      <c r="AG333" s="60" t="s">
        <v>16</v>
      </c>
      <c r="AH333" s="61" t="s">
        <v>16</v>
      </c>
      <c r="AJ333" s="3">
        <f t="shared" si="39"/>
        <v>10</v>
      </c>
      <c r="AK333" s="3" t="s">
        <v>2709</v>
      </c>
      <c r="AL333">
        <v>10</v>
      </c>
      <c r="AM333" t="s">
        <v>2677</v>
      </c>
    </row>
    <row r="334" spans="1:39" hidden="1" x14ac:dyDescent="0.3">
      <c r="A334" s="51" t="s">
        <v>826</v>
      </c>
      <c r="B334" s="54" t="s">
        <v>827</v>
      </c>
      <c r="C334" s="51" t="s">
        <v>2765</v>
      </c>
      <c r="D334" s="53">
        <v>0</v>
      </c>
      <c r="E334" s="53">
        <v>1</v>
      </c>
      <c r="F334" s="51" t="s">
        <v>2715</v>
      </c>
      <c r="G334" s="51" t="s">
        <v>2695</v>
      </c>
      <c r="H334" s="25" t="str">
        <f t="shared" si="40"/>
        <v>jgd</v>
      </c>
      <c r="I334" t="s">
        <v>30</v>
      </c>
      <c r="J334" t="s">
        <v>828</v>
      </c>
      <c r="K334" t="s">
        <v>829</v>
      </c>
      <c r="L334" s="25">
        <v>46.75813248</v>
      </c>
      <c r="M334" s="25">
        <v>7.2698797239999999</v>
      </c>
      <c r="N334">
        <v>6</v>
      </c>
      <c r="O334">
        <v>2</v>
      </c>
      <c r="P334">
        <v>11</v>
      </c>
      <c r="Q334">
        <v>2015</v>
      </c>
      <c r="R334" s="9">
        <v>42310</v>
      </c>
      <c r="S334">
        <v>318</v>
      </c>
      <c r="T334">
        <v>1</v>
      </c>
      <c r="U334">
        <v>0</v>
      </c>
      <c r="V334">
        <v>0</v>
      </c>
      <c r="W334">
        <v>0</v>
      </c>
      <c r="X334">
        <f t="shared" si="41"/>
        <v>-95.862499999999983</v>
      </c>
      <c r="Y334">
        <v>-24.70076551</v>
      </c>
      <c r="Z334">
        <v>4.3151897259999998</v>
      </c>
      <c r="AA334" s="3">
        <f t="shared" si="35"/>
        <v>10</v>
      </c>
      <c r="AB334" s="3">
        <f t="shared" si="42"/>
        <v>4</v>
      </c>
      <c r="AD334" s="3" t="s">
        <v>2751</v>
      </c>
      <c r="AE334" s="22">
        <v>-100.91</v>
      </c>
      <c r="AF334" s="22">
        <f t="shared" si="37"/>
        <v>-100.91</v>
      </c>
      <c r="AG334" s="1">
        <v>-124.2</v>
      </c>
      <c r="AH334" s="2" t="s">
        <v>16</v>
      </c>
      <c r="AI334"/>
      <c r="AJ334" s="3">
        <f t="shared" si="39"/>
        <v>10</v>
      </c>
      <c r="AK334" s="3" t="s">
        <v>2709</v>
      </c>
      <c r="AL334">
        <v>10</v>
      </c>
      <c r="AM334" t="s">
        <v>15</v>
      </c>
    </row>
    <row r="335" spans="1:39" hidden="1" x14ac:dyDescent="0.3">
      <c r="A335" s="51" t="s">
        <v>787</v>
      </c>
      <c r="B335" s="54" t="s">
        <v>38</v>
      </c>
      <c r="C335" s="51" t="s">
        <v>2765</v>
      </c>
      <c r="D335" s="53">
        <v>0</v>
      </c>
      <c r="E335" s="53">
        <v>1</v>
      </c>
      <c r="F335" s="51" t="s">
        <v>2715</v>
      </c>
      <c r="G335" s="51" t="s">
        <v>2695</v>
      </c>
      <c r="H335" s="25" t="str">
        <f t="shared" si="40"/>
        <v>jgd</v>
      </c>
      <c r="I335" t="s">
        <v>30</v>
      </c>
      <c r="J335" t="s">
        <v>788</v>
      </c>
      <c r="K335" t="s">
        <v>16</v>
      </c>
      <c r="L335" s="25">
        <v>46.648844519999997</v>
      </c>
      <c r="M335" s="25">
        <v>6.9879750349999998</v>
      </c>
      <c r="N335">
        <v>3</v>
      </c>
      <c r="O335">
        <v>28</v>
      </c>
      <c r="P335">
        <v>10</v>
      </c>
      <c r="Q335">
        <v>2015</v>
      </c>
      <c r="R335" s="9">
        <v>42305</v>
      </c>
      <c r="S335">
        <v>351</v>
      </c>
      <c r="T335">
        <v>1</v>
      </c>
      <c r="U335">
        <v>0</v>
      </c>
      <c r="V335">
        <v>0</v>
      </c>
      <c r="W335">
        <v>0</v>
      </c>
      <c r="X335">
        <f t="shared" si="41"/>
        <v>-94.325000000000017</v>
      </c>
      <c r="Y335">
        <v>-24.545782880000001</v>
      </c>
      <c r="Z335">
        <v>8.1499823199999994</v>
      </c>
      <c r="AA335" s="3">
        <f t="shared" si="35"/>
        <v>9</v>
      </c>
      <c r="AB335" s="3">
        <f t="shared" si="42"/>
        <v>8</v>
      </c>
      <c r="AD335" s="3" t="s">
        <v>2751</v>
      </c>
      <c r="AE335" s="22">
        <v>-99.68</v>
      </c>
      <c r="AF335" s="22">
        <f t="shared" si="37"/>
        <v>-99.68</v>
      </c>
      <c r="AG335" s="1">
        <v>-123</v>
      </c>
      <c r="AH335" s="2" t="s">
        <v>16</v>
      </c>
      <c r="AI335"/>
      <c r="AJ335" s="3">
        <f t="shared" si="39"/>
        <v>10</v>
      </c>
      <c r="AK335" s="3" t="s">
        <v>2709</v>
      </c>
      <c r="AL335">
        <v>10</v>
      </c>
      <c r="AM335" t="s">
        <v>15</v>
      </c>
    </row>
    <row r="336" spans="1:39" x14ac:dyDescent="0.3">
      <c r="A336" s="51" t="s">
        <v>2040</v>
      </c>
      <c r="B336" s="54" t="s">
        <v>2041</v>
      </c>
      <c r="C336" s="51" t="s">
        <v>2765</v>
      </c>
      <c r="D336" s="53">
        <v>0</v>
      </c>
      <c r="E336" s="53">
        <v>1</v>
      </c>
      <c r="F336" s="51" t="s">
        <v>2715</v>
      </c>
      <c r="G336" s="51" t="s">
        <v>2695</v>
      </c>
      <c r="H336" s="25" t="str">
        <f t="shared" si="40"/>
        <v>jgd</v>
      </c>
      <c r="I336" t="s">
        <v>72</v>
      </c>
      <c r="J336" t="s">
        <v>213</v>
      </c>
      <c r="K336" t="s">
        <v>2039</v>
      </c>
      <c r="L336" s="25">
        <v>45.95437725</v>
      </c>
      <c r="M336" s="25">
        <v>9.0232501910000007</v>
      </c>
      <c r="N336">
        <v>6</v>
      </c>
      <c r="O336">
        <v>23</v>
      </c>
      <c r="P336">
        <v>10</v>
      </c>
      <c r="Q336">
        <v>2016</v>
      </c>
      <c r="R336" s="9">
        <v>42666</v>
      </c>
      <c r="S336">
        <v>360</v>
      </c>
      <c r="T336">
        <v>1</v>
      </c>
      <c r="U336">
        <v>0</v>
      </c>
      <c r="V336">
        <v>0</v>
      </c>
      <c r="W336">
        <v>0</v>
      </c>
      <c r="X336" s="57">
        <f t="shared" si="41"/>
        <v>-94.288873125000009</v>
      </c>
      <c r="Y336">
        <v>-23.77</v>
      </c>
      <c r="Z336">
        <v>6.52</v>
      </c>
      <c r="AA336" s="3">
        <f t="shared" si="35"/>
        <v>9</v>
      </c>
      <c r="AB336" s="3">
        <f t="shared" si="42"/>
        <v>7</v>
      </c>
      <c r="AD336" s="3" t="s">
        <v>2754</v>
      </c>
      <c r="AE336" s="22">
        <v>-99.651098500000003</v>
      </c>
      <c r="AF336" s="22">
        <f t="shared" si="37"/>
        <v>-99.651098500000003</v>
      </c>
      <c r="AG336" s="60" t="s">
        <v>16</v>
      </c>
      <c r="AH336" s="61" t="s">
        <v>16</v>
      </c>
      <c r="AJ336" s="3">
        <f t="shared" si="39"/>
        <v>10</v>
      </c>
      <c r="AK336" s="3" t="s">
        <v>2709</v>
      </c>
      <c r="AL336">
        <v>10</v>
      </c>
      <c r="AM336" t="s">
        <v>15</v>
      </c>
    </row>
    <row r="337" spans="1:39" hidden="1" x14ac:dyDescent="0.3">
      <c r="A337" s="51" t="s">
        <v>1351</v>
      </c>
      <c r="B337" s="54" t="s">
        <v>1352</v>
      </c>
      <c r="C337" s="51" t="s">
        <v>2765</v>
      </c>
      <c r="D337" s="53">
        <v>0</v>
      </c>
      <c r="E337" s="53">
        <v>1</v>
      </c>
      <c r="F337" s="51" t="s">
        <v>2715</v>
      </c>
      <c r="G337" s="51" t="s">
        <v>2695</v>
      </c>
      <c r="H337" s="25" t="str">
        <f t="shared" si="40"/>
        <v>jgd</v>
      </c>
      <c r="I337" t="s">
        <v>30</v>
      </c>
      <c r="J337" t="s">
        <v>271</v>
      </c>
      <c r="K337" t="s">
        <v>1353</v>
      </c>
      <c r="L337" s="25">
        <v>46.638398700000003</v>
      </c>
      <c r="M337" s="25">
        <v>7.0156584899999999</v>
      </c>
      <c r="N337">
        <v>5</v>
      </c>
      <c r="O337">
        <v>24</v>
      </c>
      <c r="P337">
        <v>10</v>
      </c>
      <c r="Q337">
        <v>2015</v>
      </c>
      <c r="R337" s="9">
        <v>42301</v>
      </c>
      <c r="S337">
        <v>340</v>
      </c>
      <c r="T337">
        <v>1</v>
      </c>
      <c r="U337">
        <v>0</v>
      </c>
      <c r="V337">
        <v>0</v>
      </c>
      <c r="W337">
        <v>0</v>
      </c>
      <c r="X337">
        <f t="shared" si="41"/>
        <v>-94.012500000000017</v>
      </c>
      <c r="Y337">
        <v>-24.645612280000002</v>
      </c>
      <c r="Z337">
        <v>4.4885053389999996</v>
      </c>
      <c r="AA337" s="3">
        <f t="shared" si="35"/>
        <v>9</v>
      </c>
      <c r="AB337" s="3">
        <f t="shared" si="42"/>
        <v>4</v>
      </c>
      <c r="AD337" s="3" t="s">
        <v>2752</v>
      </c>
      <c r="AE337" s="22">
        <v>-99.43</v>
      </c>
      <c r="AF337" s="22">
        <f t="shared" si="37"/>
        <v>-99.43</v>
      </c>
      <c r="AG337" s="1">
        <v>-122.7</v>
      </c>
      <c r="AH337" s="2" t="s">
        <v>16</v>
      </c>
      <c r="AI337"/>
      <c r="AJ337" s="3">
        <f t="shared" si="39"/>
        <v>10</v>
      </c>
      <c r="AK337" s="3" t="s">
        <v>2709</v>
      </c>
      <c r="AL337">
        <v>10</v>
      </c>
      <c r="AM337" t="s">
        <v>15</v>
      </c>
    </row>
    <row r="338" spans="1:39" hidden="1" x14ac:dyDescent="0.3">
      <c r="A338" s="51" t="s">
        <v>284</v>
      </c>
      <c r="B338" s="54" t="s">
        <v>285</v>
      </c>
      <c r="C338" s="51" t="s">
        <v>2765</v>
      </c>
      <c r="D338" s="53">
        <v>0</v>
      </c>
      <c r="E338" s="53">
        <v>1</v>
      </c>
      <c r="F338" s="51" t="s">
        <v>2715</v>
      </c>
      <c r="G338" s="51" t="s">
        <v>2695</v>
      </c>
      <c r="H338" s="25" t="str">
        <f t="shared" si="40"/>
        <v>jgd</v>
      </c>
      <c r="I338" t="s">
        <v>30</v>
      </c>
      <c r="J338" t="s">
        <v>286</v>
      </c>
      <c r="K338" t="s">
        <v>287</v>
      </c>
      <c r="L338" s="25">
        <v>46.759853980000003</v>
      </c>
      <c r="M338" s="25">
        <v>6.9797433660000001</v>
      </c>
      <c r="N338">
        <v>3</v>
      </c>
      <c r="O338">
        <v>5</v>
      </c>
      <c r="P338">
        <v>11</v>
      </c>
      <c r="Q338">
        <v>2013</v>
      </c>
      <c r="R338" s="9">
        <v>41583</v>
      </c>
      <c r="S338">
        <v>330</v>
      </c>
      <c r="T338">
        <v>1</v>
      </c>
      <c r="U338">
        <v>0</v>
      </c>
      <c r="V338">
        <v>0</v>
      </c>
      <c r="W338">
        <v>0</v>
      </c>
      <c r="X338">
        <f t="shared" si="41"/>
        <v>-94</v>
      </c>
      <c r="Y338">
        <v>-33.583738160000003</v>
      </c>
      <c r="Z338">
        <v>6.1371202760000001</v>
      </c>
      <c r="AA338" s="3">
        <f t="shared" si="35"/>
        <v>9</v>
      </c>
      <c r="AB338" s="3">
        <f t="shared" si="42"/>
        <v>6</v>
      </c>
      <c r="AD338" s="3" t="s">
        <v>2751</v>
      </c>
      <c r="AE338" s="22">
        <v>-99.42</v>
      </c>
      <c r="AF338" s="22">
        <f t="shared" si="37"/>
        <v>-99.42</v>
      </c>
      <c r="AG338" s="1">
        <v>-122.7</v>
      </c>
      <c r="AH338" s="2" t="s">
        <v>16</v>
      </c>
      <c r="AI338"/>
      <c r="AJ338" s="3">
        <f t="shared" si="39"/>
        <v>10</v>
      </c>
      <c r="AK338" s="3" t="s">
        <v>2709</v>
      </c>
      <c r="AL338">
        <v>10</v>
      </c>
      <c r="AM338" t="s">
        <v>15</v>
      </c>
    </row>
    <row r="339" spans="1:39" x14ac:dyDescent="0.3">
      <c r="A339" s="51" t="s">
        <v>1231</v>
      </c>
      <c r="B339" s="54" t="s">
        <v>1232</v>
      </c>
      <c r="C339" s="51" t="s">
        <v>2765</v>
      </c>
      <c r="D339" s="53">
        <v>0</v>
      </c>
      <c r="E339" s="53">
        <v>1</v>
      </c>
      <c r="F339" s="51" t="s">
        <v>2715</v>
      </c>
      <c r="G339" s="51" t="s">
        <v>2695</v>
      </c>
      <c r="H339" s="25" t="str">
        <f t="shared" si="40"/>
        <v>jgd</v>
      </c>
      <c r="I339" t="s">
        <v>72</v>
      </c>
      <c r="J339" t="s">
        <v>704</v>
      </c>
      <c r="K339" t="s">
        <v>1233</v>
      </c>
      <c r="L339" s="25">
        <v>46.480643630000003</v>
      </c>
      <c r="M339" s="25">
        <v>8.7452527920000005</v>
      </c>
      <c r="N339">
        <v>5</v>
      </c>
      <c r="O339">
        <v>21</v>
      </c>
      <c r="P339">
        <v>10</v>
      </c>
      <c r="Q339">
        <v>2015</v>
      </c>
      <c r="R339" s="9">
        <v>42298</v>
      </c>
      <c r="S339">
        <v>300</v>
      </c>
      <c r="T339">
        <v>1</v>
      </c>
      <c r="U339">
        <v>0</v>
      </c>
      <c r="V339">
        <v>0</v>
      </c>
      <c r="W339">
        <v>0</v>
      </c>
      <c r="X339">
        <f t="shared" si="41"/>
        <v>-93.9375</v>
      </c>
      <c r="Y339">
        <v>-25.034400000000002</v>
      </c>
      <c r="Z339">
        <v>8.5232636609999997</v>
      </c>
      <c r="AA339" s="3">
        <f t="shared" si="35"/>
        <v>9</v>
      </c>
      <c r="AB339" s="3">
        <f t="shared" si="42"/>
        <v>9</v>
      </c>
      <c r="AD339" s="3" t="s">
        <v>2754</v>
      </c>
      <c r="AE339" s="22">
        <v>-99.37</v>
      </c>
      <c r="AF339" s="22">
        <f t="shared" si="37"/>
        <v>-99.37</v>
      </c>
      <c r="AG339" s="1">
        <v>-122.6</v>
      </c>
      <c r="AH339" s="2" t="s">
        <v>16</v>
      </c>
      <c r="AI339"/>
      <c r="AJ339" s="3">
        <f t="shared" si="39"/>
        <v>10</v>
      </c>
      <c r="AK339" s="3" t="s">
        <v>2709</v>
      </c>
      <c r="AL339">
        <v>10</v>
      </c>
      <c r="AM339" t="s">
        <v>15</v>
      </c>
    </row>
    <row r="340" spans="1:39" x14ac:dyDescent="0.3">
      <c r="A340" s="51" t="s">
        <v>1937</v>
      </c>
      <c r="B340" s="54" t="s">
        <v>1180</v>
      </c>
      <c r="C340" s="51" t="s">
        <v>2765</v>
      </c>
      <c r="D340" s="53">
        <v>0</v>
      </c>
      <c r="E340" s="53">
        <v>1</v>
      </c>
      <c r="F340" s="51" t="s">
        <v>2715</v>
      </c>
      <c r="G340" s="51" t="s">
        <v>2695</v>
      </c>
      <c r="H340" s="25" t="str">
        <f t="shared" si="40"/>
        <v>jgd</v>
      </c>
      <c r="I340" t="s">
        <v>72</v>
      </c>
      <c r="J340" t="s">
        <v>694</v>
      </c>
      <c r="K340" t="s">
        <v>1916</v>
      </c>
      <c r="L340" s="25">
        <v>46.133414969999997</v>
      </c>
      <c r="M340" s="25">
        <v>8.9313891089999995</v>
      </c>
      <c r="N340">
        <v>5</v>
      </c>
      <c r="O340">
        <v>5</v>
      </c>
      <c r="P340">
        <v>11</v>
      </c>
      <c r="Q340">
        <v>2016</v>
      </c>
      <c r="R340" s="9">
        <v>42679</v>
      </c>
      <c r="S340">
        <v>310</v>
      </c>
      <c r="T340">
        <v>1</v>
      </c>
      <c r="U340">
        <v>0</v>
      </c>
      <c r="V340">
        <v>0</v>
      </c>
      <c r="W340">
        <v>0</v>
      </c>
      <c r="X340" s="57">
        <f t="shared" si="41"/>
        <v>-93.83487199999999</v>
      </c>
      <c r="Y340">
        <v>-24.15</v>
      </c>
      <c r="Z340">
        <v>6.57</v>
      </c>
      <c r="AA340" s="3">
        <f t="shared" si="35"/>
        <v>9</v>
      </c>
      <c r="AB340" s="3">
        <f t="shared" si="42"/>
        <v>7</v>
      </c>
      <c r="AD340" s="3" t="s">
        <v>2754</v>
      </c>
      <c r="AE340" s="22">
        <v>-99.287897599999994</v>
      </c>
      <c r="AF340" s="22">
        <f t="shared" si="37"/>
        <v>-99.287897599999994</v>
      </c>
      <c r="AG340" s="60" t="s">
        <v>16</v>
      </c>
      <c r="AH340" s="61" t="s">
        <v>16</v>
      </c>
      <c r="AJ340" s="3">
        <f t="shared" si="39"/>
        <v>10</v>
      </c>
      <c r="AK340" s="3" t="s">
        <v>2709</v>
      </c>
      <c r="AL340">
        <v>10</v>
      </c>
      <c r="AM340" t="s">
        <v>15</v>
      </c>
    </row>
    <row r="341" spans="1:39" x14ac:dyDescent="0.3">
      <c r="A341" s="51" t="s">
        <v>852</v>
      </c>
      <c r="B341" s="54" t="s">
        <v>853</v>
      </c>
      <c r="C341" s="51" t="s">
        <v>2765</v>
      </c>
      <c r="D341" s="53">
        <v>0</v>
      </c>
      <c r="E341" s="53">
        <v>1</v>
      </c>
      <c r="F341" s="51" t="s">
        <v>2715</v>
      </c>
      <c r="G341" s="51" t="s">
        <v>2695</v>
      </c>
      <c r="H341" s="25" t="str">
        <f t="shared" si="40"/>
        <v>jgd</v>
      </c>
      <c r="I341" t="s">
        <v>72</v>
      </c>
      <c r="J341" t="s">
        <v>848</v>
      </c>
      <c r="K341" t="s">
        <v>854</v>
      </c>
      <c r="L341" s="25">
        <v>46.177372349999999</v>
      </c>
      <c r="M341" s="25">
        <v>8.6429597149999999</v>
      </c>
      <c r="N341">
        <v>3</v>
      </c>
      <c r="O341">
        <v>4</v>
      </c>
      <c r="P341">
        <v>11</v>
      </c>
      <c r="Q341">
        <v>2015</v>
      </c>
      <c r="R341" s="9">
        <v>42312</v>
      </c>
      <c r="S341">
        <v>322</v>
      </c>
      <c r="T341">
        <v>1</v>
      </c>
      <c r="U341">
        <v>0</v>
      </c>
      <c r="V341">
        <v>0</v>
      </c>
      <c r="W341">
        <v>0</v>
      </c>
      <c r="X341">
        <f t="shared" si="41"/>
        <v>-93.674999999999983</v>
      </c>
      <c r="Y341">
        <v>-25.01125</v>
      </c>
      <c r="Z341">
        <v>5.6126753330000003</v>
      </c>
      <c r="AA341" s="3">
        <f t="shared" si="35"/>
        <v>9</v>
      </c>
      <c r="AB341" s="3">
        <f t="shared" si="42"/>
        <v>6</v>
      </c>
      <c r="AD341" s="3" t="s">
        <v>2754</v>
      </c>
      <c r="AE341" s="22">
        <v>-99.16</v>
      </c>
      <c r="AF341" s="22">
        <f t="shared" si="37"/>
        <v>-99.16</v>
      </c>
      <c r="AG341" s="1">
        <v>-122.4</v>
      </c>
      <c r="AH341" s="2" t="s">
        <v>16</v>
      </c>
      <c r="AI341"/>
      <c r="AJ341" s="3">
        <f t="shared" si="39"/>
        <v>10</v>
      </c>
      <c r="AK341" s="3" t="s">
        <v>2709</v>
      </c>
      <c r="AL341">
        <v>10</v>
      </c>
      <c r="AM341" t="s">
        <v>15</v>
      </c>
    </row>
    <row r="342" spans="1:39" x14ac:dyDescent="0.3">
      <c r="A342" s="51" t="s">
        <v>745</v>
      </c>
      <c r="B342" s="54" t="s">
        <v>746</v>
      </c>
      <c r="C342" s="51" t="s">
        <v>2765</v>
      </c>
      <c r="D342" s="53">
        <v>0</v>
      </c>
      <c r="E342" s="53">
        <v>1</v>
      </c>
      <c r="F342" s="51" t="s">
        <v>2715</v>
      </c>
      <c r="G342" s="51" t="s">
        <v>2695</v>
      </c>
      <c r="H342" s="25" t="str">
        <f t="shared" si="40"/>
        <v>jgd</v>
      </c>
      <c r="I342" t="s">
        <v>72</v>
      </c>
      <c r="J342" t="s">
        <v>113</v>
      </c>
      <c r="K342" t="s">
        <v>747</v>
      </c>
      <c r="L342" s="25">
        <v>46.213277179999999</v>
      </c>
      <c r="M342" s="25">
        <v>8.6845245690000006</v>
      </c>
      <c r="N342">
        <v>6</v>
      </c>
      <c r="O342">
        <v>1</v>
      </c>
      <c r="P342">
        <v>11</v>
      </c>
      <c r="Q342">
        <v>2015</v>
      </c>
      <c r="R342" s="9">
        <v>42309</v>
      </c>
      <c r="S342">
        <v>288</v>
      </c>
      <c r="T342">
        <v>1</v>
      </c>
      <c r="U342">
        <v>0</v>
      </c>
      <c r="V342">
        <v>0</v>
      </c>
      <c r="W342">
        <v>0</v>
      </c>
      <c r="X342">
        <f t="shared" si="41"/>
        <v>-93.65</v>
      </c>
      <c r="Y342">
        <v>-24.844200000000001</v>
      </c>
      <c r="Z342">
        <v>7.2519527669999997</v>
      </c>
      <c r="AA342" s="3">
        <f t="shared" ref="AA342:AA405" si="43">-ROUND(X342/10,0)</f>
        <v>9</v>
      </c>
      <c r="AB342" s="3">
        <f t="shared" ref="AB342:AB373" si="44">ROUND(Z342,0)</f>
        <v>7</v>
      </c>
      <c r="AD342" s="3" t="s">
        <v>2754</v>
      </c>
      <c r="AE342" s="22">
        <v>-99.14</v>
      </c>
      <c r="AF342" s="22">
        <f t="shared" ref="AF342:AF405" si="45">IF(AI342&lt;0,AI342,AE342)</f>
        <v>-99.14</v>
      </c>
      <c r="AG342" s="1">
        <v>-122.4</v>
      </c>
      <c r="AH342" s="2" t="s">
        <v>16</v>
      </c>
      <c r="AI342"/>
      <c r="AJ342" s="3">
        <f t="shared" ref="AJ342:AJ405" si="46">-ROUND(AF342/10,0)</f>
        <v>10</v>
      </c>
      <c r="AK342" s="3" t="s">
        <v>2709</v>
      </c>
      <c r="AL342">
        <v>10</v>
      </c>
      <c r="AM342" t="s">
        <v>15</v>
      </c>
    </row>
    <row r="343" spans="1:39" hidden="1" x14ac:dyDescent="0.3">
      <c r="A343" s="51" t="s">
        <v>842</v>
      </c>
      <c r="B343" s="54" t="s">
        <v>843</v>
      </c>
      <c r="C343" s="51" t="s">
        <v>2765</v>
      </c>
      <c r="D343" s="53">
        <v>0</v>
      </c>
      <c r="E343" s="53">
        <v>1</v>
      </c>
      <c r="F343" s="51" t="s">
        <v>2715</v>
      </c>
      <c r="G343" s="51" t="s">
        <v>2695</v>
      </c>
      <c r="H343" s="25" t="str">
        <f t="shared" si="40"/>
        <v>jgd</v>
      </c>
      <c r="I343" t="s">
        <v>30</v>
      </c>
      <c r="J343" t="s">
        <v>378</v>
      </c>
      <c r="K343" t="s">
        <v>833</v>
      </c>
      <c r="L343" s="25">
        <v>46.619642519999999</v>
      </c>
      <c r="M343" s="25">
        <v>6.8929110219999998</v>
      </c>
      <c r="N343">
        <v>5</v>
      </c>
      <c r="O343">
        <v>31</v>
      </c>
      <c r="P343">
        <v>10</v>
      </c>
      <c r="Q343">
        <v>2015</v>
      </c>
      <c r="R343" s="9">
        <v>42308</v>
      </c>
      <c r="S343">
        <v>316</v>
      </c>
      <c r="T343">
        <v>1</v>
      </c>
      <c r="U343">
        <v>0</v>
      </c>
      <c r="V343">
        <v>0</v>
      </c>
      <c r="W343">
        <v>0</v>
      </c>
      <c r="X343">
        <f t="shared" si="41"/>
        <v>-93.487500000000011</v>
      </c>
      <c r="Y343">
        <v>-23.995799999999999</v>
      </c>
      <c r="Z343">
        <v>5.7664671910000003</v>
      </c>
      <c r="AA343" s="3">
        <f t="shared" si="43"/>
        <v>9</v>
      </c>
      <c r="AB343" s="3">
        <f t="shared" si="44"/>
        <v>6</v>
      </c>
      <c r="AD343" s="3" t="s">
        <v>2751</v>
      </c>
      <c r="AE343" s="22">
        <v>-99.01</v>
      </c>
      <c r="AF343" s="22">
        <f t="shared" si="45"/>
        <v>-99.01</v>
      </c>
      <c r="AG343" s="1">
        <v>-122.3</v>
      </c>
      <c r="AH343" s="2" t="s">
        <v>16</v>
      </c>
      <c r="AI343"/>
      <c r="AJ343" s="3">
        <f t="shared" si="46"/>
        <v>10</v>
      </c>
      <c r="AK343" s="3" t="s">
        <v>2709</v>
      </c>
      <c r="AL343">
        <v>10</v>
      </c>
      <c r="AM343" t="s">
        <v>15</v>
      </c>
    </row>
    <row r="344" spans="1:39" hidden="1" x14ac:dyDescent="0.3">
      <c r="A344" s="51" t="s">
        <v>1438</v>
      </c>
      <c r="B344" s="54" t="s">
        <v>17</v>
      </c>
      <c r="C344" s="51" t="s">
        <v>2765</v>
      </c>
      <c r="D344" s="53">
        <v>0</v>
      </c>
      <c r="E344" s="53">
        <v>1</v>
      </c>
      <c r="F344" s="51" t="s">
        <v>2715</v>
      </c>
      <c r="G344" s="51" t="s">
        <v>2695</v>
      </c>
      <c r="H344" s="25" t="str">
        <f t="shared" si="40"/>
        <v>jgd</v>
      </c>
      <c r="I344" t="s">
        <v>13</v>
      </c>
      <c r="J344" t="s">
        <v>21</v>
      </c>
      <c r="K344" t="s">
        <v>1439</v>
      </c>
      <c r="L344" s="25">
        <v>46.959475550000001</v>
      </c>
      <c r="M344" s="25">
        <v>6.5868630489999997</v>
      </c>
      <c r="N344">
        <v>5</v>
      </c>
      <c r="O344">
        <v>24</v>
      </c>
      <c r="P344">
        <v>10</v>
      </c>
      <c r="Q344">
        <v>2016</v>
      </c>
      <c r="R344" s="9">
        <v>42667</v>
      </c>
      <c r="S344">
        <v>280</v>
      </c>
      <c r="T344">
        <v>1</v>
      </c>
      <c r="U344">
        <v>0</v>
      </c>
      <c r="V344">
        <v>0</v>
      </c>
      <c r="W344">
        <v>0</v>
      </c>
      <c r="X344" s="57">
        <f t="shared" si="41"/>
        <v>-93.483966750000008</v>
      </c>
      <c r="Y344">
        <v>-22.65</v>
      </c>
      <c r="Z344">
        <v>10.63</v>
      </c>
      <c r="AA344" s="3">
        <f t="shared" si="43"/>
        <v>9</v>
      </c>
      <c r="AB344" s="3">
        <f t="shared" si="44"/>
        <v>11</v>
      </c>
      <c r="AD344" s="3" t="s">
        <v>2750</v>
      </c>
      <c r="AE344" s="22">
        <v>-99.007173399999999</v>
      </c>
      <c r="AF344" s="22">
        <f t="shared" si="45"/>
        <v>-99.007173399999999</v>
      </c>
      <c r="AG344" s="60" t="s">
        <v>16</v>
      </c>
      <c r="AH344" s="61" t="s">
        <v>16</v>
      </c>
      <c r="AJ344" s="3">
        <f t="shared" si="46"/>
        <v>10</v>
      </c>
      <c r="AK344" s="3" t="s">
        <v>2709</v>
      </c>
      <c r="AL344">
        <v>10</v>
      </c>
      <c r="AM344" t="s">
        <v>15</v>
      </c>
    </row>
    <row r="345" spans="1:39" x14ac:dyDescent="0.3">
      <c r="A345" s="51" t="s">
        <v>1706</v>
      </c>
      <c r="B345" s="54" t="s">
        <v>188</v>
      </c>
      <c r="C345" s="51" t="s">
        <v>2765</v>
      </c>
      <c r="D345" s="53">
        <v>0</v>
      </c>
      <c r="E345" s="53">
        <v>1</v>
      </c>
      <c r="F345" s="51" t="s">
        <v>2715</v>
      </c>
      <c r="G345" s="51" t="s">
        <v>2695</v>
      </c>
      <c r="H345" s="25" t="str">
        <f t="shared" si="40"/>
        <v>jgd</v>
      </c>
      <c r="I345" t="s">
        <v>72</v>
      </c>
      <c r="J345" t="s">
        <v>441</v>
      </c>
      <c r="K345" t="s">
        <v>442</v>
      </c>
      <c r="L345" s="25">
        <v>46.109477839999997</v>
      </c>
      <c r="M345" s="25">
        <v>8.9719995249999993</v>
      </c>
      <c r="N345">
        <v>5</v>
      </c>
      <c r="O345">
        <v>22</v>
      </c>
      <c r="P345">
        <v>10</v>
      </c>
      <c r="Q345">
        <v>2016</v>
      </c>
      <c r="R345" s="9">
        <v>42665</v>
      </c>
      <c r="S345">
        <v>300</v>
      </c>
      <c r="T345">
        <v>1</v>
      </c>
      <c r="U345">
        <v>0</v>
      </c>
      <c r="V345">
        <v>0</v>
      </c>
      <c r="W345">
        <v>0</v>
      </c>
      <c r="X345" s="57">
        <f t="shared" si="41"/>
        <v>-93.102496000000002</v>
      </c>
      <c r="Y345">
        <v>-23.06</v>
      </c>
      <c r="Z345">
        <v>7.82</v>
      </c>
      <c r="AA345" s="3">
        <f t="shared" si="43"/>
        <v>9</v>
      </c>
      <c r="AB345" s="3">
        <f t="shared" si="44"/>
        <v>8</v>
      </c>
      <c r="AD345" s="3" t="s">
        <v>2754</v>
      </c>
      <c r="AE345" s="22">
        <v>-98.701996800000003</v>
      </c>
      <c r="AF345" s="22">
        <f t="shared" si="45"/>
        <v>-98.701996800000003</v>
      </c>
      <c r="AG345" s="60" t="s">
        <v>16</v>
      </c>
      <c r="AH345" s="61" t="s">
        <v>16</v>
      </c>
      <c r="AJ345" s="3">
        <f t="shared" si="46"/>
        <v>10</v>
      </c>
      <c r="AK345" s="3" t="s">
        <v>2709</v>
      </c>
      <c r="AL345">
        <v>10</v>
      </c>
      <c r="AM345" t="s">
        <v>15</v>
      </c>
    </row>
    <row r="346" spans="1:39" x14ac:dyDescent="0.3">
      <c r="A346" s="51" t="s">
        <v>1899</v>
      </c>
      <c r="B346" s="54" t="s">
        <v>1108</v>
      </c>
      <c r="C346" s="51" t="s">
        <v>2765</v>
      </c>
      <c r="D346" s="53">
        <v>0</v>
      </c>
      <c r="E346" s="53">
        <v>1</v>
      </c>
      <c r="F346" s="51" t="s">
        <v>2715</v>
      </c>
      <c r="G346" s="51" t="s">
        <v>2695</v>
      </c>
      <c r="H346" s="25" t="str">
        <f t="shared" si="40"/>
        <v>jgd</v>
      </c>
      <c r="I346" t="s">
        <v>72</v>
      </c>
      <c r="J346" t="s">
        <v>1897</v>
      </c>
      <c r="K346" t="s">
        <v>1900</v>
      </c>
      <c r="L346" s="25">
        <v>46.039925269999998</v>
      </c>
      <c r="M346" s="25">
        <v>8.8309731500000002</v>
      </c>
      <c r="N346">
        <v>6</v>
      </c>
      <c r="O346">
        <v>10</v>
      </c>
      <c r="P346">
        <v>11</v>
      </c>
      <c r="Q346">
        <v>2016</v>
      </c>
      <c r="R346" s="9">
        <v>42684</v>
      </c>
      <c r="S346">
        <v>298</v>
      </c>
      <c r="T346">
        <v>1</v>
      </c>
      <c r="U346">
        <v>0</v>
      </c>
      <c r="V346">
        <v>0</v>
      </c>
      <c r="W346">
        <v>0</v>
      </c>
      <c r="X346" s="57">
        <f t="shared" si="41"/>
        <v>-93.026260374999993</v>
      </c>
      <c r="Y346">
        <v>-24.49</v>
      </c>
      <c r="Z346">
        <v>4.21</v>
      </c>
      <c r="AA346" s="3">
        <f t="shared" si="43"/>
        <v>9</v>
      </c>
      <c r="AB346" s="3">
        <f t="shared" si="44"/>
        <v>4</v>
      </c>
      <c r="AD346" s="3" t="s">
        <v>2754</v>
      </c>
      <c r="AE346" s="22">
        <v>-98.641008299999996</v>
      </c>
      <c r="AF346" s="22">
        <f t="shared" si="45"/>
        <v>-98.641008299999996</v>
      </c>
      <c r="AG346" s="60" t="s">
        <v>16</v>
      </c>
      <c r="AH346" s="61" t="s">
        <v>16</v>
      </c>
      <c r="AJ346" s="3">
        <f t="shared" si="46"/>
        <v>10</v>
      </c>
      <c r="AK346" s="3" t="s">
        <v>2709</v>
      </c>
      <c r="AL346">
        <v>10</v>
      </c>
      <c r="AM346" t="s">
        <v>15</v>
      </c>
    </row>
    <row r="347" spans="1:39" hidden="1" x14ac:dyDescent="0.3">
      <c r="A347" s="51" t="s">
        <v>541</v>
      </c>
      <c r="B347" s="54" t="s">
        <v>542</v>
      </c>
      <c r="C347" s="51" t="s">
        <v>2765</v>
      </c>
      <c r="D347" s="53">
        <v>0</v>
      </c>
      <c r="E347" s="53">
        <v>1</v>
      </c>
      <c r="F347" s="51" t="s">
        <v>2715</v>
      </c>
      <c r="G347" s="51" t="s">
        <v>2695</v>
      </c>
      <c r="H347" s="25" t="str">
        <f t="shared" si="40"/>
        <v>jgd</v>
      </c>
      <c r="I347" t="s">
        <v>385</v>
      </c>
      <c r="J347" t="s">
        <v>543</v>
      </c>
      <c r="K347" t="s">
        <v>544</v>
      </c>
      <c r="L347" s="25">
        <v>46.54141473</v>
      </c>
      <c r="M347" s="25">
        <v>6.3858937769999997</v>
      </c>
      <c r="N347">
        <v>4</v>
      </c>
      <c r="O347">
        <v>2</v>
      </c>
      <c r="P347">
        <v>12</v>
      </c>
      <c r="Q347">
        <v>2014</v>
      </c>
      <c r="R347" s="9">
        <v>41975</v>
      </c>
      <c r="S347">
        <v>315</v>
      </c>
      <c r="T347">
        <v>1</v>
      </c>
      <c r="U347">
        <v>0</v>
      </c>
      <c r="V347">
        <v>0</v>
      </c>
      <c r="W347">
        <v>0</v>
      </c>
      <c r="X347">
        <f t="shared" si="41"/>
        <v>-92.987500000000011</v>
      </c>
      <c r="Y347">
        <v>-24.7698</v>
      </c>
      <c r="Z347">
        <v>4.6109550500000003</v>
      </c>
      <c r="AA347" s="3">
        <f t="shared" si="43"/>
        <v>9</v>
      </c>
      <c r="AB347" s="3">
        <f t="shared" si="44"/>
        <v>5</v>
      </c>
      <c r="AD347" s="3" t="s">
        <v>2751</v>
      </c>
      <c r="AE347" s="22">
        <v>-98.61</v>
      </c>
      <c r="AF347" s="22">
        <f t="shared" si="45"/>
        <v>-98.61</v>
      </c>
      <c r="AG347" s="1">
        <v>-121.9</v>
      </c>
      <c r="AH347" s="2" t="s">
        <v>16</v>
      </c>
      <c r="AI347"/>
      <c r="AJ347" s="3">
        <f t="shared" si="46"/>
        <v>10</v>
      </c>
      <c r="AK347" s="3" t="s">
        <v>2709</v>
      </c>
      <c r="AL347">
        <v>10</v>
      </c>
      <c r="AM347" t="s">
        <v>15</v>
      </c>
    </row>
    <row r="348" spans="1:39" x14ac:dyDescent="0.3">
      <c r="A348" s="51" t="s">
        <v>1901</v>
      </c>
      <c r="B348" s="54" t="s">
        <v>1112</v>
      </c>
      <c r="C348" s="51" t="s">
        <v>2765</v>
      </c>
      <c r="D348" s="53">
        <v>0</v>
      </c>
      <c r="E348" s="53">
        <v>1</v>
      </c>
      <c r="F348" s="51" t="s">
        <v>2715</v>
      </c>
      <c r="G348" s="51" t="s">
        <v>2695</v>
      </c>
      <c r="H348" s="25" t="str">
        <f t="shared" si="40"/>
        <v>jgd</v>
      </c>
      <c r="I348" t="s">
        <v>72</v>
      </c>
      <c r="J348" t="s">
        <v>1098</v>
      </c>
      <c r="K348" t="s">
        <v>1892</v>
      </c>
      <c r="L348" s="25">
        <v>46.024622770000001</v>
      </c>
      <c r="M348" s="25">
        <v>8.8823484189999995</v>
      </c>
      <c r="N348">
        <v>6</v>
      </c>
      <c r="O348">
        <v>16</v>
      </c>
      <c r="P348">
        <v>11</v>
      </c>
      <c r="Q348">
        <v>2016</v>
      </c>
      <c r="R348" s="9">
        <v>42690</v>
      </c>
      <c r="S348">
        <v>333</v>
      </c>
      <c r="T348">
        <v>1</v>
      </c>
      <c r="U348">
        <v>0</v>
      </c>
      <c r="V348">
        <v>0</v>
      </c>
      <c r="W348">
        <v>0</v>
      </c>
      <c r="X348" s="57">
        <f t="shared" si="41"/>
        <v>-92.912104875000011</v>
      </c>
      <c r="Y348">
        <v>-23.7</v>
      </c>
      <c r="Z348">
        <v>6.78</v>
      </c>
      <c r="AA348" s="3">
        <f t="shared" si="43"/>
        <v>9</v>
      </c>
      <c r="AB348" s="3">
        <f t="shared" si="44"/>
        <v>7</v>
      </c>
      <c r="AD348" s="3" t="s">
        <v>2754</v>
      </c>
      <c r="AE348" s="22">
        <v>-98.549683900000005</v>
      </c>
      <c r="AF348" s="22">
        <f t="shared" si="45"/>
        <v>-98.549683900000005</v>
      </c>
      <c r="AG348" s="60" t="s">
        <v>16</v>
      </c>
      <c r="AH348" s="61" t="s">
        <v>16</v>
      </c>
      <c r="AJ348" s="3">
        <f t="shared" si="46"/>
        <v>10</v>
      </c>
      <c r="AK348" s="3" t="s">
        <v>2709</v>
      </c>
      <c r="AL348">
        <v>10</v>
      </c>
      <c r="AM348" t="s">
        <v>15</v>
      </c>
    </row>
    <row r="349" spans="1:39" x14ac:dyDescent="0.3">
      <c r="A349" s="51" t="s">
        <v>962</v>
      </c>
      <c r="B349" s="54" t="s">
        <v>404</v>
      </c>
      <c r="C349" s="51" t="s">
        <v>2765</v>
      </c>
      <c r="D349" s="53">
        <v>0</v>
      </c>
      <c r="E349" s="53">
        <v>1</v>
      </c>
      <c r="F349" s="51" t="s">
        <v>2715</v>
      </c>
      <c r="G349" s="51" t="s">
        <v>2695</v>
      </c>
      <c r="H349" s="25" t="str">
        <f t="shared" si="40"/>
        <v>jgd</v>
      </c>
      <c r="I349" t="s">
        <v>72</v>
      </c>
      <c r="J349" t="s">
        <v>958</v>
      </c>
      <c r="K349" t="s">
        <v>963</v>
      </c>
      <c r="L349" s="25">
        <v>46.091382379999999</v>
      </c>
      <c r="M349" s="25">
        <v>8.8415311019999994</v>
      </c>
      <c r="N349">
        <v>4</v>
      </c>
      <c r="O349">
        <v>19</v>
      </c>
      <c r="P349">
        <v>11</v>
      </c>
      <c r="Q349">
        <v>2015</v>
      </c>
      <c r="R349" s="9">
        <v>42327</v>
      </c>
      <c r="S349">
        <v>285</v>
      </c>
      <c r="T349">
        <v>1</v>
      </c>
      <c r="U349">
        <v>0</v>
      </c>
      <c r="V349">
        <v>0</v>
      </c>
      <c r="W349">
        <v>0</v>
      </c>
      <c r="X349">
        <f t="shared" si="41"/>
        <v>-92.8125</v>
      </c>
      <c r="Y349">
        <v>-24.9788</v>
      </c>
      <c r="Z349">
        <v>4.9734529280000004</v>
      </c>
      <c r="AA349" s="3">
        <f t="shared" si="43"/>
        <v>9</v>
      </c>
      <c r="AB349" s="3">
        <f t="shared" si="44"/>
        <v>5</v>
      </c>
      <c r="AD349" s="3" t="s">
        <v>2754</v>
      </c>
      <c r="AE349" s="22">
        <v>-98.47</v>
      </c>
      <c r="AF349" s="22">
        <f t="shared" si="45"/>
        <v>-98.47</v>
      </c>
      <c r="AG349" s="1">
        <v>-121.7</v>
      </c>
      <c r="AH349" s="2" t="s">
        <v>16</v>
      </c>
      <c r="AI349"/>
      <c r="AJ349" s="3">
        <f t="shared" si="46"/>
        <v>10</v>
      </c>
      <c r="AK349" s="3" t="s">
        <v>2709</v>
      </c>
      <c r="AL349">
        <v>10</v>
      </c>
      <c r="AM349" t="s">
        <v>15</v>
      </c>
    </row>
    <row r="350" spans="1:39" x14ac:dyDescent="0.3">
      <c r="A350" s="51" t="s">
        <v>1685</v>
      </c>
      <c r="B350" s="54" t="s">
        <v>404</v>
      </c>
      <c r="C350" s="51" t="s">
        <v>2765</v>
      </c>
      <c r="D350" s="53">
        <v>0</v>
      </c>
      <c r="E350" s="53">
        <v>1</v>
      </c>
      <c r="F350" s="51" t="s">
        <v>2715</v>
      </c>
      <c r="G350" s="51" t="s">
        <v>2695</v>
      </c>
      <c r="H350" s="25" t="str">
        <f t="shared" si="40"/>
        <v>jgd</v>
      </c>
      <c r="I350" t="s">
        <v>72</v>
      </c>
      <c r="J350" t="s">
        <v>155</v>
      </c>
      <c r="K350" t="s">
        <v>1686</v>
      </c>
      <c r="L350" s="25">
        <v>46.08588924</v>
      </c>
      <c r="M350" s="25">
        <v>8.8491479050000006</v>
      </c>
      <c r="N350">
        <v>4</v>
      </c>
      <c r="O350">
        <v>13</v>
      </c>
      <c r="P350">
        <v>11</v>
      </c>
      <c r="Q350">
        <v>2016</v>
      </c>
      <c r="R350" s="9">
        <v>42687</v>
      </c>
      <c r="S350">
        <v>345</v>
      </c>
      <c r="T350">
        <v>1</v>
      </c>
      <c r="U350">
        <v>0</v>
      </c>
      <c r="V350">
        <v>0</v>
      </c>
      <c r="W350">
        <v>0</v>
      </c>
      <c r="X350" s="57">
        <f t="shared" si="41"/>
        <v>-92.656941125000003</v>
      </c>
      <c r="Y350">
        <v>-25.49</v>
      </c>
      <c r="Z350">
        <v>6.1</v>
      </c>
      <c r="AA350" s="3">
        <f t="shared" si="43"/>
        <v>9</v>
      </c>
      <c r="AB350" s="3">
        <f t="shared" si="44"/>
        <v>6</v>
      </c>
      <c r="AD350" s="3" t="s">
        <v>2754</v>
      </c>
      <c r="AE350" s="22">
        <v>-98.345552900000001</v>
      </c>
      <c r="AF350" s="22">
        <f t="shared" si="45"/>
        <v>-98.345552900000001</v>
      </c>
      <c r="AG350" s="60" t="s">
        <v>16</v>
      </c>
      <c r="AH350" s="61" t="s">
        <v>16</v>
      </c>
      <c r="AJ350" s="3">
        <f t="shared" si="46"/>
        <v>10</v>
      </c>
      <c r="AK350" s="3" t="s">
        <v>2709</v>
      </c>
      <c r="AL350">
        <v>10</v>
      </c>
      <c r="AM350" t="s">
        <v>15</v>
      </c>
    </row>
    <row r="351" spans="1:39" hidden="1" x14ac:dyDescent="0.3">
      <c r="A351" s="51" t="s">
        <v>372</v>
      </c>
      <c r="B351" s="54" t="s">
        <v>373</v>
      </c>
      <c r="C351" s="51" t="s">
        <v>2765</v>
      </c>
      <c r="D351" s="53">
        <v>0</v>
      </c>
      <c r="E351" s="53">
        <v>1</v>
      </c>
      <c r="F351" s="51" t="s">
        <v>2715</v>
      </c>
      <c r="G351" s="51" t="s">
        <v>2695</v>
      </c>
      <c r="H351" s="25" t="str">
        <f t="shared" si="40"/>
        <v>jgd</v>
      </c>
      <c r="I351" t="s">
        <v>30</v>
      </c>
      <c r="J351" t="s">
        <v>374</v>
      </c>
      <c r="K351" t="s">
        <v>375</v>
      </c>
      <c r="L351" s="25">
        <v>46.62568375</v>
      </c>
      <c r="M351" s="25">
        <v>6.8958532259999998</v>
      </c>
      <c r="N351">
        <v>5</v>
      </c>
      <c r="O351">
        <v>18</v>
      </c>
      <c r="P351">
        <v>10</v>
      </c>
      <c r="Q351">
        <v>2014</v>
      </c>
      <c r="R351" s="9">
        <v>41930</v>
      </c>
      <c r="S351">
        <v>320</v>
      </c>
      <c r="T351">
        <v>1</v>
      </c>
      <c r="U351">
        <v>0</v>
      </c>
      <c r="V351">
        <v>0</v>
      </c>
      <c r="W351">
        <v>0</v>
      </c>
      <c r="X351">
        <f t="shared" si="41"/>
        <v>-92.487499999999983</v>
      </c>
      <c r="Y351">
        <v>-23.157</v>
      </c>
      <c r="Z351">
        <v>10.37520372</v>
      </c>
      <c r="AA351" s="3">
        <f t="shared" si="43"/>
        <v>9</v>
      </c>
      <c r="AB351" s="3">
        <f t="shared" si="44"/>
        <v>10</v>
      </c>
      <c r="AD351" s="3" t="s">
        <v>2751</v>
      </c>
      <c r="AE351" s="22">
        <v>-98.21</v>
      </c>
      <c r="AF351" s="22">
        <f t="shared" si="45"/>
        <v>-98.21</v>
      </c>
      <c r="AG351" s="1">
        <v>-121.5</v>
      </c>
      <c r="AH351" s="2" t="s">
        <v>16</v>
      </c>
      <c r="AI351"/>
      <c r="AJ351" s="3">
        <f t="shared" si="46"/>
        <v>10</v>
      </c>
      <c r="AK351" s="3" t="s">
        <v>2709</v>
      </c>
      <c r="AL351">
        <v>10</v>
      </c>
      <c r="AM351" t="s">
        <v>15</v>
      </c>
    </row>
    <row r="352" spans="1:39" hidden="1" x14ac:dyDescent="0.3">
      <c r="A352" s="51" t="s">
        <v>2509</v>
      </c>
      <c r="B352" s="54" t="s">
        <v>1912</v>
      </c>
      <c r="C352" s="51" t="s">
        <v>2765</v>
      </c>
      <c r="D352" s="53">
        <v>0</v>
      </c>
      <c r="E352" s="53">
        <v>1</v>
      </c>
      <c r="F352" s="51" t="s">
        <v>2715</v>
      </c>
      <c r="G352" s="51" t="s">
        <v>2695</v>
      </c>
      <c r="H352" s="25" t="str">
        <f t="shared" si="40"/>
        <v>jgd</v>
      </c>
      <c r="I352" t="s">
        <v>13</v>
      </c>
      <c r="J352" t="s">
        <v>1146</v>
      </c>
      <c r="K352" t="s">
        <v>2510</v>
      </c>
      <c r="L352" s="25">
        <v>47.079612959999999</v>
      </c>
      <c r="M352" s="25">
        <v>6.7492935640000002</v>
      </c>
      <c r="N352">
        <v>5</v>
      </c>
      <c r="O352">
        <v>2</v>
      </c>
      <c r="P352">
        <v>11</v>
      </c>
      <c r="Q352">
        <v>2017</v>
      </c>
      <c r="R352" s="9">
        <v>43041</v>
      </c>
      <c r="S352">
        <v>298</v>
      </c>
      <c r="T352">
        <v>1</v>
      </c>
      <c r="U352">
        <v>0</v>
      </c>
      <c r="V352">
        <v>0</v>
      </c>
      <c r="W352">
        <v>0</v>
      </c>
      <c r="X352" s="57">
        <f t="shared" si="41"/>
        <v>-92.402621374999995</v>
      </c>
      <c r="Y352" t="s">
        <v>16</v>
      </c>
      <c r="Z352">
        <v>5.0406416030000001</v>
      </c>
      <c r="AA352" s="3">
        <f t="shared" si="43"/>
        <v>9</v>
      </c>
      <c r="AB352" s="3">
        <f t="shared" si="44"/>
        <v>5</v>
      </c>
      <c r="AD352" s="3" t="s">
        <v>2750</v>
      </c>
      <c r="AE352" s="22">
        <v>-98.142097100000001</v>
      </c>
      <c r="AF352" s="22">
        <f t="shared" si="45"/>
        <v>-98.142097100000001</v>
      </c>
      <c r="AG352" s="60" t="s">
        <v>16</v>
      </c>
      <c r="AH352" s="61" t="s">
        <v>16</v>
      </c>
      <c r="AJ352" s="3">
        <f t="shared" si="46"/>
        <v>10</v>
      </c>
      <c r="AK352" s="3" t="s">
        <v>2709</v>
      </c>
      <c r="AL352">
        <v>10</v>
      </c>
      <c r="AM352" t="s">
        <v>15</v>
      </c>
    </row>
    <row r="353" spans="1:39" x14ac:dyDescent="0.3">
      <c r="A353" s="51" t="s">
        <v>760</v>
      </c>
      <c r="B353" s="54" t="s">
        <v>761</v>
      </c>
      <c r="C353" s="51" t="s">
        <v>2765</v>
      </c>
      <c r="D353" s="53">
        <v>0</v>
      </c>
      <c r="E353" s="53">
        <v>1</v>
      </c>
      <c r="F353" s="51" t="s">
        <v>2715</v>
      </c>
      <c r="G353" s="51" t="s">
        <v>2695</v>
      </c>
      <c r="H353" s="25" t="str">
        <f t="shared" si="40"/>
        <v>jgd</v>
      </c>
      <c r="I353" t="s">
        <v>72</v>
      </c>
      <c r="J353" t="s">
        <v>113</v>
      </c>
      <c r="K353" t="s">
        <v>732</v>
      </c>
      <c r="L353" s="25">
        <v>46.224248520000003</v>
      </c>
      <c r="M353" s="25">
        <v>8.6833107999999992</v>
      </c>
      <c r="N353">
        <v>6</v>
      </c>
      <c r="O353">
        <v>14</v>
      </c>
      <c r="P353">
        <v>11</v>
      </c>
      <c r="Q353">
        <v>2015</v>
      </c>
      <c r="R353" s="9">
        <v>42322</v>
      </c>
      <c r="S353">
        <v>314</v>
      </c>
      <c r="T353">
        <v>1</v>
      </c>
      <c r="U353">
        <v>0</v>
      </c>
      <c r="V353">
        <v>0</v>
      </c>
      <c r="W353">
        <v>0</v>
      </c>
      <c r="X353">
        <f t="shared" si="41"/>
        <v>-92.337500000000006</v>
      </c>
      <c r="Y353">
        <v>-23.603200000000001</v>
      </c>
      <c r="Z353">
        <v>4.8888735219999999</v>
      </c>
      <c r="AA353" s="3">
        <f t="shared" si="43"/>
        <v>9</v>
      </c>
      <c r="AB353" s="3">
        <f t="shared" si="44"/>
        <v>5</v>
      </c>
      <c r="AD353" s="3" t="s">
        <v>2754</v>
      </c>
      <c r="AE353" s="22">
        <v>-98.09</v>
      </c>
      <c r="AF353" s="22">
        <f t="shared" si="45"/>
        <v>-98.09</v>
      </c>
      <c r="AG353" s="1">
        <v>-121.3</v>
      </c>
      <c r="AH353" s="2" t="s">
        <v>16</v>
      </c>
      <c r="AI353"/>
      <c r="AJ353" s="3">
        <f t="shared" si="46"/>
        <v>10</v>
      </c>
      <c r="AK353" s="3" t="s">
        <v>2709</v>
      </c>
      <c r="AL353">
        <v>10</v>
      </c>
      <c r="AM353" t="s">
        <v>15</v>
      </c>
    </row>
    <row r="354" spans="1:39" hidden="1" x14ac:dyDescent="0.3">
      <c r="A354" s="51" t="s">
        <v>313</v>
      </c>
      <c r="B354" s="54" t="s">
        <v>83</v>
      </c>
      <c r="C354" s="51" t="s">
        <v>2765</v>
      </c>
      <c r="D354" s="53">
        <v>0</v>
      </c>
      <c r="E354" s="53">
        <v>1</v>
      </c>
      <c r="F354" s="51" t="s">
        <v>2715</v>
      </c>
      <c r="G354" s="51" t="s">
        <v>2695</v>
      </c>
      <c r="H354" s="25" t="str">
        <f t="shared" si="40"/>
        <v>jgd</v>
      </c>
      <c r="I354" t="s">
        <v>13</v>
      </c>
      <c r="J354" t="s">
        <v>21</v>
      </c>
      <c r="K354" t="s">
        <v>22</v>
      </c>
      <c r="L354" s="25">
        <v>46.958211990000002</v>
      </c>
      <c r="M354" s="25">
        <v>6.6426036599999998</v>
      </c>
      <c r="N354">
        <v>6</v>
      </c>
      <c r="O354">
        <v>17</v>
      </c>
      <c r="P354">
        <v>10</v>
      </c>
      <c r="Q354">
        <v>2014</v>
      </c>
      <c r="R354" s="9">
        <v>41929</v>
      </c>
      <c r="S354">
        <v>260</v>
      </c>
      <c r="T354">
        <v>1</v>
      </c>
      <c r="U354">
        <v>0</v>
      </c>
      <c r="V354">
        <v>0</v>
      </c>
      <c r="W354">
        <v>0</v>
      </c>
      <c r="X354">
        <f t="shared" si="41"/>
        <v>-92.262499999999989</v>
      </c>
      <c r="Y354">
        <v>-24.592285709999999</v>
      </c>
      <c r="Z354">
        <v>6.8961018080000001</v>
      </c>
      <c r="AA354" s="3">
        <f t="shared" si="43"/>
        <v>9</v>
      </c>
      <c r="AB354" s="3">
        <f t="shared" si="44"/>
        <v>7</v>
      </c>
      <c r="AD354" s="3" t="s">
        <v>2750</v>
      </c>
      <c r="AE354" s="22">
        <v>-98.03</v>
      </c>
      <c r="AF354" s="22">
        <f t="shared" si="45"/>
        <v>-98.03</v>
      </c>
      <c r="AG354" s="1">
        <v>-121.3</v>
      </c>
      <c r="AH354" s="2" t="s">
        <v>16</v>
      </c>
      <c r="AI354"/>
      <c r="AJ354" s="3">
        <f t="shared" si="46"/>
        <v>10</v>
      </c>
      <c r="AK354" s="3" t="s">
        <v>2709</v>
      </c>
      <c r="AL354">
        <v>10</v>
      </c>
      <c r="AM354" t="s">
        <v>15</v>
      </c>
    </row>
    <row r="355" spans="1:39" x14ac:dyDescent="0.3">
      <c r="A355" s="51" t="s">
        <v>1396</v>
      </c>
      <c r="B355" s="54" t="s">
        <v>1397</v>
      </c>
      <c r="C355" s="51" t="s">
        <v>2765</v>
      </c>
      <c r="D355" s="53">
        <v>0</v>
      </c>
      <c r="E355" s="53">
        <v>1</v>
      </c>
      <c r="F355" s="51" t="s">
        <v>2715</v>
      </c>
      <c r="G355" s="51" t="s">
        <v>2695</v>
      </c>
      <c r="H355" s="25" t="str">
        <f t="shared" si="40"/>
        <v>jgd</v>
      </c>
      <c r="I355" t="s">
        <v>72</v>
      </c>
      <c r="J355" t="s">
        <v>213</v>
      </c>
      <c r="K355" t="s">
        <v>1398</v>
      </c>
      <c r="L355" s="25">
        <v>45.952338359999999</v>
      </c>
      <c r="M355" s="25">
        <v>9.0146779489999993</v>
      </c>
      <c r="N355">
        <v>6</v>
      </c>
      <c r="O355">
        <v>28</v>
      </c>
      <c r="P355">
        <v>10</v>
      </c>
      <c r="Q355">
        <v>2015</v>
      </c>
      <c r="R355" s="9">
        <v>42305</v>
      </c>
      <c r="S355">
        <v>340</v>
      </c>
      <c r="T355">
        <v>1</v>
      </c>
      <c r="U355">
        <v>0</v>
      </c>
      <c r="V355">
        <v>0</v>
      </c>
      <c r="W355">
        <v>0</v>
      </c>
      <c r="X355">
        <f t="shared" si="41"/>
        <v>-92.262499999999989</v>
      </c>
      <c r="Y355">
        <v>-24.521578160000001</v>
      </c>
      <c r="Z355">
        <v>6.4250723839999999</v>
      </c>
      <c r="AA355" s="3">
        <f t="shared" si="43"/>
        <v>9</v>
      </c>
      <c r="AB355" s="3">
        <f t="shared" si="44"/>
        <v>6</v>
      </c>
      <c r="AD355" s="3" t="s">
        <v>2754</v>
      </c>
      <c r="AE355" s="22">
        <v>-98.03</v>
      </c>
      <c r="AF355" s="22">
        <f t="shared" si="45"/>
        <v>-98.03</v>
      </c>
      <c r="AG355" s="1">
        <v>-121.3</v>
      </c>
      <c r="AH355" s="2" t="s">
        <v>16</v>
      </c>
      <c r="AI355"/>
      <c r="AJ355" s="3">
        <f t="shared" si="46"/>
        <v>10</v>
      </c>
      <c r="AK355" s="3" t="s">
        <v>2709</v>
      </c>
      <c r="AL355">
        <v>10</v>
      </c>
      <c r="AM355" t="s">
        <v>15</v>
      </c>
    </row>
    <row r="356" spans="1:39" x14ac:dyDescent="0.3">
      <c r="A356" s="51" t="s">
        <v>1642</v>
      </c>
      <c r="B356" s="54" t="s">
        <v>881</v>
      </c>
      <c r="C356" s="51" t="s">
        <v>2765</v>
      </c>
      <c r="D356" s="53">
        <v>0</v>
      </c>
      <c r="E356" s="53">
        <v>1</v>
      </c>
      <c r="F356" s="51" t="s">
        <v>2715</v>
      </c>
      <c r="G356" s="51" t="s">
        <v>2695</v>
      </c>
      <c r="H356" s="25" t="str">
        <f t="shared" si="40"/>
        <v>jgd</v>
      </c>
      <c r="I356" t="s">
        <v>72</v>
      </c>
      <c r="J356" t="s">
        <v>848</v>
      </c>
      <c r="K356" t="s">
        <v>16</v>
      </c>
      <c r="L356" s="25">
        <v>46.175476860000003</v>
      </c>
      <c r="M356" s="25">
        <v>8.6494320099999999</v>
      </c>
      <c r="N356">
        <v>3</v>
      </c>
      <c r="O356">
        <v>25</v>
      </c>
      <c r="P356">
        <v>10</v>
      </c>
      <c r="Q356">
        <v>2016</v>
      </c>
      <c r="R356" s="9">
        <v>42668</v>
      </c>
      <c r="S356">
        <v>280</v>
      </c>
      <c r="T356">
        <v>1</v>
      </c>
      <c r="U356">
        <v>0</v>
      </c>
      <c r="V356">
        <v>0</v>
      </c>
      <c r="W356">
        <v>0</v>
      </c>
      <c r="X356" s="57">
        <f t="shared" si="41"/>
        <v>-92.167338999999998</v>
      </c>
      <c r="Y356">
        <v>-23.29</v>
      </c>
      <c r="Z356">
        <v>6.99</v>
      </c>
      <c r="AA356" s="3">
        <f t="shared" si="43"/>
        <v>9</v>
      </c>
      <c r="AB356" s="3">
        <f t="shared" si="44"/>
        <v>7</v>
      </c>
      <c r="AD356" s="3" t="s">
        <v>2754</v>
      </c>
      <c r="AE356" s="22">
        <v>-97.953871199999995</v>
      </c>
      <c r="AF356" s="22">
        <f t="shared" si="45"/>
        <v>-97.953871199999995</v>
      </c>
      <c r="AG356" s="60" t="s">
        <v>16</v>
      </c>
      <c r="AH356" s="61" t="s">
        <v>16</v>
      </c>
      <c r="AJ356" s="3">
        <f t="shared" si="46"/>
        <v>10</v>
      </c>
      <c r="AK356" s="3" t="s">
        <v>2709</v>
      </c>
      <c r="AL356">
        <v>10</v>
      </c>
      <c r="AM356" t="s">
        <v>15</v>
      </c>
    </row>
    <row r="357" spans="1:39" x14ac:dyDescent="0.3">
      <c r="A357" s="51" t="s">
        <v>1444</v>
      </c>
      <c r="B357" s="54" t="s">
        <v>697</v>
      </c>
      <c r="C357" s="51" t="s">
        <v>2765</v>
      </c>
      <c r="D357" s="53">
        <v>0</v>
      </c>
      <c r="E357" s="53">
        <v>1</v>
      </c>
      <c r="F357" s="51" t="s">
        <v>2715</v>
      </c>
      <c r="G357" s="51" t="s">
        <v>2695</v>
      </c>
      <c r="H357" s="25" t="str">
        <f t="shared" si="40"/>
        <v>jgd</v>
      </c>
      <c r="I357" t="s">
        <v>72</v>
      </c>
      <c r="J357" t="s">
        <v>694</v>
      </c>
      <c r="K357" t="s">
        <v>698</v>
      </c>
      <c r="L357" s="25">
        <v>46.128451750000004</v>
      </c>
      <c r="M357" s="25">
        <v>8.8981264580000001</v>
      </c>
      <c r="N357">
        <v>5</v>
      </c>
      <c r="O357">
        <v>17</v>
      </c>
      <c r="P357">
        <v>11</v>
      </c>
      <c r="Q357">
        <v>2016</v>
      </c>
      <c r="R357" s="9">
        <v>42691</v>
      </c>
      <c r="S357">
        <v>290</v>
      </c>
      <c r="T357">
        <v>1</v>
      </c>
      <c r="U357">
        <v>0</v>
      </c>
      <c r="V357">
        <v>0</v>
      </c>
      <c r="W357">
        <v>0</v>
      </c>
      <c r="X357" s="57">
        <f t="shared" si="41"/>
        <v>-92.162501999999989</v>
      </c>
      <c r="Y357">
        <v>-24.26</v>
      </c>
      <c r="Z357">
        <v>6.28</v>
      </c>
      <c r="AA357" s="3">
        <f t="shared" si="43"/>
        <v>9</v>
      </c>
      <c r="AB357" s="3">
        <f t="shared" si="44"/>
        <v>6</v>
      </c>
      <c r="AD357" s="3" t="s">
        <v>2754</v>
      </c>
      <c r="AE357" s="22">
        <v>-97.950001599999993</v>
      </c>
      <c r="AF357" s="22">
        <f t="shared" si="45"/>
        <v>-97.950001599999993</v>
      </c>
      <c r="AG357" s="60" t="s">
        <v>16</v>
      </c>
      <c r="AH357" s="61" t="s">
        <v>16</v>
      </c>
      <c r="AJ357" s="3">
        <f t="shared" si="46"/>
        <v>10</v>
      </c>
      <c r="AK357" s="3" t="s">
        <v>2709</v>
      </c>
      <c r="AL357">
        <v>10</v>
      </c>
      <c r="AM357" t="s">
        <v>15</v>
      </c>
    </row>
    <row r="358" spans="1:39" x14ac:dyDescent="0.3">
      <c r="A358" s="51" t="s">
        <v>1181</v>
      </c>
      <c r="B358" s="54" t="s">
        <v>1182</v>
      </c>
      <c r="C358" s="51" t="s">
        <v>2765</v>
      </c>
      <c r="D358" s="53">
        <v>0</v>
      </c>
      <c r="E358" s="53">
        <v>1</v>
      </c>
      <c r="F358" s="51" t="s">
        <v>2715</v>
      </c>
      <c r="G358" s="51" t="s">
        <v>2695</v>
      </c>
      <c r="H358" s="25" t="str">
        <f t="shared" si="40"/>
        <v>jgd</v>
      </c>
      <c r="I358" t="s">
        <v>72</v>
      </c>
      <c r="J358" t="s">
        <v>298</v>
      </c>
      <c r="K358" t="s">
        <v>1166</v>
      </c>
      <c r="L358" s="25">
        <v>46.137005670000001</v>
      </c>
      <c r="M358" s="25">
        <v>8.9320050630000001</v>
      </c>
      <c r="N358">
        <v>5</v>
      </c>
      <c r="O358">
        <v>24</v>
      </c>
      <c r="P358">
        <v>10</v>
      </c>
      <c r="Q358">
        <v>2015</v>
      </c>
      <c r="R358" s="9">
        <v>42301</v>
      </c>
      <c r="S358">
        <v>325</v>
      </c>
      <c r="T358">
        <v>1</v>
      </c>
      <c r="U358">
        <v>0</v>
      </c>
      <c r="V358">
        <v>0</v>
      </c>
      <c r="W358">
        <v>0</v>
      </c>
      <c r="X358">
        <f t="shared" si="41"/>
        <v>-91.925000000000011</v>
      </c>
      <c r="Y358">
        <v>-25.09504218</v>
      </c>
      <c r="Z358">
        <v>4.508045869</v>
      </c>
      <c r="AA358" s="3">
        <f t="shared" si="43"/>
        <v>9</v>
      </c>
      <c r="AB358" s="3">
        <f t="shared" si="44"/>
        <v>5</v>
      </c>
      <c r="AD358" s="3" t="s">
        <v>2754</v>
      </c>
      <c r="AE358" s="22">
        <v>-97.76</v>
      </c>
      <c r="AF358" s="22">
        <f t="shared" si="45"/>
        <v>-97.76</v>
      </c>
      <c r="AG358" s="1">
        <v>-121</v>
      </c>
      <c r="AH358" s="2" t="s">
        <v>16</v>
      </c>
      <c r="AI358"/>
      <c r="AJ358" s="3">
        <f t="shared" si="46"/>
        <v>10</v>
      </c>
      <c r="AK358" s="3" t="s">
        <v>2709</v>
      </c>
      <c r="AL358">
        <v>10</v>
      </c>
      <c r="AM358" t="s">
        <v>15</v>
      </c>
    </row>
    <row r="359" spans="1:39" x14ac:dyDescent="0.3">
      <c r="A359" s="51" t="s">
        <v>1331</v>
      </c>
      <c r="B359" s="54" t="s">
        <v>1332</v>
      </c>
      <c r="C359" s="51" t="s">
        <v>2765</v>
      </c>
      <c r="D359" s="53">
        <v>0</v>
      </c>
      <c r="E359" s="53">
        <v>1</v>
      </c>
      <c r="F359" s="51" t="s">
        <v>2715</v>
      </c>
      <c r="G359" s="51" t="s">
        <v>2695</v>
      </c>
      <c r="H359" s="25" t="str">
        <f t="shared" si="40"/>
        <v>jgd</v>
      </c>
      <c r="I359" t="s">
        <v>72</v>
      </c>
      <c r="J359" t="s">
        <v>1310</v>
      </c>
      <c r="K359" t="s">
        <v>1311</v>
      </c>
      <c r="L359" s="25">
        <v>46.206950550000002</v>
      </c>
      <c r="M359" s="25">
        <v>8.6210534899999995</v>
      </c>
      <c r="N359">
        <v>6</v>
      </c>
      <c r="O359">
        <v>7</v>
      </c>
      <c r="P359">
        <v>11</v>
      </c>
      <c r="Q359">
        <v>2015</v>
      </c>
      <c r="R359" s="9">
        <v>42315</v>
      </c>
      <c r="S359">
        <v>344</v>
      </c>
      <c r="T359">
        <v>1</v>
      </c>
      <c r="U359">
        <v>0</v>
      </c>
      <c r="V359">
        <v>0</v>
      </c>
      <c r="W359">
        <v>0</v>
      </c>
      <c r="X359">
        <f t="shared" si="41"/>
        <v>-91.8125</v>
      </c>
      <c r="Y359">
        <v>-24.209399999999999</v>
      </c>
      <c r="Z359">
        <v>6.9293376110000002</v>
      </c>
      <c r="AA359" s="3">
        <f t="shared" si="43"/>
        <v>9</v>
      </c>
      <c r="AB359" s="3">
        <f t="shared" si="44"/>
        <v>7</v>
      </c>
      <c r="AD359" s="3" t="s">
        <v>2754</v>
      </c>
      <c r="AE359" s="22">
        <v>-97.67</v>
      </c>
      <c r="AF359" s="22">
        <f t="shared" si="45"/>
        <v>-97.67</v>
      </c>
      <c r="AG359" s="1">
        <v>-120.9</v>
      </c>
      <c r="AH359" s="2" t="s">
        <v>16</v>
      </c>
      <c r="AI359"/>
      <c r="AJ359" s="3">
        <f t="shared" si="46"/>
        <v>10</v>
      </c>
      <c r="AK359" s="3" t="s">
        <v>2709</v>
      </c>
      <c r="AL359">
        <v>10</v>
      </c>
      <c r="AM359" t="s">
        <v>15</v>
      </c>
    </row>
    <row r="360" spans="1:39" x14ac:dyDescent="0.3">
      <c r="A360" s="51" t="s">
        <v>986</v>
      </c>
      <c r="B360" s="54" t="s">
        <v>183</v>
      </c>
      <c r="C360" s="51" t="s">
        <v>2765</v>
      </c>
      <c r="D360" s="53">
        <v>0</v>
      </c>
      <c r="E360" s="53">
        <v>1</v>
      </c>
      <c r="F360" s="51" t="s">
        <v>2715</v>
      </c>
      <c r="G360" s="51" t="s">
        <v>2695</v>
      </c>
      <c r="H360" s="25" t="str">
        <f t="shared" si="40"/>
        <v>jgd</v>
      </c>
      <c r="I360" t="s">
        <v>72</v>
      </c>
      <c r="J360" t="s">
        <v>984</v>
      </c>
      <c r="K360" t="s">
        <v>987</v>
      </c>
      <c r="L360" s="25">
        <v>46.10662095</v>
      </c>
      <c r="M360" s="25">
        <v>8.9835609250000008</v>
      </c>
      <c r="N360">
        <v>5</v>
      </c>
      <c r="O360">
        <v>24</v>
      </c>
      <c r="P360">
        <v>10</v>
      </c>
      <c r="Q360">
        <v>2015</v>
      </c>
      <c r="R360" s="9">
        <v>42301</v>
      </c>
      <c r="S360">
        <v>272</v>
      </c>
      <c r="T360">
        <v>1</v>
      </c>
      <c r="U360">
        <v>0</v>
      </c>
      <c r="V360">
        <v>0</v>
      </c>
      <c r="W360">
        <v>0</v>
      </c>
      <c r="X360">
        <f t="shared" si="41"/>
        <v>-91.799999999999983</v>
      </c>
      <c r="Y360">
        <v>-24.95050041</v>
      </c>
      <c r="Z360">
        <v>4.8291091240000004</v>
      </c>
      <c r="AA360" s="3">
        <f t="shared" si="43"/>
        <v>9</v>
      </c>
      <c r="AB360" s="3">
        <f t="shared" si="44"/>
        <v>5</v>
      </c>
      <c r="AD360" s="3" t="s">
        <v>2754</v>
      </c>
      <c r="AE360" s="22">
        <v>-97.66</v>
      </c>
      <c r="AF360" s="22">
        <f t="shared" si="45"/>
        <v>-97.66</v>
      </c>
      <c r="AG360" s="1">
        <v>-120.9</v>
      </c>
      <c r="AH360" s="2" t="s">
        <v>16</v>
      </c>
      <c r="AI360"/>
      <c r="AJ360" s="3">
        <f t="shared" si="46"/>
        <v>10</v>
      </c>
      <c r="AK360" s="3" t="s">
        <v>2709</v>
      </c>
      <c r="AL360">
        <v>10</v>
      </c>
      <c r="AM360" t="s">
        <v>15</v>
      </c>
    </row>
    <row r="361" spans="1:39" hidden="1" x14ac:dyDescent="0.3">
      <c r="A361" s="51" t="s">
        <v>2017</v>
      </c>
      <c r="B361" s="54" t="s">
        <v>2018</v>
      </c>
      <c r="C361" s="51" t="s">
        <v>2765</v>
      </c>
      <c r="D361" s="53">
        <v>0</v>
      </c>
      <c r="E361" s="53">
        <v>1</v>
      </c>
      <c r="F361" s="51" t="s">
        <v>2715</v>
      </c>
      <c r="G361" s="51" t="s">
        <v>2695</v>
      </c>
      <c r="H361" s="25" t="str">
        <f t="shared" si="40"/>
        <v>jgd</v>
      </c>
      <c r="I361" t="s">
        <v>30</v>
      </c>
      <c r="J361" t="s">
        <v>264</v>
      </c>
      <c r="K361" t="s">
        <v>265</v>
      </c>
      <c r="L361" s="25">
        <v>46.806501410000003</v>
      </c>
      <c r="M361" s="25">
        <v>7.0490565910000003</v>
      </c>
      <c r="N361">
        <v>5</v>
      </c>
      <c r="O361">
        <v>2</v>
      </c>
      <c r="P361">
        <v>11</v>
      </c>
      <c r="Q361">
        <v>2016</v>
      </c>
      <c r="R361" s="9">
        <v>42676</v>
      </c>
      <c r="S361">
        <v>292</v>
      </c>
      <c r="T361">
        <v>1</v>
      </c>
      <c r="U361">
        <v>0</v>
      </c>
      <c r="V361">
        <v>0</v>
      </c>
      <c r="W361">
        <v>0</v>
      </c>
      <c r="X361" s="57">
        <f t="shared" si="41"/>
        <v>-91.723931499999992</v>
      </c>
      <c r="Y361">
        <v>-24.29</v>
      </c>
      <c r="Z361">
        <v>5.49</v>
      </c>
      <c r="AA361" s="3">
        <f t="shared" si="43"/>
        <v>9</v>
      </c>
      <c r="AB361" s="3">
        <f t="shared" si="44"/>
        <v>5</v>
      </c>
      <c r="AD361" s="3" t="s">
        <v>2751</v>
      </c>
      <c r="AE361" s="22">
        <v>-97.599145199999995</v>
      </c>
      <c r="AF361" s="22">
        <f t="shared" si="45"/>
        <v>-97.599145199999995</v>
      </c>
      <c r="AG361" s="60" t="s">
        <v>16</v>
      </c>
      <c r="AH361" s="61" t="s">
        <v>16</v>
      </c>
      <c r="AJ361" s="3">
        <f t="shared" si="46"/>
        <v>10</v>
      </c>
      <c r="AK361" s="3" t="s">
        <v>2709</v>
      </c>
      <c r="AL361">
        <v>10</v>
      </c>
      <c r="AM361" t="s">
        <v>15</v>
      </c>
    </row>
    <row r="362" spans="1:39" hidden="1" x14ac:dyDescent="0.3">
      <c r="A362" s="51" t="s">
        <v>2590</v>
      </c>
      <c r="B362" s="54" t="s">
        <v>285</v>
      </c>
      <c r="C362" s="51" t="s">
        <v>2765</v>
      </c>
      <c r="D362" s="53">
        <v>0</v>
      </c>
      <c r="E362" s="53">
        <v>1</v>
      </c>
      <c r="F362" s="51" t="s">
        <v>2715</v>
      </c>
      <c r="G362" s="51" t="s">
        <v>2695</v>
      </c>
      <c r="H362" s="25" t="str">
        <f t="shared" si="40"/>
        <v>jgd</v>
      </c>
      <c r="I362" t="s">
        <v>30</v>
      </c>
      <c r="J362" t="s">
        <v>2591</v>
      </c>
      <c r="K362" t="s">
        <v>16</v>
      </c>
      <c r="L362" s="25">
        <v>46.661484000000002</v>
      </c>
      <c r="M362" s="25">
        <v>6.9783799999999996</v>
      </c>
      <c r="N362">
        <v>5</v>
      </c>
      <c r="O362">
        <v>9</v>
      </c>
      <c r="P362">
        <v>11</v>
      </c>
      <c r="Q362">
        <v>2017</v>
      </c>
      <c r="R362" s="9">
        <v>43048</v>
      </c>
      <c r="S362">
        <v>327</v>
      </c>
      <c r="T362">
        <v>1</v>
      </c>
      <c r="U362">
        <v>0</v>
      </c>
      <c r="V362">
        <v>0</v>
      </c>
      <c r="W362">
        <v>0</v>
      </c>
      <c r="X362" s="57">
        <f t="shared" si="41"/>
        <v>-91.631306999999993</v>
      </c>
      <c r="Y362" t="s">
        <v>16</v>
      </c>
      <c r="Z362">
        <v>5.9642307929999996</v>
      </c>
      <c r="AA362" s="3">
        <f t="shared" si="43"/>
        <v>9</v>
      </c>
      <c r="AB362" s="3">
        <f t="shared" si="44"/>
        <v>6</v>
      </c>
      <c r="AD362" s="3" t="s">
        <v>2751</v>
      </c>
      <c r="AE362" s="22">
        <v>-97.525045599999999</v>
      </c>
      <c r="AF362" s="22">
        <f t="shared" si="45"/>
        <v>-97.525045599999999</v>
      </c>
      <c r="AG362" s="60" t="s">
        <v>16</v>
      </c>
      <c r="AH362" s="61" t="s">
        <v>16</v>
      </c>
      <c r="AJ362" s="3">
        <f t="shared" si="46"/>
        <v>10</v>
      </c>
      <c r="AK362" s="3" t="s">
        <v>2709</v>
      </c>
      <c r="AL362">
        <v>10</v>
      </c>
      <c r="AM362" t="s">
        <v>15</v>
      </c>
    </row>
    <row r="363" spans="1:39" hidden="1" x14ac:dyDescent="0.3">
      <c r="A363" s="51" t="s">
        <v>1402</v>
      </c>
      <c r="B363" s="54" t="s">
        <v>1403</v>
      </c>
      <c r="C363" s="51" t="s">
        <v>2765</v>
      </c>
      <c r="D363" s="53">
        <v>0</v>
      </c>
      <c r="E363" s="53">
        <v>1</v>
      </c>
      <c r="F363" s="51" t="s">
        <v>2715</v>
      </c>
      <c r="G363" s="51" t="s">
        <v>2695</v>
      </c>
      <c r="H363" s="25" t="str">
        <f t="shared" si="40"/>
        <v>jgd</v>
      </c>
      <c r="I363" t="s">
        <v>385</v>
      </c>
      <c r="J363" t="s">
        <v>899</v>
      </c>
      <c r="K363" t="s">
        <v>1404</v>
      </c>
      <c r="L363" s="25">
        <v>46.654508139999997</v>
      </c>
      <c r="M363" s="25">
        <v>6.3771575370000004</v>
      </c>
      <c r="N363">
        <v>6</v>
      </c>
      <c r="O363">
        <v>13</v>
      </c>
      <c r="P363">
        <v>11</v>
      </c>
      <c r="Q363">
        <v>2015</v>
      </c>
      <c r="R363" s="9">
        <v>42321</v>
      </c>
      <c r="S363">
        <v>325</v>
      </c>
      <c r="T363">
        <v>1</v>
      </c>
      <c r="U363">
        <v>0</v>
      </c>
      <c r="V363">
        <v>0</v>
      </c>
      <c r="W363">
        <v>0</v>
      </c>
      <c r="X363">
        <f t="shared" si="41"/>
        <v>-91.35</v>
      </c>
      <c r="Y363">
        <v>-25.111999999999998</v>
      </c>
      <c r="Z363">
        <v>4.6857405649999997</v>
      </c>
      <c r="AA363" s="3">
        <f t="shared" si="43"/>
        <v>9</v>
      </c>
      <c r="AB363" s="3">
        <f t="shared" si="44"/>
        <v>5</v>
      </c>
      <c r="AD363" s="3" t="s">
        <v>2750</v>
      </c>
      <c r="AE363" s="22">
        <v>-97.3</v>
      </c>
      <c r="AF363" s="22">
        <f t="shared" si="45"/>
        <v>-97.3</v>
      </c>
      <c r="AG363" s="1">
        <v>-120.5</v>
      </c>
      <c r="AH363" s="2" t="s">
        <v>16</v>
      </c>
      <c r="AI363"/>
      <c r="AJ363" s="3">
        <f t="shared" si="46"/>
        <v>10</v>
      </c>
      <c r="AK363" s="3" t="s">
        <v>2709</v>
      </c>
      <c r="AL363">
        <v>10</v>
      </c>
      <c r="AM363" t="s">
        <v>15</v>
      </c>
    </row>
    <row r="364" spans="1:39" hidden="1" x14ac:dyDescent="0.3">
      <c r="A364" s="51" t="s">
        <v>1064</v>
      </c>
      <c r="B364" s="54" t="s">
        <v>1065</v>
      </c>
      <c r="C364" s="51" t="s">
        <v>2765</v>
      </c>
      <c r="D364" s="53">
        <v>0</v>
      </c>
      <c r="E364" s="53">
        <v>1</v>
      </c>
      <c r="F364" s="51" t="s">
        <v>2715</v>
      </c>
      <c r="G364" s="51" t="s">
        <v>2695</v>
      </c>
      <c r="H364" s="25" t="str">
        <f t="shared" si="40"/>
        <v>jgd</v>
      </c>
      <c r="I364" t="s">
        <v>13</v>
      </c>
      <c r="J364" t="s">
        <v>66</v>
      </c>
      <c r="K364" t="s">
        <v>1066</v>
      </c>
      <c r="L364" s="25">
        <v>47.006095510000002</v>
      </c>
      <c r="M364" s="25">
        <v>6.8090969379999997</v>
      </c>
      <c r="N364">
        <v>6</v>
      </c>
      <c r="O364">
        <v>20</v>
      </c>
      <c r="P364">
        <v>11</v>
      </c>
      <c r="Q364">
        <v>2015</v>
      </c>
      <c r="R364" s="9">
        <v>42328</v>
      </c>
      <c r="S364">
        <v>332</v>
      </c>
      <c r="T364">
        <v>1</v>
      </c>
      <c r="U364">
        <v>0</v>
      </c>
      <c r="V364">
        <v>0</v>
      </c>
      <c r="W364">
        <v>0</v>
      </c>
      <c r="X364">
        <f t="shared" si="41"/>
        <v>-90.85</v>
      </c>
      <c r="Y364">
        <v>-25.731906120000001</v>
      </c>
      <c r="Z364">
        <v>5.2616707260000002</v>
      </c>
      <c r="AA364" s="3">
        <f t="shared" si="43"/>
        <v>9</v>
      </c>
      <c r="AB364" s="3">
        <f t="shared" si="44"/>
        <v>5</v>
      </c>
      <c r="AD364" s="3" t="s">
        <v>2750</v>
      </c>
      <c r="AE364" s="22">
        <v>-96.9</v>
      </c>
      <c r="AF364" s="22">
        <f t="shared" si="45"/>
        <v>-96.9</v>
      </c>
      <c r="AG364" s="1">
        <v>-120.1</v>
      </c>
      <c r="AH364" s="2" t="s">
        <v>16</v>
      </c>
      <c r="AI364"/>
      <c r="AJ364" s="3">
        <f t="shared" si="46"/>
        <v>10</v>
      </c>
      <c r="AK364" s="3" t="s">
        <v>2709</v>
      </c>
      <c r="AL364">
        <v>10</v>
      </c>
      <c r="AM364" t="s">
        <v>15</v>
      </c>
    </row>
    <row r="365" spans="1:39" x14ac:dyDescent="0.3">
      <c r="A365" s="51" t="s">
        <v>968</v>
      </c>
      <c r="B365" s="54" t="s">
        <v>164</v>
      </c>
      <c r="C365" s="51" t="s">
        <v>2765</v>
      </c>
      <c r="D365" s="53">
        <v>0</v>
      </c>
      <c r="E365" s="53">
        <v>1</v>
      </c>
      <c r="F365" s="51" t="s">
        <v>2715</v>
      </c>
      <c r="G365" s="51" t="s">
        <v>2695</v>
      </c>
      <c r="H365" s="25" t="str">
        <f t="shared" si="40"/>
        <v>jgd</v>
      </c>
      <c r="I365" t="s">
        <v>72</v>
      </c>
      <c r="J365" t="s">
        <v>958</v>
      </c>
      <c r="K365" t="s">
        <v>969</v>
      </c>
      <c r="L365" s="25">
        <v>46.113286799999997</v>
      </c>
      <c r="M365" s="25">
        <v>8.8162214859999999</v>
      </c>
      <c r="N365">
        <v>5</v>
      </c>
      <c r="O365">
        <v>31</v>
      </c>
      <c r="P365">
        <v>10</v>
      </c>
      <c r="Q365">
        <v>2015</v>
      </c>
      <c r="R365" s="9">
        <v>42308</v>
      </c>
      <c r="S365">
        <v>304</v>
      </c>
      <c r="T365">
        <v>1</v>
      </c>
      <c r="U365">
        <v>0</v>
      </c>
      <c r="V365">
        <v>0</v>
      </c>
      <c r="W365">
        <v>0</v>
      </c>
      <c r="X365">
        <f t="shared" si="41"/>
        <v>-90.712500000000006</v>
      </c>
      <c r="Y365">
        <v>-24.931799999999999</v>
      </c>
      <c r="Z365">
        <v>8.0899080800000007</v>
      </c>
      <c r="AA365" s="3">
        <f t="shared" si="43"/>
        <v>9</v>
      </c>
      <c r="AB365" s="3">
        <f t="shared" si="44"/>
        <v>8</v>
      </c>
      <c r="AD365" s="3" t="s">
        <v>2754</v>
      </c>
      <c r="AE365" s="22">
        <v>-96.79</v>
      </c>
      <c r="AF365" s="22">
        <f t="shared" si="45"/>
        <v>-96.79</v>
      </c>
      <c r="AG365" s="1">
        <v>-120</v>
      </c>
      <c r="AH365" s="2" t="s">
        <v>16</v>
      </c>
      <c r="AI365"/>
      <c r="AJ365" s="3">
        <f t="shared" si="46"/>
        <v>10</v>
      </c>
      <c r="AK365" s="3" t="s">
        <v>2709</v>
      </c>
      <c r="AL365">
        <v>10</v>
      </c>
      <c r="AM365" t="s">
        <v>15</v>
      </c>
    </row>
    <row r="366" spans="1:39" x14ac:dyDescent="0.3">
      <c r="A366" s="51" t="s">
        <v>1538</v>
      </c>
      <c r="B366" s="54" t="s">
        <v>1539</v>
      </c>
      <c r="C366" s="51" t="s">
        <v>2765</v>
      </c>
      <c r="D366" s="53">
        <v>0</v>
      </c>
      <c r="E366" s="53">
        <v>1</v>
      </c>
      <c r="F366" s="51" t="s">
        <v>2715</v>
      </c>
      <c r="G366" s="51" t="s">
        <v>2695</v>
      </c>
      <c r="H366" s="25" t="str">
        <f t="shared" si="40"/>
        <v>jgd</v>
      </c>
      <c r="I366" t="s">
        <v>72</v>
      </c>
      <c r="J366" t="s">
        <v>130</v>
      </c>
      <c r="K366" t="s">
        <v>16</v>
      </c>
      <c r="L366" s="25">
        <v>46.236471520000002</v>
      </c>
      <c r="M366" s="25">
        <v>8.6828122850000007</v>
      </c>
      <c r="N366">
        <v>5</v>
      </c>
      <c r="O366">
        <v>1</v>
      </c>
      <c r="P366">
        <v>11</v>
      </c>
      <c r="Q366">
        <v>2016</v>
      </c>
      <c r="R366" s="9">
        <v>42675</v>
      </c>
      <c r="S366">
        <v>297</v>
      </c>
      <c r="T366">
        <v>1</v>
      </c>
      <c r="U366">
        <v>0</v>
      </c>
      <c r="V366">
        <v>0</v>
      </c>
      <c r="W366">
        <v>0</v>
      </c>
      <c r="X366" s="57">
        <f t="shared" si="41"/>
        <v>-90.22417762500001</v>
      </c>
      <c r="Y366">
        <v>-24.3</v>
      </c>
      <c r="Z366">
        <v>4.05</v>
      </c>
      <c r="AA366" s="3">
        <f t="shared" si="43"/>
        <v>9</v>
      </c>
      <c r="AB366" s="3">
        <f t="shared" si="44"/>
        <v>4</v>
      </c>
      <c r="AD366" s="3" t="s">
        <v>2754</v>
      </c>
      <c r="AE366" s="22">
        <v>-96.399342099999998</v>
      </c>
      <c r="AF366" s="22">
        <f t="shared" si="45"/>
        <v>-96.399342099999998</v>
      </c>
      <c r="AG366" s="60" t="s">
        <v>16</v>
      </c>
      <c r="AH366" s="61" t="s">
        <v>16</v>
      </c>
      <c r="AJ366" s="3">
        <f t="shared" si="46"/>
        <v>10</v>
      </c>
      <c r="AK366" s="3" t="s">
        <v>2709</v>
      </c>
      <c r="AL366">
        <v>10</v>
      </c>
      <c r="AM366" t="s">
        <v>15</v>
      </c>
    </row>
    <row r="367" spans="1:39" hidden="1" x14ac:dyDescent="0.3">
      <c r="A367" s="51" t="s">
        <v>2115</v>
      </c>
      <c r="B367" s="54" t="s">
        <v>832</v>
      </c>
      <c r="C367" s="51" t="s">
        <v>2765</v>
      </c>
      <c r="D367" s="53">
        <v>0</v>
      </c>
      <c r="E367" s="53">
        <v>1</v>
      </c>
      <c r="F367" s="51" t="s">
        <v>2715</v>
      </c>
      <c r="G367" s="51" t="s">
        <v>2695</v>
      </c>
      <c r="H367" s="25" t="str">
        <f t="shared" si="40"/>
        <v>jgd</v>
      </c>
      <c r="I367" t="s">
        <v>30</v>
      </c>
      <c r="J367" t="s">
        <v>2113</v>
      </c>
      <c r="K367" t="s">
        <v>2114</v>
      </c>
      <c r="L367" s="25">
        <v>46.759383890000002</v>
      </c>
      <c r="M367" s="25">
        <v>7.2705826360000003</v>
      </c>
      <c r="N367">
        <v>5</v>
      </c>
      <c r="O367">
        <v>9</v>
      </c>
      <c r="P367">
        <v>11</v>
      </c>
      <c r="Q367">
        <v>2017</v>
      </c>
      <c r="R367" s="9">
        <v>43048</v>
      </c>
      <c r="S367">
        <v>332</v>
      </c>
      <c r="T367">
        <v>1</v>
      </c>
      <c r="U367">
        <v>0</v>
      </c>
      <c r="V367">
        <v>0</v>
      </c>
      <c r="W367">
        <v>0</v>
      </c>
      <c r="X367" s="57">
        <f t="shared" si="41"/>
        <v>-90.206783000000001</v>
      </c>
      <c r="Y367" t="s">
        <v>16</v>
      </c>
      <c r="Z367">
        <v>7.5123970419999999</v>
      </c>
      <c r="AA367" s="3">
        <f t="shared" si="43"/>
        <v>9</v>
      </c>
      <c r="AB367" s="3">
        <f t="shared" si="44"/>
        <v>8</v>
      </c>
      <c r="AD367" s="3" t="s">
        <v>2751</v>
      </c>
      <c r="AE367" s="22">
        <v>-96.3854264</v>
      </c>
      <c r="AF367" s="22">
        <f t="shared" si="45"/>
        <v>-96.3854264</v>
      </c>
      <c r="AG367" s="60" t="s">
        <v>16</v>
      </c>
      <c r="AH367" s="61" t="s">
        <v>16</v>
      </c>
      <c r="AJ367" s="3">
        <f t="shared" si="46"/>
        <v>10</v>
      </c>
      <c r="AK367" s="3" t="s">
        <v>2709</v>
      </c>
      <c r="AL367">
        <v>10</v>
      </c>
      <c r="AM367" t="s">
        <v>15</v>
      </c>
    </row>
    <row r="368" spans="1:39" hidden="1" x14ac:dyDescent="0.3">
      <c r="A368" s="51" t="s">
        <v>90</v>
      </c>
      <c r="B368" s="54" t="s">
        <v>23</v>
      </c>
      <c r="C368" s="51" t="s">
        <v>2765</v>
      </c>
      <c r="D368" s="53">
        <v>0</v>
      </c>
      <c r="E368" s="53">
        <v>1</v>
      </c>
      <c r="F368" s="51" t="s">
        <v>2715</v>
      </c>
      <c r="G368" s="51" t="s">
        <v>2695</v>
      </c>
      <c r="H368" s="25" t="str">
        <f t="shared" si="40"/>
        <v>jgd</v>
      </c>
      <c r="I368" t="s">
        <v>13</v>
      </c>
      <c r="J368" t="s">
        <v>84</v>
      </c>
      <c r="K368" t="s">
        <v>91</v>
      </c>
      <c r="L368" s="25">
        <v>46.935988049999999</v>
      </c>
      <c r="M368" s="25">
        <v>6.544407863</v>
      </c>
      <c r="N368">
        <v>5</v>
      </c>
      <c r="O368">
        <v>9</v>
      </c>
      <c r="P368">
        <v>11</v>
      </c>
      <c r="Q368">
        <v>2013</v>
      </c>
      <c r="R368" s="9">
        <v>41587</v>
      </c>
      <c r="S368">
        <v>300</v>
      </c>
      <c r="T368">
        <v>1</v>
      </c>
      <c r="U368">
        <v>0</v>
      </c>
      <c r="V368">
        <v>0</v>
      </c>
      <c r="W368">
        <v>0</v>
      </c>
      <c r="X368">
        <f t="shared" si="41"/>
        <v>-90.1875</v>
      </c>
      <c r="Y368">
        <v>-14.17077205</v>
      </c>
      <c r="Z368">
        <v>6.0764559</v>
      </c>
      <c r="AA368" s="3">
        <f t="shared" si="43"/>
        <v>9</v>
      </c>
      <c r="AB368" s="3">
        <f t="shared" si="44"/>
        <v>6</v>
      </c>
      <c r="AD368" s="3" t="s">
        <v>2750</v>
      </c>
      <c r="AE368" s="22">
        <v>-96.37</v>
      </c>
      <c r="AF368" s="22">
        <f t="shared" si="45"/>
        <v>-96.37</v>
      </c>
      <c r="AG368" s="1">
        <v>-119.6</v>
      </c>
      <c r="AH368" s="2" t="s">
        <v>16</v>
      </c>
      <c r="AI368"/>
      <c r="AJ368" s="3">
        <f t="shared" si="46"/>
        <v>10</v>
      </c>
      <c r="AK368" s="3" t="s">
        <v>2709</v>
      </c>
      <c r="AL368">
        <v>10</v>
      </c>
      <c r="AM368" t="s">
        <v>15</v>
      </c>
    </row>
    <row r="369" spans="1:39" x14ac:dyDescent="0.3">
      <c r="A369" s="51" t="s">
        <v>939</v>
      </c>
      <c r="B369" s="54" t="s">
        <v>940</v>
      </c>
      <c r="C369" s="51" t="s">
        <v>2765</v>
      </c>
      <c r="D369" s="53">
        <v>0</v>
      </c>
      <c r="E369" s="53">
        <v>1</v>
      </c>
      <c r="F369" s="51" t="s">
        <v>2715</v>
      </c>
      <c r="G369" s="51" t="s">
        <v>2695</v>
      </c>
      <c r="H369" s="25" t="str">
        <f t="shared" si="40"/>
        <v>jgd</v>
      </c>
      <c r="I369" t="s">
        <v>72</v>
      </c>
      <c r="J369" t="s">
        <v>931</v>
      </c>
      <c r="K369" t="s">
        <v>941</v>
      </c>
      <c r="L369" s="25">
        <v>46.03138526</v>
      </c>
      <c r="M369" s="25">
        <v>8.8613818030000004</v>
      </c>
      <c r="N369">
        <v>5</v>
      </c>
      <c r="O369">
        <v>28</v>
      </c>
      <c r="P369">
        <v>10</v>
      </c>
      <c r="Q369">
        <v>2015</v>
      </c>
      <c r="R369" s="9">
        <v>42305</v>
      </c>
      <c r="S369">
        <v>290</v>
      </c>
      <c r="T369">
        <v>1</v>
      </c>
      <c r="U369">
        <v>0</v>
      </c>
      <c r="V369">
        <v>0</v>
      </c>
      <c r="W369">
        <v>0</v>
      </c>
      <c r="X369">
        <f t="shared" si="41"/>
        <v>-90.025000000000006</v>
      </c>
      <c r="Y369">
        <v>-25.1282</v>
      </c>
      <c r="Z369">
        <v>5.6488654199999999</v>
      </c>
      <c r="AA369" s="3">
        <f t="shared" si="43"/>
        <v>9</v>
      </c>
      <c r="AB369" s="3">
        <f t="shared" si="44"/>
        <v>6</v>
      </c>
      <c r="AD369" s="3" t="s">
        <v>2754</v>
      </c>
      <c r="AE369" s="22">
        <v>-96.24</v>
      </c>
      <c r="AF369" s="22">
        <f t="shared" si="45"/>
        <v>-96.24</v>
      </c>
      <c r="AG369" s="1">
        <v>-119.4</v>
      </c>
      <c r="AH369" s="2" t="s">
        <v>16</v>
      </c>
      <c r="AI369"/>
      <c r="AJ369" s="3">
        <f t="shared" si="46"/>
        <v>10</v>
      </c>
      <c r="AK369" s="3" t="s">
        <v>2709</v>
      </c>
      <c r="AL369">
        <v>10</v>
      </c>
      <c r="AM369" t="s">
        <v>15</v>
      </c>
    </row>
    <row r="370" spans="1:39" x14ac:dyDescent="0.3">
      <c r="A370" s="51" t="s">
        <v>1965</v>
      </c>
      <c r="B370" s="54" t="s">
        <v>1966</v>
      </c>
      <c r="C370" s="51" t="s">
        <v>2765</v>
      </c>
      <c r="D370" s="53">
        <v>0</v>
      </c>
      <c r="E370" s="53">
        <v>1</v>
      </c>
      <c r="F370" s="51" t="s">
        <v>2715</v>
      </c>
      <c r="G370" s="51" t="s">
        <v>2695</v>
      </c>
      <c r="H370" s="25" t="str">
        <f t="shared" si="40"/>
        <v>jgd</v>
      </c>
      <c r="I370" t="s">
        <v>72</v>
      </c>
      <c r="J370" t="s">
        <v>1963</v>
      </c>
      <c r="K370" t="s">
        <v>1190</v>
      </c>
      <c r="L370" s="25">
        <v>46.036246939999998</v>
      </c>
      <c r="M370" s="25">
        <v>9.0081579059999992</v>
      </c>
      <c r="N370">
        <v>5</v>
      </c>
      <c r="O370">
        <v>29</v>
      </c>
      <c r="P370">
        <v>10</v>
      </c>
      <c r="Q370">
        <v>2016</v>
      </c>
      <c r="R370" s="9">
        <v>42672</v>
      </c>
      <c r="S370">
        <v>335</v>
      </c>
      <c r="T370">
        <v>1</v>
      </c>
      <c r="U370">
        <v>0</v>
      </c>
      <c r="V370">
        <v>0</v>
      </c>
      <c r="W370">
        <v>0</v>
      </c>
      <c r="X370" s="57">
        <f t="shared" si="41"/>
        <v>-89.909070374999999</v>
      </c>
      <c r="Y370">
        <v>-24.46</v>
      </c>
      <c r="Z370">
        <v>4.8600000000000003</v>
      </c>
      <c r="AA370" s="3">
        <f t="shared" si="43"/>
        <v>9</v>
      </c>
      <c r="AB370" s="3">
        <f t="shared" si="44"/>
        <v>5</v>
      </c>
      <c r="AD370" s="3" t="s">
        <v>2754</v>
      </c>
      <c r="AE370" s="22">
        <v>-96.147256299999995</v>
      </c>
      <c r="AF370" s="22">
        <f t="shared" si="45"/>
        <v>-96.147256299999995</v>
      </c>
      <c r="AG370" s="60" t="s">
        <v>16</v>
      </c>
      <c r="AH370" s="61" t="s">
        <v>16</v>
      </c>
      <c r="AJ370" s="3">
        <f t="shared" si="46"/>
        <v>10</v>
      </c>
      <c r="AK370" s="3" t="s">
        <v>2709</v>
      </c>
      <c r="AL370">
        <v>10</v>
      </c>
      <c r="AM370" t="s">
        <v>15</v>
      </c>
    </row>
    <row r="371" spans="1:39" hidden="1" x14ac:dyDescent="0.3">
      <c r="A371" s="51" t="s">
        <v>2451</v>
      </c>
      <c r="B371" s="54" t="s">
        <v>1074</v>
      </c>
      <c r="C371" s="51" t="s">
        <v>2765</v>
      </c>
      <c r="D371" s="53">
        <v>0</v>
      </c>
      <c r="E371" s="53">
        <v>1</v>
      </c>
      <c r="F371" s="51" t="s">
        <v>2715</v>
      </c>
      <c r="G371" s="51" t="s">
        <v>2695</v>
      </c>
      <c r="H371" s="25" t="str">
        <f t="shared" si="40"/>
        <v>jgd</v>
      </c>
      <c r="I371" t="s">
        <v>13</v>
      </c>
      <c r="J371" t="s">
        <v>1146</v>
      </c>
      <c r="K371" t="s">
        <v>22</v>
      </c>
      <c r="L371" s="25">
        <v>46.968594379999999</v>
      </c>
      <c r="M371" s="25">
        <v>6.6480084689999996</v>
      </c>
      <c r="N371">
        <v>6</v>
      </c>
      <c r="O371">
        <v>21</v>
      </c>
      <c r="P371">
        <v>10</v>
      </c>
      <c r="Q371">
        <v>2017</v>
      </c>
      <c r="R371" s="9">
        <v>43029</v>
      </c>
      <c r="S371">
        <v>277</v>
      </c>
      <c r="T371">
        <v>1</v>
      </c>
      <c r="U371">
        <v>0</v>
      </c>
      <c r="V371">
        <v>0</v>
      </c>
      <c r="W371">
        <v>0</v>
      </c>
      <c r="X371" s="57">
        <f t="shared" si="41"/>
        <v>-89.758787000000012</v>
      </c>
      <c r="Y371" t="s">
        <v>16</v>
      </c>
      <c r="Z371">
        <v>5.1625018530000002</v>
      </c>
      <c r="AA371" s="3">
        <f t="shared" si="43"/>
        <v>9</v>
      </c>
      <c r="AB371" s="3">
        <f t="shared" si="44"/>
        <v>5</v>
      </c>
      <c r="AD371" s="3" t="s">
        <v>2750</v>
      </c>
      <c r="AE371" s="22">
        <v>-96.027029600000006</v>
      </c>
      <c r="AF371" s="22">
        <f t="shared" si="45"/>
        <v>-96.027029600000006</v>
      </c>
      <c r="AG371" s="60" t="s">
        <v>16</v>
      </c>
      <c r="AH371" s="61" t="s">
        <v>16</v>
      </c>
      <c r="AJ371" s="3">
        <f t="shared" si="46"/>
        <v>10</v>
      </c>
      <c r="AK371" s="3" t="s">
        <v>2709</v>
      </c>
      <c r="AL371">
        <v>10</v>
      </c>
      <c r="AM371" t="s">
        <v>15</v>
      </c>
    </row>
    <row r="372" spans="1:39" x14ac:dyDescent="0.3">
      <c r="A372" s="51" t="s">
        <v>798</v>
      </c>
      <c r="B372" s="54" t="s">
        <v>799</v>
      </c>
      <c r="C372" s="51" t="s">
        <v>2765</v>
      </c>
      <c r="D372" s="53">
        <v>0</v>
      </c>
      <c r="E372" s="53">
        <v>1</v>
      </c>
      <c r="F372" s="51" t="s">
        <v>2715</v>
      </c>
      <c r="G372" s="51" t="s">
        <v>2695</v>
      </c>
      <c r="H372" s="25" t="str">
        <f t="shared" si="40"/>
        <v>jgd</v>
      </c>
      <c r="I372" t="s">
        <v>72</v>
      </c>
      <c r="J372" t="s">
        <v>800</v>
      </c>
      <c r="K372" t="s">
        <v>801</v>
      </c>
      <c r="L372" s="25">
        <v>46.057474919999997</v>
      </c>
      <c r="M372" s="25">
        <v>8.8904147949999999</v>
      </c>
      <c r="N372">
        <v>5</v>
      </c>
      <c r="O372">
        <v>16</v>
      </c>
      <c r="P372">
        <v>10</v>
      </c>
      <c r="Q372">
        <v>2015</v>
      </c>
      <c r="R372" s="9">
        <v>42293</v>
      </c>
      <c r="S372">
        <v>320</v>
      </c>
      <c r="T372">
        <v>1</v>
      </c>
      <c r="U372">
        <v>0</v>
      </c>
      <c r="V372">
        <v>0</v>
      </c>
      <c r="W372">
        <v>0</v>
      </c>
      <c r="X372">
        <f t="shared" si="41"/>
        <v>-89.65</v>
      </c>
      <c r="Y372">
        <v>-24.8504</v>
      </c>
      <c r="Z372">
        <v>6.6183760769999997</v>
      </c>
      <c r="AA372" s="3">
        <f t="shared" si="43"/>
        <v>9</v>
      </c>
      <c r="AB372" s="3">
        <f t="shared" si="44"/>
        <v>7</v>
      </c>
      <c r="AD372" s="3" t="s">
        <v>2754</v>
      </c>
      <c r="AE372" s="22">
        <v>-95.94</v>
      </c>
      <c r="AF372" s="22">
        <f t="shared" si="45"/>
        <v>-95.94</v>
      </c>
      <c r="AG372" s="1">
        <v>-119.1</v>
      </c>
      <c r="AH372" s="2" t="s">
        <v>16</v>
      </c>
      <c r="AI372"/>
      <c r="AJ372" s="3">
        <f t="shared" si="46"/>
        <v>10</v>
      </c>
      <c r="AK372" s="3" t="s">
        <v>2709</v>
      </c>
      <c r="AL372">
        <v>10</v>
      </c>
      <c r="AM372" t="s">
        <v>15</v>
      </c>
    </row>
    <row r="373" spans="1:39" x14ac:dyDescent="0.3">
      <c r="A373" s="51" t="s">
        <v>1299</v>
      </c>
      <c r="B373" s="54" t="s">
        <v>1300</v>
      </c>
      <c r="C373" s="51" t="s">
        <v>2765</v>
      </c>
      <c r="D373" s="53">
        <v>0</v>
      </c>
      <c r="E373" s="53">
        <v>1</v>
      </c>
      <c r="F373" s="51" t="s">
        <v>2715</v>
      </c>
      <c r="G373" s="51" t="s">
        <v>2695</v>
      </c>
      <c r="H373" s="25" t="str">
        <f t="shared" ref="H373:H436" si="47">IF(T373=1,"jgd",IF(W373=1,"Captures automne","Captures printemps-été"))</f>
        <v>jgd</v>
      </c>
      <c r="I373" t="s">
        <v>72</v>
      </c>
      <c r="J373" t="s">
        <v>1289</v>
      </c>
      <c r="K373" t="s">
        <v>1290</v>
      </c>
      <c r="L373" s="25">
        <v>46.105753909999997</v>
      </c>
      <c r="M373" s="25">
        <v>9.0456248099999996</v>
      </c>
      <c r="N373">
        <v>5</v>
      </c>
      <c r="O373">
        <v>7</v>
      </c>
      <c r="P373">
        <v>11</v>
      </c>
      <c r="Q373">
        <v>2015</v>
      </c>
      <c r="R373" s="9">
        <v>42315</v>
      </c>
      <c r="S373">
        <v>300</v>
      </c>
      <c r="T373">
        <v>1</v>
      </c>
      <c r="U373">
        <v>0</v>
      </c>
      <c r="V373">
        <v>0</v>
      </c>
      <c r="W373">
        <v>0</v>
      </c>
      <c r="X373">
        <f t="shared" ref="X373:X436" si="48">1.25*AF373+30.275</f>
        <v>-89.574999999999989</v>
      </c>
      <c r="Y373">
        <v>-24.074999999999999</v>
      </c>
      <c r="Z373">
        <v>6.7868982740000003</v>
      </c>
      <c r="AA373" s="3">
        <f t="shared" si="43"/>
        <v>9</v>
      </c>
      <c r="AB373" s="3">
        <f t="shared" si="44"/>
        <v>7</v>
      </c>
      <c r="AD373" s="3" t="s">
        <v>2754</v>
      </c>
      <c r="AE373" s="22">
        <v>-95.88</v>
      </c>
      <c r="AF373" s="22">
        <f t="shared" si="45"/>
        <v>-95.88</v>
      </c>
      <c r="AG373" s="1">
        <v>-119.1</v>
      </c>
      <c r="AH373" s="2" t="s">
        <v>16</v>
      </c>
      <c r="AI373"/>
      <c r="AJ373" s="3">
        <f t="shared" si="46"/>
        <v>10</v>
      </c>
      <c r="AK373" s="3" t="s">
        <v>2709</v>
      </c>
      <c r="AL373">
        <v>10</v>
      </c>
      <c r="AM373" t="s">
        <v>15</v>
      </c>
    </row>
    <row r="374" spans="1:39" x14ac:dyDescent="0.3">
      <c r="A374" s="51" t="s">
        <v>674</v>
      </c>
      <c r="B374" s="54" t="s">
        <v>675</v>
      </c>
      <c r="C374" s="51" t="s">
        <v>2765</v>
      </c>
      <c r="D374" s="53">
        <v>0</v>
      </c>
      <c r="E374" s="53">
        <v>1</v>
      </c>
      <c r="F374" s="51" t="s">
        <v>2715</v>
      </c>
      <c r="G374" s="51" t="s">
        <v>2695</v>
      </c>
      <c r="H374" s="25" t="str">
        <f t="shared" si="47"/>
        <v>jgd</v>
      </c>
      <c r="I374" t="s">
        <v>72</v>
      </c>
      <c r="J374" t="s">
        <v>77</v>
      </c>
      <c r="K374" t="s">
        <v>676</v>
      </c>
      <c r="L374" s="25">
        <v>46.0773042</v>
      </c>
      <c r="M374" s="25">
        <v>9.0531910549999992</v>
      </c>
      <c r="N374">
        <v>5</v>
      </c>
      <c r="O374">
        <v>22</v>
      </c>
      <c r="P374">
        <v>11</v>
      </c>
      <c r="Q374">
        <v>2015</v>
      </c>
      <c r="R374" s="9">
        <v>42330</v>
      </c>
      <c r="S374">
        <v>300</v>
      </c>
      <c r="T374">
        <v>1</v>
      </c>
      <c r="U374">
        <v>0</v>
      </c>
      <c r="V374">
        <v>0</v>
      </c>
      <c r="W374">
        <v>0</v>
      </c>
      <c r="X374">
        <f t="shared" si="48"/>
        <v>-89.5625</v>
      </c>
      <c r="Y374">
        <v>-23.722999999999999</v>
      </c>
      <c r="Z374">
        <v>8.2694332910000004</v>
      </c>
      <c r="AA374" s="3">
        <f t="shared" si="43"/>
        <v>9</v>
      </c>
      <c r="AB374" s="3">
        <f t="shared" ref="AB374:AB405" si="49">ROUND(Z374,0)</f>
        <v>8</v>
      </c>
      <c r="AD374" s="3" t="s">
        <v>2754</v>
      </c>
      <c r="AE374" s="22">
        <v>-95.87</v>
      </c>
      <c r="AF374" s="22">
        <f t="shared" si="45"/>
        <v>-95.87</v>
      </c>
      <c r="AG374" s="1">
        <v>-119.1</v>
      </c>
      <c r="AH374" s="2" t="s">
        <v>16</v>
      </c>
      <c r="AI374"/>
      <c r="AJ374" s="3">
        <f t="shared" si="46"/>
        <v>10</v>
      </c>
      <c r="AK374" s="3" t="s">
        <v>2709</v>
      </c>
      <c r="AL374">
        <v>10</v>
      </c>
      <c r="AM374" t="s">
        <v>15</v>
      </c>
    </row>
    <row r="375" spans="1:39" x14ac:dyDescent="0.3">
      <c r="A375" s="51" t="s">
        <v>1429</v>
      </c>
      <c r="B375" s="54" t="s">
        <v>310</v>
      </c>
      <c r="C375" s="51" t="s">
        <v>2765</v>
      </c>
      <c r="D375" s="53">
        <v>0</v>
      </c>
      <c r="E375" s="53">
        <v>1</v>
      </c>
      <c r="F375" s="51" t="s">
        <v>2715</v>
      </c>
      <c r="G375" s="51" t="s">
        <v>2695</v>
      </c>
      <c r="H375" s="25" t="str">
        <f t="shared" si="47"/>
        <v>jgd</v>
      </c>
      <c r="I375" t="s">
        <v>72</v>
      </c>
      <c r="J375" t="s">
        <v>73</v>
      </c>
      <c r="K375" t="s">
        <v>1430</v>
      </c>
      <c r="L375" s="25">
        <v>46.072078959999999</v>
      </c>
      <c r="M375" s="25">
        <v>9.0090842369999997</v>
      </c>
      <c r="N375">
        <v>3</v>
      </c>
      <c r="O375">
        <v>16</v>
      </c>
      <c r="P375">
        <v>11</v>
      </c>
      <c r="Q375">
        <v>2016</v>
      </c>
      <c r="R375" s="9">
        <v>42690</v>
      </c>
      <c r="S375">
        <v>280</v>
      </c>
      <c r="T375">
        <v>1</v>
      </c>
      <c r="U375">
        <v>0</v>
      </c>
      <c r="V375">
        <v>0</v>
      </c>
      <c r="W375">
        <v>0</v>
      </c>
      <c r="X375" s="57">
        <f t="shared" si="48"/>
        <v>-89.367255</v>
      </c>
      <c r="Y375">
        <v>-24.37</v>
      </c>
      <c r="Z375">
        <v>3.83</v>
      </c>
      <c r="AA375" s="3">
        <f t="shared" si="43"/>
        <v>9</v>
      </c>
      <c r="AB375" s="3">
        <f t="shared" si="49"/>
        <v>4</v>
      </c>
      <c r="AD375" s="3" t="s">
        <v>2754</v>
      </c>
      <c r="AE375" s="22">
        <v>-95.713803999999996</v>
      </c>
      <c r="AF375" s="22">
        <f t="shared" si="45"/>
        <v>-95.713803999999996</v>
      </c>
      <c r="AG375" s="60" t="s">
        <v>16</v>
      </c>
      <c r="AH375" s="61" t="s">
        <v>16</v>
      </c>
      <c r="AJ375" s="3">
        <f t="shared" si="46"/>
        <v>10</v>
      </c>
      <c r="AK375" s="3" t="s">
        <v>2709</v>
      </c>
      <c r="AL375">
        <v>10</v>
      </c>
      <c r="AM375" t="s">
        <v>15</v>
      </c>
    </row>
    <row r="376" spans="1:39" x14ac:dyDescent="0.3">
      <c r="A376" s="51" t="s">
        <v>959</v>
      </c>
      <c r="B376" s="54" t="s">
        <v>399</v>
      </c>
      <c r="C376" s="51" t="s">
        <v>2765</v>
      </c>
      <c r="D376" s="53">
        <v>0</v>
      </c>
      <c r="E376" s="53">
        <v>1</v>
      </c>
      <c r="F376" s="51" t="s">
        <v>2715</v>
      </c>
      <c r="G376" s="51" t="s">
        <v>2695</v>
      </c>
      <c r="H376" s="25" t="str">
        <f t="shared" si="47"/>
        <v>jgd</v>
      </c>
      <c r="I376" t="s">
        <v>72</v>
      </c>
      <c r="J376" t="s">
        <v>958</v>
      </c>
      <c r="K376" t="s">
        <v>960</v>
      </c>
      <c r="L376" s="25">
        <v>46.113915650000003</v>
      </c>
      <c r="M376" s="25">
        <v>8.8382293759999992</v>
      </c>
      <c r="N376">
        <v>4</v>
      </c>
      <c r="O376">
        <v>14</v>
      </c>
      <c r="P376">
        <v>11</v>
      </c>
      <c r="Q376">
        <v>2015</v>
      </c>
      <c r="R376" s="9">
        <v>42322</v>
      </c>
      <c r="S376">
        <v>314</v>
      </c>
      <c r="T376">
        <v>1</v>
      </c>
      <c r="U376">
        <v>0</v>
      </c>
      <c r="V376">
        <v>0</v>
      </c>
      <c r="W376">
        <v>0</v>
      </c>
      <c r="X376">
        <f t="shared" si="48"/>
        <v>-89.237500000000011</v>
      </c>
      <c r="Y376">
        <v>-24.841799999999999</v>
      </c>
      <c r="Z376">
        <v>6.6531294159999996</v>
      </c>
      <c r="AA376" s="3">
        <f t="shared" si="43"/>
        <v>9</v>
      </c>
      <c r="AB376" s="3">
        <f t="shared" si="49"/>
        <v>7</v>
      </c>
      <c r="AD376" s="3" t="s">
        <v>2754</v>
      </c>
      <c r="AE376" s="22">
        <v>-95.61</v>
      </c>
      <c r="AF376" s="22">
        <f t="shared" si="45"/>
        <v>-95.61</v>
      </c>
      <c r="AG376" s="1">
        <v>-118.8</v>
      </c>
      <c r="AH376" s="2" t="s">
        <v>16</v>
      </c>
      <c r="AI376"/>
      <c r="AJ376" s="3">
        <f t="shared" si="46"/>
        <v>10</v>
      </c>
      <c r="AK376" s="3" t="s">
        <v>2709</v>
      </c>
      <c r="AL376">
        <v>10</v>
      </c>
      <c r="AM376" t="s">
        <v>15</v>
      </c>
    </row>
    <row r="377" spans="1:39" x14ac:dyDescent="0.3">
      <c r="A377" s="51" t="s">
        <v>857</v>
      </c>
      <c r="B377" s="54" t="s">
        <v>858</v>
      </c>
      <c r="C377" s="51" t="s">
        <v>2765</v>
      </c>
      <c r="D377" s="53">
        <v>0</v>
      </c>
      <c r="E377" s="53">
        <v>1</v>
      </c>
      <c r="F377" s="51" t="s">
        <v>2715</v>
      </c>
      <c r="G377" s="51" t="s">
        <v>2695</v>
      </c>
      <c r="H377" s="25" t="str">
        <f t="shared" si="47"/>
        <v>jgd</v>
      </c>
      <c r="I377" t="s">
        <v>72</v>
      </c>
      <c r="J377" t="s">
        <v>16</v>
      </c>
      <c r="K377" t="s">
        <v>16</v>
      </c>
      <c r="L377" s="25">
        <v>46.177372349999999</v>
      </c>
      <c r="M377" s="25">
        <v>8.6429597149999999</v>
      </c>
      <c r="N377">
        <v>3</v>
      </c>
      <c r="O377" t="s">
        <v>16</v>
      </c>
      <c r="P377" t="s">
        <v>16</v>
      </c>
      <c r="Q377">
        <v>2015</v>
      </c>
      <c r="R377" s="9" t="s">
        <v>16</v>
      </c>
      <c r="S377">
        <v>298</v>
      </c>
      <c r="T377">
        <v>1</v>
      </c>
      <c r="U377">
        <v>0</v>
      </c>
      <c r="V377">
        <v>0</v>
      </c>
      <c r="W377">
        <v>0</v>
      </c>
      <c r="X377">
        <f t="shared" si="48"/>
        <v>-89.087500000000006</v>
      </c>
      <c r="Y377">
        <v>-24.35125</v>
      </c>
      <c r="Z377">
        <v>4.0917650529999996</v>
      </c>
      <c r="AA377" s="3">
        <f t="shared" si="43"/>
        <v>9</v>
      </c>
      <c r="AB377" s="3">
        <f t="shared" si="49"/>
        <v>4</v>
      </c>
      <c r="AD377" s="3" t="s">
        <v>2754</v>
      </c>
      <c r="AE377" s="22">
        <v>-95.49</v>
      </c>
      <c r="AF377" s="22">
        <f t="shared" si="45"/>
        <v>-95.49</v>
      </c>
      <c r="AG377" s="1">
        <v>-118.7</v>
      </c>
      <c r="AH377" s="2" t="s">
        <v>16</v>
      </c>
      <c r="AI377"/>
      <c r="AJ377" s="3">
        <f t="shared" si="46"/>
        <v>10</v>
      </c>
      <c r="AK377" s="3" t="s">
        <v>2709</v>
      </c>
      <c r="AL377">
        <v>10</v>
      </c>
      <c r="AM377" t="s">
        <v>15</v>
      </c>
    </row>
    <row r="378" spans="1:39" x14ac:dyDescent="0.3">
      <c r="A378" s="51" t="s">
        <v>1169</v>
      </c>
      <c r="B378" s="54" t="s">
        <v>1170</v>
      </c>
      <c r="C378" s="51" t="s">
        <v>2765</v>
      </c>
      <c r="D378" s="53">
        <v>0</v>
      </c>
      <c r="E378" s="53">
        <v>1</v>
      </c>
      <c r="F378" s="51" t="s">
        <v>2715</v>
      </c>
      <c r="G378" s="51" t="s">
        <v>2695</v>
      </c>
      <c r="H378" s="25" t="str">
        <f t="shared" si="47"/>
        <v>jgd</v>
      </c>
      <c r="I378" t="s">
        <v>72</v>
      </c>
      <c r="J378" t="s">
        <v>298</v>
      </c>
      <c r="K378" t="s">
        <v>1166</v>
      </c>
      <c r="L378" s="25">
        <v>46.22802394</v>
      </c>
      <c r="M378" s="25">
        <v>8.9345011900000006</v>
      </c>
      <c r="N378">
        <v>5</v>
      </c>
      <c r="O378">
        <v>29</v>
      </c>
      <c r="P378">
        <v>10</v>
      </c>
      <c r="Q378">
        <v>2015</v>
      </c>
      <c r="R378" s="9">
        <v>42306</v>
      </c>
      <c r="S378">
        <v>290</v>
      </c>
      <c r="T378">
        <v>1</v>
      </c>
      <c r="U378">
        <v>0</v>
      </c>
      <c r="V378">
        <v>0</v>
      </c>
      <c r="W378">
        <v>0</v>
      </c>
      <c r="X378">
        <f t="shared" si="48"/>
        <v>-89.025000000000006</v>
      </c>
      <c r="Y378">
        <v>-24.9102134</v>
      </c>
      <c r="Z378">
        <v>4.0325196060000001</v>
      </c>
      <c r="AA378" s="3">
        <f t="shared" si="43"/>
        <v>9</v>
      </c>
      <c r="AB378" s="3">
        <f t="shared" si="49"/>
        <v>4</v>
      </c>
      <c r="AD378" s="3" t="s">
        <v>2754</v>
      </c>
      <c r="AE378" s="22">
        <v>-95.44</v>
      </c>
      <c r="AF378" s="22">
        <f t="shared" si="45"/>
        <v>-95.44</v>
      </c>
      <c r="AG378" s="1">
        <v>-118.6</v>
      </c>
      <c r="AH378" s="2" t="s">
        <v>16</v>
      </c>
      <c r="AI378"/>
      <c r="AJ378" s="3">
        <f t="shared" si="46"/>
        <v>10</v>
      </c>
      <c r="AK378" s="3" t="s">
        <v>2709</v>
      </c>
      <c r="AL378">
        <v>10</v>
      </c>
      <c r="AM378" t="s">
        <v>15</v>
      </c>
    </row>
    <row r="379" spans="1:39" hidden="1" x14ac:dyDescent="0.3">
      <c r="A379" s="51" t="s">
        <v>1346</v>
      </c>
      <c r="B379" s="54" t="s">
        <v>1347</v>
      </c>
      <c r="C379" s="51" t="s">
        <v>2765</v>
      </c>
      <c r="D379" s="53">
        <v>0</v>
      </c>
      <c r="E379" s="53">
        <v>1</v>
      </c>
      <c r="F379" s="51" t="s">
        <v>2715</v>
      </c>
      <c r="G379" s="51" t="s">
        <v>2695</v>
      </c>
      <c r="H379" s="25" t="str">
        <f t="shared" si="47"/>
        <v>jgd</v>
      </c>
      <c r="I379" t="s">
        <v>385</v>
      </c>
      <c r="J379" t="s">
        <v>1156</v>
      </c>
      <c r="K379" t="s">
        <v>1348</v>
      </c>
      <c r="L379" s="25">
        <v>46.561424000000002</v>
      </c>
      <c r="M379" s="25">
        <v>6.4096334370000001</v>
      </c>
      <c r="N379">
        <v>4</v>
      </c>
      <c r="O379">
        <v>7</v>
      </c>
      <c r="P379">
        <v>12</v>
      </c>
      <c r="Q379">
        <v>2015</v>
      </c>
      <c r="R379" s="9">
        <v>42345</v>
      </c>
      <c r="S379">
        <v>320</v>
      </c>
      <c r="T379">
        <v>1</v>
      </c>
      <c r="U379">
        <v>0</v>
      </c>
      <c r="V379">
        <v>0</v>
      </c>
      <c r="W379">
        <v>0</v>
      </c>
      <c r="X379">
        <f t="shared" si="48"/>
        <v>-88.987499999999983</v>
      </c>
      <c r="Y379">
        <v>-24.747</v>
      </c>
      <c r="Z379">
        <v>8.1074579090000007</v>
      </c>
      <c r="AA379" s="3">
        <f t="shared" si="43"/>
        <v>9</v>
      </c>
      <c r="AB379" s="3">
        <f t="shared" si="49"/>
        <v>8</v>
      </c>
      <c r="AD379" s="3" t="s">
        <v>2751</v>
      </c>
      <c r="AE379" s="22">
        <v>-95.41</v>
      </c>
      <c r="AF379" s="22">
        <f t="shared" si="45"/>
        <v>-95.41</v>
      </c>
      <c r="AG379" s="1">
        <v>-118.6</v>
      </c>
      <c r="AH379" s="2" t="s">
        <v>16</v>
      </c>
      <c r="AI379"/>
      <c r="AJ379" s="3">
        <f t="shared" si="46"/>
        <v>10</v>
      </c>
      <c r="AK379" s="3" t="s">
        <v>2709</v>
      </c>
      <c r="AL379">
        <v>10</v>
      </c>
      <c r="AM379" t="s">
        <v>15</v>
      </c>
    </row>
    <row r="380" spans="1:39" hidden="1" x14ac:dyDescent="0.3">
      <c r="A380" s="51" t="s">
        <v>1405</v>
      </c>
      <c r="B380" s="54" t="s">
        <v>1406</v>
      </c>
      <c r="C380" s="51" t="s">
        <v>2765</v>
      </c>
      <c r="D380" s="53">
        <v>0</v>
      </c>
      <c r="E380" s="53">
        <v>1</v>
      </c>
      <c r="F380" s="51" t="s">
        <v>2715</v>
      </c>
      <c r="G380" s="51" t="s">
        <v>2695</v>
      </c>
      <c r="H380" s="25" t="str">
        <f t="shared" si="47"/>
        <v>jgd</v>
      </c>
      <c r="I380" t="s">
        <v>385</v>
      </c>
      <c r="J380" t="s">
        <v>1152</v>
      </c>
      <c r="K380" t="s">
        <v>1407</v>
      </c>
      <c r="L380" s="25">
        <v>46.707117680000003</v>
      </c>
      <c r="M380" s="25">
        <v>6.4245109109999996</v>
      </c>
      <c r="N380">
        <v>6</v>
      </c>
      <c r="O380">
        <v>17</v>
      </c>
      <c r="P380">
        <v>11</v>
      </c>
      <c r="Q380">
        <v>2015</v>
      </c>
      <c r="R380" s="9">
        <v>42325</v>
      </c>
      <c r="S380">
        <v>315</v>
      </c>
      <c r="T380">
        <v>1</v>
      </c>
      <c r="U380">
        <v>0</v>
      </c>
      <c r="V380">
        <v>0</v>
      </c>
      <c r="W380">
        <v>0</v>
      </c>
      <c r="X380">
        <f t="shared" si="48"/>
        <v>-88.712500000000006</v>
      </c>
      <c r="Y380">
        <v>-23.885000000000002</v>
      </c>
      <c r="Z380">
        <v>7.3450926489999997</v>
      </c>
      <c r="AA380" s="3">
        <f t="shared" si="43"/>
        <v>9</v>
      </c>
      <c r="AB380" s="3">
        <f t="shared" si="49"/>
        <v>7</v>
      </c>
      <c r="AD380" s="3" t="s">
        <v>2750</v>
      </c>
      <c r="AE380" s="22">
        <v>-95.19</v>
      </c>
      <c r="AF380" s="22">
        <f t="shared" si="45"/>
        <v>-95.19</v>
      </c>
      <c r="AG380" s="1">
        <v>-118.4</v>
      </c>
      <c r="AH380" s="2" t="s">
        <v>16</v>
      </c>
      <c r="AI380"/>
      <c r="AJ380" s="3">
        <f t="shared" si="46"/>
        <v>10</v>
      </c>
      <c r="AK380" s="3" t="s">
        <v>2709</v>
      </c>
      <c r="AL380">
        <v>10</v>
      </c>
      <c r="AM380" t="s">
        <v>15</v>
      </c>
    </row>
    <row r="381" spans="1:39" x14ac:dyDescent="0.3">
      <c r="A381" s="51" t="s">
        <v>2000</v>
      </c>
      <c r="B381" s="54" t="s">
        <v>577</v>
      </c>
      <c r="C381" s="51" t="s">
        <v>2765</v>
      </c>
      <c r="D381" s="53">
        <v>0</v>
      </c>
      <c r="E381" s="53">
        <v>1</v>
      </c>
      <c r="F381" s="51" t="s">
        <v>2715</v>
      </c>
      <c r="G381" s="51" t="s">
        <v>2695</v>
      </c>
      <c r="H381" s="25" t="str">
        <f t="shared" si="47"/>
        <v>jgd</v>
      </c>
      <c r="I381" t="s">
        <v>72</v>
      </c>
      <c r="J381" t="s">
        <v>1189</v>
      </c>
      <c r="K381" t="s">
        <v>2001</v>
      </c>
      <c r="L381" s="25">
        <v>46.091197870000002</v>
      </c>
      <c r="M381" s="25">
        <v>9.0568349030000004</v>
      </c>
      <c r="N381">
        <v>5</v>
      </c>
      <c r="O381">
        <v>9</v>
      </c>
      <c r="P381">
        <v>11</v>
      </c>
      <c r="Q381">
        <v>2016</v>
      </c>
      <c r="R381" s="9">
        <v>42683</v>
      </c>
      <c r="S381">
        <v>317</v>
      </c>
      <c r="T381">
        <v>1</v>
      </c>
      <c r="U381">
        <v>0</v>
      </c>
      <c r="V381">
        <v>0</v>
      </c>
      <c r="W381">
        <v>0</v>
      </c>
      <c r="X381" s="57">
        <f t="shared" si="48"/>
        <v>-88.688067999999987</v>
      </c>
      <c r="Y381">
        <v>-23.62</v>
      </c>
      <c r="Z381">
        <v>3.8</v>
      </c>
      <c r="AA381" s="3">
        <f t="shared" si="43"/>
        <v>9</v>
      </c>
      <c r="AB381" s="3">
        <f t="shared" si="49"/>
        <v>4</v>
      </c>
      <c r="AD381" s="3" t="s">
        <v>2754</v>
      </c>
      <c r="AE381" s="22">
        <v>-95.170454399999997</v>
      </c>
      <c r="AF381" s="22">
        <f t="shared" si="45"/>
        <v>-95.170454399999997</v>
      </c>
      <c r="AG381" s="60" t="s">
        <v>16</v>
      </c>
      <c r="AH381" s="61" t="s">
        <v>16</v>
      </c>
      <c r="AJ381" s="3">
        <f t="shared" si="46"/>
        <v>10</v>
      </c>
      <c r="AK381" s="3" t="s">
        <v>2709</v>
      </c>
      <c r="AL381">
        <v>10</v>
      </c>
      <c r="AM381" t="s">
        <v>15</v>
      </c>
    </row>
    <row r="382" spans="1:39" hidden="1" x14ac:dyDescent="0.3">
      <c r="A382" s="51" t="s">
        <v>2461</v>
      </c>
      <c r="B382" s="54" t="s">
        <v>1090</v>
      </c>
      <c r="C382" s="51" t="s">
        <v>2765</v>
      </c>
      <c r="D382" s="53">
        <v>0</v>
      </c>
      <c r="E382" s="53">
        <v>1</v>
      </c>
      <c r="F382" s="51" t="s">
        <v>2715</v>
      </c>
      <c r="G382" s="51" t="s">
        <v>2695</v>
      </c>
      <c r="H382" s="25" t="str">
        <f t="shared" si="47"/>
        <v>jgd</v>
      </c>
      <c r="I382" t="s">
        <v>13</v>
      </c>
      <c r="J382" t="s">
        <v>2440</v>
      </c>
      <c r="K382" t="s">
        <v>1796</v>
      </c>
      <c r="L382" s="25">
        <v>46.936981369999998</v>
      </c>
      <c r="M382" s="25">
        <v>6.5565004030000003</v>
      </c>
      <c r="N382">
        <v>6</v>
      </c>
      <c r="O382">
        <v>2</v>
      </c>
      <c r="P382">
        <v>11</v>
      </c>
      <c r="Q382">
        <v>2017</v>
      </c>
      <c r="R382" s="9">
        <v>43041</v>
      </c>
      <c r="S382">
        <v>347</v>
      </c>
      <c r="T382">
        <v>1</v>
      </c>
      <c r="U382">
        <v>0</v>
      </c>
      <c r="V382">
        <v>0</v>
      </c>
      <c r="W382">
        <v>0</v>
      </c>
      <c r="X382" s="57">
        <f t="shared" si="48"/>
        <v>-88.672716624999993</v>
      </c>
      <c r="Y382" t="s">
        <v>16</v>
      </c>
      <c r="Z382">
        <v>7.8600513840000001</v>
      </c>
      <c r="AA382" s="3">
        <f t="shared" si="43"/>
        <v>9</v>
      </c>
      <c r="AB382" s="3">
        <f t="shared" si="49"/>
        <v>8</v>
      </c>
      <c r="AD382" s="3" t="s">
        <v>2750</v>
      </c>
      <c r="AE382" s="22">
        <v>-95.158173300000001</v>
      </c>
      <c r="AF382" s="22">
        <f t="shared" si="45"/>
        <v>-95.158173300000001</v>
      </c>
      <c r="AG382" s="60" t="s">
        <v>16</v>
      </c>
      <c r="AH382" s="61" t="s">
        <v>16</v>
      </c>
      <c r="AJ382" s="3">
        <f t="shared" si="46"/>
        <v>10</v>
      </c>
      <c r="AK382" s="3" t="s">
        <v>2709</v>
      </c>
      <c r="AL382">
        <v>10</v>
      </c>
      <c r="AM382" t="s">
        <v>15</v>
      </c>
    </row>
    <row r="383" spans="1:39" x14ac:dyDescent="0.3">
      <c r="A383" s="51" t="s">
        <v>1705</v>
      </c>
      <c r="B383" s="54" t="s">
        <v>185</v>
      </c>
      <c r="C383" s="51" t="s">
        <v>2765</v>
      </c>
      <c r="D383" s="53">
        <v>0</v>
      </c>
      <c r="E383" s="53">
        <v>1</v>
      </c>
      <c r="F383" s="51" t="s">
        <v>2715</v>
      </c>
      <c r="G383" s="51" t="s">
        <v>2695</v>
      </c>
      <c r="H383" s="25" t="str">
        <f t="shared" si="47"/>
        <v>jgd</v>
      </c>
      <c r="I383" t="s">
        <v>72</v>
      </c>
      <c r="J383" t="s">
        <v>441</v>
      </c>
      <c r="K383" t="s">
        <v>16</v>
      </c>
      <c r="L383" s="25">
        <v>46.108455079999999</v>
      </c>
      <c r="M383" s="25">
        <v>8.9810257189999998</v>
      </c>
      <c r="N383">
        <v>5</v>
      </c>
      <c r="O383">
        <v>22</v>
      </c>
      <c r="P383">
        <v>10</v>
      </c>
      <c r="Q383">
        <v>2016</v>
      </c>
      <c r="R383" s="9">
        <v>42665</v>
      </c>
      <c r="S383">
        <v>344</v>
      </c>
      <c r="T383">
        <v>1</v>
      </c>
      <c r="U383">
        <v>0</v>
      </c>
      <c r="V383">
        <v>0</v>
      </c>
      <c r="W383">
        <v>0</v>
      </c>
      <c r="X383" s="57">
        <f t="shared" si="48"/>
        <v>-88.445571375000014</v>
      </c>
      <c r="Y383">
        <v>-24.76</v>
      </c>
      <c r="Z383">
        <v>7.45</v>
      </c>
      <c r="AA383" s="3">
        <f t="shared" si="43"/>
        <v>9</v>
      </c>
      <c r="AB383" s="3">
        <f t="shared" si="49"/>
        <v>7</v>
      </c>
      <c r="AD383" s="3" t="s">
        <v>2754</v>
      </c>
      <c r="AE383" s="22">
        <v>-94.976457100000005</v>
      </c>
      <c r="AF383" s="22">
        <f t="shared" si="45"/>
        <v>-94.976457100000005</v>
      </c>
      <c r="AG383" s="60" t="s">
        <v>16</v>
      </c>
      <c r="AH383" s="61" t="s">
        <v>16</v>
      </c>
      <c r="AJ383" s="3">
        <f t="shared" si="46"/>
        <v>9</v>
      </c>
      <c r="AK383" s="3" t="s">
        <v>2707</v>
      </c>
      <c r="AL383">
        <v>9</v>
      </c>
      <c r="AM383" t="s">
        <v>15</v>
      </c>
    </row>
    <row r="384" spans="1:39" x14ac:dyDescent="0.3">
      <c r="A384" s="51" t="s">
        <v>1925</v>
      </c>
      <c r="B384" s="54" t="s">
        <v>1926</v>
      </c>
      <c r="C384" s="51" t="s">
        <v>2765</v>
      </c>
      <c r="D384" s="53">
        <v>0</v>
      </c>
      <c r="E384" s="53">
        <v>1</v>
      </c>
      <c r="F384" s="51" t="s">
        <v>2715</v>
      </c>
      <c r="G384" s="51" t="s">
        <v>2695</v>
      </c>
      <c r="H384" s="25" t="str">
        <f t="shared" si="47"/>
        <v>jgd</v>
      </c>
      <c r="I384" t="s">
        <v>72</v>
      </c>
      <c r="J384" t="s">
        <v>694</v>
      </c>
      <c r="K384" t="s">
        <v>1916</v>
      </c>
      <c r="L384" s="25">
        <v>46.133033599999997</v>
      </c>
      <c r="M384" s="25">
        <v>8.9262021520000001</v>
      </c>
      <c r="N384">
        <v>5</v>
      </c>
      <c r="O384">
        <v>16</v>
      </c>
      <c r="P384">
        <v>11</v>
      </c>
      <c r="Q384">
        <v>2016</v>
      </c>
      <c r="R384" s="9">
        <v>42690</v>
      </c>
      <c r="S384">
        <v>325</v>
      </c>
      <c r="T384">
        <v>1</v>
      </c>
      <c r="U384">
        <v>0</v>
      </c>
      <c r="V384">
        <v>0</v>
      </c>
      <c r="W384">
        <v>0</v>
      </c>
      <c r="X384" s="57">
        <f t="shared" si="48"/>
        <v>-88.264856000000009</v>
      </c>
      <c r="Y384">
        <v>-24.51</v>
      </c>
      <c r="Z384">
        <v>2.95</v>
      </c>
      <c r="AA384" s="3">
        <f t="shared" si="43"/>
        <v>9</v>
      </c>
      <c r="AB384" s="3">
        <f t="shared" si="49"/>
        <v>3</v>
      </c>
      <c r="AD384" s="3" t="s">
        <v>2754</v>
      </c>
      <c r="AE384" s="22">
        <v>-94.831884799999997</v>
      </c>
      <c r="AF384" s="22">
        <f t="shared" si="45"/>
        <v>-94.831884799999997</v>
      </c>
      <c r="AG384" s="60" t="s">
        <v>16</v>
      </c>
      <c r="AH384" s="61" t="s">
        <v>16</v>
      </c>
      <c r="AJ384" s="3">
        <f t="shared" si="46"/>
        <v>9</v>
      </c>
      <c r="AK384" s="3" t="s">
        <v>2707</v>
      </c>
      <c r="AL384">
        <v>9</v>
      </c>
      <c r="AM384" t="s">
        <v>15</v>
      </c>
    </row>
    <row r="385" spans="1:39" x14ac:dyDescent="0.3">
      <c r="A385" s="51" t="s">
        <v>1630</v>
      </c>
      <c r="B385" s="54" t="s">
        <v>1631</v>
      </c>
      <c r="C385" s="51" t="s">
        <v>2765</v>
      </c>
      <c r="D385" s="53">
        <v>0</v>
      </c>
      <c r="E385" s="53">
        <v>1</v>
      </c>
      <c r="F385" s="51" t="s">
        <v>2715</v>
      </c>
      <c r="G385" s="51" t="s">
        <v>2695</v>
      </c>
      <c r="H385" s="25" t="str">
        <f t="shared" si="47"/>
        <v>jgd</v>
      </c>
      <c r="I385" t="s">
        <v>72</v>
      </c>
      <c r="J385" t="s">
        <v>848</v>
      </c>
      <c r="K385" t="s">
        <v>16</v>
      </c>
      <c r="L385" s="25">
        <v>46.152682519999999</v>
      </c>
      <c r="M385" s="25">
        <v>8.6773537580000006</v>
      </c>
      <c r="N385">
        <v>5</v>
      </c>
      <c r="O385">
        <v>8</v>
      </c>
      <c r="P385">
        <v>11</v>
      </c>
      <c r="Q385">
        <v>2016</v>
      </c>
      <c r="R385" s="9">
        <v>42682</v>
      </c>
      <c r="S385">
        <v>307</v>
      </c>
      <c r="T385">
        <v>1</v>
      </c>
      <c r="U385">
        <v>0</v>
      </c>
      <c r="V385">
        <v>0</v>
      </c>
      <c r="W385">
        <v>0</v>
      </c>
      <c r="X385" s="57">
        <f t="shared" si="48"/>
        <v>-87.969297250000011</v>
      </c>
      <c r="Y385">
        <v>-23.64</v>
      </c>
      <c r="Z385">
        <v>5.16</v>
      </c>
      <c r="AA385" s="3">
        <f t="shared" si="43"/>
        <v>9</v>
      </c>
      <c r="AB385" s="3">
        <f t="shared" si="49"/>
        <v>5</v>
      </c>
      <c r="AD385" s="3" t="s">
        <v>2754</v>
      </c>
      <c r="AE385" s="22">
        <v>-94.595437799999999</v>
      </c>
      <c r="AF385" s="22">
        <f t="shared" si="45"/>
        <v>-94.595437799999999</v>
      </c>
      <c r="AG385" s="60" t="s">
        <v>16</v>
      </c>
      <c r="AH385" s="61" t="s">
        <v>16</v>
      </c>
      <c r="AJ385" s="3">
        <f t="shared" si="46"/>
        <v>9</v>
      </c>
      <c r="AK385" s="3" t="s">
        <v>2707</v>
      </c>
      <c r="AL385">
        <v>9</v>
      </c>
      <c r="AM385" t="s">
        <v>15</v>
      </c>
    </row>
    <row r="386" spans="1:39" x14ac:dyDescent="0.3">
      <c r="A386" s="51" t="s">
        <v>1683</v>
      </c>
      <c r="B386" s="54" t="s">
        <v>154</v>
      </c>
      <c r="C386" s="51" t="s">
        <v>2765</v>
      </c>
      <c r="D386" s="53">
        <v>0</v>
      </c>
      <c r="E386" s="53">
        <v>1</v>
      </c>
      <c r="F386" s="51" t="s">
        <v>2715</v>
      </c>
      <c r="G386" s="51" t="s">
        <v>2695</v>
      </c>
      <c r="H386" s="25" t="str">
        <f t="shared" si="47"/>
        <v>jgd</v>
      </c>
      <c r="I386" t="s">
        <v>72</v>
      </c>
      <c r="J386" t="s">
        <v>155</v>
      </c>
      <c r="K386" t="s">
        <v>1682</v>
      </c>
      <c r="L386" s="25">
        <v>46.108535259999996</v>
      </c>
      <c r="M386" s="25">
        <v>8.8367978849999993</v>
      </c>
      <c r="N386">
        <v>4</v>
      </c>
      <c r="O386">
        <v>17</v>
      </c>
      <c r="P386">
        <v>10</v>
      </c>
      <c r="Q386">
        <v>2016</v>
      </c>
      <c r="R386" s="9">
        <v>42660</v>
      </c>
      <c r="S386">
        <v>325</v>
      </c>
      <c r="T386">
        <v>1</v>
      </c>
      <c r="U386">
        <v>0</v>
      </c>
      <c r="V386">
        <v>0</v>
      </c>
      <c r="W386">
        <v>0</v>
      </c>
      <c r="X386" s="57">
        <f t="shared" si="48"/>
        <v>-87.816825999999992</v>
      </c>
      <c r="Y386">
        <v>-23.14</v>
      </c>
      <c r="Z386">
        <v>8.4600000000000009</v>
      </c>
      <c r="AA386" s="3">
        <f t="shared" si="43"/>
        <v>9</v>
      </c>
      <c r="AB386" s="3">
        <f t="shared" si="49"/>
        <v>8</v>
      </c>
      <c r="AD386" s="3" t="s">
        <v>2754</v>
      </c>
      <c r="AE386" s="22">
        <v>-94.473460799999998</v>
      </c>
      <c r="AF386" s="22">
        <f t="shared" si="45"/>
        <v>-94.473460799999998</v>
      </c>
      <c r="AG386" s="60" t="s">
        <v>16</v>
      </c>
      <c r="AH386" s="61" t="s">
        <v>16</v>
      </c>
      <c r="AJ386" s="3">
        <f t="shared" si="46"/>
        <v>9</v>
      </c>
      <c r="AK386" s="3" t="s">
        <v>2707</v>
      </c>
      <c r="AL386">
        <v>9</v>
      </c>
      <c r="AM386" t="s">
        <v>15</v>
      </c>
    </row>
    <row r="387" spans="1:39" x14ac:dyDescent="0.3">
      <c r="A387" s="51" t="s">
        <v>883</v>
      </c>
      <c r="B387" s="54" t="s">
        <v>884</v>
      </c>
      <c r="C387" s="51" t="s">
        <v>2765</v>
      </c>
      <c r="D387" s="53">
        <v>0</v>
      </c>
      <c r="E387" s="53">
        <v>1</v>
      </c>
      <c r="F387" s="51" t="s">
        <v>2715</v>
      </c>
      <c r="G387" s="51" t="s">
        <v>2695</v>
      </c>
      <c r="H387" s="25" t="str">
        <f t="shared" si="47"/>
        <v>jgd</v>
      </c>
      <c r="I387" t="s">
        <v>72</v>
      </c>
      <c r="J387" t="s">
        <v>848</v>
      </c>
      <c r="K387" t="s">
        <v>885</v>
      </c>
      <c r="L387" s="25">
        <v>46.155125929999997</v>
      </c>
      <c r="M387" s="25">
        <v>8.6899279309999997</v>
      </c>
      <c r="N387">
        <v>6</v>
      </c>
      <c r="O387">
        <v>21</v>
      </c>
      <c r="P387">
        <v>10</v>
      </c>
      <c r="Q387">
        <v>2015</v>
      </c>
      <c r="R387" s="9">
        <v>42298</v>
      </c>
      <c r="S387">
        <v>360</v>
      </c>
      <c r="T387">
        <v>1</v>
      </c>
      <c r="U387">
        <v>0</v>
      </c>
      <c r="V387">
        <v>0</v>
      </c>
      <c r="W387">
        <v>0</v>
      </c>
      <c r="X387">
        <f t="shared" si="48"/>
        <v>-87.362500000000011</v>
      </c>
      <c r="Y387">
        <v>-24.39425</v>
      </c>
      <c r="Z387">
        <v>5.1648260700000002</v>
      </c>
      <c r="AA387" s="3">
        <f t="shared" si="43"/>
        <v>9</v>
      </c>
      <c r="AB387" s="3">
        <f t="shared" si="49"/>
        <v>5</v>
      </c>
      <c r="AD387" s="3" t="s">
        <v>2754</v>
      </c>
      <c r="AE387" s="22">
        <v>-94.11</v>
      </c>
      <c r="AF387" s="22">
        <f t="shared" si="45"/>
        <v>-94.11</v>
      </c>
      <c r="AG387" s="1">
        <v>-117.3</v>
      </c>
      <c r="AH387" s="2" t="s">
        <v>16</v>
      </c>
      <c r="AI387"/>
      <c r="AJ387" s="3">
        <f t="shared" si="46"/>
        <v>9</v>
      </c>
      <c r="AK387" s="3" t="s">
        <v>2707</v>
      </c>
      <c r="AL387">
        <v>9</v>
      </c>
      <c r="AM387" t="s">
        <v>15</v>
      </c>
    </row>
    <row r="388" spans="1:39" hidden="1" x14ac:dyDescent="0.3">
      <c r="A388" s="51" t="s">
        <v>1089</v>
      </c>
      <c r="B388" s="54" t="s">
        <v>1090</v>
      </c>
      <c r="C388" s="51" t="s">
        <v>2765</v>
      </c>
      <c r="D388" s="53">
        <v>0</v>
      </c>
      <c r="E388" s="53">
        <v>1</v>
      </c>
      <c r="F388" s="51" t="s">
        <v>2715</v>
      </c>
      <c r="G388" s="51" t="s">
        <v>2695</v>
      </c>
      <c r="H388" s="25" t="str">
        <f t="shared" si="47"/>
        <v>jgd</v>
      </c>
      <c r="I388" t="s">
        <v>13</v>
      </c>
      <c r="J388" t="s">
        <v>1057</v>
      </c>
      <c r="K388" t="s">
        <v>1091</v>
      </c>
      <c r="L388" s="25">
        <v>46.937004999999999</v>
      </c>
      <c r="M388" s="25">
        <v>6.5713802220000002</v>
      </c>
      <c r="N388">
        <v>6</v>
      </c>
      <c r="O388">
        <v>14</v>
      </c>
      <c r="P388">
        <v>11</v>
      </c>
      <c r="Q388">
        <v>2015</v>
      </c>
      <c r="R388" s="9">
        <v>42322</v>
      </c>
      <c r="S388">
        <v>310</v>
      </c>
      <c r="T388">
        <v>1</v>
      </c>
      <c r="U388">
        <v>0</v>
      </c>
      <c r="V388">
        <v>0</v>
      </c>
      <c r="W388">
        <v>0</v>
      </c>
      <c r="X388">
        <f t="shared" si="48"/>
        <v>-87.35</v>
      </c>
      <c r="Y388">
        <v>-24.673249999999999</v>
      </c>
      <c r="Z388">
        <v>6.1386799749999996</v>
      </c>
      <c r="AA388" s="3">
        <f t="shared" si="43"/>
        <v>9</v>
      </c>
      <c r="AB388" s="3">
        <f t="shared" si="49"/>
        <v>6</v>
      </c>
      <c r="AD388" s="3" t="s">
        <v>2750</v>
      </c>
      <c r="AE388" s="22">
        <v>-94.1</v>
      </c>
      <c r="AF388" s="22">
        <f t="shared" si="45"/>
        <v>-94.1</v>
      </c>
      <c r="AG388" s="1">
        <v>-117.3</v>
      </c>
      <c r="AH388" s="2" t="s">
        <v>16</v>
      </c>
      <c r="AI388"/>
      <c r="AJ388" s="3">
        <f t="shared" si="46"/>
        <v>9</v>
      </c>
      <c r="AK388" s="3" t="s">
        <v>2707</v>
      </c>
      <c r="AL388">
        <v>9</v>
      </c>
      <c r="AM388" t="s">
        <v>15</v>
      </c>
    </row>
    <row r="389" spans="1:39" x14ac:dyDescent="0.3">
      <c r="A389" s="51" t="s">
        <v>1923</v>
      </c>
      <c r="B389" s="54" t="s">
        <v>1924</v>
      </c>
      <c r="C389" s="51" t="s">
        <v>2765</v>
      </c>
      <c r="D389" s="53">
        <v>0</v>
      </c>
      <c r="E389" s="53">
        <v>1</v>
      </c>
      <c r="F389" s="51" t="s">
        <v>2715</v>
      </c>
      <c r="G389" s="51" t="s">
        <v>2695</v>
      </c>
      <c r="H389" s="25" t="str">
        <f t="shared" si="47"/>
        <v>jgd</v>
      </c>
      <c r="I389" t="s">
        <v>72</v>
      </c>
      <c r="J389" t="s">
        <v>694</v>
      </c>
      <c r="K389" t="s">
        <v>1916</v>
      </c>
      <c r="L389" s="25">
        <v>46.132345479999998</v>
      </c>
      <c r="M389" s="25">
        <v>8.9441715990000006</v>
      </c>
      <c r="N389">
        <v>5</v>
      </c>
      <c r="O389">
        <v>15</v>
      </c>
      <c r="P389">
        <v>11</v>
      </c>
      <c r="Q389">
        <v>2016</v>
      </c>
      <c r="R389" s="9">
        <v>42689</v>
      </c>
      <c r="S389">
        <v>330</v>
      </c>
      <c r="T389">
        <v>1</v>
      </c>
      <c r="U389">
        <v>0</v>
      </c>
      <c r="V389">
        <v>0</v>
      </c>
      <c r="W389">
        <v>0</v>
      </c>
      <c r="X389" s="57">
        <f t="shared" si="48"/>
        <v>-87.200000000000017</v>
      </c>
      <c r="Y389">
        <v>-24.21</v>
      </c>
      <c r="Z389">
        <v>3.94</v>
      </c>
      <c r="AA389" s="3">
        <f t="shared" si="43"/>
        <v>9</v>
      </c>
      <c r="AB389" s="3">
        <f t="shared" si="49"/>
        <v>4</v>
      </c>
      <c r="AD389" s="3" t="s">
        <v>2754</v>
      </c>
      <c r="AE389" s="22">
        <v>-93.98</v>
      </c>
      <c r="AF389" s="22">
        <f t="shared" si="45"/>
        <v>-93.98</v>
      </c>
      <c r="AG389" s="60" t="s">
        <v>16</v>
      </c>
      <c r="AH389" s="61" t="s">
        <v>16</v>
      </c>
      <c r="AJ389" s="3">
        <f t="shared" si="46"/>
        <v>9</v>
      </c>
      <c r="AK389" s="3" t="s">
        <v>2707</v>
      </c>
      <c r="AL389">
        <v>9</v>
      </c>
      <c r="AM389" t="s">
        <v>15</v>
      </c>
    </row>
    <row r="390" spans="1:39" hidden="1" x14ac:dyDescent="0.3">
      <c r="A390" s="51" t="s">
        <v>2109</v>
      </c>
      <c r="B390" s="54" t="s">
        <v>824</v>
      </c>
      <c r="C390" s="51" t="s">
        <v>2765</v>
      </c>
      <c r="D390" s="53">
        <v>0</v>
      </c>
      <c r="E390" s="53">
        <v>1</v>
      </c>
      <c r="F390" s="51" t="s">
        <v>2715</v>
      </c>
      <c r="G390" s="51" t="s">
        <v>2695</v>
      </c>
      <c r="H390" s="25" t="str">
        <f t="shared" si="47"/>
        <v>jgd</v>
      </c>
      <c r="I390" t="s">
        <v>30</v>
      </c>
      <c r="J390" t="s">
        <v>2110</v>
      </c>
      <c r="K390" t="s">
        <v>2111</v>
      </c>
      <c r="L390" s="25">
        <v>46.752138029999998</v>
      </c>
      <c r="M390" s="25">
        <v>7.255933958</v>
      </c>
      <c r="N390">
        <v>5</v>
      </c>
      <c r="O390">
        <v>2</v>
      </c>
      <c r="P390">
        <v>11</v>
      </c>
      <c r="Q390">
        <v>2017</v>
      </c>
      <c r="R390" s="9">
        <v>43041</v>
      </c>
      <c r="S390">
        <v>300</v>
      </c>
      <c r="T390">
        <v>1</v>
      </c>
      <c r="U390">
        <v>0</v>
      </c>
      <c r="V390">
        <v>0</v>
      </c>
      <c r="W390">
        <v>0</v>
      </c>
      <c r="X390" s="57">
        <f t="shared" si="48"/>
        <v>-87.111796999999996</v>
      </c>
      <c r="Y390" t="s">
        <v>16</v>
      </c>
      <c r="Z390">
        <v>4.556827996</v>
      </c>
      <c r="AA390" s="3">
        <f t="shared" si="43"/>
        <v>9</v>
      </c>
      <c r="AB390" s="3">
        <f t="shared" si="49"/>
        <v>5</v>
      </c>
      <c r="AD390" s="3" t="s">
        <v>2751</v>
      </c>
      <c r="AE390" s="22">
        <v>-93.909437600000004</v>
      </c>
      <c r="AF390" s="22">
        <f t="shared" si="45"/>
        <v>-93.909437600000004</v>
      </c>
      <c r="AG390" s="60" t="s">
        <v>16</v>
      </c>
      <c r="AH390" s="61" t="s">
        <v>16</v>
      </c>
      <c r="AJ390" s="3">
        <f t="shared" si="46"/>
        <v>9</v>
      </c>
      <c r="AK390" s="3" t="s">
        <v>2707</v>
      </c>
      <c r="AL390">
        <v>9</v>
      </c>
      <c r="AM390" t="s">
        <v>15</v>
      </c>
    </row>
    <row r="391" spans="1:39" hidden="1" x14ac:dyDescent="0.3">
      <c r="A391" s="51" t="s">
        <v>901</v>
      </c>
      <c r="B391" s="54" t="s">
        <v>902</v>
      </c>
      <c r="C391" s="51" t="s">
        <v>2765</v>
      </c>
      <c r="D391" s="53">
        <v>0</v>
      </c>
      <c r="E391" s="53">
        <v>1</v>
      </c>
      <c r="F391" s="51" t="s">
        <v>2715</v>
      </c>
      <c r="G391" s="51" t="s">
        <v>2695</v>
      </c>
      <c r="H391" s="25" t="str">
        <f t="shared" si="47"/>
        <v>jgd</v>
      </c>
      <c r="I391" t="s">
        <v>385</v>
      </c>
      <c r="J391" t="s">
        <v>903</v>
      </c>
      <c r="K391" t="s">
        <v>904</v>
      </c>
      <c r="L391" s="25">
        <v>46.597520490000001</v>
      </c>
      <c r="M391" s="25">
        <v>6.4219979819999997</v>
      </c>
      <c r="N391">
        <v>4</v>
      </c>
      <c r="O391">
        <v>14</v>
      </c>
      <c r="P391">
        <v>12</v>
      </c>
      <c r="Q391">
        <v>2015</v>
      </c>
      <c r="R391" s="9">
        <v>42352</v>
      </c>
      <c r="S391">
        <v>340</v>
      </c>
      <c r="T391">
        <v>1</v>
      </c>
      <c r="U391">
        <v>0</v>
      </c>
      <c r="V391">
        <v>0</v>
      </c>
      <c r="W391">
        <v>0</v>
      </c>
      <c r="X391">
        <f t="shared" si="48"/>
        <v>-87.074999999999989</v>
      </c>
      <c r="Y391">
        <v>-24.001999999999999</v>
      </c>
      <c r="Z391">
        <v>5.7234815609999998</v>
      </c>
      <c r="AA391" s="3">
        <f t="shared" si="43"/>
        <v>9</v>
      </c>
      <c r="AB391" s="3">
        <f t="shared" si="49"/>
        <v>6</v>
      </c>
      <c r="AD391" s="3" t="s">
        <v>2751</v>
      </c>
      <c r="AE391" s="22">
        <v>-93.88</v>
      </c>
      <c r="AF391" s="22">
        <f t="shared" si="45"/>
        <v>-93.88</v>
      </c>
      <c r="AG391" s="1">
        <v>-117</v>
      </c>
      <c r="AH391" s="2" t="s">
        <v>16</v>
      </c>
      <c r="AI391"/>
      <c r="AJ391" s="3">
        <f t="shared" si="46"/>
        <v>9</v>
      </c>
      <c r="AK391" s="3" t="s">
        <v>2707</v>
      </c>
      <c r="AL391">
        <v>9</v>
      </c>
      <c r="AM391" t="s">
        <v>15</v>
      </c>
    </row>
    <row r="392" spans="1:39" x14ac:dyDescent="0.3">
      <c r="A392" s="51" t="s">
        <v>1483</v>
      </c>
      <c r="B392" s="54" t="s">
        <v>1484</v>
      </c>
      <c r="C392" s="51" t="s">
        <v>2765</v>
      </c>
      <c r="D392" s="53">
        <v>0</v>
      </c>
      <c r="E392" s="53">
        <v>1</v>
      </c>
      <c r="F392" s="51" t="s">
        <v>2715</v>
      </c>
      <c r="G392" s="51" t="s">
        <v>2695</v>
      </c>
      <c r="H392" s="25" t="str">
        <f t="shared" si="47"/>
        <v>jgd</v>
      </c>
      <c r="I392" t="s">
        <v>72</v>
      </c>
      <c r="J392" t="s">
        <v>298</v>
      </c>
      <c r="K392" t="s">
        <v>1485</v>
      </c>
      <c r="L392" s="25">
        <v>46.141908100000002</v>
      </c>
      <c r="M392" s="25">
        <v>8.969028196</v>
      </c>
      <c r="N392">
        <v>5</v>
      </c>
      <c r="O392">
        <v>29</v>
      </c>
      <c r="P392">
        <v>10</v>
      </c>
      <c r="Q392">
        <v>2016</v>
      </c>
      <c r="R392" s="9">
        <v>42672</v>
      </c>
      <c r="S392">
        <v>275</v>
      </c>
      <c r="T392">
        <v>1</v>
      </c>
      <c r="U392">
        <v>0</v>
      </c>
      <c r="V392">
        <v>0</v>
      </c>
      <c r="W392">
        <v>0</v>
      </c>
      <c r="X392" s="57">
        <f t="shared" si="48"/>
        <v>-86.908188499999994</v>
      </c>
      <c r="Y392">
        <v>-23.17</v>
      </c>
      <c r="Z392">
        <v>7.86</v>
      </c>
      <c r="AA392" s="3">
        <f t="shared" si="43"/>
        <v>9</v>
      </c>
      <c r="AB392" s="3">
        <f t="shared" si="49"/>
        <v>8</v>
      </c>
      <c r="AD392" s="3" t="s">
        <v>2754</v>
      </c>
      <c r="AE392" s="22">
        <v>-93.746550799999994</v>
      </c>
      <c r="AF392" s="22">
        <f t="shared" si="45"/>
        <v>-93.746550799999994</v>
      </c>
      <c r="AG392" s="60" t="s">
        <v>16</v>
      </c>
      <c r="AH392" s="61" t="s">
        <v>16</v>
      </c>
      <c r="AJ392" s="3">
        <f t="shared" si="46"/>
        <v>9</v>
      </c>
      <c r="AK392" s="3" t="s">
        <v>2707</v>
      </c>
      <c r="AL392">
        <v>9</v>
      </c>
      <c r="AM392" t="s">
        <v>15</v>
      </c>
    </row>
    <row r="393" spans="1:39" hidden="1" x14ac:dyDescent="0.3">
      <c r="A393" s="51" t="s">
        <v>1486</v>
      </c>
      <c r="B393" s="54" t="s">
        <v>1487</v>
      </c>
      <c r="C393" s="51" t="s">
        <v>2765</v>
      </c>
      <c r="D393" s="53">
        <v>0</v>
      </c>
      <c r="E393" s="53">
        <v>1</v>
      </c>
      <c r="F393" s="51" t="s">
        <v>2715</v>
      </c>
      <c r="G393" s="51" t="s">
        <v>2695</v>
      </c>
      <c r="H393" s="25" t="str">
        <f t="shared" si="47"/>
        <v>jgd</v>
      </c>
      <c r="I393" t="s">
        <v>1488</v>
      </c>
      <c r="J393" t="s">
        <v>1489</v>
      </c>
      <c r="K393" t="s">
        <v>1490</v>
      </c>
      <c r="L393" s="25">
        <v>47.310245770000002</v>
      </c>
      <c r="M393" s="25">
        <v>7.437394126</v>
      </c>
      <c r="N393" t="s">
        <v>16</v>
      </c>
      <c r="O393">
        <v>17</v>
      </c>
      <c r="P393">
        <v>10</v>
      </c>
      <c r="Q393">
        <v>2016</v>
      </c>
      <c r="R393" s="9">
        <v>42660</v>
      </c>
      <c r="S393">
        <v>275</v>
      </c>
      <c r="T393">
        <v>1</v>
      </c>
      <c r="U393">
        <v>0</v>
      </c>
      <c r="V393">
        <v>0</v>
      </c>
      <c r="W393">
        <v>0</v>
      </c>
      <c r="X393" s="57">
        <f t="shared" si="48"/>
        <v>-86.868570500000004</v>
      </c>
      <c r="Y393">
        <v>-23.48</v>
      </c>
      <c r="Z393">
        <v>7.76</v>
      </c>
      <c r="AA393" s="3">
        <f t="shared" si="43"/>
        <v>9</v>
      </c>
      <c r="AB393" s="3">
        <f t="shared" si="49"/>
        <v>8</v>
      </c>
      <c r="AD393" s="3" t="s">
        <v>2750</v>
      </c>
      <c r="AE393" s="22">
        <v>-93.714856400000002</v>
      </c>
      <c r="AF393" s="22">
        <f t="shared" si="45"/>
        <v>-93.714856400000002</v>
      </c>
      <c r="AG393" s="60" t="s">
        <v>16</v>
      </c>
      <c r="AH393" s="61" t="s">
        <v>16</v>
      </c>
      <c r="AJ393" s="3">
        <f t="shared" si="46"/>
        <v>9</v>
      </c>
      <c r="AK393" s="3" t="s">
        <v>2707</v>
      </c>
      <c r="AL393">
        <v>9</v>
      </c>
      <c r="AM393" t="s">
        <v>15</v>
      </c>
    </row>
    <row r="394" spans="1:39" hidden="1" x14ac:dyDescent="0.3">
      <c r="A394" s="51" t="s">
        <v>1278</v>
      </c>
      <c r="B394" s="54" t="s">
        <v>1279</v>
      </c>
      <c r="C394" s="51" t="s">
        <v>2765</v>
      </c>
      <c r="D394" s="53">
        <v>0</v>
      </c>
      <c r="E394" s="53">
        <v>1</v>
      </c>
      <c r="F394" s="51" t="s">
        <v>2715</v>
      </c>
      <c r="G394" s="51" t="s">
        <v>2695</v>
      </c>
      <c r="H394" s="25" t="str">
        <f t="shared" si="47"/>
        <v>jgd</v>
      </c>
      <c r="I394" t="s">
        <v>385</v>
      </c>
      <c r="J394" t="s">
        <v>558</v>
      </c>
      <c r="K394" t="s">
        <v>1277</v>
      </c>
      <c r="L394" s="25">
        <v>46.663831680000001</v>
      </c>
      <c r="M394" s="25">
        <v>6.2992226850000002</v>
      </c>
      <c r="N394">
        <v>4</v>
      </c>
      <c r="O394">
        <v>16</v>
      </c>
      <c r="P394">
        <v>11</v>
      </c>
      <c r="Q394">
        <v>2015</v>
      </c>
      <c r="R394" s="9">
        <v>42324</v>
      </c>
      <c r="S394">
        <v>348</v>
      </c>
      <c r="T394">
        <v>1</v>
      </c>
      <c r="U394">
        <v>0</v>
      </c>
      <c r="V394">
        <v>0</v>
      </c>
      <c r="W394">
        <v>0</v>
      </c>
      <c r="X394">
        <f t="shared" si="48"/>
        <v>-86.787499999999994</v>
      </c>
      <c r="Y394">
        <v>-23.868652610000002</v>
      </c>
      <c r="Z394">
        <v>6.3133655749999997</v>
      </c>
      <c r="AA394" s="3">
        <f t="shared" si="43"/>
        <v>9</v>
      </c>
      <c r="AB394" s="3">
        <f t="shared" si="49"/>
        <v>6</v>
      </c>
      <c r="AD394" s="3" t="s">
        <v>2750</v>
      </c>
      <c r="AE394" s="22">
        <v>-93.65</v>
      </c>
      <c r="AF394" s="22">
        <f t="shared" si="45"/>
        <v>-93.65</v>
      </c>
      <c r="AG394" s="1">
        <v>-116.8</v>
      </c>
      <c r="AH394" s="2" t="s">
        <v>16</v>
      </c>
      <c r="AI394"/>
      <c r="AJ394" s="3">
        <f t="shared" si="46"/>
        <v>9</v>
      </c>
      <c r="AK394" s="3" t="s">
        <v>2707</v>
      </c>
      <c r="AL394">
        <v>9</v>
      </c>
      <c r="AM394" t="s">
        <v>15</v>
      </c>
    </row>
    <row r="395" spans="1:39" x14ac:dyDescent="0.3">
      <c r="A395" s="51" t="s">
        <v>1187</v>
      </c>
      <c r="B395" s="54" t="s">
        <v>1188</v>
      </c>
      <c r="C395" s="51" t="s">
        <v>2765</v>
      </c>
      <c r="D395" s="53">
        <v>0</v>
      </c>
      <c r="E395" s="53">
        <v>1</v>
      </c>
      <c r="F395" s="51" t="s">
        <v>2715</v>
      </c>
      <c r="G395" s="51" t="s">
        <v>2695</v>
      </c>
      <c r="H395" s="25" t="str">
        <f t="shared" si="47"/>
        <v>jgd</v>
      </c>
      <c r="I395" t="s">
        <v>72</v>
      </c>
      <c r="J395" t="s">
        <v>1189</v>
      </c>
      <c r="K395" t="s">
        <v>1190</v>
      </c>
      <c r="L395" s="25">
        <v>46.040218430000003</v>
      </c>
      <c r="M395" s="25">
        <v>9.0124062269999996</v>
      </c>
      <c r="N395">
        <v>6</v>
      </c>
      <c r="O395">
        <v>29</v>
      </c>
      <c r="P395">
        <v>10</v>
      </c>
      <c r="Q395">
        <v>2015</v>
      </c>
      <c r="R395" s="9">
        <v>42306</v>
      </c>
      <c r="S395">
        <v>310</v>
      </c>
      <c r="T395">
        <v>1</v>
      </c>
      <c r="U395">
        <v>0</v>
      </c>
      <c r="V395">
        <v>0</v>
      </c>
      <c r="W395">
        <v>0</v>
      </c>
      <c r="X395">
        <f t="shared" si="48"/>
        <v>-86.737500000000011</v>
      </c>
      <c r="Y395">
        <v>-23.5044</v>
      </c>
      <c r="Z395">
        <v>5.5708464969999998</v>
      </c>
      <c r="AA395" s="3">
        <f t="shared" si="43"/>
        <v>9</v>
      </c>
      <c r="AB395" s="3">
        <f t="shared" si="49"/>
        <v>6</v>
      </c>
      <c r="AD395" s="3" t="s">
        <v>2754</v>
      </c>
      <c r="AE395" s="22">
        <v>-93.61</v>
      </c>
      <c r="AF395" s="22">
        <f t="shared" si="45"/>
        <v>-93.61</v>
      </c>
      <c r="AG395" s="1">
        <v>-116.8</v>
      </c>
      <c r="AH395" s="2" t="s">
        <v>16</v>
      </c>
      <c r="AI395"/>
      <c r="AJ395" s="3">
        <f t="shared" si="46"/>
        <v>9</v>
      </c>
      <c r="AK395" s="3" t="s">
        <v>2707</v>
      </c>
      <c r="AL395">
        <v>9</v>
      </c>
      <c r="AM395" t="s">
        <v>15</v>
      </c>
    </row>
    <row r="396" spans="1:39" hidden="1" x14ac:dyDescent="0.3">
      <c r="A396" s="51" t="s">
        <v>545</v>
      </c>
      <c r="B396" s="54" t="s">
        <v>546</v>
      </c>
      <c r="C396" s="51" t="s">
        <v>2765</v>
      </c>
      <c r="D396" s="53">
        <v>0</v>
      </c>
      <c r="E396" s="53">
        <v>1</v>
      </c>
      <c r="F396" s="51" t="s">
        <v>2715</v>
      </c>
      <c r="G396" s="51" t="s">
        <v>2695</v>
      </c>
      <c r="H396" s="25" t="str">
        <f t="shared" si="47"/>
        <v>jgd</v>
      </c>
      <c r="I396" t="s">
        <v>13</v>
      </c>
      <c r="J396" t="s">
        <v>25</v>
      </c>
      <c r="K396" t="s">
        <v>533</v>
      </c>
      <c r="L396" s="25">
        <v>47.079706170000001</v>
      </c>
      <c r="M396" s="25">
        <v>6.8808275889999999</v>
      </c>
      <c r="N396">
        <v>6</v>
      </c>
      <c r="O396">
        <v>11</v>
      </c>
      <c r="P396">
        <v>10</v>
      </c>
      <c r="Q396">
        <v>2014</v>
      </c>
      <c r="R396" s="9">
        <v>41923</v>
      </c>
      <c r="S396">
        <v>322</v>
      </c>
      <c r="T396">
        <v>1</v>
      </c>
      <c r="U396">
        <v>0</v>
      </c>
      <c r="V396">
        <v>0</v>
      </c>
      <c r="W396">
        <v>0</v>
      </c>
      <c r="X396">
        <f t="shared" si="48"/>
        <v>-86.587500000000006</v>
      </c>
      <c r="Y396">
        <v>-24.592285709999999</v>
      </c>
      <c r="Z396">
        <v>5.66600898</v>
      </c>
      <c r="AA396" s="3">
        <f t="shared" si="43"/>
        <v>9</v>
      </c>
      <c r="AB396" s="3">
        <f t="shared" si="49"/>
        <v>6</v>
      </c>
      <c r="AD396" s="3" t="s">
        <v>2750</v>
      </c>
      <c r="AE396" s="22">
        <v>-93.49</v>
      </c>
      <c r="AF396" s="22">
        <f t="shared" si="45"/>
        <v>-93.49</v>
      </c>
      <c r="AG396" s="1">
        <v>-116.6</v>
      </c>
      <c r="AH396" s="2" t="s">
        <v>16</v>
      </c>
      <c r="AI396"/>
      <c r="AJ396" s="3">
        <f t="shared" si="46"/>
        <v>9</v>
      </c>
      <c r="AK396" s="3" t="s">
        <v>2707</v>
      </c>
      <c r="AL396">
        <v>9</v>
      </c>
      <c r="AM396" t="s">
        <v>15</v>
      </c>
    </row>
    <row r="397" spans="1:39" x14ac:dyDescent="0.3">
      <c r="A397" s="51" t="s">
        <v>996</v>
      </c>
      <c r="B397" s="54" t="s">
        <v>449</v>
      </c>
      <c r="C397" s="51" t="s">
        <v>2765</v>
      </c>
      <c r="D397" s="53">
        <v>0</v>
      </c>
      <c r="E397" s="53">
        <v>1</v>
      </c>
      <c r="F397" s="51" t="s">
        <v>2715</v>
      </c>
      <c r="G397" s="51" t="s">
        <v>2695</v>
      </c>
      <c r="H397" s="25" t="str">
        <f t="shared" si="47"/>
        <v>jgd</v>
      </c>
      <c r="I397" t="s">
        <v>72</v>
      </c>
      <c r="J397" t="s">
        <v>984</v>
      </c>
      <c r="K397" t="s">
        <v>997</v>
      </c>
      <c r="L397" s="25">
        <v>46.104160520000001</v>
      </c>
      <c r="M397" s="25">
        <v>8.9660295849999994</v>
      </c>
      <c r="N397">
        <v>5</v>
      </c>
      <c r="O397">
        <v>11</v>
      </c>
      <c r="P397">
        <v>11</v>
      </c>
      <c r="Q397">
        <v>2015</v>
      </c>
      <c r="R397" s="9">
        <v>42319</v>
      </c>
      <c r="S397">
        <v>291</v>
      </c>
      <c r="T397">
        <v>1</v>
      </c>
      <c r="U397">
        <v>0</v>
      </c>
      <c r="V397">
        <v>0</v>
      </c>
      <c r="W397">
        <v>0</v>
      </c>
      <c r="X397">
        <f t="shared" si="48"/>
        <v>-86.162499999999994</v>
      </c>
      <c r="Y397">
        <v>-23.582852769999999</v>
      </c>
      <c r="Z397">
        <v>5.5383625929999996</v>
      </c>
      <c r="AA397" s="3">
        <f t="shared" si="43"/>
        <v>9</v>
      </c>
      <c r="AB397" s="3">
        <f t="shared" si="49"/>
        <v>6</v>
      </c>
      <c r="AD397" s="3" t="s">
        <v>2754</v>
      </c>
      <c r="AE397" s="22">
        <v>-93.15</v>
      </c>
      <c r="AF397" s="22">
        <f t="shared" si="45"/>
        <v>-93.15</v>
      </c>
      <c r="AG397" s="1">
        <v>-116.3</v>
      </c>
      <c r="AH397" s="2" t="s">
        <v>16</v>
      </c>
      <c r="AI397"/>
      <c r="AJ397" s="3">
        <f t="shared" si="46"/>
        <v>9</v>
      </c>
      <c r="AK397" s="3" t="s">
        <v>2707</v>
      </c>
      <c r="AL397">
        <v>9</v>
      </c>
      <c r="AM397" t="s">
        <v>15</v>
      </c>
    </row>
    <row r="398" spans="1:39" hidden="1" x14ac:dyDescent="0.3">
      <c r="A398" s="51" t="s">
        <v>369</v>
      </c>
      <c r="B398" s="54" t="s">
        <v>370</v>
      </c>
      <c r="C398" s="51" t="s">
        <v>2765</v>
      </c>
      <c r="D398" s="53">
        <v>0</v>
      </c>
      <c r="E398" s="53">
        <v>1</v>
      </c>
      <c r="F398" s="51" t="s">
        <v>2715</v>
      </c>
      <c r="G398" s="51" t="s">
        <v>2695</v>
      </c>
      <c r="H398" s="25" t="str">
        <f t="shared" si="47"/>
        <v>jgd</v>
      </c>
      <c r="I398" t="s">
        <v>30</v>
      </c>
      <c r="J398" t="s">
        <v>37</v>
      </c>
      <c r="K398" t="s">
        <v>371</v>
      </c>
      <c r="L398" s="25">
        <v>46.657195880000003</v>
      </c>
      <c r="M398" s="25">
        <v>6.9731421119999997</v>
      </c>
      <c r="N398">
        <v>5</v>
      </c>
      <c r="O398">
        <v>18</v>
      </c>
      <c r="P398">
        <v>10</v>
      </c>
      <c r="Q398">
        <v>2014</v>
      </c>
      <c r="R398" s="9">
        <v>41930</v>
      </c>
      <c r="S398">
        <v>280</v>
      </c>
      <c r="T398">
        <v>1</v>
      </c>
      <c r="U398">
        <v>0</v>
      </c>
      <c r="V398">
        <v>0</v>
      </c>
      <c r="W398">
        <v>0</v>
      </c>
      <c r="X398">
        <f t="shared" si="48"/>
        <v>-85.987500000000011</v>
      </c>
      <c r="Y398">
        <v>-24.251999999999999</v>
      </c>
      <c r="Z398">
        <v>4.1120330669999996</v>
      </c>
      <c r="AA398" s="3">
        <f t="shared" si="43"/>
        <v>9</v>
      </c>
      <c r="AB398" s="3">
        <f t="shared" si="49"/>
        <v>4</v>
      </c>
      <c r="AD398" s="3" t="s">
        <v>2751</v>
      </c>
      <c r="AE398" s="22">
        <v>-93.01</v>
      </c>
      <c r="AF398" s="22">
        <f t="shared" si="45"/>
        <v>-93.01</v>
      </c>
      <c r="AG398" s="1">
        <v>-116.2</v>
      </c>
      <c r="AH398" s="2" t="s">
        <v>16</v>
      </c>
      <c r="AI398"/>
      <c r="AJ398" s="3">
        <f t="shared" si="46"/>
        <v>9</v>
      </c>
      <c r="AK398" s="3" t="s">
        <v>2707</v>
      </c>
      <c r="AL398">
        <v>9</v>
      </c>
      <c r="AM398" t="s">
        <v>15</v>
      </c>
    </row>
    <row r="399" spans="1:39" x14ac:dyDescent="0.3">
      <c r="A399" s="51" t="s">
        <v>1475</v>
      </c>
      <c r="B399" s="54" t="s">
        <v>1476</v>
      </c>
      <c r="C399" s="51" t="s">
        <v>2765</v>
      </c>
      <c r="D399" s="53">
        <v>0</v>
      </c>
      <c r="E399" s="53">
        <v>1</v>
      </c>
      <c r="F399" s="51" t="s">
        <v>2715</v>
      </c>
      <c r="G399" s="51" t="s">
        <v>2695</v>
      </c>
      <c r="H399" s="25" t="str">
        <f t="shared" si="47"/>
        <v>jgd</v>
      </c>
      <c r="I399" t="s">
        <v>72</v>
      </c>
      <c r="J399" t="s">
        <v>1189</v>
      </c>
      <c r="K399" t="s">
        <v>1298</v>
      </c>
      <c r="L399" s="25">
        <v>46.069733589999998</v>
      </c>
      <c r="M399" s="25">
        <v>9.0477965789999999</v>
      </c>
      <c r="N399">
        <v>5</v>
      </c>
      <c r="O399">
        <v>16</v>
      </c>
      <c r="P399">
        <v>10</v>
      </c>
      <c r="Q399">
        <v>2016</v>
      </c>
      <c r="R399" s="9">
        <v>42659</v>
      </c>
      <c r="S399">
        <v>360</v>
      </c>
      <c r="T399">
        <v>1</v>
      </c>
      <c r="U399">
        <v>0</v>
      </c>
      <c r="V399">
        <v>0</v>
      </c>
      <c r="W399">
        <v>0</v>
      </c>
      <c r="X399" s="57">
        <f t="shared" si="48"/>
        <v>-85.937189999999987</v>
      </c>
      <c r="Y399">
        <v>-22.02</v>
      </c>
      <c r="Z399">
        <v>9.6999999999999993</v>
      </c>
      <c r="AA399" s="3">
        <f t="shared" si="43"/>
        <v>9</v>
      </c>
      <c r="AB399" s="3">
        <f t="shared" si="49"/>
        <v>10</v>
      </c>
      <c r="AD399" s="3" t="s">
        <v>2754</v>
      </c>
      <c r="AE399" s="22">
        <v>-92.969752</v>
      </c>
      <c r="AF399" s="22">
        <f t="shared" si="45"/>
        <v>-92.969752</v>
      </c>
      <c r="AG399" s="60" t="s">
        <v>16</v>
      </c>
      <c r="AH399" s="61" t="s">
        <v>16</v>
      </c>
      <c r="AJ399" s="3">
        <f t="shared" si="46"/>
        <v>9</v>
      </c>
      <c r="AK399" s="3" t="s">
        <v>2707</v>
      </c>
      <c r="AL399">
        <v>9</v>
      </c>
      <c r="AM399" t="s">
        <v>15</v>
      </c>
    </row>
    <row r="400" spans="1:39" x14ac:dyDescent="0.3">
      <c r="A400" s="51" t="s">
        <v>1699</v>
      </c>
      <c r="B400" s="54" t="s">
        <v>176</v>
      </c>
      <c r="C400" s="51" t="s">
        <v>2765</v>
      </c>
      <c r="D400" s="53">
        <v>0</v>
      </c>
      <c r="E400" s="53">
        <v>1</v>
      </c>
      <c r="F400" s="51" t="s">
        <v>2715</v>
      </c>
      <c r="G400" s="51" t="s">
        <v>2695</v>
      </c>
      <c r="H400" s="25" t="str">
        <f t="shared" si="47"/>
        <v>jgd</v>
      </c>
      <c r="I400" t="s">
        <v>72</v>
      </c>
      <c r="J400" t="s">
        <v>155</v>
      </c>
      <c r="K400" t="s">
        <v>165</v>
      </c>
      <c r="L400" s="25">
        <v>46.083158679999997</v>
      </c>
      <c r="M400" s="25">
        <v>8.8516632249999994</v>
      </c>
      <c r="N400">
        <v>4</v>
      </c>
      <c r="O400">
        <v>20</v>
      </c>
      <c r="P400">
        <v>10</v>
      </c>
      <c r="Q400">
        <v>2016</v>
      </c>
      <c r="R400" s="9">
        <v>42663</v>
      </c>
      <c r="S400">
        <v>332</v>
      </c>
      <c r="T400">
        <v>1</v>
      </c>
      <c r="U400">
        <v>0</v>
      </c>
      <c r="V400">
        <v>0</v>
      </c>
      <c r="W400">
        <v>0</v>
      </c>
      <c r="X400" s="57">
        <f t="shared" si="48"/>
        <v>-85.826229124999998</v>
      </c>
      <c r="Y400">
        <v>-24.36</v>
      </c>
      <c r="Z400">
        <v>6.45</v>
      </c>
      <c r="AA400" s="3">
        <f t="shared" si="43"/>
        <v>9</v>
      </c>
      <c r="AB400" s="3">
        <f t="shared" si="49"/>
        <v>6</v>
      </c>
      <c r="AD400" s="3" t="s">
        <v>2754</v>
      </c>
      <c r="AE400" s="22">
        <v>-92.880983299999997</v>
      </c>
      <c r="AF400" s="22">
        <f t="shared" si="45"/>
        <v>-92.880983299999997</v>
      </c>
      <c r="AG400" s="60" t="s">
        <v>16</v>
      </c>
      <c r="AH400" s="61" t="s">
        <v>16</v>
      </c>
      <c r="AJ400" s="3">
        <f t="shared" si="46"/>
        <v>9</v>
      </c>
      <c r="AK400" s="3" t="s">
        <v>2707</v>
      </c>
      <c r="AL400">
        <v>9</v>
      </c>
      <c r="AM400" t="s">
        <v>15</v>
      </c>
    </row>
    <row r="401" spans="1:39" x14ac:dyDescent="0.3">
      <c r="A401" s="51" t="s">
        <v>1624</v>
      </c>
      <c r="B401" s="54" t="s">
        <v>1625</v>
      </c>
      <c r="C401" s="51" t="s">
        <v>2765</v>
      </c>
      <c r="D401" s="53">
        <v>0</v>
      </c>
      <c r="E401" s="53">
        <v>1</v>
      </c>
      <c r="F401" s="51" t="s">
        <v>2715</v>
      </c>
      <c r="G401" s="51" t="s">
        <v>2695</v>
      </c>
      <c r="H401" s="25" t="str">
        <f t="shared" si="47"/>
        <v>jgd</v>
      </c>
      <c r="I401" t="s">
        <v>72</v>
      </c>
      <c r="J401" t="s">
        <v>848</v>
      </c>
      <c r="K401" t="s">
        <v>16</v>
      </c>
      <c r="L401" s="25">
        <v>46.163580949999997</v>
      </c>
      <c r="M401" s="25">
        <v>8.5903074129999997</v>
      </c>
      <c r="N401">
        <v>5</v>
      </c>
      <c r="O401">
        <v>5</v>
      </c>
      <c r="P401">
        <v>11</v>
      </c>
      <c r="Q401">
        <v>2016</v>
      </c>
      <c r="R401" s="9">
        <v>42679</v>
      </c>
      <c r="S401">
        <v>341</v>
      </c>
      <c r="T401">
        <v>1</v>
      </c>
      <c r="U401">
        <v>0</v>
      </c>
      <c r="V401">
        <v>0</v>
      </c>
      <c r="W401">
        <v>0</v>
      </c>
      <c r="X401" s="57">
        <f t="shared" si="48"/>
        <v>-85.736440500000015</v>
      </c>
      <c r="Y401">
        <v>-23.73</v>
      </c>
      <c r="Z401">
        <v>7.58</v>
      </c>
      <c r="AA401" s="3">
        <f t="shared" si="43"/>
        <v>9</v>
      </c>
      <c r="AB401" s="3">
        <f t="shared" si="49"/>
        <v>8</v>
      </c>
      <c r="AD401" s="3" t="s">
        <v>2754</v>
      </c>
      <c r="AE401" s="22">
        <v>-92.809152400000002</v>
      </c>
      <c r="AF401" s="22">
        <f t="shared" si="45"/>
        <v>-92.809152400000002</v>
      </c>
      <c r="AG401" s="60" t="s">
        <v>16</v>
      </c>
      <c r="AH401" s="61" t="s">
        <v>16</v>
      </c>
      <c r="AJ401" s="3">
        <f t="shared" si="46"/>
        <v>9</v>
      </c>
      <c r="AK401" s="3" t="s">
        <v>2707</v>
      </c>
      <c r="AL401">
        <v>9</v>
      </c>
      <c r="AM401" t="s">
        <v>15</v>
      </c>
    </row>
    <row r="402" spans="1:39" hidden="1" x14ac:dyDescent="0.3">
      <c r="A402" s="51" t="s">
        <v>485</v>
      </c>
      <c r="B402" s="54" t="s">
        <v>486</v>
      </c>
      <c r="C402" s="51" t="s">
        <v>2765</v>
      </c>
      <c r="D402" s="53">
        <v>0</v>
      </c>
      <c r="E402" s="53">
        <v>1</v>
      </c>
      <c r="F402" s="51" t="s">
        <v>2715</v>
      </c>
      <c r="G402" s="51" t="s">
        <v>2695</v>
      </c>
      <c r="H402" s="25" t="str">
        <f t="shared" si="47"/>
        <v>jgd</v>
      </c>
      <c r="I402" t="s">
        <v>13</v>
      </c>
      <c r="J402" t="s">
        <v>487</v>
      </c>
      <c r="K402" t="s">
        <v>488</v>
      </c>
      <c r="L402" s="25">
        <v>47.09847405</v>
      </c>
      <c r="M402" s="25">
        <v>7.0095510990000003</v>
      </c>
      <c r="N402">
        <v>6</v>
      </c>
      <c r="O402">
        <v>17</v>
      </c>
      <c r="P402">
        <v>10</v>
      </c>
      <c r="Q402">
        <v>2014</v>
      </c>
      <c r="R402" s="9">
        <v>41929</v>
      </c>
      <c r="S402">
        <v>348</v>
      </c>
      <c r="T402">
        <v>1</v>
      </c>
      <c r="U402">
        <v>0</v>
      </c>
      <c r="V402">
        <v>0</v>
      </c>
      <c r="W402">
        <v>0</v>
      </c>
      <c r="X402">
        <f t="shared" si="48"/>
        <v>-85.637500000000017</v>
      </c>
      <c r="Y402">
        <v>-25.136285709999999</v>
      </c>
      <c r="Z402">
        <v>4.808334544</v>
      </c>
      <c r="AA402" s="3">
        <f t="shared" si="43"/>
        <v>9</v>
      </c>
      <c r="AB402" s="3">
        <f t="shared" si="49"/>
        <v>5</v>
      </c>
      <c r="AD402" s="3" t="s">
        <v>2750</v>
      </c>
      <c r="AE402" s="22">
        <v>-92.73</v>
      </c>
      <c r="AF402" s="22">
        <f t="shared" si="45"/>
        <v>-92.73</v>
      </c>
      <c r="AG402" s="1">
        <v>-115.9</v>
      </c>
      <c r="AH402" s="2" t="s">
        <v>16</v>
      </c>
      <c r="AI402"/>
      <c r="AJ402" s="3">
        <f t="shared" si="46"/>
        <v>9</v>
      </c>
      <c r="AK402" s="3" t="s">
        <v>2707</v>
      </c>
      <c r="AL402">
        <v>9</v>
      </c>
      <c r="AM402" t="s">
        <v>15</v>
      </c>
    </row>
    <row r="403" spans="1:39" x14ac:dyDescent="0.3">
      <c r="A403" s="51" t="s">
        <v>955</v>
      </c>
      <c r="B403" s="54" t="s">
        <v>956</v>
      </c>
      <c r="C403" s="51" t="s">
        <v>2765</v>
      </c>
      <c r="D403" s="53">
        <v>0</v>
      </c>
      <c r="E403" s="53">
        <v>1</v>
      </c>
      <c r="F403" s="51" t="s">
        <v>2715</v>
      </c>
      <c r="G403" s="51" t="s">
        <v>2695</v>
      </c>
      <c r="H403" s="25" t="str">
        <f t="shared" si="47"/>
        <v>jgd</v>
      </c>
      <c r="I403" t="s">
        <v>72</v>
      </c>
      <c r="J403" t="s">
        <v>931</v>
      </c>
      <c r="K403" t="s">
        <v>16</v>
      </c>
      <c r="L403" s="25">
        <v>46.049159170000003</v>
      </c>
      <c r="M403" s="25">
        <v>8.8602681870000009</v>
      </c>
      <c r="N403">
        <v>5</v>
      </c>
      <c r="O403">
        <v>8</v>
      </c>
      <c r="P403">
        <v>11</v>
      </c>
      <c r="Q403">
        <v>2015</v>
      </c>
      <c r="R403" s="9">
        <v>42316</v>
      </c>
      <c r="S403">
        <v>220</v>
      </c>
      <c r="T403">
        <v>1</v>
      </c>
      <c r="U403">
        <v>0</v>
      </c>
      <c r="V403">
        <v>0</v>
      </c>
      <c r="W403">
        <v>0</v>
      </c>
      <c r="X403">
        <f t="shared" si="48"/>
        <v>-85.4</v>
      </c>
      <c r="Y403">
        <v>-24.0672</v>
      </c>
      <c r="Z403">
        <v>5.3478659930000001</v>
      </c>
      <c r="AA403" s="3">
        <f t="shared" si="43"/>
        <v>9</v>
      </c>
      <c r="AB403" s="3">
        <f t="shared" si="49"/>
        <v>5</v>
      </c>
      <c r="AD403" s="3" t="s">
        <v>2754</v>
      </c>
      <c r="AE403" s="22">
        <v>-92.54</v>
      </c>
      <c r="AF403" s="22">
        <f t="shared" si="45"/>
        <v>-92.54</v>
      </c>
      <c r="AG403" s="1">
        <v>-115.7</v>
      </c>
      <c r="AH403" s="2" t="s">
        <v>16</v>
      </c>
      <c r="AI403"/>
      <c r="AJ403" s="3">
        <f t="shared" si="46"/>
        <v>9</v>
      </c>
      <c r="AK403" s="3" t="s">
        <v>2707</v>
      </c>
      <c r="AL403">
        <v>9</v>
      </c>
      <c r="AM403" t="s">
        <v>15</v>
      </c>
    </row>
    <row r="404" spans="1:39" x14ac:dyDescent="0.3">
      <c r="A404" s="51" t="s">
        <v>1637</v>
      </c>
      <c r="B404" s="54" t="s">
        <v>1638</v>
      </c>
      <c r="C404" s="51" t="s">
        <v>2765</v>
      </c>
      <c r="D404" s="53">
        <v>0</v>
      </c>
      <c r="E404" s="53">
        <v>1</v>
      </c>
      <c r="F404" s="51" t="s">
        <v>2715</v>
      </c>
      <c r="G404" s="51" t="s">
        <v>2695</v>
      </c>
      <c r="H404" s="25" t="str">
        <f t="shared" si="47"/>
        <v>jgd</v>
      </c>
      <c r="I404" t="s">
        <v>72</v>
      </c>
      <c r="J404" t="s">
        <v>848</v>
      </c>
      <c r="K404" t="s">
        <v>16</v>
      </c>
      <c r="L404" s="25">
        <v>46.166756929999998</v>
      </c>
      <c r="M404" s="25">
        <v>8.6233412969999996</v>
      </c>
      <c r="N404">
        <v>3</v>
      </c>
      <c r="O404">
        <v>12</v>
      </c>
      <c r="P404">
        <v>11</v>
      </c>
      <c r="Q404">
        <v>2016</v>
      </c>
      <c r="R404" s="9">
        <v>42686</v>
      </c>
      <c r="S404">
        <v>338</v>
      </c>
      <c r="T404">
        <v>1</v>
      </c>
      <c r="U404">
        <v>0</v>
      </c>
      <c r="V404">
        <v>0</v>
      </c>
      <c r="W404">
        <v>0</v>
      </c>
      <c r="X404" s="57">
        <f t="shared" si="48"/>
        <v>-85.320413624999986</v>
      </c>
      <c r="Y404">
        <v>-22.81</v>
      </c>
      <c r="Z404">
        <v>6.57</v>
      </c>
      <c r="AA404" s="3">
        <f t="shared" si="43"/>
        <v>9</v>
      </c>
      <c r="AB404" s="3">
        <f t="shared" si="49"/>
        <v>7</v>
      </c>
      <c r="AD404" s="3" t="s">
        <v>2754</v>
      </c>
      <c r="AE404" s="22">
        <v>-92.476330899999994</v>
      </c>
      <c r="AF404" s="22">
        <f t="shared" si="45"/>
        <v>-92.476330899999994</v>
      </c>
      <c r="AG404" s="60" t="s">
        <v>16</v>
      </c>
      <c r="AH404" s="61" t="s">
        <v>16</v>
      </c>
      <c r="AJ404" s="3">
        <f t="shared" si="46"/>
        <v>9</v>
      </c>
      <c r="AK404" s="3" t="s">
        <v>2707</v>
      </c>
      <c r="AL404">
        <v>9</v>
      </c>
      <c r="AM404" t="s">
        <v>15</v>
      </c>
    </row>
    <row r="405" spans="1:39" x14ac:dyDescent="0.3">
      <c r="A405" s="51" t="s">
        <v>1710</v>
      </c>
      <c r="B405" s="54" t="s">
        <v>446</v>
      </c>
      <c r="C405" s="51" t="s">
        <v>2765</v>
      </c>
      <c r="D405" s="53">
        <v>0</v>
      </c>
      <c r="E405" s="53">
        <v>1</v>
      </c>
      <c r="F405" s="51" t="s">
        <v>2715</v>
      </c>
      <c r="G405" s="51" t="s">
        <v>2695</v>
      </c>
      <c r="H405" s="25" t="str">
        <f t="shared" si="47"/>
        <v>jgd</v>
      </c>
      <c r="I405" t="s">
        <v>72</v>
      </c>
      <c r="J405" t="s">
        <v>1711</v>
      </c>
      <c r="K405" t="s">
        <v>180</v>
      </c>
      <c r="L405" s="25">
        <v>46.10502485</v>
      </c>
      <c r="M405" s="25">
        <v>8.9686407270000004</v>
      </c>
      <c r="N405">
        <v>5</v>
      </c>
      <c r="O405">
        <v>8</v>
      </c>
      <c r="P405">
        <v>11</v>
      </c>
      <c r="Q405">
        <v>2016</v>
      </c>
      <c r="R405" s="9">
        <v>42682</v>
      </c>
      <c r="S405">
        <v>300</v>
      </c>
      <c r="T405">
        <v>1</v>
      </c>
      <c r="U405">
        <v>0</v>
      </c>
      <c r="V405">
        <v>0</v>
      </c>
      <c r="W405">
        <v>0</v>
      </c>
      <c r="X405" s="57">
        <f t="shared" si="48"/>
        <v>-85.281481874999997</v>
      </c>
      <c r="Y405">
        <v>-23.01</v>
      </c>
      <c r="Z405">
        <v>6.43</v>
      </c>
      <c r="AA405" s="3">
        <f t="shared" si="43"/>
        <v>9</v>
      </c>
      <c r="AB405" s="3">
        <f t="shared" si="49"/>
        <v>6</v>
      </c>
      <c r="AD405" s="3" t="s">
        <v>2754</v>
      </c>
      <c r="AE405" s="22">
        <v>-92.445185499999994</v>
      </c>
      <c r="AF405" s="22">
        <f t="shared" si="45"/>
        <v>-92.445185499999994</v>
      </c>
      <c r="AG405" s="60" t="s">
        <v>16</v>
      </c>
      <c r="AH405" s="61" t="s">
        <v>16</v>
      </c>
      <c r="AJ405" s="3">
        <f t="shared" si="46"/>
        <v>9</v>
      </c>
      <c r="AK405" s="3" t="s">
        <v>2707</v>
      </c>
      <c r="AL405">
        <v>9</v>
      </c>
      <c r="AM405" t="s">
        <v>15</v>
      </c>
    </row>
    <row r="406" spans="1:39" hidden="1" x14ac:dyDescent="0.3">
      <c r="A406" s="51" t="s">
        <v>2559</v>
      </c>
      <c r="B406" s="54" t="s">
        <v>610</v>
      </c>
      <c r="C406" s="51" t="s">
        <v>2765</v>
      </c>
      <c r="D406" s="53">
        <v>0</v>
      </c>
      <c r="E406" s="53">
        <v>1</v>
      </c>
      <c r="F406" s="51" t="s">
        <v>2715</v>
      </c>
      <c r="G406" s="51" t="s">
        <v>2695</v>
      </c>
      <c r="H406" s="25" t="str">
        <f t="shared" si="47"/>
        <v>jgd</v>
      </c>
      <c r="I406" t="s">
        <v>30</v>
      </c>
      <c r="J406" t="s">
        <v>271</v>
      </c>
      <c r="K406" t="s">
        <v>271</v>
      </c>
      <c r="L406" s="25">
        <v>46.650453290000002</v>
      </c>
      <c r="M406" s="25">
        <v>6.99911759</v>
      </c>
      <c r="N406">
        <v>5</v>
      </c>
      <c r="O406">
        <v>11</v>
      </c>
      <c r="P406">
        <v>11</v>
      </c>
      <c r="Q406">
        <v>2017</v>
      </c>
      <c r="R406" s="9">
        <v>43050</v>
      </c>
      <c r="S406">
        <v>339</v>
      </c>
      <c r="T406">
        <v>1</v>
      </c>
      <c r="U406">
        <v>0</v>
      </c>
      <c r="V406">
        <v>0</v>
      </c>
      <c r="W406">
        <v>0</v>
      </c>
      <c r="X406" s="57">
        <f t="shared" si="48"/>
        <v>-85.281059249999998</v>
      </c>
      <c r="Y406" t="s">
        <v>16</v>
      </c>
      <c r="Z406">
        <v>6.6358109839999999</v>
      </c>
      <c r="AA406" s="3">
        <f t="shared" ref="AA406:AA469" si="50">-ROUND(X406/10,0)</f>
        <v>9</v>
      </c>
      <c r="AB406" s="3">
        <f t="shared" ref="AB406:AB418" si="51">ROUND(Z406,0)</f>
        <v>7</v>
      </c>
      <c r="AD406" s="3" t="s">
        <v>2751</v>
      </c>
      <c r="AE406" s="22">
        <v>-92.4448474</v>
      </c>
      <c r="AF406" s="22">
        <f t="shared" ref="AF406:AF469" si="52">IF(AI406&lt;0,AI406,AE406)</f>
        <v>-92.4448474</v>
      </c>
      <c r="AG406" s="60" t="s">
        <v>16</v>
      </c>
      <c r="AH406" s="61" t="s">
        <v>16</v>
      </c>
      <c r="AJ406" s="3">
        <f t="shared" ref="AJ406:AJ469" si="53">-ROUND(AF406/10,0)</f>
        <v>9</v>
      </c>
      <c r="AK406" s="3" t="s">
        <v>2707</v>
      </c>
      <c r="AL406">
        <v>9</v>
      </c>
      <c r="AM406" t="s">
        <v>15</v>
      </c>
    </row>
    <row r="407" spans="1:39" x14ac:dyDescent="0.3">
      <c r="A407" s="51" t="s">
        <v>1684</v>
      </c>
      <c r="B407" s="54" t="s">
        <v>399</v>
      </c>
      <c r="C407" s="51" t="s">
        <v>2765</v>
      </c>
      <c r="D407" s="53">
        <v>0</v>
      </c>
      <c r="E407" s="53">
        <v>1</v>
      </c>
      <c r="F407" s="51" t="s">
        <v>2715</v>
      </c>
      <c r="G407" s="51" t="s">
        <v>2695</v>
      </c>
      <c r="H407" s="25" t="str">
        <f t="shared" si="47"/>
        <v>jgd</v>
      </c>
      <c r="I407" t="s">
        <v>72</v>
      </c>
      <c r="J407" t="s">
        <v>155</v>
      </c>
      <c r="K407" t="s">
        <v>1682</v>
      </c>
      <c r="L407" s="25">
        <v>46.107587709999997</v>
      </c>
      <c r="M407" s="25">
        <v>8.8406541159999996</v>
      </c>
      <c r="N407">
        <v>4</v>
      </c>
      <c r="O407">
        <v>6</v>
      </c>
      <c r="P407">
        <v>11</v>
      </c>
      <c r="Q407">
        <v>2016</v>
      </c>
      <c r="R407" s="9">
        <v>42680</v>
      </c>
      <c r="S407">
        <v>317</v>
      </c>
      <c r="T407">
        <v>1</v>
      </c>
      <c r="U407">
        <v>0</v>
      </c>
      <c r="V407">
        <v>0</v>
      </c>
      <c r="W407">
        <v>0</v>
      </c>
      <c r="X407" s="57">
        <f t="shared" si="48"/>
        <v>-85.273944374999985</v>
      </c>
      <c r="Y407">
        <v>-24.1</v>
      </c>
      <c r="Z407">
        <v>4.82</v>
      </c>
      <c r="AA407" s="3">
        <f t="shared" si="50"/>
        <v>9</v>
      </c>
      <c r="AB407" s="3">
        <f t="shared" si="51"/>
        <v>5</v>
      </c>
      <c r="AD407" s="3" t="s">
        <v>2754</v>
      </c>
      <c r="AE407" s="22">
        <v>-92.439155499999998</v>
      </c>
      <c r="AF407" s="22">
        <f t="shared" si="52"/>
        <v>-92.439155499999998</v>
      </c>
      <c r="AG407" s="60" t="s">
        <v>16</v>
      </c>
      <c r="AH407" s="61" t="s">
        <v>16</v>
      </c>
      <c r="AJ407" s="3">
        <f t="shared" si="53"/>
        <v>9</v>
      </c>
      <c r="AK407" s="3" t="s">
        <v>2707</v>
      </c>
      <c r="AL407">
        <v>9</v>
      </c>
      <c r="AM407" t="s">
        <v>15</v>
      </c>
    </row>
    <row r="408" spans="1:39" hidden="1" x14ac:dyDescent="0.3">
      <c r="A408" s="51" t="s">
        <v>2585</v>
      </c>
      <c r="B408" s="54" t="s">
        <v>2056</v>
      </c>
      <c r="C408" s="51" t="s">
        <v>2765</v>
      </c>
      <c r="D408" s="53">
        <v>0</v>
      </c>
      <c r="E408" s="53">
        <v>1</v>
      </c>
      <c r="F408" s="51" t="s">
        <v>2715</v>
      </c>
      <c r="G408" s="51" t="s">
        <v>2695</v>
      </c>
      <c r="H408" s="25" t="str">
        <f t="shared" si="47"/>
        <v>jgd</v>
      </c>
      <c r="I408" t="s">
        <v>30</v>
      </c>
      <c r="J408" t="s">
        <v>2586</v>
      </c>
      <c r="K408" t="s">
        <v>2587</v>
      </c>
      <c r="L408" s="25">
        <v>46.734281000000003</v>
      </c>
      <c r="M408" s="25">
        <v>7.0497170000000002</v>
      </c>
      <c r="N408">
        <v>5</v>
      </c>
      <c r="O408">
        <v>28</v>
      </c>
      <c r="P408">
        <v>10</v>
      </c>
      <c r="Q408">
        <v>2017</v>
      </c>
      <c r="R408" s="9">
        <v>43036</v>
      </c>
      <c r="S408">
        <v>320</v>
      </c>
      <c r="T408">
        <v>1</v>
      </c>
      <c r="U408">
        <v>0</v>
      </c>
      <c r="V408">
        <v>0</v>
      </c>
      <c r="W408">
        <v>0</v>
      </c>
      <c r="X408" s="57">
        <f t="shared" si="48"/>
        <v>-84.837669000000005</v>
      </c>
      <c r="Y408" t="s">
        <v>16</v>
      </c>
      <c r="Z408">
        <v>7.2495956589999997</v>
      </c>
      <c r="AA408" s="3">
        <f t="shared" si="50"/>
        <v>8</v>
      </c>
      <c r="AB408" s="3">
        <f t="shared" si="51"/>
        <v>7</v>
      </c>
      <c r="AD408" s="3" t="s">
        <v>2751</v>
      </c>
      <c r="AE408" s="22">
        <v>-92.090135200000006</v>
      </c>
      <c r="AF408" s="22">
        <f t="shared" si="52"/>
        <v>-92.090135200000006</v>
      </c>
      <c r="AG408" s="60" t="s">
        <v>16</v>
      </c>
      <c r="AH408" s="61" t="s">
        <v>16</v>
      </c>
      <c r="AJ408" s="3">
        <f t="shared" si="53"/>
        <v>9</v>
      </c>
      <c r="AK408" s="3" t="s">
        <v>2707</v>
      </c>
      <c r="AL408">
        <v>9</v>
      </c>
      <c r="AM408" t="s">
        <v>15</v>
      </c>
    </row>
    <row r="409" spans="1:39" hidden="1" x14ac:dyDescent="0.3">
      <c r="A409" s="51" t="s">
        <v>1135</v>
      </c>
      <c r="B409" s="54" t="s">
        <v>1136</v>
      </c>
      <c r="C409" s="51" t="s">
        <v>2765</v>
      </c>
      <c r="D409" s="53">
        <v>0</v>
      </c>
      <c r="E409" s="53">
        <v>1</v>
      </c>
      <c r="F409" s="51" t="s">
        <v>2715</v>
      </c>
      <c r="G409" s="51" t="s">
        <v>2695</v>
      </c>
      <c r="H409" s="25" t="str">
        <f t="shared" si="47"/>
        <v>jgd</v>
      </c>
      <c r="I409" t="s">
        <v>385</v>
      </c>
      <c r="J409" t="s">
        <v>1137</v>
      </c>
      <c r="K409" t="s">
        <v>1138</v>
      </c>
      <c r="L409" s="25">
        <v>46.536055820000001</v>
      </c>
      <c r="M409" s="25">
        <v>6.2966969380000002</v>
      </c>
      <c r="N409">
        <v>4</v>
      </c>
      <c r="O409">
        <v>12</v>
      </c>
      <c r="P409">
        <v>11</v>
      </c>
      <c r="Q409">
        <v>2015</v>
      </c>
      <c r="R409" s="9">
        <v>42320</v>
      </c>
      <c r="S409">
        <v>310</v>
      </c>
      <c r="T409">
        <v>1</v>
      </c>
      <c r="U409">
        <v>0</v>
      </c>
      <c r="V409">
        <v>0</v>
      </c>
      <c r="W409">
        <v>0</v>
      </c>
      <c r="X409">
        <f t="shared" si="48"/>
        <v>-84.737500000000011</v>
      </c>
      <c r="Y409">
        <v>-23.600999999999999</v>
      </c>
      <c r="Z409">
        <v>8.056160234</v>
      </c>
      <c r="AA409" s="3">
        <f t="shared" si="50"/>
        <v>8</v>
      </c>
      <c r="AB409" s="3">
        <f t="shared" si="51"/>
        <v>8</v>
      </c>
      <c r="AD409" s="3" t="s">
        <v>2750</v>
      </c>
      <c r="AE409" s="22">
        <v>-92.01</v>
      </c>
      <c r="AF409" s="22">
        <f t="shared" si="52"/>
        <v>-92.01</v>
      </c>
      <c r="AG409" s="1">
        <v>-115.1</v>
      </c>
      <c r="AH409" s="2" t="s">
        <v>16</v>
      </c>
      <c r="AI409"/>
      <c r="AJ409" s="3">
        <f t="shared" si="53"/>
        <v>9</v>
      </c>
      <c r="AK409" s="3" t="s">
        <v>2707</v>
      </c>
      <c r="AL409">
        <v>9</v>
      </c>
      <c r="AM409" t="s">
        <v>15</v>
      </c>
    </row>
    <row r="410" spans="1:39" x14ac:dyDescent="0.3">
      <c r="A410" s="51" t="s">
        <v>1179</v>
      </c>
      <c r="B410" s="54" t="s">
        <v>1180</v>
      </c>
      <c r="C410" s="51" t="s">
        <v>2765</v>
      </c>
      <c r="D410" s="53">
        <v>0</v>
      </c>
      <c r="E410" s="53">
        <v>1</v>
      </c>
      <c r="F410" s="51" t="s">
        <v>2715</v>
      </c>
      <c r="G410" s="51" t="s">
        <v>2695</v>
      </c>
      <c r="H410" s="25" t="str">
        <f t="shared" si="47"/>
        <v>jgd</v>
      </c>
      <c r="I410" t="s">
        <v>72</v>
      </c>
      <c r="J410" t="s">
        <v>298</v>
      </c>
      <c r="K410" t="s">
        <v>1166</v>
      </c>
      <c r="L410" s="25">
        <v>46.13281242</v>
      </c>
      <c r="M410" s="25">
        <v>8.9428903559999995</v>
      </c>
      <c r="N410">
        <v>5</v>
      </c>
      <c r="O410">
        <v>24</v>
      </c>
      <c r="P410">
        <v>10</v>
      </c>
      <c r="Q410">
        <v>2015</v>
      </c>
      <c r="R410" s="9">
        <v>42301</v>
      </c>
      <c r="S410">
        <v>325</v>
      </c>
      <c r="T410">
        <v>1</v>
      </c>
      <c r="U410">
        <v>0</v>
      </c>
      <c r="V410">
        <v>0</v>
      </c>
      <c r="W410">
        <v>0</v>
      </c>
      <c r="X410">
        <f t="shared" si="48"/>
        <v>-84.712500000000006</v>
      </c>
      <c r="Y410">
        <v>-24.495481389999998</v>
      </c>
      <c r="Z410">
        <v>4.6618520219999997</v>
      </c>
      <c r="AA410" s="3">
        <f t="shared" si="50"/>
        <v>8</v>
      </c>
      <c r="AB410" s="3">
        <f t="shared" si="51"/>
        <v>5</v>
      </c>
      <c r="AD410" s="3" t="s">
        <v>2754</v>
      </c>
      <c r="AE410" s="22">
        <v>-91.99</v>
      </c>
      <c r="AF410" s="22">
        <f t="shared" si="52"/>
        <v>-91.99</v>
      </c>
      <c r="AG410" s="1">
        <v>-115.1</v>
      </c>
      <c r="AH410" s="2" t="s">
        <v>16</v>
      </c>
      <c r="AI410"/>
      <c r="AJ410" s="3">
        <f t="shared" si="53"/>
        <v>9</v>
      </c>
      <c r="AK410" s="3" t="s">
        <v>2707</v>
      </c>
      <c r="AL410">
        <v>9</v>
      </c>
      <c r="AM410" t="s">
        <v>15</v>
      </c>
    </row>
    <row r="411" spans="1:39" x14ac:dyDescent="0.3">
      <c r="A411" s="51" t="s">
        <v>1304</v>
      </c>
      <c r="B411" s="54" t="s">
        <v>1305</v>
      </c>
      <c r="C411" s="51" t="s">
        <v>2765</v>
      </c>
      <c r="D411" s="53">
        <v>0</v>
      </c>
      <c r="E411" s="53">
        <v>1</v>
      </c>
      <c r="F411" s="51" t="s">
        <v>2715</v>
      </c>
      <c r="G411" s="51" t="s">
        <v>2695</v>
      </c>
      <c r="H411" s="25" t="str">
        <f t="shared" si="47"/>
        <v>jgd</v>
      </c>
      <c r="I411" t="s">
        <v>72</v>
      </c>
      <c r="J411" t="s">
        <v>574</v>
      </c>
      <c r="K411" t="s">
        <v>16</v>
      </c>
      <c r="L411" s="25">
        <v>46.076965280000003</v>
      </c>
      <c r="M411" s="25">
        <v>9.0454240109999997</v>
      </c>
      <c r="N411">
        <v>4</v>
      </c>
      <c r="O411">
        <v>18</v>
      </c>
      <c r="P411">
        <v>11</v>
      </c>
      <c r="Q411">
        <v>2015</v>
      </c>
      <c r="R411" s="9">
        <v>42326</v>
      </c>
      <c r="S411">
        <v>270</v>
      </c>
      <c r="T411">
        <v>1</v>
      </c>
      <c r="U411">
        <v>0</v>
      </c>
      <c r="V411">
        <v>0</v>
      </c>
      <c r="W411">
        <v>0</v>
      </c>
      <c r="X411">
        <f t="shared" si="48"/>
        <v>-84.65</v>
      </c>
      <c r="Y411">
        <v>-24.090800000000002</v>
      </c>
      <c r="Z411">
        <v>7.4047104499999996</v>
      </c>
      <c r="AA411" s="3">
        <f t="shared" si="50"/>
        <v>8</v>
      </c>
      <c r="AB411" s="3">
        <f t="shared" si="51"/>
        <v>7</v>
      </c>
      <c r="AD411" s="3" t="s">
        <v>2754</v>
      </c>
      <c r="AE411" s="22">
        <v>-91.94</v>
      </c>
      <c r="AF411" s="22">
        <f t="shared" si="52"/>
        <v>-91.94</v>
      </c>
      <c r="AG411" s="1">
        <v>-115.1</v>
      </c>
      <c r="AH411" s="2" t="s">
        <v>16</v>
      </c>
      <c r="AI411"/>
      <c r="AJ411" s="3">
        <f t="shared" si="53"/>
        <v>9</v>
      </c>
      <c r="AK411" s="3" t="s">
        <v>2707</v>
      </c>
      <c r="AL411">
        <v>9</v>
      </c>
      <c r="AM411" t="s">
        <v>15</v>
      </c>
    </row>
    <row r="412" spans="1:39" hidden="1" x14ac:dyDescent="0.3">
      <c r="A412" s="51" t="s">
        <v>1869</v>
      </c>
      <c r="B412" s="54" t="s">
        <v>1870</v>
      </c>
      <c r="C412" s="51" t="s">
        <v>2765</v>
      </c>
      <c r="D412" s="53">
        <v>0</v>
      </c>
      <c r="E412" s="53">
        <v>1</v>
      </c>
      <c r="F412" s="51" t="s">
        <v>2715</v>
      </c>
      <c r="G412" s="51" t="s">
        <v>2695</v>
      </c>
      <c r="H412" s="25" t="str">
        <f t="shared" si="47"/>
        <v>jgd</v>
      </c>
      <c r="I412" t="s">
        <v>13</v>
      </c>
      <c r="J412" t="s">
        <v>1871</v>
      </c>
      <c r="K412" t="s">
        <v>1872</v>
      </c>
      <c r="L412" s="25">
        <v>47.006569730000002</v>
      </c>
      <c r="M412" s="25">
        <v>6.8798253689999997</v>
      </c>
      <c r="N412">
        <v>6</v>
      </c>
      <c r="O412">
        <v>14</v>
      </c>
      <c r="P412">
        <v>11</v>
      </c>
      <c r="Q412">
        <v>2016</v>
      </c>
      <c r="R412" s="9">
        <v>42688</v>
      </c>
      <c r="S412">
        <v>297</v>
      </c>
      <c r="T412">
        <v>1</v>
      </c>
      <c r="U412">
        <v>0</v>
      </c>
      <c r="V412">
        <v>0</v>
      </c>
      <c r="W412">
        <v>0</v>
      </c>
      <c r="X412" s="57">
        <f t="shared" si="48"/>
        <v>-84.45075374999999</v>
      </c>
      <c r="Y412">
        <v>-23.82</v>
      </c>
      <c r="Z412">
        <v>5.36</v>
      </c>
      <c r="AA412" s="3">
        <f t="shared" si="50"/>
        <v>8</v>
      </c>
      <c r="AB412" s="3">
        <f t="shared" si="51"/>
        <v>5</v>
      </c>
      <c r="AD412" s="3" t="s">
        <v>2750</v>
      </c>
      <c r="AE412" s="22">
        <v>-91.780602999999999</v>
      </c>
      <c r="AF412" s="22">
        <f t="shared" si="52"/>
        <v>-91.780602999999999</v>
      </c>
      <c r="AG412" s="60" t="s">
        <v>16</v>
      </c>
      <c r="AH412" s="61" t="s">
        <v>16</v>
      </c>
      <c r="AJ412" s="3">
        <f t="shared" si="53"/>
        <v>9</v>
      </c>
      <c r="AK412" s="3" t="s">
        <v>2707</v>
      </c>
      <c r="AL412">
        <v>9</v>
      </c>
      <c r="AM412" t="s">
        <v>15</v>
      </c>
    </row>
    <row r="413" spans="1:39" x14ac:dyDescent="0.3">
      <c r="A413" s="51" t="s">
        <v>1463</v>
      </c>
      <c r="B413" s="54" t="s">
        <v>1464</v>
      </c>
      <c r="C413" s="51" t="s">
        <v>2765</v>
      </c>
      <c r="D413" s="53">
        <v>0</v>
      </c>
      <c r="E413" s="53">
        <v>1</v>
      </c>
      <c r="F413" s="51" t="s">
        <v>2715</v>
      </c>
      <c r="G413" s="51" t="s">
        <v>2695</v>
      </c>
      <c r="H413" s="25" t="str">
        <f t="shared" si="47"/>
        <v>jgd</v>
      </c>
      <c r="I413" t="s">
        <v>72</v>
      </c>
      <c r="J413" t="s">
        <v>708</v>
      </c>
      <c r="K413" t="s">
        <v>1465</v>
      </c>
      <c r="L413" s="25">
        <v>46.52063046</v>
      </c>
      <c r="M413" s="25">
        <v>8.5997497240000005</v>
      </c>
      <c r="N413">
        <v>5</v>
      </c>
      <c r="O413">
        <v>30</v>
      </c>
      <c r="P413">
        <v>10</v>
      </c>
      <c r="Q413">
        <v>2016</v>
      </c>
      <c r="R413" s="9">
        <v>42673</v>
      </c>
      <c r="S413">
        <v>310</v>
      </c>
      <c r="T413">
        <v>1</v>
      </c>
      <c r="U413">
        <v>0</v>
      </c>
      <c r="V413">
        <v>0</v>
      </c>
      <c r="W413">
        <v>0</v>
      </c>
      <c r="X413" s="57">
        <f t="shared" si="48"/>
        <v>-84.396669374999988</v>
      </c>
      <c r="Y413">
        <v>-23.51</v>
      </c>
      <c r="Z413">
        <v>5.04</v>
      </c>
      <c r="AA413" s="3">
        <f t="shared" si="50"/>
        <v>8</v>
      </c>
      <c r="AB413" s="3">
        <f t="shared" si="51"/>
        <v>5</v>
      </c>
      <c r="AD413" s="3" t="s">
        <v>2754</v>
      </c>
      <c r="AE413" s="22">
        <v>-91.7373355</v>
      </c>
      <c r="AF413" s="22">
        <f t="shared" si="52"/>
        <v>-91.7373355</v>
      </c>
      <c r="AG413" s="60" t="s">
        <v>16</v>
      </c>
      <c r="AH413" s="61" t="s">
        <v>16</v>
      </c>
      <c r="AJ413" s="3">
        <f t="shared" si="53"/>
        <v>9</v>
      </c>
      <c r="AK413" s="3" t="s">
        <v>2707</v>
      </c>
      <c r="AL413">
        <v>9</v>
      </c>
      <c r="AM413" t="s">
        <v>15</v>
      </c>
    </row>
    <row r="414" spans="1:39" x14ac:dyDescent="0.3">
      <c r="A414" s="51" t="s">
        <v>1524</v>
      </c>
      <c r="B414" s="54" t="s">
        <v>357</v>
      </c>
      <c r="C414" s="51" t="s">
        <v>2765</v>
      </c>
      <c r="D414" s="53">
        <v>0</v>
      </c>
      <c r="E414" s="53">
        <v>1</v>
      </c>
      <c r="F414" s="51" t="s">
        <v>2715</v>
      </c>
      <c r="G414" s="51" t="s">
        <v>2695</v>
      </c>
      <c r="H414" s="25" t="str">
        <f t="shared" si="47"/>
        <v>jgd</v>
      </c>
      <c r="I414" t="s">
        <v>72</v>
      </c>
      <c r="J414" t="s">
        <v>1310</v>
      </c>
      <c r="K414" t="s">
        <v>740</v>
      </c>
      <c r="L414" s="25">
        <v>46.213881800000003</v>
      </c>
      <c r="M414" s="25">
        <v>8.6900593009999998</v>
      </c>
      <c r="N414">
        <v>6</v>
      </c>
      <c r="O414">
        <v>8</v>
      </c>
      <c r="P414">
        <v>11</v>
      </c>
      <c r="Q414">
        <v>2016</v>
      </c>
      <c r="R414" s="9">
        <v>42682</v>
      </c>
      <c r="S414">
        <v>285</v>
      </c>
      <c r="T414">
        <v>1</v>
      </c>
      <c r="U414">
        <v>0</v>
      </c>
      <c r="V414">
        <v>0</v>
      </c>
      <c r="W414">
        <v>0</v>
      </c>
      <c r="X414" s="57">
        <f t="shared" si="48"/>
        <v>-84.357422750000012</v>
      </c>
      <c r="Y414">
        <v>-23</v>
      </c>
      <c r="Z414">
        <v>6.35</v>
      </c>
      <c r="AA414" s="3">
        <f t="shared" si="50"/>
        <v>8</v>
      </c>
      <c r="AB414" s="3">
        <f t="shared" si="51"/>
        <v>6</v>
      </c>
      <c r="AD414" s="3" t="s">
        <v>2754</v>
      </c>
      <c r="AE414" s="22">
        <v>-91.705938200000006</v>
      </c>
      <c r="AF414" s="22">
        <f t="shared" si="52"/>
        <v>-91.705938200000006</v>
      </c>
      <c r="AG414" s="60" t="s">
        <v>16</v>
      </c>
      <c r="AH414" s="61" t="s">
        <v>16</v>
      </c>
      <c r="AJ414" s="3">
        <f t="shared" si="53"/>
        <v>9</v>
      </c>
      <c r="AK414" s="3" t="s">
        <v>2707</v>
      </c>
      <c r="AL414">
        <v>9</v>
      </c>
      <c r="AM414" t="s">
        <v>15</v>
      </c>
    </row>
    <row r="415" spans="1:39" hidden="1" x14ac:dyDescent="0.3">
      <c r="A415" s="51" t="s">
        <v>2011</v>
      </c>
      <c r="B415" s="54" t="s">
        <v>1372</v>
      </c>
      <c r="C415" s="51" t="s">
        <v>2765</v>
      </c>
      <c r="D415" s="53">
        <v>0</v>
      </c>
      <c r="E415" s="53">
        <v>1</v>
      </c>
      <c r="F415" s="51" t="s">
        <v>2715</v>
      </c>
      <c r="G415" s="51" t="s">
        <v>2695</v>
      </c>
      <c r="H415" s="25" t="str">
        <f t="shared" si="47"/>
        <v>jgd</v>
      </c>
      <c r="I415" t="s">
        <v>30</v>
      </c>
      <c r="J415" t="s">
        <v>286</v>
      </c>
      <c r="K415" t="s">
        <v>2012</v>
      </c>
      <c r="L415" s="25">
        <v>46.766774400000003</v>
      </c>
      <c r="M415" s="25">
        <v>7.0430204830000003</v>
      </c>
      <c r="N415">
        <v>5</v>
      </c>
      <c r="O415">
        <v>7</v>
      </c>
      <c r="P415">
        <v>11</v>
      </c>
      <c r="Q415">
        <v>2016</v>
      </c>
      <c r="R415" s="9">
        <v>42681</v>
      </c>
      <c r="S415">
        <v>330</v>
      </c>
      <c r="T415">
        <v>1</v>
      </c>
      <c r="U415">
        <v>0</v>
      </c>
      <c r="V415">
        <v>0</v>
      </c>
      <c r="W415">
        <v>0</v>
      </c>
      <c r="X415" s="57">
        <f t="shared" si="48"/>
        <v>-84.333079999999995</v>
      </c>
      <c r="Y415">
        <v>-24.06</v>
      </c>
      <c r="Z415">
        <v>4.38</v>
      </c>
      <c r="AA415" s="3">
        <f t="shared" si="50"/>
        <v>8</v>
      </c>
      <c r="AB415" s="3">
        <f t="shared" si="51"/>
        <v>4</v>
      </c>
      <c r="AD415" s="3" t="s">
        <v>2751</v>
      </c>
      <c r="AE415" s="22">
        <v>-91.686464000000001</v>
      </c>
      <c r="AF415" s="22">
        <f t="shared" si="52"/>
        <v>-91.686464000000001</v>
      </c>
      <c r="AG415" s="60" t="s">
        <v>16</v>
      </c>
      <c r="AH415" s="61" t="s">
        <v>16</v>
      </c>
      <c r="AJ415" s="3">
        <f t="shared" si="53"/>
        <v>9</v>
      </c>
      <c r="AK415" s="3" t="s">
        <v>2707</v>
      </c>
      <c r="AL415">
        <v>9</v>
      </c>
      <c r="AM415" t="s">
        <v>15</v>
      </c>
    </row>
    <row r="416" spans="1:39" hidden="1" x14ac:dyDescent="0.3">
      <c r="A416" s="51" t="s">
        <v>293</v>
      </c>
      <c r="B416" s="54" t="s">
        <v>294</v>
      </c>
      <c r="C416" s="51" t="s">
        <v>2765</v>
      </c>
      <c r="D416" s="53">
        <v>0</v>
      </c>
      <c r="E416" s="53">
        <v>1</v>
      </c>
      <c r="F416" s="51" t="s">
        <v>2715</v>
      </c>
      <c r="G416" s="51" t="s">
        <v>2695</v>
      </c>
      <c r="H416" s="25" t="str">
        <f t="shared" si="47"/>
        <v>jgd</v>
      </c>
      <c r="I416" t="s">
        <v>30</v>
      </c>
      <c r="J416" t="s">
        <v>31</v>
      </c>
      <c r="K416" t="s">
        <v>295</v>
      </c>
      <c r="L416" s="25">
        <v>46.644415889999998</v>
      </c>
      <c r="M416" s="25">
        <v>7.0227430970000002</v>
      </c>
      <c r="N416">
        <v>6</v>
      </c>
      <c r="O416">
        <v>5</v>
      </c>
      <c r="P416">
        <v>11</v>
      </c>
      <c r="Q416">
        <v>2013</v>
      </c>
      <c r="R416" s="9">
        <v>41583</v>
      </c>
      <c r="S416">
        <v>330</v>
      </c>
      <c r="T416">
        <v>1</v>
      </c>
      <c r="U416">
        <v>0</v>
      </c>
      <c r="V416">
        <v>0</v>
      </c>
      <c r="W416">
        <v>0</v>
      </c>
      <c r="X416">
        <f t="shared" si="48"/>
        <v>-84.075000000000017</v>
      </c>
      <c r="Y416">
        <v>-48.11537191</v>
      </c>
      <c r="Z416">
        <v>4.5326032730000003</v>
      </c>
      <c r="AA416" s="3">
        <f t="shared" si="50"/>
        <v>8</v>
      </c>
      <c r="AB416" s="3">
        <f t="shared" si="51"/>
        <v>5</v>
      </c>
      <c r="AD416" s="3" t="s">
        <v>2751</v>
      </c>
      <c r="AE416" s="22">
        <v>-91.48</v>
      </c>
      <c r="AF416" s="22">
        <f t="shared" si="52"/>
        <v>-91.48</v>
      </c>
      <c r="AG416" s="1">
        <v>-114.6</v>
      </c>
      <c r="AH416" s="2" t="s">
        <v>16</v>
      </c>
      <c r="AI416"/>
      <c r="AJ416" s="3">
        <f t="shared" si="53"/>
        <v>9</v>
      </c>
      <c r="AK416" s="3" t="s">
        <v>2707</v>
      </c>
      <c r="AL416">
        <v>9</v>
      </c>
      <c r="AM416" t="s">
        <v>15</v>
      </c>
    </row>
    <row r="417" spans="1:39" hidden="1" x14ac:dyDescent="0.3">
      <c r="A417" s="51" t="s">
        <v>919</v>
      </c>
      <c r="B417" s="54" t="s">
        <v>150</v>
      </c>
      <c r="C417" s="51" t="s">
        <v>2765</v>
      </c>
      <c r="D417" s="53">
        <v>0</v>
      </c>
      <c r="E417" s="53">
        <v>1</v>
      </c>
      <c r="F417" s="51" t="s">
        <v>2715</v>
      </c>
      <c r="G417" s="51" t="s">
        <v>2695</v>
      </c>
      <c r="H417" s="25" t="str">
        <f t="shared" si="47"/>
        <v>jgd</v>
      </c>
      <c r="I417" t="s">
        <v>385</v>
      </c>
      <c r="J417" t="s">
        <v>84</v>
      </c>
      <c r="K417" t="s">
        <v>920</v>
      </c>
      <c r="L417" s="25">
        <v>46.933621930000001</v>
      </c>
      <c r="M417" s="25">
        <v>6.4983120029999997</v>
      </c>
      <c r="N417">
        <v>5</v>
      </c>
      <c r="O417">
        <v>10</v>
      </c>
      <c r="P417">
        <v>10</v>
      </c>
      <c r="Q417">
        <v>2015</v>
      </c>
      <c r="R417" s="9">
        <v>42287</v>
      </c>
      <c r="S417">
        <v>347</v>
      </c>
      <c r="T417">
        <v>1</v>
      </c>
      <c r="U417">
        <v>0</v>
      </c>
      <c r="V417">
        <v>0</v>
      </c>
      <c r="W417">
        <v>0</v>
      </c>
      <c r="X417">
        <f t="shared" si="48"/>
        <v>-83.987499999999983</v>
      </c>
      <c r="Y417">
        <v>-24.751999999999999</v>
      </c>
      <c r="Z417">
        <v>3.9638846239999999</v>
      </c>
      <c r="AA417" s="3">
        <f t="shared" si="50"/>
        <v>8</v>
      </c>
      <c r="AB417" s="3">
        <f t="shared" si="51"/>
        <v>4</v>
      </c>
      <c r="AD417" s="3" t="s">
        <v>2750</v>
      </c>
      <c r="AE417" s="22">
        <v>-91.41</v>
      </c>
      <c r="AF417" s="22">
        <f t="shared" si="52"/>
        <v>-91.41</v>
      </c>
      <c r="AG417" s="1">
        <v>-114.5</v>
      </c>
      <c r="AH417" s="2" t="s">
        <v>16</v>
      </c>
      <c r="AI417"/>
      <c r="AJ417" s="3">
        <f t="shared" si="53"/>
        <v>9</v>
      </c>
      <c r="AK417" s="3" t="s">
        <v>2707</v>
      </c>
      <c r="AL417">
        <v>9</v>
      </c>
      <c r="AM417" t="s">
        <v>15</v>
      </c>
    </row>
    <row r="418" spans="1:39" hidden="1" x14ac:dyDescent="0.3">
      <c r="A418" s="51" t="s">
        <v>321</v>
      </c>
      <c r="B418" s="54" t="s">
        <v>23</v>
      </c>
      <c r="C418" s="51" t="s">
        <v>2765</v>
      </c>
      <c r="D418" s="53">
        <v>0</v>
      </c>
      <c r="E418" s="53">
        <v>1</v>
      </c>
      <c r="F418" s="51" t="s">
        <v>2715</v>
      </c>
      <c r="G418" s="51" t="s">
        <v>2695</v>
      </c>
      <c r="H418" s="25" t="str">
        <f t="shared" si="47"/>
        <v>jgd</v>
      </c>
      <c r="I418" t="s">
        <v>13</v>
      </c>
      <c r="J418" t="s">
        <v>14</v>
      </c>
      <c r="K418" t="s">
        <v>318</v>
      </c>
      <c r="L418" s="25">
        <v>46.894147359999998</v>
      </c>
      <c r="M418" s="25">
        <v>6.5114821359999997</v>
      </c>
      <c r="N418">
        <v>6</v>
      </c>
      <c r="O418">
        <v>29</v>
      </c>
      <c r="P418">
        <v>10</v>
      </c>
      <c r="Q418">
        <v>2014</v>
      </c>
      <c r="R418" s="9">
        <v>41941</v>
      </c>
      <c r="S418">
        <v>340</v>
      </c>
      <c r="T418">
        <v>1</v>
      </c>
      <c r="U418">
        <v>0</v>
      </c>
      <c r="V418">
        <v>0</v>
      </c>
      <c r="W418">
        <v>0</v>
      </c>
      <c r="X418">
        <f t="shared" si="48"/>
        <v>-83.9375</v>
      </c>
      <c r="Y418">
        <v>-24.719285710000001</v>
      </c>
      <c r="Z418">
        <v>3.3415363149999999</v>
      </c>
      <c r="AA418" s="3">
        <f t="shared" si="50"/>
        <v>8</v>
      </c>
      <c r="AB418" s="3">
        <f t="shared" si="51"/>
        <v>3</v>
      </c>
      <c r="AD418" s="3" t="s">
        <v>2750</v>
      </c>
      <c r="AE418" s="22">
        <v>-91.37</v>
      </c>
      <c r="AF418" s="22">
        <f t="shared" si="52"/>
        <v>-91.37</v>
      </c>
      <c r="AG418" s="1">
        <v>-114.5</v>
      </c>
      <c r="AH418" s="2" t="s">
        <v>16</v>
      </c>
      <c r="AI418"/>
      <c r="AJ418" s="3">
        <f t="shared" si="53"/>
        <v>9</v>
      </c>
      <c r="AK418" s="3" t="s">
        <v>2707</v>
      </c>
      <c r="AL418">
        <v>9</v>
      </c>
      <c r="AM418" t="s">
        <v>15</v>
      </c>
    </row>
    <row r="419" spans="1:39" hidden="1" x14ac:dyDescent="0.3">
      <c r="A419" s="51" t="s">
        <v>609</v>
      </c>
      <c r="B419" s="54" t="s">
        <v>610</v>
      </c>
      <c r="C419" s="51" t="s">
        <v>2765</v>
      </c>
      <c r="D419" s="53">
        <v>0</v>
      </c>
      <c r="E419" s="53">
        <v>1</v>
      </c>
      <c r="F419" s="51" t="s">
        <v>2715</v>
      </c>
      <c r="G419" s="51" t="s">
        <v>2695</v>
      </c>
      <c r="H419" s="25" t="str">
        <f t="shared" si="47"/>
        <v>jgd</v>
      </c>
      <c r="I419" t="s">
        <v>30</v>
      </c>
      <c r="J419" t="s">
        <v>611</v>
      </c>
      <c r="K419" t="s">
        <v>612</v>
      </c>
      <c r="L419" s="25">
        <v>46.662220730000001</v>
      </c>
      <c r="M419" s="25">
        <v>7.0136427540000001</v>
      </c>
      <c r="N419">
        <v>4</v>
      </c>
      <c r="O419">
        <v>25</v>
      </c>
      <c r="P419">
        <v>10</v>
      </c>
      <c r="Q419">
        <v>2014</v>
      </c>
      <c r="R419" s="9">
        <v>41937</v>
      </c>
      <c r="S419">
        <v>303</v>
      </c>
      <c r="T419">
        <v>1</v>
      </c>
      <c r="U419">
        <v>0</v>
      </c>
      <c r="V419">
        <v>0</v>
      </c>
      <c r="W419">
        <v>0</v>
      </c>
      <c r="X419">
        <f t="shared" si="48"/>
        <v>-83.837500000000006</v>
      </c>
      <c r="Y419" t="s">
        <v>16</v>
      </c>
      <c r="Z419" t="s">
        <v>16</v>
      </c>
      <c r="AA419" s="3">
        <f t="shared" si="50"/>
        <v>8</v>
      </c>
      <c r="AD419" s="3" t="s">
        <v>2751</v>
      </c>
      <c r="AE419" s="22">
        <v>-91.29</v>
      </c>
      <c r="AF419" s="22">
        <f t="shared" si="52"/>
        <v>-91.29</v>
      </c>
      <c r="AG419" s="1">
        <v>-114.4</v>
      </c>
      <c r="AH419" s="2" t="s">
        <v>16</v>
      </c>
      <c r="AI419"/>
      <c r="AJ419" s="3">
        <f t="shared" si="53"/>
        <v>9</v>
      </c>
      <c r="AK419" s="3" t="s">
        <v>2707</v>
      </c>
      <c r="AL419">
        <v>9</v>
      </c>
      <c r="AM419" t="s">
        <v>15</v>
      </c>
    </row>
    <row r="420" spans="1:39" x14ac:dyDescent="0.3">
      <c r="A420" s="51" t="s">
        <v>1543</v>
      </c>
      <c r="B420" s="54" t="s">
        <v>1544</v>
      </c>
      <c r="C420" s="51" t="s">
        <v>2765</v>
      </c>
      <c r="D420" s="53">
        <v>0</v>
      </c>
      <c r="E420" s="53">
        <v>1</v>
      </c>
      <c r="F420" s="51" t="s">
        <v>2715</v>
      </c>
      <c r="G420" s="51" t="s">
        <v>2695</v>
      </c>
      <c r="H420" s="25" t="str">
        <f t="shared" si="47"/>
        <v>jgd</v>
      </c>
      <c r="I420" t="s">
        <v>72</v>
      </c>
      <c r="J420" t="s">
        <v>130</v>
      </c>
      <c r="K420" t="s">
        <v>1545</v>
      </c>
      <c r="L420" s="25">
        <v>46.256461909999999</v>
      </c>
      <c r="M420" s="25">
        <v>8.6746312119999995</v>
      </c>
      <c r="N420">
        <v>6</v>
      </c>
      <c r="O420">
        <v>5</v>
      </c>
      <c r="P420">
        <v>11</v>
      </c>
      <c r="Q420">
        <v>2016</v>
      </c>
      <c r="R420" s="9">
        <v>42679</v>
      </c>
      <c r="S420">
        <v>310</v>
      </c>
      <c r="T420">
        <v>1</v>
      </c>
      <c r="U420">
        <v>0</v>
      </c>
      <c r="V420">
        <v>0</v>
      </c>
      <c r="W420">
        <v>0</v>
      </c>
      <c r="X420" s="57">
        <f t="shared" si="48"/>
        <v>-83.789890874999998</v>
      </c>
      <c r="Y420">
        <v>-24.68</v>
      </c>
      <c r="Z420">
        <v>9.4499999999999993</v>
      </c>
      <c r="AA420" s="3">
        <f t="shared" si="50"/>
        <v>8</v>
      </c>
      <c r="AB420" s="3">
        <f t="shared" ref="AB420:AB434" si="54">ROUND(Z420,0)</f>
        <v>9</v>
      </c>
      <c r="AD420" s="3" t="s">
        <v>2754</v>
      </c>
      <c r="AE420" s="22">
        <v>-91.251912700000005</v>
      </c>
      <c r="AF420" s="22">
        <f t="shared" si="52"/>
        <v>-91.251912700000005</v>
      </c>
      <c r="AG420" s="60" t="s">
        <v>16</v>
      </c>
      <c r="AH420" s="61" t="s">
        <v>16</v>
      </c>
      <c r="AJ420" s="3">
        <f t="shared" si="53"/>
        <v>9</v>
      </c>
      <c r="AK420" s="3" t="s">
        <v>2707</v>
      </c>
      <c r="AL420">
        <v>9</v>
      </c>
      <c r="AM420" t="s">
        <v>15</v>
      </c>
    </row>
    <row r="421" spans="1:39" x14ac:dyDescent="0.3">
      <c r="A421" s="51" t="s">
        <v>303</v>
      </c>
      <c r="B421" s="54" t="s">
        <v>71</v>
      </c>
      <c r="C421" s="51" t="s">
        <v>2765</v>
      </c>
      <c r="D421" s="53">
        <v>0</v>
      </c>
      <c r="E421" s="53">
        <v>1</v>
      </c>
      <c r="F421" s="51" t="s">
        <v>2715</v>
      </c>
      <c r="G421" s="51" t="s">
        <v>2695</v>
      </c>
      <c r="H421" s="25" t="str">
        <f t="shared" si="47"/>
        <v>jgd</v>
      </c>
      <c r="I421" t="s">
        <v>72</v>
      </c>
      <c r="J421" t="s">
        <v>140</v>
      </c>
      <c r="K421" t="s">
        <v>144</v>
      </c>
      <c r="L421" s="25">
        <v>46.084915940000002</v>
      </c>
      <c r="M421" s="25">
        <v>9.0867763789999998</v>
      </c>
      <c r="N421">
        <v>5</v>
      </c>
      <c r="O421">
        <v>28</v>
      </c>
      <c r="P421">
        <v>10</v>
      </c>
      <c r="Q421">
        <v>2014</v>
      </c>
      <c r="R421" s="9">
        <v>41940</v>
      </c>
      <c r="S421">
        <v>360</v>
      </c>
      <c r="T421">
        <v>1</v>
      </c>
      <c r="U421">
        <v>0</v>
      </c>
      <c r="V421">
        <v>0</v>
      </c>
      <c r="W421">
        <v>0</v>
      </c>
      <c r="X421">
        <f t="shared" si="48"/>
        <v>-83.737499999999983</v>
      </c>
      <c r="Y421">
        <v>-24.277750000000001</v>
      </c>
      <c r="Z421">
        <v>5.8756138020000002</v>
      </c>
      <c r="AA421" s="3">
        <f t="shared" si="50"/>
        <v>8</v>
      </c>
      <c r="AB421" s="3">
        <f t="shared" si="54"/>
        <v>6</v>
      </c>
      <c r="AD421" s="3" t="s">
        <v>2754</v>
      </c>
      <c r="AE421" s="22">
        <v>-91.21</v>
      </c>
      <c r="AF421" s="22">
        <f t="shared" si="52"/>
        <v>-91.21</v>
      </c>
      <c r="AG421" s="1">
        <v>-114.3</v>
      </c>
      <c r="AH421" s="2" t="s">
        <v>16</v>
      </c>
      <c r="AI421"/>
      <c r="AJ421" s="3">
        <f t="shared" si="53"/>
        <v>9</v>
      </c>
      <c r="AK421" s="3" t="s">
        <v>2707</v>
      </c>
      <c r="AL421">
        <v>9</v>
      </c>
      <c r="AM421" t="s">
        <v>15</v>
      </c>
    </row>
    <row r="422" spans="1:39" x14ac:dyDescent="0.3">
      <c r="A422" s="51" t="s">
        <v>1903</v>
      </c>
      <c r="B422" s="54" t="s">
        <v>1118</v>
      </c>
      <c r="C422" s="51" t="s">
        <v>2765</v>
      </c>
      <c r="D422" s="53">
        <v>0</v>
      </c>
      <c r="E422" s="53">
        <v>1</v>
      </c>
      <c r="F422" s="51" t="s">
        <v>2715</v>
      </c>
      <c r="G422" s="51" t="s">
        <v>2695</v>
      </c>
      <c r="H422" s="25" t="str">
        <f t="shared" si="47"/>
        <v>jgd</v>
      </c>
      <c r="I422" t="s">
        <v>72</v>
      </c>
      <c r="J422" t="s">
        <v>1098</v>
      </c>
      <c r="K422" t="s">
        <v>1894</v>
      </c>
      <c r="L422" s="25">
        <v>46.025250970000002</v>
      </c>
      <c r="M422" s="25">
        <v>8.8368246920000004</v>
      </c>
      <c r="N422">
        <v>6</v>
      </c>
      <c r="O422">
        <v>23</v>
      </c>
      <c r="P422">
        <v>11</v>
      </c>
      <c r="Q422">
        <v>2016</v>
      </c>
      <c r="R422" s="9">
        <v>42697</v>
      </c>
      <c r="S422">
        <v>314</v>
      </c>
      <c r="T422">
        <v>1</v>
      </c>
      <c r="U422">
        <v>0</v>
      </c>
      <c r="V422">
        <v>0</v>
      </c>
      <c r="W422">
        <v>0</v>
      </c>
      <c r="X422" s="57">
        <f t="shared" si="48"/>
        <v>-83.700102249999986</v>
      </c>
      <c r="Y422">
        <v>-24.68</v>
      </c>
      <c r="Z422">
        <v>5.91</v>
      </c>
      <c r="AA422" s="3">
        <f t="shared" si="50"/>
        <v>8</v>
      </c>
      <c r="AB422" s="3">
        <f t="shared" si="54"/>
        <v>6</v>
      </c>
      <c r="AD422" s="3" t="s">
        <v>2754</v>
      </c>
      <c r="AE422" s="22">
        <v>-91.180081799999996</v>
      </c>
      <c r="AF422" s="22">
        <f t="shared" si="52"/>
        <v>-91.180081799999996</v>
      </c>
      <c r="AG422" s="60" t="s">
        <v>16</v>
      </c>
      <c r="AH422" s="61" t="s">
        <v>16</v>
      </c>
      <c r="AJ422" s="3">
        <f t="shared" si="53"/>
        <v>9</v>
      </c>
      <c r="AK422" s="3" t="s">
        <v>2707</v>
      </c>
      <c r="AL422">
        <v>9</v>
      </c>
      <c r="AM422" t="s">
        <v>15</v>
      </c>
    </row>
    <row r="423" spans="1:39" x14ac:dyDescent="0.3">
      <c r="A423" s="51" t="s">
        <v>1267</v>
      </c>
      <c r="B423" s="54" t="s">
        <v>1268</v>
      </c>
      <c r="C423" s="51" t="s">
        <v>2765</v>
      </c>
      <c r="D423" s="53">
        <v>0</v>
      </c>
      <c r="E423" s="53">
        <v>1</v>
      </c>
      <c r="F423" s="51" t="s">
        <v>2715</v>
      </c>
      <c r="G423" s="51" t="s">
        <v>2695</v>
      </c>
      <c r="H423" s="25" t="str">
        <f t="shared" si="47"/>
        <v>jgd</v>
      </c>
      <c r="I423" t="s">
        <v>72</v>
      </c>
      <c r="J423" t="s">
        <v>1245</v>
      </c>
      <c r="K423" t="s">
        <v>1246</v>
      </c>
      <c r="L423" s="25">
        <v>46.070111439999998</v>
      </c>
      <c r="M423" s="25">
        <v>8.9046464350000001</v>
      </c>
      <c r="N423">
        <v>4</v>
      </c>
      <c r="O423">
        <v>10</v>
      </c>
      <c r="P423">
        <v>11</v>
      </c>
      <c r="Q423">
        <v>2015</v>
      </c>
      <c r="R423" s="9">
        <v>42318</v>
      </c>
      <c r="S423">
        <v>290</v>
      </c>
      <c r="T423">
        <v>1</v>
      </c>
      <c r="U423">
        <v>0</v>
      </c>
      <c r="V423">
        <v>0</v>
      </c>
      <c r="W423">
        <v>0</v>
      </c>
      <c r="X423">
        <f t="shared" si="48"/>
        <v>-83.674999999999983</v>
      </c>
      <c r="Y423">
        <v>-24.779943759999998</v>
      </c>
      <c r="Z423">
        <v>6.5140041039999996</v>
      </c>
      <c r="AA423" s="3">
        <f t="shared" si="50"/>
        <v>8</v>
      </c>
      <c r="AB423" s="3">
        <f t="shared" si="54"/>
        <v>7</v>
      </c>
      <c r="AD423" s="3" t="s">
        <v>2754</v>
      </c>
      <c r="AE423" s="22">
        <v>-91.16</v>
      </c>
      <c r="AF423" s="22">
        <f t="shared" si="52"/>
        <v>-91.16</v>
      </c>
      <c r="AG423" s="1">
        <v>-114.3</v>
      </c>
      <c r="AH423" s="2" t="s">
        <v>16</v>
      </c>
      <c r="AI423"/>
      <c r="AJ423" s="3">
        <f t="shared" si="53"/>
        <v>9</v>
      </c>
      <c r="AK423" s="3" t="s">
        <v>2707</v>
      </c>
      <c r="AL423">
        <v>9</v>
      </c>
      <c r="AM423" t="s">
        <v>15</v>
      </c>
    </row>
    <row r="424" spans="1:39" hidden="1" x14ac:dyDescent="0.3">
      <c r="A424" s="51" t="s">
        <v>290</v>
      </c>
      <c r="B424" s="54" t="s">
        <v>291</v>
      </c>
      <c r="C424" s="51" t="s">
        <v>2765</v>
      </c>
      <c r="D424" s="53">
        <v>0</v>
      </c>
      <c r="E424" s="53">
        <v>1</v>
      </c>
      <c r="F424" s="51" t="s">
        <v>2715</v>
      </c>
      <c r="G424" s="51" t="s">
        <v>2695</v>
      </c>
      <c r="H424" s="25" t="str">
        <f t="shared" si="47"/>
        <v>jgd</v>
      </c>
      <c r="I424" t="s">
        <v>30</v>
      </c>
      <c r="J424" t="s">
        <v>43</v>
      </c>
      <c r="K424" t="s">
        <v>292</v>
      </c>
      <c r="L424" s="25">
        <v>46.663077440000002</v>
      </c>
      <c r="M424" s="25">
        <v>7.1752383929999999</v>
      </c>
      <c r="N424">
        <v>6</v>
      </c>
      <c r="O424">
        <v>31</v>
      </c>
      <c r="P424">
        <v>10</v>
      </c>
      <c r="Q424">
        <v>2013</v>
      </c>
      <c r="R424" s="9">
        <v>41578</v>
      </c>
      <c r="S424">
        <v>330</v>
      </c>
      <c r="T424">
        <v>1</v>
      </c>
      <c r="U424">
        <v>0</v>
      </c>
      <c r="V424">
        <v>0</v>
      </c>
      <c r="W424">
        <v>0</v>
      </c>
      <c r="X424">
        <f t="shared" si="48"/>
        <v>-83.587500000000006</v>
      </c>
      <c r="Y424">
        <v>-38.357839650000003</v>
      </c>
      <c r="Z424">
        <v>5.2005087730000001</v>
      </c>
      <c r="AA424" s="3">
        <f t="shared" si="50"/>
        <v>8</v>
      </c>
      <c r="AB424" s="3">
        <f t="shared" si="54"/>
        <v>5</v>
      </c>
      <c r="AD424" s="3" t="s">
        <v>2752</v>
      </c>
      <c r="AE424" s="22">
        <v>-91.09</v>
      </c>
      <c r="AF424" s="22">
        <f t="shared" si="52"/>
        <v>-91.09</v>
      </c>
      <c r="AG424" s="1">
        <v>-114.2</v>
      </c>
      <c r="AH424" s="2" t="s">
        <v>16</v>
      </c>
      <c r="AI424"/>
      <c r="AJ424" s="3">
        <f t="shared" si="53"/>
        <v>9</v>
      </c>
      <c r="AK424" s="3" t="s">
        <v>2707</v>
      </c>
      <c r="AL424">
        <v>9</v>
      </c>
      <c r="AM424" t="s">
        <v>15</v>
      </c>
    </row>
    <row r="425" spans="1:39" hidden="1" x14ac:dyDescent="0.3">
      <c r="A425" s="51" t="s">
        <v>2142</v>
      </c>
      <c r="B425" s="54" t="s">
        <v>2143</v>
      </c>
      <c r="C425" s="51" t="s">
        <v>2765</v>
      </c>
      <c r="D425" s="53">
        <v>0</v>
      </c>
      <c r="E425" s="53">
        <v>1</v>
      </c>
      <c r="F425" s="51" t="s">
        <v>2715</v>
      </c>
      <c r="G425" s="51" t="s">
        <v>2695</v>
      </c>
      <c r="H425" s="25" t="str">
        <f t="shared" si="47"/>
        <v>jgd</v>
      </c>
      <c r="I425" t="s">
        <v>13</v>
      </c>
      <c r="J425" t="s">
        <v>16</v>
      </c>
      <c r="K425" t="s">
        <v>16</v>
      </c>
      <c r="L425" s="25">
        <v>46.961441630000003</v>
      </c>
      <c r="M425" s="25">
        <v>6.5911810150000001</v>
      </c>
      <c r="N425">
        <v>3</v>
      </c>
      <c r="O425">
        <v>25</v>
      </c>
      <c r="P425">
        <v>10</v>
      </c>
      <c r="Q425">
        <v>2017</v>
      </c>
      <c r="R425" s="9">
        <v>43033</v>
      </c>
      <c r="S425">
        <v>352</v>
      </c>
      <c r="T425">
        <v>1</v>
      </c>
      <c r="U425">
        <v>0</v>
      </c>
      <c r="V425">
        <v>0</v>
      </c>
      <c r="W425">
        <v>0</v>
      </c>
      <c r="X425" s="57">
        <f t="shared" si="48"/>
        <v>-83.522842499999996</v>
      </c>
      <c r="Y425" t="s">
        <v>16</v>
      </c>
      <c r="Z425">
        <v>3.933242618</v>
      </c>
      <c r="AA425" s="3">
        <f t="shared" si="50"/>
        <v>8</v>
      </c>
      <c r="AB425" s="3">
        <f t="shared" si="54"/>
        <v>4</v>
      </c>
      <c r="AD425" s="3" t="s">
        <v>2750</v>
      </c>
      <c r="AE425" s="22">
        <v>-91.038274000000001</v>
      </c>
      <c r="AF425" s="22">
        <f t="shared" si="52"/>
        <v>-91.038274000000001</v>
      </c>
      <c r="AG425" s="60" t="s">
        <v>16</v>
      </c>
      <c r="AH425" s="61" t="s">
        <v>16</v>
      </c>
      <c r="AJ425" s="3">
        <f t="shared" si="53"/>
        <v>9</v>
      </c>
      <c r="AK425" s="3" t="s">
        <v>2707</v>
      </c>
      <c r="AL425">
        <v>9</v>
      </c>
      <c r="AM425" t="s">
        <v>15</v>
      </c>
    </row>
    <row r="426" spans="1:39" hidden="1" x14ac:dyDescent="0.3">
      <c r="A426" s="51" t="s">
        <v>1158</v>
      </c>
      <c r="B426" s="54" t="s">
        <v>1159</v>
      </c>
      <c r="C426" s="51" t="s">
        <v>2765</v>
      </c>
      <c r="D426" s="53">
        <v>0</v>
      </c>
      <c r="E426" s="53">
        <v>1</v>
      </c>
      <c r="F426" s="51" t="s">
        <v>2715</v>
      </c>
      <c r="G426" s="51" t="s">
        <v>2695</v>
      </c>
      <c r="H426" s="25" t="str">
        <f t="shared" si="47"/>
        <v>jgd</v>
      </c>
      <c r="I426" t="s">
        <v>385</v>
      </c>
      <c r="J426" t="s">
        <v>1156</v>
      </c>
      <c r="K426" t="s">
        <v>1157</v>
      </c>
      <c r="L426" s="25">
        <v>46.582023149999998</v>
      </c>
      <c r="M426" s="25">
        <v>6.399455949</v>
      </c>
      <c r="N426">
        <v>6</v>
      </c>
      <c r="O426">
        <v>23</v>
      </c>
      <c r="P426">
        <v>11</v>
      </c>
      <c r="Q426">
        <v>2015</v>
      </c>
      <c r="R426" s="9">
        <v>42331</v>
      </c>
      <c r="S426">
        <v>316</v>
      </c>
      <c r="T426">
        <v>1</v>
      </c>
      <c r="U426">
        <v>0</v>
      </c>
      <c r="V426">
        <v>0</v>
      </c>
      <c r="W426">
        <v>0</v>
      </c>
      <c r="X426">
        <f t="shared" si="48"/>
        <v>-83.412499999999994</v>
      </c>
      <c r="Y426">
        <v>-25.1635062</v>
      </c>
      <c r="Z426">
        <v>5.4439821329999996</v>
      </c>
      <c r="AA426" s="3">
        <f t="shared" si="50"/>
        <v>8</v>
      </c>
      <c r="AB426" s="3">
        <f t="shared" si="54"/>
        <v>5</v>
      </c>
      <c r="AD426" s="3" t="s">
        <v>2751</v>
      </c>
      <c r="AE426" s="22">
        <v>-90.95</v>
      </c>
      <c r="AF426" s="22">
        <f t="shared" si="52"/>
        <v>-90.95</v>
      </c>
      <c r="AG426" s="1">
        <v>-114</v>
      </c>
      <c r="AH426" s="2" t="s">
        <v>16</v>
      </c>
      <c r="AI426"/>
      <c r="AJ426" s="3">
        <f t="shared" si="53"/>
        <v>9</v>
      </c>
      <c r="AK426" s="3" t="s">
        <v>2707</v>
      </c>
      <c r="AL426">
        <v>9</v>
      </c>
      <c r="AM426" t="s">
        <v>15</v>
      </c>
    </row>
    <row r="427" spans="1:39" x14ac:dyDescent="0.3">
      <c r="A427" s="51" t="s">
        <v>1119</v>
      </c>
      <c r="B427" s="54" t="s">
        <v>1120</v>
      </c>
      <c r="C427" s="51" t="s">
        <v>2765</v>
      </c>
      <c r="D427" s="53">
        <v>0</v>
      </c>
      <c r="E427" s="53">
        <v>1</v>
      </c>
      <c r="F427" s="51" t="s">
        <v>2715</v>
      </c>
      <c r="G427" s="51" t="s">
        <v>2695</v>
      </c>
      <c r="H427" s="25" t="str">
        <f t="shared" si="47"/>
        <v>jgd</v>
      </c>
      <c r="I427" t="s">
        <v>72</v>
      </c>
      <c r="J427" t="s">
        <v>1098</v>
      </c>
      <c r="K427" t="s">
        <v>1099</v>
      </c>
      <c r="L427" s="25">
        <v>46.02579626</v>
      </c>
      <c r="M427" s="25">
        <v>8.8240005079999992</v>
      </c>
      <c r="N427">
        <v>5</v>
      </c>
      <c r="O427">
        <v>18</v>
      </c>
      <c r="P427">
        <v>10</v>
      </c>
      <c r="Q427">
        <v>2015</v>
      </c>
      <c r="R427" s="9">
        <v>42295</v>
      </c>
      <c r="S427" t="s">
        <v>16</v>
      </c>
      <c r="T427">
        <v>1</v>
      </c>
      <c r="U427">
        <v>0</v>
      </c>
      <c r="V427">
        <v>0</v>
      </c>
      <c r="W427">
        <v>0</v>
      </c>
      <c r="X427">
        <f t="shared" si="48"/>
        <v>-83.412499999999994</v>
      </c>
      <c r="Y427">
        <v>-25.234400000000001</v>
      </c>
      <c r="Z427">
        <v>8.2317117880000001</v>
      </c>
      <c r="AA427" s="3">
        <f t="shared" si="50"/>
        <v>8</v>
      </c>
      <c r="AB427" s="3">
        <f t="shared" si="54"/>
        <v>8</v>
      </c>
      <c r="AD427" s="3" t="s">
        <v>2754</v>
      </c>
      <c r="AE427" s="22">
        <v>-90.95</v>
      </c>
      <c r="AF427" s="22">
        <f t="shared" si="52"/>
        <v>-90.95</v>
      </c>
      <c r="AG427" s="1">
        <v>-114</v>
      </c>
      <c r="AH427" s="2" t="s">
        <v>16</v>
      </c>
      <c r="AI427"/>
      <c r="AJ427" s="3">
        <f t="shared" si="53"/>
        <v>9</v>
      </c>
      <c r="AK427" s="3" t="s">
        <v>2707</v>
      </c>
      <c r="AL427">
        <v>9</v>
      </c>
      <c r="AM427" t="s">
        <v>15</v>
      </c>
    </row>
    <row r="428" spans="1:39" hidden="1" x14ac:dyDescent="0.3">
      <c r="A428" s="51" t="s">
        <v>199</v>
      </c>
      <c r="B428" s="54" t="s">
        <v>200</v>
      </c>
      <c r="C428" s="51" t="s">
        <v>2765</v>
      </c>
      <c r="D428" s="53">
        <v>0</v>
      </c>
      <c r="E428" s="53">
        <v>1</v>
      </c>
      <c r="F428" s="51" t="s">
        <v>2715</v>
      </c>
      <c r="G428" s="51" t="s">
        <v>2695</v>
      </c>
      <c r="H428" s="25" t="str">
        <f t="shared" si="47"/>
        <v>jgd</v>
      </c>
      <c r="I428" t="s">
        <v>13</v>
      </c>
      <c r="J428" t="s">
        <v>16</v>
      </c>
      <c r="K428" t="s">
        <v>201</v>
      </c>
      <c r="L428" s="25">
        <v>47.03698103</v>
      </c>
      <c r="M428" s="25">
        <v>6.8316286320000001</v>
      </c>
      <c r="N428">
        <v>6</v>
      </c>
      <c r="O428">
        <v>28</v>
      </c>
      <c r="P428">
        <v>10</v>
      </c>
      <c r="Q428">
        <v>2013</v>
      </c>
      <c r="R428" s="9">
        <v>41575</v>
      </c>
      <c r="S428">
        <v>324</v>
      </c>
      <c r="T428">
        <v>1</v>
      </c>
      <c r="U428">
        <v>0</v>
      </c>
      <c r="V428">
        <v>0</v>
      </c>
      <c r="W428">
        <v>0</v>
      </c>
      <c r="X428">
        <f t="shared" si="48"/>
        <v>-82.987500000000011</v>
      </c>
      <c r="Y428">
        <v>-8.8112100130000002</v>
      </c>
      <c r="Z428">
        <v>5.8903332739999996</v>
      </c>
      <c r="AA428" s="3">
        <f t="shared" si="50"/>
        <v>8</v>
      </c>
      <c r="AB428" s="3">
        <f t="shared" si="54"/>
        <v>6</v>
      </c>
      <c r="AD428" s="3" t="s">
        <v>2750</v>
      </c>
      <c r="AE428" s="22">
        <v>-90.61</v>
      </c>
      <c r="AF428" s="22">
        <f t="shared" si="52"/>
        <v>-90.61</v>
      </c>
      <c r="AG428" s="1">
        <v>-113.7</v>
      </c>
      <c r="AH428" s="2" t="s">
        <v>16</v>
      </c>
      <c r="AI428"/>
      <c r="AJ428" s="3">
        <f t="shared" si="53"/>
        <v>9</v>
      </c>
      <c r="AK428" s="3" t="s">
        <v>2707</v>
      </c>
      <c r="AL428">
        <v>9</v>
      </c>
      <c r="AM428" t="s">
        <v>15</v>
      </c>
    </row>
    <row r="429" spans="1:39" x14ac:dyDescent="0.3">
      <c r="A429" s="51" t="s">
        <v>957</v>
      </c>
      <c r="B429" s="54" t="s">
        <v>154</v>
      </c>
      <c r="C429" s="51" t="s">
        <v>2765</v>
      </c>
      <c r="D429" s="53">
        <v>0</v>
      </c>
      <c r="E429" s="53">
        <v>1</v>
      </c>
      <c r="F429" s="51" t="s">
        <v>2715</v>
      </c>
      <c r="G429" s="51" t="s">
        <v>2695</v>
      </c>
      <c r="H429" s="25" t="str">
        <f t="shared" si="47"/>
        <v>jgd</v>
      </c>
      <c r="I429" t="s">
        <v>72</v>
      </c>
      <c r="J429" t="s">
        <v>958</v>
      </c>
      <c r="K429" t="s">
        <v>400</v>
      </c>
      <c r="L429" s="25">
        <v>46.122106299999999</v>
      </c>
      <c r="M429" s="25">
        <v>8.8306763929999992</v>
      </c>
      <c r="N429">
        <v>5</v>
      </c>
      <c r="O429">
        <v>21</v>
      </c>
      <c r="P429">
        <v>10</v>
      </c>
      <c r="Q429">
        <v>2015</v>
      </c>
      <c r="R429" s="9">
        <v>42298</v>
      </c>
      <c r="S429">
        <v>361</v>
      </c>
      <c r="T429">
        <v>1</v>
      </c>
      <c r="U429">
        <v>0</v>
      </c>
      <c r="V429">
        <v>0</v>
      </c>
      <c r="W429">
        <v>0</v>
      </c>
      <c r="X429">
        <f t="shared" si="48"/>
        <v>-82.987500000000011</v>
      </c>
      <c r="Y429">
        <v>-25.0258</v>
      </c>
      <c r="Z429">
        <v>6.6230285069999999</v>
      </c>
      <c r="AA429" s="3">
        <f t="shared" si="50"/>
        <v>8</v>
      </c>
      <c r="AB429" s="3">
        <f t="shared" si="54"/>
        <v>7</v>
      </c>
      <c r="AD429" s="3" t="s">
        <v>2754</v>
      </c>
      <c r="AE429" s="22">
        <v>-90.61</v>
      </c>
      <c r="AF429" s="22">
        <f t="shared" si="52"/>
        <v>-90.61</v>
      </c>
      <c r="AG429" s="1">
        <v>-113.7</v>
      </c>
      <c r="AH429" s="2" t="s">
        <v>16</v>
      </c>
      <c r="AI429"/>
      <c r="AJ429" s="3">
        <f t="shared" si="53"/>
        <v>9</v>
      </c>
      <c r="AK429" s="3" t="s">
        <v>2707</v>
      </c>
      <c r="AL429">
        <v>9</v>
      </c>
      <c r="AM429" t="s">
        <v>15</v>
      </c>
    </row>
    <row r="430" spans="1:39" x14ac:dyDescent="0.3">
      <c r="A430" s="51" t="s">
        <v>1241</v>
      </c>
      <c r="B430" s="54" t="s">
        <v>1242</v>
      </c>
      <c r="C430" s="51" t="s">
        <v>2765</v>
      </c>
      <c r="D430" s="53">
        <v>0</v>
      </c>
      <c r="E430" s="53">
        <v>1</v>
      </c>
      <c r="F430" s="51" t="s">
        <v>2715</v>
      </c>
      <c r="G430" s="51" t="s">
        <v>2695</v>
      </c>
      <c r="H430" s="25" t="str">
        <f t="shared" si="47"/>
        <v>jgd</v>
      </c>
      <c r="I430" t="s">
        <v>72</v>
      </c>
      <c r="J430" t="s">
        <v>716</v>
      </c>
      <c r="K430" t="s">
        <v>720</v>
      </c>
      <c r="L430" s="25">
        <v>45.883653160000001</v>
      </c>
      <c r="M430" s="25">
        <v>9.0721181039999994</v>
      </c>
      <c r="N430">
        <v>5</v>
      </c>
      <c r="O430">
        <v>3</v>
      </c>
      <c r="P430">
        <v>11</v>
      </c>
      <c r="Q430">
        <v>2015</v>
      </c>
      <c r="R430" s="9">
        <v>42311</v>
      </c>
      <c r="S430">
        <v>360</v>
      </c>
      <c r="T430">
        <v>1</v>
      </c>
      <c r="U430">
        <v>0</v>
      </c>
      <c r="V430">
        <v>0</v>
      </c>
      <c r="W430">
        <v>0</v>
      </c>
      <c r="X430">
        <f t="shared" si="48"/>
        <v>-82.925000000000011</v>
      </c>
      <c r="Y430">
        <v>-25.462800000000001</v>
      </c>
      <c r="Z430">
        <v>6.7933891729999996</v>
      </c>
      <c r="AA430" s="3">
        <f t="shared" si="50"/>
        <v>8</v>
      </c>
      <c r="AB430" s="3">
        <f t="shared" si="54"/>
        <v>7</v>
      </c>
      <c r="AD430" s="3" t="s">
        <v>2754</v>
      </c>
      <c r="AE430" s="22">
        <v>-90.56</v>
      </c>
      <c r="AF430" s="22">
        <f t="shared" si="52"/>
        <v>-90.56</v>
      </c>
      <c r="AG430" s="1">
        <v>-113.6</v>
      </c>
      <c r="AH430" s="2" t="s">
        <v>16</v>
      </c>
      <c r="AI430"/>
      <c r="AJ430" s="3">
        <f t="shared" si="53"/>
        <v>9</v>
      </c>
      <c r="AK430" s="3" t="s">
        <v>2707</v>
      </c>
      <c r="AL430">
        <v>9</v>
      </c>
      <c r="AM430" t="s">
        <v>15</v>
      </c>
    </row>
    <row r="431" spans="1:39" x14ac:dyDescent="0.3">
      <c r="A431" s="51" t="s">
        <v>1418</v>
      </c>
      <c r="B431" s="54" t="s">
        <v>1419</v>
      </c>
      <c r="C431" s="51" t="s">
        <v>2765</v>
      </c>
      <c r="D431" s="53">
        <v>0</v>
      </c>
      <c r="E431" s="53">
        <v>1</v>
      </c>
      <c r="F431" s="51" t="s">
        <v>2715</v>
      </c>
      <c r="G431" s="51" t="s">
        <v>2695</v>
      </c>
      <c r="H431" s="25" t="str">
        <f t="shared" si="47"/>
        <v>jgd</v>
      </c>
      <c r="I431" t="s">
        <v>72</v>
      </c>
      <c r="J431" t="s">
        <v>1420</v>
      </c>
      <c r="K431" t="s">
        <v>1421</v>
      </c>
      <c r="L431" s="25">
        <v>46.482254769999997</v>
      </c>
      <c r="M431" s="25">
        <v>8.7318246120000005</v>
      </c>
      <c r="N431">
        <v>4</v>
      </c>
      <c r="O431">
        <v>22</v>
      </c>
      <c r="P431">
        <v>10</v>
      </c>
      <c r="Q431">
        <v>2016</v>
      </c>
      <c r="R431" s="9">
        <v>42665</v>
      </c>
      <c r="S431">
        <v>298</v>
      </c>
      <c r="T431">
        <v>1</v>
      </c>
      <c r="U431">
        <v>0</v>
      </c>
      <c r="V431">
        <v>0</v>
      </c>
      <c r="W431">
        <v>0</v>
      </c>
      <c r="X431" s="57">
        <f t="shared" si="48"/>
        <v>-82.809175500000009</v>
      </c>
      <c r="Y431">
        <v>-24.54</v>
      </c>
      <c r="Z431">
        <v>8.8000000000000007</v>
      </c>
      <c r="AA431" s="3">
        <f t="shared" si="50"/>
        <v>8</v>
      </c>
      <c r="AB431" s="3">
        <f t="shared" si="54"/>
        <v>9</v>
      </c>
      <c r="AD431" s="3" t="s">
        <v>2754</v>
      </c>
      <c r="AE431" s="22">
        <v>-90.467340399999998</v>
      </c>
      <c r="AF431" s="22">
        <f t="shared" si="52"/>
        <v>-90.467340399999998</v>
      </c>
      <c r="AG431" s="60" t="s">
        <v>16</v>
      </c>
      <c r="AH431" s="61" t="s">
        <v>16</v>
      </c>
      <c r="AJ431" s="3">
        <f t="shared" si="53"/>
        <v>9</v>
      </c>
      <c r="AK431" s="3" t="s">
        <v>2707</v>
      </c>
      <c r="AL431">
        <v>9</v>
      </c>
      <c r="AM431" t="s">
        <v>15</v>
      </c>
    </row>
    <row r="432" spans="1:39" hidden="1" x14ac:dyDescent="0.3">
      <c r="A432" s="51" t="s">
        <v>481</v>
      </c>
      <c r="B432" s="54" t="s">
        <v>482</v>
      </c>
      <c r="C432" s="51" t="s">
        <v>2765</v>
      </c>
      <c r="D432" s="53">
        <v>0</v>
      </c>
      <c r="E432" s="53">
        <v>1</v>
      </c>
      <c r="F432" s="51" t="s">
        <v>2715</v>
      </c>
      <c r="G432" s="51" t="s">
        <v>2695</v>
      </c>
      <c r="H432" s="25" t="str">
        <f t="shared" si="47"/>
        <v>jgd</v>
      </c>
      <c r="I432" t="s">
        <v>13</v>
      </c>
      <c r="J432" t="s">
        <v>21</v>
      </c>
      <c r="K432" t="s">
        <v>22</v>
      </c>
      <c r="L432" s="25">
        <v>46.966826779999998</v>
      </c>
      <c r="M432" s="25">
        <v>6.6525942679999996</v>
      </c>
      <c r="N432">
        <v>6</v>
      </c>
      <c r="O432">
        <v>14</v>
      </c>
      <c r="P432">
        <v>10</v>
      </c>
      <c r="Q432">
        <v>2014</v>
      </c>
      <c r="R432" s="9">
        <v>41926</v>
      </c>
      <c r="S432">
        <v>315</v>
      </c>
      <c r="T432">
        <v>1</v>
      </c>
      <c r="U432">
        <v>0</v>
      </c>
      <c r="V432">
        <v>0</v>
      </c>
      <c r="W432">
        <v>0</v>
      </c>
      <c r="X432">
        <f t="shared" si="48"/>
        <v>-82.724999999999994</v>
      </c>
      <c r="Y432">
        <v>-23.97728571</v>
      </c>
      <c r="Z432">
        <v>7.9814159839999999</v>
      </c>
      <c r="AA432" s="3">
        <f t="shared" si="50"/>
        <v>8</v>
      </c>
      <c r="AB432" s="3">
        <f t="shared" si="54"/>
        <v>8</v>
      </c>
      <c r="AD432" s="3" t="s">
        <v>2750</v>
      </c>
      <c r="AE432" s="22">
        <v>-90.4</v>
      </c>
      <c r="AF432" s="22">
        <f t="shared" si="52"/>
        <v>-90.4</v>
      </c>
      <c r="AG432" s="1">
        <v>-113.5</v>
      </c>
      <c r="AH432" s="2" t="s">
        <v>16</v>
      </c>
      <c r="AI432"/>
      <c r="AJ432" s="3">
        <f t="shared" si="53"/>
        <v>9</v>
      </c>
      <c r="AK432" s="3" t="s">
        <v>2707</v>
      </c>
      <c r="AL432">
        <v>9</v>
      </c>
      <c r="AM432" t="s">
        <v>15</v>
      </c>
    </row>
    <row r="433" spans="1:39" x14ac:dyDescent="0.3">
      <c r="A433" s="51" t="s">
        <v>2004</v>
      </c>
      <c r="B433" s="54" t="s">
        <v>225</v>
      </c>
      <c r="C433" s="51" t="s">
        <v>2765</v>
      </c>
      <c r="D433" s="53">
        <v>0</v>
      </c>
      <c r="E433" s="53">
        <v>1</v>
      </c>
      <c r="F433" s="51" t="s">
        <v>2715</v>
      </c>
      <c r="G433" s="51" t="s">
        <v>2695</v>
      </c>
      <c r="H433" s="25" t="str">
        <f t="shared" si="47"/>
        <v>jgd</v>
      </c>
      <c r="I433" t="s">
        <v>72</v>
      </c>
      <c r="J433" t="s">
        <v>2005</v>
      </c>
      <c r="K433" t="s">
        <v>2006</v>
      </c>
      <c r="L433" s="25">
        <v>46.173919400000003</v>
      </c>
      <c r="M433" s="25">
        <v>9.0916694549999999</v>
      </c>
      <c r="N433">
        <v>5</v>
      </c>
      <c r="O433">
        <v>2</v>
      </c>
      <c r="P433">
        <v>11</v>
      </c>
      <c r="Q433">
        <v>2016</v>
      </c>
      <c r="R433" s="9">
        <v>42676</v>
      </c>
      <c r="S433">
        <v>312</v>
      </c>
      <c r="T433">
        <v>1</v>
      </c>
      <c r="U433">
        <v>0</v>
      </c>
      <c r="V433">
        <v>0</v>
      </c>
      <c r="W433">
        <v>0</v>
      </c>
      <c r="X433" s="57">
        <f t="shared" si="48"/>
        <v>-82.706785499999995</v>
      </c>
      <c r="Y433">
        <v>-23.45</v>
      </c>
      <c r="Z433">
        <v>7.26</v>
      </c>
      <c r="AA433" s="3">
        <f t="shared" si="50"/>
        <v>8</v>
      </c>
      <c r="AB433" s="3">
        <f t="shared" si="54"/>
        <v>7</v>
      </c>
      <c r="AD433" s="3" t="s">
        <v>2754</v>
      </c>
      <c r="AE433" s="22">
        <v>-90.385428399999995</v>
      </c>
      <c r="AF433" s="22">
        <f t="shared" si="52"/>
        <v>-90.385428399999995</v>
      </c>
      <c r="AG433" s="60" t="s">
        <v>16</v>
      </c>
      <c r="AH433" s="61" t="s">
        <v>16</v>
      </c>
      <c r="AJ433" s="3">
        <f t="shared" si="53"/>
        <v>9</v>
      </c>
      <c r="AK433" s="3" t="s">
        <v>2707</v>
      </c>
      <c r="AL433">
        <v>9</v>
      </c>
      <c r="AM433" t="s">
        <v>15</v>
      </c>
    </row>
    <row r="434" spans="1:39" x14ac:dyDescent="0.3">
      <c r="A434" s="51" t="s">
        <v>1175</v>
      </c>
      <c r="B434" s="54" t="s">
        <v>1176</v>
      </c>
      <c r="C434" s="51" t="s">
        <v>2765</v>
      </c>
      <c r="D434" s="53">
        <v>0</v>
      </c>
      <c r="E434" s="53">
        <v>1</v>
      </c>
      <c r="F434" s="51" t="s">
        <v>2715</v>
      </c>
      <c r="G434" s="51" t="s">
        <v>2695</v>
      </c>
      <c r="H434" s="25" t="str">
        <f t="shared" si="47"/>
        <v>jgd</v>
      </c>
      <c r="I434" t="s">
        <v>72</v>
      </c>
      <c r="J434" t="s">
        <v>298</v>
      </c>
      <c r="K434" t="s">
        <v>1166</v>
      </c>
      <c r="L434" s="25">
        <v>46.134289580000001</v>
      </c>
      <c r="M434" s="25">
        <v>8.9468135849999992</v>
      </c>
      <c r="N434">
        <v>5</v>
      </c>
      <c r="O434">
        <v>24</v>
      </c>
      <c r="P434">
        <v>10</v>
      </c>
      <c r="Q434">
        <v>2015</v>
      </c>
      <c r="R434" s="9">
        <v>42301</v>
      </c>
      <c r="S434">
        <v>320</v>
      </c>
      <c r="T434">
        <v>1</v>
      </c>
      <c r="U434">
        <v>0</v>
      </c>
      <c r="V434">
        <v>0</v>
      </c>
      <c r="W434">
        <v>0</v>
      </c>
      <c r="X434">
        <f t="shared" si="48"/>
        <v>-82.4</v>
      </c>
      <c r="Y434">
        <v>-24.095334990000001</v>
      </c>
      <c r="Z434">
        <v>3.4300006820000002</v>
      </c>
      <c r="AA434" s="3">
        <f t="shared" si="50"/>
        <v>8</v>
      </c>
      <c r="AB434" s="3">
        <f t="shared" si="54"/>
        <v>3</v>
      </c>
      <c r="AD434" s="3" t="s">
        <v>2754</v>
      </c>
      <c r="AE434" s="22">
        <v>-90.14</v>
      </c>
      <c r="AF434" s="22">
        <f t="shared" si="52"/>
        <v>-90.14</v>
      </c>
      <c r="AG434" s="1">
        <v>-113.2</v>
      </c>
      <c r="AH434" s="2" t="s">
        <v>16</v>
      </c>
      <c r="AI434"/>
      <c r="AJ434" s="3">
        <f t="shared" si="53"/>
        <v>9</v>
      </c>
      <c r="AK434" s="3" t="s">
        <v>2707</v>
      </c>
      <c r="AL434">
        <v>9</v>
      </c>
      <c r="AM434" t="s">
        <v>15</v>
      </c>
    </row>
    <row r="435" spans="1:39" hidden="1" x14ac:dyDescent="0.3">
      <c r="A435" s="51" t="s">
        <v>625</v>
      </c>
      <c r="B435" s="54" t="s">
        <v>626</v>
      </c>
      <c r="C435" s="51" t="s">
        <v>2765</v>
      </c>
      <c r="D435" s="53">
        <v>0</v>
      </c>
      <c r="E435" s="53">
        <v>1</v>
      </c>
      <c r="F435" s="51" t="s">
        <v>2715</v>
      </c>
      <c r="G435" s="51" t="s">
        <v>2695</v>
      </c>
      <c r="H435" s="25" t="str">
        <f t="shared" si="47"/>
        <v>jgd</v>
      </c>
      <c r="I435" t="s">
        <v>30</v>
      </c>
      <c r="J435" t="s">
        <v>627</v>
      </c>
      <c r="K435" t="s">
        <v>628</v>
      </c>
      <c r="L435" s="25">
        <v>46.668968970000002</v>
      </c>
      <c r="M435" s="25">
        <v>7.1490353710000001</v>
      </c>
      <c r="N435">
        <v>4</v>
      </c>
      <c r="O435">
        <v>22</v>
      </c>
      <c r="P435">
        <v>10</v>
      </c>
      <c r="Q435">
        <v>2014</v>
      </c>
      <c r="R435" s="9">
        <v>41934</v>
      </c>
      <c r="S435">
        <v>310</v>
      </c>
      <c r="T435">
        <v>1</v>
      </c>
      <c r="U435">
        <v>0</v>
      </c>
      <c r="V435">
        <v>0</v>
      </c>
      <c r="W435">
        <v>0</v>
      </c>
      <c r="X435">
        <f t="shared" si="48"/>
        <v>-82.25</v>
      </c>
      <c r="Y435" t="s">
        <v>16</v>
      </c>
      <c r="Z435" t="s">
        <v>16</v>
      </c>
      <c r="AA435" s="3">
        <f t="shared" si="50"/>
        <v>8</v>
      </c>
      <c r="AD435" s="3" t="s">
        <v>2752</v>
      </c>
      <c r="AE435" s="22">
        <v>-90.02</v>
      </c>
      <c r="AF435" s="22">
        <f t="shared" si="52"/>
        <v>-90.02</v>
      </c>
      <c r="AG435" s="1">
        <v>-113.1</v>
      </c>
      <c r="AH435" s="2" t="s">
        <v>16</v>
      </c>
      <c r="AI435"/>
      <c r="AJ435" s="3">
        <f t="shared" si="53"/>
        <v>9</v>
      </c>
      <c r="AK435" s="3" t="s">
        <v>2707</v>
      </c>
      <c r="AL435">
        <v>9</v>
      </c>
      <c r="AM435" t="s">
        <v>15</v>
      </c>
    </row>
    <row r="436" spans="1:39" x14ac:dyDescent="0.3">
      <c r="A436" s="51" t="s">
        <v>2567</v>
      </c>
      <c r="B436" s="54" t="s">
        <v>2568</v>
      </c>
      <c r="C436" s="51" t="s">
        <v>2765</v>
      </c>
      <c r="D436" s="53">
        <v>0</v>
      </c>
      <c r="E436" s="53">
        <v>1</v>
      </c>
      <c r="F436" s="51" t="s">
        <v>2715</v>
      </c>
      <c r="G436" s="51" t="s">
        <v>2695</v>
      </c>
      <c r="H436" s="25" t="str">
        <f t="shared" si="47"/>
        <v>jgd</v>
      </c>
      <c r="I436" t="s">
        <v>72</v>
      </c>
      <c r="J436" t="s">
        <v>1387</v>
      </c>
      <c r="K436" t="s">
        <v>2569</v>
      </c>
      <c r="L436" s="25">
        <v>46.0976626</v>
      </c>
      <c r="M436" s="25">
        <v>8.9807207699999996</v>
      </c>
      <c r="N436">
        <v>5</v>
      </c>
      <c r="O436">
        <v>31</v>
      </c>
      <c r="P436">
        <v>10</v>
      </c>
      <c r="Q436">
        <v>2017</v>
      </c>
      <c r="R436" s="9">
        <v>43039</v>
      </c>
      <c r="S436">
        <v>284</v>
      </c>
      <c r="T436">
        <v>1</v>
      </c>
      <c r="U436">
        <v>0</v>
      </c>
      <c r="V436">
        <v>0</v>
      </c>
      <c r="W436">
        <v>0</v>
      </c>
      <c r="X436" s="57">
        <f t="shared" si="48"/>
        <v>-82.128995500000002</v>
      </c>
      <c r="Y436" t="s">
        <v>16</v>
      </c>
      <c r="Z436">
        <v>5.8909670680000001</v>
      </c>
      <c r="AA436" s="3">
        <f t="shared" si="50"/>
        <v>8</v>
      </c>
      <c r="AB436" s="3">
        <f t="shared" ref="AB436:AB455" si="55">ROUND(Z436,0)</f>
        <v>6</v>
      </c>
      <c r="AD436" s="3" t="s">
        <v>2754</v>
      </c>
      <c r="AE436" s="22">
        <v>-89.923196399999995</v>
      </c>
      <c r="AF436" s="22">
        <f t="shared" si="52"/>
        <v>-89.923196399999995</v>
      </c>
      <c r="AG436" s="60" t="s">
        <v>16</v>
      </c>
      <c r="AH436" s="61" t="s">
        <v>16</v>
      </c>
      <c r="AJ436" s="3">
        <f t="shared" si="53"/>
        <v>9</v>
      </c>
      <c r="AK436" s="3" t="s">
        <v>2707</v>
      </c>
      <c r="AL436">
        <v>9</v>
      </c>
      <c r="AM436" t="s">
        <v>15</v>
      </c>
    </row>
    <row r="437" spans="1:39" hidden="1" x14ac:dyDescent="0.3">
      <c r="A437" s="51" t="s">
        <v>790</v>
      </c>
      <c r="B437" s="54" t="s">
        <v>791</v>
      </c>
      <c r="C437" s="51" t="s">
        <v>2765</v>
      </c>
      <c r="D437" s="53">
        <v>0</v>
      </c>
      <c r="E437" s="53">
        <v>1</v>
      </c>
      <c r="F437" s="51" t="s">
        <v>2715</v>
      </c>
      <c r="G437" s="51" t="s">
        <v>2695</v>
      </c>
      <c r="H437" s="25" t="str">
        <f t="shared" ref="H437:H500" si="56">IF(T437=1,"jgd",IF(W437=1,"Captures automne","Captures printemps-été"))</f>
        <v>jgd</v>
      </c>
      <c r="I437" t="s">
        <v>30</v>
      </c>
      <c r="J437" t="s">
        <v>31</v>
      </c>
      <c r="K437" t="s">
        <v>327</v>
      </c>
      <c r="L437" s="25">
        <v>46.639997319999999</v>
      </c>
      <c r="M437" s="25">
        <v>7.0272307730000003</v>
      </c>
      <c r="N437">
        <v>3</v>
      </c>
      <c r="O437">
        <v>4</v>
      </c>
      <c r="P437">
        <v>11</v>
      </c>
      <c r="Q437">
        <v>2015</v>
      </c>
      <c r="R437" s="9">
        <v>42312</v>
      </c>
      <c r="S437">
        <v>318</v>
      </c>
      <c r="T437">
        <v>1</v>
      </c>
      <c r="U437">
        <v>0</v>
      </c>
      <c r="V437">
        <v>0</v>
      </c>
      <c r="W437">
        <v>0</v>
      </c>
      <c r="X437">
        <f t="shared" ref="X437:X500" si="57">1.25*AF437+30.275</f>
        <v>-82.1</v>
      </c>
      <c r="Y437">
        <v>-24.456199999999999</v>
      </c>
      <c r="Z437">
        <v>4.0168064179999998</v>
      </c>
      <c r="AA437" s="3">
        <f t="shared" si="50"/>
        <v>8</v>
      </c>
      <c r="AB437" s="3">
        <f t="shared" si="55"/>
        <v>4</v>
      </c>
      <c r="AD437" s="3" t="s">
        <v>2751</v>
      </c>
      <c r="AE437" s="22">
        <v>-89.9</v>
      </c>
      <c r="AF437" s="22">
        <f t="shared" si="52"/>
        <v>-89.9</v>
      </c>
      <c r="AG437" s="1">
        <v>-113</v>
      </c>
      <c r="AH437" s="2" t="s">
        <v>16</v>
      </c>
      <c r="AI437"/>
      <c r="AJ437" s="3">
        <f t="shared" si="53"/>
        <v>9</v>
      </c>
      <c r="AK437" s="3" t="s">
        <v>2707</v>
      </c>
      <c r="AL437">
        <v>9</v>
      </c>
      <c r="AM437" t="s">
        <v>15</v>
      </c>
    </row>
    <row r="438" spans="1:39" x14ac:dyDescent="0.3">
      <c r="A438" s="51" t="s">
        <v>1222</v>
      </c>
      <c r="B438" s="54" t="s">
        <v>1223</v>
      </c>
      <c r="C438" s="51" t="s">
        <v>2765</v>
      </c>
      <c r="D438" s="53">
        <v>0</v>
      </c>
      <c r="E438" s="53">
        <v>1</v>
      </c>
      <c r="F438" s="51" t="s">
        <v>2715</v>
      </c>
      <c r="G438" s="51" t="s">
        <v>2695</v>
      </c>
      <c r="H438" s="25" t="str">
        <f t="shared" si="56"/>
        <v>jgd</v>
      </c>
      <c r="I438" t="s">
        <v>72</v>
      </c>
      <c r="J438" t="s">
        <v>1189</v>
      </c>
      <c r="K438" t="s">
        <v>1224</v>
      </c>
      <c r="L438" s="25">
        <v>46.029926400000001</v>
      </c>
      <c r="M438" s="25">
        <v>8.9824393610000008</v>
      </c>
      <c r="N438">
        <v>5</v>
      </c>
      <c r="O438">
        <v>28</v>
      </c>
      <c r="P438">
        <v>11</v>
      </c>
      <c r="Q438">
        <v>2015</v>
      </c>
      <c r="R438" s="9">
        <v>42336</v>
      </c>
      <c r="S438">
        <v>350</v>
      </c>
      <c r="T438">
        <v>1</v>
      </c>
      <c r="U438">
        <v>0</v>
      </c>
      <c r="V438">
        <v>0</v>
      </c>
      <c r="W438">
        <v>0</v>
      </c>
      <c r="X438">
        <f t="shared" si="57"/>
        <v>-82.050000000000011</v>
      </c>
      <c r="Y438">
        <v>-23.041799999999999</v>
      </c>
      <c r="Z438">
        <v>6.6680268380000003</v>
      </c>
      <c r="AA438" s="3">
        <f t="shared" si="50"/>
        <v>8</v>
      </c>
      <c r="AB438" s="3">
        <f t="shared" si="55"/>
        <v>7</v>
      </c>
      <c r="AD438" s="3" t="s">
        <v>2754</v>
      </c>
      <c r="AE438" s="22">
        <v>-89.86</v>
      </c>
      <c r="AF438" s="22">
        <f t="shared" si="52"/>
        <v>-89.86</v>
      </c>
      <c r="AG438" s="1">
        <v>-112.9</v>
      </c>
      <c r="AH438" s="2" t="s">
        <v>16</v>
      </c>
      <c r="AI438"/>
      <c r="AJ438" s="3">
        <f t="shared" si="53"/>
        <v>9</v>
      </c>
      <c r="AK438" s="3" t="s">
        <v>2707</v>
      </c>
      <c r="AL438">
        <v>9</v>
      </c>
      <c r="AM438" t="s">
        <v>15</v>
      </c>
    </row>
    <row r="439" spans="1:39" hidden="1" x14ac:dyDescent="0.3">
      <c r="A439" s="51" t="s">
        <v>1587</v>
      </c>
      <c r="B439" s="54" t="s">
        <v>1588</v>
      </c>
      <c r="C439" s="51" t="s">
        <v>2765</v>
      </c>
      <c r="D439" s="53">
        <v>0</v>
      </c>
      <c r="E439" s="53">
        <v>1</v>
      </c>
      <c r="F439" s="51" t="s">
        <v>2715</v>
      </c>
      <c r="G439" s="51" t="s">
        <v>2695</v>
      </c>
      <c r="H439" s="25" t="str">
        <f t="shared" si="56"/>
        <v>jgd</v>
      </c>
      <c r="I439" t="s">
        <v>30</v>
      </c>
      <c r="J439" t="s">
        <v>64</v>
      </c>
      <c r="K439" t="s">
        <v>327</v>
      </c>
      <c r="L439" s="25">
        <v>46.653513840000002</v>
      </c>
      <c r="M439" s="25">
        <v>7.0336598219999997</v>
      </c>
      <c r="N439">
        <v>3</v>
      </c>
      <c r="O439">
        <v>26</v>
      </c>
      <c r="P439">
        <v>10</v>
      </c>
      <c r="Q439">
        <v>2016</v>
      </c>
      <c r="R439" s="9">
        <v>42669</v>
      </c>
      <c r="S439">
        <v>325</v>
      </c>
      <c r="T439">
        <v>1</v>
      </c>
      <c r="U439">
        <v>0</v>
      </c>
      <c r="V439">
        <v>0</v>
      </c>
      <c r="W439">
        <v>0</v>
      </c>
      <c r="X439" s="57">
        <f t="shared" si="57"/>
        <v>-81.921795500000002</v>
      </c>
      <c r="Y439">
        <v>-23.95</v>
      </c>
      <c r="Z439">
        <v>7.23</v>
      </c>
      <c r="AA439" s="3">
        <f t="shared" si="50"/>
        <v>8</v>
      </c>
      <c r="AB439" s="3">
        <f t="shared" si="55"/>
        <v>7</v>
      </c>
      <c r="AD439" s="3" t="s">
        <v>2751</v>
      </c>
      <c r="AE439" s="22">
        <v>-89.757436400000003</v>
      </c>
      <c r="AF439" s="22">
        <f t="shared" si="52"/>
        <v>-89.757436400000003</v>
      </c>
      <c r="AG439" s="60" t="s">
        <v>16</v>
      </c>
      <c r="AH439" s="61" t="s">
        <v>16</v>
      </c>
      <c r="AJ439" s="3">
        <f t="shared" si="53"/>
        <v>9</v>
      </c>
      <c r="AK439" s="3" t="s">
        <v>2707</v>
      </c>
      <c r="AL439">
        <v>9</v>
      </c>
      <c r="AM439" t="s">
        <v>15</v>
      </c>
    </row>
    <row r="440" spans="1:39" hidden="1" x14ac:dyDescent="0.3">
      <c r="A440" s="51" t="s">
        <v>257</v>
      </c>
      <c r="B440" s="54" t="s">
        <v>258</v>
      </c>
      <c r="C440" s="51" t="s">
        <v>2765</v>
      </c>
      <c r="D440" s="53">
        <v>0</v>
      </c>
      <c r="E440" s="53">
        <v>1</v>
      </c>
      <c r="F440" s="51" t="s">
        <v>2715</v>
      </c>
      <c r="G440" s="51" t="s">
        <v>2695</v>
      </c>
      <c r="H440" s="25" t="str">
        <f t="shared" si="56"/>
        <v>jgd</v>
      </c>
      <c r="I440" t="s">
        <v>30</v>
      </c>
      <c r="J440" t="s">
        <v>259</v>
      </c>
      <c r="K440" t="s">
        <v>259</v>
      </c>
      <c r="L440" s="25">
        <v>46.764277239999998</v>
      </c>
      <c r="M440" s="25">
        <v>7.038889041</v>
      </c>
      <c r="N440">
        <v>6</v>
      </c>
      <c r="O440">
        <v>6</v>
      </c>
      <c r="P440">
        <v>11</v>
      </c>
      <c r="Q440">
        <v>2013</v>
      </c>
      <c r="R440" s="9">
        <v>41584</v>
      </c>
      <c r="S440">
        <v>381</v>
      </c>
      <c r="T440">
        <v>1</v>
      </c>
      <c r="U440">
        <v>0</v>
      </c>
      <c r="V440">
        <v>0</v>
      </c>
      <c r="W440">
        <v>0</v>
      </c>
      <c r="X440">
        <f t="shared" si="57"/>
        <v>-81.862499999999983</v>
      </c>
      <c r="Y440">
        <v>-22.867769769999999</v>
      </c>
      <c r="Z440">
        <v>5.5113824869999997</v>
      </c>
      <c r="AA440" s="3">
        <f t="shared" si="50"/>
        <v>8</v>
      </c>
      <c r="AB440" s="3">
        <f t="shared" si="55"/>
        <v>6</v>
      </c>
      <c r="AD440" s="3" t="s">
        <v>2751</v>
      </c>
      <c r="AE440" s="22">
        <v>-89.71</v>
      </c>
      <c r="AF440" s="22">
        <f t="shared" si="52"/>
        <v>-89.71</v>
      </c>
      <c r="AG440" s="1">
        <v>-112.8</v>
      </c>
      <c r="AH440" s="2" t="s">
        <v>16</v>
      </c>
      <c r="AI440"/>
      <c r="AJ440" s="3">
        <f t="shared" si="53"/>
        <v>9</v>
      </c>
      <c r="AK440" s="3" t="s">
        <v>2707</v>
      </c>
      <c r="AL440">
        <v>9</v>
      </c>
      <c r="AM440" t="s">
        <v>15</v>
      </c>
    </row>
    <row r="441" spans="1:39" x14ac:dyDescent="0.3">
      <c r="A441" s="51" t="s">
        <v>1196</v>
      </c>
      <c r="B441" s="54" t="s">
        <v>1197</v>
      </c>
      <c r="C441" s="51" t="s">
        <v>2765</v>
      </c>
      <c r="D441" s="53">
        <v>0</v>
      </c>
      <c r="E441" s="53">
        <v>1</v>
      </c>
      <c r="F441" s="51" t="s">
        <v>2715</v>
      </c>
      <c r="G441" s="51" t="s">
        <v>2695</v>
      </c>
      <c r="H441" s="25" t="str">
        <f t="shared" si="56"/>
        <v>jgd</v>
      </c>
      <c r="I441" t="s">
        <v>72</v>
      </c>
      <c r="J441" t="s">
        <v>716</v>
      </c>
      <c r="K441" t="s">
        <v>1198</v>
      </c>
      <c r="L441" s="25">
        <v>45.885967020000002</v>
      </c>
      <c r="M441" s="25">
        <v>9.0664282089999997</v>
      </c>
      <c r="N441">
        <v>5</v>
      </c>
      <c r="O441">
        <v>3</v>
      </c>
      <c r="P441">
        <v>11</v>
      </c>
      <c r="Q441">
        <v>2015</v>
      </c>
      <c r="R441" s="9">
        <v>42311</v>
      </c>
      <c r="S441">
        <v>295</v>
      </c>
      <c r="T441">
        <v>1</v>
      </c>
      <c r="U441">
        <v>0</v>
      </c>
      <c r="V441">
        <v>0</v>
      </c>
      <c r="W441">
        <v>0</v>
      </c>
      <c r="X441">
        <f t="shared" si="57"/>
        <v>-81.675000000000011</v>
      </c>
      <c r="Y441">
        <v>-23.1524</v>
      </c>
      <c r="Z441">
        <v>6.198205143</v>
      </c>
      <c r="AA441" s="3">
        <f t="shared" si="50"/>
        <v>8</v>
      </c>
      <c r="AB441" s="3">
        <f t="shared" si="55"/>
        <v>6</v>
      </c>
      <c r="AD441" s="3" t="s">
        <v>2754</v>
      </c>
      <c r="AE441" s="22">
        <v>-89.56</v>
      </c>
      <c r="AF441" s="22">
        <f t="shared" si="52"/>
        <v>-89.56</v>
      </c>
      <c r="AG441" s="1">
        <v>-112.6</v>
      </c>
      <c r="AH441" s="2" t="s">
        <v>16</v>
      </c>
      <c r="AI441"/>
      <c r="AJ441" s="3">
        <f t="shared" si="53"/>
        <v>9</v>
      </c>
      <c r="AK441" s="3" t="s">
        <v>2707</v>
      </c>
      <c r="AL441">
        <v>9</v>
      </c>
      <c r="AM441" t="s">
        <v>15</v>
      </c>
    </row>
    <row r="442" spans="1:39" hidden="1" x14ac:dyDescent="0.3">
      <c r="A442" s="51" t="s">
        <v>844</v>
      </c>
      <c r="B442" s="54" t="s">
        <v>845</v>
      </c>
      <c r="C442" s="51" t="s">
        <v>2765</v>
      </c>
      <c r="D442" s="53">
        <v>0</v>
      </c>
      <c r="E442" s="53">
        <v>1</v>
      </c>
      <c r="F442" s="51" t="s">
        <v>2715</v>
      </c>
      <c r="G442" s="51" t="s">
        <v>2695</v>
      </c>
      <c r="H442" s="25" t="str">
        <f t="shared" si="56"/>
        <v>jgd</v>
      </c>
      <c r="I442" t="s">
        <v>30</v>
      </c>
      <c r="J442" t="s">
        <v>378</v>
      </c>
      <c r="K442" t="s">
        <v>833</v>
      </c>
      <c r="L442" s="25">
        <v>46.616925090000002</v>
      </c>
      <c r="M442" s="25">
        <v>6.889021885</v>
      </c>
      <c r="N442">
        <v>5</v>
      </c>
      <c r="O442">
        <v>31</v>
      </c>
      <c r="P442">
        <v>10</v>
      </c>
      <c r="Q442">
        <v>2015</v>
      </c>
      <c r="R442" s="9">
        <v>42308</v>
      </c>
      <c r="S442">
        <v>320</v>
      </c>
      <c r="T442">
        <v>1</v>
      </c>
      <c r="U442">
        <v>0</v>
      </c>
      <c r="V442">
        <v>0</v>
      </c>
      <c r="W442">
        <v>0</v>
      </c>
      <c r="X442">
        <f t="shared" si="57"/>
        <v>-81.662499999999994</v>
      </c>
      <c r="Y442">
        <v>-25.244800000000001</v>
      </c>
      <c r="Z442">
        <v>8.5001566569999998</v>
      </c>
      <c r="AA442" s="3">
        <f t="shared" si="50"/>
        <v>8</v>
      </c>
      <c r="AB442" s="3">
        <f t="shared" si="55"/>
        <v>9</v>
      </c>
      <c r="AD442" s="3" t="s">
        <v>2751</v>
      </c>
      <c r="AE442" s="22">
        <v>-89.55</v>
      </c>
      <c r="AF442" s="22">
        <f t="shared" si="52"/>
        <v>-89.55</v>
      </c>
      <c r="AG442" s="1">
        <v>-112.6</v>
      </c>
      <c r="AH442" s="2" t="s">
        <v>16</v>
      </c>
      <c r="AI442"/>
      <c r="AJ442" s="3">
        <f t="shared" si="53"/>
        <v>9</v>
      </c>
      <c r="AK442" s="3" t="s">
        <v>2707</v>
      </c>
      <c r="AL442">
        <v>9</v>
      </c>
      <c r="AM442" t="s">
        <v>15</v>
      </c>
    </row>
    <row r="443" spans="1:39" hidden="1" x14ac:dyDescent="0.3">
      <c r="A443" s="51" t="s">
        <v>781</v>
      </c>
      <c r="B443" s="54" t="s">
        <v>36</v>
      </c>
      <c r="C443" s="51" t="s">
        <v>2765</v>
      </c>
      <c r="D443" s="53">
        <v>0</v>
      </c>
      <c r="E443" s="53">
        <v>1</v>
      </c>
      <c r="F443" s="51" t="s">
        <v>2715</v>
      </c>
      <c r="G443" s="51" t="s">
        <v>2695</v>
      </c>
      <c r="H443" s="25" t="str">
        <f t="shared" si="56"/>
        <v>jgd</v>
      </c>
      <c r="I443" t="s">
        <v>30</v>
      </c>
      <c r="J443" t="s">
        <v>31</v>
      </c>
      <c r="K443" t="s">
        <v>327</v>
      </c>
      <c r="L443" s="25">
        <v>46.64903915</v>
      </c>
      <c r="M443" s="25">
        <v>7.0402247630000003</v>
      </c>
      <c r="N443">
        <v>3</v>
      </c>
      <c r="O443">
        <v>19</v>
      </c>
      <c r="P443">
        <v>10</v>
      </c>
      <c r="Q443">
        <v>2015</v>
      </c>
      <c r="R443" s="9">
        <v>42296</v>
      </c>
      <c r="S443">
        <v>342</v>
      </c>
      <c r="T443">
        <v>1</v>
      </c>
      <c r="U443">
        <v>0</v>
      </c>
      <c r="V443">
        <v>0</v>
      </c>
      <c r="W443">
        <v>0</v>
      </c>
      <c r="X443">
        <f t="shared" si="57"/>
        <v>-81.662499999999994</v>
      </c>
      <c r="Y443">
        <v>-24.574410050000001</v>
      </c>
      <c r="Z443">
        <v>2.851524135</v>
      </c>
      <c r="AA443" s="3">
        <f t="shared" si="50"/>
        <v>8</v>
      </c>
      <c r="AB443" s="3">
        <f t="shared" si="55"/>
        <v>3</v>
      </c>
      <c r="AD443" s="3" t="s">
        <v>2751</v>
      </c>
      <c r="AE443" s="22">
        <v>-89.55</v>
      </c>
      <c r="AF443" s="22">
        <f t="shared" si="52"/>
        <v>-89.55</v>
      </c>
      <c r="AG443" s="1">
        <v>-112.6</v>
      </c>
      <c r="AH443" s="2" t="s">
        <v>16</v>
      </c>
      <c r="AI443"/>
      <c r="AJ443" s="3">
        <f t="shared" si="53"/>
        <v>9</v>
      </c>
      <c r="AK443" s="3" t="s">
        <v>2707</v>
      </c>
      <c r="AL443">
        <v>9</v>
      </c>
      <c r="AM443" t="s">
        <v>15</v>
      </c>
    </row>
    <row r="444" spans="1:39" x14ac:dyDescent="0.3">
      <c r="A444" s="51" t="s">
        <v>1385</v>
      </c>
      <c r="B444" s="54" t="s">
        <v>1386</v>
      </c>
      <c r="C444" s="51" t="s">
        <v>2765</v>
      </c>
      <c r="D444" s="53">
        <v>0</v>
      </c>
      <c r="E444" s="53">
        <v>1</v>
      </c>
      <c r="F444" s="51" t="s">
        <v>2715</v>
      </c>
      <c r="G444" s="51" t="s">
        <v>2695</v>
      </c>
      <c r="H444" s="25" t="str">
        <f t="shared" si="56"/>
        <v>jgd</v>
      </c>
      <c r="I444" t="s">
        <v>72</v>
      </c>
      <c r="J444" t="s">
        <v>1387</v>
      </c>
      <c r="K444" t="s">
        <v>1388</v>
      </c>
      <c r="L444" s="25">
        <v>46.08142969</v>
      </c>
      <c r="M444" s="25">
        <v>8.9834946379999998</v>
      </c>
      <c r="N444">
        <v>3</v>
      </c>
      <c r="O444">
        <v>21</v>
      </c>
      <c r="P444">
        <v>10</v>
      </c>
      <c r="Q444">
        <v>2015</v>
      </c>
      <c r="R444" s="9">
        <v>42298</v>
      </c>
      <c r="S444">
        <v>320</v>
      </c>
      <c r="T444">
        <v>1</v>
      </c>
      <c r="U444">
        <v>0</v>
      </c>
      <c r="V444">
        <v>0</v>
      </c>
      <c r="W444">
        <v>0</v>
      </c>
      <c r="X444">
        <f t="shared" si="57"/>
        <v>-81.650000000000006</v>
      </c>
      <c r="Y444">
        <v>-23.970400000000001</v>
      </c>
      <c r="Z444">
        <v>4.6810544759999999</v>
      </c>
      <c r="AA444" s="3">
        <f t="shared" si="50"/>
        <v>8</v>
      </c>
      <c r="AB444" s="3">
        <f t="shared" si="55"/>
        <v>5</v>
      </c>
      <c r="AD444" s="3" t="s">
        <v>2754</v>
      </c>
      <c r="AE444" s="22">
        <v>-89.54</v>
      </c>
      <c r="AF444" s="22">
        <f t="shared" si="52"/>
        <v>-89.54</v>
      </c>
      <c r="AG444" s="1">
        <v>-112.6</v>
      </c>
      <c r="AH444" s="2" t="s">
        <v>16</v>
      </c>
      <c r="AI444"/>
      <c r="AJ444" s="3">
        <f t="shared" si="53"/>
        <v>9</v>
      </c>
      <c r="AK444" s="3" t="s">
        <v>2707</v>
      </c>
      <c r="AL444">
        <v>9</v>
      </c>
      <c r="AM444" t="s">
        <v>15</v>
      </c>
    </row>
    <row r="445" spans="1:39" x14ac:dyDescent="0.3">
      <c r="A445" s="51" t="s">
        <v>2002</v>
      </c>
      <c r="B445" s="54" t="s">
        <v>1292</v>
      </c>
      <c r="C445" s="51" t="s">
        <v>2765</v>
      </c>
      <c r="D445" s="53">
        <v>0</v>
      </c>
      <c r="E445" s="53">
        <v>1</v>
      </c>
      <c r="F445" s="51" t="s">
        <v>2715</v>
      </c>
      <c r="G445" s="51" t="s">
        <v>2695</v>
      </c>
      <c r="H445" s="25" t="str">
        <f t="shared" si="56"/>
        <v>jgd</v>
      </c>
      <c r="I445" t="s">
        <v>72</v>
      </c>
      <c r="J445" t="s">
        <v>1189</v>
      </c>
      <c r="K445" t="s">
        <v>2003</v>
      </c>
      <c r="L445" s="25">
        <v>46.077623969999998</v>
      </c>
      <c r="M445" s="25">
        <v>9.0622504989999992</v>
      </c>
      <c r="N445">
        <v>5</v>
      </c>
      <c r="O445">
        <v>20</v>
      </c>
      <c r="P445">
        <v>11</v>
      </c>
      <c r="Q445">
        <v>2016</v>
      </c>
      <c r="R445" s="9">
        <v>42694</v>
      </c>
      <c r="S445">
        <v>300</v>
      </c>
      <c r="T445">
        <v>1</v>
      </c>
      <c r="U445">
        <v>0</v>
      </c>
      <c r="V445">
        <v>0</v>
      </c>
      <c r="W445">
        <v>0</v>
      </c>
      <c r="X445" s="57">
        <f t="shared" si="57"/>
        <v>-81.643635999999987</v>
      </c>
      <c r="Y445">
        <v>-23.8</v>
      </c>
      <c r="Z445">
        <v>6.94</v>
      </c>
      <c r="AA445" s="3">
        <f t="shared" si="50"/>
        <v>8</v>
      </c>
      <c r="AB445" s="3">
        <f t="shared" si="55"/>
        <v>7</v>
      </c>
      <c r="AD445" s="3" t="s">
        <v>2754</v>
      </c>
      <c r="AE445" s="22">
        <v>-89.534908799999997</v>
      </c>
      <c r="AF445" s="22">
        <f t="shared" si="52"/>
        <v>-89.534908799999997</v>
      </c>
      <c r="AG445" s="60" t="s">
        <v>16</v>
      </c>
      <c r="AH445" s="61" t="s">
        <v>16</v>
      </c>
      <c r="AJ445" s="3">
        <f t="shared" si="53"/>
        <v>9</v>
      </c>
      <c r="AK445" s="3" t="s">
        <v>2707</v>
      </c>
      <c r="AL445">
        <v>9</v>
      </c>
      <c r="AM445" t="s">
        <v>15</v>
      </c>
    </row>
    <row r="446" spans="1:39" x14ac:dyDescent="0.3">
      <c r="A446" s="51" t="s">
        <v>1891</v>
      </c>
      <c r="B446" s="54" t="s">
        <v>1097</v>
      </c>
      <c r="C446" s="51" t="s">
        <v>2765</v>
      </c>
      <c r="D446" s="53">
        <v>0</v>
      </c>
      <c r="E446" s="53">
        <v>1</v>
      </c>
      <c r="F446" s="51" t="s">
        <v>2715</v>
      </c>
      <c r="G446" s="51" t="s">
        <v>2695</v>
      </c>
      <c r="H446" s="25" t="str">
        <f t="shared" si="56"/>
        <v>jgd</v>
      </c>
      <c r="I446" t="s">
        <v>72</v>
      </c>
      <c r="J446" t="s">
        <v>1098</v>
      </c>
      <c r="K446" t="s">
        <v>1892</v>
      </c>
      <c r="L446" s="25">
        <v>46.024620059999997</v>
      </c>
      <c r="M446" s="25">
        <v>8.8223433720000006</v>
      </c>
      <c r="N446">
        <v>6</v>
      </c>
      <c r="O446">
        <v>18</v>
      </c>
      <c r="P446">
        <v>10</v>
      </c>
      <c r="Q446">
        <v>2016</v>
      </c>
      <c r="R446" s="9">
        <v>42661</v>
      </c>
      <c r="S446">
        <v>314</v>
      </c>
      <c r="T446">
        <v>1</v>
      </c>
      <c r="U446">
        <v>0</v>
      </c>
      <c r="V446">
        <v>0</v>
      </c>
      <c r="W446">
        <v>0</v>
      </c>
      <c r="X446" s="57">
        <f t="shared" si="57"/>
        <v>-81.511292749999996</v>
      </c>
      <c r="Y446">
        <v>-23.85</v>
      </c>
      <c r="Z446">
        <v>5.26</v>
      </c>
      <c r="AA446" s="3">
        <f t="shared" si="50"/>
        <v>8</v>
      </c>
      <c r="AB446" s="3">
        <f t="shared" si="55"/>
        <v>5</v>
      </c>
      <c r="AD446" s="3" t="s">
        <v>2754</v>
      </c>
      <c r="AE446" s="22">
        <v>-89.429034200000004</v>
      </c>
      <c r="AF446" s="22">
        <f t="shared" si="52"/>
        <v>-89.429034200000004</v>
      </c>
      <c r="AG446" s="60" t="s">
        <v>16</v>
      </c>
      <c r="AH446" s="61" t="s">
        <v>16</v>
      </c>
      <c r="AJ446" s="3">
        <f t="shared" si="53"/>
        <v>9</v>
      </c>
      <c r="AK446" s="3" t="s">
        <v>2707</v>
      </c>
      <c r="AL446">
        <v>9</v>
      </c>
      <c r="AM446" t="s">
        <v>15</v>
      </c>
    </row>
    <row r="447" spans="1:39" x14ac:dyDescent="0.3">
      <c r="A447" s="51" t="s">
        <v>2072</v>
      </c>
      <c r="B447" s="54" t="s">
        <v>2073</v>
      </c>
      <c r="C447" s="51" t="s">
        <v>2765</v>
      </c>
      <c r="D447" s="53">
        <v>0</v>
      </c>
      <c r="E447" s="53">
        <v>1</v>
      </c>
      <c r="F447" s="51" t="s">
        <v>2715</v>
      </c>
      <c r="G447" s="51" t="s">
        <v>2695</v>
      </c>
      <c r="H447" s="25" t="str">
        <f t="shared" si="56"/>
        <v>jgd</v>
      </c>
      <c r="I447" t="s">
        <v>72</v>
      </c>
      <c r="J447" t="s">
        <v>800</v>
      </c>
      <c r="K447" t="s">
        <v>2074</v>
      </c>
      <c r="L447" s="25">
        <v>46.058544079999997</v>
      </c>
      <c r="M447" s="25">
        <v>8.8771966009999996</v>
      </c>
      <c r="N447">
        <v>5</v>
      </c>
      <c r="O447">
        <v>12</v>
      </c>
      <c r="P447">
        <v>11</v>
      </c>
      <c r="Q447">
        <v>2017</v>
      </c>
      <c r="R447" s="9">
        <v>43051</v>
      </c>
      <c r="S447">
        <v>308</v>
      </c>
      <c r="T447">
        <v>1</v>
      </c>
      <c r="U447">
        <v>0</v>
      </c>
      <c r="V447">
        <v>0</v>
      </c>
      <c r="W447">
        <v>0</v>
      </c>
      <c r="X447" s="57">
        <f t="shared" si="57"/>
        <v>-81.433648750000003</v>
      </c>
      <c r="Y447" t="s">
        <v>16</v>
      </c>
      <c r="Z447">
        <v>5.7318279639999998</v>
      </c>
      <c r="AA447" s="3">
        <f t="shared" si="50"/>
        <v>8</v>
      </c>
      <c r="AB447" s="3">
        <f t="shared" si="55"/>
        <v>6</v>
      </c>
      <c r="AD447" s="3" t="s">
        <v>2754</v>
      </c>
      <c r="AE447" s="22">
        <v>-89.366918999999996</v>
      </c>
      <c r="AF447" s="22">
        <f t="shared" si="52"/>
        <v>-89.366918999999996</v>
      </c>
      <c r="AG447" s="60" t="s">
        <v>16</v>
      </c>
      <c r="AH447" s="61" t="s">
        <v>16</v>
      </c>
      <c r="AJ447" s="3">
        <f t="shared" si="53"/>
        <v>9</v>
      </c>
      <c r="AK447" s="3" t="s">
        <v>2707</v>
      </c>
      <c r="AL447">
        <v>9</v>
      </c>
      <c r="AM447" t="s">
        <v>15</v>
      </c>
    </row>
    <row r="448" spans="1:39" x14ac:dyDescent="0.3">
      <c r="A448" s="51" t="s">
        <v>1701</v>
      </c>
      <c r="B448" s="54" t="s">
        <v>179</v>
      </c>
      <c r="C448" s="51" t="s">
        <v>2765</v>
      </c>
      <c r="D448" s="53">
        <v>0</v>
      </c>
      <c r="E448" s="53">
        <v>1</v>
      </c>
      <c r="F448" s="51" t="s">
        <v>2715</v>
      </c>
      <c r="G448" s="51" t="s">
        <v>2695</v>
      </c>
      <c r="H448" s="25" t="str">
        <f t="shared" si="56"/>
        <v>jgd</v>
      </c>
      <c r="I448" t="s">
        <v>72</v>
      </c>
      <c r="J448" t="s">
        <v>1702</v>
      </c>
      <c r="K448" t="s">
        <v>1703</v>
      </c>
      <c r="L448" s="25">
        <v>46.106823599999998</v>
      </c>
      <c r="M448" s="25">
        <v>8.9686911519999999</v>
      </c>
      <c r="N448">
        <v>5</v>
      </c>
      <c r="O448">
        <v>18</v>
      </c>
      <c r="P448">
        <v>10</v>
      </c>
      <c r="Q448">
        <v>2016</v>
      </c>
      <c r="R448" s="9">
        <v>42661</v>
      </c>
      <c r="S448">
        <v>302</v>
      </c>
      <c r="T448">
        <v>1</v>
      </c>
      <c r="U448">
        <v>0</v>
      </c>
      <c r="V448">
        <v>0</v>
      </c>
      <c r="W448">
        <v>0</v>
      </c>
      <c r="X448" s="57">
        <f t="shared" si="57"/>
        <v>-81.163997125000009</v>
      </c>
      <c r="Y448">
        <v>-23.6</v>
      </c>
      <c r="Z448">
        <v>4.5</v>
      </c>
      <c r="AA448" s="3">
        <f t="shared" si="50"/>
        <v>8</v>
      </c>
      <c r="AB448" s="3">
        <f t="shared" si="55"/>
        <v>5</v>
      </c>
      <c r="AD448" s="3" t="s">
        <v>2754</v>
      </c>
      <c r="AE448" s="22">
        <v>-89.151197699999997</v>
      </c>
      <c r="AF448" s="22">
        <f t="shared" si="52"/>
        <v>-89.151197699999997</v>
      </c>
      <c r="AG448" s="60" t="s">
        <v>16</v>
      </c>
      <c r="AH448" s="61" t="s">
        <v>16</v>
      </c>
      <c r="AJ448" s="3">
        <f t="shared" si="53"/>
        <v>9</v>
      </c>
      <c r="AK448" s="3" t="s">
        <v>2707</v>
      </c>
      <c r="AL448">
        <v>9</v>
      </c>
      <c r="AM448" t="s">
        <v>15</v>
      </c>
    </row>
    <row r="449" spans="1:39" x14ac:dyDescent="0.3">
      <c r="A449" s="51" t="s">
        <v>1391</v>
      </c>
      <c r="B449" s="54" t="s">
        <v>1392</v>
      </c>
      <c r="C449" s="51" t="s">
        <v>2765</v>
      </c>
      <c r="D449" s="53">
        <v>0</v>
      </c>
      <c r="E449" s="53">
        <v>1</v>
      </c>
      <c r="F449" s="51" t="s">
        <v>2715</v>
      </c>
      <c r="G449" s="51" t="s">
        <v>2695</v>
      </c>
      <c r="H449" s="25" t="str">
        <f t="shared" si="56"/>
        <v>jgd</v>
      </c>
      <c r="I449" t="s">
        <v>72</v>
      </c>
      <c r="J449" t="s">
        <v>1387</v>
      </c>
      <c r="K449" t="s">
        <v>1388</v>
      </c>
      <c r="L449" s="25">
        <v>46.08142969</v>
      </c>
      <c r="M449" s="25">
        <v>8.9834946379999998</v>
      </c>
      <c r="N449">
        <v>3</v>
      </c>
      <c r="O449">
        <v>3</v>
      </c>
      <c r="P449">
        <v>11</v>
      </c>
      <c r="Q449">
        <v>2015</v>
      </c>
      <c r="R449" s="9">
        <v>42311</v>
      </c>
      <c r="S449">
        <v>312</v>
      </c>
      <c r="T449">
        <v>1</v>
      </c>
      <c r="U449">
        <v>0</v>
      </c>
      <c r="V449">
        <v>0</v>
      </c>
      <c r="W449">
        <v>0</v>
      </c>
      <c r="X449">
        <f t="shared" si="57"/>
        <v>-81.0625</v>
      </c>
      <c r="Y449">
        <v>-23.618400000000001</v>
      </c>
      <c r="Z449">
        <v>7.994241658</v>
      </c>
      <c r="AA449" s="3">
        <f t="shared" si="50"/>
        <v>8</v>
      </c>
      <c r="AB449" s="3">
        <f t="shared" si="55"/>
        <v>8</v>
      </c>
      <c r="AD449" s="3" t="s">
        <v>2754</v>
      </c>
      <c r="AE449" s="22">
        <v>-89.07</v>
      </c>
      <c r="AF449" s="22">
        <f t="shared" si="52"/>
        <v>-89.07</v>
      </c>
      <c r="AG449" s="1">
        <v>-112.1</v>
      </c>
      <c r="AH449" s="2" t="s">
        <v>16</v>
      </c>
      <c r="AI449"/>
      <c r="AJ449" s="3">
        <f t="shared" si="53"/>
        <v>9</v>
      </c>
      <c r="AK449" s="3" t="s">
        <v>2707</v>
      </c>
      <c r="AL449">
        <v>9</v>
      </c>
      <c r="AM449" t="s">
        <v>15</v>
      </c>
    </row>
    <row r="450" spans="1:39" hidden="1" x14ac:dyDescent="0.3">
      <c r="A450" s="51" t="s">
        <v>2009</v>
      </c>
      <c r="B450" s="54" t="s">
        <v>2010</v>
      </c>
      <c r="C450" s="51" t="s">
        <v>2765</v>
      </c>
      <c r="D450" s="53">
        <v>0</v>
      </c>
      <c r="E450" s="53">
        <v>1</v>
      </c>
      <c r="F450" s="51" t="s">
        <v>2715</v>
      </c>
      <c r="G450" s="51" t="s">
        <v>2695</v>
      </c>
      <c r="H450" s="25" t="str">
        <f t="shared" si="56"/>
        <v>jgd</v>
      </c>
      <c r="I450" t="s">
        <v>30</v>
      </c>
      <c r="J450" t="s">
        <v>69</v>
      </c>
      <c r="K450" t="s">
        <v>16</v>
      </c>
      <c r="L450" s="25">
        <v>46.746889529999997</v>
      </c>
      <c r="M450" s="25">
        <v>7.0656881760000001</v>
      </c>
      <c r="N450">
        <v>5</v>
      </c>
      <c r="O450">
        <v>10</v>
      </c>
      <c r="P450">
        <v>11</v>
      </c>
      <c r="Q450">
        <v>2016</v>
      </c>
      <c r="R450" s="9">
        <v>42684</v>
      </c>
      <c r="S450">
        <v>342</v>
      </c>
      <c r="T450">
        <v>1</v>
      </c>
      <c r="U450">
        <v>0</v>
      </c>
      <c r="V450">
        <v>0</v>
      </c>
      <c r="W450">
        <v>0</v>
      </c>
      <c r="X450" s="57">
        <f t="shared" si="57"/>
        <v>-80.961035999999979</v>
      </c>
      <c r="Y450">
        <v>-25.13</v>
      </c>
      <c r="Z450">
        <v>4.78</v>
      </c>
      <c r="AA450" s="3">
        <f t="shared" si="50"/>
        <v>8</v>
      </c>
      <c r="AB450" s="3">
        <f t="shared" si="55"/>
        <v>5</v>
      </c>
      <c r="AD450" s="3" t="s">
        <v>2751</v>
      </c>
      <c r="AE450" s="22">
        <v>-88.988828799999993</v>
      </c>
      <c r="AF450" s="22">
        <f t="shared" si="52"/>
        <v>-88.988828799999993</v>
      </c>
      <c r="AG450" s="60" t="s">
        <v>16</v>
      </c>
      <c r="AH450" s="61" t="s">
        <v>16</v>
      </c>
      <c r="AJ450" s="3">
        <f t="shared" si="53"/>
        <v>9</v>
      </c>
      <c r="AK450" s="3" t="s">
        <v>2707</v>
      </c>
      <c r="AL450">
        <v>9</v>
      </c>
      <c r="AM450" t="s">
        <v>15</v>
      </c>
    </row>
    <row r="451" spans="1:39" hidden="1" x14ac:dyDescent="0.3">
      <c r="A451" s="51" t="s">
        <v>1067</v>
      </c>
      <c r="B451" s="54" t="s">
        <v>1068</v>
      </c>
      <c r="C451" s="51" t="s">
        <v>2765</v>
      </c>
      <c r="D451" s="53">
        <v>0</v>
      </c>
      <c r="E451" s="53">
        <v>1</v>
      </c>
      <c r="F451" s="51" t="s">
        <v>2715</v>
      </c>
      <c r="G451" s="51" t="s">
        <v>2695</v>
      </c>
      <c r="H451" s="25" t="str">
        <f t="shared" si="56"/>
        <v>jgd</v>
      </c>
      <c r="I451" t="s">
        <v>13</v>
      </c>
      <c r="J451" t="s">
        <v>519</v>
      </c>
      <c r="K451" t="s">
        <v>1069</v>
      </c>
      <c r="L451" s="25">
        <v>47.001625519999997</v>
      </c>
      <c r="M451" s="25">
        <v>6.8275314419999997</v>
      </c>
      <c r="N451">
        <v>6</v>
      </c>
      <c r="O451">
        <v>21</v>
      </c>
      <c r="P451">
        <v>11</v>
      </c>
      <c r="Q451">
        <v>2015</v>
      </c>
      <c r="R451" s="9">
        <v>42329</v>
      </c>
      <c r="S451">
        <v>347</v>
      </c>
      <c r="T451">
        <v>1</v>
      </c>
      <c r="U451">
        <v>0</v>
      </c>
      <c r="V451">
        <v>0</v>
      </c>
      <c r="W451">
        <v>0</v>
      </c>
      <c r="X451">
        <f t="shared" si="57"/>
        <v>-80.875</v>
      </c>
      <c r="Y451">
        <v>-24.396249999999998</v>
      </c>
      <c r="Z451">
        <v>4.531469821</v>
      </c>
      <c r="AA451" s="3">
        <f t="shared" si="50"/>
        <v>8</v>
      </c>
      <c r="AB451" s="3">
        <f t="shared" si="55"/>
        <v>5</v>
      </c>
      <c r="AD451" s="3" t="s">
        <v>2750</v>
      </c>
      <c r="AE451" s="22">
        <v>-88.92</v>
      </c>
      <c r="AF451" s="22">
        <f t="shared" si="52"/>
        <v>-88.92</v>
      </c>
      <c r="AG451" s="1">
        <v>-112</v>
      </c>
      <c r="AH451" s="2" t="s">
        <v>16</v>
      </c>
      <c r="AI451"/>
      <c r="AJ451" s="3">
        <f t="shared" si="53"/>
        <v>9</v>
      </c>
      <c r="AK451" s="3" t="s">
        <v>2707</v>
      </c>
      <c r="AL451">
        <v>9</v>
      </c>
      <c r="AM451" t="s">
        <v>15</v>
      </c>
    </row>
    <row r="452" spans="1:39" x14ac:dyDescent="0.3">
      <c r="A452" s="51" t="s">
        <v>1611</v>
      </c>
      <c r="B452" s="54" t="s">
        <v>847</v>
      </c>
      <c r="C452" s="51" t="s">
        <v>2765</v>
      </c>
      <c r="D452" s="53">
        <v>0</v>
      </c>
      <c r="E452" s="53">
        <v>1</v>
      </c>
      <c r="F452" s="51" t="s">
        <v>2715</v>
      </c>
      <c r="G452" s="51" t="s">
        <v>2695</v>
      </c>
      <c r="H452" s="25" t="str">
        <f t="shared" si="56"/>
        <v>jgd</v>
      </c>
      <c r="I452" t="s">
        <v>72</v>
      </c>
      <c r="J452" t="s">
        <v>1612</v>
      </c>
      <c r="K452" t="s">
        <v>1613</v>
      </c>
      <c r="L452" s="25">
        <v>46.129781639999997</v>
      </c>
      <c r="M452" s="25">
        <v>8.5999198850000003</v>
      </c>
      <c r="N452">
        <v>6</v>
      </c>
      <c r="O452">
        <v>9</v>
      </c>
      <c r="P452">
        <v>10</v>
      </c>
      <c r="Q452">
        <v>2016</v>
      </c>
      <c r="R452" s="9">
        <v>42652</v>
      </c>
      <c r="S452">
        <v>353</v>
      </c>
      <c r="T452">
        <v>1</v>
      </c>
      <c r="U452">
        <v>0</v>
      </c>
      <c r="V452">
        <v>0</v>
      </c>
      <c r="W452">
        <v>0</v>
      </c>
      <c r="X452" s="57">
        <f t="shared" si="57"/>
        <v>-80.788404000000014</v>
      </c>
      <c r="Y452">
        <v>-23.83</v>
      </c>
      <c r="Z452">
        <v>4.0599999999999996</v>
      </c>
      <c r="AA452" s="3">
        <f t="shared" si="50"/>
        <v>8</v>
      </c>
      <c r="AB452" s="3">
        <f t="shared" si="55"/>
        <v>4</v>
      </c>
      <c r="AD452" s="3" t="s">
        <v>2754</v>
      </c>
      <c r="AE452" s="22">
        <v>-88.850723200000004</v>
      </c>
      <c r="AF452" s="22">
        <f t="shared" si="52"/>
        <v>-88.850723200000004</v>
      </c>
      <c r="AG452" s="60" t="s">
        <v>16</v>
      </c>
      <c r="AH452" s="61" t="s">
        <v>16</v>
      </c>
      <c r="AJ452" s="3">
        <f t="shared" si="53"/>
        <v>9</v>
      </c>
      <c r="AK452" s="3" t="s">
        <v>2707</v>
      </c>
      <c r="AL452">
        <v>9</v>
      </c>
      <c r="AM452" t="s">
        <v>15</v>
      </c>
    </row>
    <row r="453" spans="1:39" x14ac:dyDescent="0.3">
      <c r="A453" s="51" t="s">
        <v>1291</v>
      </c>
      <c r="B453" s="54" t="s">
        <v>1292</v>
      </c>
      <c r="C453" s="51" t="s">
        <v>2765</v>
      </c>
      <c r="D453" s="53">
        <v>0</v>
      </c>
      <c r="E453" s="53">
        <v>1</v>
      </c>
      <c r="F453" s="51" t="s">
        <v>2715</v>
      </c>
      <c r="G453" s="51" t="s">
        <v>2695</v>
      </c>
      <c r="H453" s="25" t="str">
        <f t="shared" si="56"/>
        <v>jgd</v>
      </c>
      <c r="I453" t="s">
        <v>72</v>
      </c>
      <c r="J453" t="s">
        <v>574</v>
      </c>
      <c r="K453" t="s">
        <v>1293</v>
      </c>
      <c r="L453" s="25">
        <v>46.079552579999998</v>
      </c>
      <c r="M453" s="25">
        <v>9.0532575370000004</v>
      </c>
      <c r="N453">
        <v>5</v>
      </c>
      <c r="O453">
        <v>24</v>
      </c>
      <c r="P453">
        <v>10</v>
      </c>
      <c r="Q453">
        <v>2015</v>
      </c>
      <c r="R453" s="9">
        <v>42301</v>
      </c>
      <c r="S453">
        <v>295</v>
      </c>
      <c r="T453">
        <v>1</v>
      </c>
      <c r="U453">
        <v>0</v>
      </c>
      <c r="V453">
        <v>0</v>
      </c>
      <c r="W453">
        <v>0</v>
      </c>
      <c r="X453">
        <f t="shared" si="57"/>
        <v>-80.787499999999994</v>
      </c>
      <c r="Y453">
        <v>-24.105</v>
      </c>
      <c r="Z453">
        <v>5.8257987179999997</v>
      </c>
      <c r="AA453" s="3">
        <f t="shared" si="50"/>
        <v>8</v>
      </c>
      <c r="AB453" s="3">
        <f t="shared" si="55"/>
        <v>6</v>
      </c>
      <c r="AD453" s="3" t="s">
        <v>2754</v>
      </c>
      <c r="AE453" s="22">
        <v>-88.85</v>
      </c>
      <c r="AF453" s="22">
        <f t="shared" si="52"/>
        <v>-88.85</v>
      </c>
      <c r="AG453" s="1">
        <v>-111.9</v>
      </c>
      <c r="AH453" s="2" t="s">
        <v>16</v>
      </c>
      <c r="AI453"/>
      <c r="AJ453" s="3">
        <f t="shared" si="53"/>
        <v>9</v>
      </c>
      <c r="AK453" s="3" t="s">
        <v>2707</v>
      </c>
      <c r="AL453">
        <v>9</v>
      </c>
      <c r="AM453" t="s">
        <v>15</v>
      </c>
    </row>
    <row r="454" spans="1:39" x14ac:dyDescent="0.3">
      <c r="A454" s="51" t="s">
        <v>1980</v>
      </c>
      <c r="B454" s="54" t="s">
        <v>1252</v>
      </c>
      <c r="C454" s="51" t="s">
        <v>2765</v>
      </c>
      <c r="D454" s="53">
        <v>0</v>
      </c>
      <c r="E454" s="53">
        <v>1</v>
      </c>
      <c r="F454" s="51" t="s">
        <v>2715</v>
      </c>
      <c r="G454" s="51" t="s">
        <v>2695</v>
      </c>
      <c r="H454" s="25" t="str">
        <f t="shared" si="56"/>
        <v>jgd</v>
      </c>
      <c r="I454" t="s">
        <v>72</v>
      </c>
      <c r="J454" t="s">
        <v>804</v>
      </c>
      <c r="K454" t="s">
        <v>1981</v>
      </c>
      <c r="L454" s="25">
        <v>46.062033759999998</v>
      </c>
      <c r="M454" s="25">
        <v>8.9031372189999995</v>
      </c>
      <c r="N454">
        <v>4</v>
      </c>
      <c r="O454">
        <v>30</v>
      </c>
      <c r="P454">
        <v>11</v>
      </c>
      <c r="Q454">
        <v>2016</v>
      </c>
      <c r="R454" s="9">
        <v>42704</v>
      </c>
      <c r="S454">
        <v>310</v>
      </c>
      <c r="T454">
        <v>1</v>
      </c>
      <c r="U454">
        <v>0</v>
      </c>
      <c r="V454">
        <v>0</v>
      </c>
      <c r="W454">
        <v>0</v>
      </c>
      <c r="X454" s="57">
        <f t="shared" si="57"/>
        <v>-80.625598499999995</v>
      </c>
      <c r="Y454">
        <v>-24.88</v>
      </c>
      <c r="Z454">
        <v>6.52</v>
      </c>
      <c r="AA454" s="3">
        <f t="shared" si="50"/>
        <v>8</v>
      </c>
      <c r="AB454" s="3">
        <f t="shared" si="55"/>
        <v>7</v>
      </c>
      <c r="AD454" s="3" t="s">
        <v>2754</v>
      </c>
      <c r="AE454" s="22">
        <v>-88.720478799999995</v>
      </c>
      <c r="AF454" s="22">
        <f t="shared" si="52"/>
        <v>-88.720478799999995</v>
      </c>
      <c r="AG454" s="60" t="s">
        <v>16</v>
      </c>
      <c r="AH454" s="61" t="s">
        <v>16</v>
      </c>
      <c r="AJ454" s="3">
        <f t="shared" si="53"/>
        <v>9</v>
      </c>
      <c r="AK454" s="3" t="s">
        <v>2707</v>
      </c>
      <c r="AL454">
        <v>9</v>
      </c>
      <c r="AM454" t="s">
        <v>15</v>
      </c>
    </row>
    <row r="455" spans="1:39" x14ac:dyDescent="0.3">
      <c r="A455" s="51" t="s">
        <v>2149</v>
      </c>
      <c r="B455" s="54" t="s">
        <v>158</v>
      </c>
      <c r="C455" s="51" t="s">
        <v>2765</v>
      </c>
      <c r="D455" s="53">
        <v>0</v>
      </c>
      <c r="E455" s="53">
        <v>1</v>
      </c>
      <c r="F455" s="51" t="s">
        <v>2715</v>
      </c>
      <c r="G455" s="51" t="s">
        <v>2695</v>
      </c>
      <c r="H455" s="25" t="str">
        <f t="shared" si="56"/>
        <v>jgd</v>
      </c>
      <c r="I455" t="s">
        <v>72</v>
      </c>
      <c r="J455" t="s">
        <v>155</v>
      </c>
      <c r="K455" t="s">
        <v>2150</v>
      </c>
      <c r="L455" s="25">
        <v>46.11571446</v>
      </c>
      <c r="M455" s="25">
        <v>8.8382755080000006</v>
      </c>
      <c r="N455">
        <v>4</v>
      </c>
      <c r="O455">
        <v>22</v>
      </c>
      <c r="P455">
        <v>10</v>
      </c>
      <c r="Q455">
        <v>2017</v>
      </c>
      <c r="R455" s="9">
        <v>43030</v>
      </c>
      <c r="S455">
        <v>262</v>
      </c>
      <c r="T455">
        <v>1</v>
      </c>
      <c r="U455">
        <v>0</v>
      </c>
      <c r="V455">
        <v>0</v>
      </c>
      <c r="W455">
        <v>0</v>
      </c>
      <c r="X455" s="57">
        <f t="shared" si="57"/>
        <v>-80.613043000000005</v>
      </c>
      <c r="Y455" t="s">
        <v>16</v>
      </c>
      <c r="Z455">
        <v>7.753387332</v>
      </c>
      <c r="AA455" s="3">
        <f t="shared" si="50"/>
        <v>8</v>
      </c>
      <c r="AB455" s="3">
        <f t="shared" si="55"/>
        <v>8</v>
      </c>
      <c r="AD455" s="3" t="s">
        <v>2754</v>
      </c>
      <c r="AE455" s="22">
        <v>-88.710434399999997</v>
      </c>
      <c r="AF455" s="22">
        <f t="shared" si="52"/>
        <v>-88.710434399999997</v>
      </c>
      <c r="AG455" s="60" t="s">
        <v>16</v>
      </c>
      <c r="AH455" s="61" t="s">
        <v>16</v>
      </c>
      <c r="AJ455" s="3">
        <f t="shared" si="53"/>
        <v>9</v>
      </c>
      <c r="AK455" s="3" t="s">
        <v>2707</v>
      </c>
      <c r="AL455">
        <v>9</v>
      </c>
      <c r="AM455" t="s">
        <v>15</v>
      </c>
    </row>
    <row r="456" spans="1:39" hidden="1" x14ac:dyDescent="0.3">
      <c r="A456" s="51" t="s">
        <v>644</v>
      </c>
      <c r="B456" s="54" t="s">
        <v>645</v>
      </c>
      <c r="C456" s="51" t="s">
        <v>2765</v>
      </c>
      <c r="D456" s="53">
        <v>0</v>
      </c>
      <c r="E456" s="53">
        <v>1</v>
      </c>
      <c r="F456" s="51" t="s">
        <v>2715</v>
      </c>
      <c r="G456" s="51" t="s">
        <v>2695</v>
      </c>
      <c r="H456" s="25" t="str">
        <f t="shared" si="56"/>
        <v>jgd</v>
      </c>
      <c r="I456" t="s">
        <v>30</v>
      </c>
      <c r="J456" t="s">
        <v>646</v>
      </c>
      <c r="K456" t="s">
        <v>647</v>
      </c>
      <c r="L456" s="25">
        <v>46.741931379999997</v>
      </c>
      <c r="M456" s="25">
        <v>6.946541184</v>
      </c>
      <c r="N456">
        <v>4</v>
      </c>
      <c r="O456">
        <v>9</v>
      </c>
      <c r="P456">
        <v>12</v>
      </c>
      <c r="Q456">
        <v>2014</v>
      </c>
      <c r="R456" s="9">
        <v>41982</v>
      </c>
      <c r="S456">
        <v>370</v>
      </c>
      <c r="T456">
        <v>1</v>
      </c>
      <c r="U456">
        <v>0</v>
      </c>
      <c r="V456">
        <v>0</v>
      </c>
      <c r="W456">
        <v>0</v>
      </c>
      <c r="X456">
        <f t="shared" si="57"/>
        <v>-80.612499999999983</v>
      </c>
      <c r="Y456" t="s">
        <v>16</v>
      </c>
      <c r="Z456" t="s">
        <v>16</v>
      </c>
      <c r="AA456" s="3">
        <f t="shared" si="50"/>
        <v>8</v>
      </c>
      <c r="AD456" s="3" t="s">
        <v>2751</v>
      </c>
      <c r="AE456" s="22">
        <v>-88.71</v>
      </c>
      <c r="AF456" s="22">
        <f t="shared" si="52"/>
        <v>-88.71</v>
      </c>
      <c r="AG456" s="1">
        <v>-111.8</v>
      </c>
      <c r="AH456" s="2" t="s">
        <v>16</v>
      </c>
      <c r="AI456"/>
      <c r="AJ456" s="3">
        <f t="shared" si="53"/>
        <v>9</v>
      </c>
      <c r="AK456" s="3" t="s">
        <v>2707</v>
      </c>
      <c r="AL456">
        <v>9</v>
      </c>
      <c r="AM456" t="s">
        <v>15</v>
      </c>
    </row>
    <row r="457" spans="1:39" x14ac:dyDescent="0.3">
      <c r="A457" s="51" t="s">
        <v>1296</v>
      </c>
      <c r="B457" s="54" t="s">
        <v>1297</v>
      </c>
      <c r="C457" s="51" t="s">
        <v>2765</v>
      </c>
      <c r="D457" s="53">
        <v>0</v>
      </c>
      <c r="E457" s="53">
        <v>1</v>
      </c>
      <c r="F457" s="51" t="s">
        <v>2715</v>
      </c>
      <c r="G457" s="51" t="s">
        <v>2695</v>
      </c>
      <c r="H457" s="25" t="str">
        <f t="shared" si="56"/>
        <v>jgd</v>
      </c>
      <c r="I457" t="s">
        <v>72</v>
      </c>
      <c r="J457" t="s">
        <v>574</v>
      </c>
      <c r="K457" t="s">
        <v>1298</v>
      </c>
      <c r="L457" s="25">
        <v>46.075175780000002</v>
      </c>
      <c r="M457" s="25">
        <v>9.0447249599999999</v>
      </c>
      <c r="N457">
        <v>5</v>
      </c>
      <c r="O457">
        <v>4</v>
      </c>
      <c r="P457">
        <v>11</v>
      </c>
      <c r="Q457">
        <v>2015</v>
      </c>
      <c r="R457" s="9">
        <v>42312</v>
      </c>
      <c r="S457">
        <v>310</v>
      </c>
      <c r="T457">
        <v>1</v>
      </c>
      <c r="U457">
        <v>0</v>
      </c>
      <c r="V457">
        <v>0</v>
      </c>
      <c r="W457">
        <v>0</v>
      </c>
      <c r="X457">
        <f t="shared" si="57"/>
        <v>-80.612499999999983</v>
      </c>
      <c r="Y457">
        <v>-23.793800000000001</v>
      </c>
      <c r="Z457">
        <v>5.5135055639999999</v>
      </c>
      <c r="AA457" s="3">
        <f t="shared" si="50"/>
        <v>8</v>
      </c>
      <c r="AB457" s="3">
        <f t="shared" ref="AB457:AB484" si="58">ROUND(Z457,0)</f>
        <v>6</v>
      </c>
      <c r="AD457" s="3" t="s">
        <v>2754</v>
      </c>
      <c r="AE457" s="22">
        <v>-88.71</v>
      </c>
      <c r="AF457" s="22">
        <f t="shared" si="52"/>
        <v>-88.71</v>
      </c>
      <c r="AG457" s="1">
        <v>-111.8</v>
      </c>
      <c r="AH457" s="2" t="s">
        <v>16</v>
      </c>
      <c r="AI457"/>
      <c r="AJ457" s="3">
        <f t="shared" si="53"/>
        <v>9</v>
      </c>
      <c r="AK457" s="3" t="s">
        <v>2707</v>
      </c>
      <c r="AL457">
        <v>9</v>
      </c>
      <c r="AM457" t="s">
        <v>15</v>
      </c>
    </row>
    <row r="458" spans="1:39" hidden="1" x14ac:dyDescent="0.3">
      <c r="A458" s="51" t="s">
        <v>388</v>
      </c>
      <c r="B458" s="54" t="s">
        <v>389</v>
      </c>
      <c r="C458" s="51" t="s">
        <v>2765</v>
      </c>
      <c r="D458" s="53">
        <v>0</v>
      </c>
      <c r="E458" s="53">
        <v>1</v>
      </c>
      <c r="F458" s="51" t="s">
        <v>2715</v>
      </c>
      <c r="G458" s="51" t="s">
        <v>2695</v>
      </c>
      <c r="H458" s="25" t="str">
        <f t="shared" si="56"/>
        <v>jgd</v>
      </c>
      <c r="I458" t="s">
        <v>385</v>
      </c>
      <c r="J458" t="s">
        <v>386</v>
      </c>
      <c r="K458" t="s">
        <v>386</v>
      </c>
      <c r="L458" s="25">
        <v>46.838890540000001</v>
      </c>
      <c r="M458" s="25">
        <v>6.5472264320000004</v>
      </c>
      <c r="N458">
        <v>6</v>
      </c>
      <c r="O458">
        <v>20</v>
      </c>
      <c r="P458">
        <v>11</v>
      </c>
      <c r="Q458">
        <v>2014</v>
      </c>
      <c r="R458" s="9">
        <v>41963</v>
      </c>
      <c r="S458">
        <v>303</v>
      </c>
      <c r="T458">
        <v>1</v>
      </c>
      <c r="U458">
        <v>0</v>
      </c>
      <c r="V458">
        <v>0</v>
      </c>
      <c r="W458">
        <v>0</v>
      </c>
      <c r="X458">
        <f t="shared" si="57"/>
        <v>-80.575000000000017</v>
      </c>
      <c r="Y458">
        <v>-24.014800000000001</v>
      </c>
      <c r="Z458">
        <v>3.8405516149999999</v>
      </c>
      <c r="AA458" s="3">
        <f t="shared" si="50"/>
        <v>8</v>
      </c>
      <c r="AB458" s="3">
        <f t="shared" si="58"/>
        <v>4</v>
      </c>
      <c r="AD458" s="3" t="s">
        <v>2750</v>
      </c>
      <c r="AE458" s="22">
        <v>-88.68</v>
      </c>
      <c r="AF458" s="22">
        <f t="shared" si="52"/>
        <v>-88.68</v>
      </c>
      <c r="AG458" s="1">
        <v>-111.7</v>
      </c>
      <c r="AH458" s="2" t="s">
        <v>16</v>
      </c>
      <c r="AI458"/>
      <c r="AJ458" s="3">
        <f t="shared" si="53"/>
        <v>9</v>
      </c>
      <c r="AK458" s="3" t="s">
        <v>2707</v>
      </c>
      <c r="AL458">
        <v>9</v>
      </c>
      <c r="AM458" t="s">
        <v>15</v>
      </c>
    </row>
    <row r="459" spans="1:39" x14ac:dyDescent="0.3">
      <c r="A459" s="51" t="s">
        <v>888</v>
      </c>
      <c r="B459" s="54" t="s">
        <v>889</v>
      </c>
      <c r="C459" s="51" t="s">
        <v>2765</v>
      </c>
      <c r="D459" s="53">
        <v>0</v>
      </c>
      <c r="E459" s="53">
        <v>1</v>
      </c>
      <c r="F459" s="51" t="s">
        <v>2715</v>
      </c>
      <c r="G459" s="51" t="s">
        <v>2695</v>
      </c>
      <c r="H459" s="25" t="str">
        <f t="shared" si="56"/>
        <v>jgd</v>
      </c>
      <c r="I459" t="s">
        <v>72</v>
      </c>
      <c r="J459" t="s">
        <v>848</v>
      </c>
      <c r="K459" t="s">
        <v>890</v>
      </c>
      <c r="L459" s="25">
        <v>46.157495230000002</v>
      </c>
      <c r="M459" s="25">
        <v>8.6642059410000005</v>
      </c>
      <c r="N459">
        <v>6</v>
      </c>
      <c r="O459">
        <v>28</v>
      </c>
      <c r="P459">
        <v>10</v>
      </c>
      <c r="Q459">
        <v>2015</v>
      </c>
      <c r="R459" s="9">
        <v>42305</v>
      </c>
      <c r="S459">
        <v>311</v>
      </c>
      <c r="T459">
        <v>1</v>
      </c>
      <c r="U459">
        <v>0</v>
      </c>
      <c r="V459">
        <v>0</v>
      </c>
      <c r="W459">
        <v>0</v>
      </c>
      <c r="X459">
        <f t="shared" si="57"/>
        <v>-80.5625</v>
      </c>
      <c r="Y459">
        <v>-24.232600000000001</v>
      </c>
      <c r="Z459">
        <v>6.7003416329999999</v>
      </c>
      <c r="AA459" s="3">
        <f t="shared" si="50"/>
        <v>8</v>
      </c>
      <c r="AB459" s="3">
        <f t="shared" si="58"/>
        <v>7</v>
      </c>
      <c r="AD459" s="3" t="s">
        <v>2754</v>
      </c>
      <c r="AE459" s="22">
        <v>-88.67</v>
      </c>
      <c r="AF459" s="22">
        <f t="shared" si="52"/>
        <v>-88.67</v>
      </c>
      <c r="AG459" s="1">
        <v>-111.7</v>
      </c>
      <c r="AH459" s="2" t="s">
        <v>16</v>
      </c>
      <c r="AI459"/>
      <c r="AJ459" s="3">
        <f t="shared" si="53"/>
        <v>9</v>
      </c>
      <c r="AK459" s="3" t="s">
        <v>2707</v>
      </c>
      <c r="AL459">
        <v>9</v>
      </c>
      <c r="AM459" t="s">
        <v>15</v>
      </c>
    </row>
    <row r="460" spans="1:39" x14ac:dyDescent="0.3">
      <c r="A460" s="51" t="s">
        <v>1991</v>
      </c>
      <c r="B460" s="54" t="s">
        <v>1266</v>
      </c>
      <c r="C460" s="51" t="s">
        <v>2765</v>
      </c>
      <c r="D460" s="53">
        <v>0</v>
      </c>
      <c r="E460" s="53">
        <v>1</v>
      </c>
      <c r="F460" s="51" t="s">
        <v>2715</v>
      </c>
      <c r="G460" s="51" t="s">
        <v>2695</v>
      </c>
      <c r="H460" s="25" t="str">
        <f t="shared" si="56"/>
        <v>jgd</v>
      </c>
      <c r="I460" t="s">
        <v>72</v>
      </c>
      <c r="J460" t="s">
        <v>1983</v>
      </c>
      <c r="K460" t="s">
        <v>1992</v>
      </c>
      <c r="L460" s="25">
        <v>46.956932520000002</v>
      </c>
      <c r="M460" s="25">
        <v>8.9272066149999993</v>
      </c>
      <c r="N460">
        <v>4</v>
      </c>
      <c r="O460">
        <v>30</v>
      </c>
      <c r="P460">
        <v>10</v>
      </c>
      <c r="Q460">
        <v>2016</v>
      </c>
      <c r="R460" s="9">
        <v>42673</v>
      </c>
      <c r="S460">
        <v>350</v>
      </c>
      <c r="T460">
        <v>1</v>
      </c>
      <c r="U460">
        <v>0</v>
      </c>
      <c r="V460">
        <v>0</v>
      </c>
      <c r="W460">
        <v>0</v>
      </c>
      <c r="X460" s="57">
        <f t="shared" si="57"/>
        <v>-80.56012237500002</v>
      </c>
      <c r="Y460">
        <v>-23.67</v>
      </c>
      <c r="Z460">
        <v>4.51</v>
      </c>
      <c r="AA460" s="3">
        <f t="shared" si="50"/>
        <v>8</v>
      </c>
      <c r="AB460" s="3">
        <f t="shared" si="58"/>
        <v>5</v>
      </c>
      <c r="AD460" s="3" t="s">
        <v>2752</v>
      </c>
      <c r="AE460" s="22">
        <v>-88.668097900000006</v>
      </c>
      <c r="AF460" s="22">
        <f t="shared" si="52"/>
        <v>-88.668097900000006</v>
      </c>
      <c r="AG460" s="60" t="s">
        <v>16</v>
      </c>
      <c r="AH460" s="61" t="s">
        <v>16</v>
      </c>
      <c r="AJ460" s="3">
        <f t="shared" si="53"/>
        <v>9</v>
      </c>
      <c r="AK460" s="3" t="s">
        <v>2707</v>
      </c>
      <c r="AL460">
        <v>9</v>
      </c>
      <c r="AM460" t="s">
        <v>15</v>
      </c>
    </row>
    <row r="461" spans="1:39" x14ac:dyDescent="0.3">
      <c r="A461" s="51" t="s">
        <v>1422</v>
      </c>
      <c r="B461" s="54" t="s">
        <v>1423</v>
      </c>
      <c r="C461" s="51" t="s">
        <v>2765</v>
      </c>
      <c r="D461" s="53">
        <v>0</v>
      </c>
      <c r="E461" s="53">
        <v>1</v>
      </c>
      <c r="F461" s="51" t="s">
        <v>2715</v>
      </c>
      <c r="G461" s="51" t="s">
        <v>2695</v>
      </c>
      <c r="H461" s="25" t="str">
        <f t="shared" si="56"/>
        <v>jgd</v>
      </c>
      <c r="I461" t="s">
        <v>72</v>
      </c>
      <c r="J461" t="s">
        <v>1420</v>
      </c>
      <c r="K461" t="s">
        <v>1424</v>
      </c>
      <c r="L461" s="25">
        <v>46.481715850000001</v>
      </c>
      <c r="M461" s="25">
        <v>8.7396261909999993</v>
      </c>
      <c r="N461">
        <v>5</v>
      </c>
      <c r="O461">
        <v>15</v>
      </c>
      <c r="P461">
        <v>11</v>
      </c>
      <c r="Q461">
        <v>2016</v>
      </c>
      <c r="R461" s="9">
        <v>42689</v>
      </c>
      <c r="S461">
        <v>282</v>
      </c>
      <c r="T461">
        <v>1</v>
      </c>
      <c r="U461">
        <v>0</v>
      </c>
      <c r="V461">
        <v>0</v>
      </c>
      <c r="W461">
        <v>0</v>
      </c>
      <c r="X461" s="57">
        <f t="shared" si="57"/>
        <v>-80.551476000000008</v>
      </c>
      <c r="Y461">
        <v>-24.05</v>
      </c>
      <c r="Z461">
        <v>5.68</v>
      </c>
      <c r="AA461" s="3">
        <f t="shared" si="50"/>
        <v>8</v>
      </c>
      <c r="AB461" s="3">
        <f t="shared" si="58"/>
        <v>6</v>
      </c>
      <c r="AD461" s="3" t="s">
        <v>2754</v>
      </c>
      <c r="AE461" s="22">
        <v>-88.661180799999997</v>
      </c>
      <c r="AF461" s="22">
        <f t="shared" si="52"/>
        <v>-88.661180799999997</v>
      </c>
      <c r="AG461" s="60" t="s">
        <v>16</v>
      </c>
      <c r="AH461" s="61" t="s">
        <v>16</v>
      </c>
      <c r="AJ461" s="3">
        <f t="shared" si="53"/>
        <v>9</v>
      </c>
      <c r="AK461" s="3" t="s">
        <v>2707</v>
      </c>
      <c r="AL461">
        <v>9</v>
      </c>
      <c r="AM461" t="s">
        <v>15</v>
      </c>
    </row>
    <row r="462" spans="1:39" hidden="1" x14ac:dyDescent="0.3">
      <c r="A462" s="51" t="s">
        <v>383</v>
      </c>
      <c r="B462" s="54" t="s">
        <v>384</v>
      </c>
      <c r="C462" s="51" t="s">
        <v>2765</v>
      </c>
      <c r="D462" s="53">
        <v>0</v>
      </c>
      <c r="E462" s="53">
        <v>1</v>
      </c>
      <c r="F462" s="51" t="s">
        <v>2715</v>
      </c>
      <c r="G462" s="51" t="s">
        <v>2695</v>
      </c>
      <c r="H462" s="25" t="str">
        <f t="shared" si="56"/>
        <v>jgd</v>
      </c>
      <c r="I462" t="s">
        <v>385</v>
      </c>
      <c r="J462" t="s">
        <v>386</v>
      </c>
      <c r="K462" t="s">
        <v>387</v>
      </c>
      <c r="L462" s="25">
        <v>46.855282770000002</v>
      </c>
      <c r="M462" s="25">
        <v>6.5555574620000003</v>
      </c>
      <c r="N462">
        <v>5</v>
      </c>
      <c r="O462">
        <v>14</v>
      </c>
      <c r="P462">
        <v>11</v>
      </c>
      <c r="Q462">
        <v>2014</v>
      </c>
      <c r="R462" s="9">
        <v>41957</v>
      </c>
      <c r="S462">
        <v>310</v>
      </c>
      <c r="T462">
        <v>1</v>
      </c>
      <c r="U462">
        <v>0</v>
      </c>
      <c r="V462">
        <v>0</v>
      </c>
      <c r="W462">
        <v>0</v>
      </c>
      <c r="X462">
        <f t="shared" si="57"/>
        <v>-80.549999999999983</v>
      </c>
      <c r="Y462">
        <v>-24.407800000000002</v>
      </c>
      <c r="Z462">
        <v>4.4356855120000001</v>
      </c>
      <c r="AA462" s="3">
        <f t="shared" si="50"/>
        <v>8</v>
      </c>
      <c r="AB462" s="3">
        <f t="shared" si="58"/>
        <v>4</v>
      </c>
      <c r="AD462" s="3" t="s">
        <v>2750</v>
      </c>
      <c r="AE462" s="22">
        <v>-88.66</v>
      </c>
      <c r="AF462" s="22">
        <f t="shared" si="52"/>
        <v>-88.66</v>
      </c>
      <c r="AG462" s="1">
        <v>-111.7</v>
      </c>
      <c r="AH462" s="2" t="s">
        <v>16</v>
      </c>
      <c r="AI462"/>
      <c r="AJ462" s="3">
        <f t="shared" si="53"/>
        <v>9</v>
      </c>
      <c r="AK462" s="3" t="s">
        <v>2707</v>
      </c>
      <c r="AL462">
        <v>9</v>
      </c>
      <c r="AM462" t="s">
        <v>15</v>
      </c>
    </row>
    <row r="463" spans="1:39" hidden="1" x14ac:dyDescent="0.3">
      <c r="A463" s="51" t="s">
        <v>1360</v>
      </c>
      <c r="B463" s="54" t="s">
        <v>1361</v>
      </c>
      <c r="C463" s="51" t="s">
        <v>2765</v>
      </c>
      <c r="D463" s="53">
        <v>0</v>
      </c>
      <c r="E463" s="53">
        <v>1</v>
      </c>
      <c r="F463" s="51" t="s">
        <v>2715</v>
      </c>
      <c r="G463" s="51" t="s">
        <v>2695</v>
      </c>
      <c r="H463" s="25" t="str">
        <f t="shared" si="56"/>
        <v>jgd</v>
      </c>
      <c r="I463" t="s">
        <v>30</v>
      </c>
      <c r="J463" t="s">
        <v>268</v>
      </c>
      <c r="K463" t="s">
        <v>1362</v>
      </c>
      <c r="L463" s="25">
        <v>46.751170289999997</v>
      </c>
      <c r="M463" s="25">
        <v>7.0571778590000003</v>
      </c>
      <c r="N463">
        <v>5</v>
      </c>
      <c r="O463">
        <v>18</v>
      </c>
      <c r="P463">
        <v>11</v>
      </c>
      <c r="Q463">
        <v>2015</v>
      </c>
      <c r="R463" s="9">
        <v>42326</v>
      </c>
      <c r="S463">
        <v>329</v>
      </c>
      <c r="T463">
        <v>1</v>
      </c>
      <c r="U463">
        <v>0</v>
      </c>
      <c r="V463">
        <v>0</v>
      </c>
      <c r="W463">
        <v>0</v>
      </c>
      <c r="X463">
        <f t="shared" si="57"/>
        <v>-80.5</v>
      </c>
      <c r="Y463">
        <v>-24.674138339999999</v>
      </c>
      <c r="Z463">
        <v>6.7289763999999996</v>
      </c>
      <c r="AA463" s="3">
        <f t="shared" si="50"/>
        <v>8</v>
      </c>
      <c r="AB463" s="3">
        <f t="shared" si="58"/>
        <v>7</v>
      </c>
      <c r="AD463" s="3" t="s">
        <v>2751</v>
      </c>
      <c r="AE463" s="22">
        <v>-88.62</v>
      </c>
      <c r="AF463" s="22">
        <f t="shared" si="52"/>
        <v>-88.62</v>
      </c>
      <c r="AG463" s="1">
        <v>-111.7</v>
      </c>
      <c r="AH463" s="2" t="s">
        <v>16</v>
      </c>
      <c r="AI463"/>
      <c r="AJ463" s="3">
        <f t="shared" si="53"/>
        <v>9</v>
      </c>
      <c r="AK463" s="3" t="s">
        <v>2707</v>
      </c>
      <c r="AL463">
        <v>9</v>
      </c>
      <c r="AM463" t="s">
        <v>15</v>
      </c>
    </row>
    <row r="464" spans="1:39" x14ac:dyDescent="0.3">
      <c r="A464" s="51" t="s">
        <v>651</v>
      </c>
      <c r="B464" s="54" t="s">
        <v>652</v>
      </c>
      <c r="C464" s="51" t="s">
        <v>2765</v>
      </c>
      <c r="D464" s="53">
        <v>0</v>
      </c>
      <c r="E464" s="53">
        <v>1</v>
      </c>
      <c r="F464" s="51" t="s">
        <v>2715</v>
      </c>
      <c r="G464" s="51" t="s">
        <v>2695</v>
      </c>
      <c r="H464" s="25" t="str">
        <f t="shared" si="56"/>
        <v>jgd</v>
      </c>
      <c r="I464" t="s">
        <v>72</v>
      </c>
      <c r="J464" t="s">
        <v>298</v>
      </c>
      <c r="K464" t="s">
        <v>302</v>
      </c>
      <c r="L464" s="25">
        <v>46.136374490000001</v>
      </c>
      <c r="M464" s="25">
        <v>8.9624018379999999</v>
      </c>
      <c r="N464">
        <v>5</v>
      </c>
      <c r="O464">
        <v>1</v>
      </c>
      <c r="P464">
        <v>11</v>
      </c>
      <c r="Q464">
        <v>2015</v>
      </c>
      <c r="R464" s="9">
        <v>42309</v>
      </c>
      <c r="S464">
        <v>300</v>
      </c>
      <c r="T464">
        <v>1</v>
      </c>
      <c r="U464">
        <v>0</v>
      </c>
      <c r="V464">
        <v>0</v>
      </c>
      <c r="W464">
        <v>0</v>
      </c>
      <c r="X464">
        <f t="shared" si="57"/>
        <v>-80.299999999999983</v>
      </c>
      <c r="Y464">
        <v>-24.8338</v>
      </c>
      <c r="Z464">
        <v>7.1807014259999997</v>
      </c>
      <c r="AA464" s="3">
        <f t="shared" si="50"/>
        <v>8</v>
      </c>
      <c r="AB464" s="3">
        <f t="shared" si="58"/>
        <v>7</v>
      </c>
      <c r="AD464" s="3" t="s">
        <v>2754</v>
      </c>
      <c r="AE464" s="22">
        <v>-88.46</v>
      </c>
      <c r="AF464" s="22">
        <f t="shared" si="52"/>
        <v>-88.46</v>
      </c>
      <c r="AG464" s="1">
        <v>-111.5</v>
      </c>
      <c r="AH464" s="2" t="s">
        <v>16</v>
      </c>
      <c r="AI464"/>
      <c r="AJ464" s="3">
        <f t="shared" si="53"/>
        <v>9</v>
      </c>
      <c r="AK464" s="3" t="s">
        <v>2707</v>
      </c>
      <c r="AL464">
        <v>9</v>
      </c>
      <c r="AM464" t="s">
        <v>15</v>
      </c>
    </row>
    <row r="465" spans="1:39" x14ac:dyDescent="0.3">
      <c r="A465" s="51" t="s">
        <v>1662</v>
      </c>
      <c r="B465" s="54" t="s">
        <v>1663</v>
      </c>
      <c r="C465" s="51" t="s">
        <v>2765</v>
      </c>
      <c r="D465" s="53">
        <v>0</v>
      </c>
      <c r="E465" s="53">
        <v>1</v>
      </c>
      <c r="F465" s="51" t="s">
        <v>2715</v>
      </c>
      <c r="G465" s="51" t="s">
        <v>2695</v>
      </c>
      <c r="H465" s="25" t="str">
        <f t="shared" si="56"/>
        <v>jgd</v>
      </c>
      <c r="I465" t="s">
        <v>72</v>
      </c>
      <c r="J465" t="s">
        <v>931</v>
      </c>
      <c r="K465" t="s">
        <v>16</v>
      </c>
      <c r="L465" s="25">
        <v>46.048600620000002</v>
      </c>
      <c r="M465" s="25">
        <v>8.8780460429999994</v>
      </c>
      <c r="N465">
        <v>5</v>
      </c>
      <c r="O465">
        <v>16</v>
      </c>
      <c r="P465">
        <v>11</v>
      </c>
      <c r="Q465">
        <v>2016</v>
      </c>
      <c r="R465" s="9">
        <v>42690</v>
      </c>
      <c r="S465">
        <v>320</v>
      </c>
      <c r="T465">
        <v>1</v>
      </c>
      <c r="U465">
        <v>0</v>
      </c>
      <c r="V465">
        <v>0</v>
      </c>
      <c r="W465">
        <v>0</v>
      </c>
      <c r="X465" s="57">
        <f t="shared" si="57"/>
        <v>-80.294678625000017</v>
      </c>
      <c r="Y465">
        <v>-23.74</v>
      </c>
      <c r="Z465">
        <v>4.9800000000000004</v>
      </c>
      <c r="AA465" s="3">
        <f t="shared" si="50"/>
        <v>8</v>
      </c>
      <c r="AB465" s="3">
        <f t="shared" si="58"/>
        <v>5</v>
      </c>
      <c r="AD465" s="3" t="s">
        <v>2754</v>
      </c>
      <c r="AE465" s="22">
        <v>-88.455742900000004</v>
      </c>
      <c r="AF465" s="22">
        <f t="shared" si="52"/>
        <v>-88.455742900000004</v>
      </c>
      <c r="AG465" s="60" t="s">
        <v>16</v>
      </c>
      <c r="AH465" s="61" t="s">
        <v>16</v>
      </c>
      <c r="AJ465" s="3">
        <f t="shared" si="53"/>
        <v>9</v>
      </c>
      <c r="AK465" s="3" t="s">
        <v>2707</v>
      </c>
      <c r="AL465">
        <v>9</v>
      </c>
      <c r="AM465" t="s">
        <v>15</v>
      </c>
    </row>
    <row r="466" spans="1:39" x14ac:dyDescent="0.3">
      <c r="A466" s="51" t="s">
        <v>994</v>
      </c>
      <c r="B466" s="54" t="s">
        <v>446</v>
      </c>
      <c r="C466" s="51" t="s">
        <v>2765</v>
      </c>
      <c r="D466" s="53">
        <v>0</v>
      </c>
      <c r="E466" s="53">
        <v>1</v>
      </c>
      <c r="F466" s="51" t="s">
        <v>2715</v>
      </c>
      <c r="G466" s="51" t="s">
        <v>2695</v>
      </c>
      <c r="H466" s="25" t="str">
        <f t="shared" si="56"/>
        <v>jgd</v>
      </c>
      <c r="I466" t="s">
        <v>72</v>
      </c>
      <c r="J466" t="s">
        <v>441</v>
      </c>
      <c r="K466" t="s">
        <v>995</v>
      </c>
      <c r="L466" s="25">
        <v>46.109486629999999</v>
      </c>
      <c r="M466" s="25">
        <v>8.9713529800000007</v>
      </c>
      <c r="N466">
        <v>5</v>
      </c>
      <c r="O466">
        <v>7</v>
      </c>
      <c r="P466">
        <v>11</v>
      </c>
      <c r="Q466">
        <v>2015</v>
      </c>
      <c r="R466" s="9">
        <v>42315</v>
      </c>
      <c r="S466">
        <v>289</v>
      </c>
      <c r="T466">
        <v>1</v>
      </c>
      <c r="U466">
        <v>0</v>
      </c>
      <c r="V466">
        <v>0</v>
      </c>
      <c r="W466">
        <v>0</v>
      </c>
      <c r="X466">
        <f t="shared" si="57"/>
        <v>-80.287499999999994</v>
      </c>
      <c r="Y466">
        <v>-24.141225810000002</v>
      </c>
      <c r="Z466">
        <v>4.6002380890000003</v>
      </c>
      <c r="AA466" s="3">
        <f t="shared" si="50"/>
        <v>8</v>
      </c>
      <c r="AB466" s="3">
        <f t="shared" si="58"/>
        <v>5</v>
      </c>
      <c r="AD466" s="3" t="s">
        <v>2754</v>
      </c>
      <c r="AE466" s="22">
        <v>-88.45</v>
      </c>
      <c r="AF466" s="22">
        <f t="shared" si="52"/>
        <v>-88.45</v>
      </c>
      <c r="AG466" s="1">
        <v>-111.5</v>
      </c>
      <c r="AH466" s="2" t="s">
        <v>16</v>
      </c>
      <c r="AI466"/>
      <c r="AJ466" s="3">
        <f t="shared" si="53"/>
        <v>9</v>
      </c>
      <c r="AK466" s="3" t="s">
        <v>2707</v>
      </c>
      <c r="AL466">
        <v>9</v>
      </c>
      <c r="AM466" t="s">
        <v>15</v>
      </c>
    </row>
    <row r="467" spans="1:39" x14ac:dyDescent="0.3">
      <c r="A467" s="51" t="s">
        <v>2075</v>
      </c>
      <c r="B467" s="54" t="s">
        <v>2076</v>
      </c>
      <c r="C467" s="51" t="s">
        <v>2765</v>
      </c>
      <c r="D467" s="53">
        <v>0</v>
      </c>
      <c r="E467" s="53">
        <v>1</v>
      </c>
      <c r="F467" s="51" t="s">
        <v>2715</v>
      </c>
      <c r="G467" s="51" t="s">
        <v>2695</v>
      </c>
      <c r="H467" s="25" t="str">
        <f t="shared" si="56"/>
        <v>jgd</v>
      </c>
      <c r="I467" t="s">
        <v>72</v>
      </c>
      <c r="J467" t="s">
        <v>1109</v>
      </c>
      <c r="K467" t="s">
        <v>2077</v>
      </c>
      <c r="L467" s="25">
        <v>46.050245480000001</v>
      </c>
      <c r="M467" s="25">
        <v>8.85759586</v>
      </c>
      <c r="N467">
        <v>5</v>
      </c>
      <c r="O467">
        <v>14</v>
      </c>
      <c r="P467">
        <v>11</v>
      </c>
      <c r="Q467">
        <v>2017</v>
      </c>
      <c r="R467" s="9">
        <v>43053</v>
      </c>
      <c r="S467">
        <v>304</v>
      </c>
      <c r="T467">
        <v>1</v>
      </c>
      <c r="U467">
        <v>0</v>
      </c>
      <c r="V467">
        <v>0</v>
      </c>
      <c r="W467">
        <v>0</v>
      </c>
      <c r="X467" s="57">
        <f t="shared" si="57"/>
        <v>-80.247023500000012</v>
      </c>
      <c r="Y467" t="s">
        <v>16</v>
      </c>
      <c r="Z467">
        <v>8.0773019569999995</v>
      </c>
      <c r="AA467" s="3">
        <f t="shared" si="50"/>
        <v>8</v>
      </c>
      <c r="AB467" s="3">
        <f t="shared" si="58"/>
        <v>8</v>
      </c>
      <c r="AD467" s="3" t="s">
        <v>2754</v>
      </c>
      <c r="AE467" s="22">
        <v>-88.4176188</v>
      </c>
      <c r="AF467" s="22">
        <f t="shared" si="52"/>
        <v>-88.4176188</v>
      </c>
      <c r="AG467" s="60" t="s">
        <v>16</v>
      </c>
      <c r="AH467" s="61" t="s">
        <v>16</v>
      </c>
      <c r="AJ467" s="3">
        <f t="shared" si="53"/>
        <v>9</v>
      </c>
      <c r="AK467" s="3" t="s">
        <v>2707</v>
      </c>
      <c r="AL467">
        <v>9</v>
      </c>
      <c r="AM467" t="s">
        <v>15</v>
      </c>
    </row>
    <row r="468" spans="1:39" hidden="1" x14ac:dyDescent="0.3">
      <c r="A468" s="51" t="s">
        <v>823</v>
      </c>
      <c r="B468" s="54" t="s">
        <v>824</v>
      </c>
      <c r="C468" s="51" t="s">
        <v>2765</v>
      </c>
      <c r="D468" s="53">
        <v>0</v>
      </c>
      <c r="E468" s="53">
        <v>1</v>
      </c>
      <c r="F468" s="51" t="s">
        <v>2715</v>
      </c>
      <c r="G468" s="51" t="s">
        <v>2695</v>
      </c>
      <c r="H468" s="25" t="str">
        <f t="shared" si="56"/>
        <v>jgd</v>
      </c>
      <c r="I468" t="s">
        <v>30</v>
      </c>
      <c r="J468" t="s">
        <v>35</v>
      </c>
      <c r="K468" t="s">
        <v>825</v>
      </c>
      <c r="L468" s="25">
        <v>46.542081359999997</v>
      </c>
      <c r="M468" s="25">
        <v>6.9675088430000001</v>
      </c>
      <c r="N468">
        <v>6</v>
      </c>
      <c r="O468" t="s">
        <v>16</v>
      </c>
      <c r="P468" t="s">
        <v>16</v>
      </c>
      <c r="Q468">
        <v>2015</v>
      </c>
      <c r="R468" s="9" t="s">
        <v>16</v>
      </c>
      <c r="S468">
        <v>318</v>
      </c>
      <c r="T468">
        <v>1</v>
      </c>
      <c r="U468">
        <v>0</v>
      </c>
      <c r="V468">
        <v>0</v>
      </c>
      <c r="W468">
        <v>0</v>
      </c>
      <c r="X468">
        <f t="shared" si="57"/>
        <v>-80.162499999999994</v>
      </c>
      <c r="Y468">
        <v>-23.331019850000001</v>
      </c>
      <c r="Z468">
        <v>8.4072565679999993</v>
      </c>
      <c r="AA468" s="3">
        <f t="shared" si="50"/>
        <v>8</v>
      </c>
      <c r="AB468" s="3">
        <f t="shared" si="58"/>
        <v>8</v>
      </c>
      <c r="AD468" s="3" t="s">
        <v>2752</v>
      </c>
      <c r="AE468" s="22">
        <v>-88.35</v>
      </c>
      <c r="AF468" s="22">
        <f t="shared" si="52"/>
        <v>-88.35</v>
      </c>
      <c r="AG468" s="1">
        <v>-111.4</v>
      </c>
      <c r="AH468" s="2" t="s">
        <v>16</v>
      </c>
      <c r="AI468"/>
      <c r="AJ468" s="3">
        <f t="shared" si="53"/>
        <v>9</v>
      </c>
      <c r="AK468" s="3" t="s">
        <v>2707</v>
      </c>
      <c r="AL468">
        <v>9</v>
      </c>
      <c r="AM468" t="s">
        <v>15</v>
      </c>
    </row>
    <row r="469" spans="1:39" x14ac:dyDescent="0.3">
      <c r="A469" s="51" t="s">
        <v>2045</v>
      </c>
      <c r="B469" s="54" t="s">
        <v>1390</v>
      </c>
      <c r="C469" s="51" t="s">
        <v>2765</v>
      </c>
      <c r="D469" s="53">
        <v>0</v>
      </c>
      <c r="E469" s="53">
        <v>1</v>
      </c>
      <c r="F469" s="51" t="s">
        <v>2715</v>
      </c>
      <c r="G469" s="51" t="s">
        <v>2695</v>
      </c>
      <c r="H469" s="25" t="str">
        <f t="shared" si="56"/>
        <v>jgd</v>
      </c>
      <c r="I469" t="s">
        <v>72</v>
      </c>
      <c r="J469" t="s">
        <v>1387</v>
      </c>
      <c r="K469" t="s">
        <v>2046</v>
      </c>
      <c r="L469" s="25">
        <v>46.090599750000003</v>
      </c>
      <c r="M469" s="25">
        <v>8.9708227390000008</v>
      </c>
      <c r="N469">
        <v>3</v>
      </c>
      <c r="O469">
        <v>26</v>
      </c>
      <c r="P469">
        <v>11</v>
      </c>
      <c r="Q469">
        <v>2016</v>
      </c>
      <c r="R469" s="9">
        <v>42700</v>
      </c>
      <c r="S469">
        <v>239</v>
      </c>
      <c r="T469">
        <v>1</v>
      </c>
      <c r="U469">
        <v>0</v>
      </c>
      <c r="V469">
        <v>0</v>
      </c>
      <c r="W469">
        <v>0</v>
      </c>
      <c r="X469" s="57">
        <f t="shared" si="57"/>
        <v>-80.15044850000001</v>
      </c>
      <c r="Y469">
        <v>-24.57</v>
      </c>
      <c r="Z469">
        <v>5.34</v>
      </c>
      <c r="AA469" s="3">
        <f t="shared" si="50"/>
        <v>8</v>
      </c>
      <c r="AB469" s="3">
        <f t="shared" si="58"/>
        <v>5</v>
      </c>
      <c r="AD469" s="3" t="s">
        <v>2754</v>
      </c>
      <c r="AE469" s="22">
        <v>-88.340358800000004</v>
      </c>
      <c r="AF469" s="22">
        <f t="shared" si="52"/>
        <v>-88.340358800000004</v>
      </c>
      <c r="AG469" s="60" t="s">
        <v>16</v>
      </c>
      <c r="AH469" s="61" t="s">
        <v>16</v>
      </c>
      <c r="AJ469" s="3">
        <f t="shared" si="53"/>
        <v>9</v>
      </c>
      <c r="AK469" s="3" t="s">
        <v>2707</v>
      </c>
      <c r="AL469">
        <v>9</v>
      </c>
      <c r="AM469" t="s">
        <v>15</v>
      </c>
    </row>
    <row r="470" spans="1:39" x14ac:dyDescent="0.3">
      <c r="A470" s="51" t="s">
        <v>1393</v>
      </c>
      <c r="B470" s="54" t="s">
        <v>1394</v>
      </c>
      <c r="C470" s="51" t="s">
        <v>2765</v>
      </c>
      <c r="D470" s="53">
        <v>0</v>
      </c>
      <c r="E470" s="53">
        <v>1</v>
      </c>
      <c r="F470" s="51" t="s">
        <v>2715</v>
      </c>
      <c r="G470" s="51" t="s">
        <v>2695</v>
      </c>
      <c r="H470" s="25" t="str">
        <f t="shared" si="56"/>
        <v>jgd</v>
      </c>
      <c r="I470" t="s">
        <v>72</v>
      </c>
      <c r="J470" t="s">
        <v>213</v>
      </c>
      <c r="K470" t="s">
        <v>1395</v>
      </c>
      <c r="L470" s="25">
        <v>45.960000880000003</v>
      </c>
      <c r="M470" s="25">
        <v>9.0136085300000008</v>
      </c>
      <c r="N470">
        <v>6</v>
      </c>
      <c r="O470">
        <v>20</v>
      </c>
      <c r="P470">
        <v>10</v>
      </c>
      <c r="Q470">
        <v>2015</v>
      </c>
      <c r="R470" s="9">
        <v>42297</v>
      </c>
      <c r="S470">
        <v>350</v>
      </c>
      <c r="T470">
        <v>1</v>
      </c>
      <c r="U470">
        <v>0</v>
      </c>
      <c r="V470">
        <v>0</v>
      </c>
      <c r="W470">
        <v>0</v>
      </c>
      <c r="X470">
        <f t="shared" si="57"/>
        <v>-80.025000000000006</v>
      </c>
      <c r="Y470">
        <v>-23.51530356</v>
      </c>
      <c r="Z470">
        <v>6.8421287450000001</v>
      </c>
      <c r="AA470" s="3">
        <f t="shared" ref="AA470:AA533" si="59">-ROUND(X470/10,0)</f>
        <v>8</v>
      </c>
      <c r="AB470" s="3">
        <f t="shared" si="58"/>
        <v>7</v>
      </c>
      <c r="AD470" s="3" t="s">
        <v>2754</v>
      </c>
      <c r="AE470" s="22">
        <v>-88.24</v>
      </c>
      <c r="AF470" s="22">
        <f t="shared" ref="AF470:AF533" si="60">IF(AI470&lt;0,AI470,AE470)</f>
        <v>-88.24</v>
      </c>
      <c r="AG470" s="1">
        <v>-111.3</v>
      </c>
      <c r="AH470" s="2" t="s">
        <v>16</v>
      </c>
      <c r="AI470"/>
      <c r="AJ470" s="3">
        <f t="shared" ref="AJ470:AJ533" si="61">-ROUND(AF470/10,0)</f>
        <v>9</v>
      </c>
      <c r="AK470" s="3" t="s">
        <v>2707</v>
      </c>
      <c r="AL470">
        <v>9</v>
      </c>
      <c r="AM470" t="s">
        <v>15</v>
      </c>
    </row>
    <row r="471" spans="1:39" hidden="1" x14ac:dyDescent="0.3">
      <c r="A471" s="51" t="s">
        <v>1408</v>
      </c>
      <c r="B471" s="54" t="s">
        <v>285</v>
      </c>
      <c r="C471" s="51" t="s">
        <v>2765</v>
      </c>
      <c r="D471" s="53">
        <v>0</v>
      </c>
      <c r="E471" s="53">
        <v>1</v>
      </c>
      <c r="F471" s="51" t="s">
        <v>2715</v>
      </c>
      <c r="G471" s="51" t="s">
        <v>2695</v>
      </c>
      <c r="H471" s="25" t="str">
        <f t="shared" si="56"/>
        <v>jgd</v>
      </c>
      <c r="I471" t="s">
        <v>30</v>
      </c>
      <c r="J471" t="s">
        <v>1409</v>
      </c>
      <c r="K471" t="s">
        <v>16</v>
      </c>
      <c r="L471" s="25">
        <v>46.730666960000001</v>
      </c>
      <c r="M471" s="25">
        <v>6.9461075210000001</v>
      </c>
      <c r="N471">
        <v>4</v>
      </c>
      <c r="O471">
        <v>11</v>
      </c>
      <c r="P471">
        <v>11</v>
      </c>
      <c r="Q471">
        <v>2015</v>
      </c>
      <c r="R471" s="9">
        <v>42319</v>
      </c>
      <c r="S471">
        <v>372</v>
      </c>
      <c r="T471">
        <v>1</v>
      </c>
      <c r="U471">
        <v>0</v>
      </c>
      <c r="V471">
        <v>0</v>
      </c>
      <c r="W471">
        <v>0</v>
      </c>
      <c r="X471">
        <f t="shared" si="57"/>
        <v>-79.987499999999983</v>
      </c>
      <c r="Y471">
        <v>-23.285799999999998</v>
      </c>
      <c r="Z471">
        <v>9.0187124189999999</v>
      </c>
      <c r="AA471" s="3">
        <f t="shared" si="59"/>
        <v>8</v>
      </c>
      <c r="AB471" s="3">
        <f t="shared" si="58"/>
        <v>9</v>
      </c>
      <c r="AD471" s="3" t="s">
        <v>2751</v>
      </c>
      <c r="AE471" s="22">
        <v>-88.21</v>
      </c>
      <c r="AF471" s="22">
        <f t="shared" si="60"/>
        <v>-88.21</v>
      </c>
      <c r="AG471" s="1">
        <v>-111.2</v>
      </c>
      <c r="AH471" s="2" t="s">
        <v>16</v>
      </c>
      <c r="AI471"/>
      <c r="AJ471" s="3">
        <f t="shared" si="61"/>
        <v>9</v>
      </c>
      <c r="AK471" s="3" t="s">
        <v>2707</v>
      </c>
      <c r="AL471">
        <v>9</v>
      </c>
      <c r="AM471" t="s">
        <v>15</v>
      </c>
    </row>
    <row r="472" spans="1:39" hidden="1" x14ac:dyDescent="0.3">
      <c r="A472" s="51" t="s">
        <v>204</v>
      </c>
      <c r="B472" s="54" t="s">
        <v>205</v>
      </c>
      <c r="C472" s="51" t="s">
        <v>2765</v>
      </c>
      <c r="D472" s="53">
        <v>0</v>
      </c>
      <c r="E472" s="53">
        <v>1</v>
      </c>
      <c r="F472" s="51" t="s">
        <v>2715</v>
      </c>
      <c r="G472" s="51" t="s">
        <v>2695</v>
      </c>
      <c r="H472" s="25" t="str">
        <f t="shared" si="56"/>
        <v>jgd</v>
      </c>
      <c r="I472" t="s">
        <v>13</v>
      </c>
      <c r="J472" t="s">
        <v>16</v>
      </c>
      <c r="K472" t="s">
        <v>206</v>
      </c>
      <c r="L472" s="25">
        <v>46.948680830000001</v>
      </c>
      <c r="M472" s="25">
        <v>6.5059960339999998</v>
      </c>
      <c r="N472">
        <v>6</v>
      </c>
      <c r="O472">
        <v>16</v>
      </c>
      <c r="P472">
        <v>11</v>
      </c>
      <c r="Q472">
        <v>2013</v>
      </c>
      <c r="R472" s="9">
        <v>41594</v>
      </c>
      <c r="S472">
        <v>317</v>
      </c>
      <c r="T472">
        <v>1</v>
      </c>
      <c r="U472">
        <v>0</v>
      </c>
      <c r="V472">
        <v>0</v>
      </c>
      <c r="W472">
        <v>0</v>
      </c>
      <c r="X472">
        <f t="shared" si="57"/>
        <v>-79.962500000000006</v>
      </c>
      <c r="Y472">
        <v>-36.540841380000003</v>
      </c>
      <c r="Z472">
        <v>5.443776164</v>
      </c>
      <c r="AA472" s="3">
        <f t="shared" si="59"/>
        <v>8</v>
      </c>
      <c r="AB472" s="3">
        <f t="shared" si="58"/>
        <v>5</v>
      </c>
      <c r="AD472" s="3" t="s">
        <v>2750</v>
      </c>
      <c r="AE472" s="22">
        <v>-88.19</v>
      </c>
      <c r="AF472" s="22">
        <f t="shared" si="60"/>
        <v>-88.19</v>
      </c>
      <c r="AG472" s="1">
        <v>-111.2</v>
      </c>
      <c r="AH472" s="2" t="s">
        <v>16</v>
      </c>
      <c r="AI472"/>
      <c r="AJ472" s="3">
        <f t="shared" si="61"/>
        <v>9</v>
      </c>
      <c r="AK472" s="3" t="s">
        <v>2707</v>
      </c>
      <c r="AL472">
        <v>9</v>
      </c>
      <c r="AM472" t="s">
        <v>15</v>
      </c>
    </row>
    <row r="473" spans="1:39" x14ac:dyDescent="0.3">
      <c r="A473" s="51" t="s">
        <v>1527</v>
      </c>
      <c r="B473" s="54" t="s">
        <v>363</v>
      </c>
      <c r="C473" s="51" t="s">
        <v>2765</v>
      </c>
      <c r="D473" s="53">
        <v>0</v>
      </c>
      <c r="E473" s="53">
        <v>1</v>
      </c>
      <c r="F473" s="51" t="s">
        <v>2715</v>
      </c>
      <c r="G473" s="51" t="s">
        <v>2695</v>
      </c>
      <c r="H473" s="25" t="str">
        <f t="shared" si="56"/>
        <v>jgd</v>
      </c>
      <c r="I473" t="s">
        <v>72</v>
      </c>
      <c r="J473" t="s">
        <v>1310</v>
      </c>
      <c r="K473" t="s">
        <v>1528</v>
      </c>
      <c r="L473" s="25">
        <v>46.224319119999997</v>
      </c>
      <c r="M473" s="25">
        <v>8.6801625649999998</v>
      </c>
      <c r="N473">
        <v>6</v>
      </c>
      <c r="O473">
        <v>8</v>
      </c>
      <c r="P473">
        <v>11</v>
      </c>
      <c r="Q473">
        <v>2016</v>
      </c>
      <c r="R473" s="9">
        <v>42682</v>
      </c>
      <c r="S473">
        <v>327</v>
      </c>
      <c r="T473">
        <v>1</v>
      </c>
      <c r="U473">
        <v>0</v>
      </c>
      <c r="V473">
        <v>0</v>
      </c>
      <c r="W473">
        <v>0</v>
      </c>
      <c r="X473" s="57">
        <f t="shared" si="57"/>
        <v>-79.801920625000008</v>
      </c>
      <c r="Y473">
        <v>-23.4</v>
      </c>
      <c r="Z473">
        <v>5.82</v>
      </c>
      <c r="AA473" s="3">
        <f t="shared" si="59"/>
        <v>8</v>
      </c>
      <c r="AB473" s="3">
        <f t="shared" si="58"/>
        <v>6</v>
      </c>
      <c r="AD473" s="3" t="s">
        <v>2754</v>
      </c>
      <c r="AE473" s="22">
        <v>-88.061536500000003</v>
      </c>
      <c r="AF473" s="22">
        <f t="shared" si="60"/>
        <v>-88.061536500000003</v>
      </c>
      <c r="AG473" s="60" t="s">
        <v>16</v>
      </c>
      <c r="AH473" s="61" t="s">
        <v>16</v>
      </c>
      <c r="AJ473" s="3">
        <f t="shared" si="61"/>
        <v>9</v>
      </c>
      <c r="AK473" s="3" t="s">
        <v>2707</v>
      </c>
      <c r="AL473">
        <v>9</v>
      </c>
      <c r="AM473" t="s">
        <v>15</v>
      </c>
    </row>
    <row r="474" spans="1:39" x14ac:dyDescent="0.3">
      <c r="A474" s="51" t="s">
        <v>1260</v>
      </c>
      <c r="B474" s="54" t="s">
        <v>1261</v>
      </c>
      <c r="C474" s="51" t="s">
        <v>2765</v>
      </c>
      <c r="D474" s="53">
        <v>0</v>
      </c>
      <c r="E474" s="53">
        <v>1</v>
      </c>
      <c r="F474" s="51" t="s">
        <v>2715</v>
      </c>
      <c r="G474" s="51" t="s">
        <v>2695</v>
      </c>
      <c r="H474" s="25" t="str">
        <f t="shared" si="56"/>
        <v>jgd</v>
      </c>
      <c r="I474" t="s">
        <v>72</v>
      </c>
      <c r="J474" t="s">
        <v>694</v>
      </c>
      <c r="K474" t="s">
        <v>1256</v>
      </c>
      <c r="L474" s="25">
        <v>46.127502100000001</v>
      </c>
      <c r="M474" s="25">
        <v>8.901983027</v>
      </c>
      <c r="N474">
        <v>4</v>
      </c>
      <c r="O474">
        <v>28</v>
      </c>
      <c r="P474">
        <v>10</v>
      </c>
      <c r="Q474">
        <v>2015</v>
      </c>
      <c r="R474" s="9">
        <v>42305</v>
      </c>
      <c r="S474">
        <v>260</v>
      </c>
      <c r="T474">
        <v>1</v>
      </c>
      <c r="U474">
        <v>0</v>
      </c>
      <c r="V474">
        <v>0</v>
      </c>
      <c r="W474">
        <v>0</v>
      </c>
      <c r="X474">
        <f t="shared" si="57"/>
        <v>-79.6875</v>
      </c>
      <c r="Y474">
        <v>-24.382399499999998</v>
      </c>
      <c r="Z474">
        <v>4.2364595129999998</v>
      </c>
      <c r="AA474" s="3">
        <f t="shared" si="59"/>
        <v>8</v>
      </c>
      <c r="AB474" s="3">
        <f t="shared" si="58"/>
        <v>4</v>
      </c>
      <c r="AD474" s="3" t="s">
        <v>2754</v>
      </c>
      <c r="AE474" s="22">
        <v>-87.97</v>
      </c>
      <c r="AF474" s="22">
        <f t="shared" si="60"/>
        <v>-87.97</v>
      </c>
      <c r="AG474" s="1">
        <v>-111</v>
      </c>
      <c r="AH474" s="2" t="s">
        <v>16</v>
      </c>
      <c r="AI474"/>
      <c r="AJ474" s="3">
        <f t="shared" si="61"/>
        <v>9</v>
      </c>
      <c r="AK474" s="3" t="s">
        <v>2707</v>
      </c>
      <c r="AL474">
        <v>9</v>
      </c>
      <c r="AM474" t="s">
        <v>15</v>
      </c>
    </row>
    <row r="475" spans="1:39" x14ac:dyDescent="0.3">
      <c r="A475" s="51" t="s">
        <v>1399</v>
      </c>
      <c r="B475" s="54" t="s">
        <v>1400</v>
      </c>
      <c r="C475" s="51" t="s">
        <v>2765</v>
      </c>
      <c r="D475" s="53">
        <v>0</v>
      </c>
      <c r="E475" s="53">
        <v>1</v>
      </c>
      <c r="F475" s="51" t="s">
        <v>2715</v>
      </c>
      <c r="G475" s="51" t="s">
        <v>2695</v>
      </c>
      <c r="H475" s="25" t="str">
        <f t="shared" si="56"/>
        <v>jgd</v>
      </c>
      <c r="I475" t="s">
        <v>72</v>
      </c>
      <c r="J475" t="s">
        <v>213</v>
      </c>
      <c r="K475" t="s">
        <v>1401</v>
      </c>
      <c r="L475" s="25">
        <v>45.95424517</v>
      </c>
      <c r="M475" s="25">
        <v>9.0069933019999997</v>
      </c>
      <c r="N475">
        <v>6</v>
      </c>
      <c r="O475">
        <v>14</v>
      </c>
      <c r="P475">
        <v>11</v>
      </c>
      <c r="Q475">
        <v>2015</v>
      </c>
      <c r="R475" s="9">
        <v>42322</v>
      </c>
      <c r="S475">
        <v>340</v>
      </c>
      <c r="T475">
        <v>1</v>
      </c>
      <c r="U475">
        <v>0</v>
      </c>
      <c r="V475">
        <v>0</v>
      </c>
      <c r="W475">
        <v>0</v>
      </c>
      <c r="X475">
        <f t="shared" si="57"/>
        <v>-79.637500000000017</v>
      </c>
      <c r="Y475">
        <v>-23.379028949999999</v>
      </c>
      <c r="Z475">
        <v>6.9201230760000003</v>
      </c>
      <c r="AA475" s="3">
        <f t="shared" si="59"/>
        <v>8</v>
      </c>
      <c r="AB475" s="3">
        <f t="shared" si="58"/>
        <v>7</v>
      </c>
      <c r="AD475" s="3" t="s">
        <v>2754</v>
      </c>
      <c r="AE475" s="22">
        <v>-87.93</v>
      </c>
      <c r="AF475" s="22">
        <f t="shared" si="60"/>
        <v>-87.93</v>
      </c>
      <c r="AG475" s="1">
        <v>-111</v>
      </c>
      <c r="AH475" s="2" t="s">
        <v>16</v>
      </c>
      <c r="AI475"/>
      <c r="AJ475" s="3">
        <f t="shared" si="61"/>
        <v>9</v>
      </c>
      <c r="AK475" s="3" t="s">
        <v>2707</v>
      </c>
      <c r="AL475">
        <v>9</v>
      </c>
      <c r="AM475" t="s">
        <v>15</v>
      </c>
    </row>
    <row r="476" spans="1:39" hidden="1" x14ac:dyDescent="0.3">
      <c r="A476" s="51" t="s">
        <v>1558</v>
      </c>
      <c r="B476" s="54" t="s">
        <v>1559</v>
      </c>
      <c r="C476" s="51" t="s">
        <v>2765</v>
      </c>
      <c r="D476" s="53">
        <v>0</v>
      </c>
      <c r="E476" s="53">
        <v>1</v>
      </c>
      <c r="F476" s="51" t="s">
        <v>2715</v>
      </c>
      <c r="G476" s="51" t="s">
        <v>2695</v>
      </c>
      <c r="H476" s="25" t="str">
        <f t="shared" si="56"/>
        <v>jgd</v>
      </c>
      <c r="I476" t="s">
        <v>778</v>
      </c>
      <c r="J476" t="s">
        <v>1560</v>
      </c>
      <c r="K476" t="s">
        <v>1561</v>
      </c>
      <c r="L476" s="25">
        <v>46.325892170000003</v>
      </c>
      <c r="M476" s="25">
        <v>7.4191597030000001</v>
      </c>
      <c r="N476">
        <v>3</v>
      </c>
      <c r="O476">
        <v>5</v>
      </c>
      <c r="P476">
        <v>11</v>
      </c>
      <c r="Q476">
        <v>2016</v>
      </c>
      <c r="R476" s="9">
        <v>42679</v>
      </c>
      <c r="S476">
        <v>298</v>
      </c>
      <c r="T476">
        <v>1</v>
      </c>
      <c r="U476">
        <v>0</v>
      </c>
      <c r="V476">
        <v>0</v>
      </c>
      <c r="W476">
        <v>0</v>
      </c>
      <c r="X476" s="57">
        <f t="shared" si="57"/>
        <v>-79.610283124999995</v>
      </c>
      <c r="Y476">
        <v>-22.75</v>
      </c>
      <c r="Z476">
        <v>5.9</v>
      </c>
      <c r="AA476" s="3">
        <f t="shared" si="59"/>
        <v>8</v>
      </c>
      <c r="AB476" s="3">
        <f t="shared" si="58"/>
        <v>6</v>
      </c>
      <c r="AD476" s="3" t="s">
        <v>2753</v>
      </c>
      <c r="AE476" s="22">
        <v>-87.908226499999998</v>
      </c>
      <c r="AF476" s="22">
        <f t="shared" si="60"/>
        <v>-87.908226499999998</v>
      </c>
      <c r="AG476" s="60" t="s">
        <v>16</v>
      </c>
      <c r="AH476" s="61" t="s">
        <v>16</v>
      </c>
      <c r="AJ476" s="3">
        <f t="shared" si="61"/>
        <v>9</v>
      </c>
      <c r="AK476" s="3" t="s">
        <v>2707</v>
      </c>
      <c r="AL476">
        <v>9</v>
      </c>
      <c r="AM476" t="s">
        <v>15</v>
      </c>
    </row>
    <row r="477" spans="1:39" x14ac:dyDescent="0.3">
      <c r="A477" s="51" t="s">
        <v>1628</v>
      </c>
      <c r="B477" s="54" t="s">
        <v>1629</v>
      </c>
      <c r="C477" s="51" t="s">
        <v>2765</v>
      </c>
      <c r="D477" s="53">
        <v>0</v>
      </c>
      <c r="E477" s="53">
        <v>1</v>
      </c>
      <c r="F477" s="51" t="s">
        <v>2715</v>
      </c>
      <c r="G477" s="51" t="s">
        <v>2695</v>
      </c>
      <c r="H477" s="25" t="str">
        <f t="shared" si="56"/>
        <v>jgd</v>
      </c>
      <c r="I477" t="s">
        <v>72</v>
      </c>
      <c r="J477" t="s">
        <v>848</v>
      </c>
      <c r="K477" t="s">
        <v>16</v>
      </c>
      <c r="L477" s="25">
        <v>46.152682519999999</v>
      </c>
      <c r="M477" s="25">
        <v>8.6773537580000006</v>
      </c>
      <c r="N477">
        <v>5</v>
      </c>
      <c r="O477">
        <v>8</v>
      </c>
      <c r="P477">
        <v>11</v>
      </c>
      <c r="Q477">
        <v>2016</v>
      </c>
      <c r="R477" s="9">
        <v>42682</v>
      </c>
      <c r="S477">
        <v>303</v>
      </c>
      <c r="T477">
        <v>1</v>
      </c>
      <c r="U477">
        <v>0</v>
      </c>
      <c r="V477">
        <v>0</v>
      </c>
      <c r="W477">
        <v>0</v>
      </c>
      <c r="X477" s="57">
        <f t="shared" si="57"/>
        <v>-79.573213749999979</v>
      </c>
      <c r="Y477">
        <v>-23.13</v>
      </c>
      <c r="Z477">
        <v>3.56</v>
      </c>
      <c r="AA477" s="3">
        <f t="shared" si="59"/>
        <v>8</v>
      </c>
      <c r="AB477" s="3">
        <f t="shared" si="58"/>
        <v>4</v>
      </c>
      <c r="AD477" s="3" t="s">
        <v>2754</v>
      </c>
      <c r="AE477" s="22">
        <v>-87.878570999999994</v>
      </c>
      <c r="AF477" s="22">
        <f t="shared" si="60"/>
        <v>-87.878570999999994</v>
      </c>
      <c r="AG477" s="60" t="s">
        <v>16</v>
      </c>
      <c r="AH477" s="61" t="s">
        <v>16</v>
      </c>
      <c r="AJ477" s="3">
        <f t="shared" si="61"/>
        <v>9</v>
      </c>
      <c r="AK477" s="3" t="s">
        <v>2707</v>
      </c>
      <c r="AL477">
        <v>9</v>
      </c>
      <c r="AM477" t="s">
        <v>15</v>
      </c>
    </row>
    <row r="478" spans="1:39" x14ac:dyDescent="0.3">
      <c r="A478" s="51" t="s">
        <v>1540</v>
      </c>
      <c r="B478" s="54" t="s">
        <v>1541</v>
      </c>
      <c r="C478" s="51" t="s">
        <v>2765</v>
      </c>
      <c r="D478" s="53">
        <v>0</v>
      </c>
      <c r="E478" s="53">
        <v>1</v>
      </c>
      <c r="F478" s="51" t="s">
        <v>2715</v>
      </c>
      <c r="G478" s="51" t="s">
        <v>2695</v>
      </c>
      <c r="H478" s="25" t="str">
        <f t="shared" si="56"/>
        <v>jgd</v>
      </c>
      <c r="I478" t="s">
        <v>72</v>
      </c>
      <c r="J478" t="s">
        <v>1542</v>
      </c>
      <c r="K478" t="s">
        <v>16</v>
      </c>
      <c r="L478" s="25">
        <v>46.399647549999997</v>
      </c>
      <c r="M478" s="25">
        <v>8.634925655</v>
      </c>
      <c r="N478">
        <v>3</v>
      </c>
      <c r="O478">
        <v>3</v>
      </c>
      <c r="P478">
        <v>11</v>
      </c>
      <c r="Q478">
        <v>2016</v>
      </c>
      <c r="R478" s="9">
        <v>42677</v>
      </c>
      <c r="S478">
        <v>367</v>
      </c>
      <c r="T478">
        <v>1</v>
      </c>
      <c r="U478">
        <v>0</v>
      </c>
      <c r="V478">
        <v>0</v>
      </c>
      <c r="W478">
        <v>0</v>
      </c>
      <c r="X478" s="57">
        <f t="shared" si="57"/>
        <v>-79.495283999999998</v>
      </c>
      <c r="Y478">
        <v>-23.53</v>
      </c>
      <c r="Z478">
        <v>8.6199999999999992</v>
      </c>
      <c r="AA478" s="3">
        <f t="shared" si="59"/>
        <v>8</v>
      </c>
      <c r="AB478" s="3">
        <f t="shared" si="58"/>
        <v>9</v>
      </c>
      <c r="AD478" s="3" t="s">
        <v>2754</v>
      </c>
      <c r="AE478" s="22">
        <v>-87.8162272</v>
      </c>
      <c r="AF478" s="22">
        <f t="shared" si="60"/>
        <v>-87.8162272</v>
      </c>
      <c r="AG478" s="60" t="s">
        <v>16</v>
      </c>
      <c r="AH478" s="61" t="s">
        <v>16</v>
      </c>
      <c r="AJ478" s="3">
        <f t="shared" si="61"/>
        <v>9</v>
      </c>
      <c r="AK478" s="3" t="s">
        <v>2707</v>
      </c>
      <c r="AL478">
        <v>9</v>
      </c>
      <c r="AM478" t="s">
        <v>15</v>
      </c>
    </row>
    <row r="479" spans="1:39" hidden="1" x14ac:dyDescent="0.3">
      <c r="A479" s="51" t="s">
        <v>100</v>
      </c>
      <c r="B479" s="54" t="s">
        <v>32</v>
      </c>
      <c r="C479" s="51" t="s">
        <v>2765</v>
      </c>
      <c r="D479" s="53">
        <v>0</v>
      </c>
      <c r="E479" s="53">
        <v>1</v>
      </c>
      <c r="F479" s="51" t="s">
        <v>2715</v>
      </c>
      <c r="G479" s="51" t="s">
        <v>2695</v>
      </c>
      <c r="H479" s="25" t="str">
        <f t="shared" si="56"/>
        <v>jgd</v>
      </c>
      <c r="I479" t="s">
        <v>30</v>
      </c>
      <c r="J479" t="s">
        <v>101</v>
      </c>
      <c r="K479" t="s">
        <v>16</v>
      </c>
      <c r="L479" s="25">
        <v>46.595512569999997</v>
      </c>
      <c r="M479" s="25">
        <v>6.9270844880000002</v>
      </c>
      <c r="N479">
        <v>4</v>
      </c>
      <c r="O479">
        <v>31</v>
      </c>
      <c r="P479">
        <v>10</v>
      </c>
      <c r="Q479">
        <v>2013</v>
      </c>
      <c r="R479" s="9">
        <v>41578</v>
      </c>
      <c r="S479">
        <v>304</v>
      </c>
      <c r="T479">
        <v>1</v>
      </c>
      <c r="U479">
        <v>0</v>
      </c>
      <c r="V479">
        <v>0</v>
      </c>
      <c r="W479">
        <v>0</v>
      </c>
      <c r="X479">
        <f t="shared" si="57"/>
        <v>-79.349999999999994</v>
      </c>
      <c r="Y479">
        <v>-33.289396170000003</v>
      </c>
      <c r="Z479">
        <v>3.952182455</v>
      </c>
      <c r="AA479" s="3">
        <f t="shared" si="59"/>
        <v>8</v>
      </c>
      <c r="AB479" s="3">
        <f t="shared" si="58"/>
        <v>4</v>
      </c>
      <c r="AD479" s="3" t="s">
        <v>2751</v>
      </c>
      <c r="AE479" s="22">
        <v>-87.7</v>
      </c>
      <c r="AF479" s="22">
        <f t="shared" si="60"/>
        <v>-87.7</v>
      </c>
      <c r="AG479" s="1">
        <v>-110.7</v>
      </c>
      <c r="AH479" s="2" t="s">
        <v>16</v>
      </c>
      <c r="AI479"/>
      <c r="AJ479" s="3">
        <f t="shared" si="61"/>
        <v>9</v>
      </c>
      <c r="AK479" s="3" t="s">
        <v>2707</v>
      </c>
      <c r="AL479">
        <v>9</v>
      </c>
      <c r="AM479" t="s">
        <v>15</v>
      </c>
    </row>
    <row r="480" spans="1:39" x14ac:dyDescent="0.3">
      <c r="A480" s="51" t="s">
        <v>1322</v>
      </c>
      <c r="B480" s="54" t="s">
        <v>1323</v>
      </c>
      <c r="C480" s="51" t="s">
        <v>2765</v>
      </c>
      <c r="D480" s="53">
        <v>0</v>
      </c>
      <c r="E480" s="53">
        <v>1</v>
      </c>
      <c r="F480" s="51" t="s">
        <v>2715</v>
      </c>
      <c r="G480" s="51" t="s">
        <v>2695</v>
      </c>
      <c r="H480" s="25" t="str">
        <f t="shared" si="56"/>
        <v>jgd</v>
      </c>
      <c r="I480" t="s">
        <v>72</v>
      </c>
      <c r="J480" t="s">
        <v>242</v>
      </c>
      <c r="K480" t="s">
        <v>1324</v>
      </c>
      <c r="L480" s="25">
        <v>46.148837290000003</v>
      </c>
      <c r="M480" s="25">
        <v>8.6385369829999998</v>
      </c>
      <c r="N480">
        <v>6</v>
      </c>
      <c r="O480">
        <v>11</v>
      </c>
      <c r="P480">
        <v>11</v>
      </c>
      <c r="Q480">
        <v>2015</v>
      </c>
      <c r="R480" s="9">
        <v>42319</v>
      </c>
      <c r="S480">
        <v>297</v>
      </c>
      <c r="T480">
        <v>1</v>
      </c>
      <c r="U480">
        <v>0</v>
      </c>
      <c r="V480">
        <v>0</v>
      </c>
      <c r="W480">
        <v>0</v>
      </c>
      <c r="X480">
        <f t="shared" si="57"/>
        <v>-79.349999999999994</v>
      </c>
      <c r="Y480">
        <v>-23.773399999999999</v>
      </c>
      <c r="Z480">
        <v>5.6928632779999999</v>
      </c>
      <c r="AA480" s="3">
        <f t="shared" si="59"/>
        <v>8</v>
      </c>
      <c r="AB480" s="3">
        <f t="shared" si="58"/>
        <v>6</v>
      </c>
      <c r="AD480" s="3" t="s">
        <v>2754</v>
      </c>
      <c r="AE480" s="22">
        <v>-87.7</v>
      </c>
      <c r="AF480" s="22">
        <f t="shared" si="60"/>
        <v>-87.7</v>
      </c>
      <c r="AG480" s="1">
        <v>-110.7</v>
      </c>
      <c r="AH480" s="2" t="s">
        <v>16</v>
      </c>
      <c r="AI480"/>
      <c r="AJ480" s="3">
        <f t="shared" si="61"/>
        <v>9</v>
      </c>
      <c r="AK480" s="3" t="s">
        <v>2707</v>
      </c>
      <c r="AL480">
        <v>9</v>
      </c>
      <c r="AM480" t="s">
        <v>15</v>
      </c>
    </row>
    <row r="481" spans="1:39" x14ac:dyDescent="0.3">
      <c r="A481" s="51" t="s">
        <v>1327</v>
      </c>
      <c r="B481" s="54" t="s">
        <v>1328</v>
      </c>
      <c r="C481" s="51" t="s">
        <v>2765</v>
      </c>
      <c r="D481" s="53">
        <v>0</v>
      </c>
      <c r="E481" s="53">
        <v>1</v>
      </c>
      <c r="F481" s="51" t="s">
        <v>2715</v>
      </c>
      <c r="G481" s="51" t="s">
        <v>2695</v>
      </c>
      <c r="H481" s="25" t="str">
        <f t="shared" si="56"/>
        <v>jgd</v>
      </c>
      <c r="I481" t="s">
        <v>72</v>
      </c>
      <c r="J481" t="s">
        <v>1310</v>
      </c>
      <c r="K481" t="s">
        <v>1311</v>
      </c>
      <c r="L481" s="25">
        <v>46.207898739999997</v>
      </c>
      <c r="M481" s="25">
        <v>8.6155408839999996</v>
      </c>
      <c r="N481">
        <v>6</v>
      </c>
      <c r="O481">
        <v>24</v>
      </c>
      <c r="P481">
        <v>11</v>
      </c>
      <c r="Q481">
        <v>2015</v>
      </c>
      <c r="R481" s="9">
        <v>42332</v>
      </c>
      <c r="S481">
        <v>322</v>
      </c>
      <c r="T481">
        <v>1</v>
      </c>
      <c r="U481">
        <v>0</v>
      </c>
      <c r="V481">
        <v>0</v>
      </c>
      <c r="W481">
        <v>0</v>
      </c>
      <c r="X481">
        <f t="shared" si="57"/>
        <v>-79.012500000000017</v>
      </c>
      <c r="Y481">
        <v>-24.453399999999998</v>
      </c>
      <c r="Z481">
        <v>7.3255839299999996</v>
      </c>
      <c r="AA481" s="3">
        <f t="shared" si="59"/>
        <v>8</v>
      </c>
      <c r="AB481" s="3">
        <f t="shared" si="58"/>
        <v>7</v>
      </c>
      <c r="AD481" s="3" t="s">
        <v>2754</v>
      </c>
      <c r="AE481" s="22">
        <v>-87.43</v>
      </c>
      <c r="AF481" s="22">
        <f t="shared" si="60"/>
        <v>-87.43</v>
      </c>
      <c r="AG481" s="1">
        <v>-110.5</v>
      </c>
      <c r="AH481" s="2" t="s">
        <v>16</v>
      </c>
      <c r="AI481"/>
      <c r="AJ481" s="3">
        <f t="shared" si="61"/>
        <v>9</v>
      </c>
      <c r="AK481" s="3" t="s">
        <v>2707</v>
      </c>
      <c r="AL481">
        <v>9</v>
      </c>
      <c r="AM481" t="s">
        <v>15</v>
      </c>
    </row>
    <row r="482" spans="1:39" x14ac:dyDescent="0.3">
      <c r="A482" s="51" t="s">
        <v>1515</v>
      </c>
      <c r="B482" s="54" t="s">
        <v>344</v>
      </c>
      <c r="C482" s="51" t="s">
        <v>2765</v>
      </c>
      <c r="D482" s="53">
        <v>0</v>
      </c>
      <c r="E482" s="53">
        <v>1</v>
      </c>
      <c r="F482" s="51" t="s">
        <v>2715</v>
      </c>
      <c r="G482" s="51" t="s">
        <v>2695</v>
      </c>
      <c r="H482" s="25" t="str">
        <f t="shared" si="56"/>
        <v>jgd</v>
      </c>
      <c r="I482" t="s">
        <v>72</v>
      </c>
      <c r="J482" t="s">
        <v>1310</v>
      </c>
      <c r="K482" t="s">
        <v>339</v>
      </c>
      <c r="L482" s="25">
        <v>46.219300269999998</v>
      </c>
      <c r="M482" s="25">
        <v>8.6906503920000002</v>
      </c>
      <c r="N482">
        <v>6</v>
      </c>
      <c r="O482">
        <v>19</v>
      </c>
      <c r="P482">
        <v>10</v>
      </c>
      <c r="Q482">
        <v>2016</v>
      </c>
      <c r="R482" s="9">
        <v>42662</v>
      </c>
      <c r="S482">
        <v>338</v>
      </c>
      <c r="T482">
        <v>1</v>
      </c>
      <c r="U482">
        <v>0</v>
      </c>
      <c r="V482">
        <v>0</v>
      </c>
      <c r="W482">
        <v>0</v>
      </c>
      <c r="X482" s="57">
        <f t="shared" si="57"/>
        <v>-78.60417425</v>
      </c>
      <c r="Y482">
        <v>-24.13</v>
      </c>
      <c r="Z482">
        <v>9.0399999999999991</v>
      </c>
      <c r="AA482" s="3">
        <f t="shared" si="59"/>
        <v>8</v>
      </c>
      <c r="AB482" s="3">
        <f t="shared" si="58"/>
        <v>9</v>
      </c>
      <c r="AD482" s="3" t="s">
        <v>2754</v>
      </c>
      <c r="AE482" s="22">
        <v>-87.103339399999996</v>
      </c>
      <c r="AF482" s="22">
        <f t="shared" si="60"/>
        <v>-87.103339399999996</v>
      </c>
      <c r="AG482" s="60" t="s">
        <v>16</v>
      </c>
      <c r="AH482" s="61" t="s">
        <v>16</v>
      </c>
      <c r="AJ482" s="3">
        <f t="shared" si="61"/>
        <v>9</v>
      </c>
      <c r="AK482" s="3" t="s">
        <v>2707</v>
      </c>
      <c r="AL482">
        <v>9</v>
      </c>
      <c r="AM482" t="s">
        <v>15</v>
      </c>
    </row>
    <row r="483" spans="1:39" x14ac:dyDescent="0.3">
      <c r="A483" s="51" t="s">
        <v>1254</v>
      </c>
      <c r="B483" s="54" t="s">
        <v>1255</v>
      </c>
      <c r="C483" s="51" t="s">
        <v>2765</v>
      </c>
      <c r="D483" s="53">
        <v>0</v>
      </c>
      <c r="E483" s="53">
        <v>1</v>
      </c>
      <c r="F483" s="51" t="s">
        <v>2715</v>
      </c>
      <c r="G483" s="51" t="s">
        <v>2695</v>
      </c>
      <c r="H483" s="25" t="str">
        <f t="shared" si="56"/>
        <v>jgd</v>
      </c>
      <c r="I483" t="s">
        <v>72</v>
      </c>
      <c r="J483" t="s">
        <v>694</v>
      </c>
      <c r="K483" t="s">
        <v>1256</v>
      </c>
      <c r="L483" s="25">
        <v>46.125411270000001</v>
      </c>
      <c r="M483" s="25">
        <v>8.9071027189999992</v>
      </c>
      <c r="N483">
        <v>4</v>
      </c>
      <c r="O483">
        <v>24</v>
      </c>
      <c r="P483">
        <v>10</v>
      </c>
      <c r="Q483">
        <v>2015</v>
      </c>
      <c r="R483" s="9">
        <v>42301</v>
      </c>
      <c r="S483">
        <v>260</v>
      </c>
      <c r="T483">
        <v>1</v>
      </c>
      <c r="U483">
        <v>0</v>
      </c>
      <c r="V483">
        <v>0</v>
      </c>
      <c r="W483">
        <v>0</v>
      </c>
      <c r="X483">
        <f t="shared" si="57"/>
        <v>-78.5625</v>
      </c>
      <c r="Y483">
        <v>-24.719715879999999</v>
      </c>
      <c r="Z483">
        <v>6.0730184669999998</v>
      </c>
      <c r="AA483" s="3">
        <f t="shared" si="59"/>
        <v>8</v>
      </c>
      <c r="AB483" s="3">
        <f t="shared" si="58"/>
        <v>6</v>
      </c>
      <c r="AD483" s="3" t="s">
        <v>2754</v>
      </c>
      <c r="AE483" s="22">
        <v>-87.07</v>
      </c>
      <c r="AF483" s="22">
        <f t="shared" si="60"/>
        <v>-87.07</v>
      </c>
      <c r="AG483" s="1">
        <v>-110.1</v>
      </c>
      <c r="AH483" s="2" t="s">
        <v>16</v>
      </c>
      <c r="AI483"/>
      <c r="AJ483" s="3">
        <f t="shared" si="61"/>
        <v>9</v>
      </c>
      <c r="AK483" s="3" t="s">
        <v>2707</v>
      </c>
      <c r="AL483">
        <v>9</v>
      </c>
      <c r="AM483" t="s">
        <v>15</v>
      </c>
    </row>
    <row r="484" spans="1:39" x14ac:dyDescent="0.3">
      <c r="A484" s="51" t="s">
        <v>867</v>
      </c>
      <c r="B484" s="54" t="s">
        <v>868</v>
      </c>
      <c r="C484" s="51" t="s">
        <v>2765</v>
      </c>
      <c r="D484" s="53">
        <v>0</v>
      </c>
      <c r="E484" s="53">
        <v>1</v>
      </c>
      <c r="F484" s="51" t="s">
        <v>2715</v>
      </c>
      <c r="G484" s="51" t="s">
        <v>2695</v>
      </c>
      <c r="H484" s="25" t="str">
        <f t="shared" si="56"/>
        <v>jgd</v>
      </c>
      <c r="I484" t="s">
        <v>72</v>
      </c>
      <c r="J484" t="s">
        <v>242</v>
      </c>
      <c r="K484" t="s">
        <v>16</v>
      </c>
      <c r="L484" s="25">
        <v>46.208162350000002</v>
      </c>
      <c r="M484" s="25">
        <v>8.6315890189999998</v>
      </c>
      <c r="N484">
        <v>6</v>
      </c>
      <c r="O484">
        <v>14</v>
      </c>
      <c r="P484">
        <v>11</v>
      </c>
      <c r="Q484">
        <v>2015</v>
      </c>
      <c r="R484" s="9">
        <v>42322</v>
      </c>
      <c r="S484">
        <v>310</v>
      </c>
      <c r="T484">
        <v>1</v>
      </c>
      <c r="U484">
        <v>0</v>
      </c>
      <c r="V484">
        <v>0</v>
      </c>
      <c r="W484">
        <v>0</v>
      </c>
      <c r="X484">
        <f t="shared" si="57"/>
        <v>-78.550000000000011</v>
      </c>
      <c r="Y484">
        <v>-25.11525</v>
      </c>
      <c r="Z484">
        <v>6.9713613490000004</v>
      </c>
      <c r="AA484" s="3">
        <f t="shared" si="59"/>
        <v>8</v>
      </c>
      <c r="AB484" s="3">
        <f t="shared" si="58"/>
        <v>7</v>
      </c>
      <c r="AD484" s="3" t="s">
        <v>2754</v>
      </c>
      <c r="AE484" s="22">
        <v>-87.06</v>
      </c>
      <c r="AF484" s="22">
        <f t="shared" si="60"/>
        <v>-87.06</v>
      </c>
      <c r="AG484" s="1">
        <v>-110.1</v>
      </c>
      <c r="AH484" s="2" t="s">
        <v>16</v>
      </c>
      <c r="AI484"/>
      <c r="AJ484" s="3">
        <f t="shared" si="61"/>
        <v>9</v>
      </c>
      <c r="AK484" s="3" t="s">
        <v>2707</v>
      </c>
      <c r="AL484">
        <v>9</v>
      </c>
      <c r="AM484" t="s">
        <v>15</v>
      </c>
    </row>
    <row r="485" spans="1:39" hidden="1" x14ac:dyDescent="0.3">
      <c r="A485" s="51" t="s">
        <v>640</v>
      </c>
      <c r="B485" s="54" t="s">
        <v>641</v>
      </c>
      <c r="C485" s="51" t="s">
        <v>2765</v>
      </c>
      <c r="D485" s="53">
        <v>0</v>
      </c>
      <c r="E485" s="53">
        <v>1</v>
      </c>
      <c r="F485" s="51" t="s">
        <v>2715</v>
      </c>
      <c r="G485" s="51" t="s">
        <v>2695</v>
      </c>
      <c r="H485" s="25" t="str">
        <f t="shared" si="56"/>
        <v>jgd</v>
      </c>
      <c r="I485" t="s">
        <v>30</v>
      </c>
      <c r="J485" t="s">
        <v>642</v>
      </c>
      <c r="K485" t="s">
        <v>643</v>
      </c>
      <c r="L485" s="25">
        <v>46.733599159999997</v>
      </c>
      <c r="M485" s="25">
        <v>6.9418679079999999</v>
      </c>
      <c r="N485">
        <v>4</v>
      </c>
      <c r="O485">
        <v>4</v>
      </c>
      <c r="P485">
        <v>12</v>
      </c>
      <c r="Q485">
        <v>2014</v>
      </c>
      <c r="R485" s="9">
        <v>41977</v>
      </c>
      <c r="S485">
        <v>332</v>
      </c>
      <c r="T485">
        <v>1</v>
      </c>
      <c r="U485">
        <v>0</v>
      </c>
      <c r="V485">
        <v>0</v>
      </c>
      <c r="W485">
        <v>0</v>
      </c>
      <c r="X485">
        <f t="shared" si="57"/>
        <v>-78.300000000000011</v>
      </c>
      <c r="Y485" t="s">
        <v>16</v>
      </c>
      <c r="Z485" t="s">
        <v>16</v>
      </c>
      <c r="AA485" s="3">
        <f t="shared" si="59"/>
        <v>8</v>
      </c>
      <c r="AD485" s="3" t="s">
        <v>2751</v>
      </c>
      <c r="AE485" s="22">
        <v>-86.86</v>
      </c>
      <c r="AF485" s="22">
        <f t="shared" si="60"/>
        <v>-86.86</v>
      </c>
      <c r="AG485" s="1">
        <v>-109.9</v>
      </c>
      <c r="AH485" s="2" t="s">
        <v>16</v>
      </c>
      <c r="AI485"/>
      <c r="AJ485" s="3">
        <f t="shared" si="61"/>
        <v>9</v>
      </c>
      <c r="AK485" s="3" t="s">
        <v>2707</v>
      </c>
      <c r="AL485">
        <v>9</v>
      </c>
      <c r="AM485" t="s">
        <v>15</v>
      </c>
    </row>
    <row r="486" spans="1:39" hidden="1" x14ac:dyDescent="0.3">
      <c r="A486" s="51" t="s">
        <v>137</v>
      </c>
      <c r="B486" s="54" t="s">
        <v>40</v>
      </c>
      <c r="C486" s="51" t="s">
        <v>2765</v>
      </c>
      <c r="D486" s="53">
        <v>0</v>
      </c>
      <c r="E486" s="53">
        <v>1</v>
      </c>
      <c r="F486" s="51" t="s">
        <v>2715</v>
      </c>
      <c r="G486" s="51" t="s">
        <v>2695</v>
      </c>
      <c r="H486" s="25" t="str">
        <f t="shared" si="56"/>
        <v>jgd</v>
      </c>
      <c r="I486" t="s">
        <v>30</v>
      </c>
      <c r="J486" t="s">
        <v>16</v>
      </c>
      <c r="K486" t="s">
        <v>16</v>
      </c>
      <c r="L486" s="25">
        <v>46.587277180000001</v>
      </c>
      <c r="M486" s="25">
        <v>6.969972802</v>
      </c>
      <c r="N486">
        <v>6</v>
      </c>
      <c r="O486">
        <v>2</v>
      </c>
      <c r="P486">
        <v>11</v>
      </c>
      <c r="Q486">
        <v>2013</v>
      </c>
      <c r="R486" s="9">
        <v>41580</v>
      </c>
      <c r="S486">
        <v>316</v>
      </c>
      <c r="T486">
        <v>1</v>
      </c>
      <c r="U486">
        <v>0</v>
      </c>
      <c r="V486">
        <v>0</v>
      </c>
      <c r="W486">
        <v>0</v>
      </c>
      <c r="X486">
        <f t="shared" si="57"/>
        <v>-78.300000000000011</v>
      </c>
      <c r="Y486">
        <v>-22.099710389999998</v>
      </c>
      <c r="Z486">
        <v>5.5105255639999999</v>
      </c>
      <c r="AA486" s="3">
        <f t="shared" si="59"/>
        <v>8</v>
      </c>
      <c r="AB486" s="3">
        <f t="shared" ref="AB486:AB496" si="62">ROUND(Z486,0)</f>
        <v>6</v>
      </c>
      <c r="AD486" s="3" t="s">
        <v>2752</v>
      </c>
      <c r="AE486" s="22">
        <v>-86.86</v>
      </c>
      <c r="AF486" s="22">
        <f t="shared" si="60"/>
        <v>-86.86</v>
      </c>
      <c r="AG486" s="1">
        <v>-109.9</v>
      </c>
      <c r="AH486" s="2" t="s">
        <v>16</v>
      </c>
      <c r="AI486"/>
      <c r="AJ486" s="3">
        <f t="shared" si="61"/>
        <v>9</v>
      </c>
      <c r="AK486" s="3" t="s">
        <v>2707</v>
      </c>
      <c r="AL486">
        <v>9</v>
      </c>
      <c r="AM486" t="s">
        <v>15</v>
      </c>
    </row>
    <row r="487" spans="1:39" hidden="1" x14ac:dyDescent="0.3">
      <c r="A487" s="51" t="s">
        <v>910</v>
      </c>
      <c r="B487" s="54" t="s">
        <v>911</v>
      </c>
      <c r="C487" s="51" t="s">
        <v>2765</v>
      </c>
      <c r="D487" s="53">
        <v>0</v>
      </c>
      <c r="E487" s="53">
        <v>1</v>
      </c>
      <c r="F487" s="51" t="s">
        <v>2715</v>
      </c>
      <c r="G487" s="51" t="s">
        <v>2695</v>
      </c>
      <c r="H487" s="25" t="str">
        <f t="shared" si="56"/>
        <v>jgd</v>
      </c>
      <c r="I487" t="s">
        <v>13</v>
      </c>
      <c r="J487" t="s">
        <v>19</v>
      </c>
      <c r="K487" t="s">
        <v>912</v>
      </c>
      <c r="L487" s="25">
        <v>46.891953940000001</v>
      </c>
      <c r="M487" s="25">
        <v>6.5116774120000001</v>
      </c>
      <c r="N487">
        <v>5</v>
      </c>
      <c r="O487">
        <v>14</v>
      </c>
      <c r="P487">
        <v>11</v>
      </c>
      <c r="Q487">
        <v>2015</v>
      </c>
      <c r="R487" s="9">
        <v>42322</v>
      </c>
      <c r="S487">
        <v>327</v>
      </c>
      <c r="T487">
        <v>1</v>
      </c>
      <c r="U487">
        <v>0</v>
      </c>
      <c r="V487">
        <v>0</v>
      </c>
      <c r="W487">
        <v>0</v>
      </c>
      <c r="X487">
        <f t="shared" si="57"/>
        <v>-78.25</v>
      </c>
      <c r="Y487">
        <v>-24.553000000000001</v>
      </c>
      <c r="Z487">
        <v>5.4780394870000002</v>
      </c>
      <c r="AA487" s="3">
        <f t="shared" si="59"/>
        <v>8</v>
      </c>
      <c r="AB487" s="3">
        <f t="shared" si="62"/>
        <v>5</v>
      </c>
      <c r="AD487" s="3" t="s">
        <v>2750</v>
      </c>
      <c r="AE487" s="22">
        <v>-86.82</v>
      </c>
      <c r="AF487" s="22">
        <f t="shared" si="60"/>
        <v>-86.82</v>
      </c>
      <c r="AG487" s="1">
        <v>-109.8</v>
      </c>
      <c r="AH487" s="2" t="s">
        <v>16</v>
      </c>
      <c r="AI487"/>
      <c r="AJ487" s="3">
        <f t="shared" si="61"/>
        <v>9</v>
      </c>
      <c r="AK487" s="3" t="s">
        <v>2707</v>
      </c>
      <c r="AL487">
        <v>9</v>
      </c>
      <c r="AM487" t="s">
        <v>15</v>
      </c>
    </row>
    <row r="488" spans="1:39" x14ac:dyDescent="0.3">
      <c r="A488" s="51" t="s">
        <v>1306</v>
      </c>
      <c r="B488" s="54" t="s">
        <v>1307</v>
      </c>
      <c r="C488" s="51" t="s">
        <v>2765</v>
      </c>
      <c r="D488" s="53">
        <v>0</v>
      </c>
      <c r="E488" s="53">
        <v>1</v>
      </c>
      <c r="F488" s="51" t="s">
        <v>2715</v>
      </c>
      <c r="G488" s="51" t="s">
        <v>2695</v>
      </c>
      <c r="H488" s="25" t="str">
        <f t="shared" si="56"/>
        <v>jgd</v>
      </c>
      <c r="I488" t="s">
        <v>72</v>
      </c>
      <c r="J488" t="s">
        <v>574</v>
      </c>
      <c r="K488" t="s">
        <v>1308</v>
      </c>
      <c r="L488" s="25">
        <v>46.082728060000001</v>
      </c>
      <c r="M488" s="25">
        <v>9.0514119789999992</v>
      </c>
      <c r="N488">
        <v>6</v>
      </c>
      <c r="O488">
        <v>26</v>
      </c>
      <c r="P488">
        <v>11</v>
      </c>
      <c r="Q488">
        <v>2015</v>
      </c>
      <c r="R488" s="9">
        <v>42334</v>
      </c>
      <c r="S488">
        <v>300</v>
      </c>
      <c r="T488">
        <v>1</v>
      </c>
      <c r="U488">
        <v>0</v>
      </c>
      <c r="V488">
        <v>0</v>
      </c>
      <c r="W488">
        <v>0</v>
      </c>
      <c r="X488">
        <f t="shared" si="57"/>
        <v>-77.974999999999994</v>
      </c>
      <c r="Y488">
        <v>-24.9848</v>
      </c>
      <c r="Z488">
        <v>6.6752287639999999</v>
      </c>
      <c r="AA488" s="3">
        <f t="shared" si="59"/>
        <v>8</v>
      </c>
      <c r="AB488" s="3">
        <f t="shared" si="62"/>
        <v>7</v>
      </c>
      <c r="AD488" s="3" t="s">
        <v>2754</v>
      </c>
      <c r="AE488" s="22">
        <v>-86.6</v>
      </c>
      <c r="AF488" s="22">
        <f t="shared" si="60"/>
        <v>-86.6</v>
      </c>
      <c r="AG488" s="1">
        <v>-109.6</v>
      </c>
      <c r="AH488" s="2" t="s">
        <v>16</v>
      </c>
      <c r="AI488"/>
      <c r="AJ488" s="3">
        <f t="shared" si="61"/>
        <v>9</v>
      </c>
      <c r="AK488" s="3" t="s">
        <v>2707</v>
      </c>
      <c r="AL488">
        <v>9</v>
      </c>
      <c r="AM488" t="s">
        <v>15</v>
      </c>
    </row>
    <row r="489" spans="1:39" hidden="1" x14ac:dyDescent="0.3">
      <c r="A489" s="51" t="s">
        <v>1150</v>
      </c>
      <c r="B489" s="54" t="s">
        <v>1151</v>
      </c>
      <c r="C489" s="51" t="s">
        <v>2765</v>
      </c>
      <c r="D489" s="53">
        <v>0</v>
      </c>
      <c r="E489" s="53">
        <v>1</v>
      </c>
      <c r="F489" s="51" t="s">
        <v>2715</v>
      </c>
      <c r="G489" s="51" t="s">
        <v>2695</v>
      </c>
      <c r="H489" s="25" t="str">
        <f t="shared" si="56"/>
        <v>jgd</v>
      </c>
      <c r="I489" t="s">
        <v>385</v>
      </c>
      <c r="J489" t="s">
        <v>1152</v>
      </c>
      <c r="K489" t="s">
        <v>1153</v>
      </c>
      <c r="L489" s="25">
        <v>46.69757285</v>
      </c>
      <c r="M489" s="25">
        <v>6.4184793600000001</v>
      </c>
      <c r="N489">
        <v>6</v>
      </c>
      <c r="O489">
        <v>6</v>
      </c>
      <c r="P489">
        <v>11</v>
      </c>
      <c r="Q489">
        <v>2015</v>
      </c>
      <c r="R489" s="9">
        <v>42314</v>
      </c>
      <c r="S489">
        <v>309</v>
      </c>
      <c r="T489">
        <v>1</v>
      </c>
      <c r="U489">
        <v>0</v>
      </c>
      <c r="V489">
        <v>0</v>
      </c>
      <c r="W489">
        <v>0</v>
      </c>
      <c r="X489">
        <f t="shared" si="57"/>
        <v>-77.8125</v>
      </c>
      <c r="Y489">
        <v>-23.934999999999999</v>
      </c>
      <c r="Z489">
        <v>4.4810051189999998</v>
      </c>
      <c r="AA489" s="3">
        <f t="shared" si="59"/>
        <v>8</v>
      </c>
      <c r="AB489" s="3">
        <f t="shared" si="62"/>
        <v>4</v>
      </c>
      <c r="AD489" s="3" t="s">
        <v>2750</v>
      </c>
      <c r="AE489" s="22">
        <v>-86.47</v>
      </c>
      <c r="AF489" s="22">
        <f t="shared" si="60"/>
        <v>-86.47</v>
      </c>
      <c r="AG489" s="1">
        <v>-109.5</v>
      </c>
      <c r="AH489" s="2" t="s">
        <v>16</v>
      </c>
      <c r="AI489"/>
      <c r="AJ489" s="3">
        <f t="shared" si="61"/>
        <v>9</v>
      </c>
      <c r="AK489" s="3" t="s">
        <v>2707</v>
      </c>
      <c r="AL489">
        <v>9</v>
      </c>
      <c r="AM489" t="s">
        <v>15</v>
      </c>
    </row>
    <row r="490" spans="1:39" hidden="1" x14ac:dyDescent="0.3">
      <c r="A490" s="51" t="s">
        <v>468</v>
      </c>
      <c r="B490" s="54" t="s">
        <v>469</v>
      </c>
      <c r="C490" s="51" t="s">
        <v>2765</v>
      </c>
      <c r="D490" s="53">
        <v>0</v>
      </c>
      <c r="E490" s="53">
        <v>1</v>
      </c>
      <c r="F490" s="51" t="s">
        <v>2715</v>
      </c>
      <c r="G490" s="51" t="s">
        <v>2695</v>
      </c>
      <c r="H490" s="25" t="str">
        <f t="shared" si="56"/>
        <v>jgd</v>
      </c>
      <c r="I490" t="s">
        <v>385</v>
      </c>
      <c r="J490" t="s">
        <v>466</v>
      </c>
      <c r="K490" t="s">
        <v>470</v>
      </c>
      <c r="L490" s="25">
        <v>46.805772380000001</v>
      </c>
      <c r="M490" s="25">
        <v>6.4401054110000002</v>
      </c>
      <c r="N490">
        <v>6</v>
      </c>
      <c r="O490">
        <v>20</v>
      </c>
      <c r="P490">
        <v>11</v>
      </c>
      <c r="Q490">
        <v>2014</v>
      </c>
      <c r="R490" s="9">
        <v>41963</v>
      </c>
      <c r="S490">
        <v>330</v>
      </c>
      <c r="T490">
        <v>1</v>
      </c>
      <c r="U490">
        <v>0</v>
      </c>
      <c r="V490">
        <v>0</v>
      </c>
      <c r="W490">
        <v>0</v>
      </c>
      <c r="X490">
        <f t="shared" si="57"/>
        <v>-77.75</v>
      </c>
      <c r="Y490">
        <v>-24.869199999999999</v>
      </c>
      <c r="Z490">
        <v>6.7603138889999999</v>
      </c>
      <c r="AA490" s="3">
        <f t="shared" si="59"/>
        <v>8</v>
      </c>
      <c r="AB490" s="3">
        <f t="shared" si="62"/>
        <v>7</v>
      </c>
      <c r="AD490" s="3" t="s">
        <v>2750</v>
      </c>
      <c r="AE490" s="22">
        <v>-86.42</v>
      </c>
      <c r="AF490" s="22">
        <f t="shared" si="60"/>
        <v>-86.42</v>
      </c>
      <c r="AG490" s="1">
        <v>-109.4</v>
      </c>
      <c r="AH490" s="2" t="s">
        <v>16</v>
      </c>
      <c r="AI490"/>
      <c r="AJ490" s="3">
        <f t="shared" si="61"/>
        <v>9</v>
      </c>
      <c r="AK490" s="3" t="s">
        <v>2707</v>
      </c>
      <c r="AL490">
        <v>9</v>
      </c>
      <c r="AM490" t="s">
        <v>15</v>
      </c>
    </row>
    <row r="491" spans="1:39" x14ac:dyDescent="0.3">
      <c r="A491" s="51" t="s">
        <v>1927</v>
      </c>
      <c r="B491" s="54" t="s">
        <v>1928</v>
      </c>
      <c r="C491" s="51" t="s">
        <v>2765</v>
      </c>
      <c r="D491" s="53">
        <v>0</v>
      </c>
      <c r="E491" s="53">
        <v>1</v>
      </c>
      <c r="F491" s="51" t="s">
        <v>2715</v>
      </c>
      <c r="G491" s="51" t="s">
        <v>2695</v>
      </c>
      <c r="H491" s="25" t="str">
        <f t="shared" si="56"/>
        <v>jgd</v>
      </c>
      <c r="I491" t="s">
        <v>72</v>
      </c>
      <c r="J491" t="s">
        <v>694</v>
      </c>
      <c r="K491" t="s">
        <v>1916</v>
      </c>
      <c r="L491" s="25">
        <v>46.133507139999999</v>
      </c>
      <c r="M491" s="25">
        <v>8.9244032680000007</v>
      </c>
      <c r="N491">
        <v>5</v>
      </c>
      <c r="O491">
        <v>24</v>
      </c>
      <c r="P491">
        <v>11</v>
      </c>
      <c r="Q491">
        <v>2016</v>
      </c>
      <c r="R491" s="9">
        <v>42698</v>
      </c>
      <c r="S491">
        <v>300</v>
      </c>
      <c r="T491">
        <v>1</v>
      </c>
      <c r="U491">
        <v>0</v>
      </c>
      <c r="V491">
        <v>0</v>
      </c>
      <c r="W491">
        <v>0</v>
      </c>
      <c r="X491" s="57">
        <f t="shared" si="57"/>
        <v>-77.7033275</v>
      </c>
      <c r="Y491">
        <v>-11.83</v>
      </c>
      <c r="Z491">
        <v>5.76</v>
      </c>
      <c r="AA491" s="3">
        <f t="shared" si="59"/>
        <v>8</v>
      </c>
      <c r="AB491" s="3">
        <f t="shared" si="62"/>
        <v>6</v>
      </c>
      <c r="AD491" s="3" t="s">
        <v>2754</v>
      </c>
      <c r="AE491" s="22">
        <v>-86.382661999999996</v>
      </c>
      <c r="AF491" s="22">
        <f t="shared" si="60"/>
        <v>-86.382661999999996</v>
      </c>
      <c r="AG491" s="60" t="s">
        <v>16</v>
      </c>
      <c r="AH491" s="61" t="s">
        <v>16</v>
      </c>
      <c r="AJ491" s="3">
        <f t="shared" si="61"/>
        <v>9</v>
      </c>
      <c r="AK491" s="3" t="s">
        <v>2707</v>
      </c>
      <c r="AL491">
        <v>9</v>
      </c>
      <c r="AM491" t="s">
        <v>15</v>
      </c>
    </row>
    <row r="492" spans="1:39" x14ac:dyDescent="0.3">
      <c r="A492" s="51" t="s">
        <v>1694</v>
      </c>
      <c r="B492" s="54" t="s">
        <v>164</v>
      </c>
      <c r="C492" s="51" t="s">
        <v>2765</v>
      </c>
      <c r="D492" s="53">
        <v>0</v>
      </c>
      <c r="E492" s="53">
        <v>1</v>
      </c>
      <c r="F492" s="51" t="s">
        <v>2715</v>
      </c>
      <c r="G492" s="51" t="s">
        <v>2695</v>
      </c>
      <c r="H492" s="25" t="str">
        <f t="shared" si="56"/>
        <v>jgd</v>
      </c>
      <c r="I492" t="s">
        <v>72</v>
      </c>
      <c r="J492" t="s">
        <v>155</v>
      </c>
      <c r="K492" t="s">
        <v>165</v>
      </c>
      <c r="L492" s="25">
        <v>46.11937614</v>
      </c>
      <c r="M492" s="25">
        <v>8.8331943059999993</v>
      </c>
      <c r="N492">
        <v>4</v>
      </c>
      <c r="O492">
        <v>20</v>
      </c>
      <c r="P492">
        <v>10</v>
      </c>
      <c r="Q492">
        <v>2016</v>
      </c>
      <c r="R492" s="9">
        <v>42663</v>
      </c>
      <c r="S492">
        <v>280</v>
      </c>
      <c r="T492">
        <v>1</v>
      </c>
      <c r="U492">
        <v>0</v>
      </c>
      <c r="V492">
        <v>0</v>
      </c>
      <c r="W492">
        <v>0</v>
      </c>
      <c r="X492" s="57">
        <f t="shared" si="57"/>
        <v>-77.667323124999996</v>
      </c>
      <c r="Y492">
        <v>-23.81</v>
      </c>
      <c r="Z492">
        <v>5.4</v>
      </c>
      <c r="AA492" s="3">
        <f t="shared" si="59"/>
        <v>8</v>
      </c>
      <c r="AB492" s="3">
        <f t="shared" si="62"/>
        <v>5</v>
      </c>
      <c r="AD492" s="3" t="s">
        <v>2754</v>
      </c>
      <c r="AE492" s="22">
        <v>-86.353858500000001</v>
      </c>
      <c r="AF492" s="22">
        <f t="shared" si="60"/>
        <v>-86.353858500000001</v>
      </c>
      <c r="AG492" s="60" t="s">
        <v>16</v>
      </c>
      <c r="AH492" s="61" t="s">
        <v>16</v>
      </c>
      <c r="AJ492" s="3">
        <f t="shared" si="61"/>
        <v>9</v>
      </c>
      <c r="AK492" s="3" t="s">
        <v>2707</v>
      </c>
      <c r="AL492">
        <v>9</v>
      </c>
      <c r="AM492" t="s">
        <v>15</v>
      </c>
    </row>
    <row r="493" spans="1:39" x14ac:dyDescent="0.3">
      <c r="A493" s="51" t="s">
        <v>1471</v>
      </c>
      <c r="B493" s="54" t="s">
        <v>1472</v>
      </c>
      <c r="C493" s="51" t="s">
        <v>2765</v>
      </c>
      <c r="D493" s="53">
        <v>0</v>
      </c>
      <c r="E493" s="53">
        <v>1</v>
      </c>
      <c r="F493" s="51" t="s">
        <v>2715</v>
      </c>
      <c r="G493" s="51" t="s">
        <v>2695</v>
      </c>
      <c r="H493" s="25" t="str">
        <f t="shared" si="56"/>
        <v>jgd</v>
      </c>
      <c r="I493" t="s">
        <v>72</v>
      </c>
      <c r="J493" t="s">
        <v>1473</v>
      </c>
      <c r="K493" t="s">
        <v>1474</v>
      </c>
      <c r="L493" s="25">
        <v>45.894131170000001</v>
      </c>
      <c r="M493" s="25">
        <v>9.0810120219999995</v>
      </c>
      <c r="N493">
        <v>5</v>
      </c>
      <c r="O493">
        <v>6</v>
      </c>
      <c r="P493">
        <v>11</v>
      </c>
      <c r="Q493">
        <v>2016</v>
      </c>
      <c r="R493" s="9">
        <v>42680</v>
      </c>
      <c r="S493">
        <v>300</v>
      </c>
      <c r="T493">
        <v>1</v>
      </c>
      <c r="U493">
        <v>0</v>
      </c>
      <c r="V493">
        <v>0</v>
      </c>
      <c r="W493">
        <v>0</v>
      </c>
      <c r="X493" s="57">
        <f t="shared" si="57"/>
        <v>-77.615466375000011</v>
      </c>
      <c r="Y493">
        <v>-23.91</v>
      </c>
      <c r="Z493">
        <v>5.76</v>
      </c>
      <c r="AA493" s="3">
        <f t="shared" si="59"/>
        <v>8</v>
      </c>
      <c r="AB493" s="3">
        <f t="shared" si="62"/>
        <v>6</v>
      </c>
      <c r="AD493" s="3" t="s">
        <v>2754</v>
      </c>
      <c r="AE493" s="22">
        <v>-86.312373100000002</v>
      </c>
      <c r="AF493" s="22">
        <f t="shared" si="60"/>
        <v>-86.312373100000002</v>
      </c>
      <c r="AG493" s="60" t="s">
        <v>16</v>
      </c>
      <c r="AH493" s="61" t="s">
        <v>16</v>
      </c>
      <c r="AJ493" s="3">
        <f t="shared" si="61"/>
        <v>9</v>
      </c>
      <c r="AK493" s="3" t="s">
        <v>2707</v>
      </c>
      <c r="AL493">
        <v>9</v>
      </c>
      <c r="AM493" t="s">
        <v>15</v>
      </c>
    </row>
    <row r="494" spans="1:39" x14ac:dyDescent="0.3">
      <c r="A494" s="51" t="s">
        <v>1512</v>
      </c>
      <c r="B494" s="54" t="s">
        <v>334</v>
      </c>
      <c r="C494" s="51" t="s">
        <v>2765</v>
      </c>
      <c r="D494" s="53">
        <v>0</v>
      </c>
      <c r="E494" s="53">
        <v>1</v>
      </c>
      <c r="F494" s="51" t="s">
        <v>2715</v>
      </c>
      <c r="G494" s="51" t="s">
        <v>2695</v>
      </c>
      <c r="H494" s="25" t="str">
        <f t="shared" si="56"/>
        <v>jgd</v>
      </c>
      <c r="I494" t="s">
        <v>72</v>
      </c>
      <c r="J494" t="s">
        <v>1310</v>
      </c>
      <c r="K494" t="s">
        <v>1513</v>
      </c>
      <c r="L494" s="25">
        <v>46.209410570000003</v>
      </c>
      <c r="M494" s="25">
        <v>8.6900473050000002</v>
      </c>
      <c r="N494">
        <v>6</v>
      </c>
      <c r="O494">
        <v>18</v>
      </c>
      <c r="P494">
        <v>10</v>
      </c>
      <c r="Q494">
        <v>2016</v>
      </c>
      <c r="R494" s="9">
        <v>42661</v>
      </c>
      <c r="S494">
        <v>330</v>
      </c>
      <c r="T494">
        <v>1</v>
      </c>
      <c r="U494">
        <v>0</v>
      </c>
      <c r="V494">
        <v>0</v>
      </c>
      <c r="W494">
        <v>0</v>
      </c>
      <c r="X494" s="57">
        <f t="shared" si="57"/>
        <v>-77.586005124999986</v>
      </c>
      <c r="Y494">
        <v>-23.9</v>
      </c>
      <c r="Z494">
        <v>7.34</v>
      </c>
      <c r="AA494" s="3">
        <f t="shared" si="59"/>
        <v>8</v>
      </c>
      <c r="AB494" s="3">
        <f t="shared" si="62"/>
        <v>7</v>
      </c>
      <c r="AD494" s="3" t="s">
        <v>2754</v>
      </c>
      <c r="AE494" s="22">
        <v>-86.288804099999993</v>
      </c>
      <c r="AF494" s="22">
        <f t="shared" si="60"/>
        <v>-86.288804099999993</v>
      </c>
      <c r="AG494" s="60" t="s">
        <v>16</v>
      </c>
      <c r="AH494" s="61" t="s">
        <v>16</v>
      </c>
      <c r="AJ494" s="3">
        <f t="shared" si="61"/>
        <v>9</v>
      </c>
      <c r="AK494" s="3" t="s">
        <v>2707</v>
      </c>
      <c r="AL494">
        <v>9</v>
      </c>
      <c r="AM494" t="s">
        <v>15</v>
      </c>
    </row>
    <row r="495" spans="1:39" x14ac:dyDescent="0.3">
      <c r="A495" s="51" t="s">
        <v>2154</v>
      </c>
      <c r="B495" s="54" t="s">
        <v>164</v>
      </c>
      <c r="C495" s="51" t="s">
        <v>2765</v>
      </c>
      <c r="D495" s="53">
        <v>0</v>
      </c>
      <c r="E495" s="53">
        <v>1</v>
      </c>
      <c r="F495" s="51" t="s">
        <v>2715</v>
      </c>
      <c r="G495" s="51" t="s">
        <v>2695</v>
      </c>
      <c r="H495" s="25" t="str">
        <f t="shared" si="56"/>
        <v>jgd</v>
      </c>
      <c r="I495" t="s">
        <v>72</v>
      </c>
      <c r="J495" t="s">
        <v>2155</v>
      </c>
      <c r="K495" t="s">
        <v>2156</v>
      </c>
      <c r="L495" s="25">
        <v>46.181955860000002</v>
      </c>
      <c r="M495" s="25">
        <v>9.1262399900000002</v>
      </c>
      <c r="N495">
        <v>4</v>
      </c>
      <c r="O495">
        <v>2</v>
      </c>
      <c r="P495">
        <v>11</v>
      </c>
      <c r="Q495">
        <v>2017</v>
      </c>
      <c r="R495" s="9">
        <v>43041</v>
      </c>
      <c r="S495">
        <v>283</v>
      </c>
      <c r="T495">
        <v>1</v>
      </c>
      <c r="U495">
        <v>0</v>
      </c>
      <c r="V495">
        <v>0</v>
      </c>
      <c r="W495">
        <v>0</v>
      </c>
      <c r="X495" s="57">
        <f t="shared" si="57"/>
        <v>-77.545450999999986</v>
      </c>
      <c r="Y495" t="s">
        <v>16</v>
      </c>
      <c r="Z495">
        <v>5.6277535969999999</v>
      </c>
      <c r="AA495" s="3">
        <f t="shared" si="59"/>
        <v>8</v>
      </c>
      <c r="AB495" s="3">
        <f t="shared" si="62"/>
        <v>6</v>
      </c>
      <c r="AD495" s="3" t="s">
        <v>2754</v>
      </c>
      <c r="AE495" s="22">
        <v>-86.256360799999996</v>
      </c>
      <c r="AF495" s="22">
        <f t="shared" si="60"/>
        <v>-86.256360799999996</v>
      </c>
      <c r="AG495" s="60" t="s">
        <v>16</v>
      </c>
      <c r="AH495" s="61" t="s">
        <v>16</v>
      </c>
      <c r="AJ495" s="3">
        <f t="shared" si="61"/>
        <v>9</v>
      </c>
      <c r="AK495" s="3" t="s">
        <v>2707</v>
      </c>
      <c r="AL495">
        <v>9</v>
      </c>
      <c r="AM495" t="s">
        <v>15</v>
      </c>
    </row>
    <row r="496" spans="1:39" hidden="1" x14ac:dyDescent="0.3">
      <c r="A496" s="51" t="s">
        <v>2596</v>
      </c>
      <c r="B496" s="54" t="s">
        <v>2597</v>
      </c>
      <c r="C496" s="51" t="s">
        <v>2765</v>
      </c>
      <c r="D496" s="53">
        <v>0</v>
      </c>
      <c r="E496" s="53">
        <v>1</v>
      </c>
      <c r="F496" s="51" t="s">
        <v>2715</v>
      </c>
      <c r="G496" s="51" t="s">
        <v>2695</v>
      </c>
      <c r="H496" s="25" t="str">
        <f t="shared" si="56"/>
        <v>jgd</v>
      </c>
      <c r="I496" t="s">
        <v>30</v>
      </c>
      <c r="J496" t="s">
        <v>2598</v>
      </c>
      <c r="K496" t="s">
        <v>16</v>
      </c>
      <c r="L496" s="25">
        <v>46.91554</v>
      </c>
      <c r="M496" s="25">
        <v>7.164326</v>
      </c>
      <c r="N496">
        <v>5</v>
      </c>
      <c r="O496">
        <v>5</v>
      </c>
      <c r="P496">
        <v>12</v>
      </c>
      <c r="Q496">
        <v>2017</v>
      </c>
      <c r="R496" s="9">
        <v>43074</v>
      </c>
      <c r="S496">
        <v>302</v>
      </c>
      <c r="T496">
        <v>1</v>
      </c>
      <c r="U496">
        <v>0</v>
      </c>
      <c r="V496">
        <v>0</v>
      </c>
      <c r="W496">
        <v>0</v>
      </c>
      <c r="X496" s="57">
        <f t="shared" si="57"/>
        <v>-77.352530000000002</v>
      </c>
      <c r="Y496" t="s">
        <v>16</v>
      </c>
      <c r="Z496">
        <v>8.6048152160000004</v>
      </c>
      <c r="AA496" s="3">
        <f t="shared" si="59"/>
        <v>8</v>
      </c>
      <c r="AB496" s="3">
        <f t="shared" si="62"/>
        <v>9</v>
      </c>
      <c r="AD496" s="3" t="s">
        <v>2751</v>
      </c>
      <c r="AE496" s="22">
        <v>-86.102024</v>
      </c>
      <c r="AF496" s="22">
        <f t="shared" si="60"/>
        <v>-86.102024</v>
      </c>
      <c r="AG496" s="60" t="s">
        <v>16</v>
      </c>
      <c r="AH496" s="61" t="s">
        <v>16</v>
      </c>
      <c r="AJ496" s="3">
        <f t="shared" si="61"/>
        <v>9</v>
      </c>
      <c r="AK496" s="3" t="s">
        <v>2707</v>
      </c>
      <c r="AL496">
        <v>9</v>
      </c>
      <c r="AM496" t="s">
        <v>15</v>
      </c>
    </row>
    <row r="497" spans="1:39" hidden="1" x14ac:dyDescent="0.3">
      <c r="A497" s="51" t="s">
        <v>636</v>
      </c>
      <c r="B497" s="54" t="s">
        <v>637</v>
      </c>
      <c r="C497" s="51" t="s">
        <v>2765</v>
      </c>
      <c r="D497" s="53">
        <v>0</v>
      </c>
      <c r="E497" s="53">
        <v>1</v>
      </c>
      <c r="F497" s="51" t="s">
        <v>2715</v>
      </c>
      <c r="G497" s="51" t="s">
        <v>2695</v>
      </c>
      <c r="H497" s="25" t="str">
        <f t="shared" si="56"/>
        <v>jgd</v>
      </c>
      <c r="I497" t="s">
        <v>30</v>
      </c>
      <c r="J497" t="s">
        <v>638</v>
      </c>
      <c r="K497" t="s">
        <v>639</v>
      </c>
      <c r="L497" s="25">
        <v>46.711803140000001</v>
      </c>
      <c r="M497" s="25">
        <v>7.144450623</v>
      </c>
      <c r="N497">
        <v>4</v>
      </c>
      <c r="O497">
        <v>13</v>
      </c>
      <c r="P497">
        <v>11</v>
      </c>
      <c r="Q497">
        <v>2014</v>
      </c>
      <c r="R497" s="9">
        <v>41956</v>
      </c>
      <c r="S497">
        <v>330</v>
      </c>
      <c r="T497">
        <v>1</v>
      </c>
      <c r="U497">
        <v>0</v>
      </c>
      <c r="V497">
        <v>0</v>
      </c>
      <c r="W497">
        <v>0</v>
      </c>
      <c r="X497">
        <f t="shared" si="57"/>
        <v>-77.324999999999989</v>
      </c>
      <c r="Y497" t="s">
        <v>16</v>
      </c>
      <c r="Z497" t="s">
        <v>16</v>
      </c>
      <c r="AA497" s="3">
        <f t="shared" si="59"/>
        <v>8</v>
      </c>
      <c r="AD497" s="3" t="s">
        <v>2752</v>
      </c>
      <c r="AE497" s="22">
        <v>-86.08</v>
      </c>
      <c r="AF497" s="22">
        <f t="shared" si="60"/>
        <v>-86.08</v>
      </c>
      <c r="AG497" s="1">
        <v>-109.1</v>
      </c>
      <c r="AH497" s="2" t="s">
        <v>16</v>
      </c>
      <c r="AI497"/>
      <c r="AJ497" s="3">
        <f t="shared" si="61"/>
        <v>9</v>
      </c>
      <c r="AK497" s="3" t="s">
        <v>2707</v>
      </c>
      <c r="AL497">
        <v>9</v>
      </c>
      <c r="AM497" t="s">
        <v>15</v>
      </c>
    </row>
    <row r="498" spans="1:39" x14ac:dyDescent="0.3">
      <c r="A498" s="51" t="s">
        <v>1697</v>
      </c>
      <c r="B498" s="54" t="s">
        <v>173</v>
      </c>
      <c r="C498" s="51" t="s">
        <v>2765</v>
      </c>
      <c r="D498" s="53">
        <v>0</v>
      </c>
      <c r="E498" s="53">
        <v>1</v>
      </c>
      <c r="F498" s="51" t="s">
        <v>2715</v>
      </c>
      <c r="G498" s="51" t="s">
        <v>2695</v>
      </c>
      <c r="H498" s="25" t="str">
        <f t="shared" si="56"/>
        <v>jgd</v>
      </c>
      <c r="I498" t="s">
        <v>72</v>
      </c>
      <c r="J498" t="s">
        <v>155</v>
      </c>
      <c r="K498" t="s">
        <v>1698</v>
      </c>
      <c r="L498" s="25">
        <v>46.119360149999999</v>
      </c>
      <c r="M498" s="25">
        <v>8.8344876770000003</v>
      </c>
      <c r="N498">
        <v>4</v>
      </c>
      <c r="O498">
        <v>29</v>
      </c>
      <c r="P498">
        <v>10</v>
      </c>
      <c r="Q498">
        <v>2016</v>
      </c>
      <c r="R498" s="9">
        <v>42672</v>
      </c>
      <c r="S498">
        <v>327</v>
      </c>
      <c r="T498">
        <v>1</v>
      </c>
      <c r="U498">
        <v>0</v>
      </c>
      <c r="V498">
        <v>0</v>
      </c>
      <c r="W498">
        <v>0</v>
      </c>
      <c r="X498" s="57">
        <f t="shared" si="57"/>
        <v>-77.281062625000004</v>
      </c>
      <c r="Y498">
        <v>-24.21</v>
      </c>
      <c r="Z498">
        <v>4.7699999999999996</v>
      </c>
      <c r="AA498" s="3">
        <f t="shared" si="59"/>
        <v>8</v>
      </c>
      <c r="AB498" s="3">
        <f t="shared" ref="AB498:AB516" si="63">ROUND(Z498,0)</f>
        <v>5</v>
      </c>
      <c r="AD498" s="3" t="s">
        <v>2754</v>
      </c>
      <c r="AE498" s="22">
        <v>-86.044850100000005</v>
      </c>
      <c r="AF498" s="22">
        <f t="shared" si="60"/>
        <v>-86.044850100000005</v>
      </c>
      <c r="AG498" s="60" t="s">
        <v>16</v>
      </c>
      <c r="AH498" s="61" t="s">
        <v>16</v>
      </c>
      <c r="AJ498" s="3">
        <f t="shared" si="61"/>
        <v>9</v>
      </c>
      <c r="AK498" s="3" t="s">
        <v>2707</v>
      </c>
      <c r="AL498">
        <v>9</v>
      </c>
      <c r="AM498" t="s">
        <v>15</v>
      </c>
    </row>
    <row r="499" spans="1:39" hidden="1" x14ac:dyDescent="0.3">
      <c r="A499" s="51" t="s">
        <v>1873</v>
      </c>
      <c r="B499" s="54" t="s">
        <v>1874</v>
      </c>
      <c r="C499" s="51" t="s">
        <v>2765</v>
      </c>
      <c r="D499" s="53">
        <v>0</v>
      </c>
      <c r="E499" s="53">
        <v>1</v>
      </c>
      <c r="F499" s="51" t="s">
        <v>2715</v>
      </c>
      <c r="G499" s="51" t="s">
        <v>2695</v>
      </c>
      <c r="H499" s="25" t="str">
        <f t="shared" si="56"/>
        <v>jgd</v>
      </c>
      <c r="I499" t="s">
        <v>13</v>
      </c>
      <c r="J499" t="s">
        <v>1875</v>
      </c>
      <c r="K499" t="s">
        <v>1876</v>
      </c>
      <c r="L499" s="25">
        <v>46.918619679999999</v>
      </c>
      <c r="M499" s="25">
        <v>6.750556574</v>
      </c>
      <c r="N499">
        <v>6</v>
      </c>
      <c r="O499">
        <v>15</v>
      </c>
      <c r="P499">
        <v>11</v>
      </c>
      <c r="Q499">
        <v>2016</v>
      </c>
      <c r="R499" s="9">
        <v>42689</v>
      </c>
      <c r="S499">
        <v>282</v>
      </c>
      <c r="T499">
        <v>1</v>
      </c>
      <c r="U499">
        <v>0</v>
      </c>
      <c r="V499">
        <v>0</v>
      </c>
      <c r="W499">
        <v>0</v>
      </c>
      <c r="X499" s="57">
        <f t="shared" si="57"/>
        <v>-77.184760750000009</v>
      </c>
      <c r="Y499">
        <v>-23.8</v>
      </c>
      <c r="Z499">
        <v>4.57</v>
      </c>
      <c r="AA499" s="3">
        <f t="shared" si="59"/>
        <v>8</v>
      </c>
      <c r="AB499" s="3">
        <f t="shared" si="63"/>
        <v>5</v>
      </c>
      <c r="AD499" s="3" t="s">
        <v>2750</v>
      </c>
      <c r="AE499" s="22">
        <v>-85.967808599999998</v>
      </c>
      <c r="AF499" s="22">
        <f t="shared" si="60"/>
        <v>-85.967808599999998</v>
      </c>
      <c r="AG499" s="60" t="s">
        <v>16</v>
      </c>
      <c r="AH499" s="61" t="s">
        <v>16</v>
      </c>
      <c r="AJ499" s="3">
        <f t="shared" si="61"/>
        <v>9</v>
      </c>
      <c r="AK499" s="3" t="s">
        <v>2707</v>
      </c>
      <c r="AL499">
        <v>9</v>
      </c>
      <c r="AM499" t="s">
        <v>15</v>
      </c>
    </row>
    <row r="500" spans="1:39" x14ac:dyDescent="0.3">
      <c r="A500" s="51" t="s">
        <v>1920</v>
      </c>
      <c r="B500" s="54" t="s">
        <v>1170</v>
      </c>
      <c r="C500" s="51" t="s">
        <v>2765</v>
      </c>
      <c r="D500" s="53">
        <v>0</v>
      </c>
      <c r="E500" s="53">
        <v>1</v>
      </c>
      <c r="F500" s="51" t="s">
        <v>2715</v>
      </c>
      <c r="G500" s="51" t="s">
        <v>2695</v>
      </c>
      <c r="H500" s="25" t="str">
        <f t="shared" si="56"/>
        <v>jgd</v>
      </c>
      <c r="I500" t="s">
        <v>72</v>
      </c>
      <c r="J500" t="s">
        <v>694</v>
      </c>
      <c r="K500" t="s">
        <v>1916</v>
      </c>
      <c r="L500" s="25">
        <v>46.132072729999997</v>
      </c>
      <c r="M500" s="25">
        <v>8.9308347369999996</v>
      </c>
      <c r="N500">
        <v>5</v>
      </c>
      <c r="O500">
        <v>10</v>
      </c>
      <c r="P500">
        <v>11</v>
      </c>
      <c r="Q500">
        <v>2016</v>
      </c>
      <c r="R500" s="9">
        <v>42684</v>
      </c>
      <c r="S500">
        <v>330</v>
      </c>
      <c r="T500">
        <v>1</v>
      </c>
      <c r="U500">
        <v>0</v>
      </c>
      <c r="V500">
        <v>0</v>
      </c>
      <c r="W500">
        <v>0</v>
      </c>
      <c r="X500" s="57">
        <f t="shared" si="57"/>
        <v>-77.172606000000002</v>
      </c>
      <c r="Y500">
        <v>-24.2</v>
      </c>
      <c r="Z500">
        <v>6.42</v>
      </c>
      <c r="AA500" s="3">
        <f t="shared" si="59"/>
        <v>8</v>
      </c>
      <c r="AB500" s="3">
        <f t="shared" si="63"/>
        <v>6</v>
      </c>
      <c r="AD500" s="3" t="s">
        <v>2754</v>
      </c>
      <c r="AE500" s="22">
        <v>-85.958084799999995</v>
      </c>
      <c r="AF500" s="22">
        <f t="shared" si="60"/>
        <v>-85.958084799999995</v>
      </c>
      <c r="AG500" s="60" t="s">
        <v>16</v>
      </c>
      <c r="AH500" s="61" t="s">
        <v>16</v>
      </c>
      <c r="AJ500" s="3">
        <f t="shared" si="61"/>
        <v>9</v>
      </c>
      <c r="AK500" s="3" t="s">
        <v>2707</v>
      </c>
      <c r="AL500">
        <v>9</v>
      </c>
      <c r="AM500" t="s">
        <v>15</v>
      </c>
    </row>
    <row r="501" spans="1:39" hidden="1" x14ac:dyDescent="0.3">
      <c r="A501" s="51" t="s">
        <v>207</v>
      </c>
      <c r="B501" s="54" t="s">
        <v>208</v>
      </c>
      <c r="C501" s="51" t="s">
        <v>2765</v>
      </c>
      <c r="D501" s="53">
        <v>0</v>
      </c>
      <c r="E501" s="53">
        <v>1</v>
      </c>
      <c r="F501" s="51" t="s">
        <v>2715</v>
      </c>
      <c r="G501" s="51" t="s">
        <v>2695</v>
      </c>
      <c r="H501" s="25" t="str">
        <f t="shared" ref="H501:H564" si="64">IF(T501=1,"jgd",IF(W501=1,"Captures automne","Captures printemps-été"))</f>
        <v>jgd</v>
      </c>
      <c r="I501" t="s">
        <v>13</v>
      </c>
      <c r="J501" t="s">
        <v>209</v>
      </c>
      <c r="K501" t="s">
        <v>210</v>
      </c>
      <c r="L501" s="25">
        <v>46.913305880000003</v>
      </c>
      <c r="M501" s="25">
        <v>6.7615596399999998</v>
      </c>
      <c r="N501">
        <v>6</v>
      </c>
      <c r="O501">
        <v>13</v>
      </c>
      <c r="P501">
        <v>12</v>
      </c>
      <c r="Q501">
        <v>2013</v>
      </c>
      <c r="R501" s="9">
        <v>41621</v>
      </c>
      <c r="S501">
        <v>327</v>
      </c>
      <c r="T501">
        <v>1</v>
      </c>
      <c r="U501">
        <v>0</v>
      </c>
      <c r="V501">
        <v>0</v>
      </c>
      <c r="W501">
        <v>0</v>
      </c>
      <c r="X501">
        <f t="shared" ref="X501:X564" si="65">1.25*AF501+30.275</f>
        <v>-77.125</v>
      </c>
      <c r="Y501">
        <v>-43.627556820000002</v>
      </c>
      <c r="Z501">
        <v>5.7431126629999998</v>
      </c>
      <c r="AA501" s="3">
        <f t="shared" si="59"/>
        <v>8</v>
      </c>
      <c r="AB501" s="3">
        <f t="shared" si="63"/>
        <v>6</v>
      </c>
      <c r="AD501" s="3" t="s">
        <v>2750</v>
      </c>
      <c r="AE501" s="22">
        <v>-85.92</v>
      </c>
      <c r="AF501" s="22">
        <f t="shared" si="60"/>
        <v>-85.92</v>
      </c>
      <c r="AG501" s="1">
        <v>-108.9</v>
      </c>
      <c r="AH501" s="2" t="s">
        <v>16</v>
      </c>
      <c r="AI501"/>
      <c r="AJ501" s="3">
        <f t="shared" si="61"/>
        <v>9</v>
      </c>
      <c r="AK501" s="3" t="s">
        <v>2707</v>
      </c>
      <c r="AL501">
        <v>9</v>
      </c>
      <c r="AM501" t="s">
        <v>15</v>
      </c>
    </row>
    <row r="502" spans="1:39" hidden="1" x14ac:dyDescent="0.3">
      <c r="A502" s="51" t="s">
        <v>926</v>
      </c>
      <c r="B502" s="54" t="s">
        <v>927</v>
      </c>
      <c r="C502" s="51" t="s">
        <v>2765</v>
      </c>
      <c r="D502" s="53">
        <v>0</v>
      </c>
      <c r="E502" s="53">
        <v>1</v>
      </c>
      <c r="F502" s="51" t="s">
        <v>2715</v>
      </c>
      <c r="G502" s="51" t="s">
        <v>2695</v>
      </c>
      <c r="H502" s="25" t="str">
        <f t="shared" si="64"/>
        <v>jgd</v>
      </c>
      <c r="I502" t="s">
        <v>13</v>
      </c>
      <c r="J502" t="s">
        <v>84</v>
      </c>
      <c r="K502" t="s">
        <v>928</v>
      </c>
      <c r="L502" s="25">
        <v>46.930241019999997</v>
      </c>
      <c r="M502" s="25">
        <v>6.5422710510000002</v>
      </c>
      <c r="N502">
        <v>5</v>
      </c>
      <c r="O502">
        <v>4</v>
      </c>
      <c r="P502">
        <v>11</v>
      </c>
      <c r="Q502">
        <v>2015</v>
      </c>
      <c r="R502" s="9">
        <v>42312</v>
      </c>
      <c r="S502">
        <v>332</v>
      </c>
      <c r="T502">
        <v>1</v>
      </c>
      <c r="U502">
        <v>0</v>
      </c>
      <c r="V502">
        <v>0</v>
      </c>
      <c r="W502">
        <v>0</v>
      </c>
      <c r="X502">
        <f t="shared" si="65"/>
        <v>-77.050000000000011</v>
      </c>
      <c r="Y502">
        <v>-23.472999999999999</v>
      </c>
      <c r="Z502">
        <v>4.3528436389999996</v>
      </c>
      <c r="AA502" s="3">
        <f t="shared" si="59"/>
        <v>8</v>
      </c>
      <c r="AB502" s="3">
        <f t="shared" si="63"/>
        <v>4</v>
      </c>
      <c r="AD502" s="3" t="s">
        <v>2750</v>
      </c>
      <c r="AE502" s="22">
        <v>-85.86</v>
      </c>
      <c r="AF502" s="22">
        <f t="shared" si="60"/>
        <v>-85.86</v>
      </c>
      <c r="AG502" s="1">
        <v>-108.8</v>
      </c>
      <c r="AH502" s="2" t="s">
        <v>16</v>
      </c>
      <c r="AI502"/>
      <c r="AJ502" s="3">
        <f t="shared" si="61"/>
        <v>9</v>
      </c>
      <c r="AK502" s="3" t="s">
        <v>2707</v>
      </c>
      <c r="AL502">
        <v>9</v>
      </c>
      <c r="AM502" t="s">
        <v>15</v>
      </c>
    </row>
    <row r="503" spans="1:39" x14ac:dyDescent="0.3">
      <c r="A503" s="51" t="s">
        <v>1208</v>
      </c>
      <c r="B503" s="54" t="s">
        <v>1209</v>
      </c>
      <c r="C503" s="51" t="s">
        <v>2765</v>
      </c>
      <c r="D503" s="53">
        <v>0</v>
      </c>
      <c r="E503" s="53">
        <v>1</v>
      </c>
      <c r="F503" s="51" t="s">
        <v>2715</v>
      </c>
      <c r="G503" s="51" t="s">
        <v>2695</v>
      </c>
      <c r="H503" s="25" t="str">
        <f t="shared" si="64"/>
        <v>jgd</v>
      </c>
      <c r="I503" t="s">
        <v>72</v>
      </c>
      <c r="J503" t="s">
        <v>716</v>
      </c>
      <c r="K503" t="s">
        <v>717</v>
      </c>
      <c r="L503" s="25">
        <v>45.88294415</v>
      </c>
      <c r="M503" s="25">
        <v>9.0701388139999999</v>
      </c>
      <c r="N503">
        <v>5</v>
      </c>
      <c r="O503">
        <v>10</v>
      </c>
      <c r="P503">
        <v>11</v>
      </c>
      <c r="Q503">
        <v>2015</v>
      </c>
      <c r="R503" s="9">
        <v>42318</v>
      </c>
      <c r="S503">
        <v>340</v>
      </c>
      <c r="T503">
        <v>1</v>
      </c>
      <c r="U503">
        <v>0</v>
      </c>
      <c r="V503">
        <v>0</v>
      </c>
      <c r="W503">
        <v>0</v>
      </c>
      <c r="X503">
        <f t="shared" si="65"/>
        <v>-77.025000000000006</v>
      </c>
      <c r="Y503">
        <v>-23.614799999999999</v>
      </c>
      <c r="Z503">
        <v>6.5698817070000004</v>
      </c>
      <c r="AA503" s="3">
        <f t="shared" si="59"/>
        <v>8</v>
      </c>
      <c r="AB503" s="3">
        <f t="shared" si="63"/>
        <v>7</v>
      </c>
      <c r="AD503" s="3" t="s">
        <v>2754</v>
      </c>
      <c r="AE503" s="22">
        <v>-85.84</v>
      </c>
      <c r="AF503" s="22">
        <f t="shared" si="60"/>
        <v>-85.84</v>
      </c>
      <c r="AG503" s="1">
        <v>-108.8</v>
      </c>
      <c r="AH503" s="2" t="s">
        <v>16</v>
      </c>
      <c r="AI503"/>
      <c r="AJ503" s="3">
        <f t="shared" si="61"/>
        <v>9</v>
      </c>
      <c r="AK503" s="3" t="s">
        <v>2707</v>
      </c>
      <c r="AL503">
        <v>9</v>
      </c>
      <c r="AM503" t="s">
        <v>15</v>
      </c>
    </row>
    <row r="504" spans="1:39" x14ac:dyDescent="0.3">
      <c r="A504" s="51" t="s">
        <v>1950</v>
      </c>
      <c r="B504" s="54" t="s">
        <v>1951</v>
      </c>
      <c r="C504" s="51" t="s">
        <v>2765</v>
      </c>
      <c r="D504" s="53">
        <v>0</v>
      </c>
      <c r="E504" s="53">
        <v>1</v>
      </c>
      <c r="F504" s="51" t="s">
        <v>2715</v>
      </c>
      <c r="G504" s="51" t="s">
        <v>2695</v>
      </c>
      <c r="H504" s="25" t="str">
        <f t="shared" si="64"/>
        <v>jgd</v>
      </c>
      <c r="I504" t="s">
        <v>72</v>
      </c>
      <c r="J504" t="s">
        <v>1189</v>
      </c>
      <c r="K504" t="s">
        <v>1952</v>
      </c>
      <c r="L504" s="25">
        <v>46.022956319999999</v>
      </c>
      <c r="M504" s="25">
        <v>9.0005178299999997</v>
      </c>
      <c r="N504">
        <v>5</v>
      </c>
      <c r="O504">
        <v>12</v>
      </c>
      <c r="P504">
        <v>11</v>
      </c>
      <c r="Q504">
        <v>2016</v>
      </c>
      <c r="R504" s="9">
        <v>42686</v>
      </c>
      <c r="S504">
        <v>360</v>
      </c>
      <c r="T504">
        <v>1</v>
      </c>
      <c r="U504">
        <v>0</v>
      </c>
      <c r="V504">
        <v>0</v>
      </c>
      <c r="W504">
        <v>0</v>
      </c>
      <c r="X504" s="57">
        <f t="shared" si="65"/>
        <v>-77.01847325</v>
      </c>
      <c r="Y504">
        <v>-23.31</v>
      </c>
      <c r="Z504">
        <v>4.9800000000000004</v>
      </c>
      <c r="AA504" s="3">
        <f t="shared" si="59"/>
        <v>8</v>
      </c>
      <c r="AB504" s="3">
        <f t="shared" si="63"/>
        <v>5</v>
      </c>
      <c r="AD504" s="3" t="s">
        <v>2754</v>
      </c>
      <c r="AE504" s="22">
        <v>-85.834778600000007</v>
      </c>
      <c r="AF504" s="22">
        <f t="shared" si="60"/>
        <v>-85.834778600000007</v>
      </c>
      <c r="AG504" s="60" t="s">
        <v>16</v>
      </c>
      <c r="AH504" s="61" t="s">
        <v>16</v>
      </c>
      <c r="AJ504" s="3">
        <f t="shared" si="61"/>
        <v>9</v>
      </c>
      <c r="AK504" s="3" t="s">
        <v>2707</v>
      </c>
      <c r="AL504">
        <v>9</v>
      </c>
      <c r="AM504" t="s">
        <v>15</v>
      </c>
    </row>
    <row r="505" spans="1:39" x14ac:dyDescent="0.3">
      <c r="A505" s="51" t="s">
        <v>810</v>
      </c>
      <c r="B505" s="54" t="s">
        <v>811</v>
      </c>
      <c r="C505" s="51" t="s">
        <v>2765</v>
      </c>
      <c r="D505" s="53">
        <v>0</v>
      </c>
      <c r="E505" s="53">
        <v>1</v>
      </c>
      <c r="F505" s="51" t="s">
        <v>2715</v>
      </c>
      <c r="G505" s="51" t="s">
        <v>2695</v>
      </c>
      <c r="H505" s="25" t="str">
        <f t="shared" si="64"/>
        <v>jgd</v>
      </c>
      <c r="I505" t="s">
        <v>72</v>
      </c>
      <c r="J505" t="s">
        <v>804</v>
      </c>
      <c r="K505" t="s">
        <v>805</v>
      </c>
      <c r="L505" s="25">
        <v>46.05807025</v>
      </c>
      <c r="M505" s="25">
        <v>8.8965692460000003</v>
      </c>
      <c r="N505">
        <v>5</v>
      </c>
      <c r="O505">
        <v>18</v>
      </c>
      <c r="P505">
        <v>10</v>
      </c>
      <c r="Q505">
        <v>2015</v>
      </c>
      <c r="R505" s="9">
        <v>42295</v>
      </c>
      <c r="S505">
        <v>328</v>
      </c>
      <c r="T505">
        <v>1</v>
      </c>
      <c r="U505">
        <v>0</v>
      </c>
      <c r="V505">
        <v>0</v>
      </c>
      <c r="W505">
        <v>0</v>
      </c>
      <c r="X505">
        <f t="shared" si="65"/>
        <v>-76.974999999999994</v>
      </c>
      <c r="Y505">
        <v>-24.191400000000002</v>
      </c>
      <c r="Z505">
        <v>4.4349076820000004</v>
      </c>
      <c r="AA505" s="3">
        <f t="shared" si="59"/>
        <v>8</v>
      </c>
      <c r="AB505" s="3">
        <f t="shared" si="63"/>
        <v>4</v>
      </c>
      <c r="AD505" s="3" t="s">
        <v>2754</v>
      </c>
      <c r="AE505" s="22">
        <v>-85.8</v>
      </c>
      <c r="AF505" s="22">
        <f t="shared" si="60"/>
        <v>-85.8</v>
      </c>
      <c r="AG505" s="1">
        <v>-108.8</v>
      </c>
      <c r="AH505" s="2" t="s">
        <v>16</v>
      </c>
      <c r="AI505"/>
      <c r="AJ505" s="3">
        <f t="shared" si="61"/>
        <v>9</v>
      </c>
      <c r="AK505" s="3" t="s">
        <v>2707</v>
      </c>
      <c r="AL505">
        <v>9</v>
      </c>
      <c r="AM505" t="s">
        <v>15</v>
      </c>
    </row>
    <row r="506" spans="1:39" x14ac:dyDescent="0.3">
      <c r="A506" s="51" t="s">
        <v>1643</v>
      </c>
      <c r="B506" s="54" t="s">
        <v>887</v>
      </c>
      <c r="C506" s="51" t="s">
        <v>2765</v>
      </c>
      <c r="D506" s="53">
        <v>0</v>
      </c>
      <c r="E506" s="53">
        <v>1</v>
      </c>
      <c r="F506" s="51" t="s">
        <v>2715</v>
      </c>
      <c r="G506" s="51" t="s">
        <v>2695</v>
      </c>
      <c r="H506" s="25" t="str">
        <f t="shared" si="64"/>
        <v>jgd</v>
      </c>
      <c r="I506" t="s">
        <v>72</v>
      </c>
      <c r="J506" t="s">
        <v>848</v>
      </c>
      <c r="K506" t="s">
        <v>16</v>
      </c>
      <c r="L506" s="25">
        <v>46.157065090000003</v>
      </c>
      <c r="M506" s="25">
        <v>8.6878621680000006</v>
      </c>
      <c r="N506">
        <v>3</v>
      </c>
      <c r="O506">
        <v>26</v>
      </c>
      <c r="P506">
        <v>10</v>
      </c>
      <c r="Q506">
        <v>2016</v>
      </c>
      <c r="R506" s="9">
        <v>42669</v>
      </c>
      <c r="S506">
        <v>326</v>
      </c>
      <c r="T506">
        <v>1</v>
      </c>
      <c r="U506">
        <v>0</v>
      </c>
      <c r="V506">
        <v>0</v>
      </c>
      <c r="W506">
        <v>0</v>
      </c>
      <c r="X506" s="57">
        <f t="shared" si="65"/>
        <v>-76.969343624999993</v>
      </c>
      <c r="Y506">
        <v>-23.81</v>
      </c>
      <c r="Z506">
        <v>4.01</v>
      </c>
      <c r="AA506" s="3">
        <f t="shared" si="59"/>
        <v>8</v>
      </c>
      <c r="AB506" s="3">
        <f t="shared" si="63"/>
        <v>4</v>
      </c>
      <c r="AD506" s="3" t="s">
        <v>2754</v>
      </c>
      <c r="AE506" s="22">
        <v>-85.795474900000002</v>
      </c>
      <c r="AF506" s="22">
        <f t="shared" si="60"/>
        <v>-85.795474900000002</v>
      </c>
      <c r="AG506" s="60" t="s">
        <v>16</v>
      </c>
      <c r="AH506" s="61" t="s">
        <v>16</v>
      </c>
      <c r="AJ506" s="3">
        <f t="shared" si="61"/>
        <v>9</v>
      </c>
      <c r="AK506" s="3" t="s">
        <v>2707</v>
      </c>
      <c r="AL506">
        <v>9</v>
      </c>
      <c r="AM506" t="s">
        <v>15</v>
      </c>
    </row>
    <row r="507" spans="1:39" hidden="1" x14ac:dyDescent="0.3">
      <c r="A507" s="51" t="s">
        <v>563</v>
      </c>
      <c r="B507" s="54" t="s">
        <v>564</v>
      </c>
      <c r="C507" s="51" t="s">
        <v>2765</v>
      </c>
      <c r="D507" s="53">
        <v>0</v>
      </c>
      <c r="E507" s="53">
        <v>1</v>
      </c>
      <c r="F507" s="51" t="s">
        <v>2715</v>
      </c>
      <c r="G507" s="51" t="s">
        <v>2695</v>
      </c>
      <c r="H507" s="25" t="str">
        <f t="shared" si="64"/>
        <v>jgd</v>
      </c>
      <c r="I507" t="s">
        <v>385</v>
      </c>
      <c r="J507" t="s">
        <v>558</v>
      </c>
      <c r="K507" t="s">
        <v>565</v>
      </c>
      <c r="L507" s="25">
        <v>46.677284290000003</v>
      </c>
      <c r="M507" s="25">
        <v>6.2950175829999999</v>
      </c>
      <c r="N507">
        <v>5</v>
      </c>
      <c r="O507">
        <v>13</v>
      </c>
      <c r="P507">
        <v>11</v>
      </c>
      <c r="Q507">
        <v>2014</v>
      </c>
      <c r="R507" s="9">
        <v>41956</v>
      </c>
      <c r="S507">
        <v>319</v>
      </c>
      <c r="T507">
        <v>1</v>
      </c>
      <c r="U507">
        <v>0</v>
      </c>
      <c r="V507">
        <v>0</v>
      </c>
      <c r="W507">
        <v>0</v>
      </c>
      <c r="X507">
        <f t="shared" si="65"/>
        <v>-76.8125</v>
      </c>
      <c r="Y507">
        <v>-23.728000000000002</v>
      </c>
      <c r="Z507">
        <v>9.3064498990000004</v>
      </c>
      <c r="AA507" s="3">
        <f t="shared" si="59"/>
        <v>8</v>
      </c>
      <c r="AB507" s="3">
        <f t="shared" si="63"/>
        <v>9</v>
      </c>
      <c r="AD507" s="3" t="s">
        <v>2750</v>
      </c>
      <c r="AE507" s="22">
        <v>-85.67</v>
      </c>
      <c r="AF507" s="22">
        <f t="shared" si="60"/>
        <v>-85.67</v>
      </c>
      <c r="AG507" s="1">
        <v>-108.7</v>
      </c>
      <c r="AH507" s="2" t="s">
        <v>16</v>
      </c>
      <c r="AI507"/>
      <c r="AJ507" s="3">
        <f t="shared" si="61"/>
        <v>9</v>
      </c>
      <c r="AK507" s="3" t="s">
        <v>2707</v>
      </c>
      <c r="AL507">
        <v>9</v>
      </c>
      <c r="AM507" t="s">
        <v>15</v>
      </c>
    </row>
    <row r="508" spans="1:39" x14ac:dyDescent="0.3">
      <c r="A508" s="51" t="s">
        <v>1509</v>
      </c>
      <c r="B508" s="54" t="s">
        <v>1510</v>
      </c>
      <c r="C508" s="51" t="s">
        <v>2765</v>
      </c>
      <c r="D508" s="53">
        <v>0</v>
      </c>
      <c r="E508" s="53">
        <v>1</v>
      </c>
      <c r="F508" s="51" t="s">
        <v>2715</v>
      </c>
      <c r="G508" s="51" t="s">
        <v>2695</v>
      </c>
      <c r="H508" s="25" t="str">
        <f t="shared" si="64"/>
        <v>jgd</v>
      </c>
      <c r="I508" t="s">
        <v>72</v>
      </c>
      <c r="J508" t="s">
        <v>73</v>
      </c>
      <c r="K508" t="s">
        <v>1511</v>
      </c>
      <c r="L508" s="25">
        <v>46.063052159999998</v>
      </c>
      <c r="M508" s="25">
        <v>9.0469147139999997</v>
      </c>
      <c r="N508">
        <v>3</v>
      </c>
      <c r="O508">
        <v>5</v>
      </c>
      <c r="P508">
        <v>11</v>
      </c>
      <c r="Q508">
        <v>2016</v>
      </c>
      <c r="R508" s="9">
        <v>42679</v>
      </c>
      <c r="S508">
        <v>345</v>
      </c>
      <c r="T508">
        <v>1</v>
      </c>
      <c r="U508">
        <v>0</v>
      </c>
      <c r="V508">
        <v>0</v>
      </c>
      <c r="W508">
        <v>0</v>
      </c>
      <c r="X508" s="57">
        <f t="shared" si="65"/>
        <v>-76.764276749999993</v>
      </c>
      <c r="Y508">
        <v>-23.63</v>
      </c>
      <c r="Z508">
        <v>9.7899999999999991</v>
      </c>
      <c r="AA508" s="3">
        <f t="shared" si="59"/>
        <v>8</v>
      </c>
      <c r="AB508" s="3">
        <f t="shared" si="63"/>
        <v>10</v>
      </c>
      <c r="AD508" s="3" t="s">
        <v>2754</v>
      </c>
      <c r="AE508" s="22">
        <v>-85.631421399999994</v>
      </c>
      <c r="AF508" s="22">
        <f t="shared" si="60"/>
        <v>-85.631421399999994</v>
      </c>
      <c r="AG508" s="60" t="s">
        <v>16</v>
      </c>
      <c r="AH508" s="61" t="s">
        <v>16</v>
      </c>
      <c r="AJ508" s="3">
        <f t="shared" si="61"/>
        <v>9</v>
      </c>
      <c r="AK508" s="3" t="s">
        <v>2707</v>
      </c>
      <c r="AL508">
        <v>9</v>
      </c>
      <c r="AM508" t="s">
        <v>15</v>
      </c>
    </row>
    <row r="509" spans="1:39" x14ac:dyDescent="0.3">
      <c r="A509" s="51" t="s">
        <v>942</v>
      </c>
      <c r="B509" s="54" t="s">
        <v>943</v>
      </c>
      <c r="C509" s="51" t="s">
        <v>2765</v>
      </c>
      <c r="D509" s="53">
        <v>0</v>
      </c>
      <c r="E509" s="53">
        <v>1</v>
      </c>
      <c r="F509" s="51" t="s">
        <v>2715</v>
      </c>
      <c r="G509" s="51" t="s">
        <v>2695</v>
      </c>
      <c r="H509" s="25" t="str">
        <f t="shared" si="64"/>
        <v>jgd</v>
      </c>
      <c r="I509" t="s">
        <v>72</v>
      </c>
      <c r="J509" t="s">
        <v>931</v>
      </c>
      <c r="K509" t="s">
        <v>935</v>
      </c>
      <c r="L509" s="25">
        <v>46.049716019999998</v>
      </c>
      <c r="M509" s="25">
        <v>8.8766540700000007</v>
      </c>
      <c r="N509">
        <v>5</v>
      </c>
      <c r="O509">
        <v>1</v>
      </c>
      <c r="P509">
        <v>11</v>
      </c>
      <c r="Q509">
        <v>2015</v>
      </c>
      <c r="R509" s="9">
        <v>42309</v>
      </c>
      <c r="S509">
        <v>290</v>
      </c>
      <c r="T509">
        <v>1</v>
      </c>
      <c r="U509">
        <v>0</v>
      </c>
      <c r="V509">
        <v>0</v>
      </c>
      <c r="W509">
        <v>0</v>
      </c>
      <c r="X509">
        <f t="shared" si="65"/>
        <v>-76.762499999999989</v>
      </c>
      <c r="Y509">
        <v>-24.446200000000001</v>
      </c>
      <c r="Z509">
        <v>8.7277832340000003</v>
      </c>
      <c r="AA509" s="3">
        <f t="shared" si="59"/>
        <v>8</v>
      </c>
      <c r="AB509" s="3">
        <f t="shared" si="63"/>
        <v>9</v>
      </c>
      <c r="AD509" s="3" t="s">
        <v>2754</v>
      </c>
      <c r="AE509" s="22">
        <v>-85.63</v>
      </c>
      <c r="AF509" s="22">
        <f t="shared" si="60"/>
        <v>-85.63</v>
      </c>
      <c r="AG509" s="1">
        <v>-108.6</v>
      </c>
      <c r="AH509" s="2" t="s">
        <v>16</v>
      </c>
      <c r="AI509"/>
      <c r="AJ509" s="3">
        <f t="shared" si="61"/>
        <v>9</v>
      </c>
      <c r="AK509" s="3" t="s">
        <v>2707</v>
      </c>
      <c r="AL509">
        <v>9</v>
      </c>
      <c r="AM509" t="s">
        <v>15</v>
      </c>
    </row>
    <row r="510" spans="1:39" hidden="1" x14ac:dyDescent="0.3">
      <c r="A510" s="51" t="s">
        <v>1357</v>
      </c>
      <c r="B510" s="54" t="s">
        <v>1358</v>
      </c>
      <c r="C510" s="51" t="s">
        <v>2765</v>
      </c>
      <c r="D510" s="53">
        <v>0</v>
      </c>
      <c r="E510" s="53">
        <v>1</v>
      </c>
      <c r="F510" s="51" t="s">
        <v>2715</v>
      </c>
      <c r="G510" s="51" t="s">
        <v>2695</v>
      </c>
      <c r="H510" s="25" t="str">
        <f t="shared" si="64"/>
        <v>jgd</v>
      </c>
      <c r="I510" t="s">
        <v>30</v>
      </c>
      <c r="J510" t="s">
        <v>268</v>
      </c>
      <c r="K510" t="s">
        <v>1359</v>
      </c>
      <c r="L510" s="25">
        <v>46.764720410000002</v>
      </c>
      <c r="M510" s="25">
        <v>7.0774120480000002</v>
      </c>
      <c r="N510">
        <v>5</v>
      </c>
      <c r="O510">
        <v>12</v>
      </c>
      <c r="P510">
        <v>11</v>
      </c>
      <c r="Q510">
        <v>2015</v>
      </c>
      <c r="R510" s="9">
        <v>42320</v>
      </c>
      <c r="S510">
        <v>343</v>
      </c>
      <c r="T510">
        <v>1</v>
      </c>
      <c r="U510">
        <v>0</v>
      </c>
      <c r="V510">
        <v>0</v>
      </c>
      <c r="W510">
        <v>0</v>
      </c>
      <c r="X510">
        <f t="shared" si="65"/>
        <v>-76.662499999999994</v>
      </c>
      <c r="Y510">
        <v>-24.52174814</v>
      </c>
      <c r="Z510">
        <v>5.7539430449999998</v>
      </c>
      <c r="AA510" s="3">
        <f t="shared" si="59"/>
        <v>8</v>
      </c>
      <c r="AB510" s="3">
        <f t="shared" si="63"/>
        <v>6</v>
      </c>
      <c r="AD510" s="3" t="s">
        <v>2751</v>
      </c>
      <c r="AE510" s="22">
        <v>-85.55</v>
      </c>
      <c r="AF510" s="22">
        <f t="shared" si="60"/>
        <v>-85.55</v>
      </c>
      <c r="AG510" s="1">
        <v>-108.5</v>
      </c>
      <c r="AH510" s="2" t="s">
        <v>16</v>
      </c>
      <c r="AI510"/>
      <c r="AJ510" s="3">
        <f t="shared" si="61"/>
        <v>9</v>
      </c>
      <c r="AK510" s="3" t="s">
        <v>2707</v>
      </c>
      <c r="AL510">
        <v>9</v>
      </c>
      <c r="AM510" t="s">
        <v>15</v>
      </c>
    </row>
    <row r="511" spans="1:39" x14ac:dyDescent="0.3">
      <c r="A511" s="51" t="s">
        <v>738</v>
      </c>
      <c r="B511" s="54" t="s">
        <v>739</v>
      </c>
      <c r="C511" s="51" t="s">
        <v>2765</v>
      </c>
      <c r="D511" s="53">
        <v>0</v>
      </c>
      <c r="E511" s="53">
        <v>1</v>
      </c>
      <c r="F511" s="51" t="s">
        <v>2715</v>
      </c>
      <c r="G511" s="51" t="s">
        <v>2695</v>
      </c>
      <c r="H511" s="25" t="str">
        <f t="shared" si="64"/>
        <v>jgd</v>
      </c>
      <c r="I511" t="s">
        <v>72</v>
      </c>
      <c r="J511" t="s">
        <v>113</v>
      </c>
      <c r="K511" t="s">
        <v>740</v>
      </c>
      <c r="L511" s="25">
        <v>46.214636400000003</v>
      </c>
      <c r="M511" s="25">
        <v>8.6885343899999992</v>
      </c>
      <c r="N511">
        <v>5</v>
      </c>
      <c r="O511">
        <v>18</v>
      </c>
      <c r="P511">
        <v>10</v>
      </c>
      <c r="Q511">
        <v>2015</v>
      </c>
      <c r="R511" s="9">
        <v>42295</v>
      </c>
      <c r="S511">
        <v>375</v>
      </c>
      <c r="T511">
        <v>1</v>
      </c>
      <c r="U511">
        <v>0</v>
      </c>
      <c r="V511">
        <v>0</v>
      </c>
      <c r="W511">
        <v>0</v>
      </c>
      <c r="X511">
        <f t="shared" si="65"/>
        <v>-76.575000000000017</v>
      </c>
      <c r="Y511">
        <v>-23.77512076</v>
      </c>
      <c r="Z511">
        <v>3.7404578640000001</v>
      </c>
      <c r="AA511" s="3">
        <f t="shared" si="59"/>
        <v>8</v>
      </c>
      <c r="AB511" s="3">
        <f t="shared" si="63"/>
        <v>4</v>
      </c>
      <c r="AD511" s="3" t="s">
        <v>2754</v>
      </c>
      <c r="AE511" s="22">
        <v>-85.48</v>
      </c>
      <c r="AF511" s="22">
        <f t="shared" si="60"/>
        <v>-85.48</v>
      </c>
      <c r="AG511" s="1">
        <v>-108.5</v>
      </c>
      <c r="AH511" s="2" t="s">
        <v>16</v>
      </c>
      <c r="AI511"/>
      <c r="AJ511" s="3">
        <f t="shared" si="61"/>
        <v>9</v>
      </c>
      <c r="AK511" s="3" t="s">
        <v>2707</v>
      </c>
      <c r="AL511">
        <v>9</v>
      </c>
      <c r="AM511" t="s">
        <v>15</v>
      </c>
    </row>
    <row r="512" spans="1:39" hidden="1" x14ac:dyDescent="0.3">
      <c r="A512" s="51" t="s">
        <v>682</v>
      </c>
      <c r="B512" s="54" t="s">
        <v>93</v>
      </c>
      <c r="C512" s="51" t="s">
        <v>2765</v>
      </c>
      <c r="D512" s="53">
        <v>0</v>
      </c>
      <c r="E512" s="53">
        <v>1</v>
      </c>
      <c r="F512" s="51" t="s">
        <v>2715</v>
      </c>
      <c r="G512" s="51" t="s">
        <v>2695</v>
      </c>
      <c r="H512" s="25" t="str">
        <f t="shared" si="64"/>
        <v>jgd</v>
      </c>
      <c r="I512" t="s">
        <v>13</v>
      </c>
      <c r="J512" t="s">
        <v>519</v>
      </c>
      <c r="K512" t="s">
        <v>28</v>
      </c>
      <c r="L512" s="25">
        <v>47.088725050000001</v>
      </c>
      <c r="M512" s="25">
        <v>6.9028200359999996</v>
      </c>
      <c r="N512">
        <v>5</v>
      </c>
      <c r="O512">
        <v>10</v>
      </c>
      <c r="P512">
        <v>10</v>
      </c>
      <c r="Q512">
        <v>2015</v>
      </c>
      <c r="R512" s="9">
        <v>42287</v>
      </c>
      <c r="S512">
        <v>256</v>
      </c>
      <c r="T512">
        <v>1</v>
      </c>
      <c r="U512">
        <v>0</v>
      </c>
      <c r="V512">
        <v>0</v>
      </c>
      <c r="W512">
        <v>0</v>
      </c>
      <c r="X512">
        <f t="shared" si="65"/>
        <v>-76.5625</v>
      </c>
      <c r="Y512">
        <v>-22.658000000000001</v>
      </c>
      <c r="Z512">
        <v>7.6557207829999996</v>
      </c>
      <c r="AA512" s="3">
        <f t="shared" si="59"/>
        <v>8</v>
      </c>
      <c r="AB512" s="3">
        <f t="shared" si="63"/>
        <v>8</v>
      </c>
      <c r="AD512" s="3" t="s">
        <v>2750</v>
      </c>
      <c r="AE512" s="22">
        <v>-85.47</v>
      </c>
      <c r="AF512" s="22">
        <f t="shared" si="60"/>
        <v>-85.47</v>
      </c>
      <c r="AG512" s="1">
        <v>-108.5</v>
      </c>
      <c r="AH512" s="2" t="s">
        <v>16</v>
      </c>
      <c r="AI512"/>
      <c r="AJ512" s="3">
        <f t="shared" si="61"/>
        <v>9</v>
      </c>
      <c r="AK512" s="3" t="s">
        <v>2707</v>
      </c>
      <c r="AL512">
        <v>9</v>
      </c>
      <c r="AM512" t="s">
        <v>15</v>
      </c>
    </row>
    <row r="513" spans="1:39" x14ac:dyDescent="0.3">
      <c r="A513" s="51" t="s">
        <v>748</v>
      </c>
      <c r="B513" s="54" t="s">
        <v>749</v>
      </c>
      <c r="C513" s="51" t="s">
        <v>2765</v>
      </c>
      <c r="D513" s="53">
        <v>0</v>
      </c>
      <c r="E513" s="53">
        <v>1</v>
      </c>
      <c r="F513" s="51" t="s">
        <v>2715</v>
      </c>
      <c r="G513" s="51" t="s">
        <v>2695</v>
      </c>
      <c r="H513" s="25" t="str">
        <f t="shared" si="64"/>
        <v>jgd</v>
      </c>
      <c r="I513" t="s">
        <v>72</v>
      </c>
      <c r="J513" t="s">
        <v>750</v>
      </c>
      <c r="K513" t="s">
        <v>114</v>
      </c>
      <c r="L513" s="25">
        <v>46.241667960000001</v>
      </c>
      <c r="M513" s="25">
        <v>8.6912944139999997</v>
      </c>
      <c r="N513">
        <v>6</v>
      </c>
      <c r="O513">
        <v>4</v>
      </c>
      <c r="P513">
        <v>11</v>
      </c>
      <c r="Q513">
        <v>2015</v>
      </c>
      <c r="R513" s="9">
        <v>42312</v>
      </c>
      <c r="S513">
        <v>282</v>
      </c>
      <c r="T513">
        <v>1</v>
      </c>
      <c r="U513">
        <v>0</v>
      </c>
      <c r="V513">
        <v>0</v>
      </c>
      <c r="W513">
        <v>0</v>
      </c>
      <c r="X513">
        <f t="shared" si="65"/>
        <v>-76.5</v>
      </c>
      <c r="Y513">
        <v>-24.322665010000001</v>
      </c>
      <c r="Z513">
        <v>5.144553449</v>
      </c>
      <c r="AA513" s="3">
        <f t="shared" si="59"/>
        <v>8</v>
      </c>
      <c r="AB513" s="3">
        <f t="shared" si="63"/>
        <v>5</v>
      </c>
      <c r="AD513" s="3" t="s">
        <v>2754</v>
      </c>
      <c r="AE513" s="22">
        <v>-85.42</v>
      </c>
      <c r="AF513" s="22">
        <f t="shared" si="60"/>
        <v>-85.42</v>
      </c>
      <c r="AG513" s="1">
        <v>-108.4</v>
      </c>
      <c r="AH513" s="2" t="s">
        <v>16</v>
      </c>
      <c r="AI513"/>
      <c r="AJ513" s="3">
        <f t="shared" si="61"/>
        <v>9</v>
      </c>
      <c r="AK513" s="3" t="s">
        <v>2707</v>
      </c>
      <c r="AL513">
        <v>9</v>
      </c>
      <c r="AM513" t="s">
        <v>15</v>
      </c>
    </row>
    <row r="514" spans="1:39" x14ac:dyDescent="0.3">
      <c r="A514" s="51" t="s">
        <v>1676</v>
      </c>
      <c r="B514" s="54" t="s">
        <v>1677</v>
      </c>
      <c r="C514" s="51" t="s">
        <v>2765</v>
      </c>
      <c r="D514" s="53">
        <v>0</v>
      </c>
      <c r="E514" s="53">
        <v>1</v>
      </c>
      <c r="F514" s="51" t="s">
        <v>2715</v>
      </c>
      <c r="G514" s="51" t="s">
        <v>2695</v>
      </c>
      <c r="H514" s="25" t="str">
        <f t="shared" si="64"/>
        <v>jgd</v>
      </c>
      <c r="I514" t="s">
        <v>72</v>
      </c>
      <c r="J514" t="s">
        <v>931</v>
      </c>
      <c r="K514" t="s">
        <v>16</v>
      </c>
      <c r="L514" s="25">
        <v>46.055440760000003</v>
      </c>
      <c r="M514" s="25">
        <v>8.8806686520000007</v>
      </c>
      <c r="N514">
        <v>2</v>
      </c>
      <c r="O514">
        <v>29</v>
      </c>
      <c r="P514">
        <v>10</v>
      </c>
      <c r="Q514">
        <v>2016</v>
      </c>
      <c r="R514" s="9">
        <v>42672</v>
      </c>
      <c r="S514">
        <v>300</v>
      </c>
      <c r="T514">
        <v>1</v>
      </c>
      <c r="U514">
        <v>0</v>
      </c>
      <c r="V514">
        <v>0</v>
      </c>
      <c r="W514">
        <v>0</v>
      </c>
      <c r="X514" s="57">
        <f t="shared" si="65"/>
        <v>-76.493524124999993</v>
      </c>
      <c r="Y514">
        <v>-22.45</v>
      </c>
      <c r="Z514">
        <v>5.7</v>
      </c>
      <c r="AA514" s="3">
        <f t="shared" si="59"/>
        <v>8</v>
      </c>
      <c r="AB514" s="3">
        <f t="shared" si="63"/>
        <v>6</v>
      </c>
      <c r="AD514" s="3" t="s">
        <v>2754</v>
      </c>
      <c r="AE514" s="22">
        <v>-85.414819300000005</v>
      </c>
      <c r="AF514" s="22">
        <f t="shared" si="60"/>
        <v>-85.414819300000005</v>
      </c>
      <c r="AG514" s="60" t="s">
        <v>16</v>
      </c>
      <c r="AH514" s="61" t="s">
        <v>16</v>
      </c>
      <c r="AJ514" s="3">
        <f t="shared" si="61"/>
        <v>9</v>
      </c>
      <c r="AK514" s="3" t="s">
        <v>2707</v>
      </c>
      <c r="AL514">
        <v>9</v>
      </c>
      <c r="AM514" t="s">
        <v>15</v>
      </c>
    </row>
    <row r="515" spans="1:39" x14ac:dyDescent="0.3">
      <c r="A515" s="51" t="s">
        <v>1654</v>
      </c>
      <c r="B515" s="54" t="s">
        <v>1655</v>
      </c>
      <c r="C515" s="51" t="s">
        <v>2765</v>
      </c>
      <c r="D515" s="53">
        <v>0</v>
      </c>
      <c r="E515" s="53">
        <v>1</v>
      </c>
      <c r="F515" s="51" t="s">
        <v>2715</v>
      </c>
      <c r="G515" s="51" t="s">
        <v>2695</v>
      </c>
      <c r="H515" s="25" t="str">
        <f t="shared" si="64"/>
        <v>jgd</v>
      </c>
      <c r="I515" t="s">
        <v>72</v>
      </c>
      <c r="J515" t="s">
        <v>931</v>
      </c>
      <c r="K515" t="s">
        <v>16</v>
      </c>
      <c r="L515" s="25">
        <v>46.055440760000003</v>
      </c>
      <c r="M515" s="25">
        <v>8.8806686520000007</v>
      </c>
      <c r="N515">
        <v>2</v>
      </c>
      <c r="O515">
        <v>6</v>
      </c>
      <c r="P515">
        <v>11</v>
      </c>
      <c r="Q515">
        <v>2016</v>
      </c>
      <c r="R515" s="9">
        <v>42680</v>
      </c>
      <c r="S515">
        <v>320</v>
      </c>
      <c r="T515">
        <v>1</v>
      </c>
      <c r="U515">
        <v>0</v>
      </c>
      <c r="V515">
        <v>0</v>
      </c>
      <c r="W515">
        <v>0</v>
      </c>
      <c r="X515" s="57">
        <f t="shared" si="65"/>
        <v>-76.371420000000001</v>
      </c>
      <c r="Y515">
        <v>-24.61</v>
      </c>
      <c r="Z515">
        <v>3.89</v>
      </c>
      <c r="AA515" s="3">
        <f t="shared" si="59"/>
        <v>8</v>
      </c>
      <c r="AB515" s="3">
        <f t="shared" si="63"/>
        <v>4</v>
      </c>
      <c r="AD515" s="3" t="s">
        <v>2754</v>
      </c>
      <c r="AE515" s="22">
        <v>-85.317136000000005</v>
      </c>
      <c r="AF515" s="22">
        <f t="shared" si="60"/>
        <v>-85.317136000000005</v>
      </c>
      <c r="AG515" s="60" t="s">
        <v>16</v>
      </c>
      <c r="AH515" s="61" t="s">
        <v>16</v>
      </c>
      <c r="AJ515" s="3">
        <f t="shared" si="61"/>
        <v>9</v>
      </c>
      <c r="AK515" s="3" t="s">
        <v>2707</v>
      </c>
      <c r="AL515">
        <v>9</v>
      </c>
      <c r="AM515" t="s">
        <v>15</v>
      </c>
    </row>
    <row r="516" spans="1:39" hidden="1" x14ac:dyDescent="0.3">
      <c r="A516" s="51" t="s">
        <v>1059</v>
      </c>
      <c r="B516" s="54" t="s">
        <v>1060</v>
      </c>
      <c r="C516" s="51" t="s">
        <v>2765</v>
      </c>
      <c r="D516" s="53">
        <v>0</v>
      </c>
      <c r="E516" s="53">
        <v>1</v>
      </c>
      <c r="F516" s="51" t="s">
        <v>2715</v>
      </c>
      <c r="G516" s="51" t="s">
        <v>2695</v>
      </c>
      <c r="H516" s="25" t="str">
        <f t="shared" si="64"/>
        <v>jgd</v>
      </c>
      <c r="I516" t="s">
        <v>13</v>
      </c>
      <c r="J516" t="s">
        <v>1057</v>
      </c>
      <c r="K516" t="s">
        <v>1061</v>
      </c>
      <c r="L516" s="25">
        <v>46.929643640000002</v>
      </c>
      <c r="M516" s="25">
        <v>6.5580390340000001</v>
      </c>
      <c r="N516">
        <v>6</v>
      </c>
      <c r="O516">
        <v>17</v>
      </c>
      <c r="P516">
        <v>11</v>
      </c>
      <c r="Q516">
        <v>2015</v>
      </c>
      <c r="R516" s="9">
        <v>42325</v>
      </c>
      <c r="S516">
        <v>297</v>
      </c>
      <c r="T516">
        <v>1</v>
      </c>
      <c r="U516">
        <v>0</v>
      </c>
      <c r="V516">
        <v>0</v>
      </c>
      <c r="W516">
        <v>0</v>
      </c>
      <c r="X516">
        <f t="shared" si="65"/>
        <v>-75.950000000000017</v>
      </c>
      <c r="Y516">
        <v>-23.178249999999998</v>
      </c>
      <c r="Z516">
        <v>5.7302107219999998</v>
      </c>
      <c r="AA516" s="3">
        <f t="shared" si="59"/>
        <v>8</v>
      </c>
      <c r="AB516" s="3">
        <f t="shared" si="63"/>
        <v>6</v>
      </c>
      <c r="AD516" s="3" t="s">
        <v>2750</v>
      </c>
      <c r="AE516" s="22">
        <v>-84.98</v>
      </c>
      <c r="AF516" s="22">
        <f t="shared" si="60"/>
        <v>-84.98</v>
      </c>
      <c r="AG516" s="1">
        <v>-107.9</v>
      </c>
      <c r="AH516" s="2" t="s">
        <v>16</v>
      </c>
      <c r="AI516"/>
      <c r="AJ516" s="3">
        <f t="shared" si="61"/>
        <v>8</v>
      </c>
      <c r="AK516" s="3" t="s">
        <v>2706</v>
      </c>
      <c r="AL516">
        <v>8</v>
      </c>
      <c r="AM516" t="s">
        <v>15</v>
      </c>
    </row>
    <row r="517" spans="1:39" hidden="1" x14ac:dyDescent="0.3">
      <c r="A517" s="51" t="s">
        <v>365</v>
      </c>
      <c r="B517" s="54" t="s">
        <v>366</v>
      </c>
      <c r="C517" s="51" t="s">
        <v>2765</v>
      </c>
      <c r="D517" s="53">
        <v>0</v>
      </c>
      <c r="E517" s="53">
        <v>1</v>
      </c>
      <c r="F517" s="51" t="s">
        <v>2715</v>
      </c>
      <c r="G517" s="51" t="s">
        <v>2695</v>
      </c>
      <c r="H517" s="25" t="str">
        <f t="shared" si="64"/>
        <v>jgd</v>
      </c>
      <c r="I517" t="s">
        <v>30</v>
      </c>
      <c r="J517" t="s">
        <v>367</v>
      </c>
      <c r="K517" t="s">
        <v>368</v>
      </c>
      <c r="L517" s="25">
        <v>46.537521609999999</v>
      </c>
      <c r="M517" s="25">
        <v>6.9656061490000001</v>
      </c>
      <c r="N517">
        <v>3</v>
      </c>
      <c r="O517">
        <v>3</v>
      </c>
      <c r="P517">
        <v>11</v>
      </c>
      <c r="Q517">
        <v>2014</v>
      </c>
      <c r="R517" s="9">
        <v>41946</v>
      </c>
      <c r="S517">
        <v>318</v>
      </c>
      <c r="T517">
        <v>1</v>
      </c>
      <c r="U517">
        <v>0</v>
      </c>
      <c r="V517">
        <v>0</v>
      </c>
      <c r="W517">
        <v>0</v>
      </c>
      <c r="X517">
        <f t="shared" si="65"/>
        <v>-75.924999999999983</v>
      </c>
      <c r="Y517" t="s">
        <v>16</v>
      </c>
      <c r="Z517" t="s">
        <v>16</v>
      </c>
      <c r="AA517" s="3">
        <f t="shared" si="59"/>
        <v>8</v>
      </c>
      <c r="AD517" s="3" t="s">
        <v>2752</v>
      </c>
      <c r="AE517" s="22">
        <v>-84.96</v>
      </c>
      <c r="AF517" s="22">
        <f t="shared" si="60"/>
        <v>-84.96</v>
      </c>
      <c r="AG517" s="1">
        <v>-107.9</v>
      </c>
      <c r="AH517" s="2" t="s">
        <v>16</v>
      </c>
      <c r="AI517"/>
      <c r="AJ517" s="3">
        <f t="shared" si="61"/>
        <v>8</v>
      </c>
      <c r="AK517" s="3" t="s">
        <v>2706</v>
      </c>
      <c r="AL517">
        <v>8</v>
      </c>
      <c r="AM517" t="s">
        <v>15</v>
      </c>
    </row>
    <row r="518" spans="1:39" x14ac:dyDescent="0.3">
      <c r="A518" s="51" t="s">
        <v>1194</v>
      </c>
      <c r="B518" s="54" t="s">
        <v>1195</v>
      </c>
      <c r="C518" s="51" t="s">
        <v>2765</v>
      </c>
      <c r="D518" s="53">
        <v>0</v>
      </c>
      <c r="E518" s="53">
        <v>1</v>
      </c>
      <c r="F518" s="51" t="s">
        <v>2715</v>
      </c>
      <c r="G518" s="51" t="s">
        <v>2695</v>
      </c>
      <c r="H518" s="25" t="str">
        <f t="shared" si="64"/>
        <v>jgd</v>
      </c>
      <c r="I518" t="s">
        <v>72</v>
      </c>
      <c r="J518" t="s">
        <v>708</v>
      </c>
      <c r="K518" t="s">
        <v>709</v>
      </c>
      <c r="L518" s="25">
        <v>46.524995359999998</v>
      </c>
      <c r="M518" s="25">
        <v>8.5755607749999996</v>
      </c>
      <c r="N518">
        <v>5</v>
      </c>
      <c r="O518">
        <v>18</v>
      </c>
      <c r="P518">
        <v>10</v>
      </c>
      <c r="Q518">
        <v>2015</v>
      </c>
      <c r="R518" s="9">
        <v>42295</v>
      </c>
      <c r="S518">
        <v>330</v>
      </c>
      <c r="T518">
        <v>1</v>
      </c>
      <c r="U518">
        <v>0</v>
      </c>
      <c r="V518">
        <v>0</v>
      </c>
      <c r="W518">
        <v>0</v>
      </c>
      <c r="X518">
        <f t="shared" si="65"/>
        <v>-75.900000000000006</v>
      </c>
      <c r="Y518">
        <v>-24.593800000000002</v>
      </c>
      <c r="Z518">
        <v>3.7895234439999999</v>
      </c>
      <c r="AA518" s="3">
        <f t="shared" si="59"/>
        <v>8</v>
      </c>
      <c r="AB518" s="3">
        <f t="shared" ref="AB518:AB549" si="66">ROUND(Z518,0)</f>
        <v>4</v>
      </c>
      <c r="AD518" s="3" t="s">
        <v>2754</v>
      </c>
      <c r="AE518" s="22">
        <v>-84.94</v>
      </c>
      <c r="AF518" s="22">
        <f t="shared" si="60"/>
        <v>-84.94</v>
      </c>
      <c r="AG518" s="1">
        <v>-107.9</v>
      </c>
      <c r="AH518" s="2" t="s">
        <v>16</v>
      </c>
      <c r="AI518"/>
      <c r="AJ518" s="3">
        <f t="shared" si="61"/>
        <v>8</v>
      </c>
      <c r="AK518" s="3" t="s">
        <v>2706</v>
      </c>
      <c r="AL518">
        <v>8</v>
      </c>
      <c r="AM518" t="s">
        <v>15</v>
      </c>
    </row>
    <row r="519" spans="1:39" x14ac:dyDescent="0.3">
      <c r="A519" s="51" t="s">
        <v>808</v>
      </c>
      <c r="B519" s="54" t="s">
        <v>809</v>
      </c>
      <c r="C519" s="51" t="s">
        <v>2765</v>
      </c>
      <c r="D519" s="53">
        <v>0</v>
      </c>
      <c r="E519" s="53">
        <v>1</v>
      </c>
      <c r="F519" s="51" t="s">
        <v>2715</v>
      </c>
      <c r="G519" s="51" t="s">
        <v>2695</v>
      </c>
      <c r="H519" s="25" t="str">
        <f t="shared" si="64"/>
        <v>jgd</v>
      </c>
      <c r="I519" t="s">
        <v>72</v>
      </c>
      <c r="J519" t="s">
        <v>804</v>
      </c>
      <c r="K519" t="s">
        <v>805</v>
      </c>
      <c r="L519" s="25">
        <v>46.056275659999997</v>
      </c>
      <c r="M519" s="25">
        <v>8.8961982810000002</v>
      </c>
      <c r="N519">
        <v>5</v>
      </c>
      <c r="O519">
        <v>17</v>
      </c>
      <c r="P519">
        <v>10</v>
      </c>
      <c r="Q519">
        <v>2015</v>
      </c>
      <c r="R519" s="9">
        <v>42294</v>
      </c>
      <c r="S519">
        <v>309</v>
      </c>
      <c r="T519">
        <v>1</v>
      </c>
      <c r="U519">
        <v>0</v>
      </c>
      <c r="V519">
        <v>0</v>
      </c>
      <c r="W519">
        <v>0</v>
      </c>
      <c r="X519">
        <f t="shared" si="65"/>
        <v>-75.862499999999983</v>
      </c>
      <c r="Y519">
        <v>-24.131399999999999</v>
      </c>
      <c r="Z519">
        <v>7.4063768049999998</v>
      </c>
      <c r="AA519" s="3">
        <f t="shared" si="59"/>
        <v>8</v>
      </c>
      <c r="AB519" s="3">
        <f t="shared" si="66"/>
        <v>7</v>
      </c>
      <c r="AD519" s="3" t="s">
        <v>2754</v>
      </c>
      <c r="AE519" s="22">
        <v>-84.91</v>
      </c>
      <c r="AF519" s="22">
        <f t="shared" si="60"/>
        <v>-84.91</v>
      </c>
      <c r="AG519" s="1">
        <v>-107.9</v>
      </c>
      <c r="AH519" s="2" t="s">
        <v>16</v>
      </c>
      <c r="AI519"/>
      <c r="AJ519" s="3">
        <f t="shared" si="61"/>
        <v>8</v>
      </c>
      <c r="AK519" s="3" t="s">
        <v>2706</v>
      </c>
      <c r="AL519">
        <v>8</v>
      </c>
      <c r="AM519" t="s">
        <v>15</v>
      </c>
    </row>
    <row r="520" spans="1:39" x14ac:dyDescent="0.3">
      <c r="A520" s="51" t="s">
        <v>1167</v>
      </c>
      <c r="B520" s="54" t="s">
        <v>1168</v>
      </c>
      <c r="C520" s="51" t="s">
        <v>2765</v>
      </c>
      <c r="D520" s="53">
        <v>0</v>
      </c>
      <c r="E520" s="53">
        <v>1</v>
      </c>
      <c r="F520" s="51" t="s">
        <v>2715</v>
      </c>
      <c r="G520" s="51" t="s">
        <v>2695</v>
      </c>
      <c r="H520" s="25" t="str">
        <f t="shared" si="64"/>
        <v>jgd</v>
      </c>
      <c r="I520" t="s">
        <v>72</v>
      </c>
      <c r="J520" t="s">
        <v>298</v>
      </c>
      <c r="K520" t="s">
        <v>1166</v>
      </c>
      <c r="L520" s="25">
        <v>46.138003550000001</v>
      </c>
      <c r="M520" s="25">
        <v>8.9313852580000006</v>
      </c>
      <c r="N520">
        <v>5</v>
      </c>
      <c r="O520">
        <v>29</v>
      </c>
      <c r="P520">
        <v>10</v>
      </c>
      <c r="Q520">
        <v>2015</v>
      </c>
      <c r="R520" s="9">
        <v>42306</v>
      </c>
      <c r="S520">
        <v>295</v>
      </c>
      <c r="T520">
        <v>1</v>
      </c>
      <c r="U520">
        <v>0</v>
      </c>
      <c r="V520">
        <v>0</v>
      </c>
      <c r="W520">
        <v>0</v>
      </c>
      <c r="X520">
        <f t="shared" si="65"/>
        <v>-75.824999999999989</v>
      </c>
      <c r="Y520">
        <v>-24.238067000000001</v>
      </c>
      <c r="Z520">
        <v>5.2227978259999999</v>
      </c>
      <c r="AA520" s="3">
        <f t="shared" si="59"/>
        <v>8</v>
      </c>
      <c r="AB520" s="3">
        <f t="shared" si="66"/>
        <v>5</v>
      </c>
      <c r="AD520" s="3" t="s">
        <v>2754</v>
      </c>
      <c r="AE520" s="22">
        <v>-84.88</v>
      </c>
      <c r="AF520" s="22">
        <f t="shared" si="60"/>
        <v>-84.88</v>
      </c>
      <c r="AG520" s="1">
        <v>-107.8</v>
      </c>
      <c r="AH520" s="2" t="s">
        <v>16</v>
      </c>
      <c r="AI520"/>
      <c r="AJ520" s="3">
        <f t="shared" si="61"/>
        <v>8</v>
      </c>
      <c r="AK520" s="3" t="s">
        <v>2706</v>
      </c>
      <c r="AL520">
        <v>8</v>
      </c>
      <c r="AM520" t="s">
        <v>15</v>
      </c>
    </row>
    <row r="521" spans="1:39" hidden="1" x14ac:dyDescent="0.3">
      <c r="A521" s="51" t="s">
        <v>483</v>
      </c>
      <c r="B521" s="54" t="s">
        <v>484</v>
      </c>
      <c r="C521" s="51" t="s">
        <v>2765</v>
      </c>
      <c r="D521" s="53">
        <v>0</v>
      </c>
      <c r="E521" s="53">
        <v>1</v>
      </c>
      <c r="F521" s="51" t="s">
        <v>2715</v>
      </c>
      <c r="G521" s="51" t="s">
        <v>2695</v>
      </c>
      <c r="H521" s="25" t="str">
        <f t="shared" si="64"/>
        <v>jgd</v>
      </c>
      <c r="I521" t="s">
        <v>13</v>
      </c>
      <c r="J521" t="s">
        <v>45</v>
      </c>
      <c r="K521" t="s">
        <v>46</v>
      </c>
      <c r="L521" s="25">
        <v>47.09760309</v>
      </c>
      <c r="M521" s="25">
        <v>6.778318251</v>
      </c>
      <c r="N521">
        <v>6</v>
      </c>
      <c r="O521">
        <v>16</v>
      </c>
      <c r="P521">
        <v>10</v>
      </c>
      <c r="Q521">
        <v>2014</v>
      </c>
      <c r="R521" s="9">
        <v>41928</v>
      </c>
      <c r="S521">
        <v>347</v>
      </c>
      <c r="T521">
        <v>1</v>
      </c>
      <c r="U521">
        <v>0</v>
      </c>
      <c r="V521">
        <v>0</v>
      </c>
      <c r="W521">
        <v>0</v>
      </c>
      <c r="X521">
        <f t="shared" si="65"/>
        <v>-75.787499999999994</v>
      </c>
      <c r="Y521">
        <v>-23.396285710000001</v>
      </c>
      <c r="Z521">
        <v>6.8188227599999998</v>
      </c>
      <c r="AA521" s="3">
        <f t="shared" si="59"/>
        <v>8</v>
      </c>
      <c r="AB521" s="3">
        <f t="shared" si="66"/>
        <v>7</v>
      </c>
      <c r="AD521" s="3" t="s">
        <v>2750</v>
      </c>
      <c r="AE521" s="22">
        <v>-84.85</v>
      </c>
      <c r="AF521" s="22">
        <f t="shared" si="60"/>
        <v>-84.85</v>
      </c>
      <c r="AG521" s="1">
        <v>-107.8</v>
      </c>
      <c r="AH521" s="2" t="s">
        <v>16</v>
      </c>
      <c r="AI521"/>
      <c r="AJ521" s="3">
        <f t="shared" si="61"/>
        <v>8</v>
      </c>
      <c r="AK521" s="3" t="s">
        <v>2706</v>
      </c>
      <c r="AL521">
        <v>8</v>
      </c>
      <c r="AM521" t="s">
        <v>15</v>
      </c>
    </row>
    <row r="522" spans="1:39" x14ac:dyDescent="0.3">
      <c r="A522" s="51" t="s">
        <v>1956</v>
      </c>
      <c r="B522" s="54" t="s">
        <v>1957</v>
      </c>
      <c r="C522" s="51" t="s">
        <v>2765</v>
      </c>
      <c r="D522" s="53">
        <v>0</v>
      </c>
      <c r="E522" s="53">
        <v>1</v>
      </c>
      <c r="F522" s="51" t="s">
        <v>2715</v>
      </c>
      <c r="G522" s="51" t="s">
        <v>2695</v>
      </c>
      <c r="H522" s="25" t="str">
        <f t="shared" si="64"/>
        <v>jgd</v>
      </c>
      <c r="I522" t="s">
        <v>72</v>
      </c>
      <c r="J522" t="s">
        <v>1220</v>
      </c>
      <c r="K522" t="s">
        <v>78</v>
      </c>
      <c r="L522" s="25">
        <v>45.906849940000001</v>
      </c>
      <c r="M522" s="25">
        <v>9.0639039140000008</v>
      </c>
      <c r="N522">
        <v>5</v>
      </c>
      <c r="O522">
        <v>16</v>
      </c>
      <c r="P522">
        <v>11</v>
      </c>
      <c r="Q522">
        <v>2016</v>
      </c>
      <c r="R522" s="9">
        <v>42690</v>
      </c>
      <c r="S522">
        <v>370</v>
      </c>
      <c r="T522">
        <v>1</v>
      </c>
      <c r="U522">
        <v>0</v>
      </c>
      <c r="V522">
        <v>0</v>
      </c>
      <c r="W522">
        <v>0</v>
      </c>
      <c r="X522" s="57">
        <f t="shared" si="65"/>
        <v>-75.693667500000004</v>
      </c>
      <c r="Y522">
        <v>-24.34</v>
      </c>
      <c r="Z522">
        <v>8.89</v>
      </c>
      <c r="AA522" s="3">
        <f t="shared" si="59"/>
        <v>8</v>
      </c>
      <c r="AB522" s="3">
        <f t="shared" si="66"/>
        <v>9</v>
      </c>
      <c r="AD522" s="3" t="s">
        <v>2754</v>
      </c>
      <c r="AE522" s="22">
        <v>-84.774934000000002</v>
      </c>
      <c r="AF522" s="22">
        <f t="shared" si="60"/>
        <v>-84.774934000000002</v>
      </c>
      <c r="AG522" s="60" t="s">
        <v>16</v>
      </c>
      <c r="AH522" s="61" t="s">
        <v>16</v>
      </c>
      <c r="AJ522" s="3">
        <f t="shared" si="61"/>
        <v>8</v>
      </c>
      <c r="AK522" s="3" t="s">
        <v>2706</v>
      </c>
      <c r="AL522">
        <v>8</v>
      </c>
      <c r="AM522" t="s">
        <v>15</v>
      </c>
    </row>
    <row r="523" spans="1:39" x14ac:dyDescent="0.3">
      <c r="A523" s="51" t="s">
        <v>1998</v>
      </c>
      <c r="B523" s="54" t="s">
        <v>1270</v>
      </c>
      <c r="C523" s="51" t="s">
        <v>2765</v>
      </c>
      <c r="D523" s="53">
        <v>0</v>
      </c>
      <c r="E523" s="53">
        <v>1</v>
      </c>
      <c r="F523" s="51" t="s">
        <v>2715</v>
      </c>
      <c r="G523" s="51" t="s">
        <v>2695</v>
      </c>
      <c r="H523" s="25" t="str">
        <f t="shared" si="64"/>
        <v>jgd</v>
      </c>
      <c r="I523" t="s">
        <v>72</v>
      </c>
      <c r="J523" t="s">
        <v>694</v>
      </c>
      <c r="K523" t="s">
        <v>1988</v>
      </c>
      <c r="L523" s="25">
        <v>46.080483780000002</v>
      </c>
      <c r="M523" s="25">
        <v>8.9026623540000003</v>
      </c>
      <c r="N523">
        <v>4</v>
      </c>
      <c r="O523">
        <v>12</v>
      </c>
      <c r="P523">
        <v>11</v>
      </c>
      <c r="Q523">
        <v>2016</v>
      </c>
      <c r="R523" s="9">
        <v>42686</v>
      </c>
      <c r="S523">
        <v>320</v>
      </c>
      <c r="T523">
        <v>1</v>
      </c>
      <c r="U523">
        <v>0</v>
      </c>
      <c r="V523">
        <v>0</v>
      </c>
      <c r="W523">
        <v>0</v>
      </c>
      <c r="X523" s="57">
        <f t="shared" si="65"/>
        <v>-75.68480550000001</v>
      </c>
      <c r="Y523">
        <v>-24.51</v>
      </c>
      <c r="Z523">
        <v>3.45</v>
      </c>
      <c r="AA523" s="3">
        <f t="shared" si="59"/>
        <v>8</v>
      </c>
      <c r="AB523" s="3">
        <f t="shared" si="66"/>
        <v>3</v>
      </c>
      <c r="AD523" s="3" t="s">
        <v>2754</v>
      </c>
      <c r="AE523" s="22">
        <v>-84.767844400000001</v>
      </c>
      <c r="AF523" s="22">
        <f t="shared" si="60"/>
        <v>-84.767844400000001</v>
      </c>
      <c r="AG523" s="60" t="s">
        <v>16</v>
      </c>
      <c r="AH523" s="61" t="s">
        <v>16</v>
      </c>
      <c r="AJ523" s="3">
        <f t="shared" si="61"/>
        <v>8</v>
      </c>
      <c r="AK523" s="3" t="s">
        <v>2706</v>
      </c>
      <c r="AL523">
        <v>8</v>
      </c>
      <c r="AM523" t="s">
        <v>15</v>
      </c>
    </row>
    <row r="524" spans="1:39" x14ac:dyDescent="0.3">
      <c r="A524" s="51" t="s">
        <v>1107</v>
      </c>
      <c r="B524" s="54" t="s">
        <v>1108</v>
      </c>
      <c r="C524" s="51" t="s">
        <v>2765</v>
      </c>
      <c r="D524" s="53">
        <v>0</v>
      </c>
      <c r="E524" s="53">
        <v>1</v>
      </c>
      <c r="F524" s="51" t="s">
        <v>2715</v>
      </c>
      <c r="G524" s="51" t="s">
        <v>2695</v>
      </c>
      <c r="H524" s="25" t="str">
        <f t="shared" si="64"/>
        <v>jgd</v>
      </c>
      <c r="I524" t="s">
        <v>72</v>
      </c>
      <c r="J524" t="s">
        <v>1109</v>
      </c>
      <c r="K524" t="s">
        <v>1110</v>
      </c>
      <c r="L524" s="25">
        <v>46.05008686</v>
      </c>
      <c r="M524" s="25">
        <v>8.8371759050000005</v>
      </c>
      <c r="N524">
        <v>5</v>
      </c>
      <c r="O524">
        <v>27</v>
      </c>
      <c r="P524">
        <v>10</v>
      </c>
      <c r="Q524">
        <v>2015</v>
      </c>
      <c r="R524" s="9">
        <v>42304</v>
      </c>
      <c r="S524" t="s">
        <v>16</v>
      </c>
      <c r="T524">
        <v>1</v>
      </c>
      <c r="U524">
        <v>0</v>
      </c>
      <c r="V524">
        <v>0</v>
      </c>
      <c r="W524">
        <v>0</v>
      </c>
      <c r="X524">
        <f t="shared" si="65"/>
        <v>-75.537499999999994</v>
      </c>
      <c r="Y524">
        <v>-24.478400000000001</v>
      </c>
      <c r="Z524">
        <v>8.8799989149999998</v>
      </c>
      <c r="AA524" s="3">
        <f t="shared" si="59"/>
        <v>8</v>
      </c>
      <c r="AB524" s="3">
        <f t="shared" si="66"/>
        <v>9</v>
      </c>
      <c r="AD524" s="3" t="s">
        <v>2754</v>
      </c>
      <c r="AE524" s="22">
        <v>-84.65</v>
      </c>
      <c r="AF524" s="22">
        <f t="shared" si="60"/>
        <v>-84.65</v>
      </c>
      <c r="AG524" s="1">
        <v>-107.6</v>
      </c>
      <c r="AH524" s="2" t="s">
        <v>16</v>
      </c>
      <c r="AI524"/>
      <c r="AJ524" s="3">
        <f t="shared" si="61"/>
        <v>8</v>
      </c>
      <c r="AK524" s="3" t="s">
        <v>2706</v>
      </c>
      <c r="AL524">
        <v>8</v>
      </c>
      <c r="AM524" t="s">
        <v>15</v>
      </c>
    </row>
    <row r="525" spans="1:39" hidden="1" x14ac:dyDescent="0.3">
      <c r="A525" s="51" t="s">
        <v>1888</v>
      </c>
      <c r="B525" s="54" t="s">
        <v>1077</v>
      </c>
      <c r="C525" s="51" t="s">
        <v>2765</v>
      </c>
      <c r="D525" s="53">
        <v>0</v>
      </c>
      <c r="E525" s="53">
        <v>1</v>
      </c>
      <c r="F525" s="51" t="s">
        <v>2715</v>
      </c>
      <c r="G525" s="51" t="s">
        <v>2695</v>
      </c>
      <c r="H525" s="25" t="str">
        <f t="shared" si="64"/>
        <v>jgd</v>
      </c>
      <c r="I525" t="s">
        <v>13</v>
      </c>
      <c r="J525" t="s">
        <v>65</v>
      </c>
      <c r="K525" t="s">
        <v>1889</v>
      </c>
      <c r="L525" s="25">
        <v>47.104271189999999</v>
      </c>
      <c r="M525" s="25">
        <v>6.7803439450000003</v>
      </c>
      <c r="N525">
        <v>6</v>
      </c>
      <c r="O525">
        <v>27</v>
      </c>
      <c r="P525">
        <v>10</v>
      </c>
      <c r="Q525">
        <v>2016</v>
      </c>
      <c r="R525" s="9">
        <v>42670</v>
      </c>
      <c r="S525">
        <v>290</v>
      </c>
      <c r="T525">
        <v>1</v>
      </c>
      <c r="U525">
        <v>0</v>
      </c>
      <c r="V525">
        <v>0</v>
      </c>
      <c r="W525">
        <v>0</v>
      </c>
      <c r="X525" s="57">
        <f t="shared" si="65"/>
        <v>-75.533089749999988</v>
      </c>
      <c r="Y525">
        <v>-23.34</v>
      </c>
      <c r="Z525">
        <v>5.48</v>
      </c>
      <c r="AA525" s="3">
        <f t="shared" si="59"/>
        <v>8</v>
      </c>
      <c r="AB525" s="3">
        <f t="shared" si="66"/>
        <v>5</v>
      </c>
      <c r="AD525" s="3" t="s">
        <v>2750</v>
      </c>
      <c r="AE525" s="22">
        <v>-84.6464718</v>
      </c>
      <c r="AF525" s="22">
        <f t="shared" si="60"/>
        <v>-84.6464718</v>
      </c>
      <c r="AG525" s="60" t="s">
        <v>16</v>
      </c>
      <c r="AH525" s="61" t="s">
        <v>16</v>
      </c>
      <c r="AJ525" s="3">
        <f t="shared" si="61"/>
        <v>8</v>
      </c>
      <c r="AK525" s="3" t="s">
        <v>2706</v>
      </c>
      <c r="AL525">
        <v>8</v>
      </c>
      <c r="AM525" t="s">
        <v>15</v>
      </c>
    </row>
    <row r="526" spans="1:39" x14ac:dyDescent="0.3">
      <c r="A526" s="51" t="s">
        <v>1689</v>
      </c>
      <c r="B526" s="54" t="s">
        <v>409</v>
      </c>
      <c r="C526" s="51" t="s">
        <v>2765</v>
      </c>
      <c r="D526" s="53">
        <v>0</v>
      </c>
      <c r="E526" s="53">
        <v>1</v>
      </c>
      <c r="F526" s="51" t="s">
        <v>2715</v>
      </c>
      <c r="G526" s="51" t="s">
        <v>2695</v>
      </c>
      <c r="H526" s="25" t="str">
        <f t="shared" si="64"/>
        <v>jgd</v>
      </c>
      <c r="I526" t="s">
        <v>72</v>
      </c>
      <c r="J526" t="s">
        <v>155</v>
      </c>
      <c r="K526" t="s">
        <v>1690</v>
      </c>
      <c r="L526" s="25">
        <v>46.122973760000001</v>
      </c>
      <c r="M526" s="25">
        <v>8.8332862520000006</v>
      </c>
      <c r="N526">
        <v>4</v>
      </c>
      <c r="O526">
        <v>16</v>
      </c>
      <c r="P526">
        <v>11</v>
      </c>
      <c r="Q526">
        <v>2016</v>
      </c>
      <c r="R526" s="9">
        <v>42690</v>
      </c>
      <c r="S526">
        <v>309</v>
      </c>
      <c r="T526">
        <v>1</v>
      </c>
      <c r="U526">
        <v>0</v>
      </c>
      <c r="V526">
        <v>0</v>
      </c>
      <c r="W526">
        <v>0</v>
      </c>
      <c r="X526" s="57">
        <f t="shared" si="65"/>
        <v>-75.51747850000001</v>
      </c>
      <c r="Y526">
        <v>-22.89</v>
      </c>
      <c r="Z526">
        <v>4.13</v>
      </c>
      <c r="AA526" s="3">
        <f t="shared" si="59"/>
        <v>8</v>
      </c>
      <c r="AB526" s="3">
        <f t="shared" si="66"/>
        <v>4</v>
      </c>
      <c r="AD526" s="3" t="s">
        <v>2754</v>
      </c>
      <c r="AE526" s="22">
        <v>-84.633982799999998</v>
      </c>
      <c r="AF526" s="22">
        <f t="shared" si="60"/>
        <v>-84.633982799999998</v>
      </c>
      <c r="AG526" s="60" t="s">
        <v>16</v>
      </c>
      <c r="AH526" s="61" t="s">
        <v>16</v>
      </c>
      <c r="AJ526" s="3">
        <f t="shared" si="61"/>
        <v>8</v>
      </c>
      <c r="AK526" s="3" t="s">
        <v>2706</v>
      </c>
      <c r="AL526">
        <v>8</v>
      </c>
      <c r="AM526" t="s">
        <v>15</v>
      </c>
    </row>
    <row r="527" spans="1:39" x14ac:dyDescent="0.3">
      <c r="A527" s="51" t="s">
        <v>1228</v>
      </c>
      <c r="B527" s="54" t="s">
        <v>1229</v>
      </c>
      <c r="C527" s="51" t="s">
        <v>2765</v>
      </c>
      <c r="D527" s="53">
        <v>0</v>
      </c>
      <c r="E527" s="53">
        <v>1</v>
      </c>
      <c r="F527" s="51" t="s">
        <v>2715</v>
      </c>
      <c r="G527" s="51" t="s">
        <v>2695</v>
      </c>
      <c r="H527" s="25" t="str">
        <f t="shared" si="64"/>
        <v>jgd</v>
      </c>
      <c r="I527" t="s">
        <v>72</v>
      </c>
      <c r="J527" t="s">
        <v>1189</v>
      </c>
      <c r="K527" t="s">
        <v>1230</v>
      </c>
      <c r="L527" s="25">
        <v>46.017329070000002</v>
      </c>
      <c r="M527" s="25">
        <v>9.0053419179999992</v>
      </c>
      <c r="N527">
        <v>5</v>
      </c>
      <c r="O527">
        <v>18</v>
      </c>
      <c r="P527">
        <v>10</v>
      </c>
      <c r="Q527">
        <v>2015</v>
      </c>
      <c r="R527" s="9">
        <v>42295</v>
      </c>
      <c r="S527">
        <v>325</v>
      </c>
      <c r="T527">
        <v>1</v>
      </c>
      <c r="U527">
        <v>0</v>
      </c>
      <c r="V527">
        <v>0</v>
      </c>
      <c r="W527">
        <v>0</v>
      </c>
      <c r="X527">
        <f t="shared" si="65"/>
        <v>-75.4375</v>
      </c>
      <c r="Y527">
        <v>-24.930399999999999</v>
      </c>
      <c r="Z527">
        <v>4.7446859269999999</v>
      </c>
      <c r="AA527" s="3">
        <f t="shared" si="59"/>
        <v>8</v>
      </c>
      <c r="AB527" s="3">
        <f t="shared" si="66"/>
        <v>5</v>
      </c>
      <c r="AD527" s="3" t="s">
        <v>2754</v>
      </c>
      <c r="AE527" s="22">
        <v>-84.57</v>
      </c>
      <c r="AF527" s="22">
        <f t="shared" si="60"/>
        <v>-84.57</v>
      </c>
      <c r="AG527" s="1">
        <v>-107.5</v>
      </c>
      <c r="AH527" s="2" t="s">
        <v>16</v>
      </c>
      <c r="AI527"/>
      <c r="AJ527" s="3">
        <f t="shared" si="61"/>
        <v>8</v>
      </c>
      <c r="AK527" s="3" t="s">
        <v>2706</v>
      </c>
      <c r="AL527">
        <v>8</v>
      </c>
      <c r="AM527" t="s">
        <v>15</v>
      </c>
    </row>
    <row r="528" spans="1:39" hidden="1" x14ac:dyDescent="0.3">
      <c r="A528" s="51" t="s">
        <v>1502</v>
      </c>
      <c r="B528" s="54" t="s">
        <v>1503</v>
      </c>
      <c r="C528" s="51" t="s">
        <v>2765</v>
      </c>
      <c r="D528" s="53">
        <v>0</v>
      </c>
      <c r="E528" s="53">
        <v>1</v>
      </c>
      <c r="F528" s="51" t="s">
        <v>2715</v>
      </c>
      <c r="G528" s="51" t="s">
        <v>2695</v>
      </c>
      <c r="H528" s="25" t="str">
        <f t="shared" si="64"/>
        <v>jgd</v>
      </c>
      <c r="I528" t="s">
        <v>1488</v>
      </c>
      <c r="J528" t="s">
        <v>1500</v>
      </c>
      <c r="K528" t="s">
        <v>1501</v>
      </c>
      <c r="L528" s="25">
        <v>47.28135546</v>
      </c>
      <c r="M528" s="25">
        <v>7.0236391029999998</v>
      </c>
      <c r="N528">
        <v>5</v>
      </c>
      <c r="O528">
        <v>2</v>
      </c>
      <c r="P528">
        <v>11</v>
      </c>
      <c r="Q528">
        <v>2016</v>
      </c>
      <c r="R528" s="9">
        <v>42676</v>
      </c>
      <c r="S528">
        <v>350</v>
      </c>
      <c r="T528">
        <v>1</v>
      </c>
      <c r="U528">
        <v>0</v>
      </c>
      <c r="V528">
        <v>0</v>
      </c>
      <c r="W528">
        <v>0</v>
      </c>
      <c r="X528" s="57">
        <f t="shared" si="65"/>
        <v>-75.220188000000007</v>
      </c>
      <c r="Y528">
        <v>-24.2</v>
      </c>
      <c r="Z528">
        <v>7.16</v>
      </c>
      <c r="AA528" s="3">
        <f t="shared" si="59"/>
        <v>8</v>
      </c>
      <c r="AB528" s="3">
        <f t="shared" si="66"/>
        <v>7</v>
      </c>
      <c r="AD528" s="3" t="s">
        <v>2750</v>
      </c>
      <c r="AE528" s="22">
        <v>-84.396150399999996</v>
      </c>
      <c r="AF528" s="22">
        <f t="shared" si="60"/>
        <v>-84.396150399999996</v>
      </c>
      <c r="AG528" s="60" t="s">
        <v>16</v>
      </c>
      <c r="AH528" s="61" t="s">
        <v>16</v>
      </c>
      <c r="AJ528" s="3">
        <f t="shared" si="61"/>
        <v>8</v>
      </c>
      <c r="AK528" s="3" t="s">
        <v>2706</v>
      </c>
      <c r="AL528">
        <v>8</v>
      </c>
      <c r="AM528" t="s">
        <v>15</v>
      </c>
    </row>
    <row r="529" spans="1:39" hidden="1" x14ac:dyDescent="0.3">
      <c r="A529" s="51" t="s">
        <v>479</v>
      </c>
      <c r="B529" s="54" t="s">
        <v>480</v>
      </c>
      <c r="C529" s="51" t="s">
        <v>2765</v>
      </c>
      <c r="D529" s="53">
        <v>0</v>
      </c>
      <c r="E529" s="53">
        <v>1</v>
      </c>
      <c r="F529" s="51" t="s">
        <v>2715</v>
      </c>
      <c r="G529" s="51" t="s">
        <v>2695</v>
      </c>
      <c r="H529" s="25" t="str">
        <f t="shared" si="64"/>
        <v>jgd</v>
      </c>
      <c r="I529" t="s">
        <v>13</v>
      </c>
      <c r="J529" t="s">
        <v>21</v>
      </c>
      <c r="K529" t="s">
        <v>22</v>
      </c>
      <c r="L529" s="25">
        <v>46.969531500000002</v>
      </c>
      <c r="M529" s="25">
        <v>6.6534745790000001</v>
      </c>
      <c r="N529">
        <v>6</v>
      </c>
      <c r="O529">
        <v>14</v>
      </c>
      <c r="P529">
        <v>10</v>
      </c>
      <c r="Q529">
        <v>2014</v>
      </c>
      <c r="R529" s="9">
        <v>41926</v>
      </c>
      <c r="S529">
        <v>322</v>
      </c>
      <c r="T529">
        <v>1</v>
      </c>
      <c r="U529">
        <v>0</v>
      </c>
      <c r="V529">
        <v>0</v>
      </c>
      <c r="W529">
        <v>0</v>
      </c>
      <c r="X529">
        <f t="shared" si="65"/>
        <v>-75.199999999999989</v>
      </c>
      <c r="Y529">
        <v>-24.123285710000001</v>
      </c>
      <c r="Z529">
        <v>5.7410995170000003</v>
      </c>
      <c r="AA529" s="3">
        <f t="shared" si="59"/>
        <v>8</v>
      </c>
      <c r="AB529" s="3">
        <f t="shared" si="66"/>
        <v>6</v>
      </c>
      <c r="AD529" s="3" t="s">
        <v>2750</v>
      </c>
      <c r="AE529" s="22">
        <v>-84.38</v>
      </c>
      <c r="AF529" s="22">
        <f t="shared" si="60"/>
        <v>-84.38</v>
      </c>
      <c r="AG529" s="1">
        <v>-107.3</v>
      </c>
      <c r="AH529" s="2" t="s">
        <v>16</v>
      </c>
      <c r="AI529"/>
      <c r="AJ529" s="3">
        <f t="shared" si="61"/>
        <v>8</v>
      </c>
      <c r="AK529" s="3" t="s">
        <v>2706</v>
      </c>
      <c r="AL529">
        <v>8</v>
      </c>
      <c r="AM529" t="s">
        <v>15</v>
      </c>
    </row>
    <row r="530" spans="1:39" x14ac:dyDescent="0.3">
      <c r="A530" s="51" t="s">
        <v>1100</v>
      </c>
      <c r="B530" s="54" t="s">
        <v>1101</v>
      </c>
      <c r="C530" s="51" t="s">
        <v>2765</v>
      </c>
      <c r="D530" s="53">
        <v>0</v>
      </c>
      <c r="E530" s="53">
        <v>1</v>
      </c>
      <c r="F530" s="51" t="s">
        <v>2715</v>
      </c>
      <c r="G530" s="51" t="s">
        <v>2695</v>
      </c>
      <c r="H530" s="25" t="str">
        <f t="shared" si="64"/>
        <v>jgd</v>
      </c>
      <c r="I530" t="s">
        <v>72</v>
      </c>
      <c r="J530" t="s">
        <v>1098</v>
      </c>
      <c r="K530" t="s">
        <v>1099</v>
      </c>
      <c r="L530" s="25">
        <v>46.02579626</v>
      </c>
      <c r="M530" s="25">
        <v>8.8240005079999992</v>
      </c>
      <c r="N530">
        <v>5</v>
      </c>
      <c r="O530">
        <v>25</v>
      </c>
      <c r="P530">
        <v>10</v>
      </c>
      <c r="Q530">
        <v>2015</v>
      </c>
      <c r="R530" s="9">
        <v>42302</v>
      </c>
      <c r="S530" t="s">
        <v>16</v>
      </c>
      <c r="T530">
        <v>1</v>
      </c>
      <c r="U530">
        <v>0</v>
      </c>
      <c r="V530">
        <v>0</v>
      </c>
      <c r="W530">
        <v>0</v>
      </c>
      <c r="X530">
        <f t="shared" si="65"/>
        <v>-75.125</v>
      </c>
      <c r="Y530">
        <v>-24.353724570000001</v>
      </c>
      <c r="Z530">
        <v>9.2752528999999999</v>
      </c>
      <c r="AA530" s="3">
        <f t="shared" si="59"/>
        <v>8</v>
      </c>
      <c r="AB530" s="3">
        <f t="shared" si="66"/>
        <v>9</v>
      </c>
      <c r="AD530" s="3" t="s">
        <v>2754</v>
      </c>
      <c r="AE530" s="22">
        <v>-84.32</v>
      </c>
      <c r="AF530" s="22">
        <f t="shared" si="60"/>
        <v>-84.32</v>
      </c>
      <c r="AG530" s="1">
        <v>-107.3</v>
      </c>
      <c r="AH530" s="2" t="s">
        <v>16</v>
      </c>
      <c r="AI530"/>
      <c r="AJ530" s="3">
        <f t="shared" si="61"/>
        <v>8</v>
      </c>
      <c r="AK530" s="3" t="s">
        <v>2706</v>
      </c>
      <c r="AL530">
        <v>8</v>
      </c>
      <c r="AM530" t="s">
        <v>15</v>
      </c>
    </row>
    <row r="531" spans="1:39" hidden="1" x14ac:dyDescent="0.3">
      <c r="A531" s="51" t="s">
        <v>314</v>
      </c>
      <c r="B531" s="54" t="s">
        <v>315</v>
      </c>
      <c r="C531" s="51" t="s">
        <v>2765</v>
      </c>
      <c r="D531" s="53">
        <v>0</v>
      </c>
      <c r="E531" s="53">
        <v>1</v>
      </c>
      <c r="F531" s="51" t="s">
        <v>2715</v>
      </c>
      <c r="G531" s="51" t="s">
        <v>2695</v>
      </c>
      <c r="H531" s="25" t="str">
        <f t="shared" si="64"/>
        <v>jgd</v>
      </c>
      <c r="I531" t="s">
        <v>13</v>
      </c>
      <c r="J531" t="s">
        <v>21</v>
      </c>
      <c r="K531" t="s">
        <v>316</v>
      </c>
      <c r="L531" s="25">
        <v>46.947804759999997</v>
      </c>
      <c r="M531" s="25">
        <v>6.5450782140000001</v>
      </c>
      <c r="N531">
        <v>6</v>
      </c>
      <c r="O531">
        <v>18</v>
      </c>
      <c r="P531">
        <v>10</v>
      </c>
      <c r="Q531">
        <v>2014</v>
      </c>
      <c r="R531" s="9">
        <v>41930</v>
      </c>
      <c r="S531">
        <v>300</v>
      </c>
      <c r="T531">
        <v>1</v>
      </c>
      <c r="U531">
        <v>0</v>
      </c>
      <c r="V531">
        <v>0</v>
      </c>
      <c r="W531">
        <v>0</v>
      </c>
      <c r="X531">
        <f t="shared" si="65"/>
        <v>-75.074999999999989</v>
      </c>
      <c r="Y531">
        <v>-23.36628571</v>
      </c>
      <c r="Z531">
        <v>5.8003058950000002</v>
      </c>
      <c r="AA531" s="3">
        <f t="shared" si="59"/>
        <v>8</v>
      </c>
      <c r="AB531" s="3">
        <f t="shared" si="66"/>
        <v>6</v>
      </c>
      <c r="AD531" s="3" t="s">
        <v>2750</v>
      </c>
      <c r="AE531" s="22">
        <v>-84.28</v>
      </c>
      <c r="AF531" s="22">
        <f t="shared" si="60"/>
        <v>-84.28</v>
      </c>
      <c r="AG531" s="1">
        <v>-107.2</v>
      </c>
      <c r="AH531" s="2" t="s">
        <v>16</v>
      </c>
      <c r="AI531"/>
      <c r="AJ531" s="3">
        <f t="shared" si="61"/>
        <v>8</v>
      </c>
      <c r="AK531" s="3" t="s">
        <v>2706</v>
      </c>
      <c r="AL531">
        <v>8</v>
      </c>
      <c r="AM531" t="s">
        <v>15</v>
      </c>
    </row>
    <row r="532" spans="1:39" hidden="1" x14ac:dyDescent="0.3">
      <c r="A532" s="51" t="s">
        <v>570</v>
      </c>
      <c r="B532" s="54" t="s">
        <v>571</v>
      </c>
      <c r="C532" s="51" t="s">
        <v>2765</v>
      </c>
      <c r="D532" s="53">
        <v>0</v>
      </c>
      <c r="E532" s="53">
        <v>1</v>
      </c>
      <c r="F532" s="51" t="s">
        <v>2715</v>
      </c>
      <c r="G532" s="51" t="s">
        <v>2695</v>
      </c>
      <c r="H532" s="25" t="str">
        <f t="shared" si="64"/>
        <v>jgd</v>
      </c>
      <c r="I532" t="s">
        <v>385</v>
      </c>
      <c r="J532" t="s">
        <v>558</v>
      </c>
      <c r="K532" t="s">
        <v>565</v>
      </c>
      <c r="L532" s="25">
        <v>46.685007830000004</v>
      </c>
      <c r="M532" s="25">
        <v>6.2758985010000004</v>
      </c>
      <c r="N532">
        <v>5</v>
      </c>
      <c r="O532">
        <v>20</v>
      </c>
      <c r="P532">
        <v>11</v>
      </c>
      <c r="Q532">
        <v>2014</v>
      </c>
      <c r="R532" s="9">
        <v>41963</v>
      </c>
      <c r="S532">
        <v>323</v>
      </c>
      <c r="T532">
        <v>1</v>
      </c>
      <c r="U532">
        <v>0</v>
      </c>
      <c r="V532">
        <v>0</v>
      </c>
      <c r="W532">
        <v>0</v>
      </c>
      <c r="X532">
        <f t="shared" si="65"/>
        <v>-74.962500000000006</v>
      </c>
      <c r="Y532">
        <v>-23.628799999999998</v>
      </c>
      <c r="Z532">
        <v>6.1575288090000004</v>
      </c>
      <c r="AA532" s="3">
        <f t="shared" si="59"/>
        <v>7</v>
      </c>
      <c r="AB532" s="3">
        <f t="shared" si="66"/>
        <v>6</v>
      </c>
      <c r="AD532" s="3" t="s">
        <v>2750</v>
      </c>
      <c r="AE532" s="22">
        <v>-84.19</v>
      </c>
      <c r="AF532" s="22">
        <f t="shared" si="60"/>
        <v>-84.19</v>
      </c>
      <c r="AG532" s="1">
        <v>-107.1</v>
      </c>
      <c r="AH532" s="2" t="s">
        <v>16</v>
      </c>
      <c r="AI532"/>
      <c r="AJ532" s="3">
        <f t="shared" si="61"/>
        <v>8</v>
      </c>
      <c r="AK532" s="3" t="s">
        <v>2706</v>
      </c>
      <c r="AL532">
        <v>8</v>
      </c>
      <c r="AM532" t="s">
        <v>15</v>
      </c>
    </row>
    <row r="533" spans="1:39" x14ac:dyDescent="0.3">
      <c r="A533" s="51" t="s">
        <v>812</v>
      </c>
      <c r="B533" s="54" t="s">
        <v>813</v>
      </c>
      <c r="C533" s="51" t="s">
        <v>2765</v>
      </c>
      <c r="D533" s="53">
        <v>0</v>
      </c>
      <c r="E533" s="53">
        <v>1</v>
      </c>
      <c r="F533" s="51" t="s">
        <v>2715</v>
      </c>
      <c r="G533" s="51" t="s">
        <v>2695</v>
      </c>
      <c r="H533" s="25" t="str">
        <f t="shared" si="64"/>
        <v>jgd</v>
      </c>
      <c r="I533" t="s">
        <v>72</v>
      </c>
      <c r="J533" t="s">
        <v>804</v>
      </c>
      <c r="K533" t="s">
        <v>805</v>
      </c>
      <c r="L533" s="25">
        <v>46.056523210000002</v>
      </c>
      <c r="M533" s="25">
        <v>8.8944473479999999</v>
      </c>
      <c r="N533">
        <v>5</v>
      </c>
      <c r="O533">
        <v>22</v>
      </c>
      <c r="P533">
        <v>10</v>
      </c>
      <c r="Q533">
        <v>2015</v>
      </c>
      <c r="R533" s="9">
        <v>42299</v>
      </c>
      <c r="S533">
        <v>340</v>
      </c>
      <c r="T533">
        <v>1</v>
      </c>
      <c r="U533">
        <v>0</v>
      </c>
      <c r="V533">
        <v>0</v>
      </c>
      <c r="W533">
        <v>0</v>
      </c>
      <c r="X533">
        <f t="shared" si="65"/>
        <v>-74.950000000000017</v>
      </c>
      <c r="Y533">
        <v>-23.6814</v>
      </c>
      <c r="Z533">
        <v>3.8466605340000002</v>
      </c>
      <c r="AA533" s="3">
        <f t="shared" si="59"/>
        <v>7</v>
      </c>
      <c r="AB533" s="3">
        <f t="shared" si="66"/>
        <v>4</v>
      </c>
      <c r="AD533" s="3" t="s">
        <v>2754</v>
      </c>
      <c r="AE533" s="22">
        <v>-84.18</v>
      </c>
      <c r="AF533" s="22">
        <f t="shared" si="60"/>
        <v>-84.18</v>
      </c>
      <c r="AG533" s="1">
        <v>-107.1</v>
      </c>
      <c r="AH533" s="2" t="s">
        <v>16</v>
      </c>
      <c r="AI533"/>
      <c r="AJ533" s="3">
        <f t="shared" si="61"/>
        <v>8</v>
      </c>
      <c r="AK533" s="3" t="s">
        <v>2706</v>
      </c>
      <c r="AL533">
        <v>8</v>
      </c>
      <c r="AM533" t="s">
        <v>15</v>
      </c>
    </row>
    <row r="534" spans="1:39" hidden="1" x14ac:dyDescent="0.3">
      <c r="A534" s="51" t="s">
        <v>1080</v>
      </c>
      <c r="B534" s="54" t="s">
        <v>1081</v>
      </c>
      <c r="C534" s="51" t="s">
        <v>2765</v>
      </c>
      <c r="D534" s="53">
        <v>0</v>
      </c>
      <c r="E534" s="53">
        <v>1</v>
      </c>
      <c r="F534" s="51" t="s">
        <v>2715</v>
      </c>
      <c r="G534" s="51" t="s">
        <v>2695</v>
      </c>
      <c r="H534" s="25" t="str">
        <f t="shared" si="64"/>
        <v>jgd</v>
      </c>
      <c r="I534" t="s">
        <v>13</v>
      </c>
      <c r="J534" t="s">
        <v>1057</v>
      </c>
      <c r="K534" t="s">
        <v>1082</v>
      </c>
      <c r="L534" s="25">
        <v>46.927987610000002</v>
      </c>
      <c r="M534" s="25">
        <v>6.4540657220000002</v>
      </c>
      <c r="N534">
        <v>6</v>
      </c>
      <c r="O534">
        <v>2</v>
      </c>
      <c r="P534">
        <v>11</v>
      </c>
      <c r="Q534">
        <v>2015</v>
      </c>
      <c r="R534" s="9">
        <v>42310</v>
      </c>
      <c r="S534">
        <v>355</v>
      </c>
      <c r="T534">
        <v>1</v>
      </c>
      <c r="U534">
        <v>0</v>
      </c>
      <c r="V534">
        <v>0</v>
      </c>
      <c r="W534">
        <v>0</v>
      </c>
      <c r="X534">
        <f t="shared" si="65"/>
        <v>-74.887499999999989</v>
      </c>
      <c r="Y534">
        <v>-24.076250000000002</v>
      </c>
      <c r="Z534">
        <v>4.2834954779999999</v>
      </c>
      <c r="AA534" s="3">
        <f t="shared" ref="AA534:AA597" si="67">-ROUND(X534/10,0)</f>
        <v>7</v>
      </c>
      <c r="AB534" s="3">
        <f t="shared" si="66"/>
        <v>4</v>
      </c>
      <c r="AD534" s="3" t="s">
        <v>2750</v>
      </c>
      <c r="AE534" s="22">
        <v>-84.13</v>
      </c>
      <c r="AF534" s="22">
        <f t="shared" ref="AF534:AF597" si="68">IF(AI534&lt;0,AI534,AE534)</f>
        <v>-84.13</v>
      </c>
      <c r="AG534" s="1">
        <v>-107.1</v>
      </c>
      <c r="AH534" s="2" t="s">
        <v>16</v>
      </c>
      <c r="AI534"/>
      <c r="AJ534" s="3">
        <f t="shared" ref="AJ534:AJ597" si="69">-ROUND(AF534/10,0)</f>
        <v>8</v>
      </c>
      <c r="AK534" s="3" t="s">
        <v>2706</v>
      </c>
      <c r="AL534">
        <v>8</v>
      </c>
      <c r="AM534" t="s">
        <v>15</v>
      </c>
    </row>
    <row r="535" spans="1:39" x14ac:dyDescent="0.3">
      <c r="A535" s="51" t="s">
        <v>949</v>
      </c>
      <c r="B535" s="54" t="s">
        <v>950</v>
      </c>
      <c r="C535" s="51" t="s">
        <v>2765</v>
      </c>
      <c r="D535" s="53">
        <v>0</v>
      </c>
      <c r="E535" s="53">
        <v>1</v>
      </c>
      <c r="F535" s="51" t="s">
        <v>2715</v>
      </c>
      <c r="G535" s="51" t="s">
        <v>2695</v>
      </c>
      <c r="H535" s="25" t="str">
        <f t="shared" si="64"/>
        <v>jgd</v>
      </c>
      <c r="I535" t="s">
        <v>72</v>
      </c>
      <c r="J535" t="s">
        <v>694</v>
      </c>
      <c r="K535" t="s">
        <v>951</v>
      </c>
      <c r="L535" s="25">
        <v>46.125821539999997</v>
      </c>
      <c r="M535" s="25">
        <v>8.9469418100000002</v>
      </c>
      <c r="N535">
        <v>5</v>
      </c>
      <c r="O535" t="s">
        <v>16</v>
      </c>
      <c r="P535" t="s">
        <v>16</v>
      </c>
      <c r="Q535">
        <v>2015</v>
      </c>
      <c r="R535" s="9" t="s">
        <v>16</v>
      </c>
      <c r="S535">
        <v>290</v>
      </c>
      <c r="T535">
        <v>1</v>
      </c>
      <c r="U535">
        <v>0</v>
      </c>
      <c r="V535">
        <v>0</v>
      </c>
      <c r="W535">
        <v>0</v>
      </c>
      <c r="X535">
        <f t="shared" si="65"/>
        <v>-74.824999999999989</v>
      </c>
      <c r="Y535">
        <v>-23.844200000000001</v>
      </c>
      <c r="Z535">
        <v>5.4492899039999996</v>
      </c>
      <c r="AA535" s="3">
        <f t="shared" si="67"/>
        <v>7</v>
      </c>
      <c r="AB535" s="3">
        <f t="shared" si="66"/>
        <v>5</v>
      </c>
      <c r="AD535" s="3" t="s">
        <v>2754</v>
      </c>
      <c r="AE535" s="22">
        <v>-84.08</v>
      </c>
      <c r="AF535" s="22">
        <f t="shared" si="68"/>
        <v>-84.08</v>
      </c>
      <c r="AG535" s="1">
        <v>-107</v>
      </c>
      <c r="AH535" s="2" t="s">
        <v>16</v>
      </c>
      <c r="AI535"/>
      <c r="AJ535" s="3">
        <f t="shared" si="69"/>
        <v>8</v>
      </c>
      <c r="AK535" s="3" t="s">
        <v>2706</v>
      </c>
      <c r="AL535">
        <v>8</v>
      </c>
      <c r="AM535" t="s">
        <v>15</v>
      </c>
    </row>
    <row r="536" spans="1:39" hidden="1" x14ac:dyDescent="0.3">
      <c r="A536" s="51" t="s">
        <v>2027</v>
      </c>
      <c r="B536" s="54" t="s">
        <v>2028</v>
      </c>
      <c r="C536" s="51" t="s">
        <v>2765</v>
      </c>
      <c r="D536" s="53">
        <v>0</v>
      </c>
      <c r="E536" s="53">
        <v>1</v>
      </c>
      <c r="F536" s="51" t="s">
        <v>2715</v>
      </c>
      <c r="G536" s="51" t="s">
        <v>2695</v>
      </c>
      <c r="H536" s="25" t="str">
        <f t="shared" si="64"/>
        <v>jgd</v>
      </c>
      <c r="I536" t="s">
        <v>30</v>
      </c>
      <c r="J536" t="s">
        <v>34</v>
      </c>
      <c r="K536" t="s">
        <v>16</v>
      </c>
      <c r="L536" s="25">
        <v>46.750133460000001</v>
      </c>
      <c r="M536" s="25">
        <v>7.0591744580000002</v>
      </c>
      <c r="N536">
        <v>5</v>
      </c>
      <c r="O536">
        <v>9</v>
      </c>
      <c r="P536">
        <v>11</v>
      </c>
      <c r="Q536">
        <v>2016</v>
      </c>
      <c r="R536" s="9">
        <v>42683</v>
      </c>
      <c r="S536">
        <v>300</v>
      </c>
      <c r="T536">
        <v>1</v>
      </c>
      <c r="U536">
        <v>0</v>
      </c>
      <c r="V536">
        <v>0</v>
      </c>
      <c r="W536">
        <v>0</v>
      </c>
      <c r="X536" s="57">
        <f t="shared" si="65"/>
        <v>-74.810810000000004</v>
      </c>
      <c r="Y536">
        <v>-22.43</v>
      </c>
      <c r="Z536">
        <v>6.86</v>
      </c>
      <c r="AA536" s="3">
        <f t="shared" si="67"/>
        <v>7</v>
      </c>
      <c r="AB536" s="3">
        <f t="shared" si="66"/>
        <v>7</v>
      </c>
      <c r="AD536" s="3" t="s">
        <v>2751</v>
      </c>
      <c r="AE536" s="22">
        <v>-84.068647999999996</v>
      </c>
      <c r="AF536" s="22">
        <f t="shared" si="68"/>
        <v>-84.068647999999996</v>
      </c>
      <c r="AG536" s="60" t="s">
        <v>16</v>
      </c>
      <c r="AH536" s="61" t="s">
        <v>16</v>
      </c>
      <c r="AJ536" s="3">
        <f t="shared" si="69"/>
        <v>8</v>
      </c>
      <c r="AK536" s="3" t="s">
        <v>2706</v>
      </c>
      <c r="AL536">
        <v>8</v>
      </c>
      <c r="AM536" t="s">
        <v>15</v>
      </c>
    </row>
    <row r="537" spans="1:39" x14ac:dyDescent="0.3">
      <c r="A537" s="51" t="s">
        <v>1646</v>
      </c>
      <c r="B537" s="54" t="s">
        <v>1647</v>
      </c>
      <c r="C537" s="51" t="s">
        <v>2765</v>
      </c>
      <c r="D537" s="53">
        <v>0</v>
      </c>
      <c r="E537" s="53">
        <v>1</v>
      </c>
      <c r="F537" s="51" t="s">
        <v>2715</v>
      </c>
      <c r="G537" s="51" t="s">
        <v>2695</v>
      </c>
      <c r="H537" s="25" t="str">
        <f t="shared" si="64"/>
        <v>jgd</v>
      </c>
      <c r="I537" t="s">
        <v>72</v>
      </c>
      <c r="J537" t="s">
        <v>931</v>
      </c>
      <c r="K537" t="s">
        <v>16</v>
      </c>
      <c r="L537" s="25">
        <v>46.033604410000002</v>
      </c>
      <c r="M537" s="25">
        <v>8.8772119259999993</v>
      </c>
      <c r="N537">
        <v>5</v>
      </c>
      <c r="O537">
        <v>30</v>
      </c>
      <c r="P537">
        <v>10</v>
      </c>
      <c r="Q537">
        <v>2016</v>
      </c>
      <c r="R537" s="9">
        <v>42673</v>
      </c>
      <c r="S537">
        <v>280</v>
      </c>
      <c r="T537">
        <v>1</v>
      </c>
      <c r="U537">
        <v>0</v>
      </c>
      <c r="V537">
        <v>0</v>
      </c>
      <c r="W537">
        <v>0</v>
      </c>
      <c r="X537" s="57">
        <f t="shared" si="65"/>
        <v>-74.807071500000006</v>
      </c>
      <c r="Y537">
        <v>-25.36</v>
      </c>
      <c r="Z537">
        <v>8.24</v>
      </c>
      <c r="AA537" s="3">
        <f t="shared" si="67"/>
        <v>7</v>
      </c>
      <c r="AB537" s="3">
        <f t="shared" si="66"/>
        <v>8</v>
      </c>
      <c r="AD537" s="3" t="s">
        <v>2754</v>
      </c>
      <c r="AE537" s="22">
        <v>-84.065657200000004</v>
      </c>
      <c r="AF537" s="22">
        <f t="shared" si="68"/>
        <v>-84.065657200000004</v>
      </c>
      <c r="AG537" s="60" t="s">
        <v>16</v>
      </c>
      <c r="AH537" s="61" t="s">
        <v>16</v>
      </c>
      <c r="AJ537" s="3">
        <f t="shared" si="69"/>
        <v>8</v>
      </c>
      <c r="AK537" s="3" t="s">
        <v>2706</v>
      </c>
      <c r="AL537">
        <v>8</v>
      </c>
      <c r="AM537" t="s">
        <v>15</v>
      </c>
    </row>
    <row r="538" spans="1:39" x14ac:dyDescent="0.3">
      <c r="A538" s="51" t="s">
        <v>880</v>
      </c>
      <c r="B538" s="54" t="s">
        <v>881</v>
      </c>
      <c r="C538" s="51" t="s">
        <v>2765</v>
      </c>
      <c r="D538" s="53">
        <v>0</v>
      </c>
      <c r="E538" s="53">
        <v>1</v>
      </c>
      <c r="F538" s="51" t="s">
        <v>2715</v>
      </c>
      <c r="G538" s="51" t="s">
        <v>2695</v>
      </c>
      <c r="H538" s="25" t="str">
        <f t="shared" si="64"/>
        <v>jgd</v>
      </c>
      <c r="I538" t="s">
        <v>72</v>
      </c>
      <c r="J538" t="s">
        <v>848</v>
      </c>
      <c r="K538" t="s">
        <v>882</v>
      </c>
      <c r="L538" s="25">
        <v>46.185124279999997</v>
      </c>
      <c r="M538" s="25">
        <v>8.6625085970000004</v>
      </c>
      <c r="N538">
        <v>6</v>
      </c>
      <c r="O538">
        <v>20</v>
      </c>
      <c r="P538">
        <v>10</v>
      </c>
      <c r="Q538">
        <v>2015</v>
      </c>
      <c r="R538" s="9">
        <v>42297</v>
      </c>
      <c r="S538">
        <v>313</v>
      </c>
      <c r="T538">
        <v>1</v>
      </c>
      <c r="U538">
        <v>0</v>
      </c>
      <c r="V538">
        <v>0</v>
      </c>
      <c r="W538">
        <v>0</v>
      </c>
      <c r="X538">
        <f t="shared" si="65"/>
        <v>-74.724999999999994</v>
      </c>
      <c r="Y538">
        <v>-24.890599999999999</v>
      </c>
      <c r="Z538">
        <v>8.4124316369999992</v>
      </c>
      <c r="AA538" s="3">
        <f t="shared" si="67"/>
        <v>7</v>
      </c>
      <c r="AB538" s="3">
        <f t="shared" si="66"/>
        <v>8</v>
      </c>
      <c r="AD538" s="3" t="s">
        <v>2754</v>
      </c>
      <c r="AE538" s="22">
        <v>-84</v>
      </c>
      <c r="AF538" s="22">
        <f t="shared" si="68"/>
        <v>-84</v>
      </c>
      <c r="AG538" s="1">
        <v>-107</v>
      </c>
      <c r="AH538" s="2" t="s">
        <v>16</v>
      </c>
      <c r="AI538"/>
      <c r="AJ538" s="3">
        <f t="shared" si="69"/>
        <v>8</v>
      </c>
      <c r="AK538" s="3" t="s">
        <v>2706</v>
      </c>
      <c r="AL538">
        <v>8</v>
      </c>
      <c r="AM538" t="s">
        <v>15</v>
      </c>
    </row>
    <row r="539" spans="1:39" x14ac:dyDescent="0.3">
      <c r="A539" s="51" t="s">
        <v>1675</v>
      </c>
      <c r="B539" s="54" t="s">
        <v>950</v>
      </c>
      <c r="C539" s="51" t="s">
        <v>2765</v>
      </c>
      <c r="D539" s="53">
        <v>0</v>
      </c>
      <c r="E539" s="53">
        <v>1</v>
      </c>
      <c r="F539" s="51" t="s">
        <v>2715</v>
      </c>
      <c r="G539" s="51" t="s">
        <v>2695</v>
      </c>
      <c r="H539" s="25" t="str">
        <f t="shared" si="64"/>
        <v>jgd</v>
      </c>
      <c r="I539" t="s">
        <v>72</v>
      </c>
      <c r="J539" t="s">
        <v>931</v>
      </c>
      <c r="K539" t="s">
        <v>16</v>
      </c>
      <c r="L539" s="25">
        <v>46.049991370000001</v>
      </c>
      <c r="M539" s="25">
        <v>8.8769326670000002</v>
      </c>
      <c r="N539">
        <v>5</v>
      </c>
      <c r="O539">
        <v>29</v>
      </c>
      <c r="P539">
        <v>10</v>
      </c>
      <c r="Q539">
        <v>2016</v>
      </c>
      <c r="R539" s="9">
        <v>42672</v>
      </c>
      <c r="S539">
        <v>280</v>
      </c>
      <c r="T539">
        <v>1</v>
      </c>
      <c r="U539">
        <v>0</v>
      </c>
      <c r="V539">
        <v>0</v>
      </c>
      <c r="W539">
        <v>0</v>
      </c>
      <c r="X539" s="57">
        <f t="shared" si="65"/>
        <v>-74.552245499999998</v>
      </c>
      <c r="Y539">
        <v>-23.52</v>
      </c>
      <c r="Z539">
        <v>3.58</v>
      </c>
      <c r="AA539" s="3">
        <f t="shared" si="67"/>
        <v>7</v>
      </c>
      <c r="AB539" s="3">
        <f t="shared" si="66"/>
        <v>4</v>
      </c>
      <c r="AD539" s="3" t="s">
        <v>2754</v>
      </c>
      <c r="AE539" s="22">
        <v>-83.861796400000003</v>
      </c>
      <c r="AF539" s="22">
        <f t="shared" si="68"/>
        <v>-83.861796400000003</v>
      </c>
      <c r="AG539" s="60" t="s">
        <v>16</v>
      </c>
      <c r="AH539" s="61" t="s">
        <v>16</v>
      </c>
      <c r="AJ539" s="3">
        <f t="shared" si="69"/>
        <v>8</v>
      </c>
      <c r="AK539" s="3" t="s">
        <v>2706</v>
      </c>
      <c r="AL539">
        <v>8</v>
      </c>
      <c r="AM539" t="s">
        <v>15</v>
      </c>
    </row>
    <row r="540" spans="1:39" hidden="1" x14ac:dyDescent="0.3">
      <c r="A540" s="51" t="s">
        <v>784</v>
      </c>
      <c r="B540" s="54" t="s">
        <v>785</v>
      </c>
      <c r="C540" s="51" t="s">
        <v>2765</v>
      </c>
      <c r="D540" s="53">
        <v>0</v>
      </c>
      <c r="E540" s="53">
        <v>1</v>
      </c>
      <c r="F540" s="51" t="s">
        <v>2715</v>
      </c>
      <c r="G540" s="51" t="s">
        <v>2695</v>
      </c>
      <c r="H540" s="25" t="str">
        <f t="shared" si="64"/>
        <v>jgd</v>
      </c>
      <c r="I540" t="s">
        <v>30</v>
      </c>
      <c r="J540" t="s">
        <v>611</v>
      </c>
      <c r="K540" t="s">
        <v>786</v>
      </c>
      <c r="L540" s="25">
        <v>46.675978960000002</v>
      </c>
      <c r="M540" s="25">
        <v>7.0269567249999998</v>
      </c>
      <c r="N540">
        <v>3</v>
      </c>
      <c r="O540">
        <v>12</v>
      </c>
      <c r="P540">
        <v>12</v>
      </c>
      <c r="Q540">
        <v>2015</v>
      </c>
      <c r="R540" s="9">
        <v>42350</v>
      </c>
      <c r="S540">
        <v>344</v>
      </c>
      <c r="T540">
        <v>1</v>
      </c>
      <c r="U540">
        <v>0</v>
      </c>
      <c r="V540">
        <v>0</v>
      </c>
      <c r="W540">
        <v>0</v>
      </c>
      <c r="X540">
        <f t="shared" si="65"/>
        <v>-74.537499999999994</v>
      </c>
      <c r="Y540">
        <v>-25.172155709999998</v>
      </c>
      <c r="Z540">
        <v>3.8710326269999999</v>
      </c>
      <c r="AA540" s="3">
        <f t="shared" si="67"/>
        <v>7</v>
      </c>
      <c r="AB540" s="3">
        <f t="shared" si="66"/>
        <v>4</v>
      </c>
      <c r="AD540" s="3" t="s">
        <v>2751</v>
      </c>
      <c r="AE540" s="22">
        <v>-83.85</v>
      </c>
      <c r="AF540" s="22">
        <f t="shared" si="68"/>
        <v>-83.85</v>
      </c>
      <c r="AG540" s="1">
        <v>-106.8</v>
      </c>
      <c r="AH540" s="2" t="s">
        <v>16</v>
      </c>
      <c r="AI540"/>
      <c r="AJ540" s="3">
        <f t="shared" si="69"/>
        <v>8</v>
      </c>
      <c r="AK540" s="3" t="s">
        <v>2706</v>
      </c>
      <c r="AL540">
        <v>8</v>
      </c>
      <c r="AM540" t="s">
        <v>15</v>
      </c>
    </row>
    <row r="541" spans="1:39" x14ac:dyDescent="0.3">
      <c r="A541" s="51" t="s">
        <v>2042</v>
      </c>
      <c r="B541" s="54" t="s">
        <v>2043</v>
      </c>
      <c r="C541" s="51" t="s">
        <v>2765</v>
      </c>
      <c r="D541" s="53">
        <v>0</v>
      </c>
      <c r="E541" s="53">
        <v>1</v>
      </c>
      <c r="F541" s="51" t="s">
        <v>2715</v>
      </c>
      <c r="G541" s="51" t="s">
        <v>2695</v>
      </c>
      <c r="H541" s="25" t="str">
        <f t="shared" si="64"/>
        <v>jgd</v>
      </c>
      <c r="I541" t="s">
        <v>72</v>
      </c>
      <c r="J541" t="s">
        <v>213</v>
      </c>
      <c r="K541" t="s">
        <v>2039</v>
      </c>
      <c r="L541" s="25">
        <v>45.955988810000001</v>
      </c>
      <c r="M541" s="25">
        <v>9.0238128329999991</v>
      </c>
      <c r="N541">
        <v>6</v>
      </c>
      <c r="O541">
        <v>27</v>
      </c>
      <c r="P541">
        <v>10</v>
      </c>
      <c r="Q541">
        <v>2016</v>
      </c>
      <c r="R541" s="9">
        <v>42670</v>
      </c>
      <c r="S541">
        <v>360</v>
      </c>
      <c r="T541">
        <v>1</v>
      </c>
      <c r="U541">
        <v>0</v>
      </c>
      <c r="V541">
        <v>0</v>
      </c>
      <c r="W541">
        <v>0</v>
      </c>
      <c r="X541" s="57">
        <f t="shared" si="65"/>
        <v>-74.525701125000012</v>
      </c>
      <c r="Y541">
        <v>-24.11</v>
      </c>
      <c r="Z541">
        <v>7.92</v>
      </c>
      <c r="AA541" s="3">
        <f t="shared" si="67"/>
        <v>7</v>
      </c>
      <c r="AB541" s="3">
        <f t="shared" si="66"/>
        <v>8</v>
      </c>
      <c r="AD541" s="3" t="s">
        <v>2754</v>
      </c>
      <c r="AE541" s="22">
        <v>-83.8405609</v>
      </c>
      <c r="AF541" s="22">
        <f t="shared" si="68"/>
        <v>-83.8405609</v>
      </c>
      <c r="AG541" s="60" t="s">
        <v>16</v>
      </c>
      <c r="AH541" s="61" t="s">
        <v>16</v>
      </c>
      <c r="AJ541" s="3">
        <f t="shared" si="69"/>
        <v>8</v>
      </c>
      <c r="AK541" s="3" t="s">
        <v>2706</v>
      </c>
      <c r="AL541">
        <v>8</v>
      </c>
      <c r="AM541" t="s">
        <v>15</v>
      </c>
    </row>
    <row r="542" spans="1:39" x14ac:dyDescent="0.3">
      <c r="A542" s="51" t="s">
        <v>2542</v>
      </c>
      <c r="B542" s="54" t="s">
        <v>225</v>
      </c>
      <c r="C542" s="51" t="s">
        <v>2765</v>
      </c>
      <c r="D542" s="53">
        <v>0</v>
      </c>
      <c r="E542" s="53">
        <v>1</v>
      </c>
      <c r="F542" s="51" t="s">
        <v>2715</v>
      </c>
      <c r="G542" s="51" t="s">
        <v>2695</v>
      </c>
      <c r="H542" s="25" t="str">
        <f t="shared" si="64"/>
        <v>jgd</v>
      </c>
      <c r="I542" t="s">
        <v>72</v>
      </c>
      <c r="J542" t="s">
        <v>2543</v>
      </c>
      <c r="K542" t="s">
        <v>2544</v>
      </c>
      <c r="L542" s="25">
        <v>46.514727350000001</v>
      </c>
      <c r="M542" s="25">
        <v>8.5540646890000005</v>
      </c>
      <c r="N542">
        <v>5</v>
      </c>
      <c r="O542">
        <v>25</v>
      </c>
      <c r="P542">
        <v>10</v>
      </c>
      <c r="Q542">
        <v>2017</v>
      </c>
      <c r="R542" s="9">
        <v>43033</v>
      </c>
      <c r="S542">
        <v>289</v>
      </c>
      <c r="T542">
        <v>1</v>
      </c>
      <c r="U542">
        <v>0</v>
      </c>
      <c r="V542">
        <v>0</v>
      </c>
      <c r="W542">
        <v>0</v>
      </c>
      <c r="X542" s="57">
        <f t="shared" si="65"/>
        <v>-74.476274500000017</v>
      </c>
      <c r="Y542" t="s">
        <v>16</v>
      </c>
      <c r="Z542">
        <v>5.7324705959999998</v>
      </c>
      <c r="AA542" s="3">
        <f t="shared" si="67"/>
        <v>7</v>
      </c>
      <c r="AB542" s="3">
        <f t="shared" si="66"/>
        <v>6</v>
      </c>
      <c r="AD542" s="3" t="s">
        <v>2754</v>
      </c>
      <c r="AE542" s="22">
        <v>-83.801019600000004</v>
      </c>
      <c r="AF542" s="22">
        <f t="shared" si="68"/>
        <v>-83.801019600000004</v>
      </c>
      <c r="AG542" s="60" t="s">
        <v>16</v>
      </c>
      <c r="AH542" s="61" t="s">
        <v>16</v>
      </c>
      <c r="AJ542" s="3">
        <f t="shared" si="69"/>
        <v>8</v>
      </c>
      <c r="AK542" s="3" t="s">
        <v>2706</v>
      </c>
      <c r="AL542">
        <v>8</v>
      </c>
      <c r="AM542" t="s">
        <v>15</v>
      </c>
    </row>
    <row r="543" spans="1:39" x14ac:dyDescent="0.3">
      <c r="A543" s="51" t="s">
        <v>1969</v>
      </c>
      <c r="B543" s="54" t="s">
        <v>1970</v>
      </c>
      <c r="C543" s="51" t="s">
        <v>2765</v>
      </c>
      <c r="D543" s="53">
        <v>0</v>
      </c>
      <c r="E543" s="53">
        <v>1</v>
      </c>
      <c r="F543" s="51" t="s">
        <v>2715</v>
      </c>
      <c r="G543" s="51" t="s">
        <v>2695</v>
      </c>
      <c r="H543" s="25" t="str">
        <f t="shared" si="64"/>
        <v>jgd</v>
      </c>
      <c r="I543" t="s">
        <v>72</v>
      </c>
      <c r="J543" t="s">
        <v>1942</v>
      </c>
      <c r="K543" t="s">
        <v>1971</v>
      </c>
      <c r="L543" s="25">
        <v>46.051974000000001</v>
      </c>
      <c r="M543" s="25">
        <v>9.0042807239999991</v>
      </c>
      <c r="N543">
        <v>5</v>
      </c>
      <c r="O543">
        <v>3</v>
      </c>
      <c r="P543">
        <v>11</v>
      </c>
      <c r="Q543">
        <v>2016</v>
      </c>
      <c r="R543" s="9">
        <v>42677</v>
      </c>
      <c r="S543">
        <v>315</v>
      </c>
      <c r="T543">
        <v>1</v>
      </c>
      <c r="U543">
        <v>0</v>
      </c>
      <c r="V543">
        <v>0</v>
      </c>
      <c r="W543">
        <v>0</v>
      </c>
      <c r="X543" s="57">
        <f t="shared" si="65"/>
        <v>-74.453568000000018</v>
      </c>
      <c r="Y543">
        <v>-22.44</v>
      </c>
      <c r="Z543">
        <v>7.11</v>
      </c>
      <c r="AA543" s="3">
        <f t="shared" si="67"/>
        <v>7</v>
      </c>
      <c r="AB543" s="3">
        <f t="shared" si="66"/>
        <v>7</v>
      </c>
      <c r="AD543" s="3" t="s">
        <v>2754</v>
      </c>
      <c r="AE543" s="22">
        <v>-83.782854400000005</v>
      </c>
      <c r="AF543" s="22">
        <f t="shared" si="68"/>
        <v>-83.782854400000005</v>
      </c>
      <c r="AG543" s="60" t="s">
        <v>16</v>
      </c>
      <c r="AH543" s="61" t="s">
        <v>16</v>
      </c>
      <c r="AJ543" s="3">
        <f t="shared" si="69"/>
        <v>8</v>
      </c>
      <c r="AK543" s="3" t="s">
        <v>2706</v>
      </c>
      <c r="AL543">
        <v>8</v>
      </c>
      <c r="AM543" t="s">
        <v>15</v>
      </c>
    </row>
    <row r="544" spans="1:39" x14ac:dyDescent="0.3">
      <c r="A544" s="51" t="s">
        <v>1549</v>
      </c>
      <c r="B544" s="54" t="s">
        <v>1550</v>
      </c>
      <c r="C544" s="51" t="s">
        <v>2765</v>
      </c>
      <c r="D544" s="53">
        <v>0</v>
      </c>
      <c r="E544" s="53">
        <v>1</v>
      </c>
      <c r="F544" s="51" t="s">
        <v>2715</v>
      </c>
      <c r="G544" s="51" t="s">
        <v>2695</v>
      </c>
      <c r="H544" s="25" t="str">
        <f t="shared" si="64"/>
        <v>jgd</v>
      </c>
      <c r="I544" t="s">
        <v>72</v>
      </c>
      <c r="J544" t="s">
        <v>234</v>
      </c>
      <c r="K544" t="s">
        <v>1551</v>
      </c>
      <c r="L544" s="25">
        <v>47.067155659999997</v>
      </c>
      <c r="M544" s="25">
        <v>8.728264802</v>
      </c>
      <c r="N544">
        <v>6</v>
      </c>
      <c r="O544">
        <v>6</v>
      </c>
      <c r="P544">
        <v>11</v>
      </c>
      <c r="Q544">
        <v>2016</v>
      </c>
      <c r="R544" s="9">
        <v>42680</v>
      </c>
      <c r="S544">
        <v>374</v>
      </c>
      <c r="T544">
        <v>1</v>
      </c>
      <c r="U544">
        <v>0</v>
      </c>
      <c r="V544">
        <v>0</v>
      </c>
      <c r="W544">
        <v>0</v>
      </c>
      <c r="X544" s="57">
        <f t="shared" si="65"/>
        <v>-74.433680624999994</v>
      </c>
      <c r="Y544">
        <v>-23.22</v>
      </c>
      <c r="Z544">
        <v>7.66</v>
      </c>
      <c r="AA544" s="3">
        <f t="shared" si="67"/>
        <v>7</v>
      </c>
      <c r="AB544" s="3">
        <f t="shared" si="66"/>
        <v>8</v>
      </c>
      <c r="AD544" s="3" t="s">
        <v>2752</v>
      </c>
      <c r="AE544" s="22">
        <v>-83.766944499999994</v>
      </c>
      <c r="AF544" s="22">
        <f t="shared" si="68"/>
        <v>-83.766944499999994</v>
      </c>
      <c r="AG544" s="60" t="s">
        <v>16</v>
      </c>
      <c r="AH544" s="61" t="s">
        <v>16</v>
      </c>
      <c r="AJ544" s="3">
        <f t="shared" si="69"/>
        <v>8</v>
      </c>
      <c r="AK544" s="3" t="s">
        <v>2706</v>
      </c>
      <c r="AL544">
        <v>8</v>
      </c>
      <c r="AM544" t="s">
        <v>15</v>
      </c>
    </row>
    <row r="545" spans="1:39" hidden="1" x14ac:dyDescent="0.3">
      <c r="A545" s="51" t="s">
        <v>2016</v>
      </c>
      <c r="B545" s="54" t="s">
        <v>1379</v>
      </c>
      <c r="C545" s="51" t="s">
        <v>2765</v>
      </c>
      <c r="D545" s="53">
        <v>0</v>
      </c>
      <c r="E545" s="53">
        <v>1</v>
      </c>
      <c r="F545" s="51" t="s">
        <v>2715</v>
      </c>
      <c r="G545" s="51" t="s">
        <v>2695</v>
      </c>
      <c r="H545" s="25" t="str">
        <f t="shared" si="64"/>
        <v>jgd</v>
      </c>
      <c r="I545" t="s">
        <v>30</v>
      </c>
      <c r="J545" t="s">
        <v>31</v>
      </c>
      <c r="K545" t="s">
        <v>16</v>
      </c>
      <c r="L545" s="25">
        <v>46.642989329999999</v>
      </c>
      <c r="M545" s="25">
        <v>7.0140029549999996</v>
      </c>
      <c r="N545">
        <v>5</v>
      </c>
      <c r="O545">
        <v>3</v>
      </c>
      <c r="P545">
        <v>12</v>
      </c>
      <c r="Q545">
        <v>2016</v>
      </c>
      <c r="R545" s="9">
        <v>42707</v>
      </c>
      <c r="S545">
        <v>300</v>
      </c>
      <c r="T545">
        <v>1</v>
      </c>
      <c r="U545">
        <v>0</v>
      </c>
      <c r="V545">
        <v>0</v>
      </c>
      <c r="W545">
        <v>0</v>
      </c>
      <c r="X545" s="57">
        <f t="shared" si="65"/>
        <v>-74.322751000000011</v>
      </c>
      <c r="Y545">
        <v>-23.17</v>
      </c>
      <c r="Z545">
        <v>10.26</v>
      </c>
      <c r="AA545" s="3">
        <f t="shared" si="67"/>
        <v>7</v>
      </c>
      <c r="AB545" s="3">
        <f t="shared" si="66"/>
        <v>10</v>
      </c>
      <c r="AD545" s="3" t="s">
        <v>2751</v>
      </c>
      <c r="AE545" s="22">
        <v>-83.678200799999999</v>
      </c>
      <c r="AF545" s="22">
        <f t="shared" si="68"/>
        <v>-83.678200799999999</v>
      </c>
      <c r="AG545" s="60" t="s">
        <v>16</v>
      </c>
      <c r="AH545" s="61" t="s">
        <v>16</v>
      </c>
      <c r="AJ545" s="3">
        <f t="shared" si="69"/>
        <v>8</v>
      </c>
      <c r="AK545" s="3" t="s">
        <v>2706</v>
      </c>
      <c r="AL545">
        <v>8</v>
      </c>
      <c r="AM545" t="s">
        <v>15</v>
      </c>
    </row>
    <row r="546" spans="1:39" x14ac:dyDescent="0.3">
      <c r="A546" s="51" t="s">
        <v>2034</v>
      </c>
      <c r="B546" s="54" t="s">
        <v>2035</v>
      </c>
      <c r="C546" s="51" t="s">
        <v>2765</v>
      </c>
      <c r="D546" s="53">
        <v>0</v>
      </c>
      <c r="E546" s="53">
        <v>1</v>
      </c>
      <c r="F546" s="51" t="s">
        <v>2715</v>
      </c>
      <c r="G546" s="51" t="s">
        <v>2695</v>
      </c>
      <c r="H546" s="25" t="str">
        <f t="shared" si="64"/>
        <v>jgd</v>
      </c>
      <c r="I546" t="s">
        <v>72</v>
      </c>
      <c r="J546" t="s">
        <v>213</v>
      </c>
      <c r="K546" t="s">
        <v>2036</v>
      </c>
      <c r="L546" s="25">
        <v>45.949136840000001</v>
      </c>
      <c r="M546" s="25">
        <v>9.0055571529999998</v>
      </c>
      <c r="N546">
        <v>6</v>
      </c>
      <c r="O546">
        <v>18</v>
      </c>
      <c r="P546">
        <v>10</v>
      </c>
      <c r="Q546">
        <v>2016</v>
      </c>
      <c r="R546" s="9">
        <v>42661</v>
      </c>
      <c r="S546">
        <v>480</v>
      </c>
      <c r="T546">
        <v>1</v>
      </c>
      <c r="U546">
        <v>0</v>
      </c>
      <c r="V546">
        <v>0</v>
      </c>
      <c r="W546">
        <v>0</v>
      </c>
      <c r="X546" s="57">
        <f t="shared" si="65"/>
        <v>-74.249639624999986</v>
      </c>
      <c r="Y546">
        <v>-21.66</v>
      </c>
      <c r="Z546">
        <v>6.79</v>
      </c>
      <c r="AA546" s="3">
        <f t="shared" si="67"/>
        <v>7</v>
      </c>
      <c r="AB546" s="3">
        <f t="shared" si="66"/>
        <v>7</v>
      </c>
      <c r="AD546" s="3" t="s">
        <v>2754</v>
      </c>
      <c r="AE546" s="22">
        <v>-83.619711699999996</v>
      </c>
      <c r="AF546" s="22">
        <f t="shared" si="68"/>
        <v>-83.619711699999996</v>
      </c>
      <c r="AG546" s="60" t="s">
        <v>16</v>
      </c>
      <c r="AH546" s="61" t="s">
        <v>16</v>
      </c>
      <c r="AJ546" s="3">
        <f t="shared" si="69"/>
        <v>8</v>
      </c>
      <c r="AK546" s="3" t="s">
        <v>2706</v>
      </c>
      <c r="AL546">
        <v>8</v>
      </c>
      <c r="AM546" t="s">
        <v>15</v>
      </c>
    </row>
    <row r="547" spans="1:39" x14ac:dyDescent="0.3">
      <c r="A547" s="51" t="s">
        <v>1975</v>
      </c>
      <c r="B547" s="54" t="s">
        <v>1976</v>
      </c>
      <c r="C547" s="51" t="s">
        <v>2765</v>
      </c>
      <c r="D547" s="53">
        <v>0</v>
      </c>
      <c r="E547" s="53">
        <v>1</v>
      </c>
      <c r="F547" s="51" t="s">
        <v>2715</v>
      </c>
      <c r="G547" s="51" t="s">
        <v>2695</v>
      </c>
      <c r="H547" s="25" t="str">
        <f t="shared" si="64"/>
        <v>jgd</v>
      </c>
      <c r="I547" t="s">
        <v>72</v>
      </c>
      <c r="J547" t="s">
        <v>1473</v>
      </c>
      <c r="K547" t="s">
        <v>1474</v>
      </c>
      <c r="L547" s="25">
        <v>45.897093839999997</v>
      </c>
      <c r="M547" s="25">
        <v>9.0839099660000002</v>
      </c>
      <c r="N547">
        <v>5</v>
      </c>
      <c r="O547">
        <v>8</v>
      </c>
      <c r="P547">
        <v>11</v>
      </c>
      <c r="Q547">
        <v>2016</v>
      </c>
      <c r="R547" s="9">
        <v>42682</v>
      </c>
      <c r="S547">
        <v>325</v>
      </c>
      <c r="T547">
        <v>1</v>
      </c>
      <c r="U547">
        <v>0</v>
      </c>
      <c r="V547">
        <v>0</v>
      </c>
      <c r="W547">
        <v>0</v>
      </c>
      <c r="X547" s="57">
        <f t="shared" si="65"/>
        <v>-74.16217850000001</v>
      </c>
      <c r="Y547">
        <v>-23.44</v>
      </c>
      <c r="Z547">
        <v>5.15</v>
      </c>
      <c r="AA547" s="3">
        <f t="shared" si="67"/>
        <v>7</v>
      </c>
      <c r="AB547" s="3">
        <f t="shared" si="66"/>
        <v>5</v>
      </c>
      <c r="AD547" s="3" t="s">
        <v>2754</v>
      </c>
      <c r="AE547" s="22">
        <v>-83.549742800000004</v>
      </c>
      <c r="AF547" s="22">
        <f t="shared" si="68"/>
        <v>-83.549742800000004</v>
      </c>
      <c r="AG547" s="60" t="s">
        <v>16</v>
      </c>
      <c r="AH547" s="61" t="s">
        <v>16</v>
      </c>
      <c r="AJ547" s="3">
        <f t="shared" si="69"/>
        <v>8</v>
      </c>
      <c r="AK547" s="3" t="s">
        <v>2706</v>
      </c>
      <c r="AL547">
        <v>8</v>
      </c>
      <c r="AM547" t="s">
        <v>15</v>
      </c>
    </row>
    <row r="548" spans="1:39" hidden="1" x14ac:dyDescent="0.3">
      <c r="A548" s="51" t="s">
        <v>1002</v>
      </c>
      <c r="B548" s="54" t="s">
        <v>472</v>
      </c>
      <c r="C548" s="51" t="s">
        <v>2765</v>
      </c>
      <c r="D548" s="53">
        <v>0</v>
      </c>
      <c r="E548" s="53">
        <v>1</v>
      </c>
      <c r="F548" s="51" t="s">
        <v>2715</v>
      </c>
      <c r="G548" s="51" t="s">
        <v>2695</v>
      </c>
      <c r="H548" s="25" t="str">
        <f t="shared" si="64"/>
        <v>jgd</v>
      </c>
      <c r="I548" t="s">
        <v>385</v>
      </c>
      <c r="J548" t="s">
        <v>392</v>
      </c>
      <c r="K548" t="s">
        <v>1003</v>
      </c>
      <c r="L548" s="25">
        <v>46.81681631</v>
      </c>
      <c r="M548" s="25">
        <v>6.482869859</v>
      </c>
      <c r="N548">
        <v>5</v>
      </c>
      <c r="O548">
        <v>27</v>
      </c>
      <c r="P548">
        <v>10</v>
      </c>
      <c r="Q548">
        <v>2015</v>
      </c>
      <c r="R548" s="9">
        <v>42304</v>
      </c>
      <c r="S548">
        <v>380</v>
      </c>
      <c r="T548">
        <v>1</v>
      </c>
      <c r="U548">
        <v>0</v>
      </c>
      <c r="V548">
        <v>0</v>
      </c>
      <c r="W548">
        <v>0</v>
      </c>
      <c r="X548">
        <f t="shared" si="65"/>
        <v>-74.0625</v>
      </c>
      <c r="Y548">
        <v>-24.707000000000001</v>
      </c>
      <c r="Z548">
        <v>2.0945182710000001</v>
      </c>
      <c r="AA548" s="3">
        <f t="shared" si="67"/>
        <v>7</v>
      </c>
      <c r="AB548" s="3">
        <f t="shared" si="66"/>
        <v>2</v>
      </c>
      <c r="AD548" s="3" t="s">
        <v>2750</v>
      </c>
      <c r="AE548" s="22">
        <v>-83.47</v>
      </c>
      <c r="AF548" s="22">
        <f t="shared" si="68"/>
        <v>-83.47</v>
      </c>
      <c r="AG548" s="1">
        <v>-106.4</v>
      </c>
      <c r="AH548" s="2" t="s">
        <v>16</v>
      </c>
      <c r="AI548"/>
      <c r="AJ548" s="3">
        <f t="shared" si="69"/>
        <v>8</v>
      </c>
      <c r="AK548" s="3" t="s">
        <v>2706</v>
      </c>
      <c r="AL548">
        <v>8</v>
      </c>
      <c r="AM548" t="s">
        <v>15</v>
      </c>
    </row>
    <row r="549" spans="1:39" x14ac:dyDescent="0.3">
      <c r="A549" s="51" t="s">
        <v>886</v>
      </c>
      <c r="B549" s="54" t="s">
        <v>887</v>
      </c>
      <c r="C549" s="51" t="s">
        <v>2765</v>
      </c>
      <c r="D549" s="53">
        <v>0</v>
      </c>
      <c r="E549" s="53">
        <v>1</v>
      </c>
      <c r="F549" s="51" t="s">
        <v>2715</v>
      </c>
      <c r="G549" s="51" t="s">
        <v>2695</v>
      </c>
      <c r="H549" s="25" t="str">
        <f t="shared" si="64"/>
        <v>jgd</v>
      </c>
      <c r="I549" t="s">
        <v>72</v>
      </c>
      <c r="J549" t="s">
        <v>848</v>
      </c>
      <c r="K549" t="s">
        <v>16</v>
      </c>
      <c r="L549" s="25">
        <v>46.166015450000003</v>
      </c>
      <c r="M549" s="25">
        <v>8.6313920030000002</v>
      </c>
      <c r="N549">
        <v>6</v>
      </c>
      <c r="O549">
        <v>25</v>
      </c>
      <c r="P549">
        <v>10</v>
      </c>
      <c r="Q549">
        <v>2015</v>
      </c>
      <c r="R549" s="9">
        <v>42302</v>
      </c>
      <c r="S549">
        <v>335</v>
      </c>
      <c r="T549">
        <v>1</v>
      </c>
      <c r="U549">
        <v>0</v>
      </c>
      <c r="V549">
        <v>0</v>
      </c>
      <c r="W549">
        <v>0</v>
      </c>
      <c r="X549">
        <f t="shared" si="65"/>
        <v>-74.049999999999983</v>
      </c>
      <c r="Y549">
        <v>-23.50525</v>
      </c>
      <c r="Z549">
        <v>6.5984804869999998</v>
      </c>
      <c r="AA549" s="3">
        <f t="shared" si="67"/>
        <v>7</v>
      </c>
      <c r="AB549" s="3">
        <f t="shared" si="66"/>
        <v>7</v>
      </c>
      <c r="AD549" s="3" t="s">
        <v>2754</v>
      </c>
      <c r="AE549" s="22">
        <v>-83.46</v>
      </c>
      <c r="AF549" s="22">
        <f t="shared" si="68"/>
        <v>-83.46</v>
      </c>
      <c r="AG549" s="1">
        <v>-106.4</v>
      </c>
      <c r="AH549" s="2" t="s">
        <v>16</v>
      </c>
      <c r="AI549"/>
      <c r="AJ549" s="3">
        <f t="shared" si="69"/>
        <v>8</v>
      </c>
      <c r="AK549" s="3" t="s">
        <v>2706</v>
      </c>
      <c r="AL549">
        <v>8</v>
      </c>
      <c r="AM549" t="s">
        <v>15</v>
      </c>
    </row>
    <row r="550" spans="1:39" x14ac:dyDescent="0.3">
      <c r="A550" s="51" t="s">
        <v>2044</v>
      </c>
      <c r="B550" s="54" t="s">
        <v>1386</v>
      </c>
      <c r="C550" s="51" t="s">
        <v>2765</v>
      </c>
      <c r="D550" s="53">
        <v>0</v>
      </c>
      <c r="E550" s="53">
        <v>1</v>
      </c>
      <c r="F550" s="51" t="s">
        <v>2715</v>
      </c>
      <c r="G550" s="51" t="s">
        <v>2695</v>
      </c>
      <c r="H550" s="25" t="str">
        <f t="shared" si="64"/>
        <v>jgd</v>
      </c>
      <c r="I550" t="s">
        <v>72</v>
      </c>
      <c r="J550" t="s">
        <v>1387</v>
      </c>
      <c r="K550" t="s">
        <v>180</v>
      </c>
      <c r="L550" s="25">
        <v>46.108410839999998</v>
      </c>
      <c r="M550" s="25">
        <v>8.9842583739999995</v>
      </c>
      <c r="N550">
        <v>3</v>
      </c>
      <c r="O550">
        <v>15</v>
      </c>
      <c r="P550">
        <v>11</v>
      </c>
      <c r="Q550">
        <v>2016</v>
      </c>
      <c r="R550" s="9">
        <v>42689</v>
      </c>
      <c r="S550">
        <v>342</v>
      </c>
      <c r="T550">
        <v>1</v>
      </c>
      <c r="U550">
        <v>0</v>
      </c>
      <c r="V550">
        <v>0</v>
      </c>
      <c r="W550">
        <v>0</v>
      </c>
      <c r="X550" s="57">
        <f t="shared" si="65"/>
        <v>-73.867115499999983</v>
      </c>
      <c r="Y550">
        <v>-23.81</v>
      </c>
      <c r="Z550">
        <v>4.4800000000000004</v>
      </c>
      <c r="AA550" s="3">
        <f t="shared" si="67"/>
        <v>7</v>
      </c>
      <c r="AB550" s="3">
        <f t="shared" ref="AB550:AB581" si="70">ROUND(Z550,0)</f>
        <v>4</v>
      </c>
      <c r="AD550" s="3" t="s">
        <v>2754</v>
      </c>
      <c r="AE550" s="22">
        <v>-83.313692399999994</v>
      </c>
      <c r="AF550" s="22">
        <f t="shared" si="68"/>
        <v>-83.313692399999994</v>
      </c>
      <c r="AG550" s="60" t="s">
        <v>16</v>
      </c>
      <c r="AH550" s="61" t="s">
        <v>16</v>
      </c>
      <c r="AJ550" s="3">
        <f t="shared" si="69"/>
        <v>8</v>
      </c>
      <c r="AK550" s="3" t="s">
        <v>2706</v>
      </c>
      <c r="AL550">
        <v>8</v>
      </c>
      <c r="AM550" t="s">
        <v>15</v>
      </c>
    </row>
    <row r="551" spans="1:39" hidden="1" x14ac:dyDescent="0.3">
      <c r="A551" s="51" t="s">
        <v>1413</v>
      </c>
      <c r="B551" s="54" t="s">
        <v>1414</v>
      </c>
      <c r="C551" s="51" t="s">
        <v>2765</v>
      </c>
      <c r="D551" s="53">
        <v>0</v>
      </c>
      <c r="E551" s="53">
        <v>1</v>
      </c>
      <c r="F551" s="51" t="s">
        <v>2715</v>
      </c>
      <c r="G551" s="51" t="s">
        <v>2695</v>
      </c>
      <c r="H551" s="25" t="str">
        <f t="shared" si="64"/>
        <v>jgd</v>
      </c>
      <c r="I551" t="s">
        <v>30</v>
      </c>
      <c r="J551" t="s">
        <v>68</v>
      </c>
      <c r="K551" t="s">
        <v>16</v>
      </c>
      <c r="L551" s="25">
        <v>46.738394890000002</v>
      </c>
      <c r="M551" s="25">
        <v>6.9400442529999999</v>
      </c>
      <c r="N551">
        <v>4</v>
      </c>
      <c r="O551">
        <v>3</v>
      </c>
      <c r="P551">
        <v>12</v>
      </c>
      <c r="Q551">
        <v>2015</v>
      </c>
      <c r="R551" s="9">
        <v>42341</v>
      </c>
      <c r="S551">
        <v>345</v>
      </c>
      <c r="T551">
        <v>1</v>
      </c>
      <c r="U551">
        <v>0</v>
      </c>
      <c r="V551">
        <v>0</v>
      </c>
      <c r="W551">
        <v>0</v>
      </c>
      <c r="X551">
        <f t="shared" si="65"/>
        <v>-73.787499999999994</v>
      </c>
      <c r="Y551">
        <v>-23.858799999999999</v>
      </c>
      <c r="Z551">
        <v>6.4983951089999996</v>
      </c>
      <c r="AA551" s="3">
        <f t="shared" si="67"/>
        <v>7</v>
      </c>
      <c r="AB551" s="3">
        <f t="shared" si="70"/>
        <v>6</v>
      </c>
      <c r="AD551" s="3" t="s">
        <v>2751</v>
      </c>
      <c r="AE551" s="22">
        <v>-83.25</v>
      </c>
      <c r="AF551" s="22">
        <f t="shared" si="68"/>
        <v>-83.25</v>
      </c>
      <c r="AG551" s="1">
        <v>-106.2</v>
      </c>
      <c r="AH551" s="2" t="s">
        <v>16</v>
      </c>
      <c r="AI551"/>
      <c r="AJ551" s="3">
        <f t="shared" si="69"/>
        <v>8</v>
      </c>
      <c r="AK551" s="3" t="s">
        <v>2706</v>
      </c>
      <c r="AL551">
        <v>8</v>
      </c>
      <c r="AM551" t="s">
        <v>15</v>
      </c>
    </row>
    <row r="552" spans="1:39" x14ac:dyDescent="0.3">
      <c r="A552" s="51" t="s">
        <v>967</v>
      </c>
      <c r="B552" s="54" t="s">
        <v>161</v>
      </c>
      <c r="C552" s="51" t="s">
        <v>2765</v>
      </c>
      <c r="D552" s="53">
        <v>0</v>
      </c>
      <c r="E552" s="53">
        <v>1</v>
      </c>
      <c r="F552" s="51" t="s">
        <v>2715</v>
      </c>
      <c r="G552" s="51" t="s">
        <v>2695</v>
      </c>
      <c r="H552" s="25" t="str">
        <f t="shared" si="64"/>
        <v>jgd</v>
      </c>
      <c r="I552" t="s">
        <v>72</v>
      </c>
      <c r="J552" t="s">
        <v>958</v>
      </c>
      <c r="K552" t="s">
        <v>400</v>
      </c>
      <c r="L552" s="25">
        <v>46.122122240000003</v>
      </c>
      <c r="M552" s="25">
        <v>8.829382957</v>
      </c>
      <c r="N552">
        <v>4</v>
      </c>
      <c r="O552">
        <v>27</v>
      </c>
      <c r="P552">
        <v>10</v>
      </c>
      <c r="Q552">
        <v>2015</v>
      </c>
      <c r="R552" s="9">
        <v>42304</v>
      </c>
      <c r="S552">
        <v>283</v>
      </c>
      <c r="T552">
        <v>1</v>
      </c>
      <c r="U552">
        <v>0</v>
      </c>
      <c r="V552">
        <v>0</v>
      </c>
      <c r="W552">
        <v>0</v>
      </c>
      <c r="X552">
        <f t="shared" si="65"/>
        <v>-73.787499999999994</v>
      </c>
      <c r="Y552">
        <v>-24.155799999999999</v>
      </c>
      <c r="Z552">
        <v>4.8986809850000004</v>
      </c>
      <c r="AA552" s="3">
        <f t="shared" si="67"/>
        <v>7</v>
      </c>
      <c r="AB552" s="3">
        <f t="shared" si="70"/>
        <v>5</v>
      </c>
      <c r="AD552" s="3" t="s">
        <v>2754</v>
      </c>
      <c r="AE552" s="22">
        <v>-83.25</v>
      </c>
      <c r="AF552" s="22">
        <f t="shared" si="68"/>
        <v>-83.25</v>
      </c>
      <c r="AG552" s="1">
        <v>-106.2</v>
      </c>
      <c r="AH552" s="2" t="s">
        <v>16</v>
      </c>
      <c r="AI552"/>
      <c r="AJ552" s="3">
        <f t="shared" si="69"/>
        <v>8</v>
      </c>
      <c r="AK552" s="3" t="s">
        <v>2706</v>
      </c>
      <c r="AL552">
        <v>8</v>
      </c>
      <c r="AM552" t="s">
        <v>15</v>
      </c>
    </row>
    <row r="553" spans="1:39" x14ac:dyDescent="0.3">
      <c r="A553" s="51" t="s">
        <v>1243</v>
      </c>
      <c r="B553" s="54" t="s">
        <v>1244</v>
      </c>
      <c r="C553" s="51" t="s">
        <v>2765</v>
      </c>
      <c r="D553" s="53">
        <v>0</v>
      </c>
      <c r="E553" s="53">
        <v>1</v>
      </c>
      <c r="F553" s="51" t="s">
        <v>2715</v>
      </c>
      <c r="G553" s="51" t="s">
        <v>2695</v>
      </c>
      <c r="H553" s="25" t="str">
        <f t="shared" si="64"/>
        <v>jgd</v>
      </c>
      <c r="I553" t="s">
        <v>72</v>
      </c>
      <c r="J553" t="s">
        <v>1245</v>
      </c>
      <c r="K553" t="s">
        <v>1246</v>
      </c>
      <c r="L553" s="25">
        <v>46.06359089</v>
      </c>
      <c r="M553" s="25">
        <v>8.9044714420000002</v>
      </c>
      <c r="N553">
        <v>4</v>
      </c>
      <c r="O553">
        <v>12</v>
      </c>
      <c r="P553">
        <v>11</v>
      </c>
      <c r="Q553">
        <v>2015</v>
      </c>
      <c r="R553" s="9">
        <v>42320</v>
      </c>
      <c r="S553">
        <v>270</v>
      </c>
      <c r="T553">
        <v>1</v>
      </c>
      <c r="U553">
        <v>0</v>
      </c>
      <c r="V553">
        <v>0</v>
      </c>
      <c r="W553">
        <v>0</v>
      </c>
      <c r="X553">
        <f t="shared" si="65"/>
        <v>-73.674999999999983</v>
      </c>
      <c r="Y553">
        <v>-25.148260130000001</v>
      </c>
      <c r="Z553">
        <v>5.9053070239999998</v>
      </c>
      <c r="AA553" s="3">
        <f t="shared" si="67"/>
        <v>7</v>
      </c>
      <c r="AB553" s="3">
        <f t="shared" si="70"/>
        <v>6</v>
      </c>
      <c r="AD553" s="3" t="s">
        <v>2754</v>
      </c>
      <c r="AE553" s="22">
        <v>-83.16</v>
      </c>
      <c r="AF553" s="22">
        <f t="shared" si="68"/>
        <v>-83.16</v>
      </c>
      <c r="AG553" s="1">
        <v>-106.1</v>
      </c>
      <c r="AH553" s="2" t="s">
        <v>16</v>
      </c>
      <c r="AI553"/>
      <c r="AJ553" s="3">
        <f t="shared" si="69"/>
        <v>8</v>
      </c>
      <c r="AK553" s="3" t="s">
        <v>2706</v>
      </c>
      <c r="AL553">
        <v>8</v>
      </c>
      <c r="AM553" t="s">
        <v>15</v>
      </c>
    </row>
    <row r="554" spans="1:39" hidden="1" x14ac:dyDescent="0.3">
      <c r="A554" s="51" t="s">
        <v>560</v>
      </c>
      <c r="B554" s="54" t="s">
        <v>561</v>
      </c>
      <c r="C554" s="51" t="s">
        <v>2765</v>
      </c>
      <c r="D554" s="53">
        <v>0</v>
      </c>
      <c r="E554" s="53">
        <v>1</v>
      </c>
      <c r="F554" s="51" t="s">
        <v>2715</v>
      </c>
      <c r="G554" s="51" t="s">
        <v>2695</v>
      </c>
      <c r="H554" s="25" t="str">
        <f t="shared" si="64"/>
        <v>jgd</v>
      </c>
      <c r="I554" t="s">
        <v>385</v>
      </c>
      <c r="J554" t="s">
        <v>558</v>
      </c>
      <c r="K554" t="s">
        <v>562</v>
      </c>
      <c r="L554" s="25">
        <v>46.682888849999998</v>
      </c>
      <c r="M554" s="25">
        <v>6.3158143879999997</v>
      </c>
      <c r="N554">
        <v>4</v>
      </c>
      <c r="O554">
        <v>28</v>
      </c>
      <c r="P554">
        <v>10</v>
      </c>
      <c r="Q554">
        <v>2014</v>
      </c>
      <c r="R554" s="9">
        <v>41940</v>
      </c>
      <c r="S554">
        <v>318</v>
      </c>
      <c r="T554">
        <v>1</v>
      </c>
      <c r="U554">
        <v>0</v>
      </c>
      <c r="V554">
        <v>0</v>
      </c>
      <c r="W554">
        <v>0</v>
      </c>
      <c r="X554">
        <f t="shared" si="65"/>
        <v>-73.650000000000006</v>
      </c>
      <c r="Y554">
        <v>-23.137799999999999</v>
      </c>
      <c r="Z554">
        <v>3.9089561320000001</v>
      </c>
      <c r="AA554" s="3">
        <f t="shared" si="67"/>
        <v>7</v>
      </c>
      <c r="AB554" s="3">
        <f t="shared" si="70"/>
        <v>4</v>
      </c>
      <c r="AD554" s="3" t="s">
        <v>2750</v>
      </c>
      <c r="AE554" s="22">
        <v>-83.14</v>
      </c>
      <c r="AF554" s="22">
        <f t="shared" si="68"/>
        <v>-83.14</v>
      </c>
      <c r="AG554" s="1">
        <v>-106.1</v>
      </c>
      <c r="AH554" s="2" t="s">
        <v>16</v>
      </c>
      <c r="AI554"/>
      <c r="AJ554" s="3">
        <f t="shared" si="69"/>
        <v>8</v>
      </c>
      <c r="AK554" s="3" t="s">
        <v>2706</v>
      </c>
      <c r="AL554">
        <v>8</v>
      </c>
      <c r="AM554" t="s">
        <v>15</v>
      </c>
    </row>
    <row r="555" spans="1:39" hidden="1" x14ac:dyDescent="0.3">
      <c r="A555" s="51" t="s">
        <v>789</v>
      </c>
      <c r="B555" s="54" t="s">
        <v>40</v>
      </c>
      <c r="C555" s="51" t="s">
        <v>2765</v>
      </c>
      <c r="D555" s="53">
        <v>0</v>
      </c>
      <c r="E555" s="53">
        <v>1</v>
      </c>
      <c r="F555" s="51" t="s">
        <v>2715</v>
      </c>
      <c r="G555" s="51" t="s">
        <v>2695</v>
      </c>
      <c r="H555" s="25" t="str">
        <f t="shared" si="64"/>
        <v>jgd</v>
      </c>
      <c r="I555" t="s">
        <v>30</v>
      </c>
      <c r="J555" t="s">
        <v>788</v>
      </c>
      <c r="K555" t="s">
        <v>16</v>
      </c>
      <c r="L555" s="25">
        <v>46.639900019999999</v>
      </c>
      <c r="M555" s="25">
        <v>7.0011102559999996</v>
      </c>
      <c r="N555">
        <v>3</v>
      </c>
      <c r="O555">
        <v>29</v>
      </c>
      <c r="P555">
        <v>10</v>
      </c>
      <c r="Q555">
        <v>2015</v>
      </c>
      <c r="R555" s="9">
        <v>42306</v>
      </c>
      <c r="S555">
        <v>295</v>
      </c>
      <c r="T555">
        <v>1</v>
      </c>
      <c r="U555">
        <v>0</v>
      </c>
      <c r="V555">
        <v>0</v>
      </c>
      <c r="W555">
        <v>0</v>
      </c>
      <c r="X555">
        <f t="shared" si="65"/>
        <v>-73.599999999999994</v>
      </c>
      <c r="Y555">
        <v>-23.498037220000001</v>
      </c>
      <c r="Z555">
        <v>4.1124055869999996</v>
      </c>
      <c r="AA555" s="3">
        <f t="shared" si="67"/>
        <v>7</v>
      </c>
      <c r="AB555" s="3">
        <f t="shared" si="70"/>
        <v>4</v>
      </c>
      <c r="AD555" s="3" t="s">
        <v>2751</v>
      </c>
      <c r="AE555" s="22">
        <v>-83.1</v>
      </c>
      <c r="AF555" s="22">
        <f t="shared" si="68"/>
        <v>-83.1</v>
      </c>
      <c r="AG555" s="1">
        <v>-106</v>
      </c>
      <c r="AH555" s="2" t="s">
        <v>16</v>
      </c>
      <c r="AI555"/>
      <c r="AJ555" s="3">
        <f t="shared" si="69"/>
        <v>8</v>
      </c>
      <c r="AK555" s="3" t="s">
        <v>2706</v>
      </c>
      <c r="AL555">
        <v>8</v>
      </c>
      <c r="AM555" t="s">
        <v>15</v>
      </c>
    </row>
    <row r="556" spans="1:39" x14ac:dyDescent="0.3">
      <c r="A556" s="51" t="s">
        <v>1514</v>
      </c>
      <c r="B556" s="54" t="s">
        <v>338</v>
      </c>
      <c r="C556" s="51" t="s">
        <v>2765</v>
      </c>
      <c r="D556" s="53">
        <v>0</v>
      </c>
      <c r="E556" s="53">
        <v>1</v>
      </c>
      <c r="F556" s="51" t="s">
        <v>2715</v>
      </c>
      <c r="G556" s="51" t="s">
        <v>2695</v>
      </c>
      <c r="H556" s="25" t="str">
        <f t="shared" si="64"/>
        <v>jgd</v>
      </c>
      <c r="I556" t="s">
        <v>72</v>
      </c>
      <c r="J556" t="s">
        <v>1310</v>
      </c>
      <c r="K556" t="s">
        <v>740</v>
      </c>
      <c r="L556" s="25">
        <v>46.214613880000002</v>
      </c>
      <c r="M556" s="25">
        <v>8.6873156290000004</v>
      </c>
      <c r="N556">
        <v>6</v>
      </c>
      <c r="O556">
        <v>15</v>
      </c>
      <c r="P556">
        <v>11</v>
      </c>
      <c r="Q556">
        <v>2016</v>
      </c>
      <c r="R556" s="9">
        <v>42689</v>
      </c>
      <c r="S556">
        <v>348</v>
      </c>
      <c r="T556">
        <v>1</v>
      </c>
      <c r="U556">
        <v>0</v>
      </c>
      <c r="V556">
        <v>0</v>
      </c>
      <c r="W556">
        <v>0</v>
      </c>
      <c r="X556" s="57">
        <f t="shared" si="65"/>
        <v>-73.489610874999983</v>
      </c>
      <c r="Y556">
        <v>-23.75</v>
      </c>
      <c r="Z556">
        <v>6.44</v>
      </c>
      <c r="AA556" s="3">
        <f t="shared" si="67"/>
        <v>7</v>
      </c>
      <c r="AB556" s="3">
        <f t="shared" si="70"/>
        <v>6</v>
      </c>
      <c r="AD556" s="3" t="s">
        <v>2754</v>
      </c>
      <c r="AE556" s="22">
        <v>-83.011688699999993</v>
      </c>
      <c r="AF556" s="22">
        <f t="shared" si="68"/>
        <v>-83.011688699999993</v>
      </c>
      <c r="AG556" s="60" t="s">
        <v>16</v>
      </c>
      <c r="AH556" s="61" t="s">
        <v>16</v>
      </c>
      <c r="AJ556" s="3">
        <f t="shared" si="69"/>
        <v>8</v>
      </c>
      <c r="AK556" s="3" t="s">
        <v>2706</v>
      </c>
      <c r="AL556">
        <v>8</v>
      </c>
      <c r="AM556" t="s">
        <v>15</v>
      </c>
    </row>
    <row r="557" spans="1:39" x14ac:dyDescent="0.3">
      <c r="A557" s="51" t="s">
        <v>1985</v>
      </c>
      <c r="B557" s="54" t="s">
        <v>1258</v>
      </c>
      <c r="C557" s="51" t="s">
        <v>2765</v>
      </c>
      <c r="D557" s="53">
        <v>0</v>
      </c>
      <c r="E557" s="53">
        <v>1</v>
      </c>
      <c r="F557" s="51" t="s">
        <v>2715</v>
      </c>
      <c r="G557" s="51" t="s">
        <v>2695</v>
      </c>
      <c r="H557" s="25" t="str">
        <f t="shared" si="64"/>
        <v>jgd</v>
      </c>
      <c r="I557" t="s">
        <v>72</v>
      </c>
      <c r="J557" t="s">
        <v>1983</v>
      </c>
      <c r="K557" t="s">
        <v>1986</v>
      </c>
      <c r="L557" s="25">
        <v>46.06672614</v>
      </c>
      <c r="M557" s="25">
        <v>8.9055249910000001</v>
      </c>
      <c r="N557">
        <v>4</v>
      </c>
      <c r="O557">
        <v>25</v>
      </c>
      <c r="P557">
        <v>10</v>
      </c>
      <c r="Q557">
        <v>2016</v>
      </c>
      <c r="R557" s="9">
        <v>42668</v>
      </c>
      <c r="S557">
        <v>280</v>
      </c>
      <c r="T557">
        <v>1</v>
      </c>
      <c r="U557">
        <v>0</v>
      </c>
      <c r="V557">
        <v>0</v>
      </c>
      <c r="W557">
        <v>0</v>
      </c>
      <c r="X557" s="57">
        <f t="shared" si="65"/>
        <v>-73.433842499999997</v>
      </c>
      <c r="Y557">
        <v>-22.98</v>
      </c>
      <c r="Z557">
        <v>4.6100000000000003</v>
      </c>
      <c r="AA557" s="3">
        <f t="shared" si="67"/>
        <v>7</v>
      </c>
      <c r="AB557" s="3">
        <f t="shared" si="70"/>
        <v>5</v>
      </c>
      <c r="AD557" s="3" t="s">
        <v>2754</v>
      </c>
      <c r="AE557" s="22">
        <v>-82.967073999999997</v>
      </c>
      <c r="AF557" s="22">
        <f t="shared" si="68"/>
        <v>-82.967073999999997</v>
      </c>
      <c r="AG557" s="60" t="s">
        <v>16</v>
      </c>
      <c r="AH557" s="61" t="s">
        <v>16</v>
      </c>
      <c r="AJ557" s="3">
        <f t="shared" si="69"/>
        <v>8</v>
      </c>
      <c r="AK557" s="3" t="s">
        <v>2706</v>
      </c>
      <c r="AL557">
        <v>8</v>
      </c>
      <c r="AM557" t="s">
        <v>15</v>
      </c>
    </row>
    <row r="558" spans="1:39" x14ac:dyDescent="0.3">
      <c r="A558" s="51" t="s">
        <v>855</v>
      </c>
      <c r="B558" s="54" t="s">
        <v>856</v>
      </c>
      <c r="C558" s="51" t="s">
        <v>2765</v>
      </c>
      <c r="D558" s="53">
        <v>0</v>
      </c>
      <c r="E558" s="53">
        <v>1</v>
      </c>
      <c r="F558" s="51" t="s">
        <v>2715</v>
      </c>
      <c r="G558" s="51" t="s">
        <v>2695</v>
      </c>
      <c r="H558" s="25" t="str">
        <f t="shared" si="64"/>
        <v>jgd</v>
      </c>
      <c r="I558" t="s">
        <v>72</v>
      </c>
      <c r="J558" t="s">
        <v>848</v>
      </c>
      <c r="K558" t="s">
        <v>854</v>
      </c>
      <c r="L558" s="25">
        <v>46.177372349999999</v>
      </c>
      <c r="M558" s="25">
        <v>8.6429597149999999</v>
      </c>
      <c r="N558">
        <v>3</v>
      </c>
      <c r="O558">
        <v>4</v>
      </c>
      <c r="P558">
        <v>11</v>
      </c>
      <c r="Q558">
        <v>2015</v>
      </c>
      <c r="R558" s="9">
        <v>42312</v>
      </c>
      <c r="S558">
        <v>264</v>
      </c>
      <c r="T558">
        <v>1</v>
      </c>
      <c r="U558">
        <v>0</v>
      </c>
      <c r="V558">
        <v>0</v>
      </c>
      <c r="W558">
        <v>0</v>
      </c>
      <c r="X558">
        <f t="shared" si="65"/>
        <v>-73.400000000000006</v>
      </c>
      <c r="Y558">
        <v>-25.031766749999999</v>
      </c>
      <c r="Z558">
        <v>7.2520396729999996</v>
      </c>
      <c r="AA558" s="3">
        <f t="shared" si="67"/>
        <v>7</v>
      </c>
      <c r="AB558" s="3">
        <f t="shared" si="70"/>
        <v>7</v>
      </c>
      <c r="AD558" s="3" t="s">
        <v>2754</v>
      </c>
      <c r="AE558" s="22">
        <v>-82.94</v>
      </c>
      <c r="AF558" s="22">
        <f t="shared" si="68"/>
        <v>-82.94</v>
      </c>
      <c r="AG558" s="1">
        <v>-105.9</v>
      </c>
      <c r="AH558" s="2" t="s">
        <v>16</v>
      </c>
      <c r="AI558"/>
      <c r="AJ558" s="3">
        <f t="shared" si="69"/>
        <v>8</v>
      </c>
      <c r="AK558" s="3" t="s">
        <v>2706</v>
      </c>
      <c r="AL558">
        <v>8</v>
      </c>
      <c r="AM558" t="s">
        <v>15</v>
      </c>
    </row>
    <row r="559" spans="1:39" x14ac:dyDescent="0.3">
      <c r="A559" s="51" t="s">
        <v>743</v>
      </c>
      <c r="B559" s="54" t="s">
        <v>744</v>
      </c>
      <c r="C559" s="51" t="s">
        <v>2765</v>
      </c>
      <c r="D559" s="53">
        <v>0</v>
      </c>
      <c r="E559" s="53">
        <v>1</v>
      </c>
      <c r="F559" s="51" t="s">
        <v>2715</v>
      </c>
      <c r="G559" s="51" t="s">
        <v>2695</v>
      </c>
      <c r="H559" s="25" t="str">
        <f t="shared" si="64"/>
        <v>jgd</v>
      </c>
      <c r="I559" t="s">
        <v>72</v>
      </c>
      <c r="J559" t="s">
        <v>113</v>
      </c>
      <c r="K559" t="s">
        <v>114</v>
      </c>
      <c r="L559" s="25">
        <v>46.208074189999998</v>
      </c>
      <c r="M559" s="25">
        <v>8.6912994999999995</v>
      </c>
      <c r="N559">
        <v>6</v>
      </c>
      <c r="O559">
        <v>1</v>
      </c>
      <c r="P559">
        <v>11</v>
      </c>
      <c r="Q559">
        <v>2015</v>
      </c>
      <c r="R559" s="9">
        <v>42309</v>
      </c>
      <c r="S559">
        <v>280</v>
      </c>
      <c r="T559">
        <v>1</v>
      </c>
      <c r="U559">
        <v>0</v>
      </c>
      <c r="V559">
        <v>0</v>
      </c>
      <c r="W559">
        <v>0</v>
      </c>
      <c r="X559">
        <f t="shared" si="65"/>
        <v>-73.387500000000017</v>
      </c>
      <c r="Y559">
        <v>-25.14643714</v>
      </c>
      <c r="Z559">
        <v>5.7103306700000003</v>
      </c>
      <c r="AA559" s="3">
        <f t="shared" si="67"/>
        <v>7</v>
      </c>
      <c r="AB559" s="3">
        <f t="shared" si="70"/>
        <v>6</v>
      </c>
      <c r="AD559" s="3" t="s">
        <v>2754</v>
      </c>
      <c r="AE559" s="22">
        <v>-82.93</v>
      </c>
      <c r="AF559" s="22">
        <f t="shared" si="68"/>
        <v>-82.93</v>
      </c>
      <c r="AG559" s="1">
        <v>-105.9</v>
      </c>
      <c r="AH559" s="2" t="s">
        <v>16</v>
      </c>
      <c r="AI559"/>
      <c r="AJ559" s="3">
        <f t="shared" si="69"/>
        <v>8</v>
      </c>
      <c r="AK559" s="3" t="s">
        <v>2706</v>
      </c>
      <c r="AL559">
        <v>8</v>
      </c>
      <c r="AM559" t="s">
        <v>15</v>
      </c>
    </row>
    <row r="560" spans="1:39" hidden="1" x14ac:dyDescent="0.3">
      <c r="A560" s="51" t="s">
        <v>838</v>
      </c>
      <c r="B560" s="54" t="s">
        <v>839</v>
      </c>
      <c r="C560" s="51" t="s">
        <v>2765</v>
      </c>
      <c r="D560" s="53">
        <v>0</v>
      </c>
      <c r="E560" s="53">
        <v>1</v>
      </c>
      <c r="F560" s="51" t="s">
        <v>2715</v>
      </c>
      <c r="G560" s="51" t="s">
        <v>2695</v>
      </c>
      <c r="H560" s="25" t="str">
        <f t="shared" si="64"/>
        <v>jgd</v>
      </c>
      <c r="I560" t="s">
        <v>30</v>
      </c>
      <c r="J560" t="s">
        <v>840</v>
      </c>
      <c r="K560" t="s">
        <v>841</v>
      </c>
      <c r="L560" s="25">
        <v>46.755722919999997</v>
      </c>
      <c r="M560" s="25">
        <v>7.2588929090000001</v>
      </c>
      <c r="N560">
        <v>6</v>
      </c>
      <c r="O560">
        <v>9</v>
      </c>
      <c r="P560">
        <v>11</v>
      </c>
      <c r="Q560">
        <v>2015</v>
      </c>
      <c r="R560" s="9">
        <v>42317</v>
      </c>
      <c r="S560">
        <v>360</v>
      </c>
      <c r="T560">
        <v>1</v>
      </c>
      <c r="U560">
        <v>0</v>
      </c>
      <c r="V560">
        <v>0</v>
      </c>
      <c r="W560">
        <v>0</v>
      </c>
      <c r="X560">
        <f t="shared" si="65"/>
        <v>-73.375</v>
      </c>
      <c r="Y560">
        <v>-24.441274190000001</v>
      </c>
      <c r="Z560">
        <v>3.4225468210000001</v>
      </c>
      <c r="AA560" s="3">
        <f t="shared" si="67"/>
        <v>7</v>
      </c>
      <c r="AB560" s="3">
        <f t="shared" si="70"/>
        <v>3</v>
      </c>
      <c r="AD560" s="3" t="s">
        <v>2751</v>
      </c>
      <c r="AE560" s="22">
        <v>-82.92</v>
      </c>
      <c r="AF560" s="22">
        <f t="shared" si="68"/>
        <v>-82.92</v>
      </c>
      <c r="AG560" s="1">
        <v>-105.8</v>
      </c>
      <c r="AH560" s="2" t="s">
        <v>16</v>
      </c>
      <c r="AI560"/>
      <c r="AJ560" s="3">
        <f t="shared" si="69"/>
        <v>8</v>
      </c>
      <c r="AK560" s="3" t="s">
        <v>2706</v>
      </c>
      <c r="AL560">
        <v>8</v>
      </c>
      <c r="AM560" t="s">
        <v>15</v>
      </c>
    </row>
    <row r="561" spans="1:39" x14ac:dyDescent="0.3">
      <c r="A561" s="51" t="s">
        <v>1609</v>
      </c>
      <c r="B561" s="54" t="s">
        <v>1610</v>
      </c>
      <c r="C561" s="51" t="s">
        <v>2765</v>
      </c>
      <c r="D561" s="53">
        <v>0</v>
      </c>
      <c r="E561" s="53">
        <v>1</v>
      </c>
      <c r="F561" s="51" t="s">
        <v>2715</v>
      </c>
      <c r="G561" s="51" t="s">
        <v>2695</v>
      </c>
      <c r="H561" s="25" t="str">
        <f t="shared" si="64"/>
        <v>jgd</v>
      </c>
      <c r="I561" t="s">
        <v>72</v>
      </c>
      <c r="J561" t="s">
        <v>848</v>
      </c>
      <c r="K561" t="s">
        <v>16</v>
      </c>
      <c r="L561" s="25">
        <v>46.16446646</v>
      </c>
      <c r="M561" s="25">
        <v>8.6030927469999998</v>
      </c>
      <c r="N561">
        <v>5</v>
      </c>
      <c r="O561">
        <v>30</v>
      </c>
      <c r="P561">
        <v>10</v>
      </c>
      <c r="Q561">
        <v>2016</v>
      </c>
      <c r="R561" s="9">
        <v>42673</v>
      </c>
      <c r="S561">
        <v>385</v>
      </c>
      <c r="T561">
        <v>1</v>
      </c>
      <c r="U561">
        <v>0</v>
      </c>
      <c r="V561">
        <v>0</v>
      </c>
      <c r="W561">
        <v>0</v>
      </c>
      <c r="X561" s="57">
        <f t="shared" si="65"/>
        <v>-73.322356124999999</v>
      </c>
      <c r="Y561">
        <v>-24.01</v>
      </c>
      <c r="Z561">
        <v>6.97</v>
      </c>
      <c r="AA561" s="3">
        <f t="shared" si="67"/>
        <v>7</v>
      </c>
      <c r="AB561" s="3">
        <f t="shared" si="70"/>
        <v>7</v>
      </c>
      <c r="AD561" s="3" t="s">
        <v>2754</v>
      </c>
      <c r="AE561" s="22">
        <v>-82.877884899999998</v>
      </c>
      <c r="AF561" s="22">
        <f t="shared" si="68"/>
        <v>-82.877884899999998</v>
      </c>
      <c r="AG561" s="60" t="s">
        <v>16</v>
      </c>
      <c r="AH561" s="61" t="s">
        <v>16</v>
      </c>
      <c r="AJ561" s="3">
        <f t="shared" si="69"/>
        <v>8</v>
      </c>
      <c r="AK561" s="3" t="s">
        <v>2706</v>
      </c>
      <c r="AL561">
        <v>8</v>
      </c>
      <c r="AM561" t="s">
        <v>15</v>
      </c>
    </row>
    <row r="562" spans="1:39" x14ac:dyDescent="0.3">
      <c r="A562" s="51" t="s">
        <v>1288</v>
      </c>
      <c r="B562" s="54" t="s">
        <v>577</v>
      </c>
      <c r="C562" s="51" t="s">
        <v>2765</v>
      </c>
      <c r="D562" s="53">
        <v>0</v>
      </c>
      <c r="E562" s="53">
        <v>1</v>
      </c>
      <c r="F562" s="51" t="s">
        <v>2715</v>
      </c>
      <c r="G562" s="51" t="s">
        <v>2695</v>
      </c>
      <c r="H562" s="25" t="str">
        <f t="shared" si="64"/>
        <v>jgd</v>
      </c>
      <c r="I562" t="s">
        <v>72</v>
      </c>
      <c r="J562" t="s">
        <v>1289</v>
      </c>
      <c r="K562" t="s">
        <v>1290</v>
      </c>
      <c r="L562" s="25">
        <v>46.108451989999999</v>
      </c>
      <c r="M562" s="25">
        <v>9.0457042590000007</v>
      </c>
      <c r="N562">
        <v>5</v>
      </c>
      <c r="O562">
        <v>20</v>
      </c>
      <c r="P562">
        <v>10</v>
      </c>
      <c r="Q562">
        <v>2015</v>
      </c>
      <c r="R562" s="9">
        <v>42297</v>
      </c>
      <c r="S562">
        <v>325</v>
      </c>
      <c r="T562">
        <v>1</v>
      </c>
      <c r="U562">
        <v>0</v>
      </c>
      <c r="V562">
        <v>0</v>
      </c>
      <c r="W562">
        <v>0</v>
      </c>
      <c r="X562">
        <f t="shared" si="65"/>
        <v>-73.199999999999989</v>
      </c>
      <c r="Y562">
        <v>-24.373799999999999</v>
      </c>
      <c r="Z562">
        <v>3.7908441449999999</v>
      </c>
      <c r="AA562" s="3">
        <f t="shared" si="67"/>
        <v>7</v>
      </c>
      <c r="AB562" s="3">
        <f t="shared" si="70"/>
        <v>4</v>
      </c>
      <c r="AD562" s="3" t="s">
        <v>2754</v>
      </c>
      <c r="AE562" s="22">
        <v>-82.78</v>
      </c>
      <c r="AF562" s="22">
        <f t="shared" si="68"/>
        <v>-82.78</v>
      </c>
      <c r="AG562" s="1">
        <v>-105.7</v>
      </c>
      <c r="AH562" s="2" t="s">
        <v>16</v>
      </c>
      <c r="AI562"/>
      <c r="AJ562" s="3">
        <f t="shared" si="69"/>
        <v>8</v>
      </c>
      <c r="AK562" s="3" t="s">
        <v>2706</v>
      </c>
      <c r="AL562">
        <v>8</v>
      </c>
      <c r="AM562" t="s">
        <v>15</v>
      </c>
    </row>
    <row r="563" spans="1:39" hidden="1" x14ac:dyDescent="0.3">
      <c r="A563" s="51" t="s">
        <v>1566</v>
      </c>
      <c r="B563" s="54" t="s">
        <v>1567</v>
      </c>
      <c r="C563" s="51" t="s">
        <v>2765</v>
      </c>
      <c r="D563" s="53">
        <v>0</v>
      </c>
      <c r="E563" s="53">
        <v>1</v>
      </c>
      <c r="F563" s="51" t="s">
        <v>2715</v>
      </c>
      <c r="G563" s="51" t="s">
        <v>2695</v>
      </c>
      <c r="H563" s="25" t="str">
        <f t="shared" si="64"/>
        <v>jgd</v>
      </c>
      <c r="I563" t="s">
        <v>778</v>
      </c>
      <c r="J563" t="s">
        <v>1568</v>
      </c>
      <c r="K563" t="s">
        <v>1569</v>
      </c>
      <c r="L563" s="25">
        <v>46.324549840000003</v>
      </c>
      <c r="M563" s="25">
        <v>6.8867834649999997</v>
      </c>
      <c r="N563">
        <v>3</v>
      </c>
      <c r="O563">
        <v>12</v>
      </c>
      <c r="P563">
        <v>11</v>
      </c>
      <c r="Q563">
        <v>2016</v>
      </c>
      <c r="R563" s="9">
        <v>42686</v>
      </c>
      <c r="S563">
        <v>287</v>
      </c>
      <c r="T563">
        <v>1</v>
      </c>
      <c r="U563">
        <v>0</v>
      </c>
      <c r="V563">
        <v>0</v>
      </c>
      <c r="W563">
        <v>0</v>
      </c>
      <c r="X563" s="57">
        <f t="shared" si="65"/>
        <v>-73.171938000000011</v>
      </c>
      <c r="Y563">
        <v>-23.63</v>
      </c>
      <c r="Z563">
        <v>7.66</v>
      </c>
      <c r="AA563" s="3">
        <f t="shared" si="67"/>
        <v>7</v>
      </c>
      <c r="AB563" s="3">
        <f t="shared" si="70"/>
        <v>8</v>
      </c>
      <c r="AD563" s="3" t="s">
        <v>2752</v>
      </c>
      <c r="AE563" s="22">
        <v>-82.7575504</v>
      </c>
      <c r="AF563" s="22">
        <f t="shared" si="68"/>
        <v>-82.7575504</v>
      </c>
      <c r="AG563" s="60" t="s">
        <v>16</v>
      </c>
      <c r="AH563" s="61" t="s">
        <v>16</v>
      </c>
      <c r="AJ563" s="3">
        <f t="shared" si="69"/>
        <v>8</v>
      </c>
      <c r="AK563" s="3" t="s">
        <v>2706</v>
      </c>
      <c r="AL563">
        <v>8</v>
      </c>
      <c r="AM563" t="s">
        <v>15</v>
      </c>
    </row>
    <row r="564" spans="1:39" x14ac:dyDescent="0.3">
      <c r="A564" s="51" t="s">
        <v>1426</v>
      </c>
      <c r="B564" s="54" t="s">
        <v>305</v>
      </c>
      <c r="C564" s="51" t="s">
        <v>2765</v>
      </c>
      <c r="D564" s="53">
        <v>0</v>
      </c>
      <c r="E564" s="53">
        <v>1</v>
      </c>
      <c r="F564" s="51" t="s">
        <v>2715</v>
      </c>
      <c r="G564" s="51" t="s">
        <v>2695</v>
      </c>
      <c r="H564" s="25" t="str">
        <f t="shared" si="64"/>
        <v>jgd</v>
      </c>
      <c r="I564" t="s">
        <v>72</v>
      </c>
      <c r="J564" t="s">
        <v>1189</v>
      </c>
      <c r="K564" t="s">
        <v>1427</v>
      </c>
      <c r="L564" s="25">
        <v>46.06900306</v>
      </c>
      <c r="M564" s="25">
        <v>9.0038252510000003</v>
      </c>
      <c r="N564">
        <v>5</v>
      </c>
      <c r="O564">
        <v>12</v>
      </c>
      <c r="P564">
        <v>11</v>
      </c>
      <c r="Q564">
        <v>2016</v>
      </c>
      <c r="R564" s="9">
        <v>42686</v>
      </c>
      <c r="S564">
        <v>340</v>
      </c>
      <c r="T564">
        <v>1</v>
      </c>
      <c r="U564">
        <v>0</v>
      </c>
      <c r="V564">
        <v>0</v>
      </c>
      <c r="W564">
        <v>0</v>
      </c>
      <c r="X564" s="57">
        <f t="shared" si="65"/>
        <v>-73.141852999999998</v>
      </c>
      <c r="Y564">
        <v>-22.93</v>
      </c>
      <c r="Z564">
        <v>4.4400000000000004</v>
      </c>
      <c r="AA564" s="3">
        <f t="shared" si="67"/>
        <v>7</v>
      </c>
      <c r="AB564" s="3">
        <f t="shared" si="70"/>
        <v>4</v>
      </c>
      <c r="AD564" s="3" t="s">
        <v>2754</v>
      </c>
      <c r="AE564" s="22">
        <v>-82.7334824</v>
      </c>
      <c r="AF564" s="22">
        <f t="shared" si="68"/>
        <v>-82.7334824</v>
      </c>
      <c r="AG564" s="60" t="s">
        <v>16</v>
      </c>
      <c r="AH564" s="61" t="s">
        <v>16</v>
      </c>
      <c r="AJ564" s="3">
        <f t="shared" si="69"/>
        <v>8</v>
      </c>
      <c r="AK564" s="3" t="s">
        <v>2706</v>
      </c>
      <c r="AL564">
        <v>8</v>
      </c>
      <c r="AM564" t="s">
        <v>15</v>
      </c>
    </row>
    <row r="565" spans="1:39" hidden="1" x14ac:dyDescent="0.3">
      <c r="A565" s="51" t="s">
        <v>1160</v>
      </c>
      <c r="B565" s="54" t="s">
        <v>1161</v>
      </c>
      <c r="C565" s="51" t="s">
        <v>2765</v>
      </c>
      <c r="D565" s="53">
        <v>0</v>
      </c>
      <c r="E565" s="53">
        <v>1</v>
      </c>
      <c r="F565" s="51" t="s">
        <v>2715</v>
      </c>
      <c r="G565" s="51" t="s">
        <v>2695</v>
      </c>
      <c r="H565" s="25" t="str">
        <f t="shared" ref="H565:H628" si="71">IF(T565=1,"jgd",IF(W565=1,"Captures automne","Captures printemps-été"))</f>
        <v>jgd</v>
      </c>
      <c r="I565" t="s">
        <v>385</v>
      </c>
      <c r="J565" t="s">
        <v>1162</v>
      </c>
      <c r="K565" t="s">
        <v>1163</v>
      </c>
      <c r="L565" s="25">
        <v>46.499941909999997</v>
      </c>
      <c r="M565" s="25">
        <v>6.3525013530000001</v>
      </c>
      <c r="N565">
        <v>6</v>
      </c>
      <c r="O565">
        <v>24</v>
      </c>
      <c r="P565">
        <v>11</v>
      </c>
      <c r="Q565">
        <v>2015</v>
      </c>
      <c r="R565" s="9">
        <v>42332</v>
      </c>
      <c r="S565">
        <v>323</v>
      </c>
      <c r="T565">
        <v>1</v>
      </c>
      <c r="U565">
        <v>0</v>
      </c>
      <c r="V565">
        <v>0</v>
      </c>
      <c r="W565">
        <v>0</v>
      </c>
      <c r="X565">
        <f t="shared" ref="X565:X628" si="72">1.25*AF565+30.275</f>
        <v>-73.099999999999994</v>
      </c>
      <c r="Y565">
        <v>-24.172999999999998</v>
      </c>
      <c r="Z565">
        <v>5.3107569200000002</v>
      </c>
      <c r="AA565" s="3">
        <f t="shared" si="67"/>
        <v>7</v>
      </c>
      <c r="AB565" s="3">
        <f t="shared" si="70"/>
        <v>5</v>
      </c>
      <c r="AD565" s="3" t="s">
        <v>2751</v>
      </c>
      <c r="AE565" s="22">
        <v>-82.7</v>
      </c>
      <c r="AF565" s="22">
        <f t="shared" si="68"/>
        <v>-82.7</v>
      </c>
      <c r="AG565" s="1">
        <v>-105.6</v>
      </c>
      <c r="AH565" s="2" t="s">
        <v>16</v>
      </c>
      <c r="AI565"/>
      <c r="AJ565" s="3">
        <f t="shared" si="69"/>
        <v>8</v>
      </c>
      <c r="AK565" s="3" t="s">
        <v>2706</v>
      </c>
      <c r="AL565">
        <v>8</v>
      </c>
      <c r="AM565" t="s">
        <v>15</v>
      </c>
    </row>
    <row r="566" spans="1:39" hidden="1" x14ac:dyDescent="0.3">
      <c r="A566" s="51" t="s">
        <v>1144</v>
      </c>
      <c r="B566" s="54" t="s">
        <v>1145</v>
      </c>
      <c r="C566" s="51" t="s">
        <v>2765</v>
      </c>
      <c r="D566" s="53">
        <v>0</v>
      </c>
      <c r="E566" s="53">
        <v>1</v>
      </c>
      <c r="F566" s="51" t="s">
        <v>2715</v>
      </c>
      <c r="G566" s="51" t="s">
        <v>2695</v>
      </c>
      <c r="H566" s="25" t="str">
        <f t="shared" si="71"/>
        <v>jgd</v>
      </c>
      <c r="I566" t="s">
        <v>13</v>
      </c>
      <c r="J566" t="s">
        <v>1146</v>
      </c>
      <c r="K566" t="s">
        <v>1147</v>
      </c>
      <c r="L566" s="25">
        <v>47.08114733</v>
      </c>
      <c r="M566" s="25">
        <v>6.7486549179999997</v>
      </c>
      <c r="N566">
        <v>6</v>
      </c>
      <c r="O566">
        <v>14</v>
      </c>
      <c r="P566">
        <v>10</v>
      </c>
      <c r="Q566">
        <v>2015</v>
      </c>
      <c r="R566" s="9">
        <v>42291</v>
      </c>
      <c r="S566">
        <v>317</v>
      </c>
      <c r="T566">
        <v>1</v>
      </c>
      <c r="U566">
        <v>0</v>
      </c>
      <c r="V566">
        <v>0</v>
      </c>
      <c r="W566">
        <v>0</v>
      </c>
      <c r="X566">
        <f t="shared" si="72"/>
        <v>-73.025000000000006</v>
      </c>
      <c r="Y566">
        <v>-23.791</v>
      </c>
      <c r="Z566">
        <v>6.1105903169999998</v>
      </c>
      <c r="AA566" s="3">
        <f t="shared" si="67"/>
        <v>7</v>
      </c>
      <c r="AB566" s="3">
        <f t="shared" si="70"/>
        <v>6</v>
      </c>
      <c r="AD566" s="3" t="s">
        <v>2750</v>
      </c>
      <c r="AE566" s="22">
        <v>-82.64</v>
      </c>
      <c r="AF566" s="22">
        <f t="shared" si="68"/>
        <v>-82.64</v>
      </c>
      <c r="AG566" s="1">
        <v>-105.6</v>
      </c>
      <c r="AH566" s="2" t="s">
        <v>16</v>
      </c>
      <c r="AI566"/>
      <c r="AJ566" s="3">
        <f t="shared" si="69"/>
        <v>8</v>
      </c>
      <c r="AK566" s="3" t="s">
        <v>2706</v>
      </c>
      <c r="AL566">
        <v>8</v>
      </c>
      <c r="AM566" t="s">
        <v>15</v>
      </c>
    </row>
    <row r="567" spans="1:39" x14ac:dyDescent="0.3">
      <c r="A567" s="51" t="s">
        <v>863</v>
      </c>
      <c r="B567" s="54" t="s">
        <v>864</v>
      </c>
      <c r="C567" s="51" t="s">
        <v>2765</v>
      </c>
      <c r="D567" s="53">
        <v>0</v>
      </c>
      <c r="E567" s="53">
        <v>1</v>
      </c>
      <c r="F567" s="51" t="s">
        <v>2715</v>
      </c>
      <c r="G567" s="51" t="s">
        <v>2695</v>
      </c>
      <c r="H567" s="25" t="str">
        <f t="shared" si="71"/>
        <v>jgd</v>
      </c>
      <c r="I567" t="s">
        <v>72</v>
      </c>
      <c r="J567" t="s">
        <v>113</v>
      </c>
      <c r="K567" t="s">
        <v>114</v>
      </c>
      <c r="L567" s="25">
        <v>46.208378840000002</v>
      </c>
      <c r="M567" s="25">
        <v>8.6889739630000005</v>
      </c>
      <c r="N567">
        <v>6</v>
      </c>
      <c r="O567">
        <v>8</v>
      </c>
      <c r="P567">
        <v>11</v>
      </c>
      <c r="Q567">
        <v>2015</v>
      </c>
      <c r="R567" s="9">
        <v>42316</v>
      </c>
      <c r="S567">
        <v>347</v>
      </c>
      <c r="T567">
        <v>1</v>
      </c>
      <c r="U567">
        <v>0</v>
      </c>
      <c r="V567">
        <v>0</v>
      </c>
      <c r="W567">
        <v>0</v>
      </c>
      <c r="X567">
        <f t="shared" si="72"/>
        <v>-72.912499999999994</v>
      </c>
      <c r="Y567">
        <v>-24.972249999999999</v>
      </c>
      <c r="Z567">
        <v>6.7305649059999997</v>
      </c>
      <c r="AA567" s="3">
        <f t="shared" si="67"/>
        <v>7</v>
      </c>
      <c r="AB567" s="3">
        <f t="shared" si="70"/>
        <v>7</v>
      </c>
      <c r="AD567" s="3" t="s">
        <v>2754</v>
      </c>
      <c r="AE567" s="22">
        <v>-82.55</v>
      </c>
      <c r="AF567" s="22">
        <f t="shared" si="68"/>
        <v>-82.55</v>
      </c>
      <c r="AG567" s="1">
        <v>-105.5</v>
      </c>
      <c r="AH567" s="2" t="s">
        <v>16</v>
      </c>
      <c r="AI567"/>
      <c r="AJ567" s="3">
        <f t="shared" si="69"/>
        <v>8</v>
      </c>
      <c r="AK567" s="3" t="s">
        <v>2706</v>
      </c>
      <c r="AL567">
        <v>8</v>
      </c>
      <c r="AM567" t="s">
        <v>15</v>
      </c>
    </row>
    <row r="568" spans="1:39" x14ac:dyDescent="0.3">
      <c r="A568" s="51" t="s">
        <v>876</v>
      </c>
      <c r="B568" s="54" t="s">
        <v>877</v>
      </c>
      <c r="C568" s="51" t="s">
        <v>2765</v>
      </c>
      <c r="D568" s="53">
        <v>0</v>
      </c>
      <c r="E568" s="53">
        <v>1</v>
      </c>
      <c r="F568" s="51" t="s">
        <v>2715</v>
      </c>
      <c r="G568" s="51" t="s">
        <v>2695</v>
      </c>
      <c r="H568" s="25" t="str">
        <f t="shared" si="71"/>
        <v>jgd</v>
      </c>
      <c r="I568" t="s">
        <v>72</v>
      </c>
      <c r="J568" t="s">
        <v>113</v>
      </c>
      <c r="K568" t="s">
        <v>728</v>
      </c>
      <c r="L568" s="25">
        <v>46.210446689999998</v>
      </c>
      <c r="M568" s="25">
        <v>8.6890991759999991</v>
      </c>
      <c r="N568">
        <v>6</v>
      </c>
      <c r="O568">
        <v>18</v>
      </c>
      <c r="P568">
        <v>10</v>
      </c>
      <c r="Q568">
        <v>2015</v>
      </c>
      <c r="R568" s="9">
        <v>42295</v>
      </c>
      <c r="S568">
        <v>332</v>
      </c>
      <c r="T568">
        <v>1</v>
      </c>
      <c r="U568">
        <v>0</v>
      </c>
      <c r="V568">
        <v>0</v>
      </c>
      <c r="W568">
        <v>0</v>
      </c>
      <c r="X568">
        <f t="shared" si="72"/>
        <v>-72.837500000000006</v>
      </c>
      <c r="Y568">
        <v>-22.978000000000002</v>
      </c>
      <c r="Z568">
        <v>5.9908380079999999</v>
      </c>
      <c r="AA568" s="3">
        <f t="shared" si="67"/>
        <v>7</v>
      </c>
      <c r="AB568" s="3">
        <f t="shared" si="70"/>
        <v>6</v>
      </c>
      <c r="AD568" s="3" t="s">
        <v>2754</v>
      </c>
      <c r="AE568" s="22">
        <v>-82.49</v>
      </c>
      <c r="AF568" s="22">
        <f t="shared" si="68"/>
        <v>-82.49</v>
      </c>
      <c r="AG568" s="1">
        <v>-105.4</v>
      </c>
      <c r="AH568" s="2" t="s">
        <v>16</v>
      </c>
      <c r="AI568"/>
      <c r="AJ568" s="3">
        <f t="shared" si="69"/>
        <v>8</v>
      </c>
      <c r="AK568" s="3" t="s">
        <v>2706</v>
      </c>
      <c r="AL568">
        <v>8</v>
      </c>
      <c r="AM568" t="s">
        <v>15</v>
      </c>
    </row>
    <row r="569" spans="1:39" hidden="1" x14ac:dyDescent="0.3">
      <c r="A569" s="51" t="s">
        <v>834</v>
      </c>
      <c r="B569" s="54" t="s">
        <v>835</v>
      </c>
      <c r="C569" s="51" t="s">
        <v>2765</v>
      </c>
      <c r="D569" s="53">
        <v>0</v>
      </c>
      <c r="E569" s="53">
        <v>1</v>
      </c>
      <c r="F569" s="51" t="s">
        <v>2715</v>
      </c>
      <c r="G569" s="51" t="s">
        <v>2695</v>
      </c>
      <c r="H569" s="25" t="str">
        <f t="shared" si="71"/>
        <v>jgd</v>
      </c>
      <c r="I569" t="s">
        <v>30</v>
      </c>
      <c r="J569" t="s">
        <v>836</v>
      </c>
      <c r="K569" t="s">
        <v>837</v>
      </c>
      <c r="L569" s="25">
        <v>46.628905549999999</v>
      </c>
      <c r="M569" s="25">
        <v>6.9095188099999998</v>
      </c>
      <c r="N569">
        <v>5</v>
      </c>
      <c r="O569">
        <v>3</v>
      </c>
      <c r="P569">
        <v>11</v>
      </c>
      <c r="Q569">
        <v>2015</v>
      </c>
      <c r="R569" s="9">
        <v>42311</v>
      </c>
      <c r="S569">
        <v>302</v>
      </c>
      <c r="T569">
        <v>1</v>
      </c>
      <c r="U569">
        <v>0</v>
      </c>
      <c r="V569">
        <v>0</v>
      </c>
      <c r="W569">
        <v>0</v>
      </c>
      <c r="X569">
        <f t="shared" si="72"/>
        <v>-72.737499999999983</v>
      </c>
      <c r="Y569">
        <v>-24.237647020000001</v>
      </c>
      <c r="Z569">
        <v>4.28199752</v>
      </c>
      <c r="AA569" s="3">
        <f t="shared" si="67"/>
        <v>7</v>
      </c>
      <c r="AB569" s="3">
        <f t="shared" si="70"/>
        <v>4</v>
      </c>
      <c r="AD569" s="3" t="s">
        <v>2751</v>
      </c>
      <c r="AE569" s="22">
        <v>-82.41</v>
      </c>
      <c r="AF569" s="22">
        <f t="shared" si="68"/>
        <v>-82.41</v>
      </c>
      <c r="AG569" s="1">
        <v>-105.3</v>
      </c>
      <c r="AH569" s="2" t="s">
        <v>16</v>
      </c>
      <c r="AI569"/>
      <c r="AJ569" s="3">
        <f t="shared" si="69"/>
        <v>8</v>
      </c>
      <c r="AK569" s="3" t="s">
        <v>2706</v>
      </c>
      <c r="AL569">
        <v>8</v>
      </c>
      <c r="AM569" t="s">
        <v>15</v>
      </c>
    </row>
    <row r="570" spans="1:39" x14ac:dyDescent="0.3">
      <c r="A570" s="51" t="s">
        <v>653</v>
      </c>
      <c r="B570" s="54" t="s">
        <v>71</v>
      </c>
      <c r="C570" s="51" t="s">
        <v>2765</v>
      </c>
      <c r="D570" s="53">
        <v>0</v>
      </c>
      <c r="E570" s="53">
        <v>1</v>
      </c>
      <c r="F570" s="51" t="s">
        <v>2715</v>
      </c>
      <c r="G570" s="51" t="s">
        <v>2695</v>
      </c>
      <c r="H570" s="25" t="str">
        <f t="shared" si="71"/>
        <v>jgd</v>
      </c>
      <c r="I570" t="s">
        <v>72</v>
      </c>
      <c r="J570" t="s">
        <v>73</v>
      </c>
      <c r="K570" t="s">
        <v>654</v>
      </c>
      <c r="L570" s="25">
        <v>46.06649298</v>
      </c>
      <c r="M570" s="25">
        <v>9.0224957020000005</v>
      </c>
      <c r="N570">
        <v>5</v>
      </c>
      <c r="O570">
        <v>1</v>
      </c>
      <c r="P570">
        <v>11</v>
      </c>
      <c r="Q570">
        <v>2015</v>
      </c>
      <c r="R570" s="9">
        <v>42309</v>
      </c>
      <c r="S570">
        <v>340</v>
      </c>
      <c r="T570">
        <v>1</v>
      </c>
      <c r="U570">
        <v>0</v>
      </c>
      <c r="V570">
        <v>0</v>
      </c>
      <c r="W570">
        <v>0</v>
      </c>
      <c r="X570">
        <f t="shared" si="72"/>
        <v>-72.737499999999983</v>
      </c>
      <c r="Y570">
        <v>-24.9864</v>
      </c>
      <c r="Z570">
        <v>4.4308366399999999</v>
      </c>
      <c r="AA570" s="3">
        <f t="shared" si="67"/>
        <v>7</v>
      </c>
      <c r="AB570" s="3">
        <f t="shared" si="70"/>
        <v>4</v>
      </c>
      <c r="AD570" s="3" t="s">
        <v>2754</v>
      </c>
      <c r="AE570" s="22">
        <v>-82.41</v>
      </c>
      <c r="AF570" s="22">
        <f t="shared" si="68"/>
        <v>-82.41</v>
      </c>
      <c r="AG570" s="1">
        <v>-105.3</v>
      </c>
      <c r="AH570" s="2" t="s">
        <v>16</v>
      </c>
      <c r="AI570"/>
      <c r="AJ570" s="3">
        <f t="shared" si="69"/>
        <v>8</v>
      </c>
      <c r="AK570" s="3" t="s">
        <v>2706</v>
      </c>
      <c r="AL570">
        <v>8</v>
      </c>
      <c r="AM570" t="s">
        <v>15</v>
      </c>
    </row>
    <row r="571" spans="1:39" x14ac:dyDescent="0.3">
      <c r="A571" s="51" t="s">
        <v>1239</v>
      </c>
      <c r="B571" s="54" t="s">
        <v>1240</v>
      </c>
      <c r="C571" s="51" t="s">
        <v>2765</v>
      </c>
      <c r="D571" s="53">
        <v>0</v>
      </c>
      <c r="E571" s="53">
        <v>1</v>
      </c>
      <c r="F571" s="51" t="s">
        <v>2715</v>
      </c>
      <c r="G571" s="51" t="s">
        <v>2695</v>
      </c>
      <c r="H571" s="25" t="str">
        <f t="shared" si="71"/>
        <v>jgd</v>
      </c>
      <c r="I571" t="s">
        <v>72</v>
      </c>
      <c r="J571" t="s">
        <v>716</v>
      </c>
      <c r="K571" t="s">
        <v>720</v>
      </c>
      <c r="L571" s="25">
        <v>45.885502389999999</v>
      </c>
      <c r="M571" s="25">
        <v>9.0717867180000002</v>
      </c>
      <c r="N571">
        <v>5</v>
      </c>
      <c r="O571">
        <v>3</v>
      </c>
      <c r="P571">
        <v>11</v>
      </c>
      <c r="Q571">
        <v>2015</v>
      </c>
      <c r="R571" s="9">
        <v>42311</v>
      </c>
      <c r="S571">
        <v>300</v>
      </c>
      <c r="T571">
        <v>1</v>
      </c>
      <c r="U571">
        <v>0</v>
      </c>
      <c r="V571">
        <v>0</v>
      </c>
      <c r="W571">
        <v>0</v>
      </c>
      <c r="X571">
        <f t="shared" si="72"/>
        <v>-72.724999999999994</v>
      </c>
      <c r="Y571">
        <v>-25.145399999999999</v>
      </c>
      <c r="Z571">
        <v>5.588437206</v>
      </c>
      <c r="AA571" s="3">
        <f t="shared" si="67"/>
        <v>7</v>
      </c>
      <c r="AB571" s="3">
        <f t="shared" si="70"/>
        <v>6</v>
      </c>
      <c r="AD571" s="3" t="s">
        <v>2754</v>
      </c>
      <c r="AE571" s="22">
        <v>-82.4</v>
      </c>
      <c r="AF571" s="22">
        <f t="shared" si="68"/>
        <v>-82.4</v>
      </c>
      <c r="AG571" s="1">
        <v>-105.3</v>
      </c>
      <c r="AH571" s="2" t="s">
        <v>16</v>
      </c>
      <c r="AI571"/>
      <c r="AJ571" s="3">
        <f t="shared" si="69"/>
        <v>8</v>
      </c>
      <c r="AK571" s="3" t="s">
        <v>2706</v>
      </c>
      <c r="AL571">
        <v>8</v>
      </c>
      <c r="AM571" t="s">
        <v>15</v>
      </c>
    </row>
    <row r="572" spans="1:39" hidden="1" x14ac:dyDescent="0.3">
      <c r="A572" s="51" t="s">
        <v>189</v>
      </c>
      <c r="B572" s="54" t="s">
        <v>44</v>
      </c>
      <c r="C572" s="51" t="s">
        <v>2765</v>
      </c>
      <c r="D572" s="53">
        <v>0</v>
      </c>
      <c r="E572" s="53">
        <v>1</v>
      </c>
      <c r="F572" s="51" t="s">
        <v>2715</v>
      </c>
      <c r="G572" s="51" t="s">
        <v>2695</v>
      </c>
      <c r="H572" s="25" t="str">
        <f t="shared" si="71"/>
        <v>jgd</v>
      </c>
      <c r="I572" t="s">
        <v>13</v>
      </c>
      <c r="J572" t="s">
        <v>54</v>
      </c>
      <c r="K572" t="s">
        <v>190</v>
      </c>
      <c r="L572" s="25">
        <v>47.092600060000002</v>
      </c>
      <c r="M572" s="25">
        <v>6.8966567569999997</v>
      </c>
      <c r="N572">
        <v>6</v>
      </c>
      <c r="O572">
        <v>15</v>
      </c>
      <c r="P572">
        <v>10</v>
      </c>
      <c r="Q572">
        <v>2013</v>
      </c>
      <c r="R572" s="9">
        <v>41562</v>
      </c>
      <c r="S572">
        <v>342</v>
      </c>
      <c r="T572">
        <v>1</v>
      </c>
      <c r="U572">
        <v>0</v>
      </c>
      <c r="V572">
        <v>0</v>
      </c>
      <c r="W572">
        <v>0</v>
      </c>
      <c r="X572">
        <f t="shared" si="72"/>
        <v>-72.675000000000011</v>
      </c>
      <c r="Y572">
        <v>-31.974678430000001</v>
      </c>
      <c r="Z572">
        <v>4.2139024129999996</v>
      </c>
      <c r="AA572" s="3">
        <f t="shared" si="67"/>
        <v>7</v>
      </c>
      <c r="AB572" s="3">
        <f t="shared" si="70"/>
        <v>4</v>
      </c>
      <c r="AD572" s="3" t="s">
        <v>2750</v>
      </c>
      <c r="AE572" s="22">
        <v>-82.36</v>
      </c>
      <c r="AF572" s="22">
        <f t="shared" si="68"/>
        <v>-82.36</v>
      </c>
      <c r="AG572" s="1">
        <v>-105.3</v>
      </c>
      <c r="AH572" s="2" t="s">
        <v>16</v>
      </c>
      <c r="AI572"/>
      <c r="AJ572" s="3">
        <f t="shared" si="69"/>
        <v>8</v>
      </c>
      <c r="AK572" s="3" t="s">
        <v>2706</v>
      </c>
      <c r="AL572">
        <v>8</v>
      </c>
      <c r="AM572" t="s">
        <v>15</v>
      </c>
    </row>
    <row r="573" spans="1:39" x14ac:dyDescent="0.3">
      <c r="A573" s="51" t="s">
        <v>1448</v>
      </c>
      <c r="B573" s="54" t="s">
        <v>1449</v>
      </c>
      <c r="C573" s="51" t="s">
        <v>2765</v>
      </c>
      <c r="D573" s="53">
        <v>0</v>
      </c>
      <c r="E573" s="53">
        <v>1</v>
      </c>
      <c r="F573" s="51" t="s">
        <v>2715</v>
      </c>
      <c r="G573" s="51" t="s">
        <v>2695</v>
      </c>
      <c r="H573" s="25" t="str">
        <f t="shared" si="71"/>
        <v>jgd</v>
      </c>
      <c r="I573" t="s">
        <v>72</v>
      </c>
      <c r="J573" t="s">
        <v>694</v>
      </c>
      <c r="K573" t="s">
        <v>1450</v>
      </c>
      <c r="L573" s="25">
        <v>46.126035250000001</v>
      </c>
      <c r="M573" s="25">
        <v>8.9110013890000008</v>
      </c>
      <c r="N573">
        <v>5</v>
      </c>
      <c r="O573">
        <v>30</v>
      </c>
      <c r="P573">
        <v>11</v>
      </c>
      <c r="Q573">
        <v>2016</v>
      </c>
      <c r="R573" s="9">
        <v>42704</v>
      </c>
      <c r="S573">
        <v>305</v>
      </c>
      <c r="T573">
        <v>1</v>
      </c>
      <c r="U573">
        <v>0</v>
      </c>
      <c r="V573">
        <v>0</v>
      </c>
      <c r="W573">
        <v>0</v>
      </c>
      <c r="X573" s="57">
        <f t="shared" si="72"/>
        <v>-72.657207</v>
      </c>
      <c r="Y573">
        <v>-23.42</v>
      </c>
      <c r="Z573">
        <v>7.27</v>
      </c>
      <c r="AA573" s="3">
        <f t="shared" si="67"/>
        <v>7</v>
      </c>
      <c r="AB573" s="3">
        <f t="shared" si="70"/>
        <v>7</v>
      </c>
      <c r="AD573" s="3" t="s">
        <v>2754</v>
      </c>
      <c r="AE573" s="22">
        <v>-82.345765599999993</v>
      </c>
      <c r="AF573" s="22">
        <f t="shared" si="68"/>
        <v>-82.345765599999993</v>
      </c>
      <c r="AG573" s="60" t="s">
        <v>16</v>
      </c>
      <c r="AH573" s="61" t="s">
        <v>16</v>
      </c>
      <c r="AJ573" s="3">
        <f t="shared" si="69"/>
        <v>8</v>
      </c>
      <c r="AK573" s="3" t="s">
        <v>2706</v>
      </c>
      <c r="AL573">
        <v>8</v>
      </c>
      <c r="AM573" t="s">
        <v>15</v>
      </c>
    </row>
    <row r="574" spans="1:39" x14ac:dyDescent="0.3">
      <c r="A574" s="51" t="s">
        <v>1456</v>
      </c>
      <c r="B574" s="54" t="s">
        <v>1457</v>
      </c>
      <c r="C574" s="51" t="s">
        <v>2765</v>
      </c>
      <c r="D574" s="53">
        <v>0</v>
      </c>
      <c r="E574" s="53">
        <v>1</v>
      </c>
      <c r="F574" s="51" t="s">
        <v>2715</v>
      </c>
      <c r="G574" s="51" t="s">
        <v>2695</v>
      </c>
      <c r="H574" s="25" t="str">
        <f t="shared" si="71"/>
        <v>jgd</v>
      </c>
      <c r="I574" t="s">
        <v>72</v>
      </c>
      <c r="J574" t="s">
        <v>1458</v>
      </c>
      <c r="K574" t="s">
        <v>1459</v>
      </c>
      <c r="L574" s="25">
        <v>46.515433420000001</v>
      </c>
      <c r="M574" s="25">
        <v>8.5517856460000008</v>
      </c>
      <c r="N574">
        <v>5</v>
      </c>
      <c r="O574">
        <v>29</v>
      </c>
      <c r="P574">
        <v>10</v>
      </c>
      <c r="Q574">
        <v>2016</v>
      </c>
      <c r="R574" s="9">
        <v>42672</v>
      </c>
      <c r="S574">
        <v>325</v>
      </c>
      <c r="T574">
        <v>1</v>
      </c>
      <c r="U574">
        <v>0</v>
      </c>
      <c r="V574">
        <v>0</v>
      </c>
      <c r="W574">
        <v>0</v>
      </c>
      <c r="X574" s="57">
        <f t="shared" si="72"/>
        <v>-72.559536250000008</v>
      </c>
      <c r="Y574">
        <v>-23.32</v>
      </c>
      <c r="Z574">
        <v>7.97</v>
      </c>
      <c r="AA574" s="3">
        <f t="shared" si="67"/>
        <v>7</v>
      </c>
      <c r="AB574" s="3">
        <f t="shared" si="70"/>
        <v>8</v>
      </c>
      <c r="AD574" s="3" t="s">
        <v>2754</v>
      </c>
      <c r="AE574" s="22">
        <v>-82.267628999999999</v>
      </c>
      <c r="AF574" s="22">
        <f t="shared" si="68"/>
        <v>-82.267628999999999</v>
      </c>
      <c r="AG574" s="60" t="s">
        <v>16</v>
      </c>
      <c r="AH574" s="61" t="s">
        <v>16</v>
      </c>
      <c r="AJ574" s="3">
        <f t="shared" si="69"/>
        <v>8</v>
      </c>
      <c r="AK574" s="3" t="s">
        <v>2706</v>
      </c>
      <c r="AL574">
        <v>8</v>
      </c>
      <c r="AM574" t="s">
        <v>15</v>
      </c>
    </row>
    <row r="575" spans="1:39" x14ac:dyDescent="0.3">
      <c r="A575" s="51" t="s">
        <v>1645</v>
      </c>
      <c r="B575" s="54" t="s">
        <v>930</v>
      </c>
      <c r="C575" s="51" t="s">
        <v>2765</v>
      </c>
      <c r="D575" s="53">
        <v>0</v>
      </c>
      <c r="E575" s="53">
        <v>1</v>
      </c>
      <c r="F575" s="51" t="s">
        <v>2715</v>
      </c>
      <c r="G575" s="51" t="s">
        <v>2695</v>
      </c>
      <c r="H575" s="25" t="str">
        <f t="shared" si="71"/>
        <v>jgd</v>
      </c>
      <c r="I575" t="s">
        <v>72</v>
      </c>
      <c r="J575" t="s">
        <v>931</v>
      </c>
      <c r="K575" t="s">
        <v>16</v>
      </c>
      <c r="L575" s="25">
        <v>46.055440760000003</v>
      </c>
      <c r="M575" s="25">
        <v>8.8806686520000007</v>
      </c>
      <c r="N575">
        <v>2</v>
      </c>
      <c r="O575">
        <v>16</v>
      </c>
      <c r="P575">
        <v>10</v>
      </c>
      <c r="Q575">
        <v>2016</v>
      </c>
      <c r="R575" s="9">
        <v>42659</v>
      </c>
      <c r="S575">
        <v>330</v>
      </c>
      <c r="T575">
        <v>1</v>
      </c>
      <c r="U575">
        <v>0</v>
      </c>
      <c r="V575">
        <v>0</v>
      </c>
      <c r="W575">
        <v>0</v>
      </c>
      <c r="X575" s="57">
        <f t="shared" si="72"/>
        <v>-72.503019749999993</v>
      </c>
      <c r="Y575">
        <v>-23.86</v>
      </c>
      <c r="Z575">
        <v>6.65</v>
      </c>
      <c r="AA575" s="3">
        <f t="shared" si="67"/>
        <v>7</v>
      </c>
      <c r="AB575" s="3">
        <f t="shared" si="70"/>
        <v>7</v>
      </c>
      <c r="AD575" s="3" t="s">
        <v>2754</v>
      </c>
      <c r="AE575" s="22">
        <v>-82.222415799999993</v>
      </c>
      <c r="AF575" s="22">
        <f t="shared" si="68"/>
        <v>-82.222415799999993</v>
      </c>
      <c r="AG575" s="60" t="s">
        <v>16</v>
      </c>
      <c r="AH575" s="61" t="s">
        <v>16</v>
      </c>
      <c r="AJ575" s="3">
        <f t="shared" si="69"/>
        <v>8</v>
      </c>
      <c r="AK575" s="3" t="s">
        <v>2706</v>
      </c>
      <c r="AL575">
        <v>8</v>
      </c>
      <c r="AM575" t="s">
        <v>15</v>
      </c>
    </row>
    <row r="576" spans="1:39" x14ac:dyDescent="0.3">
      <c r="A576" s="51" t="s">
        <v>975</v>
      </c>
      <c r="B576" s="54" t="s">
        <v>433</v>
      </c>
      <c r="C576" s="51" t="s">
        <v>2765</v>
      </c>
      <c r="D576" s="53">
        <v>0</v>
      </c>
      <c r="E576" s="53">
        <v>1</v>
      </c>
      <c r="F576" s="51" t="s">
        <v>2715</v>
      </c>
      <c r="G576" s="51" t="s">
        <v>2695</v>
      </c>
      <c r="H576" s="25" t="str">
        <f t="shared" si="71"/>
        <v>jgd</v>
      </c>
      <c r="I576" t="s">
        <v>72</v>
      </c>
      <c r="J576" t="s">
        <v>958</v>
      </c>
      <c r="K576" t="s">
        <v>400</v>
      </c>
      <c r="L576" s="25">
        <v>46.118460740000003</v>
      </c>
      <c r="M576" s="25">
        <v>8.8344646709999992</v>
      </c>
      <c r="N576">
        <v>4</v>
      </c>
      <c r="O576">
        <v>11</v>
      </c>
      <c r="P576">
        <v>11</v>
      </c>
      <c r="Q576">
        <v>2015</v>
      </c>
      <c r="R576" s="9">
        <v>42319</v>
      </c>
      <c r="S576">
        <v>320</v>
      </c>
      <c r="T576">
        <v>1</v>
      </c>
      <c r="U576">
        <v>0</v>
      </c>
      <c r="V576">
        <v>0</v>
      </c>
      <c r="W576">
        <v>0</v>
      </c>
      <c r="X576">
        <f t="shared" si="72"/>
        <v>-72.450000000000017</v>
      </c>
      <c r="Y576">
        <v>-23.982598840000001</v>
      </c>
      <c r="Z576">
        <v>4.0277481269999997</v>
      </c>
      <c r="AA576" s="3">
        <f t="shared" si="67"/>
        <v>7</v>
      </c>
      <c r="AB576" s="3">
        <f t="shared" si="70"/>
        <v>4</v>
      </c>
      <c r="AD576" s="3" t="s">
        <v>2754</v>
      </c>
      <c r="AE576" s="22">
        <v>-82.18</v>
      </c>
      <c r="AF576" s="22">
        <f t="shared" si="68"/>
        <v>-82.18</v>
      </c>
      <c r="AG576" s="1">
        <v>-105.1</v>
      </c>
      <c r="AH576" s="2" t="s">
        <v>16</v>
      </c>
      <c r="AI576"/>
      <c r="AJ576" s="3">
        <f t="shared" si="69"/>
        <v>8</v>
      </c>
      <c r="AK576" s="3" t="s">
        <v>2706</v>
      </c>
      <c r="AL576">
        <v>8</v>
      </c>
      <c r="AM576" t="s">
        <v>15</v>
      </c>
    </row>
    <row r="577" spans="1:39" hidden="1" x14ac:dyDescent="0.3">
      <c r="A577" s="51" t="s">
        <v>1582</v>
      </c>
      <c r="B577" s="54" t="s">
        <v>1583</v>
      </c>
      <c r="C577" s="51" t="s">
        <v>2765</v>
      </c>
      <c r="D577" s="53">
        <v>0</v>
      </c>
      <c r="E577" s="53">
        <v>1</v>
      </c>
      <c r="F577" s="51" t="s">
        <v>2715</v>
      </c>
      <c r="G577" s="51" t="s">
        <v>2695</v>
      </c>
      <c r="H577" s="25" t="str">
        <f t="shared" si="71"/>
        <v>jgd</v>
      </c>
      <c r="I577" t="s">
        <v>30</v>
      </c>
      <c r="J577" t="s">
        <v>1584</v>
      </c>
      <c r="K577" t="s">
        <v>16</v>
      </c>
      <c r="L577" s="25">
        <v>46.59039997</v>
      </c>
      <c r="M577" s="25">
        <v>6.9949862200000004</v>
      </c>
      <c r="N577">
        <v>3</v>
      </c>
      <c r="O577">
        <v>22</v>
      </c>
      <c r="P577">
        <v>10</v>
      </c>
      <c r="Q577">
        <v>2016</v>
      </c>
      <c r="R577" s="9">
        <v>42665</v>
      </c>
      <c r="S577">
        <v>330</v>
      </c>
      <c r="T577">
        <v>1</v>
      </c>
      <c r="U577">
        <v>0</v>
      </c>
      <c r="V577">
        <v>0</v>
      </c>
      <c r="W577">
        <v>0</v>
      </c>
      <c r="X577" s="57">
        <f t="shared" si="72"/>
        <v>-72.332972000000012</v>
      </c>
      <c r="Y577">
        <v>-24.27</v>
      </c>
      <c r="Z577">
        <v>5.93</v>
      </c>
      <c r="AA577" s="3">
        <f t="shared" si="67"/>
        <v>7</v>
      </c>
      <c r="AB577" s="3">
        <f t="shared" si="70"/>
        <v>6</v>
      </c>
      <c r="AD577" s="3" t="s">
        <v>2752</v>
      </c>
      <c r="AE577" s="22">
        <v>-82.086377600000006</v>
      </c>
      <c r="AF577" s="22">
        <f t="shared" si="68"/>
        <v>-82.086377600000006</v>
      </c>
      <c r="AG577" s="60" t="s">
        <v>16</v>
      </c>
      <c r="AH577" s="61" t="s">
        <v>16</v>
      </c>
      <c r="AJ577" s="3">
        <f t="shared" si="69"/>
        <v>8</v>
      </c>
      <c r="AK577" s="3" t="s">
        <v>2706</v>
      </c>
      <c r="AL577">
        <v>8</v>
      </c>
      <c r="AM577" t="s">
        <v>15</v>
      </c>
    </row>
    <row r="578" spans="1:39" hidden="1" x14ac:dyDescent="0.3">
      <c r="A578" s="51" t="s">
        <v>2457</v>
      </c>
      <c r="B578" s="54" t="s">
        <v>1084</v>
      </c>
      <c r="C578" s="51" t="s">
        <v>2765</v>
      </c>
      <c r="D578" s="53">
        <v>0</v>
      </c>
      <c r="E578" s="53">
        <v>1</v>
      </c>
      <c r="F578" s="51" t="s">
        <v>2715</v>
      </c>
      <c r="G578" s="51" t="s">
        <v>2695</v>
      </c>
      <c r="H578" s="25" t="str">
        <f t="shared" si="71"/>
        <v>jgd</v>
      </c>
      <c r="I578" t="s">
        <v>13</v>
      </c>
      <c r="J578" t="s">
        <v>2437</v>
      </c>
      <c r="K578" t="s">
        <v>476</v>
      </c>
      <c r="L578" s="25">
        <v>47.093360879999999</v>
      </c>
      <c r="M578" s="25">
        <v>6.895858789</v>
      </c>
      <c r="N578">
        <v>6</v>
      </c>
      <c r="O578">
        <v>30</v>
      </c>
      <c r="P578">
        <v>10</v>
      </c>
      <c r="Q578">
        <v>2017</v>
      </c>
      <c r="R578" s="9">
        <v>43038</v>
      </c>
      <c r="S578">
        <v>305</v>
      </c>
      <c r="T578">
        <v>1</v>
      </c>
      <c r="U578">
        <v>0</v>
      </c>
      <c r="V578">
        <v>0</v>
      </c>
      <c r="W578">
        <v>0</v>
      </c>
      <c r="X578" s="57">
        <f t="shared" si="72"/>
        <v>-72.09965200000002</v>
      </c>
      <c r="Y578" t="s">
        <v>16</v>
      </c>
      <c r="Z578">
        <v>5.6464658249999999</v>
      </c>
      <c r="AA578" s="3">
        <f t="shared" si="67"/>
        <v>7</v>
      </c>
      <c r="AB578" s="3">
        <f t="shared" si="70"/>
        <v>6</v>
      </c>
      <c r="AD578" s="3" t="s">
        <v>2750</v>
      </c>
      <c r="AE578" s="22">
        <v>-81.899721600000007</v>
      </c>
      <c r="AF578" s="22">
        <f t="shared" si="68"/>
        <v>-81.899721600000007</v>
      </c>
      <c r="AG578" s="60" t="s">
        <v>16</v>
      </c>
      <c r="AH578" s="61" t="s">
        <v>16</v>
      </c>
      <c r="AJ578" s="3">
        <f t="shared" si="69"/>
        <v>8</v>
      </c>
      <c r="AK578" s="3" t="s">
        <v>2706</v>
      </c>
      <c r="AL578">
        <v>8</v>
      </c>
      <c r="AM578" t="s">
        <v>15</v>
      </c>
    </row>
    <row r="579" spans="1:39" x14ac:dyDescent="0.3">
      <c r="A579" s="51" t="s">
        <v>2536</v>
      </c>
      <c r="B579" s="54" t="s">
        <v>573</v>
      </c>
      <c r="C579" s="51" t="s">
        <v>2765</v>
      </c>
      <c r="D579" s="53">
        <v>0</v>
      </c>
      <c r="E579" s="53">
        <v>1</v>
      </c>
      <c r="F579" s="51" t="s">
        <v>2715</v>
      </c>
      <c r="G579" s="51" t="s">
        <v>2695</v>
      </c>
      <c r="H579" s="25" t="str">
        <f t="shared" si="71"/>
        <v>jgd</v>
      </c>
      <c r="I579" t="s">
        <v>72</v>
      </c>
      <c r="J579" t="s">
        <v>574</v>
      </c>
      <c r="K579" t="s">
        <v>1303</v>
      </c>
      <c r="L579" s="25">
        <v>46.082737299999998</v>
      </c>
      <c r="M579" s="25">
        <v>9.0507657639999994</v>
      </c>
      <c r="N579">
        <v>5</v>
      </c>
      <c r="O579">
        <v>25</v>
      </c>
      <c r="P579">
        <v>10</v>
      </c>
      <c r="Q579">
        <v>2017</v>
      </c>
      <c r="R579" s="9">
        <v>43033</v>
      </c>
      <c r="S579">
        <v>285</v>
      </c>
      <c r="T579">
        <v>1</v>
      </c>
      <c r="U579">
        <v>0</v>
      </c>
      <c r="V579">
        <v>0</v>
      </c>
      <c r="W579">
        <v>0</v>
      </c>
      <c r="X579" s="57">
        <f t="shared" si="72"/>
        <v>-72.08352124999999</v>
      </c>
      <c r="Y579" t="s">
        <v>16</v>
      </c>
      <c r="Z579">
        <v>6.5498429930000004</v>
      </c>
      <c r="AA579" s="3">
        <f t="shared" si="67"/>
        <v>7</v>
      </c>
      <c r="AB579" s="3">
        <f t="shared" si="70"/>
        <v>7</v>
      </c>
      <c r="AD579" s="3" t="s">
        <v>2754</v>
      </c>
      <c r="AE579" s="22">
        <v>-81.886816999999994</v>
      </c>
      <c r="AF579" s="22">
        <f t="shared" si="68"/>
        <v>-81.886816999999994</v>
      </c>
      <c r="AG579" s="60" t="s">
        <v>16</v>
      </c>
      <c r="AH579" s="61" t="s">
        <v>16</v>
      </c>
      <c r="AJ579" s="3">
        <f t="shared" si="69"/>
        <v>8</v>
      </c>
      <c r="AK579" s="3" t="s">
        <v>2706</v>
      </c>
      <c r="AL579">
        <v>8</v>
      </c>
      <c r="AM579" t="s">
        <v>15</v>
      </c>
    </row>
    <row r="580" spans="1:39" x14ac:dyDescent="0.3">
      <c r="A580" s="51" t="s">
        <v>1113</v>
      </c>
      <c r="B580" s="54" t="s">
        <v>1114</v>
      </c>
      <c r="C580" s="51" t="s">
        <v>2765</v>
      </c>
      <c r="D580" s="53">
        <v>0</v>
      </c>
      <c r="E580" s="53">
        <v>1</v>
      </c>
      <c r="F580" s="51" t="s">
        <v>2715</v>
      </c>
      <c r="G580" s="51" t="s">
        <v>2695</v>
      </c>
      <c r="H580" s="25" t="str">
        <f t="shared" si="71"/>
        <v>jgd</v>
      </c>
      <c r="I580" t="s">
        <v>72</v>
      </c>
      <c r="J580" t="s">
        <v>1115</v>
      </c>
      <c r="K580" t="s">
        <v>1116</v>
      </c>
      <c r="L580" s="25">
        <v>46.02084997</v>
      </c>
      <c r="M580" s="25">
        <v>8.8113481890000003</v>
      </c>
      <c r="N580">
        <v>5</v>
      </c>
      <c r="O580">
        <v>31</v>
      </c>
      <c r="P580">
        <v>10</v>
      </c>
      <c r="Q580">
        <v>2015</v>
      </c>
      <c r="R580" s="9">
        <v>42308</v>
      </c>
      <c r="S580" t="s">
        <v>16</v>
      </c>
      <c r="T580">
        <v>1</v>
      </c>
      <c r="U580">
        <v>0</v>
      </c>
      <c r="V580">
        <v>0</v>
      </c>
      <c r="W580">
        <v>0</v>
      </c>
      <c r="X580">
        <f t="shared" si="72"/>
        <v>-72.074999999999989</v>
      </c>
      <c r="Y580">
        <v>-24.086400000000001</v>
      </c>
      <c r="Z580">
        <v>7.2794638330000003</v>
      </c>
      <c r="AA580" s="3">
        <f t="shared" si="67"/>
        <v>7</v>
      </c>
      <c r="AB580" s="3">
        <f t="shared" si="70"/>
        <v>7</v>
      </c>
      <c r="AD580" s="3" t="s">
        <v>2754</v>
      </c>
      <c r="AE580" s="22">
        <v>-81.88</v>
      </c>
      <c r="AF580" s="22">
        <f t="shared" si="68"/>
        <v>-81.88</v>
      </c>
      <c r="AG580" s="1">
        <v>-104.8</v>
      </c>
      <c r="AH580" s="2" t="s">
        <v>16</v>
      </c>
      <c r="AI580"/>
      <c r="AJ580" s="3">
        <f t="shared" si="69"/>
        <v>8</v>
      </c>
      <c r="AK580" s="3" t="s">
        <v>2706</v>
      </c>
      <c r="AL580">
        <v>8</v>
      </c>
      <c r="AM580" t="s">
        <v>15</v>
      </c>
    </row>
    <row r="581" spans="1:39" x14ac:dyDescent="0.3">
      <c r="A581" s="51" t="s">
        <v>1218</v>
      </c>
      <c r="B581" s="54" t="s">
        <v>1219</v>
      </c>
      <c r="C581" s="51" t="s">
        <v>2765</v>
      </c>
      <c r="D581" s="53">
        <v>0</v>
      </c>
      <c r="E581" s="53">
        <v>1</v>
      </c>
      <c r="F581" s="51" t="s">
        <v>2715</v>
      </c>
      <c r="G581" s="51" t="s">
        <v>2695</v>
      </c>
      <c r="H581" s="25" t="str">
        <f t="shared" si="71"/>
        <v>jgd</v>
      </c>
      <c r="I581" t="s">
        <v>72</v>
      </c>
      <c r="J581" t="s">
        <v>1220</v>
      </c>
      <c r="K581" t="s">
        <v>1221</v>
      </c>
      <c r="L581" s="25">
        <v>45.899060660000004</v>
      </c>
      <c r="M581" s="25">
        <v>9.0443433189999993</v>
      </c>
      <c r="N581">
        <v>5</v>
      </c>
      <c r="O581">
        <v>17</v>
      </c>
      <c r="P581">
        <v>11</v>
      </c>
      <c r="Q581">
        <v>2015</v>
      </c>
      <c r="R581" s="9">
        <v>42325</v>
      </c>
      <c r="S581">
        <v>200</v>
      </c>
      <c r="T581">
        <v>1</v>
      </c>
      <c r="U581">
        <v>0</v>
      </c>
      <c r="V581">
        <v>0</v>
      </c>
      <c r="W581">
        <v>0</v>
      </c>
      <c r="X581">
        <f t="shared" si="72"/>
        <v>-71.875</v>
      </c>
      <c r="Y581">
        <v>-24.3308</v>
      </c>
      <c r="Z581">
        <v>7.3975176219999996</v>
      </c>
      <c r="AA581" s="3">
        <f t="shared" si="67"/>
        <v>7</v>
      </c>
      <c r="AB581" s="3">
        <f t="shared" si="70"/>
        <v>7</v>
      </c>
      <c r="AD581" s="3" t="s">
        <v>2754</v>
      </c>
      <c r="AE581" s="22">
        <v>-81.72</v>
      </c>
      <c r="AF581" s="22">
        <f t="shared" si="68"/>
        <v>-81.72</v>
      </c>
      <c r="AG581" s="1">
        <v>-104.6</v>
      </c>
      <c r="AH581" s="2" t="s">
        <v>16</v>
      </c>
      <c r="AI581"/>
      <c r="AJ581" s="3">
        <f t="shared" si="69"/>
        <v>8</v>
      </c>
      <c r="AK581" s="3" t="s">
        <v>2706</v>
      </c>
      <c r="AL581">
        <v>8</v>
      </c>
      <c r="AM581" t="s">
        <v>15</v>
      </c>
    </row>
    <row r="582" spans="1:39" x14ac:dyDescent="0.3">
      <c r="A582" s="51" t="s">
        <v>1443</v>
      </c>
      <c r="B582" s="54" t="s">
        <v>693</v>
      </c>
      <c r="C582" s="51" t="s">
        <v>2765</v>
      </c>
      <c r="D582" s="53">
        <v>0</v>
      </c>
      <c r="E582" s="53">
        <v>1</v>
      </c>
      <c r="F582" s="51" t="s">
        <v>2715</v>
      </c>
      <c r="G582" s="51" t="s">
        <v>2695</v>
      </c>
      <c r="H582" s="25" t="str">
        <f t="shared" si="71"/>
        <v>jgd</v>
      </c>
      <c r="I582" t="s">
        <v>72</v>
      </c>
      <c r="J582" t="s">
        <v>694</v>
      </c>
      <c r="K582" t="s">
        <v>698</v>
      </c>
      <c r="L582" s="25">
        <v>46.128451750000004</v>
      </c>
      <c r="M582" s="25">
        <v>8.8981264580000001</v>
      </c>
      <c r="N582">
        <v>5</v>
      </c>
      <c r="O582">
        <v>17</v>
      </c>
      <c r="P582">
        <v>11</v>
      </c>
      <c r="Q582">
        <v>2016</v>
      </c>
      <c r="R582" s="9">
        <v>42691</v>
      </c>
      <c r="S582">
        <v>220</v>
      </c>
      <c r="T582">
        <v>1</v>
      </c>
      <c r="U582">
        <v>0</v>
      </c>
      <c r="V582">
        <v>0</v>
      </c>
      <c r="W582">
        <v>0</v>
      </c>
      <c r="X582" s="57">
        <f t="shared" si="72"/>
        <v>-71.850032499999998</v>
      </c>
      <c r="Y582">
        <v>-24.04</v>
      </c>
      <c r="Z582">
        <v>4.33</v>
      </c>
      <c r="AA582" s="3">
        <f t="shared" si="67"/>
        <v>7</v>
      </c>
      <c r="AB582" s="3">
        <f t="shared" ref="AB582:AB604" si="73">ROUND(Z582,0)</f>
        <v>4</v>
      </c>
      <c r="AD582" s="3" t="s">
        <v>2754</v>
      </c>
      <c r="AE582" s="22">
        <v>-81.700025999999994</v>
      </c>
      <c r="AF582" s="22">
        <f t="shared" si="68"/>
        <v>-81.700025999999994</v>
      </c>
      <c r="AG582" s="60" t="s">
        <v>16</v>
      </c>
      <c r="AH582" s="61" t="s">
        <v>16</v>
      </c>
      <c r="AJ582" s="3">
        <f t="shared" si="69"/>
        <v>8</v>
      </c>
      <c r="AK582" s="3" t="s">
        <v>2706</v>
      </c>
      <c r="AL582">
        <v>8</v>
      </c>
      <c r="AM582" t="s">
        <v>15</v>
      </c>
    </row>
    <row r="583" spans="1:39" x14ac:dyDescent="0.3">
      <c r="A583" s="51" t="s">
        <v>2078</v>
      </c>
      <c r="B583" s="54" t="s">
        <v>2079</v>
      </c>
      <c r="C583" s="51" t="s">
        <v>2765</v>
      </c>
      <c r="D583" s="53">
        <v>0</v>
      </c>
      <c r="E583" s="53">
        <v>1</v>
      </c>
      <c r="F583" s="51" t="s">
        <v>2715</v>
      </c>
      <c r="G583" s="51" t="s">
        <v>2695</v>
      </c>
      <c r="H583" s="25" t="str">
        <f t="shared" si="71"/>
        <v>jgd</v>
      </c>
      <c r="I583" t="s">
        <v>72</v>
      </c>
      <c r="J583" t="s">
        <v>1109</v>
      </c>
      <c r="K583" t="s">
        <v>2077</v>
      </c>
      <c r="L583" s="25">
        <v>46.050858929999997</v>
      </c>
      <c r="M583" s="25">
        <v>8.8624574030000005</v>
      </c>
      <c r="N583">
        <v>5</v>
      </c>
      <c r="O583">
        <v>14</v>
      </c>
      <c r="P583">
        <v>11</v>
      </c>
      <c r="Q583">
        <v>2017</v>
      </c>
      <c r="R583" s="9">
        <v>43053</v>
      </c>
      <c r="S583">
        <v>324</v>
      </c>
      <c r="T583">
        <v>1</v>
      </c>
      <c r="U583">
        <v>0</v>
      </c>
      <c r="V583">
        <v>0</v>
      </c>
      <c r="W583">
        <v>0</v>
      </c>
      <c r="X583" s="57">
        <f t="shared" si="72"/>
        <v>-71.788962499999997</v>
      </c>
      <c r="Y583" t="s">
        <v>16</v>
      </c>
      <c r="Z583">
        <v>5.5284481730000001</v>
      </c>
      <c r="AA583" s="3">
        <f t="shared" si="67"/>
        <v>7</v>
      </c>
      <c r="AB583" s="3">
        <f t="shared" si="73"/>
        <v>6</v>
      </c>
      <c r="AD583" s="3" t="s">
        <v>2754</v>
      </c>
      <c r="AE583" s="22">
        <v>-81.651169999999993</v>
      </c>
      <c r="AF583" s="22">
        <f t="shared" si="68"/>
        <v>-81.651169999999993</v>
      </c>
      <c r="AG583" s="60" t="s">
        <v>16</v>
      </c>
      <c r="AH583" s="61" t="s">
        <v>16</v>
      </c>
      <c r="AJ583" s="3">
        <f t="shared" si="69"/>
        <v>8</v>
      </c>
      <c r="AK583" s="3" t="s">
        <v>2706</v>
      </c>
      <c r="AL583">
        <v>8</v>
      </c>
      <c r="AM583" t="s">
        <v>15</v>
      </c>
    </row>
    <row r="584" spans="1:39" x14ac:dyDescent="0.3">
      <c r="A584" s="51" t="s">
        <v>1671</v>
      </c>
      <c r="B584" s="54" t="s">
        <v>940</v>
      </c>
      <c r="C584" s="51" t="s">
        <v>2765</v>
      </c>
      <c r="D584" s="53">
        <v>0</v>
      </c>
      <c r="E584" s="53">
        <v>1</v>
      </c>
      <c r="F584" s="51" t="s">
        <v>2715</v>
      </c>
      <c r="G584" s="51" t="s">
        <v>2695</v>
      </c>
      <c r="H584" s="25" t="str">
        <f t="shared" si="71"/>
        <v>jgd</v>
      </c>
      <c r="I584" t="s">
        <v>72</v>
      </c>
      <c r="J584" t="s">
        <v>931</v>
      </c>
      <c r="K584" t="s">
        <v>16</v>
      </c>
      <c r="L584" s="25">
        <v>46.048047670000003</v>
      </c>
      <c r="M584" s="25">
        <v>8.8755506420000003</v>
      </c>
      <c r="N584">
        <v>5</v>
      </c>
      <c r="O584">
        <v>18</v>
      </c>
      <c r="P584">
        <v>10</v>
      </c>
      <c r="Q584">
        <v>2016</v>
      </c>
      <c r="R584" s="9">
        <v>42661</v>
      </c>
      <c r="S584">
        <v>320</v>
      </c>
      <c r="T584">
        <v>1</v>
      </c>
      <c r="U584">
        <v>0</v>
      </c>
      <c r="V584">
        <v>0</v>
      </c>
      <c r="W584">
        <v>0</v>
      </c>
      <c r="X584" s="57">
        <f t="shared" si="72"/>
        <v>-71.72969362500001</v>
      </c>
      <c r="Y584">
        <v>-23.92</v>
      </c>
      <c r="Z584">
        <v>9</v>
      </c>
      <c r="AA584" s="3">
        <f t="shared" si="67"/>
        <v>7</v>
      </c>
      <c r="AB584" s="3">
        <f t="shared" si="73"/>
        <v>9</v>
      </c>
      <c r="AD584" s="3" t="s">
        <v>2754</v>
      </c>
      <c r="AE584" s="22">
        <v>-81.603754899999998</v>
      </c>
      <c r="AF584" s="22">
        <f t="shared" si="68"/>
        <v>-81.603754899999998</v>
      </c>
      <c r="AG584" s="60" t="s">
        <v>16</v>
      </c>
      <c r="AH584" s="61" t="s">
        <v>16</v>
      </c>
      <c r="AJ584" s="3">
        <f t="shared" si="69"/>
        <v>8</v>
      </c>
      <c r="AK584" s="3" t="s">
        <v>2706</v>
      </c>
      <c r="AL584">
        <v>8</v>
      </c>
      <c r="AM584" t="s">
        <v>15</v>
      </c>
    </row>
    <row r="585" spans="1:39" hidden="1" x14ac:dyDescent="0.3">
      <c r="A585" s="51" t="s">
        <v>765</v>
      </c>
      <c r="B585" s="54" t="s">
        <v>766</v>
      </c>
      <c r="C585" s="51" t="s">
        <v>2765</v>
      </c>
      <c r="D585" s="53">
        <v>0</v>
      </c>
      <c r="E585" s="53">
        <v>1</v>
      </c>
      <c r="F585" s="51" t="s">
        <v>2715</v>
      </c>
      <c r="G585" s="51" t="s">
        <v>2695</v>
      </c>
      <c r="H585" s="25" t="str">
        <f t="shared" si="71"/>
        <v>jgd</v>
      </c>
      <c r="I585" t="s">
        <v>385</v>
      </c>
      <c r="J585" t="s">
        <v>767</v>
      </c>
      <c r="K585" t="s">
        <v>768</v>
      </c>
      <c r="L585" s="25">
        <v>46.551776220000001</v>
      </c>
      <c r="M585" s="25">
        <v>6.1672623849999999</v>
      </c>
      <c r="N585">
        <v>4</v>
      </c>
      <c r="O585">
        <v>16</v>
      </c>
      <c r="P585">
        <v>10</v>
      </c>
      <c r="Q585">
        <v>2015</v>
      </c>
      <c r="R585" s="9">
        <v>42293</v>
      </c>
      <c r="S585">
        <v>327</v>
      </c>
      <c r="T585">
        <v>1</v>
      </c>
      <c r="U585">
        <v>0</v>
      </c>
      <c r="V585">
        <v>0</v>
      </c>
      <c r="W585">
        <v>0</v>
      </c>
      <c r="X585">
        <f t="shared" si="72"/>
        <v>-71.675000000000011</v>
      </c>
      <c r="Y585">
        <v>-24.251999999999999</v>
      </c>
      <c r="Z585">
        <v>4.8752136559999997</v>
      </c>
      <c r="AA585" s="3">
        <f t="shared" si="67"/>
        <v>7</v>
      </c>
      <c r="AB585" s="3">
        <f t="shared" si="73"/>
        <v>5</v>
      </c>
      <c r="AD585" s="3" t="s">
        <v>2750</v>
      </c>
      <c r="AE585" s="22">
        <v>-81.56</v>
      </c>
      <c r="AF585" s="22">
        <f t="shared" si="68"/>
        <v>-81.56</v>
      </c>
      <c r="AG585" s="1">
        <v>-104.4</v>
      </c>
      <c r="AH585" s="2" t="s">
        <v>16</v>
      </c>
      <c r="AI585"/>
      <c r="AJ585" s="3">
        <f t="shared" si="69"/>
        <v>8</v>
      </c>
      <c r="AK585" s="3" t="s">
        <v>2706</v>
      </c>
      <c r="AL585">
        <v>8</v>
      </c>
      <c r="AM585" t="s">
        <v>15</v>
      </c>
    </row>
    <row r="586" spans="1:39" hidden="1" x14ac:dyDescent="0.3">
      <c r="A586" s="51" t="s">
        <v>2737</v>
      </c>
      <c r="B586" s="54" t="s">
        <v>618</v>
      </c>
      <c r="C586" s="51" t="s">
        <v>2765</v>
      </c>
      <c r="D586" s="53">
        <v>0</v>
      </c>
      <c r="E586" s="53">
        <v>1</v>
      </c>
      <c r="F586" s="51" t="s">
        <v>2715</v>
      </c>
      <c r="G586" s="51" t="s">
        <v>2695</v>
      </c>
      <c r="H586" s="25" t="str">
        <f t="shared" si="71"/>
        <v>jgd</v>
      </c>
      <c r="I586" t="s">
        <v>30</v>
      </c>
      <c r="J586" t="s">
        <v>64</v>
      </c>
      <c r="K586" t="s">
        <v>619</v>
      </c>
      <c r="L586" s="25">
        <v>46.658674249999997</v>
      </c>
      <c r="M586" s="25">
        <v>7.0179037620000004</v>
      </c>
      <c r="N586">
        <v>5</v>
      </c>
      <c r="O586">
        <v>19</v>
      </c>
      <c r="P586">
        <v>11</v>
      </c>
      <c r="Q586">
        <v>2014</v>
      </c>
      <c r="R586" s="9">
        <v>41962</v>
      </c>
      <c r="S586">
        <v>330</v>
      </c>
      <c r="T586">
        <v>1</v>
      </c>
      <c r="U586">
        <v>0</v>
      </c>
      <c r="V586">
        <v>0</v>
      </c>
      <c r="W586">
        <v>0</v>
      </c>
      <c r="X586">
        <f t="shared" si="72"/>
        <v>-71.575000000000017</v>
      </c>
      <c r="Y586">
        <v>-23.544</v>
      </c>
      <c r="Z586">
        <v>4.8121593779999996</v>
      </c>
      <c r="AA586" s="3">
        <f t="shared" si="67"/>
        <v>7</v>
      </c>
      <c r="AB586" s="3">
        <f t="shared" si="73"/>
        <v>5</v>
      </c>
      <c r="AD586" s="3" t="s">
        <v>2751</v>
      </c>
      <c r="AE586" s="22">
        <v>-81.48</v>
      </c>
      <c r="AF586" s="22">
        <f t="shared" si="68"/>
        <v>-81.48</v>
      </c>
      <c r="AG586" s="1">
        <v>-104.4</v>
      </c>
      <c r="AH586" s="2" t="s">
        <v>16</v>
      </c>
      <c r="AI586"/>
      <c r="AJ586" s="3">
        <f t="shared" si="69"/>
        <v>8</v>
      </c>
      <c r="AK586" s="3" t="s">
        <v>2706</v>
      </c>
      <c r="AL586">
        <v>8</v>
      </c>
      <c r="AM586" t="s">
        <v>15</v>
      </c>
    </row>
    <row r="587" spans="1:39" x14ac:dyDescent="0.3">
      <c r="A587" s="51" t="s">
        <v>762</v>
      </c>
      <c r="B587" s="54" t="s">
        <v>763</v>
      </c>
      <c r="C587" s="51" t="s">
        <v>2765</v>
      </c>
      <c r="D587" s="53">
        <v>0</v>
      </c>
      <c r="E587" s="53">
        <v>1</v>
      </c>
      <c r="F587" s="51" t="s">
        <v>2715</v>
      </c>
      <c r="G587" s="51" t="s">
        <v>2695</v>
      </c>
      <c r="H587" s="25" t="str">
        <f t="shared" si="71"/>
        <v>jgd</v>
      </c>
      <c r="I587" t="s">
        <v>72</v>
      </c>
      <c r="J587" t="s">
        <v>758</v>
      </c>
      <c r="K587" t="s">
        <v>764</v>
      </c>
      <c r="L587" s="25">
        <v>46.22909894</v>
      </c>
      <c r="M587" s="25">
        <v>8.6823845790000007</v>
      </c>
      <c r="N587">
        <v>5</v>
      </c>
      <c r="O587">
        <v>14</v>
      </c>
      <c r="P587">
        <v>11</v>
      </c>
      <c r="Q587">
        <v>2015</v>
      </c>
      <c r="R587" s="9">
        <v>42322</v>
      </c>
      <c r="S587">
        <v>291</v>
      </c>
      <c r="T587">
        <v>1</v>
      </c>
      <c r="U587">
        <v>0</v>
      </c>
      <c r="V587">
        <v>0</v>
      </c>
      <c r="W587">
        <v>0</v>
      </c>
      <c r="X587">
        <f t="shared" si="72"/>
        <v>-71.575000000000017</v>
      </c>
      <c r="Y587">
        <v>-24.167200000000001</v>
      </c>
      <c r="Z587">
        <v>4.6291487790000003</v>
      </c>
      <c r="AA587" s="3">
        <f t="shared" si="67"/>
        <v>7</v>
      </c>
      <c r="AB587" s="3">
        <f t="shared" si="73"/>
        <v>5</v>
      </c>
      <c r="AD587" s="3" t="s">
        <v>2754</v>
      </c>
      <c r="AE587" s="22">
        <v>-81.48</v>
      </c>
      <c r="AF587" s="22">
        <f t="shared" si="68"/>
        <v>-81.48</v>
      </c>
      <c r="AG587" s="1">
        <v>-104.4</v>
      </c>
      <c r="AH587" s="2" t="s">
        <v>16</v>
      </c>
      <c r="AI587"/>
      <c r="AJ587" s="3">
        <f t="shared" si="69"/>
        <v>8</v>
      </c>
      <c r="AK587" s="3" t="s">
        <v>2706</v>
      </c>
      <c r="AL587">
        <v>8</v>
      </c>
      <c r="AM587" t="s">
        <v>15</v>
      </c>
    </row>
    <row r="588" spans="1:39" x14ac:dyDescent="0.3">
      <c r="A588" s="51" t="s">
        <v>2524</v>
      </c>
      <c r="B588" s="54" t="s">
        <v>1176</v>
      </c>
      <c r="C588" s="51" t="s">
        <v>2765</v>
      </c>
      <c r="D588" s="53">
        <v>0</v>
      </c>
      <c r="E588" s="53">
        <v>1</v>
      </c>
      <c r="F588" s="51" t="s">
        <v>2715</v>
      </c>
      <c r="G588" s="51" t="s">
        <v>2695</v>
      </c>
      <c r="H588" s="25" t="str">
        <f t="shared" si="71"/>
        <v>jgd</v>
      </c>
      <c r="I588" t="s">
        <v>72</v>
      </c>
      <c r="J588" t="s">
        <v>298</v>
      </c>
      <c r="K588" t="s">
        <v>2515</v>
      </c>
      <c r="L588" s="25">
        <v>46.146451489999997</v>
      </c>
      <c r="M588" s="25">
        <v>8.9835760120000003</v>
      </c>
      <c r="N588">
        <v>5</v>
      </c>
      <c r="O588">
        <v>19</v>
      </c>
      <c r="P588">
        <v>10</v>
      </c>
      <c r="Q588">
        <v>2017</v>
      </c>
      <c r="R588" s="9">
        <v>43027</v>
      </c>
      <c r="S588">
        <v>330</v>
      </c>
      <c r="T588">
        <v>1</v>
      </c>
      <c r="U588">
        <v>0</v>
      </c>
      <c r="V588">
        <v>0</v>
      </c>
      <c r="W588">
        <v>0</v>
      </c>
      <c r="X588" s="57">
        <f t="shared" si="72"/>
        <v>-71.548536374999998</v>
      </c>
      <c r="Y588" t="s">
        <v>16</v>
      </c>
      <c r="Z588">
        <v>8.4768643539999999</v>
      </c>
      <c r="AA588" s="3">
        <f t="shared" si="67"/>
        <v>7</v>
      </c>
      <c r="AB588" s="3">
        <f t="shared" si="73"/>
        <v>8</v>
      </c>
      <c r="AD588" s="3" t="s">
        <v>2754</v>
      </c>
      <c r="AE588" s="22">
        <v>-81.458829100000003</v>
      </c>
      <c r="AF588" s="22">
        <f t="shared" si="68"/>
        <v>-81.458829100000003</v>
      </c>
      <c r="AG588" s="60" t="s">
        <v>16</v>
      </c>
      <c r="AH588" s="61" t="s">
        <v>16</v>
      </c>
      <c r="AJ588" s="3">
        <f t="shared" si="69"/>
        <v>8</v>
      </c>
      <c r="AK588" s="3" t="s">
        <v>2706</v>
      </c>
      <c r="AL588">
        <v>8</v>
      </c>
      <c r="AM588" t="s">
        <v>15</v>
      </c>
    </row>
    <row r="589" spans="1:39" x14ac:dyDescent="0.3">
      <c r="A589" s="51" t="s">
        <v>1712</v>
      </c>
      <c r="B589" s="54" t="s">
        <v>449</v>
      </c>
      <c r="C589" s="51" t="s">
        <v>2765</v>
      </c>
      <c r="D589" s="53">
        <v>0</v>
      </c>
      <c r="E589" s="53">
        <v>1</v>
      </c>
      <c r="F589" s="51" t="s">
        <v>2715</v>
      </c>
      <c r="G589" s="51" t="s">
        <v>2695</v>
      </c>
      <c r="H589" s="25" t="str">
        <f t="shared" si="71"/>
        <v>jgd</v>
      </c>
      <c r="I589" t="s">
        <v>72</v>
      </c>
      <c r="J589" t="s">
        <v>1702</v>
      </c>
      <c r="K589" t="s">
        <v>180</v>
      </c>
      <c r="L589" s="25">
        <v>46.105147240000001</v>
      </c>
      <c r="M589" s="25">
        <v>8.9595898040000002</v>
      </c>
      <c r="N589">
        <v>5</v>
      </c>
      <c r="O589">
        <v>9</v>
      </c>
      <c r="P589">
        <v>11</v>
      </c>
      <c r="Q589">
        <v>2016</v>
      </c>
      <c r="R589" s="9">
        <v>42683</v>
      </c>
      <c r="S589">
        <v>308</v>
      </c>
      <c r="T589">
        <v>1</v>
      </c>
      <c r="U589">
        <v>0</v>
      </c>
      <c r="V589">
        <v>0</v>
      </c>
      <c r="W589">
        <v>0</v>
      </c>
      <c r="X589" s="57">
        <f t="shared" si="72"/>
        <v>-71.483715750000016</v>
      </c>
      <c r="Y589">
        <v>-23.76</v>
      </c>
      <c r="Z589">
        <v>7.79</v>
      </c>
      <c r="AA589" s="3">
        <f t="shared" si="67"/>
        <v>7</v>
      </c>
      <c r="AB589" s="3">
        <f t="shared" si="73"/>
        <v>8</v>
      </c>
      <c r="AD589" s="3" t="s">
        <v>2754</v>
      </c>
      <c r="AE589" s="22">
        <v>-81.406972600000003</v>
      </c>
      <c r="AF589" s="22">
        <f t="shared" si="68"/>
        <v>-81.406972600000003</v>
      </c>
      <c r="AG589" s="60" t="s">
        <v>16</v>
      </c>
      <c r="AH589" s="61" t="s">
        <v>16</v>
      </c>
      <c r="AJ589" s="3">
        <f t="shared" si="69"/>
        <v>8</v>
      </c>
      <c r="AK589" s="3" t="s">
        <v>2706</v>
      </c>
      <c r="AL589">
        <v>8</v>
      </c>
      <c r="AM589" t="s">
        <v>15</v>
      </c>
    </row>
    <row r="590" spans="1:39" x14ac:dyDescent="0.3">
      <c r="A590" s="51" t="s">
        <v>1173</v>
      </c>
      <c r="B590" s="54" t="s">
        <v>1174</v>
      </c>
      <c r="C590" s="51" t="s">
        <v>2765</v>
      </c>
      <c r="D590" s="53">
        <v>0</v>
      </c>
      <c r="E590" s="53">
        <v>1</v>
      </c>
      <c r="F590" s="51" t="s">
        <v>2715</v>
      </c>
      <c r="G590" s="51" t="s">
        <v>2695</v>
      </c>
      <c r="H590" s="25" t="str">
        <f t="shared" si="71"/>
        <v>jgd</v>
      </c>
      <c r="I590" t="s">
        <v>72</v>
      </c>
      <c r="J590" t="s">
        <v>298</v>
      </c>
      <c r="K590" t="s">
        <v>1166</v>
      </c>
      <c r="L590" s="25">
        <v>46.135570829999999</v>
      </c>
      <c r="M590" s="25">
        <v>8.9384367440000005</v>
      </c>
      <c r="N590">
        <v>5</v>
      </c>
      <c r="O590">
        <v>21</v>
      </c>
      <c r="P590">
        <v>10</v>
      </c>
      <c r="Q590">
        <v>2015</v>
      </c>
      <c r="R590" s="9">
        <v>42298</v>
      </c>
      <c r="S590">
        <v>295</v>
      </c>
      <c r="T590">
        <v>1</v>
      </c>
      <c r="U590">
        <v>0</v>
      </c>
      <c r="V590">
        <v>0</v>
      </c>
      <c r="W590">
        <v>0</v>
      </c>
      <c r="X590">
        <f t="shared" si="72"/>
        <v>-71.362500000000011</v>
      </c>
      <c r="Y590">
        <v>-22.894895779999999</v>
      </c>
      <c r="Z590">
        <v>4.2572328800000001</v>
      </c>
      <c r="AA590" s="3">
        <f t="shared" si="67"/>
        <v>7</v>
      </c>
      <c r="AB590" s="3">
        <f t="shared" si="73"/>
        <v>4</v>
      </c>
      <c r="AD590" s="3" t="s">
        <v>2754</v>
      </c>
      <c r="AE590" s="22">
        <v>-81.31</v>
      </c>
      <c r="AF590" s="22">
        <f t="shared" si="68"/>
        <v>-81.31</v>
      </c>
      <c r="AG590" s="1">
        <v>-104.2</v>
      </c>
      <c r="AH590" s="2" t="s">
        <v>16</v>
      </c>
      <c r="AI590"/>
      <c r="AJ590" s="3">
        <f t="shared" si="69"/>
        <v>8</v>
      </c>
      <c r="AK590" s="3" t="s">
        <v>2706</v>
      </c>
      <c r="AL590">
        <v>8</v>
      </c>
      <c r="AM590" t="s">
        <v>15</v>
      </c>
    </row>
    <row r="591" spans="1:39" hidden="1" x14ac:dyDescent="0.3">
      <c r="A591" s="51" t="s">
        <v>1866</v>
      </c>
      <c r="B591" s="54" t="s">
        <v>1867</v>
      </c>
      <c r="C591" s="51" t="s">
        <v>2765</v>
      </c>
      <c r="D591" s="53">
        <v>0</v>
      </c>
      <c r="E591" s="53">
        <v>1</v>
      </c>
      <c r="F591" s="51" t="s">
        <v>2715</v>
      </c>
      <c r="G591" s="51" t="s">
        <v>2695</v>
      </c>
      <c r="H591" s="25" t="str">
        <f t="shared" si="71"/>
        <v>jgd</v>
      </c>
      <c r="I591" t="s">
        <v>13</v>
      </c>
      <c r="J591" t="s">
        <v>21</v>
      </c>
      <c r="K591" t="s">
        <v>1868</v>
      </c>
      <c r="L591" s="25">
        <v>46.97347577</v>
      </c>
      <c r="M591" s="25">
        <v>6.6554013999999997</v>
      </c>
      <c r="N591">
        <v>6</v>
      </c>
      <c r="O591">
        <v>28</v>
      </c>
      <c r="P591">
        <v>10</v>
      </c>
      <c r="Q591">
        <v>2016</v>
      </c>
      <c r="R591" s="9">
        <v>42671</v>
      </c>
      <c r="S591">
        <v>307</v>
      </c>
      <c r="T591">
        <v>1</v>
      </c>
      <c r="U591">
        <v>0</v>
      </c>
      <c r="V591">
        <v>0</v>
      </c>
      <c r="W591">
        <v>0</v>
      </c>
      <c r="X591" s="57">
        <f t="shared" si="72"/>
        <v>-71.256077500000004</v>
      </c>
      <c r="Y591">
        <v>-22.81</v>
      </c>
      <c r="Z591">
        <v>4.51</v>
      </c>
      <c r="AA591" s="3">
        <f t="shared" si="67"/>
        <v>7</v>
      </c>
      <c r="AB591" s="3">
        <f t="shared" si="73"/>
        <v>5</v>
      </c>
      <c r="AD591" s="3" t="s">
        <v>2750</v>
      </c>
      <c r="AE591" s="22">
        <v>-81.224862000000002</v>
      </c>
      <c r="AF591" s="22">
        <f t="shared" si="68"/>
        <v>-81.224862000000002</v>
      </c>
      <c r="AG591" s="60" t="s">
        <v>16</v>
      </c>
      <c r="AH591" s="61" t="s">
        <v>16</v>
      </c>
      <c r="AJ591" s="3">
        <f t="shared" si="69"/>
        <v>8</v>
      </c>
      <c r="AK591" s="3" t="s">
        <v>2706</v>
      </c>
      <c r="AL591">
        <v>8</v>
      </c>
      <c r="AM591" t="s">
        <v>15</v>
      </c>
    </row>
    <row r="592" spans="1:39" x14ac:dyDescent="0.3">
      <c r="A592" s="51" t="s">
        <v>1660</v>
      </c>
      <c r="B592" s="54" t="s">
        <v>1661</v>
      </c>
      <c r="C592" s="51" t="s">
        <v>2765</v>
      </c>
      <c r="D592" s="53">
        <v>0</v>
      </c>
      <c r="E592" s="53">
        <v>1</v>
      </c>
      <c r="F592" s="51" t="s">
        <v>2715</v>
      </c>
      <c r="G592" s="51" t="s">
        <v>2695</v>
      </c>
      <c r="H592" s="25" t="str">
        <f t="shared" si="71"/>
        <v>jgd</v>
      </c>
      <c r="I592" t="s">
        <v>72</v>
      </c>
      <c r="J592" t="s">
        <v>931</v>
      </c>
      <c r="K592" t="s">
        <v>16</v>
      </c>
      <c r="L592" s="25">
        <v>46.062494309999998</v>
      </c>
      <c r="M592" s="25">
        <v>8.8722083999999999</v>
      </c>
      <c r="N592">
        <v>5</v>
      </c>
      <c r="O592">
        <v>13</v>
      </c>
      <c r="P592">
        <v>11</v>
      </c>
      <c r="Q592">
        <v>2016</v>
      </c>
      <c r="R592" s="9">
        <v>42687</v>
      </c>
      <c r="S592">
        <v>310</v>
      </c>
      <c r="T592">
        <v>1</v>
      </c>
      <c r="U592">
        <v>0</v>
      </c>
      <c r="V592">
        <v>0</v>
      </c>
      <c r="W592">
        <v>0</v>
      </c>
      <c r="X592" s="57">
        <f t="shared" si="72"/>
        <v>-71.241277125000011</v>
      </c>
      <c r="Y592">
        <v>-22.58</v>
      </c>
      <c r="Z592">
        <v>3.93</v>
      </c>
      <c r="AA592" s="3">
        <f t="shared" si="67"/>
        <v>7</v>
      </c>
      <c r="AB592" s="3">
        <f t="shared" si="73"/>
        <v>4</v>
      </c>
      <c r="AD592" s="3" t="s">
        <v>2754</v>
      </c>
      <c r="AE592" s="22">
        <v>-81.213021699999999</v>
      </c>
      <c r="AF592" s="22">
        <f t="shared" si="68"/>
        <v>-81.213021699999999</v>
      </c>
      <c r="AG592" s="60" t="s">
        <v>16</v>
      </c>
      <c r="AH592" s="61" t="s">
        <v>16</v>
      </c>
      <c r="AJ592" s="3">
        <f t="shared" si="69"/>
        <v>8</v>
      </c>
      <c r="AK592" s="3" t="s">
        <v>2706</v>
      </c>
      <c r="AL592">
        <v>8</v>
      </c>
      <c r="AM592" t="s">
        <v>15</v>
      </c>
    </row>
    <row r="593" spans="1:39" x14ac:dyDescent="0.3">
      <c r="A593" s="51" t="s">
        <v>802</v>
      </c>
      <c r="B593" s="54" t="s">
        <v>803</v>
      </c>
      <c r="C593" s="51" t="s">
        <v>2765</v>
      </c>
      <c r="D593" s="53">
        <v>0</v>
      </c>
      <c r="E593" s="53">
        <v>1</v>
      </c>
      <c r="F593" s="51" t="s">
        <v>2715</v>
      </c>
      <c r="G593" s="51" t="s">
        <v>2695</v>
      </c>
      <c r="H593" s="25" t="str">
        <f t="shared" si="71"/>
        <v>jgd</v>
      </c>
      <c r="I593" t="s">
        <v>72</v>
      </c>
      <c r="J593" t="s">
        <v>804</v>
      </c>
      <c r="K593" t="s">
        <v>805</v>
      </c>
      <c r="L593" s="25">
        <v>46.054855869999997</v>
      </c>
      <c r="M593" s="25">
        <v>8.8925808229999994</v>
      </c>
      <c r="N593">
        <v>6</v>
      </c>
      <c r="O593">
        <v>3</v>
      </c>
      <c r="P593">
        <v>11</v>
      </c>
      <c r="Q593">
        <v>2015</v>
      </c>
      <c r="R593" s="9">
        <v>42311</v>
      </c>
      <c r="S593">
        <v>298</v>
      </c>
      <c r="T593">
        <v>1</v>
      </c>
      <c r="U593">
        <v>0</v>
      </c>
      <c r="V593">
        <v>0</v>
      </c>
      <c r="W593">
        <v>0</v>
      </c>
      <c r="X593">
        <f t="shared" si="72"/>
        <v>-71.200000000000017</v>
      </c>
      <c r="Y593">
        <v>-25.734400000000001</v>
      </c>
      <c r="Z593">
        <v>8.8315914969999998</v>
      </c>
      <c r="AA593" s="3">
        <f t="shared" si="67"/>
        <v>7</v>
      </c>
      <c r="AB593" s="3">
        <f t="shared" si="73"/>
        <v>9</v>
      </c>
      <c r="AD593" s="3" t="s">
        <v>2754</v>
      </c>
      <c r="AE593" s="22">
        <v>-81.180000000000007</v>
      </c>
      <c r="AF593" s="22">
        <f t="shared" si="68"/>
        <v>-81.180000000000007</v>
      </c>
      <c r="AG593" s="1">
        <v>-104.1</v>
      </c>
      <c r="AH593" s="2" t="s">
        <v>16</v>
      </c>
      <c r="AI593"/>
      <c r="AJ593" s="3">
        <f t="shared" si="69"/>
        <v>8</v>
      </c>
      <c r="AK593" s="3" t="s">
        <v>2706</v>
      </c>
      <c r="AL593">
        <v>8</v>
      </c>
      <c r="AM593" t="s">
        <v>15</v>
      </c>
    </row>
    <row r="594" spans="1:39" hidden="1" x14ac:dyDescent="0.3">
      <c r="A594" s="51" t="s">
        <v>2594</v>
      </c>
      <c r="B594" s="54" t="s">
        <v>1412</v>
      </c>
      <c r="C594" s="51" t="s">
        <v>2765</v>
      </c>
      <c r="D594" s="53">
        <v>0</v>
      </c>
      <c r="E594" s="53">
        <v>1</v>
      </c>
      <c r="F594" s="51" t="s">
        <v>2715</v>
      </c>
      <c r="G594" s="51" t="s">
        <v>2695</v>
      </c>
      <c r="H594" s="25" t="str">
        <f t="shared" si="71"/>
        <v>jgd</v>
      </c>
      <c r="I594" t="s">
        <v>30</v>
      </c>
      <c r="J594" t="s">
        <v>2595</v>
      </c>
      <c r="K594" t="s">
        <v>16</v>
      </c>
      <c r="L594" s="25">
        <v>46.796970000000002</v>
      </c>
      <c r="M594" s="25">
        <v>6.9859200000000001</v>
      </c>
      <c r="N594">
        <v>5</v>
      </c>
      <c r="O594">
        <v>2</v>
      </c>
      <c r="P594">
        <v>12</v>
      </c>
      <c r="Q594">
        <v>2017</v>
      </c>
      <c r="R594" s="9">
        <v>43071</v>
      </c>
      <c r="S594">
        <v>322</v>
      </c>
      <c r="T594">
        <v>1</v>
      </c>
      <c r="U594">
        <v>0</v>
      </c>
      <c r="V594">
        <v>0</v>
      </c>
      <c r="W594">
        <v>0</v>
      </c>
      <c r="X594" s="57">
        <f t="shared" si="72"/>
        <v>-71.108260000000001</v>
      </c>
      <c r="Y594" t="s">
        <v>16</v>
      </c>
      <c r="Z594">
        <v>6.2458319260000001</v>
      </c>
      <c r="AA594" s="3">
        <f t="shared" si="67"/>
        <v>7</v>
      </c>
      <c r="AB594" s="3">
        <f t="shared" si="73"/>
        <v>6</v>
      </c>
      <c r="AD594" s="3" t="s">
        <v>2751</v>
      </c>
      <c r="AE594" s="22">
        <v>-81.106607999999994</v>
      </c>
      <c r="AF594" s="22">
        <f t="shared" si="68"/>
        <v>-81.106607999999994</v>
      </c>
      <c r="AG594" s="60" t="s">
        <v>16</v>
      </c>
      <c r="AH594" s="61" t="s">
        <v>16</v>
      </c>
      <c r="AJ594" s="3">
        <f t="shared" si="69"/>
        <v>8</v>
      </c>
      <c r="AK594" s="3" t="s">
        <v>2706</v>
      </c>
      <c r="AL594">
        <v>8</v>
      </c>
      <c r="AM594" t="s">
        <v>15</v>
      </c>
    </row>
    <row r="595" spans="1:39" hidden="1" x14ac:dyDescent="0.3">
      <c r="A595" s="51" t="s">
        <v>1371</v>
      </c>
      <c r="B595" s="54" t="s">
        <v>1372</v>
      </c>
      <c r="C595" s="51" t="s">
        <v>2765</v>
      </c>
      <c r="D595" s="53">
        <v>0</v>
      </c>
      <c r="E595" s="53">
        <v>1</v>
      </c>
      <c r="F595" s="51" t="s">
        <v>2715</v>
      </c>
      <c r="G595" s="51" t="s">
        <v>2695</v>
      </c>
      <c r="H595" s="25" t="str">
        <f t="shared" si="71"/>
        <v>jgd</v>
      </c>
      <c r="I595" t="s">
        <v>30</v>
      </c>
      <c r="J595" t="s">
        <v>788</v>
      </c>
      <c r="K595" t="s">
        <v>1373</v>
      </c>
      <c r="L595" s="25">
        <v>46.609518260000002</v>
      </c>
      <c r="M595" s="25">
        <v>6.9432034549999999</v>
      </c>
      <c r="N595">
        <v>5</v>
      </c>
      <c r="O595">
        <v>17</v>
      </c>
      <c r="P595">
        <v>10</v>
      </c>
      <c r="Q595">
        <v>2015</v>
      </c>
      <c r="R595" s="9">
        <v>42294</v>
      </c>
      <c r="S595">
        <v>330</v>
      </c>
      <c r="T595">
        <v>1</v>
      </c>
      <c r="U595">
        <v>0</v>
      </c>
      <c r="V595">
        <v>0</v>
      </c>
      <c r="W595">
        <v>0</v>
      </c>
      <c r="X595">
        <f t="shared" si="72"/>
        <v>-70.974999999999994</v>
      </c>
      <c r="Y595">
        <v>-24.768799999999999</v>
      </c>
      <c r="Z595">
        <v>7.7614681299999999</v>
      </c>
      <c r="AA595" s="3">
        <f t="shared" si="67"/>
        <v>7</v>
      </c>
      <c r="AB595" s="3">
        <f t="shared" si="73"/>
        <v>8</v>
      </c>
      <c r="AD595" s="3" t="s">
        <v>2751</v>
      </c>
      <c r="AE595" s="22">
        <v>-81</v>
      </c>
      <c r="AF595" s="22">
        <f t="shared" si="68"/>
        <v>-81</v>
      </c>
      <c r="AG595" s="1">
        <v>-103.9</v>
      </c>
      <c r="AH595" s="2" t="s">
        <v>16</v>
      </c>
      <c r="AI595"/>
      <c r="AJ595" s="3">
        <f t="shared" si="69"/>
        <v>8</v>
      </c>
      <c r="AK595" s="3" t="s">
        <v>2706</v>
      </c>
      <c r="AL595">
        <v>8</v>
      </c>
      <c r="AM595" t="s">
        <v>15</v>
      </c>
    </row>
    <row r="596" spans="1:39" hidden="1" x14ac:dyDescent="0.3">
      <c r="A596" s="51" t="s">
        <v>1562</v>
      </c>
      <c r="B596" s="54" t="s">
        <v>1563</v>
      </c>
      <c r="C596" s="51" t="s">
        <v>2765</v>
      </c>
      <c r="D596" s="53">
        <v>0</v>
      </c>
      <c r="E596" s="53">
        <v>1</v>
      </c>
      <c r="F596" s="51" t="s">
        <v>2715</v>
      </c>
      <c r="G596" s="51" t="s">
        <v>2695</v>
      </c>
      <c r="H596" s="25" t="str">
        <f t="shared" si="71"/>
        <v>jgd</v>
      </c>
      <c r="I596" t="s">
        <v>778</v>
      </c>
      <c r="J596" t="s">
        <v>1564</v>
      </c>
      <c r="K596" t="s">
        <v>1565</v>
      </c>
      <c r="L596" s="25">
        <v>46.181180640000001</v>
      </c>
      <c r="M596" s="25">
        <v>7.017742471</v>
      </c>
      <c r="N596">
        <v>3</v>
      </c>
      <c r="O596">
        <v>12</v>
      </c>
      <c r="P596">
        <v>11</v>
      </c>
      <c r="Q596">
        <v>2016</v>
      </c>
      <c r="R596" s="9">
        <v>42686</v>
      </c>
      <c r="S596">
        <v>322</v>
      </c>
      <c r="T596">
        <v>1</v>
      </c>
      <c r="U596">
        <v>0</v>
      </c>
      <c r="V596">
        <v>0</v>
      </c>
      <c r="W596">
        <v>0</v>
      </c>
      <c r="X596" s="57">
        <f t="shared" si="72"/>
        <v>-70.959407374999984</v>
      </c>
      <c r="Y596">
        <v>-23.56</v>
      </c>
      <c r="Z596">
        <v>5.39</v>
      </c>
      <c r="AA596" s="3">
        <f t="shared" si="67"/>
        <v>7</v>
      </c>
      <c r="AB596" s="3">
        <f t="shared" si="73"/>
        <v>5</v>
      </c>
      <c r="AD596" s="3" t="s">
        <v>2752</v>
      </c>
      <c r="AE596" s="22">
        <v>-80.987525899999994</v>
      </c>
      <c r="AF596" s="22">
        <f t="shared" si="68"/>
        <v>-80.987525899999994</v>
      </c>
      <c r="AG596" s="60" t="s">
        <v>16</v>
      </c>
      <c r="AH596" s="61" t="s">
        <v>16</v>
      </c>
      <c r="AJ596" s="3">
        <f t="shared" si="69"/>
        <v>8</v>
      </c>
      <c r="AK596" s="3" t="s">
        <v>2706</v>
      </c>
      <c r="AL596">
        <v>8</v>
      </c>
      <c r="AM596" t="s">
        <v>15</v>
      </c>
    </row>
    <row r="597" spans="1:39" x14ac:dyDescent="0.3">
      <c r="A597" s="51" t="s">
        <v>859</v>
      </c>
      <c r="B597" s="54" t="s">
        <v>860</v>
      </c>
      <c r="C597" s="51" t="s">
        <v>2765</v>
      </c>
      <c r="D597" s="53">
        <v>0</v>
      </c>
      <c r="E597" s="53">
        <v>1</v>
      </c>
      <c r="F597" s="51" t="s">
        <v>2715</v>
      </c>
      <c r="G597" s="51" t="s">
        <v>2695</v>
      </c>
      <c r="H597" s="25" t="str">
        <f t="shared" si="71"/>
        <v>jgd</v>
      </c>
      <c r="I597" t="s">
        <v>72</v>
      </c>
      <c r="J597" t="s">
        <v>848</v>
      </c>
      <c r="K597" t="s">
        <v>114</v>
      </c>
      <c r="L597" s="25">
        <v>46.206016810000001</v>
      </c>
      <c r="M597" s="25">
        <v>8.6902285139999993</v>
      </c>
      <c r="N597">
        <v>3</v>
      </c>
      <c r="O597">
        <v>5</v>
      </c>
      <c r="P597">
        <v>11</v>
      </c>
      <c r="Q597">
        <v>2015</v>
      </c>
      <c r="R597" s="9">
        <v>42313</v>
      </c>
      <c r="S597">
        <v>277</v>
      </c>
      <c r="T597">
        <v>1</v>
      </c>
      <c r="U597">
        <v>0</v>
      </c>
      <c r="V597">
        <v>0</v>
      </c>
      <c r="W597">
        <v>0</v>
      </c>
      <c r="X597">
        <f t="shared" si="72"/>
        <v>-70.9375</v>
      </c>
      <c r="Y597">
        <v>-24.7986</v>
      </c>
      <c r="Z597">
        <v>7.6255582730000002</v>
      </c>
      <c r="AA597" s="3">
        <f t="shared" si="67"/>
        <v>7</v>
      </c>
      <c r="AB597" s="3">
        <f t="shared" si="73"/>
        <v>8</v>
      </c>
      <c r="AD597" s="3" t="s">
        <v>2754</v>
      </c>
      <c r="AE597" s="22">
        <v>-80.97</v>
      </c>
      <c r="AF597" s="22">
        <f t="shared" si="68"/>
        <v>-80.97</v>
      </c>
      <c r="AG597" s="1">
        <v>-103.9</v>
      </c>
      <c r="AH597" s="2" t="s">
        <v>16</v>
      </c>
      <c r="AI597"/>
      <c r="AJ597" s="3">
        <f t="shared" si="69"/>
        <v>8</v>
      </c>
      <c r="AK597" s="3" t="s">
        <v>2706</v>
      </c>
      <c r="AL597">
        <v>8</v>
      </c>
      <c r="AM597" t="s">
        <v>15</v>
      </c>
    </row>
    <row r="598" spans="1:39" x14ac:dyDescent="0.3">
      <c r="A598" s="51" t="s">
        <v>973</v>
      </c>
      <c r="B598" s="54" t="s">
        <v>173</v>
      </c>
      <c r="C598" s="51" t="s">
        <v>2765</v>
      </c>
      <c r="D598" s="53">
        <v>0</v>
      </c>
      <c r="E598" s="53">
        <v>1</v>
      </c>
      <c r="F598" s="51" t="s">
        <v>2715</v>
      </c>
      <c r="G598" s="51" t="s">
        <v>2695</v>
      </c>
      <c r="H598" s="25" t="str">
        <f t="shared" si="71"/>
        <v>jgd</v>
      </c>
      <c r="I598" t="s">
        <v>72</v>
      </c>
      <c r="J598" t="s">
        <v>958</v>
      </c>
      <c r="K598" t="s">
        <v>963</v>
      </c>
      <c r="L598" s="25">
        <v>46.09228178</v>
      </c>
      <c r="M598" s="25">
        <v>8.8415542120000001</v>
      </c>
      <c r="N598">
        <v>4</v>
      </c>
      <c r="O598">
        <v>8</v>
      </c>
      <c r="P598">
        <v>11</v>
      </c>
      <c r="Q598">
        <v>2015</v>
      </c>
      <c r="R598" s="9">
        <v>42316</v>
      </c>
      <c r="S598">
        <v>352</v>
      </c>
      <c r="T598">
        <v>1</v>
      </c>
      <c r="U598">
        <v>0</v>
      </c>
      <c r="V598">
        <v>0</v>
      </c>
      <c r="W598">
        <v>0</v>
      </c>
      <c r="X598">
        <f t="shared" si="72"/>
        <v>-70.912499999999994</v>
      </c>
      <c r="Y598">
        <v>-23.931799999999999</v>
      </c>
      <c r="Z598">
        <v>4.8755664679999997</v>
      </c>
      <c r="AA598" s="3">
        <f t="shared" ref="AA598:AA661" si="74">-ROUND(X598/10,0)</f>
        <v>7</v>
      </c>
      <c r="AB598" s="3">
        <f t="shared" si="73"/>
        <v>5</v>
      </c>
      <c r="AD598" s="3" t="s">
        <v>2754</v>
      </c>
      <c r="AE598" s="22">
        <v>-80.95</v>
      </c>
      <c r="AF598" s="22">
        <f t="shared" ref="AF598:AF661" si="75">IF(AI598&lt;0,AI598,AE598)</f>
        <v>-80.95</v>
      </c>
      <c r="AG598" s="1">
        <v>-103.8</v>
      </c>
      <c r="AH598" s="2" t="s">
        <v>16</v>
      </c>
      <c r="AI598"/>
      <c r="AJ598" s="3">
        <f t="shared" ref="AJ598:AJ661" si="76">-ROUND(AF598/10,0)</f>
        <v>8</v>
      </c>
      <c r="AK598" s="3" t="s">
        <v>2706</v>
      </c>
      <c r="AL598">
        <v>8</v>
      </c>
      <c r="AM598" t="s">
        <v>15</v>
      </c>
    </row>
    <row r="599" spans="1:39" hidden="1" x14ac:dyDescent="0.3">
      <c r="A599" s="51" t="s">
        <v>1574</v>
      </c>
      <c r="B599" s="54" t="s">
        <v>1575</v>
      </c>
      <c r="C599" s="51" t="s">
        <v>2765</v>
      </c>
      <c r="D599" s="53">
        <v>0</v>
      </c>
      <c r="E599" s="53">
        <v>1</v>
      </c>
      <c r="F599" s="51" t="s">
        <v>2715</v>
      </c>
      <c r="G599" s="51" t="s">
        <v>2695</v>
      </c>
      <c r="H599" s="25" t="str">
        <f t="shared" si="71"/>
        <v>jgd</v>
      </c>
      <c r="I599" t="s">
        <v>30</v>
      </c>
      <c r="J599" t="s">
        <v>37</v>
      </c>
      <c r="K599" t="s">
        <v>1576</v>
      </c>
      <c r="L599" s="25">
        <v>46.644422609999999</v>
      </c>
      <c r="M599" s="25">
        <v>7.0076045100000002</v>
      </c>
      <c r="N599">
        <v>3</v>
      </c>
      <c r="O599">
        <v>19</v>
      </c>
      <c r="P599">
        <v>10</v>
      </c>
      <c r="Q599">
        <v>2016</v>
      </c>
      <c r="R599" s="9">
        <v>42662</v>
      </c>
      <c r="S599">
        <v>325</v>
      </c>
      <c r="T599">
        <v>1</v>
      </c>
      <c r="U599">
        <v>0</v>
      </c>
      <c r="V599">
        <v>0</v>
      </c>
      <c r="W599">
        <v>0</v>
      </c>
      <c r="X599" s="57">
        <f t="shared" si="72"/>
        <v>-70.778350500000016</v>
      </c>
      <c r="Y599">
        <v>-21.82</v>
      </c>
      <c r="Z599">
        <v>7.36</v>
      </c>
      <c r="AA599" s="3">
        <f t="shared" si="74"/>
        <v>7</v>
      </c>
      <c r="AB599" s="3">
        <f t="shared" si="73"/>
        <v>7</v>
      </c>
      <c r="AD599" s="3" t="s">
        <v>2751</v>
      </c>
      <c r="AE599" s="22">
        <v>-80.842680400000006</v>
      </c>
      <c r="AF599" s="22">
        <f t="shared" si="75"/>
        <v>-80.842680400000006</v>
      </c>
      <c r="AG599" s="60" t="s">
        <v>16</v>
      </c>
      <c r="AH599" s="61" t="s">
        <v>16</v>
      </c>
      <c r="AJ599" s="3">
        <f t="shared" si="76"/>
        <v>8</v>
      </c>
      <c r="AK599" s="3" t="s">
        <v>2706</v>
      </c>
      <c r="AL599">
        <v>8</v>
      </c>
      <c r="AM599" t="s">
        <v>15</v>
      </c>
    </row>
    <row r="600" spans="1:39" hidden="1" x14ac:dyDescent="0.3">
      <c r="A600" s="51" t="s">
        <v>193</v>
      </c>
      <c r="B600" s="54" t="s">
        <v>51</v>
      </c>
      <c r="C600" s="51" t="s">
        <v>2765</v>
      </c>
      <c r="D600" s="53">
        <v>0</v>
      </c>
      <c r="E600" s="53">
        <v>1</v>
      </c>
      <c r="F600" s="51" t="s">
        <v>2715</v>
      </c>
      <c r="G600" s="51" t="s">
        <v>2695</v>
      </c>
      <c r="H600" s="25" t="str">
        <f t="shared" si="71"/>
        <v>jgd</v>
      </c>
      <c r="I600" t="s">
        <v>13</v>
      </c>
      <c r="J600" t="s">
        <v>16</v>
      </c>
      <c r="K600" t="s">
        <v>194</v>
      </c>
      <c r="L600" s="25">
        <v>47.081049210000003</v>
      </c>
      <c r="M600" s="25">
        <v>6.8945349220000001</v>
      </c>
      <c r="N600">
        <v>6</v>
      </c>
      <c r="O600">
        <v>18</v>
      </c>
      <c r="P600">
        <v>10</v>
      </c>
      <c r="Q600">
        <v>2013</v>
      </c>
      <c r="R600" s="9">
        <v>41565</v>
      </c>
      <c r="S600">
        <v>303</v>
      </c>
      <c r="T600">
        <v>1</v>
      </c>
      <c r="U600">
        <v>0</v>
      </c>
      <c r="V600">
        <v>0</v>
      </c>
      <c r="W600">
        <v>0</v>
      </c>
      <c r="X600">
        <f t="shared" si="72"/>
        <v>-70.675000000000011</v>
      </c>
      <c r="Y600">
        <v>16.446074230000001</v>
      </c>
      <c r="Z600">
        <v>5.1336446750000002</v>
      </c>
      <c r="AA600" s="3">
        <f t="shared" si="74"/>
        <v>7</v>
      </c>
      <c r="AB600" s="3">
        <f t="shared" si="73"/>
        <v>5</v>
      </c>
      <c r="AD600" s="3" t="s">
        <v>2750</v>
      </c>
      <c r="AE600" s="22">
        <v>-80.760000000000005</v>
      </c>
      <c r="AF600" s="22">
        <f t="shared" si="75"/>
        <v>-80.760000000000005</v>
      </c>
      <c r="AG600" s="1">
        <v>-103.6</v>
      </c>
      <c r="AH600" s="2" t="s">
        <v>16</v>
      </c>
      <c r="AI600"/>
      <c r="AJ600" s="3">
        <f t="shared" si="76"/>
        <v>8</v>
      </c>
      <c r="AK600" s="3" t="s">
        <v>2706</v>
      </c>
      <c r="AL600">
        <v>8</v>
      </c>
      <c r="AM600" t="s">
        <v>15</v>
      </c>
    </row>
    <row r="601" spans="1:39" hidden="1" x14ac:dyDescent="0.3">
      <c r="A601" s="51" t="s">
        <v>1034</v>
      </c>
      <c r="B601" s="54" t="s">
        <v>1035</v>
      </c>
      <c r="C601" s="51" t="s">
        <v>2765</v>
      </c>
      <c r="D601" s="53">
        <v>0</v>
      </c>
      <c r="E601" s="53">
        <v>1</v>
      </c>
      <c r="F601" s="51" t="s">
        <v>2715</v>
      </c>
      <c r="G601" s="51" t="s">
        <v>2695</v>
      </c>
      <c r="H601" s="25" t="str">
        <f t="shared" si="71"/>
        <v>jgd</v>
      </c>
      <c r="I601" t="s">
        <v>385</v>
      </c>
      <c r="J601" t="s">
        <v>1036</v>
      </c>
      <c r="K601" t="s">
        <v>1037</v>
      </c>
      <c r="L601" s="25">
        <v>46.605675550000001</v>
      </c>
      <c r="M601" s="25">
        <v>6.3317765110000002</v>
      </c>
      <c r="N601">
        <v>4</v>
      </c>
      <c r="O601">
        <v>2</v>
      </c>
      <c r="P601">
        <v>11</v>
      </c>
      <c r="Q601">
        <v>2015</v>
      </c>
      <c r="R601" s="9">
        <v>42310</v>
      </c>
      <c r="S601">
        <v>281</v>
      </c>
      <c r="T601">
        <v>1</v>
      </c>
      <c r="U601">
        <v>0</v>
      </c>
      <c r="V601">
        <v>0</v>
      </c>
      <c r="W601">
        <v>0</v>
      </c>
      <c r="X601">
        <f t="shared" si="72"/>
        <v>-70.662499999999994</v>
      </c>
      <c r="Y601">
        <v>-23.395359800000001</v>
      </c>
      <c r="Z601">
        <v>6.156201727</v>
      </c>
      <c r="AA601" s="3">
        <f t="shared" si="74"/>
        <v>7</v>
      </c>
      <c r="AB601" s="3">
        <f t="shared" si="73"/>
        <v>6</v>
      </c>
      <c r="AD601" s="3" t="s">
        <v>2750</v>
      </c>
      <c r="AE601" s="22">
        <v>-80.75</v>
      </c>
      <c r="AF601" s="22">
        <f t="shared" si="75"/>
        <v>-80.75</v>
      </c>
      <c r="AG601" s="1">
        <v>-103.6</v>
      </c>
      <c r="AH601" s="2" t="s">
        <v>16</v>
      </c>
      <c r="AI601"/>
      <c r="AJ601" s="3">
        <f t="shared" si="76"/>
        <v>8</v>
      </c>
      <c r="AK601" s="3" t="s">
        <v>2706</v>
      </c>
      <c r="AL601">
        <v>8</v>
      </c>
      <c r="AM601" t="s">
        <v>15</v>
      </c>
    </row>
    <row r="602" spans="1:39" hidden="1" x14ac:dyDescent="0.3">
      <c r="A602" s="51" t="s">
        <v>776</v>
      </c>
      <c r="B602" s="54" t="s">
        <v>777</v>
      </c>
      <c r="C602" s="51" t="s">
        <v>2765</v>
      </c>
      <c r="D602" s="53">
        <v>0</v>
      </c>
      <c r="E602" s="53">
        <v>1</v>
      </c>
      <c r="F602" s="51" t="s">
        <v>2715</v>
      </c>
      <c r="G602" s="51" t="s">
        <v>2695</v>
      </c>
      <c r="H602" s="25" t="str">
        <f t="shared" si="71"/>
        <v>jgd</v>
      </c>
      <c r="I602" t="s">
        <v>778</v>
      </c>
      <c r="J602" t="s">
        <v>779</v>
      </c>
      <c r="K602" t="s">
        <v>780</v>
      </c>
      <c r="L602" s="25">
        <v>46.167495359999997</v>
      </c>
      <c r="M602" s="25">
        <v>7.3838442439999996</v>
      </c>
      <c r="N602">
        <v>6</v>
      </c>
      <c r="O602">
        <v>16</v>
      </c>
      <c r="P602">
        <v>10</v>
      </c>
      <c r="Q602">
        <v>2015</v>
      </c>
      <c r="R602" s="9">
        <v>42293</v>
      </c>
      <c r="S602">
        <v>304</v>
      </c>
      <c r="T602">
        <v>1</v>
      </c>
      <c r="U602">
        <v>0</v>
      </c>
      <c r="V602">
        <v>0</v>
      </c>
      <c r="W602">
        <v>0</v>
      </c>
      <c r="X602">
        <f t="shared" si="72"/>
        <v>-70.549999999999983</v>
      </c>
      <c r="Y602">
        <v>-23.181999999999999</v>
      </c>
      <c r="Z602">
        <v>7.6439117999999997</v>
      </c>
      <c r="AA602" s="3">
        <f t="shared" si="74"/>
        <v>7</v>
      </c>
      <c r="AB602" s="3">
        <f t="shared" si="73"/>
        <v>8</v>
      </c>
      <c r="AD602" s="3" t="s">
        <v>2753</v>
      </c>
      <c r="AE602" s="22">
        <v>-80.66</v>
      </c>
      <c r="AF602" s="22">
        <f t="shared" si="75"/>
        <v>-80.66</v>
      </c>
      <c r="AG602" s="1">
        <v>-103.5</v>
      </c>
      <c r="AH602" s="2" t="s">
        <v>16</v>
      </c>
      <c r="AI602"/>
      <c r="AJ602" s="3">
        <f t="shared" si="76"/>
        <v>8</v>
      </c>
      <c r="AK602" s="3" t="s">
        <v>2706</v>
      </c>
      <c r="AL602">
        <v>8</v>
      </c>
      <c r="AM602" t="s">
        <v>15</v>
      </c>
    </row>
    <row r="603" spans="1:39" hidden="1" x14ac:dyDescent="0.3">
      <c r="A603" s="51" t="s">
        <v>1275</v>
      </c>
      <c r="B603" s="54" t="s">
        <v>1276</v>
      </c>
      <c r="C603" s="51" t="s">
        <v>2765</v>
      </c>
      <c r="D603" s="53">
        <v>0</v>
      </c>
      <c r="E603" s="53">
        <v>1</v>
      </c>
      <c r="F603" s="51" t="s">
        <v>2715</v>
      </c>
      <c r="G603" s="51" t="s">
        <v>2695</v>
      </c>
      <c r="H603" s="25" t="str">
        <f t="shared" si="71"/>
        <v>jgd</v>
      </c>
      <c r="I603" t="s">
        <v>385</v>
      </c>
      <c r="J603" t="s">
        <v>558</v>
      </c>
      <c r="K603" t="s">
        <v>1277</v>
      </c>
      <c r="L603" s="25">
        <v>46.659996360000001</v>
      </c>
      <c r="M603" s="25">
        <v>6.2757835340000003</v>
      </c>
      <c r="N603">
        <v>4</v>
      </c>
      <c r="O603">
        <v>20</v>
      </c>
      <c r="P603">
        <v>11</v>
      </c>
      <c r="Q603">
        <v>2015</v>
      </c>
      <c r="R603" s="9">
        <v>42328</v>
      </c>
      <c r="S603">
        <v>322</v>
      </c>
      <c r="T603">
        <v>1</v>
      </c>
      <c r="U603">
        <v>0</v>
      </c>
      <c r="V603">
        <v>0</v>
      </c>
      <c r="W603">
        <v>0</v>
      </c>
      <c r="X603">
        <f t="shared" si="72"/>
        <v>-70.537499999999994</v>
      </c>
      <c r="Y603">
        <v>-23.898</v>
      </c>
      <c r="Z603">
        <v>2.872987578</v>
      </c>
      <c r="AA603" s="3">
        <f t="shared" si="74"/>
        <v>7</v>
      </c>
      <c r="AB603" s="3">
        <f t="shared" si="73"/>
        <v>3</v>
      </c>
      <c r="AD603" s="3" t="s">
        <v>2750</v>
      </c>
      <c r="AE603" s="22">
        <v>-80.650000000000006</v>
      </c>
      <c r="AF603" s="22">
        <f t="shared" si="75"/>
        <v>-80.650000000000006</v>
      </c>
      <c r="AG603" s="1">
        <v>-103.5</v>
      </c>
      <c r="AH603" s="2" t="s">
        <v>16</v>
      </c>
      <c r="AI603"/>
      <c r="AJ603" s="3">
        <f t="shared" si="76"/>
        <v>8</v>
      </c>
      <c r="AK603" s="3" t="s">
        <v>2706</v>
      </c>
      <c r="AL603">
        <v>8</v>
      </c>
      <c r="AM603" t="s">
        <v>15</v>
      </c>
    </row>
    <row r="604" spans="1:39" hidden="1" x14ac:dyDescent="0.3">
      <c r="A604" s="51" t="s">
        <v>2144</v>
      </c>
      <c r="B604" s="54" t="s">
        <v>2145</v>
      </c>
      <c r="C604" s="51" t="s">
        <v>2765</v>
      </c>
      <c r="D604" s="53">
        <v>0</v>
      </c>
      <c r="E604" s="53">
        <v>1</v>
      </c>
      <c r="F604" s="51" t="s">
        <v>2715</v>
      </c>
      <c r="G604" s="51" t="s">
        <v>2695</v>
      </c>
      <c r="H604" s="25" t="str">
        <f t="shared" si="71"/>
        <v>jgd</v>
      </c>
      <c r="I604" t="s">
        <v>13</v>
      </c>
      <c r="J604" t="s">
        <v>21</v>
      </c>
      <c r="K604" t="s">
        <v>16</v>
      </c>
      <c r="L604" s="25">
        <v>46.943452280000002</v>
      </c>
      <c r="M604" s="25">
        <v>6.5914646770000003</v>
      </c>
      <c r="N604">
        <v>3</v>
      </c>
      <c r="O604">
        <v>2</v>
      </c>
      <c r="P604">
        <v>11</v>
      </c>
      <c r="Q604">
        <v>2017</v>
      </c>
      <c r="R604" s="9">
        <v>43041</v>
      </c>
      <c r="S604">
        <v>275</v>
      </c>
      <c r="T604">
        <v>1</v>
      </c>
      <c r="U604">
        <v>0</v>
      </c>
      <c r="V604">
        <v>0</v>
      </c>
      <c r="W604">
        <v>0</v>
      </c>
      <c r="X604" s="57">
        <f t="shared" si="72"/>
        <v>-70.394822000000005</v>
      </c>
      <c r="Y604" t="s">
        <v>16</v>
      </c>
      <c r="Z604">
        <v>6.6764693030000002</v>
      </c>
      <c r="AA604" s="3">
        <f t="shared" si="74"/>
        <v>7</v>
      </c>
      <c r="AB604" s="3">
        <f t="shared" si="73"/>
        <v>7</v>
      </c>
      <c r="AD604" s="3" t="s">
        <v>2750</v>
      </c>
      <c r="AE604" s="22">
        <v>-80.5358576</v>
      </c>
      <c r="AF604" s="22">
        <f t="shared" si="75"/>
        <v>-80.5358576</v>
      </c>
      <c r="AG604" s="60" t="s">
        <v>16</v>
      </c>
      <c r="AH604" s="61" t="s">
        <v>16</v>
      </c>
      <c r="AJ604" s="3">
        <f t="shared" si="76"/>
        <v>8</v>
      </c>
      <c r="AK604" s="3" t="s">
        <v>2706</v>
      </c>
      <c r="AL604">
        <v>8</v>
      </c>
      <c r="AM604" t="s">
        <v>15</v>
      </c>
    </row>
    <row r="605" spans="1:39" hidden="1" x14ac:dyDescent="0.3">
      <c r="A605" s="51" t="s">
        <v>328</v>
      </c>
      <c r="B605" s="54" t="s">
        <v>329</v>
      </c>
      <c r="C605" s="51" t="s">
        <v>2765</v>
      </c>
      <c r="D605" s="53">
        <v>0</v>
      </c>
      <c r="E605" s="53">
        <v>1</v>
      </c>
      <c r="F605" s="51" t="s">
        <v>2715</v>
      </c>
      <c r="G605" s="51" t="s">
        <v>2695</v>
      </c>
      <c r="H605" s="25" t="str">
        <f t="shared" si="71"/>
        <v>jgd</v>
      </c>
      <c r="I605" t="s">
        <v>30</v>
      </c>
      <c r="J605" t="s">
        <v>330</v>
      </c>
      <c r="K605" t="s">
        <v>327</v>
      </c>
      <c r="L605" s="25">
        <v>46.644320819999997</v>
      </c>
      <c r="M605" s="25">
        <v>6.9814818919999997</v>
      </c>
      <c r="N605">
        <v>3</v>
      </c>
      <c r="O605">
        <v>4</v>
      </c>
      <c r="P605">
        <v>11</v>
      </c>
      <c r="Q605">
        <v>2014</v>
      </c>
      <c r="R605" s="9">
        <v>41947</v>
      </c>
      <c r="S605">
        <v>324</v>
      </c>
      <c r="T605">
        <v>1</v>
      </c>
      <c r="U605">
        <v>0</v>
      </c>
      <c r="V605">
        <v>0</v>
      </c>
      <c r="W605">
        <v>0</v>
      </c>
      <c r="X605">
        <f t="shared" si="72"/>
        <v>-70.325000000000017</v>
      </c>
      <c r="Y605" t="s">
        <v>16</v>
      </c>
      <c r="Z605" t="s">
        <v>16</v>
      </c>
      <c r="AA605" s="3">
        <f t="shared" si="74"/>
        <v>7</v>
      </c>
      <c r="AD605" s="3" t="s">
        <v>2751</v>
      </c>
      <c r="AE605" s="22">
        <v>-80.48</v>
      </c>
      <c r="AF605" s="22">
        <f t="shared" si="75"/>
        <v>-80.48</v>
      </c>
      <c r="AG605" s="1">
        <v>-103.4</v>
      </c>
      <c r="AH605" s="2" t="s">
        <v>16</v>
      </c>
      <c r="AI605"/>
      <c r="AJ605" s="3">
        <f t="shared" si="76"/>
        <v>8</v>
      </c>
      <c r="AK605" s="3" t="s">
        <v>2706</v>
      </c>
      <c r="AL605">
        <v>8</v>
      </c>
      <c r="AM605" t="s">
        <v>15</v>
      </c>
    </row>
    <row r="606" spans="1:39" x14ac:dyDescent="0.3">
      <c r="A606" s="51" t="s">
        <v>1632</v>
      </c>
      <c r="B606" s="54" t="s">
        <v>1633</v>
      </c>
      <c r="C606" s="51" t="s">
        <v>2765</v>
      </c>
      <c r="D606" s="53">
        <v>0</v>
      </c>
      <c r="E606" s="53">
        <v>1</v>
      </c>
      <c r="F606" s="51" t="s">
        <v>2715</v>
      </c>
      <c r="G606" s="51" t="s">
        <v>2695</v>
      </c>
      <c r="H606" s="25" t="str">
        <f t="shared" si="71"/>
        <v>jgd</v>
      </c>
      <c r="I606" t="s">
        <v>72</v>
      </c>
      <c r="J606" t="s">
        <v>848</v>
      </c>
      <c r="K606" t="s">
        <v>16</v>
      </c>
      <c r="L606" s="25">
        <v>46.174586789999999</v>
      </c>
      <c r="M606" s="25">
        <v>8.6417973949999993</v>
      </c>
      <c r="N606">
        <v>5</v>
      </c>
      <c r="O606">
        <v>9</v>
      </c>
      <c r="P606">
        <v>11</v>
      </c>
      <c r="Q606">
        <v>2016</v>
      </c>
      <c r="R606" s="9">
        <v>42683</v>
      </c>
      <c r="S606">
        <v>317</v>
      </c>
      <c r="T606">
        <v>1</v>
      </c>
      <c r="U606">
        <v>0</v>
      </c>
      <c r="V606">
        <v>0</v>
      </c>
      <c r="W606">
        <v>0</v>
      </c>
      <c r="X606" s="57">
        <f t="shared" si="72"/>
        <v>-70.301606249999992</v>
      </c>
      <c r="Y606">
        <v>-24.33</v>
      </c>
      <c r="Z606">
        <v>6.76</v>
      </c>
      <c r="AA606" s="3">
        <f t="shared" si="74"/>
        <v>7</v>
      </c>
      <c r="AB606" s="3">
        <f t="shared" ref="AB606:AB615" si="77">ROUND(Z606,0)</f>
        <v>7</v>
      </c>
      <c r="AD606" s="3" t="s">
        <v>2754</v>
      </c>
      <c r="AE606" s="22">
        <v>-80.461285000000004</v>
      </c>
      <c r="AF606" s="22">
        <f t="shared" si="75"/>
        <v>-80.461285000000004</v>
      </c>
      <c r="AG606" s="60" t="s">
        <v>16</v>
      </c>
      <c r="AH606" s="61" t="s">
        <v>16</v>
      </c>
      <c r="AJ606" s="3">
        <f t="shared" si="76"/>
        <v>8</v>
      </c>
      <c r="AK606" s="3" t="s">
        <v>2706</v>
      </c>
      <c r="AL606">
        <v>8</v>
      </c>
      <c r="AM606" t="s">
        <v>15</v>
      </c>
    </row>
    <row r="607" spans="1:39" x14ac:dyDescent="0.3">
      <c r="A607" s="51" t="s">
        <v>946</v>
      </c>
      <c r="B607" s="54" t="s">
        <v>947</v>
      </c>
      <c r="C607" s="51" t="s">
        <v>2765</v>
      </c>
      <c r="D607" s="53">
        <v>0</v>
      </c>
      <c r="E607" s="53">
        <v>1</v>
      </c>
      <c r="F607" s="51" t="s">
        <v>2715</v>
      </c>
      <c r="G607" s="51" t="s">
        <v>2695</v>
      </c>
      <c r="H607" s="25" t="str">
        <f t="shared" si="71"/>
        <v>jgd</v>
      </c>
      <c r="I607" t="s">
        <v>72</v>
      </c>
      <c r="J607" t="s">
        <v>931</v>
      </c>
      <c r="K607" t="s">
        <v>948</v>
      </c>
      <c r="L607" s="25">
        <v>46.05360366</v>
      </c>
      <c r="M607" s="25">
        <v>8.8730476819999993</v>
      </c>
      <c r="N607">
        <v>5</v>
      </c>
      <c r="O607">
        <v>3</v>
      </c>
      <c r="P607">
        <v>11</v>
      </c>
      <c r="Q607">
        <v>2015</v>
      </c>
      <c r="R607" s="9">
        <v>42311</v>
      </c>
      <c r="S607">
        <v>300</v>
      </c>
      <c r="T607">
        <v>1</v>
      </c>
      <c r="U607">
        <v>0</v>
      </c>
      <c r="V607">
        <v>0</v>
      </c>
      <c r="W607">
        <v>0</v>
      </c>
      <c r="X607">
        <f t="shared" si="72"/>
        <v>-70.287499999999994</v>
      </c>
      <c r="Y607">
        <v>-22.772200000000002</v>
      </c>
      <c r="Z607">
        <v>3.9245630650000001</v>
      </c>
      <c r="AA607" s="3">
        <f t="shared" si="74"/>
        <v>7</v>
      </c>
      <c r="AB607" s="3">
        <f t="shared" si="77"/>
        <v>4</v>
      </c>
      <c r="AD607" s="3" t="s">
        <v>2754</v>
      </c>
      <c r="AE607" s="22">
        <v>-80.45</v>
      </c>
      <c r="AF607" s="22">
        <f t="shared" si="75"/>
        <v>-80.45</v>
      </c>
      <c r="AG607" s="1">
        <v>-103.3</v>
      </c>
      <c r="AH607" s="2" t="s">
        <v>16</v>
      </c>
      <c r="AI607"/>
      <c r="AJ607" s="3">
        <f t="shared" si="76"/>
        <v>8</v>
      </c>
      <c r="AK607" s="3" t="s">
        <v>2706</v>
      </c>
      <c r="AL607">
        <v>8</v>
      </c>
      <c r="AM607" t="s">
        <v>15</v>
      </c>
    </row>
    <row r="608" spans="1:39" hidden="1" x14ac:dyDescent="0.3">
      <c r="A608" s="51" t="s">
        <v>1154</v>
      </c>
      <c r="B608" s="54" t="s">
        <v>1155</v>
      </c>
      <c r="C608" s="51" t="s">
        <v>2765</v>
      </c>
      <c r="D608" s="53">
        <v>0</v>
      </c>
      <c r="E608" s="53">
        <v>1</v>
      </c>
      <c r="F608" s="51" t="s">
        <v>2715</v>
      </c>
      <c r="G608" s="51" t="s">
        <v>2695</v>
      </c>
      <c r="H608" s="25" t="str">
        <f t="shared" si="71"/>
        <v>jgd</v>
      </c>
      <c r="I608" t="s">
        <v>385</v>
      </c>
      <c r="J608" t="s">
        <v>1156</v>
      </c>
      <c r="K608" t="s">
        <v>1157</v>
      </c>
      <c r="L608" s="25">
        <v>46.580460969999997</v>
      </c>
      <c r="M608" s="25">
        <v>6.4007906769999998</v>
      </c>
      <c r="N608">
        <v>6</v>
      </c>
      <c r="O608">
        <v>23</v>
      </c>
      <c r="P608">
        <v>11</v>
      </c>
      <c r="Q608">
        <v>2015</v>
      </c>
      <c r="R608" s="9">
        <v>42331</v>
      </c>
      <c r="S608">
        <v>350</v>
      </c>
      <c r="T608">
        <v>1</v>
      </c>
      <c r="U608">
        <v>0</v>
      </c>
      <c r="V608">
        <v>0</v>
      </c>
      <c r="W608">
        <v>0</v>
      </c>
      <c r="X608">
        <f t="shared" si="72"/>
        <v>-70.137499999999989</v>
      </c>
      <c r="Y608">
        <v>-23.38494541</v>
      </c>
      <c r="Z608">
        <v>5.5383834839999997</v>
      </c>
      <c r="AA608" s="3">
        <f t="shared" si="74"/>
        <v>7</v>
      </c>
      <c r="AB608" s="3">
        <f t="shared" si="77"/>
        <v>6</v>
      </c>
      <c r="AD608" s="3" t="s">
        <v>2751</v>
      </c>
      <c r="AE608" s="22">
        <v>-80.33</v>
      </c>
      <c r="AF608" s="22">
        <f t="shared" si="75"/>
        <v>-80.33</v>
      </c>
      <c r="AG608" s="1">
        <v>-103.2</v>
      </c>
      <c r="AH608" s="2" t="s">
        <v>16</v>
      </c>
      <c r="AI608"/>
      <c r="AJ608" s="3">
        <f t="shared" si="76"/>
        <v>8</v>
      </c>
      <c r="AK608" s="3" t="s">
        <v>2706</v>
      </c>
      <c r="AL608">
        <v>8</v>
      </c>
      <c r="AM608" t="s">
        <v>15</v>
      </c>
    </row>
    <row r="609" spans="1:39" hidden="1" x14ac:dyDescent="0.3">
      <c r="A609" s="51" t="s">
        <v>547</v>
      </c>
      <c r="B609" s="54" t="s">
        <v>548</v>
      </c>
      <c r="C609" s="51" t="s">
        <v>2765</v>
      </c>
      <c r="D609" s="53">
        <v>0</v>
      </c>
      <c r="E609" s="53">
        <v>1</v>
      </c>
      <c r="F609" s="51" t="s">
        <v>2715</v>
      </c>
      <c r="G609" s="51" t="s">
        <v>2695</v>
      </c>
      <c r="H609" s="25" t="str">
        <f t="shared" si="71"/>
        <v>jgd</v>
      </c>
      <c r="I609" t="s">
        <v>13</v>
      </c>
      <c r="J609" t="s">
        <v>25</v>
      </c>
      <c r="K609" t="s">
        <v>549</v>
      </c>
      <c r="L609" s="25">
        <v>47.080465050000001</v>
      </c>
      <c r="M609" s="25">
        <v>6.8815044350000001</v>
      </c>
      <c r="N609">
        <v>6</v>
      </c>
      <c r="O609">
        <v>11</v>
      </c>
      <c r="P609">
        <v>10</v>
      </c>
      <c r="Q609">
        <v>2014</v>
      </c>
      <c r="R609" s="9">
        <v>41923</v>
      </c>
      <c r="S609">
        <v>298</v>
      </c>
      <c r="T609">
        <v>1</v>
      </c>
      <c r="U609">
        <v>0</v>
      </c>
      <c r="V609">
        <v>0</v>
      </c>
      <c r="W609">
        <v>0</v>
      </c>
      <c r="X609">
        <f t="shared" si="72"/>
        <v>-70.074999999999989</v>
      </c>
      <c r="Y609">
        <v>-24.172285710000001</v>
      </c>
      <c r="Z609">
        <v>8.0738753039999995</v>
      </c>
      <c r="AA609" s="3">
        <f t="shared" si="74"/>
        <v>7</v>
      </c>
      <c r="AB609" s="3">
        <f t="shared" si="77"/>
        <v>8</v>
      </c>
      <c r="AD609" s="3" t="s">
        <v>2750</v>
      </c>
      <c r="AE609" s="22">
        <v>-80.28</v>
      </c>
      <c r="AF609" s="22">
        <f t="shared" si="75"/>
        <v>-80.28</v>
      </c>
      <c r="AG609" s="1">
        <v>-103.1</v>
      </c>
      <c r="AH609" s="2" t="s">
        <v>16</v>
      </c>
      <c r="AI609"/>
      <c r="AJ609" s="3">
        <f t="shared" si="76"/>
        <v>8</v>
      </c>
      <c r="AK609" s="3" t="s">
        <v>2706</v>
      </c>
      <c r="AL609">
        <v>8</v>
      </c>
      <c r="AM609" t="s">
        <v>15</v>
      </c>
    </row>
    <row r="610" spans="1:39" x14ac:dyDescent="0.3">
      <c r="A610" s="51" t="s">
        <v>1185</v>
      </c>
      <c r="B610" s="54" t="s">
        <v>1186</v>
      </c>
      <c r="C610" s="51" t="s">
        <v>2765</v>
      </c>
      <c r="D610" s="53">
        <v>0</v>
      </c>
      <c r="E610" s="53">
        <v>1</v>
      </c>
      <c r="F610" s="51" t="s">
        <v>2715</v>
      </c>
      <c r="G610" s="51" t="s">
        <v>2695</v>
      </c>
      <c r="H610" s="25" t="str">
        <f t="shared" si="71"/>
        <v>jgd</v>
      </c>
      <c r="I610" t="s">
        <v>72</v>
      </c>
      <c r="J610" t="s">
        <v>298</v>
      </c>
      <c r="K610" t="s">
        <v>1166</v>
      </c>
      <c r="L610" s="25">
        <v>46.137214280000002</v>
      </c>
      <c r="M610" s="25">
        <v>8.9501300389999994</v>
      </c>
      <c r="N610">
        <v>5</v>
      </c>
      <c r="O610">
        <v>28</v>
      </c>
      <c r="P610">
        <v>10</v>
      </c>
      <c r="Q610">
        <v>2015</v>
      </c>
      <c r="R610" s="9">
        <v>42305</v>
      </c>
      <c r="S610">
        <v>290</v>
      </c>
      <c r="T610">
        <v>1</v>
      </c>
      <c r="U610">
        <v>0</v>
      </c>
      <c r="V610">
        <v>0</v>
      </c>
      <c r="W610">
        <v>0</v>
      </c>
      <c r="X610">
        <f t="shared" si="72"/>
        <v>-70.0625</v>
      </c>
      <c r="Y610">
        <v>-23.529017369999998</v>
      </c>
      <c r="Z610">
        <v>4.3856015810000004</v>
      </c>
      <c r="AA610" s="3">
        <f t="shared" si="74"/>
        <v>7</v>
      </c>
      <c r="AB610" s="3">
        <f t="shared" si="77"/>
        <v>4</v>
      </c>
      <c r="AD610" s="3" t="s">
        <v>2754</v>
      </c>
      <c r="AE610" s="22">
        <v>-80.27</v>
      </c>
      <c r="AF610" s="22">
        <f t="shared" si="75"/>
        <v>-80.27</v>
      </c>
      <c r="AG610" s="1">
        <v>-103.1</v>
      </c>
      <c r="AH610" s="2" t="s">
        <v>16</v>
      </c>
      <c r="AI610"/>
      <c r="AJ610" s="3">
        <f t="shared" si="76"/>
        <v>8</v>
      </c>
      <c r="AK610" s="3" t="s">
        <v>2706</v>
      </c>
      <c r="AL610">
        <v>8</v>
      </c>
      <c r="AM610" t="s">
        <v>15</v>
      </c>
    </row>
    <row r="611" spans="1:39" hidden="1" x14ac:dyDescent="0.3">
      <c r="A611" s="51" t="s">
        <v>2455</v>
      </c>
      <c r="B611" s="54" t="s">
        <v>1081</v>
      </c>
      <c r="C611" s="51" t="s">
        <v>2765</v>
      </c>
      <c r="D611" s="53">
        <v>0</v>
      </c>
      <c r="E611" s="53">
        <v>1</v>
      </c>
      <c r="F611" s="51" t="s">
        <v>2715</v>
      </c>
      <c r="G611" s="51" t="s">
        <v>2695</v>
      </c>
      <c r="H611" s="25" t="str">
        <f t="shared" si="71"/>
        <v>jgd</v>
      </c>
      <c r="I611" t="s">
        <v>13</v>
      </c>
      <c r="J611" t="s">
        <v>2437</v>
      </c>
      <c r="K611" t="s">
        <v>2456</v>
      </c>
      <c r="L611" s="25">
        <v>47.086985319999997</v>
      </c>
      <c r="M611" s="25">
        <v>6.8775516080000001</v>
      </c>
      <c r="N611">
        <v>6</v>
      </c>
      <c r="O611">
        <v>28</v>
      </c>
      <c r="P611">
        <v>10</v>
      </c>
      <c r="Q611">
        <v>2017</v>
      </c>
      <c r="R611" s="9">
        <v>43036</v>
      </c>
      <c r="S611">
        <v>315</v>
      </c>
      <c r="T611">
        <v>1</v>
      </c>
      <c r="U611">
        <v>0</v>
      </c>
      <c r="V611">
        <v>0</v>
      </c>
      <c r="W611">
        <v>0</v>
      </c>
      <c r="X611" s="57">
        <f t="shared" si="72"/>
        <v>-70.018157000000002</v>
      </c>
      <c r="Y611" t="s">
        <v>16</v>
      </c>
      <c r="Z611">
        <v>5.4933990130000003</v>
      </c>
      <c r="AA611" s="3">
        <f t="shared" si="74"/>
        <v>7</v>
      </c>
      <c r="AB611" s="3">
        <f t="shared" si="77"/>
        <v>5</v>
      </c>
      <c r="AD611" s="3" t="s">
        <v>2750</v>
      </c>
      <c r="AE611" s="22">
        <v>-80.234525599999998</v>
      </c>
      <c r="AF611" s="22">
        <f t="shared" si="75"/>
        <v>-80.234525599999998</v>
      </c>
      <c r="AG611" s="60" t="s">
        <v>16</v>
      </c>
      <c r="AH611" s="61" t="s">
        <v>16</v>
      </c>
      <c r="AJ611" s="3">
        <f t="shared" si="76"/>
        <v>8</v>
      </c>
      <c r="AK611" s="3" t="s">
        <v>2706</v>
      </c>
      <c r="AL611">
        <v>8</v>
      </c>
      <c r="AM611" t="s">
        <v>15</v>
      </c>
    </row>
    <row r="612" spans="1:39" hidden="1" x14ac:dyDescent="0.3">
      <c r="A612" s="51" t="s">
        <v>1376</v>
      </c>
      <c r="B612" s="54" t="s">
        <v>1377</v>
      </c>
      <c r="C612" s="51" t="s">
        <v>2765</v>
      </c>
      <c r="D612" s="53">
        <v>0</v>
      </c>
      <c r="E612" s="53">
        <v>1</v>
      </c>
      <c r="F612" s="51" t="s">
        <v>2715</v>
      </c>
      <c r="G612" s="51" t="s">
        <v>2695</v>
      </c>
      <c r="H612" s="25" t="str">
        <f t="shared" si="71"/>
        <v>jgd</v>
      </c>
      <c r="I612" t="s">
        <v>30</v>
      </c>
      <c r="J612" t="s">
        <v>330</v>
      </c>
      <c r="K612" t="s">
        <v>1356</v>
      </c>
      <c r="L612" s="25">
        <v>46.657155379999999</v>
      </c>
      <c r="M612" s="25">
        <v>6.9742399080000004</v>
      </c>
      <c r="N612">
        <v>5</v>
      </c>
      <c r="O612">
        <v>29</v>
      </c>
      <c r="P612">
        <v>10</v>
      </c>
      <c r="Q612">
        <v>2015</v>
      </c>
      <c r="R612" s="9">
        <v>42306</v>
      </c>
      <c r="S612">
        <v>327</v>
      </c>
      <c r="T612">
        <v>1</v>
      </c>
      <c r="U612">
        <v>0</v>
      </c>
      <c r="V612">
        <v>0</v>
      </c>
      <c r="W612">
        <v>0</v>
      </c>
      <c r="X612">
        <f t="shared" si="72"/>
        <v>-69.924999999999983</v>
      </c>
      <c r="Y612">
        <v>-24.171800000000001</v>
      </c>
      <c r="Z612">
        <v>5.0935032119999999</v>
      </c>
      <c r="AA612" s="3">
        <f t="shared" si="74"/>
        <v>7</v>
      </c>
      <c r="AB612" s="3">
        <f t="shared" si="77"/>
        <v>5</v>
      </c>
      <c r="AD612" s="3" t="s">
        <v>2751</v>
      </c>
      <c r="AE612" s="22">
        <v>-80.16</v>
      </c>
      <c r="AF612" s="22">
        <f t="shared" si="75"/>
        <v>-80.16</v>
      </c>
      <c r="AG612" s="1">
        <v>-103</v>
      </c>
      <c r="AH612" s="2" t="s">
        <v>16</v>
      </c>
      <c r="AI612"/>
      <c r="AJ612" s="3">
        <f t="shared" si="76"/>
        <v>8</v>
      </c>
      <c r="AK612" s="3" t="s">
        <v>2706</v>
      </c>
      <c r="AL612">
        <v>8</v>
      </c>
      <c r="AM612" t="s">
        <v>15</v>
      </c>
    </row>
    <row r="613" spans="1:39" x14ac:dyDescent="0.3">
      <c r="A613" s="51" t="s">
        <v>2031</v>
      </c>
      <c r="B613" s="54" t="s">
        <v>2032</v>
      </c>
      <c r="C613" s="51" t="s">
        <v>2765</v>
      </c>
      <c r="D613" s="53">
        <v>0</v>
      </c>
      <c r="E613" s="53">
        <v>1</v>
      </c>
      <c r="F613" s="51" t="s">
        <v>2715</v>
      </c>
      <c r="G613" s="51" t="s">
        <v>2695</v>
      </c>
      <c r="H613" s="25" t="str">
        <f t="shared" si="71"/>
        <v>jgd</v>
      </c>
      <c r="I613" t="s">
        <v>72</v>
      </c>
      <c r="J613" t="s">
        <v>213</v>
      </c>
      <c r="K613" t="s">
        <v>2033</v>
      </c>
      <c r="L613" s="25">
        <v>45.95591786</v>
      </c>
      <c r="M613" s="25">
        <v>9.0031713419999999</v>
      </c>
      <c r="N613">
        <v>6</v>
      </c>
      <c r="O613">
        <v>18</v>
      </c>
      <c r="P613">
        <v>10</v>
      </c>
      <c r="Q613">
        <v>2016</v>
      </c>
      <c r="R613" s="9">
        <v>42661</v>
      </c>
      <c r="S613">
        <v>360</v>
      </c>
      <c r="T613">
        <v>1</v>
      </c>
      <c r="U613">
        <v>0</v>
      </c>
      <c r="V613">
        <v>0</v>
      </c>
      <c r="W613">
        <v>0</v>
      </c>
      <c r="X613" s="57">
        <f t="shared" si="72"/>
        <v>-69.88751400000001</v>
      </c>
      <c r="Y613">
        <v>-23.68</v>
      </c>
      <c r="Z613">
        <v>8.07</v>
      </c>
      <c r="AA613" s="3">
        <f t="shared" si="74"/>
        <v>7</v>
      </c>
      <c r="AB613" s="3">
        <f t="shared" si="77"/>
        <v>8</v>
      </c>
      <c r="AD613" s="3" t="s">
        <v>2754</v>
      </c>
      <c r="AE613" s="22">
        <v>-80.130011199999998</v>
      </c>
      <c r="AF613" s="22">
        <f t="shared" si="75"/>
        <v>-80.130011199999998</v>
      </c>
      <c r="AG613" s="60" t="s">
        <v>16</v>
      </c>
      <c r="AH613" s="61" t="s">
        <v>16</v>
      </c>
      <c r="AJ613" s="3">
        <f t="shared" si="76"/>
        <v>8</v>
      </c>
      <c r="AK613" s="3" t="s">
        <v>2706</v>
      </c>
      <c r="AL613">
        <v>8</v>
      </c>
      <c r="AM613" t="s">
        <v>15</v>
      </c>
    </row>
    <row r="614" spans="1:39" hidden="1" x14ac:dyDescent="0.3">
      <c r="A614" s="51" t="s">
        <v>1354</v>
      </c>
      <c r="B614" s="54" t="s">
        <v>1355</v>
      </c>
      <c r="C614" s="51" t="s">
        <v>2765</v>
      </c>
      <c r="D614" s="53">
        <v>0</v>
      </c>
      <c r="E614" s="53">
        <v>1</v>
      </c>
      <c r="F614" s="51" t="s">
        <v>2715</v>
      </c>
      <c r="G614" s="51" t="s">
        <v>2695</v>
      </c>
      <c r="H614" s="25" t="str">
        <f t="shared" si="71"/>
        <v>jgd</v>
      </c>
      <c r="I614" t="s">
        <v>30</v>
      </c>
      <c r="J614" t="s">
        <v>330</v>
      </c>
      <c r="K614" t="s">
        <v>1356</v>
      </c>
      <c r="L614" s="25">
        <v>46.658313970000002</v>
      </c>
      <c r="M614" s="25">
        <v>6.973785736</v>
      </c>
      <c r="N614">
        <v>5</v>
      </c>
      <c r="O614">
        <v>29</v>
      </c>
      <c r="P614">
        <v>10</v>
      </c>
      <c r="Q614">
        <v>2015</v>
      </c>
      <c r="R614" s="9">
        <v>42306</v>
      </c>
      <c r="S614">
        <v>310</v>
      </c>
      <c r="T614">
        <v>1</v>
      </c>
      <c r="U614">
        <v>0</v>
      </c>
      <c r="V614">
        <v>0</v>
      </c>
      <c r="W614">
        <v>0</v>
      </c>
      <c r="X614">
        <f t="shared" si="72"/>
        <v>-69.8125</v>
      </c>
      <c r="Y614">
        <v>-23.950985110000001</v>
      </c>
      <c r="Z614">
        <v>4.1153342579999999</v>
      </c>
      <c r="AA614" s="3">
        <f t="shared" si="74"/>
        <v>7</v>
      </c>
      <c r="AB614" s="3">
        <f t="shared" si="77"/>
        <v>4</v>
      </c>
      <c r="AD614" s="3" t="s">
        <v>2751</v>
      </c>
      <c r="AE614" s="22">
        <v>-80.069999999999993</v>
      </c>
      <c r="AF614" s="22">
        <f t="shared" si="75"/>
        <v>-80.069999999999993</v>
      </c>
      <c r="AG614" s="1">
        <v>-102.9</v>
      </c>
      <c r="AH614" s="2" t="s">
        <v>16</v>
      </c>
      <c r="AI614"/>
      <c r="AJ614" s="3">
        <f t="shared" si="76"/>
        <v>8</v>
      </c>
      <c r="AK614" s="3" t="s">
        <v>2706</v>
      </c>
      <c r="AL614">
        <v>8</v>
      </c>
      <c r="AM614" t="s">
        <v>15</v>
      </c>
    </row>
    <row r="615" spans="1:39" hidden="1" x14ac:dyDescent="0.3">
      <c r="A615" s="51" t="s">
        <v>2530</v>
      </c>
      <c r="B615" s="54" t="s">
        <v>2531</v>
      </c>
      <c r="C615" s="51" t="s">
        <v>2765</v>
      </c>
      <c r="D615" s="53">
        <v>0</v>
      </c>
      <c r="E615" s="53">
        <v>1</v>
      </c>
      <c r="F615" s="51" t="s">
        <v>2715</v>
      </c>
      <c r="G615" s="51" t="s">
        <v>2695</v>
      </c>
      <c r="H615" s="25" t="str">
        <f t="shared" si="71"/>
        <v>jgd</v>
      </c>
      <c r="I615" t="s">
        <v>385</v>
      </c>
      <c r="J615" t="s">
        <v>558</v>
      </c>
      <c r="K615" t="s">
        <v>16</v>
      </c>
      <c r="L615" s="25">
        <v>46.67998266</v>
      </c>
      <c r="M615" s="25">
        <v>6.2949604360000002</v>
      </c>
      <c r="N615">
        <v>3</v>
      </c>
      <c r="O615">
        <v>20</v>
      </c>
      <c r="P615">
        <v>10</v>
      </c>
      <c r="Q615">
        <v>2017</v>
      </c>
      <c r="R615" s="9">
        <v>43028</v>
      </c>
      <c r="S615">
        <v>318</v>
      </c>
      <c r="T615">
        <v>1</v>
      </c>
      <c r="U615">
        <v>0</v>
      </c>
      <c r="V615">
        <v>0</v>
      </c>
      <c r="W615">
        <v>0</v>
      </c>
      <c r="X615" s="57">
        <f t="shared" si="72"/>
        <v>-69.625368000000009</v>
      </c>
      <c r="Y615" t="s">
        <v>16</v>
      </c>
      <c r="Z615">
        <v>7.5331980180000002</v>
      </c>
      <c r="AA615" s="3">
        <f t="shared" si="74"/>
        <v>7</v>
      </c>
      <c r="AB615" s="3">
        <f t="shared" si="77"/>
        <v>8</v>
      </c>
      <c r="AD615" s="3" t="s">
        <v>2750</v>
      </c>
      <c r="AE615" s="22">
        <v>-79.920294400000003</v>
      </c>
      <c r="AF615" s="22">
        <f t="shared" si="75"/>
        <v>-79.920294400000003</v>
      </c>
      <c r="AG615" s="60" t="s">
        <v>16</v>
      </c>
      <c r="AH615" s="61" t="s">
        <v>16</v>
      </c>
      <c r="AJ615" s="3">
        <f t="shared" si="76"/>
        <v>8</v>
      </c>
      <c r="AK615" s="3" t="s">
        <v>2706</v>
      </c>
      <c r="AL615">
        <v>8</v>
      </c>
      <c r="AM615" t="s">
        <v>15</v>
      </c>
    </row>
    <row r="616" spans="1:39" hidden="1" x14ac:dyDescent="0.3">
      <c r="A616" s="51" t="s">
        <v>325</v>
      </c>
      <c r="B616" s="54" t="s">
        <v>326</v>
      </c>
      <c r="C616" s="51" t="s">
        <v>2765</v>
      </c>
      <c r="D616" s="53">
        <v>0</v>
      </c>
      <c r="E616" s="53">
        <v>1</v>
      </c>
      <c r="F616" s="51" t="s">
        <v>2715</v>
      </c>
      <c r="G616" s="51" t="s">
        <v>2695</v>
      </c>
      <c r="H616" s="25" t="str">
        <f t="shared" si="71"/>
        <v>jgd</v>
      </c>
      <c r="I616" t="s">
        <v>30</v>
      </c>
      <c r="J616" t="s">
        <v>31</v>
      </c>
      <c r="K616" t="s">
        <v>327</v>
      </c>
      <c r="L616" s="25">
        <v>46.662413409999999</v>
      </c>
      <c r="M616" s="25">
        <v>7.0074609849999998</v>
      </c>
      <c r="N616">
        <v>3</v>
      </c>
      <c r="O616">
        <v>30</v>
      </c>
      <c r="P616">
        <v>10</v>
      </c>
      <c r="Q616">
        <v>2014</v>
      </c>
      <c r="R616" s="9">
        <v>41942</v>
      </c>
      <c r="S616">
        <v>328</v>
      </c>
      <c r="T616">
        <v>1</v>
      </c>
      <c r="U616">
        <v>0</v>
      </c>
      <c r="V616">
        <v>0</v>
      </c>
      <c r="W616">
        <v>0</v>
      </c>
      <c r="X616">
        <f t="shared" si="72"/>
        <v>-69.612499999999983</v>
      </c>
      <c r="Y616" t="s">
        <v>16</v>
      </c>
      <c r="Z616" t="s">
        <v>16</v>
      </c>
      <c r="AA616" s="3">
        <f t="shared" si="74"/>
        <v>7</v>
      </c>
      <c r="AD616" s="3" t="s">
        <v>2751</v>
      </c>
      <c r="AE616" s="22">
        <v>-79.91</v>
      </c>
      <c r="AF616" s="22">
        <f t="shared" si="75"/>
        <v>-79.91</v>
      </c>
      <c r="AG616" s="1">
        <v>-102.8</v>
      </c>
      <c r="AH616" s="2" t="s">
        <v>16</v>
      </c>
      <c r="AI616"/>
      <c r="AJ616" s="3">
        <f t="shared" si="76"/>
        <v>8</v>
      </c>
      <c r="AK616" s="3" t="s">
        <v>2706</v>
      </c>
      <c r="AL616">
        <v>8</v>
      </c>
      <c r="AM616" t="s">
        <v>15</v>
      </c>
    </row>
    <row r="617" spans="1:39" x14ac:dyDescent="0.3">
      <c r="A617" s="51" t="s">
        <v>671</v>
      </c>
      <c r="B617" s="54" t="s">
        <v>672</v>
      </c>
      <c r="C617" s="51" t="s">
        <v>2765</v>
      </c>
      <c r="D617" s="53">
        <v>0</v>
      </c>
      <c r="E617" s="53">
        <v>1</v>
      </c>
      <c r="F617" s="51" t="s">
        <v>2715</v>
      </c>
      <c r="G617" s="51" t="s">
        <v>2695</v>
      </c>
      <c r="H617" s="25" t="str">
        <f t="shared" si="71"/>
        <v>jgd</v>
      </c>
      <c r="I617" t="s">
        <v>72</v>
      </c>
      <c r="J617" t="s">
        <v>73</v>
      </c>
      <c r="K617" t="s">
        <v>673</v>
      </c>
      <c r="L617" s="25">
        <v>46.072679299999997</v>
      </c>
      <c r="M617" s="25">
        <v>9.0304314879999996</v>
      </c>
      <c r="N617">
        <v>5</v>
      </c>
      <c r="O617">
        <v>14</v>
      </c>
      <c r="P617">
        <v>11</v>
      </c>
      <c r="Q617">
        <v>2015</v>
      </c>
      <c r="R617" s="9">
        <v>42322</v>
      </c>
      <c r="S617">
        <v>300</v>
      </c>
      <c r="T617">
        <v>1</v>
      </c>
      <c r="U617">
        <v>0</v>
      </c>
      <c r="V617">
        <v>0</v>
      </c>
      <c r="W617">
        <v>0</v>
      </c>
      <c r="X617">
        <f t="shared" si="72"/>
        <v>-69.362499999999983</v>
      </c>
      <c r="Y617">
        <v>-23.968</v>
      </c>
      <c r="Z617">
        <v>2.317942435</v>
      </c>
      <c r="AA617" s="3">
        <f t="shared" si="74"/>
        <v>7</v>
      </c>
      <c r="AB617" s="3">
        <f t="shared" ref="AB617:AB648" si="78">ROUND(Z617,0)</f>
        <v>2</v>
      </c>
      <c r="AD617" s="3" t="s">
        <v>2754</v>
      </c>
      <c r="AE617" s="22">
        <v>-79.709999999999994</v>
      </c>
      <c r="AF617" s="22">
        <f t="shared" si="75"/>
        <v>-79.709999999999994</v>
      </c>
      <c r="AG617" s="1">
        <v>-102.6</v>
      </c>
      <c r="AH617" s="2" t="s">
        <v>16</v>
      </c>
      <c r="AI617"/>
      <c r="AJ617" s="3">
        <f t="shared" si="76"/>
        <v>8</v>
      </c>
      <c r="AK617" s="3" t="s">
        <v>2706</v>
      </c>
      <c r="AL617">
        <v>8</v>
      </c>
      <c r="AM617" t="s">
        <v>15</v>
      </c>
    </row>
    <row r="618" spans="1:39" hidden="1" x14ac:dyDescent="0.3">
      <c r="A618" s="51" t="s">
        <v>1604</v>
      </c>
      <c r="B618" s="54" t="s">
        <v>824</v>
      </c>
      <c r="C618" s="51" t="s">
        <v>2765</v>
      </c>
      <c r="D618" s="53">
        <v>0</v>
      </c>
      <c r="E618" s="53">
        <v>1</v>
      </c>
      <c r="F618" s="51" t="s">
        <v>2715</v>
      </c>
      <c r="G618" s="51" t="s">
        <v>2695</v>
      </c>
      <c r="H618" s="25" t="str">
        <f t="shared" si="71"/>
        <v>jgd</v>
      </c>
      <c r="I618" t="s">
        <v>30</v>
      </c>
      <c r="J618" t="s">
        <v>1605</v>
      </c>
      <c r="K618" t="s">
        <v>1606</v>
      </c>
      <c r="L618" s="25">
        <v>46.757002579999998</v>
      </c>
      <c r="M618" s="25">
        <v>7.2662183880000004</v>
      </c>
      <c r="N618">
        <v>6</v>
      </c>
      <c r="O618">
        <v>17</v>
      </c>
      <c r="P618">
        <v>10</v>
      </c>
      <c r="Q618">
        <v>2016</v>
      </c>
      <c r="R618" s="9">
        <v>42660</v>
      </c>
      <c r="S618">
        <v>342</v>
      </c>
      <c r="T618">
        <v>1</v>
      </c>
      <c r="U618">
        <v>0</v>
      </c>
      <c r="V618">
        <v>0</v>
      </c>
      <c r="W618">
        <v>0</v>
      </c>
      <c r="X618" s="57">
        <f t="shared" si="72"/>
        <v>-69.351716500000009</v>
      </c>
      <c r="Y618">
        <v>-24.19</v>
      </c>
      <c r="Z618">
        <v>4.8099999999999996</v>
      </c>
      <c r="AA618" s="3">
        <f t="shared" si="74"/>
        <v>7</v>
      </c>
      <c r="AB618" s="3">
        <f t="shared" si="78"/>
        <v>5</v>
      </c>
      <c r="AD618" s="3" t="s">
        <v>2751</v>
      </c>
      <c r="AE618" s="22">
        <v>-79.701373200000006</v>
      </c>
      <c r="AF618" s="22">
        <f t="shared" si="75"/>
        <v>-79.701373200000006</v>
      </c>
      <c r="AG618" s="60" t="s">
        <v>16</v>
      </c>
      <c r="AH618" s="61" t="s">
        <v>16</v>
      </c>
      <c r="AJ618" s="3">
        <f t="shared" si="76"/>
        <v>8</v>
      </c>
      <c r="AK618" s="3" t="s">
        <v>2706</v>
      </c>
      <c r="AL618">
        <v>8</v>
      </c>
      <c r="AM618" t="s">
        <v>15</v>
      </c>
    </row>
    <row r="619" spans="1:39" x14ac:dyDescent="0.3">
      <c r="A619" s="51" t="s">
        <v>1618</v>
      </c>
      <c r="B619" s="54" t="s">
        <v>1619</v>
      </c>
      <c r="C619" s="51" t="s">
        <v>2765</v>
      </c>
      <c r="D619" s="53">
        <v>0</v>
      </c>
      <c r="E619" s="53">
        <v>1</v>
      </c>
      <c r="F619" s="51" t="s">
        <v>2715</v>
      </c>
      <c r="G619" s="51" t="s">
        <v>2695</v>
      </c>
      <c r="H619" s="25" t="str">
        <f t="shared" si="71"/>
        <v>jgd</v>
      </c>
      <c r="I619" t="s">
        <v>72</v>
      </c>
      <c r="J619" t="s">
        <v>848</v>
      </c>
      <c r="K619" t="s">
        <v>16</v>
      </c>
      <c r="L619" s="25">
        <v>46.179947140000003</v>
      </c>
      <c r="M619" s="25">
        <v>8.6520439339999999</v>
      </c>
      <c r="N619">
        <v>5</v>
      </c>
      <c r="O619">
        <v>2</v>
      </c>
      <c r="P619">
        <v>11</v>
      </c>
      <c r="Q619">
        <v>2016</v>
      </c>
      <c r="R619" s="9">
        <v>42676</v>
      </c>
      <c r="S619">
        <v>300</v>
      </c>
      <c r="T619">
        <v>1</v>
      </c>
      <c r="U619">
        <v>0</v>
      </c>
      <c r="V619">
        <v>0</v>
      </c>
      <c r="W619">
        <v>0</v>
      </c>
      <c r="X619" s="57">
        <f t="shared" si="72"/>
        <v>-69.121266375000005</v>
      </c>
      <c r="Y619">
        <v>-24.32</v>
      </c>
      <c r="Z619">
        <v>5.03</v>
      </c>
      <c r="AA619" s="3">
        <f t="shared" si="74"/>
        <v>7</v>
      </c>
      <c r="AB619" s="3">
        <f t="shared" si="78"/>
        <v>5</v>
      </c>
      <c r="AD619" s="3" t="s">
        <v>2754</v>
      </c>
      <c r="AE619" s="22">
        <v>-79.5170131</v>
      </c>
      <c r="AF619" s="22">
        <f t="shared" si="75"/>
        <v>-79.5170131</v>
      </c>
      <c r="AG619" s="60" t="s">
        <v>16</v>
      </c>
      <c r="AH619" s="61" t="s">
        <v>16</v>
      </c>
      <c r="AJ619" s="3">
        <f t="shared" si="76"/>
        <v>8</v>
      </c>
      <c r="AK619" s="3" t="s">
        <v>2706</v>
      </c>
      <c r="AL619">
        <v>8</v>
      </c>
      <c r="AM619" t="s">
        <v>15</v>
      </c>
    </row>
    <row r="620" spans="1:39" hidden="1" x14ac:dyDescent="0.3">
      <c r="A620" s="51" t="s">
        <v>1062</v>
      </c>
      <c r="B620" s="54" t="s">
        <v>1063</v>
      </c>
      <c r="C620" s="51" t="s">
        <v>2765</v>
      </c>
      <c r="D620" s="53">
        <v>0</v>
      </c>
      <c r="E620" s="53">
        <v>1</v>
      </c>
      <c r="F620" s="51" t="s">
        <v>2715</v>
      </c>
      <c r="G620" s="51" t="s">
        <v>2695</v>
      </c>
      <c r="H620" s="25" t="str">
        <f t="shared" si="71"/>
        <v>jgd</v>
      </c>
      <c r="I620" t="s">
        <v>13</v>
      </c>
      <c r="J620" t="s">
        <v>519</v>
      </c>
      <c r="K620" t="s">
        <v>27</v>
      </c>
      <c r="L620" s="25">
        <v>47.026436609999998</v>
      </c>
      <c r="M620" s="25">
        <v>6.8161593140000001</v>
      </c>
      <c r="N620">
        <v>6</v>
      </c>
      <c r="O620">
        <v>19</v>
      </c>
      <c r="P620">
        <v>11</v>
      </c>
      <c r="Q620">
        <v>2015</v>
      </c>
      <c r="R620" s="9">
        <v>42327</v>
      </c>
      <c r="S620">
        <v>367</v>
      </c>
      <c r="T620">
        <v>1</v>
      </c>
      <c r="U620">
        <v>0</v>
      </c>
      <c r="V620">
        <v>0</v>
      </c>
      <c r="W620">
        <v>0</v>
      </c>
      <c r="X620">
        <f t="shared" si="72"/>
        <v>-69.112500000000011</v>
      </c>
      <c r="Y620">
        <v>-23.61667825</v>
      </c>
      <c r="Z620">
        <v>4.230405448</v>
      </c>
      <c r="AA620" s="3">
        <f t="shared" si="74"/>
        <v>7</v>
      </c>
      <c r="AB620" s="3">
        <f t="shared" si="78"/>
        <v>4</v>
      </c>
      <c r="AD620" s="3" t="s">
        <v>2750</v>
      </c>
      <c r="AE620" s="22">
        <v>-79.510000000000005</v>
      </c>
      <c r="AF620" s="22">
        <f t="shared" si="75"/>
        <v>-79.510000000000005</v>
      </c>
      <c r="AG620" s="1">
        <v>-102.4</v>
      </c>
      <c r="AH620" s="2" t="s">
        <v>16</v>
      </c>
      <c r="AI620"/>
      <c r="AJ620" s="3">
        <f t="shared" si="76"/>
        <v>8</v>
      </c>
      <c r="AK620" s="3" t="s">
        <v>2706</v>
      </c>
      <c r="AL620">
        <v>8</v>
      </c>
      <c r="AM620" t="s">
        <v>15</v>
      </c>
    </row>
    <row r="621" spans="1:39" x14ac:dyDescent="0.3">
      <c r="A621" s="51" t="s">
        <v>878</v>
      </c>
      <c r="B621" s="54" t="s">
        <v>879</v>
      </c>
      <c r="C621" s="51" t="s">
        <v>2765</v>
      </c>
      <c r="D621" s="53">
        <v>0</v>
      </c>
      <c r="E621" s="53">
        <v>1</v>
      </c>
      <c r="F621" s="51" t="s">
        <v>2715</v>
      </c>
      <c r="G621" s="51" t="s">
        <v>2695</v>
      </c>
      <c r="H621" s="25" t="str">
        <f t="shared" si="71"/>
        <v>jgd</v>
      </c>
      <c r="I621" t="s">
        <v>72</v>
      </c>
      <c r="J621" t="s">
        <v>848</v>
      </c>
      <c r="K621" t="s">
        <v>16</v>
      </c>
      <c r="L621" s="25">
        <v>46.183553500000002</v>
      </c>
      <c r="M621" s="25">
        <v>8.6521630740000006</v>
      </c>
      <c r="N621">
        <v>6</v>
      </c>
      <c r="O621">
        <v>20</v>
      </c>
      <c r="P621">
        <v>10</v>
      </c>
      <c r="Q621">
        <v>2015</v>
      </c>
      <c r="R621" s="9">
        <v>42297</v>
      </c>
      <c r="S621">
        <v>280</v>
      </c>
      <c r="T621">
        <v>1</v>
      </c>
      <c r="U621">
        <v>0</v>
      </c>
      <c r="V621">
        <v>0</v>
      </c>
      <c r="W621">
        <v>0</v>
      </c>
      <c r="X621">
        <f t="shared" si="72"/>
        <v>-69.0625</v>
      </c>
      <c r="Y621">
        <v>-23.73899462</v>
      </c>
      <c r="Z621">
        <v>8.8438989180000007</v>
      </c>
      <c r="AA621" s="3">
        <f t="shared" si="74"/>
        <v>7</v>
      </c>
      <c r="AB621" s="3">
        <f t="shared" si="78"/>
        <v>9</v>
      </c>
      <c r="AD621" s="3" t="s">
        <v>2754</v>
      </c>
      <c r="AE621" s="22">
        <v>-79.47</v>
      </c>
      <c r="AF621" s="22">
        <f t="shared" si="75"/>
        <v>-79.47</v>
      </c>
      <c r="AG621" s="1">
        <v>-102.3</v>
      </c>
      <c r="AH621" s="2" t="s">
        <v>16</v>
      </c>
      <c r="AI621"/>
      <c r="AJ621" s="3">
        <f t="shared" si="76"/>
        <v>8</v>
      </c>
      <c r="AK621" s="3" t="s">
        <v>2706</v>
      </c>
      <c r="AL621">
        <v>8</v>
      </c>
      <c r="AM621" t="s">
        <v>15</v>
      </c>
    </row>
    <row r="622" spans="1:39" x14ac:dyDescent="0.3">
      <c r="A622" s="51" t="s">
        <v>819</v>
      </c>
      <c r="B622" s="54" t="s">
        <v>820</v>
      </c>
      <c r="C622" s="51" t="s">
        <v>2765</v>
      </c>
      <c r="D622" s="53">
        <v>0</v>
      </c>
      <c r="E622" s="53">
        <v>1</v>
      </c>
      <c r="F622" s="51" t="s">
        <v>2715</v>
      </c>
      <c r="G622" s="51" t="s">
        <v>2695</v>
      </c>
      <c r="H622" s="25" t="str">
        <f t="shared" si="71"/>
        <v>jgd</v>
      </c>
      <c r="I622" t="s">
        <v>72</v>
      </c>
      <c r="J622" t="s">
        <v>804</v>
      </c>
      <c r="K622" t="s">
        <v>805</v>
      </c>
      <c r="L622" s="25">
        <v>46.055469719999998</v>
      </c>
      <c r="M622" s="25">
        <v>8.8959054010000003</v>
      </c>
      <c r="N622">
        <v>6</v>
      </c>
      <c r="O622">
        <v>25</v>
      </c>
      <c r="P622">
        <v>10</v>
      </c>
      <c r="Q622">
        <v>2015</v>
      </c>
      <c r="R622" s="9">
        <v>42302</v>
      </c>
      <c r="S622">
        <v>262</v>
      </c>
      <c r="T622">
        <v>1</v>
      </c>
      <c r="U622">
        <v>0</v>
      </c>
      <c r="V622">
        <v>0</v>
      </c>
      <c r="W622">
        <v>0</v>
      </c>
      <c r="X622">
        <f t="shared" si="72"/>
        <v>-69.049999999999983</v>
      </c>
      <c r="Y622">
        <v>-24.285399999999999</v>
      </c>
      <c r="Z622">
        <v>6.1469806570000003</v>
      </c>
      <c r="AA622" s="3">
        <f t="shared" si="74"/>
        <v>7</v>
      </c>
      <c r="AB622" s="3">
        <f t="shared" si="78"/>
        <v>6</v>
      </c>
      <c r="AD622" s="3" t="s">
        <v>2754</v>
      </c>
      <c r="AE622" s="22">
        <v>-79.459999999999994</v>
      </c>
      <c r="AF622" s="22">
        <f t="shared" si="75"/>
        <v>-79.459999999999994</v>
      </c>
      <c r="AG622" s="1">
        <v>-102.3</v>
      </c>
      <c r="AH622" s="2" t="s">
        <v>16</v>
      </c>
      <c r="AI622"/>
      <c r="AJ622" s="3">
        <f t="shared" si="76"/>
        <v>8</v>
      </c>
      <c r="AK622" s="3" t="s">
        <v>2706</v>
      </c>
      <c r="AL622">
        <v>8</v>
      </c>
      <c r="AM622" t="s">
        <v>15</v>
      </c>
    </row>
    <row r="623" spans="1:39" x14ac:dyDescent="0.3">
      <c r="A623" s="51" t="s">
        <v>1607</v>
      </c>
      <c r="B623" s="54" t="s">
        <v>1608</v>
      </c>
      <c r="C623" s="51" t="s">
        <v>2765</v>
      </c>
      <c r="D623" s="53">
        <v>0</v>
      </c>
      <c r="E623" s="53">
        <v>1</v>
      </c>
      <c r="F623" s="51" t="s">
        <v>2715</v>
      </c>
      <c r="G623" s="51" t="s">
        <v>2695</v>
      </c>
      <c r="H623" s="25" t="str">
        <f t="shared" si="71"/>
        <v>jgd</v>
      </c>
      <c r="I623" t="s">
        <v>72</v>
      </c>
      <c r="J623" t="s">
        <v>848</v>
      </c>
      <c r="K623" t="s">
        <v>16</v>
      </c>
      <c r="L623" s="25">
        <v>46.175476860000003</v>
      </c>
      <c r="M623" s="25">
        <v>8.6494320099999999</v>
      </c>
      <c r="N623">
        <v>3</v>
      </c>
      <c r="O623">
        <v>25</v>
      </c>
      <c r="P623">
        <v>10</v>
      </c>
      <c r="Q623">
        <v>2016</v>
      </c>
      <c r="R623" s="9">
        <v>42668</v>
      </c>
      <c r="S623">
        <v>294</v>
      </c>
      <c r="T623">
        <v>1</v>
      </c>
      <c r="U623">
        <v>0</v>
      </c>
      <c r="V623">
        <v>0</v>
      </c>
      <c r="W623">
        <v>0</v>
      </c>
      <c r="X623" s="57">
        <f t="shared" si="72"/>
        <v>-68.98500525</v>
      </c>
      <c r="Y623">
        <v>-23.29</v>
      </c>
      <c r="Z623">
        <v>5.24</v>
      </c>
      <c r="AA623" s="3">
        <f t="shared" si="74"/>
        <v>7</v>
      </c>
      <c r="AB623" s="3">
        <f t="shared" si="78"/>
        <v>5</v>
      </c>
      <c r="AD623" s="3" t="s">
        <v>2754</v>
      </c>
      <c r="AE623" s="22">
        <v>-79.408004199999993</v>
      </c>
      <c r="AF623" s="22">
        <f t="shared" si="75"/>
        <v>-79.408004199999993</v>
      </c>
      <c r="AG623" s="60" t="s">
        <v>16</v>
      </c>
      <c r="AH623" s="61" t="s">
        <v>16</v>
      </c>
      <c r="AJ623" s="3">
        <f t="shared" si="76"/>
        <v>8</v>
      </c>
      <c r="AK623" s="3" t="s">
        <v>2706</v>
      </c>
      <c r="AL623">
        <v>8</v>
      </c>
      <c r="AM623" t="s">
        <v>15</v>
      </c>
    </row>
    <row r="624" spans="1:39" x14ac:dyDescent="0.3">
      <c r="A624" s="51" t="s">
        <v>1262</v>
      </c>
      <c r="B624" s="54" t="s">
        <v>1263</v>
      </c>
      <c r="C624" s="51" t="s">
        <v>2765</v>
      </c>
      <c r="D624" s="53">
        <v>0</v>
      </c>
      <c r="E624" s="53">
        <v>1</v>
      </c>
      <c r="F624" s="51" t="s">
        <v>2715</v>
      </c>
      <c r="G624" s="51" t="s">
        <v>2695</v>
      </c>
      <c r="H624" s="25" t="str">
        <f t="shared" si="71"/>
        <v>jgd</v>
      </c>
      <c r="I624" t="s">
        <v>72</v>
      </c>
      <c r="J624" t="s">
        <v>694</v>
      </c>
      <c r="K624" t="s">
        <v>1264</v>
      </c>
      <c r="L624" s="25">
        <v>46.127756990000002</v>
      </c>
      <c r="M624" s="25">
        <v>8.9340164130000002</v>
      </c>
      <c r="N624">
        <v>4</v>
      </c>
      <c r="O624">
        <v>3</v>
      </c>
      <c r="P624">
        <v>11</v>
      </c>
      <c r="Q624">
        <v>2015</v>
      </c>
      <c r="R624" s="9">
        <v>42311</v>
      </c>
      <c r="S624">
        <v>310</v>
      </c>
      <c r="T624">
        <v>1</v>
      </c>
      <c r="U624">
        <v>0</v>
      </c>
      <c r="V624">
        <v>0</v>
      </c>
      <c r="W624">
        <v>0</v>
      </c>
      <c r="X624">
        <f t="shared" si="72"/>
        <v>-68.962500000000006</v>
      </c>
      <c r="Y624">
        <v>-23.513032259999999</v>
      </c>
      <c r="Z624">
        <v>5.1349042999999996</v>
      </c>
      <c r="AA624" s="3">
        <f t="shared" si="74"/>
        <v>7</v>
      </c>
      <c r="AB624" s="3">
        <f t="shared" si="78"/>
        <v>5</v>
      </c>
      <c r="AD624" s="3" t="s">
        <v>2754</v>
      </c>
      <c r="AE624" s="22">
        <v>-79.39</v>
      </c>
      <c r="AF624" s="22">
        <f t="shared" si="75"/>
        <v>-79.39</v>
      </c>
      <c r="AG624" s="1">
        <v>-102.2</v>
      </c>
      <c r="AH624" s="2" t="s">
        <v>16</v>
      </c>
      <c r="AI624"/>
      <c r="AJ624" s="3">
        <f t="shared" si="76"/>
        <v>8</v>
      </c>
      <c r="AK624" s="3" t="s">
        <v>2706</v>
      </c>
      <c r="AL624">
        <v>8</v>
      </c>
      <c r="AM624" t="s">
        <v>15</v>
      </c>
    </row>
    <row r="625" spans="1:39" hidden="1" x14ac:dyDescent="0.3">
      <c r="A625" s="51" t="s">
        <v>1877</v>
      </c>
      <c r="B625" s="54" t="s">
        <v>1878</v>
      </c>
      <c r="C625" s="51" t="s">
        <v>2765</v>
      </c>
      <c r="D625" s="53">
        <v>0</v>
      </c>
      <c r="E625" s="53">
        <v>1</v>
      </c>
      <c r="F625" s="51" t="s">
        <v>2715</v>
      </c>
      <c r="G625" s="51" t="s">
        <v>2695</v>
      </c>
      <c r="H625" s="25" t="str">
        <f t="shared" si="71"/>
        <v>jgd</v>
      </c>
      <c r="I625" t="s">
        <v>13</v>
      </c>
      <c r="J625" t="s">
        <v>58</v>
      </c>
      <c r="K625" t="s">
        <v>1879</v>
      </c>
      <c r="L625" s="25">
        <v>46.931885889999997</v>
      </c>
      <c r="M625" s="25">
        <v>6.5966371769999999</v>
      </c>
      <c r="N625">
        <v>6</v>
      </c>
      <c r="O625">
        <v>18</v>
      </c>
      <c r="P625">
        <v>11</v>
      </c>
      <c r="Q625">
        <v>2016</v>
      </c>
      <c r="R625" s="9">
        <v>42692</v>
      </c>
      <c r="S625">
        <v>364</v>
      </c>
      <c r="T625">
        <v>1</v>
      </c>
      <c r="U625">
        <v>0</v>
      </c>
      <c r="V625">
        <v>0</v>
      </c>
      <c r="W625">
        <v>0</v>
      </c>
      <c r="X625" s="57">
        <f t="shared" si="72"/>
        <v>-68.950195250000007</v>
      </c>
      <c r="Y625">
        <v>-23.94</v>
      </c>
      <c r="Z625">
        <v>1.55</v>
      </c>
      <c r="AA625" s="3">
        <f t="shared" si="74"/>
        <v>7</v>
      </c>
      <c r="AB625" s="3">
        <f t="shared" si="78"/>
        <v>2</v>
      </c>
      <c r="AD625" s="3" t="s">
        <v>2750</v>
      </c>
      <c r="AE625" s="22">
        <v>-79.380156200000002</v>
      </c>
      <c r="AF625" s="22">
        <f t="shared" si="75"/>
        <v>-79.380156200000002</v>
      </c>
      <c r="AG625" s="60" t="s">
        <v>16</v>
      </c>
      <c r="AH625" s="61" t="s">
        <v>16</v>
      </c>
      <c r="AJ625" s="3">
        <f t="shared" si="76"/>
        <v>8</v>
      </c>
      <c r="AK625" s="3" t="s">
        <v>2706</v>
      </c>
      <c r="AL625">
        <v>8</v>
      </c>
      <c r="AM625" t="s">
        <v>15</v>
      </c>
    </row>
    <row r="626" spans="1:39" hidden="1" x14ac:dyDescent="0.3">
      <c r="A626" s="51" t="s">
        <v>2736</v>
      </c>
      <c r="B626" s="54" t="s">
        <v>613</v>
      </c>
      <c r="C626" s="51" t="s">
        <v>2765</v>
      </c>
      <c r="D626" s="53">
        <v>0</v>
      </c>
      <c r="E626" s="53">
        <v>1</v>
      </c>
      <c r="F626" s="51" t="s">
        <v>2715</v>
      </c>
      <c r="G626" s="51" t="s">
        <v>2695</v>
      </c>
      <c r="H626" s="25" t="str">
        <f t="shared" si="71"/>
        <v>jgd</v>
      </c>
      <c r="I626" t="s">
        <v>30</v>
      </c>
      <c r="J626" t="s">
        <v>271</v>
      </c>
      <c r="K626" t="s">
        <v>614</v>
      </c>
      <c r="L626" s="25">
        <v>46.652197440000002</v>
      </c>
      <c r="M626" s="25">
        <v>6.9942176119999999</v>
      </c>
      <c r="N626">
        <v>4</v>
      </c>
      <c r="O626">
        <v>10</v>
      </c>
      <c r="P626">
        <v>11</v>
      </c>
      <c r="Q626">
        <v>2014</v>
      </c>
      <c r="R626" s="9">
        <v>41953</v>
      </c>
      <c r="S626">
        <v>368</v>
      </c>
      <c r="T626">
        <v>1</v>
      </c>
      <c r="U626">
        <v>0</v>
      </c>
      <c r="V626">
        <v>0</v>
      </c>
      <c r="W626">
        <v>0</v>
      </c>
      <c r="X626">
        <f t="shared" si="72"/>
        <v>-68.9375</v>
      </c>
      <c r="Y626">
        <v>-23.276</v>
      </c>
      <c r="Z626">
        <v>4.8688173519999998</v>
      </c>
      <c r="AA626" s="3">
        <f t="shared" si="74"/>
        <v>7</v>
      </c>
      <c r="AB626" s="3">
        <f t="shared" si="78"/>
        <v>5</v>
      </c>
      <c r="AD626" s="3" t="s">
        <v>2751</v>
      </c>
      <c r="AE626" s="22">
        <v>-79.37</v>
      </c>
      <c r="AF626" s="22">
        <f t="shared" si="75"/>
        <v>-79.37</v>
      </c>
      <c r="AG626" s="1">
        <v>-102.2</v>
      </c>
      <c r="AH626" s="2" t="s">
        <v>16</v>
      </c>
      <c r="AI626"/>
      <c r="AJ626" s="3">
        <f t="shared" si="76"/>
        <v>8</v>
      </c>
      <c r="AK626" s="3" t="s">
        <v>2706</v>
      </c>
      <c r="AL626">
        <v>8</v>
      </c>
      <c r="AM626" t="s">
        <v>15</v>
      </c>
    </row>
    <row r="627" spans="1:39" x14ac:dyDescent="0.3">
      <c r="A627" s="51" t="s">
        <v>1117</v>
      </c>
      <c r="B627" s="54" t="s">
        <v>1118</v>
      </c>
      <c r="C627" s="51" t="s">
        <v>2765</v>
      </c>
      <c r="D627" s="53">
        <v>0</v>
      </c>
      <c r="E627" s="53">
        <v>1</v>
      </c>
      <c r="F627" s="51" t="s">
        <v>2715</v>
      </c>
      <c r="G627" s="51" t="s">
        <v>2695</v>
      </c>
      <c r="H627" s="25" t="str">
        <f t="shared" si="71"/>
        <v>jgd</v>
      </c>
      <c r="I627" t="s">
        <v>72</v>
      </c>
      <c r="J627" t="s">
        <v>1115</v>
      </c>
      <c r="K627" t="s">
        <v>1116</v>
      </c>
      <c r="L627" s="25">
        <v>46.02084997</v>
      </c>
      <c r="M627" s="25">
        <v>8.8113481890000003</v>
      </c>
      <c r="N627">
        <v>5</v>
      </c>
      <c r="O627">
        <v>31</v>
      </c>
      <c r="P627">
        <v>10</v>
      </c>
      <c r="Q627">
        <v>2015</v>
      </c>
      <c r="R627" s="9">
        <v>42308</v>
      </c>
      <c r="S627" t="s">
        <v>16</v>
      </c>
      <c r="T627">
        <v>1</v>
      </c>
      <c r="U627">
        <v>0</v>
      </c>
      <c r="V627">
        <v>0</v>
      </c>
      <c r="W627">
        <v>0</v>
      </c>
      <c r="X627">
        <f t="shared" si="72"/>
        <v>-68.849999999999994</v>
      </c>
      <c r="Y627">
        <v>-23.26943176</v>
      </c>
      <c r="Z627">
        <v>3.9994609560000001</v>
      </c>
      <c r="AA627" s="3">
        <f t="shared" si="74"/>
        <v>7</v>
      </c>
      <c r="AB627" s="3">
        <f t="shared" si="78"/>
        <v>4</v>
      </c>
      <c r="AD627" s="3" t="s">
        <v>2754</v>
      </c>
      <c r="AE627" s="22">
        <v>-79.3</v>
      </c>
      <c r="AF627" s="22">
        <f t="shared" si="75"/>
        <v>-79.3</v>
      </c>
      <c r="AG627" s="1">
        <v>-102.2</v>
      </c>
      <c r="AH627" s="2" t="s">
        <v>16</v>
      </c>
      <c r="AI627"/>
      <c r="AJ627" s="3">
        <f t="shared" si="76"/>
        <v>8</v>
      </c>
      <c r="AK627" s="3" t="s">
        <v>2706</v>
      </c>
      <c r="AL627">
        <v>8</v>
      </c>
      <c r="AM627" t="s">
        <v>15</v>
      </c>
    </row>
    <row r="628" spans="1:39" x14ac:dyDescent="0.3">
      <c r="A628" s="51" t="s">
        <v>1477</v>
      </c>
      <c r="B628" s="54" t="s">
        <v>1478</v>
      </c>
      <c r="C628" s="51" t="s">
        <v>2765</v>
      </c>
      <c r="D628" s="53">
        <v>0</v>
      </c>
      <c r="E628" s="53">
        <v>1</v>
      </c>
      <c r="F628" s="51" t="s">
        <v>2715</v>
      </c>
      <c r="G628" s="51" t="s">
        <v>2695</v>
      </c>
      <c r="H628" s="25" t="str">
        <f t="shared" si="71"/>
        <v>jgd</v>
      </c>
      <c r="I628" t="s">
        <v>72</v>
      </c>
      <c r="J628" t="s">
        <v>1189</v>
      </c>
      <c r="K628" t="s">
        <v>1479</v>
      </c>
      <c r="L628" s="25">
        <v>46.093194500000003</v>
      </c>
      <c r="M628" s="25">
        <v>9.0743526550000002</v>
      </c>
      <c r="N628">
        <v>5</v>
      </c>
      <c r="O628">
        <v>23</v>
      </c>
      <c r="P628">
        <v>10</v>
      </c>
      <c r="Q628">
        <v>2016</v>
      </c>
      <c r="R628" s="9">
        <v>42666</v>
      </c>
      <c r="S628">
        <v>280</v>
      </c>
      <c r="T628">
        <v>1</v>
      </c>
      <c r="U628">
        <v>0</v>
      </c>
      <c r="V628">
        <v>0</v>
      </c>
      <c r="W628">
        <v>0</v>
      </c>
      <c r="X628" s="57">
        <f t="shared" si="72"/>
        <v>-68.737376500000011</v>
      </c>
      <c r="Y628">
        <v>-23.28</v>
      </c>
      <c r="Z628">
        <v>5.38</v>
      </c>
      <c r="AA628" s="3">
        <f t="shared" si="74"/>
        <v>7</v>
      </c>
      <c r="AB628" s="3">
        <f t="shared" si="78"/>
        <v>5</v>
      </c>
      <c r="AD628" s="3" t="s">
        <v>2754</v>
      </c>
      <c r="AE628" s="22">
        <v>-79.209901200000004</v>
      </c>
      <c r="AF628" s="22">
        <f t="shared" si="75"/>
        <v>-79.209901200000004</v>
      </c>
      <c r="AG628" s="60" t="s">
        <v>16</v>
      </c>
      <c r="AH628" s="61" t="s">
        <v>16</v>
      </c>
      <c r="AJ628" s="3">
        <f t="shared" si="76"/>
        <v>8</v>
      </c>
      <c r="AK628" s="3" t="s">
        <v>2706</v>
      </c>
      <c r="AL628">
        <v>8</v>
      </c>
      <c r="AM628" t="s">
        <v>15</v>
      </c>
    </row>
    <row r="629" spans="1:39" x14ac:dyDescent="0.3">
      <c r="A629" s="51" t="s">
        <v>869</v>
      </c>
      <c r="B629" s="54" t="s">
        <v>870</v>
      </c>
      <c r="C629" s="51" t="s">
        <v>2765</v>
      </c>
      <c r="D629" s="53">
        <v>0</v>
      </c>
      <c r="E629" s="53">
        <v>1</v>
      </c>
      <c r="F629" s="51" t="s">
        <v>2715</v>
      </c>
      <c r="G629" s="51" t="s">
        <v>2695</v>
      </c>
      <c r="H629" s="25" t="str">
        <f t="shared" ref="H629:H692" si="79">IF(T629=1,"jgd",IF(W629=1,"Captures automne","Captures printemps-été"))</f>
        <v>jgd</v>
      </c>
      <c r="I629" t="s">
        <v>72</v>
      </c>
      <c r="J629" t="s">
        <v>848</v>
      </c>
      <c r="K629" t="s">
        <v>871</v>
      </c>
      <c r="L629" s="25">
        <v>46.187603330000002</v>
      </c>
      <c r="M629" s="25">
        <v>8.6686783460000001</v>
      </c>
      <c r="N629">
        <v>6</v>
      </c>
      <c r="O629">
        <v>17</v>
      </c>
      <c r="P629">
        <v>11</v>
      </c>
      <c r="Q629">
        <v>2015</v>
      </c>
      <c r="R629" s="9">
        <v>42325</v>
      </c>
      <c r="S629">
        <v>250</v>
      </c>
      <c r="T629">
        <v>1</v>
      </c>
      <c r="U629">
        <v>0</v>
      </c>
      <c r="V629">
        <v>0</v>
      </c>
      <c r="W629">
        <v>0</v>
      </c>
      <c r="X629">
        <f t="shared" ref="X629:X692" si="80">1.25*AF629+30.275</f>
        <v>-68.700000000000017</v>
      </c>
      <c r="Y629">
        <v>-23.386600000000001</v>
      </c>
      <c r="Z629">
        <v>5.6361808890000002</v>
      </c>
      <c r="AA629" s="3">
        <f t="shared" si="74"/>
        <v>7</v>
      </c>
      <c r="AB629" s="3">
        <f t="shared" si="78"/>
        <v>6</v>
      </c>
      <c r="AD629" s="3" t="s">
        <v>2754</v>
      </c>
      <c r="AE629" s="22">
        <v>-79.180000000000007</v>
      </c>
      <c r="AF629" s="22">
        <f t="shared" si="75"/>
        <v>-79.180000000000007</v>
      </c>
      <c r="AG629" s="1">
        <v>-102</v>
      </c>
      <c r="AH629" s="2" t="s">
        <v>16</v>
      </c>
      <c r="AI629"/>
      <c r="AJ629" s="3">
        <f t="shared" si="76"/>
        <v>8</v>
      </c>
      <c r="AK629" s="3" t="s">
        <v>2706</v>
      </c>
      <c r="AL629">
        <v>8</v>
      </c>
      <c r="AM629" t="s">
        <v>15</v>
      </c>
    </row>
    <row r="630" spans="1:39" hidden="1" x14ac:dyDescent="0.3">
      <c r="A630" s="51" t="s">
        <v>1410</v>
      </c>
      <c r="B630" s="54" t="s">
        <v>289</v>
      </c>
      <c r="C630" s="51" t="s">
        <v>2765</v>
      </c>
      <c r="D630" s="53">
        <v>0</v>
      </c>
      <c r="E630" s="53">
        <v>1</v>
      </c>
      <c r="F630" s="51" t="s">
        <v>2715</v>
      </c>
      <c r="G630" s="51" t="s">
        <v>2695</v>
      </c>
      <c r="H630" s="25" t="str">
        <f t="shared" si="79"/>
        <v>jgd</v>
      </c>
      <c r="I630" t="s">
        <v>30</v>
      </c>
      <c r="J630" t="s">
        <v>68</v>
      </c>
      <c r="K630" t="s">
        <v>16</v>
      </c>
      <c r="L630" s="25">
        <v>46.735146790000002</v>
      </c>
      <c r="M630" s="25">
        <v>6.9461058790000001</v>
      </c>
      <c r="N630">
        <v>4</v>
      </c>
      <c r="O630">
        <v>21</v>
      </c>
      <c r="P630">
        <v>11</v>
      </c>
      <c r="Q630">
        <v>2015</v>
      </c>
      <c r="R630" s="9">
        <v>42329</v>
      </c>
      <c r="S630">
        <v>332</v>
      </c>
      <c r="T630">
        <v>1</v>
      </c>
      <c r="U630">
        <v>0</v>
      </c>
      <c r="V630">
        <v>0</v>
      </c>
      <c r="W630">
        <v>0</v>
      </c>
      <c r="X630">
        <f t="shared" si="80"/>
        <v>-68.6875</v>
      </c>
      <c r="Y630">
        <v>-24.116800000000001</v>
      </c>
      <c r="Z630">
        <v>7.7058101160000003</v>
      </c>
      <c r="AA630" s="3">
        <f t="shared" si="74"/>
        <v>7</v>
      </c>
      <c r="AB630" s="3">
        <f t="shared" si="78"/>
        <v>8</v>
      </c>
      <c r="AD630" s="3" t="s">
        <v>2751</v>
      </c>
      <c r="AE630" s="22">
        <v>-79.17</v>
      </c>
      <c r="AF630" s="22">
        <f t="shared" si="75"/>
        <v>-79.17</v>
      </c>
      <c r="AG630" s="1">
        <v>-102</v>
      </c>
      <c r="AH630" s="2" t="s">
        <v>16</v>
      </c>
      <c r="AI630"/>
      <c r="AJ630" s="3">
        <f t="shared" si="76"/>
        <v>8</v>
      </c>
      <c r="AK630" s="3" t="s">
        <v>2706</v>
      </c>
      <c r="AL630">
        <v>8</v>
      </c>
      <c r="AM630" t="s">
        <v>15</v>
      </c>
    </row>
    <row r="631" spans="1:39" x14ac:dyDescent="0.3">
      <c r="A631" s="51" t="s">
        <v>2516</v>
      </c>
      <c r="B631" s="54" t="s">
        <v>1915</v>
      </c>
      <c r="C631" s="51" t="s">
        <v>2765</v>
      </c>
      <c r="D631" s="53">
        <v>0</v>
      </c>
      <c r="E631" s="53">
        <v>1</v>
      </c>
      <c r="F631" s="51" t="s">
        <v>2715</v>
      </c>
      <c r="G631" s="51" t="s">
        <v>2695</v>
      </c>
      <c r="H631" s="25" t="str">
        <f t="shared" si="79"/>
        <v>jgd</v>
      </c>
      <c r="I631" t="s">
        <v>72</v>
      </c>
      <c r="J631" t="s">
        <v>298</v>
      </c>
      <c r="K631" t="s">
        <v>2515</v>
      </c>
      <c r="L631" s="25">
        <v>46.133151990000002</v>
      </c>
      <c r="M631" s="25">
        <v>8.9777639199999992</v>
      </c>
      <c r="N631">
        <v>5</v>
      </c>
      <c r="O631">
        <v>31</v>
      </c>
      <c r="P631">
        <v>10</v>
      </c>
      <c r="Q631">
        <v>2017</v>
      </c>
      <c r="R631" s="9">
        <v>43039</v>
      </c>
      <c r="S631">
        <v>300</v>
      </c>
      <c r="T631">
        <v>1</v>
      </c>
      <c r="U631">
        <v>0</v>
      </c>
      <c r="V631">
        <v>0</v>
      </c>
      <c r="W631">
        <v>0</v>
      </c>
      <c r="X631" s="57">
        <f t="shared" si="80"/>
        <v>-68.683532624999998</v>
      </c>
      <c r="Y631" t="s">
        <v>16</v>
      </c>
      <c r="Z631">
        <v>4.4628602700000002</v>
      </c>
      <c r="AA631" s="3">
        <f t="shared" si="74"/>
        <v>7</v>
      </c>
      <c r="AB631" s="3">
        <f t="shared" si="78"/>
        <v>4</v>
      </c>
      <c r="AD631" s="3" t="s">
        <v>2754</v>
      </c>
      <c r="AE631" s="22">
        <v>-79.166826099999994</v>
      </c>
      <c r="AF631" s="22">
        <f t="shared" si="75"/>
        <v>-79.166826099999994</v>
      </c>
      <c r="AG631" s="60" t="s">
        <v>16</v>
      </c>
      <c r="AH631" s="61" t="s">
        <v>16</v>
      </c>
      <c r="AJ631" s="3">
        <f t="shared" si="76"/>
        <v>8</v>
      </c>
      <c r="AK631" s="3" t="s">
        <v>2706</v>
      </c>
      <c r="AL631">
        <v>8</v>
      </c>
      <c r="AM631" t="s">
        <v>15</v>
      </c>
    </row>
    <row r="632" spans="1:39" x14ac:dyDescent="0.3">
      <c r="A632" s="51" t="s">
        <v>1940</v>
      </c>
      <c r="B632" s="54" t="s">
        <v>1941</v>
      </c>
      <c r="C632" s="51" t="s">
        <v>2765</v>
      </c>
      <c r="D632" s="53">
        <v>0</v>
      </c>
      <c r="E632" s="53">
        <v>1</v>
      </c>
      <c r="F632" s="51" t="s">
        <v>2715</v>
      </c>
      <c r="G632" s="51" t="s">
        <v>2695</v>
      </c>
      <c r="H632" s="25" t="str">
        <f t="shared" si="79"/>
        <v>jgd</v>
      </c>
      <c r="I632" t="s">
        <v>72</v>
      </c>
      <c r="J632" t="s">
        <v>1942</v>
      </c>
      <c r="K632" t="s">
        <v>1943</v>
      </c>
      <c r="L632" s="25">
        <v>46.044614699999997</v>
      </c>
      <c r="M632" s="25">
        <v>9.0120031009999995</v>
      </c>
      <c r="N632">
        <v>5</v>
      </c>
      <c r="O632">
        <v>9</v>
      </c>
      <c r="P632">
        <v>11</v>
      </c>
      <c r="Q632">
        <v>2016</v>
      </c>
      <c r="R632" s="9">
        <v>42683</v>
      </c>
      <c r="S632">
        <v>285</v>
      </c>
      <c r="T632">
        <v>1</v>
      </c>
      <c r="U632">
        <v>0</v>
      </c>
      <c r="V632">
        <v>0</v>
      </c>
      <c r="W632">
        <v>0</v>
      </c>
      <c r="X632" s="57">
        <f t="shared" si="80"/>
        <v>-68.677090499999991</v>
      </c>
      <c r="Y632">
        <v>-23.89</v>
      </c>
      <c r="Z632">
        <v>6.07</v>
      </c>
      <c r="AA632" s="3">
        <f t="shared" si="74"/>
        <v>7</v>
      </c>
      <c r="AB632" s="3">
        <f t="shared" si="78"/>
        <v>6</v>
      </c>
      <c r="AD632" s="3" t="s">
        <v>2754</v>
      </c>
      <c r="AE632" s="22">
        <v>-79.1616724</v>
      </c>
      <c r="AF632" s="22">
        <f t="shared" si="75"/>
        <v>-79.1616724</v>
      </c>
      <c r="AG632" s="60" t="s">
        <v>16</v>
      </c>
      <c r="AH632" s="61" t="s">
        <v>16</v>
      </c>
      <c r="AJ632" s="3">
        <f t="shared" si="76"/>
        <v>8</v>
      </c>
      <c r="AK632" s="3" t="s">
        <v>2706</v>
      </c>
      <c r="AL632">
        <v>8</v>
      </c>
      <c r="AM632" t="s">
        <v>15</v>
      </c>
    </row>
    <row r="633" spans="1:39" hidden="1" x14ac:dyDescent="0.3">
      <c r="A633" s="51" t="s">
        <v>1577</v>
      </c>
      <c r="B633" s="54" t="s">
        <v>1578</v>
      </c>
      <c r="C633" s="51" t="s">
        <v>2765</v>
      </c>
      <c r="D633" s="53">
        <v>0</v>
      </c>
      <c r="E633" s="53">
        <v>1</v>
      </c>
      <c r="F633" s="51" t="s">
        <v>2715</v>
      </c>
      <c r="G633" s="51" t="s">
        <v>2695</v>
      </c>
      <c r="H633" s="25" t="str">
        <f t="shared" si="79"/>
        <v>jgd</v>
      </c>
      <c r="I633" t="s">
        <v>30</v>
      </c>
      <c r="J633" t="s">
        <v>64</v>
      </c>
      <c r="K633" t="s">
        <v>327</v>
      </c>
      <c r="L633" s="25">
        <v>46.644518419999997</v>
      </c>
      <c r="M633" s="25">
        <v>7.0337272249999998</v>
      </c>
      <c r="N633">
        <v>3</v>
      </c>
      <c r="O633">
        <v>30</v>
      </c>
      <c r="P633">
        <v>11</v>
      </c>
      <c r="Q633">
        <v>2016</v>
      </c>
      <c r="R633" s="9">
        <v>42704</v>
      </c>
      <c r="S633">
        <v>310</v>
      </c>
      <c r="T633">
        <v>1</v>
      </c>
      <c r="U633">
        <v>0</v>
      </c>
      <c r="V633">
        <v>0</v>
      </c>
      <c r="W633">
        <v>0</v>
      </c>
      <c r="X633" s="57">
        <f t="shared" si="80"/>
        <v>-68.600856499999992</v>
      </c>
      <c r="Y633">
        <v>-22.8</v>
      </c>
      <c r="Z633">
        <v>6.24</v>
      </c>
      <c r="AA633" s="3">
        <f t="shared" si="74"/>
        <v>7</v>
      </c>
      <c r="AB633" s="3">
        <f t="shared" si="78"/>
        <v>6</v>
      </c>
      <c r="AD633" s="3" t="s">
        <v>2751</v>
      </c>
      <c r="AE633" s="22">
        <v>-79.100685200000001</v>
      </c>
      <c r="AF633" s="22">
        <f t="shared" si="75"/>
        <v>-79.100685200000001</v>
      </c>
      <c r="AG633" s="60" t="s">
        <v>16</v>
      </c>
      <c r="AH633" s="61" t="s">
        <v>16</v>
      </c>
      <c r="AJ633" s="3">
        <f t="shared" si="76"/>
        <v>8</v>
      </c>
      <c r="AK633" s="3" t="s">
        <v>2706</v>
      </c>
      <c r="AL633">
        <v>8</v>
      </c>
      <c r="AM633" t="s">
        <v>15</v>
      </c>
    </row>
    <row r="634" spans="1:39" hidden="1" x14ac:dyDescent="0.3">
      <c r="A634" s="51" t="s">
        <v>390</v>
      </c>
      <c r="B634" s="54" t="s">
        <v>391</v>
      </c>
      <c r="C634" s="51" t="s">
        <v>2765</v>
      </c>
      <c r="D634" s="53">
        <v>0</v>
      </c>
      <c r="E634" s="53">
        <v>1</v>
      </c>
      <c r="F634" s="51" t="s">
        <v>2715</v>
      </c>
      <c r="G634" s="51" t="s">
        <v>2695</v>
      </c>
      <c r="H634" s="25" t="str">
        <f t="shared" si="79"/>
        <v>jgd</v>
      </c>
      <c r="I634" t="s">
        <v>385</v>
      </c>
      <c r="J634" t="s">
        <v>392</v>
      </c>
      <c r="K634" t="s">
        <v>393</v>
      </c>
      <c r="L634" s="25">
        <v>46.854781410000001</v>
      </c>
      <c r="M634" s="25">
        <v>6.5026791040000003</v>
      </c>
      <c r="N634">
        <v>6</v>
      </c>
      <c r="O634">
        <v>23</v>
      </c>
      <c r="P634">
        <v>10</v>
      </c>
      <c r="Q634">
        <v>2014</v>
      </c>
      <c r="R634" s="9">
        <v>41935</v>
      </c>
      <c r="S634">
        <v>301</v>
      </c>
      <c r="T634">
        <v>1</v>
      </c>
      <c r="U634">
        <v>0</v>
      </c>
      <c r="V634">
        <v>0</v>
      </c>
      <c r="W634">
        <v>0</v>
      </c>
      <c r="X634">
        <f t="shared" si="80"/>
        <v>-68.599999999999994</v>
      </c>
      <c r="Y634">
        <v>-23.803999999999998</v>
      </c>
      <c r="Z634">
        <v>4.379715461</v>
      </c>
      <c r="AA634" s="3">
        <f t="shared" si="74"/>
        <v>7</v>
      </c>
      <c r="AB634" s="3">
        <f t="shared" si="78"/>
        <v>4</v>
      </c>
      <c r="AD634" s="3" t="s">
        <v>2750</v>
      </c>
      <c r="AE634" s="22">
        <v>-79.099999999999994</v>
      </c>
      <c r="AF634" s="22">
        <f t="shared" si="75"/>
        <v>-79.099999999999994</v>
      </c>
      <c r="AG634" s="1">
        <v>-101.9</v>
      </c>
      <c r="AH634" s="2" t="s">
        <v>16</v>
      </c>
      <c r="AI634"/>
      <c r="AJ634" s="3">
        <f t="shared" si="76"/>
        <v>8</v>
      </c>
      <c r="AK634" s="3" t="s">
        <v>2706</v>
      </c>
      <c r="AL634">
        <v>8</v>
      </c>
      <c r="AM634" t="s">
        <v>15</v>
      </c>
    </row>
    <row r="635" spans="1:39" hidden="1" x14ac:dyDescent="0.3">
      <c r="A635" s="51" t="s">
        <v>1498</v>
      </c>
      <c r="B635" s="54" t="s">
        <v>1499</v>
      </c>
      <c r="C635" s="51" t="s">
        <v>2765</v>
      </c>
      <c r="D635" s="53">
        <v>0</v>
      </c>
      <c r="E635" s="53">
        <v>1</v>
      </c>
      <c r="F635" s="51" t="s">
        <v>2715</v>
      </c>
      <c r="G635" s="51" t="s">
        <v>2695</v>
      </c>
      <c r="H635" s="25" t="str">
        <f t="shared" si="79"/>
        <v>jgd</v>
      </c>
      <c r="I635" t="s">
        <v>1488</v>
      </c>
      <c r="J635" t="s">
        <v>1500</v>
      </c>
      <c r="K635" t="s">
        <v>1501</v>
      </c>
      <c r="L635" s="25">
        <v>47.284653370000001</v>
      </c>
      <c r="M635" s="25">
        <v>7.0380214109999999</v>
      </c>
      <c r="N635">
        <v>5</v>
      </c>
      <c r="O635">
        <v>2</v>
      </c>
      <c r="P635">
        <v>11</v>
      </c>
      <c r="Q635">
        <v>2016</v>
      </c>
      <c r="R635" s="9">
        <v>42676</v>
      </c>
      <c r="S635">
        <v>290</v>
      </c>
      <c r="T635">
        <v>1</v>
      </c>
      <c r="U635">
        <v>0</v>
      </c>
      <c r="V635">
        <v>0</v>
      </c>
      <c r="W635">
        <v>0</v>
      </c>
      <c r="X635" s="57">
        <f t="shared" si="80"/>
        <v>-68.598360500000013</v>
      </c>
      <c r="Y635">
        <v>-24.64</v>
      </c>
      <c r="Z635">
        <v>4.1500000000000004</v>
      </c>
      <c r="AA635" s="3">
        <f t="shared" si="74"/>
        <v>7</v>
      </c>
      <c r="AB635" s="3">
        <f t="shared" si="78"/>
        <v>4</v>
      </c>
      <c r="AD635" s="3" t="s">
        <v>2750</v>
      </c>
      <c r="AE635" s="22">
        <v>-79.0986884</v>
      </c>
      <c r="AF635" s="22">
        <f t="shared" si="75"/>
        <v>-79.0986884</v>
      </c>
      <c r="AG635" s="60" t="s">
        <v>16</v>
      </c>
      <c r="AH635" s="61" t="s">
        <v>16</v>
      </c>
      <c r="AJ635" s="3">
        <f t="shared" si="76"/>
        <v>8</v>
      </c>
      <c r="AK635" s="3" t="s">
        <v>2706</v>
      </c>
      <c r="AL635">
        <v>8</v>
      </c>
      <c r="AM635" t="s">
        <v>15</v>
      </c>
    </row>
    <row r="636" spans="1:39" x14ac:dyDescent="0.3">
      <c r="A636" s="51" t="s">
        <v>1589</v>
      </c>
      <c r="B636" s="54" t="s">
        <v>1590</v>
      </c>
      <c r="C636" s="51" t="s">
        <v>2765</v>
      </c>
      <c r="D636" s="53">
        <v>0</v>
      </c>
      <c r="E636" s="53">
        <v>1</v>
      </c>
      <c r="F636" s="51" t="s">
        <v>2715</v>
      </c>
      <c r="G636" s="51" t="s">
        <v>2695</v>
      </c>
      <c r="H636" s="25" t="str">
        <f t="shared" si="79"/>
        <v>jgd</v>
      </c>
      <c r="I636" t="s">
        <v>72</v>
      </c>
      <c r="J636" t="s">
        <v>804</v>
      </c>
      <c r="K636" t="s">
        <v>1591</v>
      </c>
      <c r="L636" s="25">
        <v>46.060000029999998</v>
      </c>
      <c r="M636" s="25">
        <v>8.8899520190000008</v>
      </c>
      <c r="N636">
        <v>5</v>
      </c>
      <c r="O636">
        <v>12</v>
      </c>
      <c r="P636">
        <v>11</v>
      </c>
      <c r="Q636">
        <v>2016</v>
      </c>
      <c r="R636" s="9">
        <v>42686</v>
      </c>
      <c r="S636">
        <v>285</v>
      </c>
      <c r="T636">
        <v>1</v>
      </c>
      <c r="U636">
        <v>0</v>
      </c>
      <c r="V636">
        <v>0</v>
      </c>
      <c r="W636">
        <v>0</v>
      </c>
      <c r="X636" s="57">
        <f t="shared" si="80"/>
        <v>-68.564789499999989</v>
      </c>
      <c r="Y636">
        <v>-23.34</v>
      </c>
      <c r="Z636">
        <v>2.09</v>
      </c>
      <c r="AA636" s="3">
        <f t="shared" si="74"/>
        <v>7</v>
      </c>
      <c r="AB636" s="3">
        <f t="shared" si="78"/>
        <v>2</v>
      </c>
      <c r="AD636" s="3" t="s">
        <v>2754</v>
      </c>
      <c r="AE636" s="22">
        <v>-79.071831599999996</v>
      </c>
      <c r="AF636" s="22">
        <f t="shared" si="75"/>
        <v>-79.071831599999996</v>
      </c>
      <c r="AG636" s="60" t="s">
        <v>16</v>
      </c>
      <c r="AH636" s="61" t="s">
        <v>16</v>
      </c>
      <c r="AJ636" s="3">
        <f t="shared" si="76"/>
        <v>8</v>
      </c>
      <c r="AK636" s="3" t="s">
        <v>2706</v>
      </c>
      <c r="AL636">
        <v>8</v>
      </c>
      <c r="AM636" t="s">
        <v>15</v>
      </c>
    </row>
    <row r="637" spans="1:39" hidden="1" x14ac:dyDescent="0.3">
      <c r="A637" s="51" t="s">
        <v>1886</v>
      </c>
      <c r="B637" s="54" t="s">
        <v>1071</v>
      </c>
      <c r="C637" s="51" t="s">
        <v>2765</v>
      </c>
      <c r="D637" s="53">
        <v>0</v>
      </c>
      <c r="E637" s="53">
        <v>1</v>
      </c>
      <c r="F637" s="51" t="s">
        <v>2715</v>
      </c>
      <c r="G637" s="51" t="s">
        <v>2695</v>
      </c>
      <c r="H637" s="25" t="str">
        <f t="shared" si="79"/>
        <v>jgd</v>
      </c>
      <c r="I637" t="s">
        <v>13</v>
      </c>
      <c r="J637" t="s">
        <v>47</v>
      </c>
      <c r="K637" t="s">
        <v>59</v>
      </c>
      <c r="L637" s="25">
        <v>46.970679730000001</v>
      </c>
      <c r="M637" s="25">
        <v>6.7631231029999999</v>
      </c>
      <c r="N637">
        <v>6</v>
      </c>
      <c r="O637">
        <v>20</v>
      </c>
      <c r="P637">
        <v>10</v>
      </c>
      <c r="Q637">
        <v>2016</v>
      </c>
      <c r="R637" s="9">
        <v>42663</v>
      </c>
      <c r="S637">
        <v>341</v>
      </c>
      <c r="T637">
        <v>1</v>
      </c>
      <c r="U637">
        <v>0</v>
      </c>
      <c r="V637">
        <v>0</v>
      </c>
      <c r="W637">
        <v>0</v>
      </c>
      <c r="X637" s="57">
        <f t="shared" si="80"/>
        <v>-68.549172249999998</v>
      </c>
      <c r="Y637">
        <v>-21.83</v>
      </c>
      <c r="Z637">
        <v>4.24</v>
      </c>
      <c r="AA637" s="3">
        <f t="shared" si="74"/>
        <v>7</v>
      </c>
      <c r="AB637" s="3">
        <f t="shared" si="78"/>
        <v>4</v>
      </c>
      <c r="AD637" s="3" t="s">
        <v>2750</v>
      </c>
      <c r="AE637" s="22">
        <v>-79.059337799999994</v>
      </c>
      <c r="AF637" s="22">
        <f t="shared" si="75"/>
        <v>-79.059337799999994</v>
      </c>
      <c r="AG637" s="60" t="s">
        <v>16</v>
      </c>
      <c r="AH637" s="61" t="s">
        <v>16</v>
      </c>
      <c r="AJ637" s="3">
        <f t="shared" si="76"/>
        <v>8</v>
      </c>
      <c r="AK637" s="3" t="s">
        <v>2706</v>
      </c>
      <c r="AL637">
        <v>8</v>
      </c>
      <c r="AM637" t="s">
        <v>15</v>
      </c>
    </row>
    <row r="638" spans="1:39" x14ac:dyDescent="0.3">
      <c r="A638" s="51" t="s">
        <v>1434</v>
      </c>
      <c r="B638" s="54" t="s">
        <v>670</v>
      </c>
      <c r="C638" s="51" t="s">
        <v>2765</v>
      </c>
      <c r="D638" s="53">
        <v>0</v>
      </c>
      <c r="E638" s="53">
        <v>1</v>
      </c>
      <c r="F638" s="51" t="s">
        <v>2715</v>
      </c>
      <c r="G638" s="51" t="s">
        <v>2695</v>
      </c>
      <c r="H638" s="25" t="str">
        <f t="shared" si="79"/>
        <v>jgd</v>
      </c>
      <c r="I638" t="s">
        <v>72</v>
      </c>
      <c r="J638" t="s">
        <v>1189</v>
      </c>
      <c r="K638" t="s">
        <v>1435</v>
      </c>
      <c r="L638" s="25">
        <v>46.092763570000002</v>
      </c>
      <c r="M638" s="25">
        <v>9.0730465230000004</v>
      </c>
      <c r="N638">
        <v>5</v>
      </c>
      <c r="O638">
        <v>27</v>
      </c>
      <c r="P638">
        <v>11</v>
      </c>
      <c r="Q638">
        <v>2016</v>
      </c>
      <c r="R638" s="9">
        <v>42701</v>
      </c>
      <c r="S638">
        <v>320</v>
      </c>
      <c r="T638">
        <v>1</v>
      </c>
      <c r="U638">
        <v>0</v>
      </c>
      <c r="V638">
        <v>0</v>
      </c>
      <c r="W638">
        <v>0</v>
      </c>
      <c r="X638" s="57">
        <f t="shared" si="80"/>
        <v>-68.527477000000005</v>
      </c>
      <c r="Y638">
        <v>-22.84</v>
      </c>
      <c r="Z638">
        <v>7.12</v>
      </c>
      <c r="AA638" s="3">
        <f t="shared" si="74"/>
        <v>7</v>
      </c>
      <c r="AB638" s="3">
        <f t="shared" si="78"/>
        <v>7</v>
      </c>
      <c r="AD638" s="3" t="s">
        <v>2754</v>
      </c>
      <c r="AE638" s="22">
        <v>-79.0419816</v>
      </c>
      <c r="AF638" s="22">
        <f t="shared" si="75"/>
        <v>-79.0419816</v>
      </c>
      <c r="AG638" s="60" t="s">
        <v>16</v>
      </c>
      <c r="AH638" s="61" t="s">
        <v>16</v>
      </c>
      <c r="AJ638" s="3">
        <f t="shared" si="76"/>
        <v>8</v>
      </c>
      <c r="AK638" s="3" t="s">
        <v>2706</v>
      </c>
      <c r="AL638">
        <v>8</v>
      </c>
      <c r="AM638" t="s">
        <v>15</v>
      </c>
    </row>
    <row r="639" spans="1:39" x14ac:dyDescent="0.3">
      <c r="A639" s="51" t="s">
        <v>2685</v>
      </c>
      <c r="B639" s="54" t="s">
        <v>664</v>
      </c>
      <c r="C639" s="51" t="s">
        <v>2765</v>
      </c>
      <c r="D639" s="53">
        <v>0</v>
      </c>
      <c r="E639" s="53">
        <v>1</v>
      </c>
      <c r="F639" s="51" t="s">
        <v>2715</v>
      </c>
      <c r="G639" s="51" t="s">
        <v>2695</v>
      </c>
      <c r="H639" s="25" t="str">
        <f t="shared" si="79"/>
        <v>jgd</v>
      </c>
      <c r="I639" t="s">
        <v>72</v>
      </c>
      <c r="J639" t="s">
        <v>1189</v>
      </c>
      <c r="K639" t="s">
        <v>1432</v>
      </c>
      <c r="L639" s="25">
        <v>46.070387959999998</v>
      </c>
      <c r="M639" s="25">
        <v>9.0012796060000007</v>
      </c>
      <c r="N639">
        <v>5</v>
      </c>
      <c r="O639">
        <v>17</v>
      </c>
      <c r="P639">
        <v>11</v>
      </c>
      <c r="Q639">
        <v>2016</v>
      </c>
      <c r="R639" s="9">
        <v>42691</v>
      </c>
      <c r="S639">
        <v>310</v>
      </c>
      <c r="T639">
        <v>1</v>
      </c>
      <c r="U639">
        <v>0</v>
      </c>
      <c r="V639">
        <v>0</v>
      </c>
      <c r="W639">
        <v>0</v>
      </c>
      <c r="X639" s="57">
        <f t="shared" si="80"/>
        <v>-68.526241249999998</v>
      </c>
      <c r="Y639">
        <v>-23.08</v>
      </c>
      <c r="Z639">
        <v>4</v>
      </c>
      <c r="AA639" s="3">
        <f t="shared" si="74"/>
        <v>7</v>
      </c>
      <c r="AB639" s="3">
        <f t="shared" si="78"/>
        <v>4</v>
      </c>
      <c r="AD639" s="3" t="s">
        <v>2754</v>
      </c>
      <c r="AE639" s="22">
        <v>-79.040993</v>
      </c>
      <c r="AF639" s="22">
        <f t="shared" si="75"/>
        <v>-79.040993</v>
      </c>
      <c r="AG639" s="60" t="s">
        <v>16</v>
      </c>
      <c r="AH639" s="61" t="s">
        <v>16</v>
      </c>
      <c r="AJ639" s="3">
        <f t="shared" si="76"/>
        <v>8</v>
      </c>
      <c r="AK639" s="3" t="s">
        <v>2706</v>
      </c>
      <c r="AL639">
        <v>8</v>
      </c>
      <c r="AM639" t="s">
        <v>15</v>
      </c>
    </row>
    <row r="640" spans="1:39" hidden="1" x14ac:dyDescent="0.3">
      <c r="A640" s="51" t="s">
        <v>773</v>
      </c>
      <c r="B640" s="54" t="s">
        <v>774</v>
      </c>
      <c r="C640" s="51" t="s">
        <v>2765</v>
      </c>
      <c r="D640" s="53">
        <v>0</v>
      </c>
      <c r="E640" s="53">
        <v>1</v>
      </c>
      <c r="F640" s="51" t="s">
        <v>2715</v>
      </c>
      <c r="G640" s="51" t="s">
        <v>2695</v>
      </c>
      <c r="H640" s="25" t="str">
        <f t="shared" si="79"/>
        <v>jgd</v>
      </c>
      <c r="I640" t="s">
        <v>385</v>
      </c>
      <c r="J640" t="s">
        <v>558</v>
      </c>
      <c r="K640" t="s">
        <v>775</v>
      </c>
      <c r="L640" s="25">
        <v>46.659150099999998</v>
      </c>
      <c r="M640" s="25">
        <v>6.2810283560000002</v>
      </c>
      <c r="N640">
        <v>4</v>
      </c>
      <c r="O640">
        <v>10</v>
      </c>
      <c r="P640">
        <v>11</v>
      </c>
      <c r="Q640">
        <v>2015</v>
      </c>
      <c r="R640" s="9">
        <v>42318</v>
      </c>
      <c r="S640">
        <v>318</v>
      </c>
      <c r="T640">
        <v>1</v>
      </c>
      <c r="U640">
        <v>0</v>
      </c>
      <c r="V640">
        <v>0</v>
      </c>
      <c r="W640">
        <v>0</v>
      </c>
      <c r="X640">
        <f t="shared" si="80"/>
        <v>-68.512499999999989</v>
      </c>
      <c r="Y640">
        <v>-24.321000000000002</v>
      </c>
      <c r="Z640">
        <v>5.8259069879999998</v>
      </c>
      <c r="AA640" s="3">
        <f t="shared" si="74"/>
        <v>7</v>
      </c>
      <c r="AB640" s="3">
        <f t="shared" si="78"/>
        <v>6</v>
      </c>
      <c r="AD640" s="3" t="s">
        <v>2750</v>
      </c>
      <c r="AE640" s="22">
        <v>-79.03</v>
      </c>
      <c r="AF640" s="22">
        <f t="shared" si="75"/>
        <v>-79.03</v>
      </c>
      <c r="AG640" s="1">
        <v>-101.9</v>
      </c>
      <c r="AH640" s="2" t="s">
        <v>16</v>
      </c>
      <c r="AI640"/>
      <c r="AJ640" s="3">
        <f t="shared" si="76"/>
        <v>8</v>
      </c>
      <c r="AK640" s="3" t="s">
        <v>2706</v>
      </c>
      <c r="AL640">
        <v>8</v>
      </c>
      <c r="AM640" t="s">
        <v>15</v>
      </c>
    </row>
    <row r="641" spans="1:39" x14ac:dyDescent="0.3">
      <c r="A641" s="51" t="s">
        <v>1993</v>
      </c>
      <c r="B641" s="54" t="s">
        <v>1268</v>
      </c>
      <c r="C641" s="51" t="s">
        <v>2765</v>
      </c>
      <c r="D641" s="53">
        <v>0</v>
      </c>
      <c r="E641" s="53">
        <v>1</v>
      </c>
      <c r="F641" s="51" t="s">
        <v>2715</v>
      </c>
      <c r="G641" s="51" t="s">
        <v>2695</v>
      </c>
      <c r="H641" s="25" t="str">
        <f t="shared" si="79"/>
        <v>jgd</v>
      </c>
      <c r="I641" t="s">
        <v>72</v>
      </c>
      <c r="J641" t="s">
        <v>694</v>
      </c>
      <c r="K641" t="s">
        <v>1994</v>
      </c>
      <c r="L641" s="25">
        <v>46.081050580000003</v>
      </c>
      <c r="M641" s="25">
        <v>8.8936273280000009</v>
      </c>
      <c r="N641">
        <v>4</v>
      </c>
      <c r="O641">
        <v>8</v>
      </c>
      <c r="P641">
        <v>11</v>
      </c>
      <c r="Q641">
        <v>2016</v>
      </c>
      <c r="R641" s="9">
        <v>42682</v>
      </c>
      <c r="S641">
        <v>310</v>
      </c>
      <c r="T641">
        <v>1</v>
      </c>
      <c r="U641">
        <v>0</v>
      </c>
      <c r="V641">
        <v>0</v>
      </c>
      <c r="W641">
        <v>0</v>
      </c>
      <c r="X641" s="57">
        <f t="shared" si="80"/>
        <v>-68.480662125000009</v>
      </c>
      <c r="Y641">
        <v>-23.94</v>
      </c>
      <c r="Z641">
        <v>5.61</v>
      </c>
      <c r="AA641" s="3">
        <f t="shared" si="74"/>
        <v>7</v>
      </c>
      <c r="AB641" s="3">
        <f t="shared" si="78"/>
        <v>6</v>
      </c>
      <c r="AD641" s="3" t="s">
        <v>2754</v>
      </c>
      <c r="AE641" s="22">
        <v>-79.004529700000006</v>
      </c>
      <c r="AF641" s="22">
        <f t="shared" si="75"/>
        <v>-79.004529700000006</v>
      </c>
      <c r="AG641" s="60" t="s">
        <v>16</v>
      </c>
      <c r="AH641" s="61" t="s">
        <v>16</v>
      </c>
      <c r="AJ641" s="3">
        <f t="shared" si="76"/>
        <v>8</v>
      </c>
      <c r="AK641" s="3" t="s">
        <v>2706</v>
      </c>
      <c r="AL641">
        <v>8</v>
      </c>
      <c r="AM641" t="s">
        <v>15</v>
      </c>
    </row>
    <row r="642" spans="1:39" x14ac:dyDescent="0.3">
      <c r="A642" s="51" t="s">
        <v>1696</v>
      </c>
      <c r="B642" s="54" t="s">
        <v>169</v>
      </c>
      <c r="C642" s="51" t="s">
        <v>2765</v>
      </c>
      <c r="D642" s="53">
        <v>0</v>
      </c>
      <c r="E642" s="53">
        <v>1</v>
      </c>
      <c r="F642" s="51" t="s">
        <v>2715</v>
      </c>
      <c r="G642" s="51" t="s">
        <v>2695</v>
      </c>
      <c r="H642" s="25" t="str">
        <f t="shared" si="79"/>
        <v>jgd</v>
      </c>
      <c r="I642" t="s">
        <v>72</v>
      </c>
      <c r="J642" t="s">
        <v>155</v>
      </c>
      <c r="K642" t="s">
        <v>165</v>
      </c>
      <c r="L642" s="25">
        <v>46.12025955</v>
      </c>
      <c r="M642" s="25">
        <v>8.8345106829999995</v>
      </c>
      <c r="N642">
        <v>4</v>
      </c>
      <c r="O642">
        <v>29</v>
      </c>
      <c r="P642">
        <v>10</v>
      </c>
      <c r="Q642">
        <v>2016</v>
      </c>
      <c r="R642" s="9">
        <v>42672</v>
      </c>
      <c r="S642">
        <v>343</v>
      </c>
      <c r="T642">
        <v>1</v>
      </c>
      <c r="U642">
        <v>0</v>
      </c>
      <c r="V642">
        <v>0</v>
      </c>
      <c r="W642">
        <v>0</v>
      </c>
      <c r="X642" s="57">
        <f t="shared" si="80"/>
        <v>-68.390294624999996</v>
      </c>
      <c r="Y642">
        <v>-23.41</v>
      </c>
      <c r="Z642">
        <v>14.86</v>
      </c>
      <c r="AA642" s="3">
        <f t="shared" si="74"/>
        <v>7</v>
      </c>
      <c r="AB642" s="3">
        <f t="shared" si="78"/>
        <v>15</v>
      </c>
      <c r="AD642" s="3" t="s">
        <v>2754</v>
      </c>
      <c r="AE642" s="22">
        <v>-78.932235700000007</v>
      </c>
      <c r="AF642" s="22">
        <f t="shared" si="75"/>
        <v>-78.932235700000007</v>
      </c>
      <c r="AG642" s="60" t="s">
        <v>16</v>
      </c>
      <c r="AH642" s="61" t="s">
        <v>16</v>
      </c>
      <c r="AJ642" s="3">
        <f t="shared" si="76"/>
        <v>8</v>
      </c>
      <c r="AK642" s="3" t="s">
        <v>2706</v>
      </c>
      <c r="AL642">
        <v>8</v>
      </c>
      <c r="AM642" t="s">
        <v>15</v>
      </c>
    </row>
    <row r="643" spans="1:39" hidden="1" x14ac:dyDescent="0.3">
      <c r="A643" s="51" t="s">
        <v>1148</v>
      </c>
      <c r="B643" s="54" t="s">
        <v>1149</v>
      </c>
      <c r="C643" s="51" t="s">
        <v>2765</v>
      </c>
      <c r="D643" s="53">
        <v>0</v>
      </c>
      <c r="E643" s="53">
        <v>1</v>
      </c>
      <c r="F643" s="51" t="s">
        <v>2715</v>
      </c>
      <c r="G643" s="51" t="s">
        <v>2695</v>
      </c>
      <c r="H643" s="25" t="str">
        <f t="shared" si="79"/>
        <v>jgd</v>
      </c>
      <c r="I643" t="s">
        <v>13</v>
      </c>
      <c r="J643" t="s">
        <v>1146</v>
      </c>
      <c r="K643" t="s">
        <v>1147</v>
      </c>
      <c r="L643" s="25">
        <v>47.083147750000002</v>
      </c>
      <c r="M643" s="25">
        <v>6.7567675779999998</v>
      </c>
      <c r="N643">
        <v>6</v>
      </c>
      <c r="O643">
        <v>2</v>
      </c>
      <c r="P643">
        <v>11</v>
      </c>
      <c r="Q643">
        <v>2015</v>
      </c>
      <c r="R643" s="9">
        <v>42310</v>
      </c>
      <c r="S643">
        <v>319</v>
      </c>
      <c r="T643">
        <v>1</v>
      </c>
      <c r="U643">
        <v>0</v>
      </c>
      <c r="V643">
        <v>0</v>
      </c>
      <c r="W643">
        <v>0</v>
      </c>
      <c r="X643">
        <f t="shared" si="80"/>
        <v>-68.375</v>
      </c>
      <c r="Y643">
        <v>-24.216999999999999</v>
      </c>
      <c r="Z643">
        <v>4.1164420819999998</v>
      </c>
      <c r="AA643" s="3">
        <f t="shared" si="74"/>
        <v>7</v>
      </c>
      <c r="AB643" s="3">
        <f t="shared" si="78"/>
        <v>4</v>
      </c>
      <c r="AD643" s="3" t="s">
        <v>2750</v>
      </c>
      <c r="AE643" s="22">
        <v>-78.92</v>
      </c>
      <c r="AF643" s="22">
        <f t="shared" si="75"/>
        <v>-78.92</v>
      </c>
      <c r="AG643" s="1">
        <v>-101.8</v>
      </c>
      <c r="AH643" s="2" t="s">
        <v>16</v>
      </c>
      <c r="AI643"/>
      <c r="AJ643" s="3">
        <f t="shared" si="76"/>
        <v>8</v>
      </c>
      <c r="AK643" s="3" t="s">
        <v>2706</v>
      </c>
      <c r="AL643">
        <v>8</v>
      </c>
      <c r="AM643" t="s">
        <v>15</v>
      </c>
    </row>
    <row r="644" spans="1:39" x14ac:dyDescent="0.3">
      <c r="A644" s="51" t="s">
        <v>706</v>
      </c>
      <c r="B644" s="54" t="s">
        <v>707</v>
      </c>
      <c r="C644" s="51" t="s">
        <v>2765</v>
      </c>
      <c r="D644" s="53">
        <v>0</v>
      </c>
      <c r="E644" s="53">
        <v>1</v>
      </c>
      <c r="F644" s="51" t="s">
        <v>2715</v>
      </c>
      <c r="G644" s="51" t="s">
        <v>2695</v>
      </c>
      <c r="H644" s="25" t="str">
        <f t="shared" si="79"/>
        <v>jgd</v>
      </c>
      <c r="I644" t="s">
        <v>72</v>
      </c>
      <c r="J644" t="s">
        <v>708</v>
      </c>
      <c r="K644" t="s">
        <v>709</v>
      </c>
      <c r="L644" s="25">
        <v>46.526691249999999</v>
      </c>
      <c r="M644" s="25">
        <v>8.5795979669999998</v>
      </c>
      <c r="N644">
        <v>5</v>
      </c>
      <c r="O644">
        <v>21</v>
      </c>
      <c r="P644">
        <v>10</v>
      </c>
      <c r="Q644">
        <v>2015</v>
      </c>
      <c r="R644" s="9">
        <v>42298</v>
      </c>
      <c r="S644">
        <v>350</v>
      </c>
      <c r="T644">
        <v>1</v>
      </c>
      <c r="U644">
        <v>0</v>
      </c>
      <c r="V644">
        <v>0</v>
      </c>
      <c r="W644">
        <v>0</v>
      </c>
      <c r="X644">
        <f t="shared" si="80"/>
        <v>-68.337500000000006</v>
      </c>
      <c r="Y644">
        <v>-24.455400000000001</v>
      </c>
      <c r="Z644">
        <v>5.617299848</v>
      </c>
      <c r="AA644" s="3">
        <f t="shared" si="74"/>
        <v>7</v>
      </c>
      <c r="AB644" s="3">
        <f t="shared" si="78"/>
        <v>6</v>
      </c>
      <c r="AD644" s="3" t="s">
        <v>2754</v>
      </c>
      <c r="AE644" s="22">
        <v>-78.89</v>
      </c>
      <c r="AF644" s="22">
        <f t="shared" si="75"/>
        <v>-78.89</v>
      </c>
      <c r="AG644" s="1">
        <v>-101.7</v>
      </c>
      <c r="AH644" s="2" t="s">
        <v>16</v>
      </c>
      <c r="AI644"/>
      <c r="AJ644" s="3">
        <f t="shared" si="76"/>
        <v>8</v>
      </c>
      <c r="AK644" s="3" t="s">
        <v>2706</v>
      </c>
      <c r="AL644">
        <v>8</v>
      </c>
      <c r="AM644" t="s">
        <v>15</v>
      </c>
    </row>
    <row r="645" spans="1:39" x14ac:dyDescent="0.3">
      <c r="A645" s="51" t="s">
        <v>1104</v>
      </c>
      <c r="B645" s="54" t="s">
        <v>1105</v>
      </c>
      <c r="C645" s="51" t="s">
        <v>2765</v>
      </c>
      <c r="D645" s="53">
        <v>0</v>
      </c>
      <c r="E645" s="53">
        <v>1</v>
      </c>
      <c r="F645" s="51" t="s">
        <v>2715</v>
      </c>
      <c r="G645" s="51" t="s">
        <v>2695</v>
      </c>
      <c r="H645" s="25" t="str">
        <f t="shared" si="79"/>
        <v>jgd</v>
      </c>
      <c r="I645" t="s">
        <v>72</v>
      </c>
      <c r="J645" t="s">
        <v>1098</v>
      </c>
      <c r="K645" t="s">
        <v>1106</v>
      </c>
      <c r="L645" s="25">
        <v>46.027493710000002</v>
      </c>
      <c r="M645" s="25">
        <v>8.8264329860000004</v>
      </c>
      <c r="N645">
        <v>5</v>
      </c>
      <c r="O645">
        <v>16</v>
      </c>
      <c r="P645">
        <v>10</v>
      </c>
      <c r="Q645">
        <v>2015</v>
      </c>
      <c r="R645" s="9">
        <v>42293</v>
      </c>
      <c r="S645" t="s">
        <v>16</v>
      </c>
      <c r="T645">
        <v>1</v>
      </c>
      <c r="U645">
        <v>0</v>
      </c>
      <c r="V645">
        <v>0</v>
      </c>
      <c r="W645">
        <v>0</v>
      </c>
      <c r="X645">
        <f t="shared" si="80"/>
        <v>-68.287499999999994</v>
      </c>
      <c r="Y645">
        <v>-23.523285359999999</v>
      </c>
      <c r="Z645">
        <v>4.8131399889999997</v>
      </c>
      <c r="AA645" s="3">
        <f t="shared" si="74"/>
        <v>7</v>
      </c>
      <c r="AB645" s="3">
        <f t="shared" si="78"/>
        <v>5</v>
      </c>
      <c r="AD645" s="3" t="s">
        <v>2754</v>
      </c>
      <c r="AE645" s="22">
        <v>-78.849999999999994</v>
      </c>
      <c r="AF645" s="22">
        <f t="shared" si="75"/>
        <v>-78.849999999999994</v>
      </c>
      <c r="AG645" s="1">
        <v>-101.7</v>
      </c>
      <c r="AH645" s="2" t="s">
        <v>16</v>
      </c>
      <c r="AI645"/>
      <c r="AJ645" s="3">
        <f t="shared" si="76"/>
        <v>8</v>
      </c>
      <c r="AK645" s="3" t="s">
        <v>2706</v>
      </c>
      <c r="AL645">
        <v>8</v>
      </c>
      <c r="AM645" t="s">
        <v>15</v>
      </c>
    </row>
    <row r="646" spans="1:39" hidden="1" x14ac:dyDescent="0.3">
      <c r="A646" s="51" t="s">
        <v>683</v>
      </c>
      <c r="B646" s="54" t="s">
        <v>684</v>
      </c>
      <c r="C646" s="51" t="s">
        <v>2765</v>
      </c>
      <c r="D646" s="53">
        <v>0</v>
      </c>
      <c r="E646" s="53">
        <v>1</v>
      </c>
      <c r="F646" s="51" t="s">
        <v>2715</v>
      </c>
      <c r="G646" s="51" t="s">
        <v>2695</v>
      </c>
      <c r="H646" s="25" t="str">
        <f t="shared" si="79"/>
        <v>jgd</v>
      </c>
      <c r="I646" t="s">
        <v>13</v>
      </c>
      <c r="J646" t="s">
        <v>519</v>
      </c>
      <c r="K646" t="s">
        <v>685</v>
      </c>
      <c r="L646" s="25">
        <v>47.026615679999999</v>
      </c>
      <c r="M646" s="25">
        <v>6.8345215660000003</v>
      </c>
      <c r="N646">
        <v>5</v>
      </c>
      <c r="O646">
        <v>7</v>
      </c>
      <c r="P646">
        <v>11</v>
      </c>
      <c r="Q646">
        <v>2015</v>
      </c>
      <c r="R646" s="9">
        <v>42315</v>
      </c>
      <c r="S646">
        <v>340</v>
      </c>
      <c r="T646">
        <v>1</v>
      </c>
      <c r="U646">
        <v>0</v>
      </c>
      <c r="V646">
        <v>0</v>
      </c>
      <c r="W646">
        <v>0</v>
      </c>
      <c r="X646">
        <f t="shared" si="80"/>
        <v>-68.25</v>
      </c>
      <c r="Y646">
        <v>-25.08</v>
      </c>
      <c r="Z646">
        <v>3.6856636429999998</v>
      </c>
      <c r="AA646" s="3">
        <f t="shared" si="74"/>
        <v>7</v>
      </c>
      <c r="AB646" s="3">
        <f t="shared" si="78"/>
        <v>4</v>
      </c>
      <c r="AD646" s="3" t="s">
        <v>2750</v>
      </c>
      <c r="AE646" s="22">
        <v>-78.819999999999993</v>
      </c>
      <c r="AF646" s="22">
        <f t="shared" si="75"/>
        <v>-78.819999999999993</v>
      </c>
      <c r="AG646" s="1">
        <v>-101.7</v>
      </c>
      <c r="AH646" s="2" t="s">
        <v>16</v>
      </c>
      <c r="AI646"/>
      <c r="AJ646" s="3">
        <f t="shared" si="76"/>
        <v>8</v>
      </c>
      <c r="AK646" s="3" t="s">
        <v>2706</v>
      </c>
      <c r="AL646">
        <v>8</v>
      </c>
      <c r="AM646" t="s">
        <v>15</v>
      </c>
    </row>
    <row r="647" spans="1:39" hidden="1" x14ac:dyDescent="0.3">
      <c r="A647" s="51" t="s">
        <v>615</v>
      </c>
      <c r="B647" s="54" t="s">
        <v>616</v>
      </c>
      <c r="C647" s="51" t="s">
        <v>2765</v>
      </c>
      <c r="D647" s="53">
        <v>0</v>
      </c>
      <c r="E647" s="53">
        <v>1</v>
      </c>
      <c r="F647" s="51" t="s">
        <v>2715</v>
      </c>
      <c r="G647" s="51" t="s">
        <v>2695</v>
      </c>
      <c r="H647" s="25" t="str">
        <f t="shared" si="79"/>
        <v>jgd</v>
      </c>
      <c r="I647" t="s">
        <v>30</v>
      </c>
      <c r="J647" t="s">
        <v>271</v>
      </c>
      <c r="K647" t="s">
        <v>617</v>
      </c>
      <c r="L647" s="25">
        <v>46.64821886</v>
      </c>
      <c r="M647" s="25">
        <v>7.0124074109999999</v>
      </c>
      <c r="N647">
        <v>4</v>
      </c>
      <c r="O647">
        <v>15</v>
      </c>
      <c r="P647">
        <v>11</v>
      </c>
      <c r="Q647">
        <v>2014</v>
      </c>
      <c r="R647" s="9">
        <v>41958</v>
      </c>
      <c r="S647">
        <v>337</v>
      </c>
      <c r="T647">
        <v>1</v>
      </c>
      <c r="U647">
        <v>0</v>
      </c>
      <c r="V647">
        <v>0</v>
      </c>
      <c r="W647">
        <v>0</v>
      </c>
      <c r="X647">
        <f t="shared" si="80"/>
        <v>-68.25</v>
      </c>
      <c r="Y647">
        <v>-24.574999999999999</v>
      </c>
      <c r="Z647">
        <v>6.3993178049999999</v>
      </c>
      <c r="AA647" s="3">
        <f t="shared" si="74"/>
        <v>7</v>
      </c>
      <c r="AB647" s="3">
        <f t="shared" si="78"/>
        <v>6</v>
      </c>
      <c r="AD647" s="3" t="s">
        <v>2751</v>
      </c>
      <c r="AE647" s="22">
        <v>-78.819999999999993</v>
      </c>
      <c r="AF647" s="22">
        <f t="shared" si="75"/>
        <v>-78.819999999999993</v>
      </c>
      <c r="AG647" s="1">
        <v>-101.7</v>
      </c>
      <c r="AH647" s="2" t="s">
        <v>16</v>
      </c>
      <c r="AI647"/>
      <c r="AJ647" s="3">
        <f t="shared" si="76"/>
        <v>8</v>
      </c>
      <c r="AK647" s="3" t="s">
        <v>2706</v>
      </c>
      <c r="AL647">
        <v>8</v>
      </c>
      <c r="AM647" t="s">
        <v>15</v>
      </c>
    </row>
    <row r="648" spans="1:39" hidden="1" x14ac:dyDescent="0.3">
      <c r="A648" s="51" t="s">
        <v>2099</v>
      </c>
      <c r="B648" s="54" t="s">
        <v>1583</v>
      </c>
      <c r="C648" s="51" t="s">
        <v>2765</v>
      </c>
      <c r="D648" s="53">
        <v>0</v>
      </c>
      <c r="E648" s="53">
        <v>1</v>
      </c>
      <c r="F648" s="51" t="s">
        <v>2715</v>
      </c>
      <c r="G648" s="51" t="s">
        <v>2695</v>
      </c>
      <c r="H648" s="25" t="str">
        <f t="shared" si="79"/>
        <v>jgd</v>
      </c>
      <c r="I648" t="s">
        <v>30</v>
      </c>
      <c r="J648" t="s">
        <v>271</v>
      </c>
      <c r="K648" t="s">
        <v>16</v>
      </c>
      <c r="L648" s="25">
        <v>46.648895420000002</v>
      </c>
      <c r="M648" s="25">
        <v>7.0010374310000003</v>
      </c>
      <c r="N648">
        <v>3</v>
      </c>
      <c r="O648">
        <v>23</v>
      </c>
      <c r="P648">
        <v>10</v>
      </c>
      <c r="Q648">
        <v>2017</v>
      </c>
      <c r="R648" s="9">
        <v>43031</v>
      </c>
      <c r="S648">
        <v>345</v>
      </c>
      <c r="T648">
        <v>1</v>
      </c>
      <c r="U648">
        <v>0</v>
      </c>
      <c r="V648">
        <v>0</v>
      </c>
      <c r="W648">
        <v>0</v>
      </c>
      <c r="X648" s="57">
        <f t="shared" si="80"/>
        <v>-68.220884000000012</v>
      </c>
      <c r="Y648" t="s">
        <v>16</v>
      </c>
      <c r="Z648">
        <v>7.1919720040000001</v>
      </c>
      <c r="AA648" s="3">
        <f t="shared" si="74"/>
        <v>7</v>
      </c>
      <c r="AB648" s="3">
        <f t="shared" si="78"/>
        <v>7</v>
      </c>
      <c r="AD648" s="3" t="s">
        <v>2751</v>
      </c>
      <c r="AE648" s="22">
        <v>-78.7967072</v>
      </c>
      <c r="AF648" s="22">
        <f t="shared" si="75"/>
        <v>-78.7967072</v>
      </c>
      <c r="AG648" s="60" t="s">
        <v>16</v>
      </c>
      <c r="AH648" s="61" t="s">
        <v>16</v>
      </c>
      <c r="AJ648" s="3">
        <f t="shared" si="76"/>
        <v>8</v>
      </c>
      <c r="AK648" s="3" t="s">
        <v>2706</v>
      </c>
      <c r="AL648">
        <v>8</v>
      </c>
      <c r="AM648" t="s">
        <v>15</v>
      </c>
    </row>
    <row r="649" spans="1:39" hidden="1" x14ac:dyDescent="0.3">
      <c r="A649" s="51" t="s">
        <v>1139</v>
      </c>
      <c r="B649" s="54" t="s">
        <v>1140</v>
      </c>
      <c r="C649" s="51" t="s">
        <v>2765</v>
      </c>
      <c r="D649" s="53">
        <v>0</v>
      </c>
      <c r="E649" s="53">
        <v>1</v>
      </c>
      <c r="F649" s="51" t="s">
        <v>2715</v>
      </c>
      <c r="G649" s="51" t="s">
        <v>2695</v>
      </c>
      <c r="H649" s="25" t="str">
        <f t="shared" si="79"/>
        <v>jgd</v>
      </c>
      <c r="I649" t="s">
        <v>385</v>
      </c>
      <c r="J649" t="s">
        <v>1137</v>
      </c>
      <c r="K649" t="s">
        <v>1041</v>
      </c>
      <c r="L649" s="25">
        <v>46.523827400000002</v>
      </c>
      <c r="M649" s="25">
        <v>6.2448193160000001</v>
      </c>
      <c r="N649">
        <v>4</v>
      </c>
      <c r="O649">
        <v>17</v>
      </c>
      <c r="P649">
        <v>11</v>
      </c>
      <c r="Q649">
        <v>2015</v>
      </c>
      <c r="R649" s="9">
        <v>42325</v>
      </c>
      <c r="S649">
        <v>330</v>
      </c>
      <c r="T649">
        <v>1</v>
      </c>
      <c r="U649">
        <v>0</v>
      </c>
      <c r="V649">
        <v>0</v>
      </c>
      <c r="W649">
        <v>0</v>
      </c>
      <c r="X649">
        <f t="shared" si="80"/>
        <v>-68.112499999999983</v>
      </c>
      <c r="Y649">
        <v>-24.242999999999999</v>
      </c>
      <c r="Z649">
        <v>5.0772408249999996</v>
      </c>
      <c r="AA649" s="3">
        <f t="shared" si="74"/>
        <v>7</v>
      </c>
      <c r="AB649" s="3">
        <f t="shared" ref="AB649:AB680" si="81">ROUND(Z649,0)</f>
        <v>5</v>
      </c>
      <c r="AD649" s="3" t="s">
        <v>2750</v>
      </c>
      <c r="AE649" s="22">
        <v>-78.709999999999994</v>
      </c>
      <c r="AF649" s="22">
        <f t="shared" si="75"/>
        <v>-78.709999999999994</v>
      </c>
      <c r="AG649" s="1">
        <v>-101.5</v>
      </c>
      <c r="AH649" s="2" t="s">
        <v>16</v>
      </c>
      <c r="AI649"/>
      <c r="AJ649" s="3">
        <f t="shared" si="76"/>
        <v>8</v>
      </c>
      <c r="AK649" s="3" t="s">
        <v>2706</v>
      </c>
      <c r="AL649">
        <v>8</v>
      </c>
      <c r="AM649" t="s">
        <v>15</v>
      </c>
    </row>
    <row r="650" spans="1:39" hidden="1" x14ac:dyDescent="0.3">
      <c r="A650" s="51" t="s">
        <v>913</v>
      </c>
      <c r="B650" s="54" t="s">
        <v>914</v>
      </c>
      <c r="C650" s="51" t="s">
        <v>2765</v>
      </c>
      <c r="D650" s="53">
        <v>0</v>
      </c>
      <c r="E650" s="53">
        <v>1</v>
      </c>
      <c r="F650" s="51" t="s">
        <v>2715</v>
      </c>
      <c r="G650" s="51" t="s">
        <v>2695</v>
      </c>
      <c r="H650" s="25" t="str">
        <f t="shared" si="79"/>
        <v>jgd</v>
      </c>
      <c r="I650" t="s">
        <v>13</v>
      </c>
      <c r="J650" t="s">
        <v>915</v>
      </c>
      <c r="K650" t="s">
        <v>916</v>
      </c>
      <c r="L650" s="25">
        <v>46.907175549999998</v>
      </c>
      <c r="M650" s="25">
        <v>6.5526576629999997</v>
      </c>
      <c r="N650">
        <v>3</v>
      </c>
      <c r="O650">
        <v>5</v>
      </c>
      <c r="P650">
        <v>11</v>
      </c>
      <c r="Q650">
        <v>2015</v>
      </c>
      <c r="R650" s="9">
        <v>42313</v>
      </c>
      <c r="S650">
        <v>328</v>
      </c>
      <c r="T650">
        <v>1</v>
      </c>
      <c r="U650">
        <v>0</v>
      </c>
      <c r="V650">
        <v>0</v>
      </c>
      <c r="W650">
        <v>0</v>
      </c>
      <c r="X650">
        <f t="shared" si="80"/>
        <v>-68.087500000000006</v>
      </c>
      <c r="Y650">
        <v>-24.786000000000001</v>
      </c>
      <c r="Z650">
        <v>4.6084822760000002</v>
      </c>
      <c r="AA650" s="3">
        <f t="shared" si="74"/>
        <v>7</v>
      </c>
      <c r="AB650" s="3">
        <f t="shared" si="81"/>
        <v>5</v>
      </c>
      <c r="AD650" s="3" t="s">
        <v>2750</v>
      </c>
      <c r="AE650" s="22">
        <v>-78.69</v>
      </c>
      <c r="AF650" s="22">
        <f t="shared" si="75"/>
        <v>-78.69</v>
      </c>
      <c r="AG650" s="1">
        <v>-101.5</v>
      </c>
      <c r="AH650" s="2" t="s">
        <v>16</v>
      </c>
      <c r="AI650"/>
      <c r="AJ650" s="3">
        <f t="shared" si="76"/>
        <v>8</v>
      </c>
      <c r="AK650" s="3" t="s">
        <v>2706</v>
      </c>
      <c r="AL650">
        <v>8</v>
      </c>
      <c r="AM650" t="s">
        <v>15</v>
      </c>
    </row>
    <row r="651" spans="1:39" x14ac:dyDescent="0.3">
      <c r="A651" s="51" t="s">
        <v>1210</v>
      </c>
      <c r="B651" s="54" t="s">
        <v>1211</v>
      </c>
      <c r="C651" s="51" t="s">
        <v>2765</v>
      </c>
      <c r="D651" s="53">
        <v>0</v>
      </c>
      <c r="E651" s="53">
        <v>1</v>
      </c>
      <c r="F651" s="51" t="s">
        <v>2715</v>
      </c>
      <c r="G651" s="51" t="s">
        <v>2695</v>
      </c>
      <c r="H651" s="25" t="str">
        <f t="shared" si="79"/>
        <v>jgd</v>
      </c>
      <c r="I651" t="s">
        <v>72</v>
      </c>
      <c r="J651" t="s">
        <v>716</v>
      </c>
      <c r="K651" t="s">
        <v>1212</v>
      </c>
      <c r="L651" s="25">
        <v>45.896663770000004</v>
      </c>
      <c r="M651" s="25">
        <v>9.0745418969999996</v>
      </c>
      <c r="N651">
        <v>5</v>
      </c>
      <c r="O651">
        <v>11</v>
      </c>
      <c r="P651">
        <v>11</v>
      </c>
      <c r="Q651">
        <v>2015</v>
      </c>
      <c r="R651" s="9">
        <v>42319</v>
      </c>
      <c r="S651">
        <v>290</v>
      </c>
      <c r="T651">
        <v>1</v>
      </c>
      <c r="U651">
        <v>0</v>
      </c>
      <c r="V651">
        <v>0</v>
      </c>
      <c r="W651">
        <v>0</v>
      </c>
      <c r="X651">
        <f t="shared" si="80"/>
        <v>-68.049999999999983</v>
      </c>
      <c r="Y651">
        <v>-24.780799999999999</v>
      </c>
      <c r="Z651">
        <v>9.4546056459999992</v>
      </c>
      <c r="AA651" s="3">
        <f t="shared" si="74"/>
        <v>7</v>
      </c>
      <c r="AB651" s="3">
        <f t="shared" si="81"/>
        <v>9</v>
      </c>
      <c r="AD651" s="3" t="s">
        <v>2754</v>
      </c>
      <c r="AE651" s="22">
        <v>-78.66</v>
      </c>
      <c r="AF651" s="22">
        <f t="shared" si="75"/>
        <v>-78.66</v>
      </c>
      <c r="AG651" s="1">
        <v>-101.5</v>
      </c>
      <c r="AH651" s="2" t="s">
        <v>16</v>
      </c>
      <c r="AI651"/>
      <c r="AJ651" s="3">
        <f t="shared" si="76"/>
        <v>8</v>
      </c>
      <c r="AK651" s="3" t="s">
        <v>2706</v>
      </c>
      <c r="AL651">
        <v>8</v>
      </c>
      <c r="AM651" t="s">
        <v>15</v>
      </c>
    </row>
    <row r="652" spans="1:39" hidden="1" x14ac:dyDescent="0.3">
      <c r="A652" s="51" t="s">
        <v>1052</v>
      </c>
      <c r="B652" s="54" t="s">
        <v>1053</v>
      </c>
      <c r="C652" s="51" t="s">
        <v>2765</v>
      </c>
      <c r="D652" s="53">
        <v>0</v>
      </c>
      <c r="E652" s="53">
        <v>1</v>
      </c>
      <c r="F652" s="51" t="s">
        <v>2715</v>
      </c>
      <c r="G652" s="51" t="s">
        <v>2695</v>
      </c>
      <c r="H652" s="25" t="str">
        <f t="shared" si="79"/>
        <v>jgd</v>
      </c>
      <c r="I652" t="s">
        <v>13</v>
      </c>
      <c r="J652" t="s">
        <v>29</v>
      </c>
      <c r="K652" t="s">
        <v>1054</v>
      </c>
      <c r="L652" s="25">
        <v>46.9789995</v>
      </c>
      <c r="M652" s="25">
        <v>6.7538443790000002</v>
      </c>
      <c r="N652">
        <v>6</v>
      </c>
      <c r="O652">
        <v>13</v>
      </c>
      <c r="P652">
        <v>10</v>
      </c>
      <c r="Q652">
        <v>2015</v>
      </c>
      <c r="R652" s="9">
        <v>42290</v>
      </c>
      <c r="S652">
        <v>296</v>
      </c>
      <c r="T652">
        <v>1</v>
      </c>
      <c r="U652">
        <v>0</v>
      </c>
      <c r="V652">
        <v>0</v>
      </c>
      <c r="W652">
        <v>0</v>
      </c>
      <c r="X652">
        <f t="shared" si="80"/>
        <v>-68</v>
      </c>
      <c r="Y652">
        <v>-24.117249999999999</v>
      </c>
      <c r="Z652">
        <v>4.6594792079999996</v>
      </c>
      <c r="AA652" s="3">
        <f t="shared" si="74"/>
        <v>7</v>
      </c>
      <c r="AB652" s="3">
        <f t="shared" si="81"/>
        <v>5</v>
      </c>
      <c r="AD652" s="3" t="s">
        <v>2750</v>
      </c>
      <c r="AE652" s="22">
        <v>-78.62</v>
      </c>
      <c r="AF652" s="22">
        <f t="shared" si="75"/>
        <v>-78.62</v>
      </c>
      <c r="AG652" s="1">
        <v>-101.5</v>
      </c>
      <c r="AH652" s="2" t="s">
        <v>16</v>
      </c>
      <c r="AI652"/>
      <c r="AJ652" s="3">
        <f t="shared" si="76"/>
        <v>8</v>
      </c>
      <c r="AK652" s="3" t="s">
        <v>2706</v>
      </c>
      <c r="AL652">
        <v>8</v>
      </c>
      <c r="AM652" t="s">
        <v>15</v>
      </c>
    </row>
    <row r="653" spans="1:39" x14ac:dyDescent="0.3">
      <c r="A653" s="51" t="s">
        <v>1652</v>
      </c>
      <c r="B653" s="54" t="s">
        <v>1653</v>
      </c>
      <c r="C653" s="51" t="s">
        <v>2765</v>
      </c>
      <c r="D653" s="53">
        <v>0</v>
      </c>
      <c r="E653" s="53">
        <v>1</v>
      </c>
      <c r="F653" s="51" t="s">
        <v>2715</v>
      </c>
      <c r="G653" s="51" t="s">
        <v>2695</v>
      </c>
      <c r="H653" s="25" t="str">
        <f t="shared" si="79"/>
        <v>jgd</v>
      </c>
      <c r="I653" t="s">
        <v>72</v>
      </c>
      <c r="J653" t="s">
        <v>931</v>
      </c>
      <c r="K653" t="s">
        <v>16</v>
      </c>
      <c r="L653" s="25">
        <v>46.055440760000003</v>
      </c>
      <c r="M653" s="25">
        <v>8.8806686520000007</v>
      </c>
      <c r="N653">
        <v>2</v>
      </c>
      <c r="O653">
        <v>2</v>
      </c>
      <c r="P653">
        <v>11</v>
      </c>
      <c r="Q653">
        <v>2016</v>
      </c>
      <c r="R653" s="9">
        <v>42676</v>
      </c>
      <c r="S653">
        <v>320</v>
      </c>
      <c r="T653">
        <v>1</v>
      </c>
      <c r="U653">
        <v>0</v>
      </c>
      <c r="V653">
        <v>0</v>
      </c>
      <c r="W653">
        <v>0</v>
      </c>
      <c r="X653" s="57">
        <f t="shared" si="80"/>
        <v>-67.843597125000002</v>
      </c>
      <c r="Y653">
        <v>-24.78</v>
      </c>
      <c r="Z653">
        <v>7.26</v>
      </c>
      <c r="AA653" s="3">
        <f t="shared" si="74"/>
        <v>7</v>
      </c>
      <c r="AB653" s="3">
        <f t="shared" si="81"/>
        <v>7</v>
      </c>
      <c r="AD653" s="3" t="s">
        <v>2754</v>
      </c>
      <c r="AE653" s="22">
        <v>-78.494877700000004</v>
      </c>
      <c r="AF653" s="22">
        <f t="shared" si="75"/>
        <v>-78.494877700000004</v>
      </c>
      <c r="AG653" s="60" t="s">
        <v>16</v>
      </c>
      <c r="AH653" s="61" t="s">
        <v>16</v>
      </c>
      <c r="AJ653" s="3">
        <f t="shared" si="76"/>
        <v>8</v>
      </c>
      <c r="AK653" s="3" t="s">
        <v>2706</v>
      </c>
      <c r="AL653">
        <v>8</v>
      </c>
      <c r="AM653" t="s">
        <v>15</v>
      </c>
    </row>
    <row r="654" spans="1:39" hidden="1" x14ac:dyDescent="0.3">
      <c r="A654" s="51" t="s">
        <v>1038</v>
      </c>
      <c r="B654" s="54" t="s">
        <v>1039</v>
      </c>
      <c r="C654" s="51" t="s">
        <v>2765</v>
      </c>
      <c r="D654" s="53">
        <v>0</v>
      </c>
      <c r="E654" s="53">
        <v>1</v>
      </c>
      <c r="F654" s="51" t="s">
        <v>2715</v>
      </c>
      <c r="G654" s="51" t="s">
        <v>2695</v>
      </c>
      <c r="H654" s="25" t="str">
        <f t="shared" si="79"/>
        <v>jgd</v>
      </c>
      <c r="I654" t="s">
        <v>385</v>
      </c>
      <c r="J654" t="s">
        <v>1040</v>
      </c>
      <c r="K654" t="s">
        <v>1041</v>
      </c>
      <c r="L654" s="25">
        <v>46.581415249999999</v>
      </c>
      <c r="M654" s="25">
        <v>6.334882393</v>
      </c>
      <c r="N654">
        <v>4</v>
      </c>
      <c r="O654">
        <v>6</v>
      </c>
      <c r="P654">
        <v>11</v>
      </c>
      <c r="Q654">
        <v>2015</v>
      </c>
      <c r="R654" s="9">
        <v>42314</v>
      </c>
      <c r="S654">
        <v>287</v>
      </c>
      <c r="T654">
        <v>1</v>
      </c>
      <c r="U654">
        <v>0</v>
      </c>
      <c r="V654">
        <v>0</v>
      </c>
      <c r="W654">
        <v>0</v>
      </c>
      <c r="X654">
        <f t="shared" si="80"/>
        <v>-67.825000000000017</v>
      </c>
      <c r="Y654">
        <v>-23.896000000000001</v>
      </c>
      <c r="Z654">
        <v>5.7384713749999996</v>
      </c>
      <c r="AA654" s="3">
        <f t="shared" si="74"/>
        <v>7</v>
      </c>
      <c r="AB654" s="3">
        <f t="shared" si="81"/>
        <v>6</v>
      </c>
      <c r="AD654" s="3" t="s">
        <v>2750</v>
      </c>
      <c r="AE654" s="22">
        <v>-78.48</v>
      </c>
      <c r="AF654" s="22">
        <f t="shared" si="75"/>
        <v>-78.48</v>
      </c>
      <c r="AG654" s="1">
        <v>-101.3</v>
      </c>
      <c r="AH654" s="2" t="s">
        <v>16</v>
      </c>
      <c r="AI654"/>
      <c r="AJ654" s="3">
        <f t="shared" si="76"/>
        <v>8</v>
      </c>
      <c r="AK654" s="3" t="s">
        <v>2706</v>
      </c>
      <c r="AL654">
        <v>8</v>
      </c>
      <c r="AM654" t="s">
        <v>15</v>
      </c>
    </row>
    <row r="655" spans="1:39" x14ac:dyDescent="0.3">
      <c r="A655" s="51" t="s">
        <v>1687</v>
      </c>
      <c r="B655" s="54" t="s">
        <v>406</v>
      </c>
      <c r="C655" s="51" t="s">
        <v>2765</v>
      </c>
      <c r="D655" s="53">
        <v>0</v>
      </c>
      <c r="E655" s="53">
        <v>1</v>
      </c>
      <c r="F655" s="51" t="s">
        <v>2715</v>
      </c>
      <c r="G655" s="51" t="s">
        <v>2695</v>
      </c>
      <c r="H655" s="25" t="str">
        <f t="shared" si="79"/>
        <v>jgd</v>
      </c>
      <c r="I655" t="s">
        <v>72</v>
      </c>
      <c r="J655" t="s">
        <v>155</v>
      </c>
      <c r="K655" t="s">
        <v>1688</v>
      </c>
      <c r="L655" s="25">
        <v>46.126571390000002</v>
      </c>
      <c r="M655" s="25">
        <v>8.8333782099999993</v>
      </c>
      <c r="N655">
        <v>4</v>
      </c>
      <c r="O655">
        <v>13</v>
      </c>
      <c r="P655">
        <v>11</v>
      </c>
      <c r="Q655">
        <v>2016</v>
      </c>
      <c r="R655" s="9">
        <v>42687</v>
      </c>
      <c r="S655">
        <v>282</v>
      </c>
      <c r="T655">
        <v>1</v>
      </c>
      <c r="U655">
        <v>0</v>
      </c>
      <c r="V655">
        <v>0</v>
      </c>
      <c r="W655">
        <v>0</v>
      </c>
      <c r="X655" s="57">
        <f t="shared" si="80"/>
        <v>-67.812598000000008</v>
      </c>
      <c r="Y655">
        <v>-24.2</v>
      </c>
      <c r="Z655">
        <v>6.07</v>
      </c>
      <c r="AA655" s="3">
        <f t="shared" si="74"/>
        <v>7</v>
      </c>
      <c r="AB655" s="3">
        <f t="shared" si="81"/>
        <v>6</v>
      </c>
      <c r="AD655" s="3" t="s">
        <v>2754</v>
      </c>
      <c r="AE655" s="22">
        <v>-78.470078400000006</v>
      </c>
      <c r="AF655" s="22">
        <f t="shared" si="75"/>
        <v>-78.470078400000006</v>
      </c>
      <c r="AG655" s="60" t="s">
        <v>16</v>
      </c>
      <c r="AH655" s="61" t="s">
        <v>16</v>
      </c>
      <c r="AJ655" s="3">
        <f t="shared" si="76"/>
        <v>8</v>
      </c>
      <c r="AK655" s="3" t="s">
        <v>2706</v>
      </c>
      <c r="AL655">
        <v>8</v>
      </c>
      <c r="AM655" t="s">
        <v>15</v>
      </c>
    </row>
    <row r="656" spans="1:39" hidden="1" x14ac:dyDescent="0.3">
      <c r="A656" s="51" t="s">
        <v>319</v>
      </c>
      <c r="B656" s="54" t="s">
        <v>20</v>
      </c>
      <c r="C656" s="51" t="s">
        <v>2765</v>
      </c>
      <c r="D656" s="53">
        <v>0</v>
      </c>
      <c r="E656" s="53">
        <v>1</v>
      </c>
      <c r="F656" s="51" t="s">
        <v>2715</v>
      </c>
      <c r="G656" s="51" t="s">
        <v>2695</v>
      </c>
      <c r="H656" s="25" t="str">
        <f t="shared" si="79"/>
        <v>jgd</v>
      </c>
      <c r="I656" t="s">
        <v>13</v>
      </c>
      <c r="J656" t="s">
        <v>14</v>
      </c>
      <c r="K656" t="s">
        <v>320</v>
      </c>
      <c r="L656" s="25">
        <v>46.892391080000003</v>
      </c>
      <c r="M656" s="25">
        <v>6.4947153740000001</v>
      </c>
      <c r="N656">
        <v>6</v>
      </c>
      <c r="O656">
        <v>29</v>
      </c>
      <c r="P656">
        <v>10</v>
      </c>
      <c r="Q656">
        <v>2014</v>
      </c>
      <c r="R656" s="9">
        <v>41941</v>
      </c>
      <c r="S656">
        <v>280</v>
      </c>
      <c r="T656">
        <v>1</v>
      </c>
      <c r="U656">
        <v>0</v>
      </c>
      <c r="V656">
        <v>0</v>
      </c>
      <c r="W656">
        <v>0</v>
      </c>
      <c r="X656">
        <f t="shared" si="80"/>
        <v>-67.762500000000017</v>
      </c>
      <c r="Y656">
        <v>-24.489285710000001</v>
      </c>
      <c r="Z656">
        <v>8.3990171500000006</v>
      </c>
      <c r="AA656" s="3">
        <f t="shared" si="74"/>
        <v>7</v>
      </c>
      <c r="AB656" s="3">
        <f t="shared" si="81"/>
        <v>8</v>
      </c>
      <c r="AD656" s="3" t="s">
        <v>2750</v>
      </c>
      <c r="AE656" s="22">
        <v>-78.430000000000007</v>
      </c>
      <c r="AF656" s="22">
        <f t="shared" si="75"/>
        <v>-78.430000000000007</v>
      </c>
      <c r="AG656" s="1">
        <v>-101.3</v>
      </c>
      <c r="AH656" s="2" t="s">
        <v>16</v>
      </c>
      <c r="AI656"/>
      <c r="AJ656" s="3">
        <f t="shared" si="76"/>
        <v>8</v>
      </c>
      <c r="AK656" s="3" t="s">
        <v>2706</v>
      </c>
      <c r="AL656">
        <v>8</v>
      </c>
      <c r="AM656" t="s">
        <v>15</v>
      </c>
    </row>
    <row r="657" spans="1:39" hidden="1" x14ac:dyDescent="0.3">
      <c r="A657" s="51" t="s">
        <v>266</v>
      </c>
      <c r="B657" s="54" t="s">
        <v>267</v>
      </c>
      <c r="C657" s="51" t="s">
        <v>2765</v>
      </c>
      <c r="D657" s="53">
        <v>0</v>
      </c>
      <c r="E657" s="53">
        <v>1</v>
      </c>
      <c r="F657" s="51" t="s">
        <v>2715</v>
      </c>
      <c r="G657" s="51" t="s">
        <v>2695</v>
      </c>
      <c r="H657" s="25" t="str">
        <f t="shared" si="79"/>
        <v>jgd</v>
      </c>
      <c r="I657" t="s">
        <v>30</v>
      </c>
      <c r="J657" t="s">
        <v>268</v>
      </c>
      <c r="K657" t="s">
        <v>269</v>
      </c>
      <c r="L657" s="25">
        <v>46.749389000000001</v>
      </c>
      <c r="M657" s="25">
        <v>7.0680527470000003</v>
      </c>
      <c r="N657">
        <v>6</v>
      </c>
      <c r="O657">
        <v>7</v>
      </c>
      <c r="P657">
        <v>11</v>
      </c>
      <c r="Q657">
        <v>2013</v>
      </c>
      <c r="R657" s="9">
        <v>41585</v>
      </c>
      <c r="S657">
        <v>355</v>
      </c>
      <c r="T657">
        <v>1</v>
      </c>
      <c r="U657">
        <v>0</v>
      </c>
      <c r="V657">
        <v>0</v>
      </c>
      <c r="W657">
        <v>0</v>
      </c>
      <c r="X657">
        <f t="shared" si="80"/>
        <v>-67.737499999999983</v>
      </c>
      <c r="Y657">
        <v>-22.592467719999998</v>
      </c>
      <c r="Z657">
        <v>5.8449120849999998</v>
      </c>
      <c r="AA657" s="3">
        <f t="shared" si="74"/>
        <v>7</v>
      </c>
      <c r="AB657" s="3">
        <f t="shared" si="81"/>
        <v>6</v>
      </c>
      <c r="AD657" s="3" t="s">
        <v>2751</v>
      </c>
      <c r="AE657" s="22">
        <v>-78.41</v>
      </c>
      <c r="AF657" s="22">
        <f t="shared" si="75"/>
        <v>-78.41</v>
      </c>
      <c r="AG657" s="1">
        <v>-101.2</v>
      </c>
      <c r="AH657" s="2" t="s">
        <v>16</v>
      </c>
      <c r="AI657"/>
      <c r="AJ657" s="3">
        <f t="shared" si="76"/>
        <v>8</v>
      </c>
      <c r="AK657" s="3" t="s">
        <v>2706</v>
      </c>
      <c r="AL657">
        <v>8</v>
      </c>
      <c r="AM657" t="s">
        <v>15</v>
      </c>
    </row>
    <row r="658" spans="1:39" hidden="1" x14ac:dyDescent="0.3">
      <c r="A658" s="51" t="s">
        <v>1343</v>
      </c>
      <c r="B658" s="54" t="s">
        <v>1344</v>
      </c>
      <c r="C658" s="51" t="s">
        <v>2765</v>
      </c>
      <c r="D658" s="53">
        <v>0</v>
      </c>
      <c r="E658" s="53">
        <v>1</v>
      </c>
      <c r="F658" s="51" t="s">
        <v>2715</v>
      </c>
      <c r="G658" s="51" t="s">
        <v>2695</v>
      </c>
      <c r="H658" s="25" t="str">
        <f t="shared" si="79"/>
        <v>jgd</v>
      </c>
      <c r="I658" t="s">
        <v>385</v>
      </c>
      <c r="J658" t="s">
        <v>558</v>
      </c>
      <c r="K658" t="s">
        <v>1345</v>
      </c>
      <c r="L658" s="25">
        <v>46.663197650000001</v>
      </c>
      <c r="M658" s="25">
        <v>6.2809416120000003</v>
      </c>
      <c r="N658">
        <v>5</v>
      </c>
      <c r="O658">
        <v>12</v>
      </c>
      <c r="P658">
        <v>11</v>
      </c>
      <c r="Q658">
        <v>2015</v>
      </c>
      <c r="R658" s="9">
        <v>42320</v>
      </c>
      <c r="S658">
        <v>331</v>
      </c>
      <c r="T658">
        <v>1</v>
      </c>
      <c r="U658">
        <v>0</v>
      </c>
      <c r="V658">
        <v>0</v>
      </c>
      <c r="W658">
        <v>0</v>
      </c>
      <c r="X658">
        <f t="shared" si="80"/>
        <v>-67.724999999999994</v>
      </c>
      <c r="Y658">
        <v>-24.109000000000002</v>
      </c>
      <c r="Z658">
        <v>5.2781259159999996</v>
      </c>
      <c r="AA658" s="3">
        <f t="shared" si="74"/>
        <v>7</v>
      </c>
      <c r="AB658" s="3">
        <f t="shared" si="81"/>
        <v>5</v>
      </c>
      <c r="AD658" s="3" t="s">
        <v>2750</v>
      </c>
      <c r="AE658" s="22">
        <v>-78.400000000000006</v>
      </c>
      <c r="AF658" s="22">
        <f t="shared" si="75"/>
        <v>-78.400000000000006</v>
      </c>
      <c r="AG658" s="1">
        <v>-101.2</v>
      </c>
      <c r="AH658" s="2" t="s">
        <v>16</v>
      </c>
      <c r="AI658"/>
      <c r="AJ658" s="3">
        <f t="shared" si="76"/>
        <v>8</v>
      </c>
      <c r="AK658" s="3" t="s">
        <v>2706</v>
      </c>
      <c r="AL658">
        <v>8</v>
      </c>
      <c r="AM658" t="s">
        <v>15</v>
      </c>
    </row>
    <row r="659" spans="1:39" hidden="1" x14ac:dyDescent="0.3">
      <c r="A659" s="51" t="s">
        <v>622</v>
      </c>
      <c r="B659" s="54" t="s">
        <v>623</v>
      </c>
      <c r="C659" s="51" t="s">
        <v>2765</v>
      </c>
      <c r="D659" s="53">
        <v>0</v>
      </c>
      <c r="E659" s="53">
        <v>1</v>
      </c>
      <c r="F659" s="51" t="s">
        <v>2715</v>
      </c>
      <c r="G659" s="51" t="s">
        <v>2695</v>
      </c>
      <c r="H659" s="25" t="str">
        <f t="shared" si="79"/>
        <v>jgd</v>
      </c>
      <c r="I659" t="s">
        <v>30</v>
      </c>
      <c r="J659" t="s">
        <v>37</v>
      </c>
      <c r="K659" t="s">
        <v>624</v>
      </c>
      <c r="L659" s="25">
        <v>46.613688009999997</v>
      </c>
      <c r="M659" s="25">
        <v>6.9484522709999998</v>
      </c>
      <c r="N659">
        <v>4</v>
      </c>
      <c r="O659">
        <v>4</v>
      </c>
      <c r="P659">
        <v>12</v>
      </c>
      <c r="Q659">
        <v>2014</v>
      </c>
      <c r="R659" s="9">
        <v>41977</v>
      </c>
      <c r="S659">
        <v>360</v>
      </c>
      <c r="T659">
        <v>1</v>
      </c>
      <c r="U659">
        <v>0</v>
      </c>
      <c r="V659">
        <v>0</v>
      </c>
      <c r="W659">
        <v>0</v>
      </c>
      <c r="X659">
        <f t="shared" si="80"/>
        <v>-67.699999999999989</v>
      </c>
      <c r="Y659">
        <v>-24.701000000000001</v>
      </c>
      <c r="Z659">
        <v>4.7065184760000003</v>
      </c>
      <c r="AA659" s="3">
        <f t="shared" si="74"/>
        <v>7</v>
      </c>
      <c r="AB659" s="3">
        <f t="shared" si="81"/>
        <v>5</v>
      </c>
      <c r="AD659" s="3" t="s">
        <v>2751</v>
      </c>
      <c r="AE659" s="22">
        <v>-78.38</v>
      </c>
      <c r="AF659" s="22">
        <f t="shared" si="75"/>
        <v>-78.38</v>
      </c>
      <c r="AG659" s="1">
        <v>-101.2</v>
      </c>
      <c r="AH659" s="2" t="s">
        <v>16</v>
      </c>
      <c r="AI659"/>
      <c r="AJ659" s="3">
        <f t="shared" si="76"/>
        <v>8</v>
      </c>
      <c r="AK659" s="3" t="s">
        <v>2706</v>
      </c>
      <c r="AL659">
        <v>8</v>
      </c>
      <c r="AM659" t="s">
        <v>15</v>
      </c>
    </row>
    <row r="660" spans="1:39" x14ac:dyDescent="0.3">
      <c r="A660" s="51" t="s">
        <v>1045</v>
      </c>
      <c r="B660" s="54" t="s">
        <v>1046</v>
      </c>
      <c r="C660" s="51" t="s">
        <v>2765</v>
      </c>
      <c r="D660" s="53">
        <v>0</v>
      </c>
      <c r="E660" s="53">
        <v>1</v>
      </c>
      <c r="F660" s="51" t="s">
        <v>2715</v>
      </c>
      <c r="G660" s="51" t="s">
        <v>2695</v>
      </c>
      <c r="H660" s="25" t="str">
        <f t="shared" si="79"/>
        <v>jgd</v>
      </c>
      <c r="I660" t="s">
        <v>72</v>
      </c>
      <c r="J660" t="s">
        <v>1047</v>
      </c>
      <c r="K660" t="s">
        <v>1048</v>
      </c>
      <c r="L660" s="25">
        <v>46.519058479999998</v>
      </c>
      <c r="M660" s="25">
        <v>8.5248697189999998</v>
      </c>
      <c r="N660">
        <v>6</v>
      </c>
      <c r="O660">
        <v>3</v>
      </c>
      <c r="P660">
        <v>11</v>
      </c>
      <c r="Q660">
        <v>2015</v>
      </c>
      <c r="R660" s="9">
        <v>42311</v>
      </c>
      <c r="S660">
        <v>341</v>
      </c>
      <c r="T660">
        <v>1</v>
      </c>
      <c r="U660">
        <v>0</v>
      </c>
      <c r="V660">
        <v>0</v>
      </c>
      <c r="W660">
        <v>0</v>
      </c>
      <c r="X660">
        <f t="shared" si="80"/>
        <v>-67.699999999999989</v>
      </c>
      <c r="Y660">
        <v>-23.180399999999999</v>
      </c>
      <c r="Z660">
        <v>7.9569574410000001</v>
      </c>
      <c r="AA660" s="3">
        <f t="shared" si="74"/>
        <v>7</v>
      </c>
      <c r="AB660" s="3">
        <f t="shared" si="81"/>
        <v>8</v>
      </c>
      <c r="AD660" s="3" t="s">
        <v>2754</v>
      </c>
      <c r="AE660" s="22">
        <v>-78.38</v>
      </c>
      <c r="AF660" s="22">
        <f t="shared" si="75"/>
        <v>-78.38</v>
      </c>
      <c r="AG660" s="1">
        <v>-101.2</v>
      </c>
      <c r="AH660" s="2" t="s">
        <v>16</v>
      </c>
      <c r="AI660"/>
      <c r="AJ660" s="3">
        <f t="shared" si="76"/>
        <v>8</v>
      </c>
      <c r="AK660" s="3" t="s">
        <v>2706</v>
      </c>
      <c r="AL660">
        <v>8</v>
      </c>
      <c r="AM660" t="s">
        <v>15</v>
      </c>
    </row>
    <row r="661" spans="1:39" x14ac:dyDescent="0.3">
      <c r="A661" s="51" t="s">
        <v>1936</v>
      </c>
      <c r="B661" s="54" t="s">
        <v>1178</v>
      </c>
      <c r="C661" s="51" t="s">
        <v>2765</v>
      </c>
      <c r="D661" s="53">
        <v>0</v>
      </c>
      <c r="E661" s="53">
        <v>1</v>
      </c>
      <c r="F661" s="51" t="s">
        <v>2715</v>
      </c>
      <c r="G661" s="51" t="s">
        <v>2695</v>
      </c>
      <c r="H661" s="25" t="str">
        <f t="shared" si="79"/>
        <v>jgd</v>
      </c>
      <c r="I661" t="s">
        <v>72</v>
      </c>
      <c r="J661" t="s">
        <v>694</v>
      </c>
      <c r="K661" t="s">
        <v>1916</v>
      </c>
      <c r="L661" s="25">
        <v>46.133241409999997</v>
      </c>
      <c r="M661" s="25">
        <v>8.9444551529999998</v>
      </c>
      <c r="N661">
        <v>5</v>
      </c>
      <c r="O661">
        <v>5</v>
      </c>
      <c r="P661">
        <v>11</v>
      </c>
      <c r="Q661">
        <v>2016</v>
      </c>
      <c r="R661" s="9">
        <v>42679</v>
      </c>
      <c r="S661">
        <v>305</v>
      </c>
      <c r="T661">
        <v>1</v>
      </c>
      <c r="U661">
        <v>0</v>
      </c>
      <c r="V661">
        <v>0</v>
      </c>
      <c r="W661">
        <v>0</v>
      </c>
      <c r="X661" s="57">
        <f t="shared" si="80"/>
        <v>-67.699824500000005</v>
      </c>
      <c r="Y661">
        <v>-23.77</v>
      </c>
      <c r="Z661">
        <v>8.16</v>
      </c>
      <c r="AA661" s="3">
        <f t="shared" si="74"/>
        <v>7</v>
      </c>
      <c r="AB661" s="3">
        <f t="shared" si="81"/>
        <v>8</v>
      </c>
      <c r="AD661" s="3" t="s">
        <v>2754</v>
      </c>
      <c r="AE661" s="22">
        <v>-78.379859600000003</v>
      </c>
      <c r="AF661" s="22">
        <f t="shared" si="75"/>
        <v>-78.379859600000003</v>
      </c>
      <c r="AG661" s="60" t="s">
        <v>16</v>
      </c>
      <c r="AH661" s="61" t="s">
        <v>16</v>
      </c>
      <c r="AJ661" s="3">
        <f t="shared" si="76"/>
        <v>8</v>
      </c>
      <c r="AK661" s="3" t="s">
        <v>2706</v>
      </c>
      <c r="AL661">
        <v>8</v>
      </c>
      <c r="AM661" t="s">
        <v>15</v>
      </c>
    </row>
    <row r="662" spans="1:39" x14ac:dyDescent="0.3">
      <c r="A662" s="51" t="s">
        <v>1953</v>
      </c>
      <c r="B662" s="54" t="s">
        <v>1954</v>
      </c>
      <c r="C662" s="51" t="s">
        <v>2765</v>
      </c>
      <c r="D662" s="53">
        <v>0</v>
      </c>
      <c r="E662" s="53">
        <v>1</v>
      </c>
      <c r="F662" s="51" t="s">
        <v>2715</v>
      </c>
      <c r="G662" s="51" t="s">
        <v>2695</v>
      </c>
      <c r="H662" s="25" t="str">
        <f t="shared" si="79"/>
        <v>jgd</v>
      </c>
      <c r="I662" t="s">
        <v>72</v>
      </c>
      <c r="J662" t="s">
        <v>1955</v>
      </c>
      <c r="K662" t="s">
        <v>1949</v>
      </c>
      <c r="L662" s="25">
        <v>46.0093915</v>
      </c>
      <c r="M662" s="25">
        <v>8.9866241910000006</v>
      </c>
      <c r="N662">
        <v>5</v>
      </c>
      <c r="O662">
        <v>13</v>
      </c>
      <c r="P662">
        <v>11</v>
      </c>
      <c r="Q662">
        <v>2016</v>
      </c>
      <c r="R662" s="9">
        <v>42687</v>
      </c>
      <c r="S662">
        <v>305</v>
      </c>
      <c r="T662">
        <v>1</v>
      </c>
      <c r="U662">
        <v>0</v>
      </c>
      <c r="V662">
        <v>0</v>
      </c>
      <c r="W662">
        <v>0</v>
      </c>
      <c r="X662" s="57">
        <f t="shared" si="80"/>
        <v>-67.67537387500002</v>
      </c>
      <c r="Y662">
        <v>-23.28</v>
      </c>
      <c r="Z662">
        <v>1.76</v>
      </c>
      <c r="AA662" s="3">
        <f t="shared" ref="AA662:AA725" si="82">-ROUND(X662/10,0)</f>
        <v>7</v>
      </c>
      <c r="AB662" s="3">
        <f t="shared" si="81"/>
        <v>2</v>
      </c>
      <c r="AD662" s="3" t="s">
        <v>2754</v>
      </c>
      <c r="AE662" s="22">
        <v>-78.360299100000006</v>
      </c>
      <c r="AF662" s="22">
        <f t="shared" ref="AF662:AF725" si="83">IF(AI662&lt;0,AI662,AE662)</f>
        <v>-78.360299100000006</v>
      </c>
      <c r="AG662" s="60" t="s">
        <v>16</v>
      </c>
      <c r="AH662" s="61" t="s">
        <v>16</v>
      </c>
      <c r="AJ662" s="3">
        <f t="shared" ref="AJ662:AJ725" si="84">-ROUND(AF662/10,0)</f>
        <v>8</v>
      </c>
      <c r="AK662" s="3" t="s">
        <v>2706</v>
      </c>
      <c r="AL662">
        <v>8</v>
      </c>
      <c r="AM662" t="s">
        <v>15</v>
      </c>
    </row>
    <row r="663" spans="1:39" hidden="1" x14ac:dyDescent="0.3">
      <c r="A663" s="51" t="s">
        <v>529</v>
      </c>
      <c r="B663" s="54" t="s">
        <v>530</v>
      </c>
      <c r="C663" s="51" t="s">
        <v>2765</v>
      </c>
      <c r="D663" s="53">
        <v>0</v>
      </c>
      <c r="E663" s="53">
        <v>1</v>
      </c>
      <c r="F663" s="51" t="s">
        <v>2715</v>
      </c>
      <c r="G663" s="51" t="s">
        <v>2695</v>
      </c>
      <c r="H663" s="25" t="str">
        <f t="shared" si="79"/>
        <v>jgd</v>
      </c>
      <c r="I663" t="s">
        <v>13</v>
      </c>
      <c r="J663" t="s">
        <v>25</v>
      </c>
      <c r="K663" t="s">
        <v>528</v>
      </c>
      <c r="L663" s="25">
        <v>47.080022589999999</v>
      </c>
      <c r="M663" s="25">
        <v>6.8905027700000003</v>
      </c>
      <c r="N663">
        <v>6</v>
      </c>
      <c r="O663">
        <v>16</v>
      </c>
      <c r="P663">
        <v>10</v>
      </c>
      <c r="Q663">
        <v>2014</v>
      </c>
      <c r="R663" s="9">
        <v>41928</v>
      </c>
      <c r="S663">
        <v>320</v>
      </c>
      <c r="T663">
        <v>1</v>
      </c>
      <c r="U663">
        <v>0</v>
      </c>
      <c r="V663">
        <v>0</v>
      </c>
      <c r="W663">
        <v>0</v>
      </c>
      <c r="X663">
        <f t="shared" si="80"/>
        <v>-67.675000000000011</v>
      </c>
      <c r="Y663">
        <v>-23.844285710000001</v>
      </c>
      <c r="Z663">
        <v>6.1629435580000003</v>
      </c>
      <c r="AA663" s="3">
        <f t="shared" si="82"/>
        <v>7</v>
      </c>
      <c r="AB663" s="3">
        <f t="shared" si="81"/>
        <v>6</v>
      </c>
      <c r="AD663" s="3" t="s">
        <v>2750</v>
      </c>
      <c r="AE663" s="22">
        <v>-78.36</v>
      </c>
      <c r="AF663" s="22">
        <f t="shared" si="83"/>
        <v>-78.36</v>
      </c>
      <c r="AG663" s="1">
        <v>-101.2</v>
      </c>
      <c r="AH663" s="2" t="s">
        <v>16</v>
      </c>
      <c r="AI663"/>
      <c r="AJ663" s="3">
        <f t="shared" si="84"/>
        <v>8</v>
      </c>
      <c r="AK663" s="3" t="s">
        <v>2706</v>
      </c>
      <c r="AL663">
        <v>8</v>
      </c>
      <c r="AM663" t="s">
        <v>15</v>
      </c>
    </row>
    <row r="664" spans="1:39" hidden="1" x14ac:dyDescent="0.3">
      <c r="A664" s="51" t="s">
        <v>795</v>
      </c>
      <c r="B664" s="54" t="s">
        <v>796</v>
      </c>
      <c r="C664" s="51" t="s">
        <v>2765</v>
      </c>
      <c r="D664" s="53">
        <v>0</v>
      </c>
      <c r="E664" s="53">
        <v>1</v>
      </c>
      <c r="F664" s="51" t="s">
        <v>2715</v>
      </c>
      <c r="G664" s="51" t="s">
        <v>2695</v>
      </c>
      <c r="H664" s="25" t="str">
        <f t="shared" si="79"/>
        <v>jgd</v>
      </c>
      <c r="I664" t="s">
        <v>30</v>
      </c>
      <c r="J664" t="s">
        <v>31</v>
      </c>
      <c r="K664" t="s">
        <v>797</v>
      </c>
      <c r="L664" s="25">
        <v>46.657988150000001</v>
      </c>
      <c r="M664" s="25">
        <v>7.0270937949999999</v>
      </c>
      <c r="N664">
        <v>3</v>
      </c>
      <c r="O664">
        <v>9</v>
      </c>
      <c r="P664">
        <v>11</v>
      </c>
      <c r="Q664">
        <v>2015</v>
      </c>
      <c r="R664" s="9">
        <v>42317</v>
      </c>
      <c r="S664">
        <v>320</v>
      </c>
      <c r="T664">
        <v>1</v>
      </c>
      <c r="U664">
        <v>0</v>
      </c>
      <c r="V664">
        <v>0</v>
      </c>
      <c r="W664">
        <v>0</v>
      </c>
      <c r="X664">
        <f t="shared" si="80"/>
        <v>-67.612500000000011</v>
      </c>
      <c r="Y664">
        <v>-23.62466439</v>
      </c>
      <c r="Z664">
        <v>4.7865454959999996</v>
      </c>
      <c r="AA664" s="3">
        <f t="shared" si="82"/>
        <v>7</v>
      </c>
      <c r="AB664" s="3">
        <f t="shared" si="81"/>
        <v>5</v>
      </c>
      <c r="AD664" s="3" t="s">
        <v>2751</v>
      </c>
      <c r="AE664" s="22">
        <v>-78.31</v>
      </c>
      <c r="AF664" s="22">
        <f t="shared" si="83"/>
        <v>-78.31</v>
      </c>
      <c r="AG664" s="1">
        <v>-101.1</v>
      </c>
      <c r="AH664" s="2" t="s">
        <v>16</v>
      </c>
      <c r="AI664"/>
      <c r="AJ664" s="3">
        <f t="shared" si="84"/>
        <v>8</v>
      </c>
      <c r="AK664" s="3" t="s">
        <v>2706</v>
      </c>
      <c r="AL664">
        <v>8</v>
      </c>
      <c r="AM664" t="s">
        <v>15</v>
      </c>
    </row>
    <row r="665" spans="1:39" x14ac:dyDescent="0.3">
      <c r="A665" s="51" t="s">
        <v>699</v>
      </c>
      <c r="B665" s="54" t="s">
        <v>700</v>
      </c>
      <c r="C665" s="51" t="s">
        <v>2765</v>
      </c>
      <c r="D665" s="53">
        <v>0</v>
      </c>
      <c r="E665" s="53">
        <v>1</v>
      </c>
      <c r="F665" s="51" t="s">
        <v>2715</v>
      </c>
      <c r="G665" s="51" t="s">
        <v>2695</v>
      </c>
      <c r="H665" s="25" t="str">
        <f t="shared" si="79"/>
        <v>jgd</v>
      </c>
      <c r="I665" t="s">
        <v>72</v>
      </c>
      <c r="J665" t="s">
        <v>694</v>
      </c>
      <c r="K665" t="s">
        <v>701</v>
      </c>
      <c r="L665" s="25">
        <v>46.12928411</v>
      </c>
      <c r="M665" s="25">
        <v>8.9033248589999996</v>
      </c>
      <c r="N665">
        <v>5</v>
      </c>
      <c r="O665">
        <v>18</v>
      </c>
      <c r="P665">
        <v>11</v>
      </c>
      <c r="Q665">
        <v>2015</v>
      </c>
      <c r="R665" s="9">
        <v>42326</v>
      </c>
      <c r="S665">
        <v>240</v>
      </c>
      <c r="T665">
        <v>1</v>
      </c>
      <c r="U665">
        <v>0</v>
      </c>
      <c r="V665">
        <v>0</v>
      </c>
      <c r="W665">
        <v>0</v>
      </c>
      <c r="X665">
        <f t="shared" si="80"/>
        <v>-67.599999999999994</v>
      </c>
      <c r="Y665">
        <v>-24.175799999999999</v>
      </c>
      <c r="Z665">
        <v>7.542489711</v>
      </c>
      <c r="AA665" s="3">
        <f t="shared" si="82"/>
        <v>7</v>
      </c>
      <c r="AB665" s="3">
        <f t="shared" si="81"/>
        <v>8</v>
      </c>
      <c r="AD665" s="3" t="s">
        <v>2754</v>
      </c>
      <c r="AE665" s="22">
        <v>-78.3</v>
      </c>
      <c r="AF665" s="22">
        <f t="shared" si="83"/>
        <v>-78.3</v>
      </c>
      <c r="AG665" s="1">
        <v>-101.1</v>
      </c>
      <c r="AH665" s="2" t="s">
        <v>16</v>
      </c>
      <c r="AI665"/>
      <c r="AJ665" s="3">
        <f t="shared" si="84"/>
        <v>8</v>
      </c>
      <c r="AK665" s="3" t="s">
        <v>2706</v>
      </c>
      <c r="AL665">
        <v>8</v>
      </c>
      <c r="AM665" t="s">
        <v>15</v>
      </c>
    </row>
    <row r="666" spans="1:39" hidden="1" x14ac:dyDescent="0.3">
      <c r="A666" s="51" t="s">
        <v>394</v>
      </c>
      <c r="B666" s="54" t="s">
        <v>395</v>
      </c>
      <c r="C666" s="51" t="s">
        <v>2765</v>
      </c>
      <c r="D666" s="53">
        <v>0</v>
      </c>
      <c r="E666" s="53">
        <v>1</v>
      </c>
      <c r="F666" s="51" t="s">
        <v>2715</v>
      </c>
      <c r="G666" s="51" t="s">
        <v>2695</v>
      </c>
      <c r="H666" s="25" t="str">
        <f t="shared" si="79"/>
        <v>jgd</v>
      </c>
      <c r="I666" t="s">
        <v>385</v>
      </c>
      <c r="J666" t="s">
        <v>392</v>
      </c>
      <c r="K666" t="s">
        <v>393</v>
      </c>
      <c r="L666" s="25">
        <v>46.852012090000002</v>
      </c>
      <c r="M666" s="25">
        <v>6.5072642930000004</v>
      </c>
      <c r="N666">
        <v>6</v>
      </c>
      <c r="O666">
        <v>23</v>
      </c>
      <c r="P666">
        <v>10</v>
      </c>
      <c r="Q666">
        <v>2014</v>
      </c>
      <c r="R666" s="9">
        <v>41935</v>
      </c>
      <c r="S666">
        <v>345</v>
      </c>
      <c r="T666">
        <v>1</v>
      </c>
      <c r="U666">
        <v>0</v>
      </c>
      <c r="V666">
        <v>0</v>
      </c>
      <c r="W666">
        <v>0</v>
      </c>
      <c r="X666">
        <f t="shared" si="80"/>
        <v>-67.537499999999994</v>
      </c>
      <c r="Y666">
        <v>-23.912800000000001</v>
      </c>
      <c r="Z666">
        <v>6.0682074530000003</v>
      </c>
      <c r="AA666" s="3">
        <f t="shared" si="82"/>
        <v>7</v>
      </c>
      <c r="AB666" s="3">
        <f t="shared" si="81"/>
        <v>6</v>
      </c>
      <c r="AD666" s="3" t="s">
        <v>2750</v>
      </c>
      <c r="AE666" s="22">
        <v>-78.25</v>
      </c>
      <c r="AF666" s="22">
        <f t="shared" si="83"/>
        <v>-78.25</v>
      </c>
      <c r="AG666" s="1">
        <v>-101.1</v>
      </c>
      <c r="AH666" s="2" t="s">
        <v>16</v>
      </c>
      <c r="AI666"/>
      <c r="AJ666" s="3">
        <f t="shared" si="84"/>
        <v>8</v>
      </c>
      <c r="AK666" s="3" t="s">
        <v>2706</v>
      </c>
      <c r="AL666">
        <v>8</v>
      </c>
      <c r="AM666" t="s">
        <v>15</v>
      </c>
    </row>
    <row r="667" spans="1:39" x14ac:dyDescent="0.3">
      <c r="A667" s="51" t="s">
        <v>1634</v>
      </c>
      <c r="B667" s="54" t="s">
        <v>873</v>
      </c>
      <c r="C667" s="51" t="s">
        <v>2765</v>
      </c>
      <c r="D667" s="53">
        <v>0</v>
      </c>
      <c r="E667" s="53">
        <v>1</v>
      </c>
      <c r="F667" s="51" t="s">
        <v>2715</v>
      </c>
      <c r="G667" s="51" t="s">
        <v>2695</v>
      </c>
      <c r="H667" s="25" t="str">
        <f t="shared" si="79"/>
        <v>jgd</v>
      </c>
      <c r="I667" t="s">
        <v>72</v>
      </c>
      <c r="J667" t="s">
        <v>1635</v>
      </c>
      <c r="K667" t="s">
        <v>1636</v>
      </c>
      <c r="L667" s="25">
        <v>46.194959359999999</v>
      </c>
      <c r="M667" s="25">
        <v>8.6755681980000006</v>
      </c>
      <c r="N667">
        <v>5</v>
      </c>
      <c r="O667">
        <v>20</v>
      </c>
      <c r="P667">
        <v>10</v>
      </c>
      <c r="Q667">
        <v>2016</v>
      </c>
      <c r="R667" s="9">
        <v>42663</v>
      </c>
      <c r="S667">
        <v>325</v>
      </c>
      <c r="T667">
        <v>1</v>
      </c>
      <c r="U667">
        <v>0</v>
      </c>
      <c r="V667">
        <v>0</v>
      </c>
      <c r="W667">
        <v>0</v>
      </c>
      <c r="X667" s="57">
        <f t="shared" si="80"/>
        <v>-67.512737874999999</v>
      </c>
      <c r="Y667">
        <v>-24.33</v>
      </c>
      <c r="Z667">
        <v>4.13</v>
      </c>
      <c r="AA667" s="3">
        <f t="shared" si="82"/>
        <v>7</v>
      </c>
      <c r="AB667" s="3">
        <f t="shared" si="81"/>
        <v>4</v>
      </c>
      <c r="AD667" s="3" t="s">
        <v>2754</v>
      </c>
      <c r="AE667" s="22">
        <v>-78.230190300000004</v>
      </c>
      <c r="AF667" s="22">
        <f t="shared" si="83"/>
        <v>-78.230190300000004</v>
      </c>
      <c r="AG667" s="60" t="s">
        <v>16</v>
      </c>
      <c r="AH667" s="61" t="s">
        <v>16</v>
      </c>
      <c r="AJ667" s="3">
        <f t="shared" si="84"/>
        <v>8</v>
      </c>
      <c r="AK667" s="3" t="s">
        <v>2706</v>
      </c>
      <c r="AL667">
        <v>8</v>
      </c>
      <c r="AM667" t="s">
        <v>15</v>
      </c>
    </row>
    <row r="668" spans="1:39" hidden="1" x14ac:dyDescent="0.3">
      <c r="A668" s="51" t="s">
        <v>2738</v>
      </c>
      <c r="B668" s="54" t="s">
        <v>620</v>
      </c>
      <c r="C668" s="51" t="s">
        <v>2765</v>
      </c>
      <c r="D668" s="53">
        <v>0</v>
      </c>
      <c r="E668" s="53">
        <v>1</v>
      </c>
      <c r="F668" s="51" t="s">
        <v>2715</v>
      </c>
      <c r="G668" s="51" t="s">
        <v>2695</v>
      </c>
      <c r="H668" s="25" t="str">
        <f t="shared" si="79"/>
        <v>jgd</v>
      </c>
      <c r="I668" t="s">
        <v>30</v>
      </c>
      <c r="J668" t="s">
        <v>259</v>
      </c>
      <c r="K668" t="s">
        <v>621</v>
      </c>
      <c r="L668" s="25">
        <v>46.766875140000003</v>
      </c>
      <c r="M668" s="25">
        <v>7.0383723109999998</v>
      </c>
      <c r="N668">
        <v>4</v>
      </c>
      <c r="O668">
        <v>25</v>
      </c>
      <c r="P668">
        <v>11</v>
      </c>
      <c r="Q668">
        <v>2014</v>
      </c>
      <c r="R668" s="9">
        <v>41968</v>
      </c>
      <c r="S668">
        <v>284</v>
      </c>
      <c r="T668">
        <v>1</v>
      </c>
      <c r="U668">
        <v>0</v>
      </c>
      <c r="V668">
        <v>0</v>
      </c>
      <c r="W668">
        <v>0</v>
      </c>
      <c r="X668">
        <f t="shared" si="80"/>
        <v>-67.5</v>
      </c>
      <c r="Y668">
        <v>-24.471</v>
      </c>
      <c r="Z668">
        <v>5.6042188250000002</v>
      </c>
      <c r="AA668" s="3">
        <f t="shared" si="82"/>
        <v>7</v>
      </c>
      <c r="AB668" s="3">
        <f t="shared" si="81"/>
        <v>6</v>
      </c>
      <c r="AD668" s="3" t="s">
        <v>2751</v>
      </c>
      <c r="AE668" s="22">
        <v>-78.22</v>
      </c>
      <c r="AF668" s="22">
        <f t="shared" si="83"/>
        <v>-78.22</v>
      </c>
      <c r="AG668" s="1">
        <v>-101</v>
      </c>
      <c r="AH668" s="2" t="s">
        <v>16</v>
      </c>
      <c r="AI668"/>
      <c r="AJ668" s="3">
        <f t="shared" si="84"/>
        <v>8</v>
      </c>
      <c r="AK668" s="3" t="s">
        <v>2706</v>
      </c>
      <c r="AL668">
        <v>8</v>
      </c>
      <c r="AM668" t="s">
        <v>15</v>
      </c>
    </row>
    <row r="669" spans="1:39" x14ac:dyDescent="0.3">
      <c r="A669" s="51" t="s">
        <v>1183</v>
      </c>
      <c r="B669" s="54" t="s">
        <v>1184</v>
      </c>
      <c r="C669" s="51" t="s">
        <v>2765</v>
      </c>
      <c r="D669" s="53">
        <v>0</v>
      </c>
      <c r="E669" s="53">
        <v>1</v>
      </c>
      <c r="F669" s="51" t="s">
        <v>2715</v>
      </c>
      <c r="G669" s="51" t="s">
        <v>2695</v>
      </c>
      <c r="H669" s="25" t="str">
        <f t="shared" si="79"/>
        <v>jgd</v>
      </c>
      <c r="I669" t="s">
        <v>72</v>
      </c>
      <c r="J669" t="s">
        <v>298</v>
      </c>
      <c r="K669" t="s">
        <v>1166</v>
      </c>
      <c r="L669" s="25">
        <v>46.132821040000003</v>
      </c>
      <c r="M669" s="25">
        <v>8.9422435290000006</v>
      </c>
      <c r="N669">
        <v>5</v>
      </c>
      <c r="O669">
        <v>27</v>
      </c>
      <c r="P669">
        <v>10</v>
      </c>
      <c r="Q669">
        <v>2015</v>
      </c>
      <c r="R669" s="9">
        <v>42304</v>
      </c>
      <c r="S669">
        <v>325</v>
      </c>
      <c r="T669">
        <v>1</v>
      </c>
      <c r="U669">
        <v>0</v>
      </c>
      <c r="V669">
        <v>0</v>
      </c>
      <c r="W669">
        <v>0</v>
      </c>
      <c r="X669">
        <f t="shared" si="80"/>
        <v>-67.5</v>
      </c>
      <c r="Y669">
        <v>-24.658627790000001</v>
      </c>
      <c r="Z669">
        <v>7.2568986689999999</v>
      </c>
      <c r="AA669" s="3">
        <f t="shared" si="82"/>
        <v>7</v>
      </c>
      <c r="AB669" s="3">
        <f t="shared" si="81"/>
        <v>7</v>
      </c>
      <c r="AD669" s="3" t="s">
        <v>2754</v>
      </c>
      <c r="AE669" s="22">
        <v>-78.22</v>
      </c>
      <c r="AF669" s="22">
        <f t="shared" si="83"/>
        <v>-78.22</v>
      </c>
      <c r="AG669" s="1">
        <v>-101</v>
      </c>
      <c r="AH669" s="2" t="s">
        <v>16</v>
      </c>
      <c r="AI669"/>
      <c r="AJ669" s="3">
        <f t="shared" si="84"/>
        <v>8</v>
      </c>
      <c r="AK669" s="3" t="s">
        <v>2706</v>
      </c>
      <c r="AL669">
        <v>8</v>
      </c>
      <c r="AM669" t="s">
        <v>15</v>
      </c>
    </row>
    <row r="670" spans="1:39" x14ac:dyDescent="0.3">
      <c r="A670" s="51" t="s">
        <v>1947</v>
      </c>
      <c r="B670" s="54" t="s">
        <v>1948</v>
      </c>
      <c r="C670" s="51" t="s">
        <v>2765</v>
      </c>
      <c r="D670" s="53">
        <v>0</v>
      </c>
      <c r="E670" s="53">
        <v>1</v>
      </c>
      <c r="F670" s="51" t="s">
        <v>2715</v>
      </c>
      <c r="G670" s="51" t="s">
        <v>2695</v>
      </c>
      <c r="H670" s="25" t="str">
        <f t="shared" si="79"/>
        <v>jgd</v>
      </c>
      <c r="I670" t="s">
        <v>72</v>
      </c>
      <c r="J670" t="s">
        <v>1189</v>
      </c>
      <c r="K670" t="s">
        <v>1949</v>
      </c>
      <c r="L670" s="25">
        <v>46.00922139</v>
      </c>
      <c r="M670" s="25">
        <v>8.9859092070000006</v>
      </c>
      <c r="N670">
        <v>5</v>
      </c>
      <c r="O670">
        <v>12</v>
      </c>
      <c r="P670">
        <v>11</v>
      </c>
      <c r="Q670">
        <v>2016</v>
      </c>
      <c r="R670" s="9">
        <v>42686</v>
      </c>
      <c r="S670">
        <v>305</v>
      </c>
      <c r="T670">
        <v>1</v>
      </c>
      <c r="U670">
        <v>0</v>
      </c>
      <c r="V670">
        <v>0</v>
      </c>
      <c r="W670">
        <v>0</v>
      </c>
      <c r="X670" s="57">
        <f t="shared" si="80"/>
        <v>-67.499184874999997</v>
      </c>
      <c r="Y670">
        <v>-23.52</v>
      </c>
      <c r="Z670">
        <v>6.94</v>
      </c>
      <c r="AA670" s="3">
        <f t="shared" si="82"/>
        <v>7</v>
      </c>
      <c r="AB670" s="3">
        <f t="shared" si="81"/>
        <v>7</v>
      </c>
      <c r="AD670" s="3" t="s">
        <v>2754</v>
      </c>
      <c r="AE670" s="22">
        <v>-78.219347900000002</v>
      </c>
      <c r="AF670" s="22">
        <f t="shared" si="83"/>
        <v>-78.219347900000002</v>
      </c>
      <c r="AG670" s="60" t="s">
        <v>16</v>
      </c>
      <c r="AH670" s="61" t="s">
        <v>16</v>
      </c>
      <c r="AJ670" s="3">
        <f t="shared" si="84"/>
        <v>8</v>
      </c>
      <c r="AK670" s="3" t="s">
        <v>2706</v>
      </c>
      <c r="AL670">
        <v>8</v>
      </c>
      <c r="AM670" t="s">
        <v>15</v>
      </c>
    </row>
    <row r="671" spans="1:39" x14ac:dyDescent="0.3">
      <c r="A671" s="51" t="s">
        <v>970</v>
      </c>
      <c r="B671" s="54" t="s">
        <v>167</v>
      </c>
      <c r="C671" s="51" t="s">
        <v>2765</v>
      </c>
      <c r="D671" s="53">
        <v>0</v>
      </c>
      <c r="E671" s="53">
        <v>1</v>
      </c>
      <c r="F671" s="51" t="s">
        <v>2715</v>
      </c>
      <c r="G671" s="51" t="s">
        <v>2695</v>
      </c>
      <c r="H671" s="25" t="str">
        <f t="shared" si="79"/>
        <v>jgd</v>
      </c>
      <c r="I671" t="s">
        <v>72</v>
      </c>
      <c r="J671" t="s">
        <v>958</v>
      </c>
      <c r="K671" t="s">
        <v>971</v>
      </c>
      <c r="L671" s="25">
        <v>46.088522650000002</v>
      </c>
      <c r="M671" s="25">
        <v>8.8543881439999996</v>
      </c>
      <c r="N671">
        <v>4</v>
      </c>
      <c r="O671">
        <v>1</v>
      </c>
      <c r="P671">
        <v>11</v>
      </c>
      <c r="Q671">
        <v>2015</v>
      </c>
      <c r="R671" s="9">
        <v>42309</v>
      </c>
      <c r="S671">
        <v>294</v>
      </c>
      <c r="T671">
        <v>1</v>
      </c>
      <c r="U671">
        <v>0</v>
      </c>
      <c r="V671">
        <v>0</v>
      </c>
      <c r="W671">
        <v>0</v>
      </c>
      <c r="X671">
        <f t="shared" si="80"/>
        <v>-67.324999999999989</v>
      </c>
      <c r="Y671">
        <v>-23.311800000000002</v>
      </c>
      <c r="Z671">
        <v>5.3918595820000004</v>
      </c>
      <c r="AA671" s="3">
        <f t="shared" si="82"/>
        <v>7</v>
      </c>
      <c r="AB671" s="3">
        <f t="shared" si="81"/>
        <v>5</v>
      </c>
      <c r="AD671" s="3" t="s">
        <v>2754</v>
      </c>
      <c r="AE671" s="22">
        <v>-78.08</v>
      </c>
      <c r="AF671" s="22">
        <f t="shared" si="83"/>
        <v>-78.08</v>
      </c>
      <c r="AG671" s="1">
        <v>-100.9</v>
      </c>
      <c r="AH671" s="2" t="s">
        <v>16</v>
      </c>
      <c r="AI671"/>
      <c r="AJ671" s="3">
        <f t="shared" si="84"/>
        <v>8</v>
      </c>
      <c r="AK671" s="3" t="s">
        <v>2706</v>
      </c>
      <c r="AL671">
        <v>8</v>
      </c>
      <c r="AM671" t="s">
        <v>15</v>
      </c>
    </row>
    <row r="672" spans="1:39" x14ac:dyDescent="0.3">
      <c r="A672" s="51" t="s">
        <v>1982</v>
      </c>
      <c r="B672" s="54" t="s">
        <v>1255</v>
      </c>
      <c r="C672" s="51" t="s">
        <v>2765</v>
      </c>
      <c r="D672" s="53">
        <v>0</v>
      </c>
      <c r="E672" s="53">
        <v>1</v>
      </c>
      <c r="F672" s="51" t="s">
        <v>2715</v>
      </c>
      <c r="G672" s="51" t="s">
        <v>2695</v>
      </c>
      <c r="H672" s="25" t="str">
        <f t="shared" si="79"/>
        <v>jgd</v>
      </c>
      <c r="I672" t="s">
        <v>72</v>
      </c>
      <c r="J672" t="s">
        <v>1983</v>
      </c>
      <c r="K672" t="s">
        <v>1984</v>
      </c>
      <c r="L672" s="25">
        <v>46.071626469999998</v>
      </c>
      <c r="M672" s="25">
        <v>8.9092114379999998</v>
      </c>
      <c r="N672">
        <v>4</v>
      </c>
      <c r="O672">
        <v>22</v>
      </c>
      <c r="P672">
        <v>10</v>
      </c>
      <c r="Q672">
        <v>2016</v>
      </c>
      <c r="R672" s="9">
        <v>42665</v>
      </c>
      <c r="S672">
        <v>290</v>
      </c>
      <c r="T672">
        <v>1</v>
      </c>
      <c r="U672">
        <v>0</v>
      </c>
      <c r="V672">
        <v>0</v>
      </c>
      <c r="W672">
        <v>0</v>
      </c>
      <c r="X672" s="57">
        <f t="shared" si="80"/>
        <v>-67.240154999999987</v>
      </c>
      <c r="Y672">
        <v>-23.96</v>
      </c>
      <c r="Z672">
        <v>3.86</v>
      </c>
      <c r="AA672" s="3">
        <f t="shared" si="82"/>
        <v>7</v>
      </c>
      <c r="AB672" s="3">
        <f t="shared" si="81"/>
        <v>4</v>
      </c>
      <c r="AD672" s="3" t="s">
        <v>2754</v>
      </c>
      <c r="AE672" s="22">
        <v>-78.012124</v>
      </c>
      <c r="AF672" s="22">
        <f t="shared" si="83"/>
        <v>-78.012124</v>
      </c>
      <c r="AG672" s="60" t="s">
        <v>16</v>
      </c>
      <c r="AH672" s="61" t="s">
        <v>16</v>
      </c>
      <c r="AJ672" s="3">
        <f t="shared" si="84"/>
        <v>8</v>
      </c>
      <c r="AK672" s="3" t="s">
        <v>2706</v>
      </c>
      <c r="AL672">
        <v>8</v>
      </c>
      <c r="AM672" t="s">
        <v>15</v>
      </c>
    </row>
    <row r="673" spans="1:39" x14ac:dyDescent="0.3">
      <c r="A673" s="51" t="s">
        <v>1532</v>
      </c>
      <c r="B673" s="54" t="s">
        <v>1533</v>
      </c>
      <c r="C673" s="51" t="s">
        <v>2765</v>
      </c>
      <c r="D673" s="53">
        <v>0</v>
      </c>
      <c r="E673" s="53">
        <v>1</v>
      </c>
      <c r="F673" s="51" t="s">
        <v>2715</v>
      </c>
      <c r="G673" s="51" t="s">
        <v>2695</v>
      </c>
      <c r="H673" s="25" t="str">
        <f t="shared" si="79"/>
        <v>jgd</v>
      </c>
      <c r="I673" t="s">
        <v>72</v>
      </c>
      <c r="J673" t="s">
        <v>1534</v>
      </c>
      <c r="K673" t="s">
        <v>1535</v>
      </c>
      <c r="L673" s="25">
        <v>46.209829589999998</v>
      </c>
      <c r="M673" s="25">
        <v>8.660795792</v>
      </c>
      <c r="N673">
        <v>6</v>
      </c>
      <c r="O673">
        <v>13</v>
      </c>
      <c r="P673">
        <v>11</v>
      </c>
      <c r="Q673">
        <v>2016</v>
      </c>
      <c r="R673" s="9">
        <v>42687</v>
      </c>
      <c r="S673">
        <v>312</v>
      </c>
      <c r="T673">
        <v>1</v>
      </c>
      <c r="U673">
        <v>0</v>
      </c>
      <c r="V673">
        <v>0</v>
      </c>
      <c r="W673">
        <v>0</v>
      </c>
      <c r="X673" s="57">
        <f t="shared" si="80"/>
        <v>-67.052574749999991</v>
      </c>
      <c r="Y673">
        <v>-23.38</v>
      </c>
      <c r="Z673">
        <v>8.01</v>
      </c>
      <c r="AA673" s="3">
        <f t="shared" si="82"/>
        <v>7</v>
      </c>
      <c r="AB673" s="3">
        <f t="shared" si="81"/>
        <v>8</v>
      </c>
      <c r="AD673" s="3" t="s">
        <v>2754</v>
      </c>
      <c r="AE673" s="22">
        <v>-77.862059799999997</v>
      </c>
      <c r="AF673" s="22">
        <f t="shared" si="83"/>
        <v>-77.862059799999997</v>
      </c>
      <c r="AG673" s="60" t="s">
        <v>16</v>
      </c>
      <c r="AH673" s="61" t="s">
        <v>16</v>
      </c>
      <c r="AJ673" s="3">
        <f t="shared" si="84"/>
        <v>8</v>
      </c>
      <c r="AK673" s="3" t="s">
        <v>2706</v>
      </c>
      <c r="AL673">
        <v>8</v>
      </c>
      <c r="AM673" t="s">
        <v>15</v>
      </c>
    </row>
    <row r="674" spans="1:39" x14ac:dyDescent="0.3">
      <c r="A674" s="51" t="s">
        <v>1961</v>
      </c>
      <c r="B674" s="54" t="s">
        <v>1962</v>
      </c>
      <c r="C674" s="51" t="s">
        <v>2765</v>
      </c>
      <c r="D674" s="53">
        <v>0</v>
      </c>
      <c r="E674" s="53">
        <v>1</v>
      </c>
      <c r="F674" s="51" t="s">
        <v>2715</v>
      </c>
      <c r="G674" s="51" t="s">
        <v>2695</v>
      </c>
      <c r="H674" s="25" t="str">
        <f t="shared" si="79"/>
        <v>jgd</v>
      </c>
      <c r="I674" t="s">
        <v>72</v>
      </c>
      <c r="J674" t="s">
        <v>1963</v>
      </c>
      <c r="K674" t="s">
        <v>1964</v>
      </c>
      <c r="L674" s="25">
        <v>46.039017680000001</v>
      </c>
      <c r="M674" s="25">
        <v>9.0094777320000006</v>
      </c>
      <c r="N674">
        <v>5</v>
      </c>
      <c r="O674">
        <v>29</v>
      </c>
      <c r="P674">
        <v>10</v>
      </c>
      <c r="Q674">
        <v>2016</v>
      </c>
      <c r="R674" s="9">
        <v>42672</v>
      </c>
      <c r="S674">
        <v>340</v>
      </c>
      <c r="T674">
        <v>1</v>
      </c>
      <c r="U674">
        <v>0</v>
      </c>
      <c r="V674">
        <v>0</v>
      </c>
      <c r="W674">
        <v>0</v>
      </c>
      <c r="X674" s="57">
        <f t="shared" si="80"/>
        <v>-67.008691999999996</v>
      </c>
      <c r="Y674">
        <v>-23.57</v>
      </c>
      <c r="Z674">
        <v>7.09</v>
      </c>
      <c r="AA674" s="3">
        <f t="shared" si="82"/>
        <v>7</v>
      </c>
      <c r="AB674" s="3">
        <f t="shared" si="81"/>
        <v>7</v>
      </c>
      <c r="AD674" s="3" t="s">
        <v>2754</v>
      </c>
      <c r="AE674" s="22">
        <v>-77.826953599999996</v>
      </c>
      <c r="AF674" s="22">
        <f t="shared" si="83"/>
        <v>-77.826953599999996</v>
      </c>
      <c r="AG674" s="60" t="s">
        <v>16</v>
      </c>
      <c r="AH674" s="61" t="s">
        <v>16</v>
      </c>
      <c r="AJ674" s="3">
        <f t="shared" si="84"/>
        <v>8</v>
      </c>
      <c r="AK674" s="3" t="s">
        <v>2706</v>
      </c>
      <c r="AL674">
        <v>8</v>
      </c>
      <c r="AM674" t="s">
        <v>15</v>
      </c>
    </row>
    <row r="675" spans="1:39" x14ac:dyDescent="0.3">
      <c r="A675" s="51" t="s">
        <v>1234</v>
      </c>
      <c r="B675" s="54" t="s">
        <v>1235</v>
      </c>
      <c r="C675" s="51" t="s">
        <v>2765</v>
      </c>
      <c r="D675" s="53">
        <v>0</v>
      </c>
      <c r="E675" s="53">
        <v>1</v>
      </c>
      <c r="F675" s="51" t="s">
        <v>2715</v>
      </c>
      <c r="G675" s="51" t="s">
        <v>2695</v>
      </c>
      <c r="H675" s="25" t="str">
        <f t="shared" si="79"/>
        <v>jgd</v>
      </c>
      <c r="I675" t="s">
        <v>72</v>
      </c>
      <c r="J675" t="s">
        <v>708</v>
      </c>
      <c r="K675" t="s">
        <v>1236</v>
      </c>
      <c r="L675" s="25">
        <v>46.522699780000003</v>
      </c>
      <c r="M675" s="25">
        <v>8.5666758640000005</v>
      </c>
      <c r="N675">
        <v>5</v>
      </c>
      <c r="O675">
        <v>27</v>
      </c>
      <c r="P675">
        <v>10</v>
      </c>
      <c r="Q675">
        <v>2015</v>
      </c>
      <c r="R675" s="9">
        <v>42304</v>
      </c>
      <c r="S675">
        <v>350</v>
      </c>
      <c r="T675">
        <v>1</v>
      </c>
      <c r="U675">
        <v>0</v>
      </c>
      <c r="V675">
        <v>0</v>
      </c>
      <c r="W675">
        <v>0</v>
      </c>
      <c r="X675">
        <f t="shared" si="80"/>
        <v>-66.962500000000006</v>
      </c>
      <c r="Y675">
        <v>-23.782399999999999</v>
      </c>
      <c r="Z675">
        <v>7.5658294890000004</v>
      </c>
      <c r="AA675" s="3">
        <f t="shared" si="82"/>
        <v>7</v>
      </c>
      <c r="AB675" s="3">
        <f t="shared" si="81"/>
        <v>8</v>
      </c>
      <c r="AD675" s="3" t="s">
        <v>2754</v>
      </c>
      <c r="AE675" s="22">
        <v>-77.790000000000006</v>
      </c>
      <c r="AF675" s="22">
        <f t="shared" si="83"/>
        <v>-77.790000000000006</v>
      </c>
      <c r="AG675" s="1">
        <v>-100.6</v>
      </c>
      <c r="AH675" s="2" t="s">
        <v>16</v>
      </c>
      <c r="AI675"/>
      <c r="AJ675" s="3">
        <f t="shared" si="84"/>
        <v>8</v>
      </c>
      <c r="AK675" s="3" t="s">
        <v>2706</v>
      </c>
      <c r="AL675">
        <v>8</v>
      </c>
      <c r="AM675" t="s">
        <v>15</v>
      </c>
    </row>
    <row r="676" spans="1:39" hidden="1" x14ac:dyDescent="0.3">
      <c r="A676" s="51" t="s">
        <v>1382</v>
      </c>
      <c r="B676" s="54" t="s">
        <v>1383</v>
      </c>
      <c r="C676" s="51" t="s">
        <v>2765</v>
      </c>
      <c r="D676" s="53">
        <v>0</v>
      </c>
      <c r="E676" s="53">
        <v>1</v>
      </c>
      <c r="F676" s="51" t="s">
        <v>2715</v>
      </c>
      <c r="G676" s="51" t="s">
        <v>2695</v>
      </c>
      <c r="H676" s="25" t="str">
        <f t="shared" si="79"/>
        <v>jgd</v>
      </c>
      <c r="I676" t="s">
        <v>30</v>
      </c>
      <c r="J676" t="s">
        <v>271</v>
      </c>
      <c r="K676" t="s">
        <v>1384</v>
      </c>
      <c r="L676" s="25">
        <v>46.64239955</v>
      </c>
      <c r="M676" s="25">
        <v>7.0031275769999999</v>
      </c>
      <c r="N676">
        <v>5</v>
      </c>
      <c r="O676">
        <v>3</v>
      </c>
      <c r="P676">
        <v>11</v>
      </c>
      <c r="Q676">
        <v>2015</v>
      </c>
      <c r="R676" s="9">
        <v>42311</v>
      </c>
      <c r="S676">
        <v>336</v>
      </c>
      <c r="T676">
        <v>1</v>
      </c>
      <c r="U676">
        <v>0</v>
      </c>
      <c r="V676">
        <v>0</v>
      </c>
      <c r="W676">
        <v>0</v>
      </c>
      <c r="X676">
        <f t="shared" si="80"/>
        <v>-66.9375</v>
      </c>
      <c r="Y676">
        <v>-22.936239449999999</v>
      </c>
      <c r="Z676">
        <v>8.259712232</v>
      </c>
      <c r="AA676" s="3">
        <f t="shared" si="82"/>
        <v>7</v>
      </c>
      <c r="AB676" s="3">
        <f t="shared" si="81"/>
        <v>8</v>
      </c>
      <c r="AD676" s="3" t="s">
        <v>2751</v>
      </c>
      <c r="AE676" s="22">
        <v>-77.77</v>
      </c>
      <c r="AF676" s="22">
        <f t="shared" si="83"/>
        <v>-77.77</v>
      </c>
      <c r="AG676" s="1">
        <v>-100.6</v>
      </c>
      <c r="AH676" s="2" t="s">
        <v>16</v>
      </c>
      <c r="AI676"/>
      <c r="AJ676" s="3">
        <f t="shared" si="84"/>
        <v>8</v>
      </c>
      <c r="AK676" s="3" t="s">
        <v>2706</v>
      </c>
      <c r="AL676">
        <v>8</v>
      </c>
      <c r="AM676" t="s">
        <v>15</v>
      </c>
    </row>
    <row r="677" spans="1:39" hidden="1" x14ac:dyDescent="0.3">
      <c r="A677" s="51" t="s">
        <v>376</v>
      </c>
      <c r="B677" s="54" t="s">
        <v>377</v>
      </c>
      <c r="C677" s="51" t="s">
        <v>2765</v>
      </c>
      <c r="D677" s="53">
        <v>0</v>
      </c>
      <c r="E677" s="53">
        <v>1</v>
      </c>
      <c r="F677" s="51" t="s">
        <v>2715</v>
      </c>
      <c r="G677" s="51" t="s">
        <v>2695</v>
      </c>
      <c r="H677" s="25" t="str">
        <f t="shared" si="79"/>
        <v>jgd</v>
      </c>
      <c r="I677" t="s">
        <v>30</v>
      </c>
      <c r="J677" t="s">
        <v>378</v>
      </c>
      <c r="K677" t="s">
        <v>379</v>
      </c>
      <c r="L677" s="25">
        <v>46.615846910000002</v>
      </c>
      <c r="M677" s="25">
        <v>6.8892939430000002</v>
      </c>
      <c r="N677">
        <v>5</v>
      </c>
      <c r="O677">
        <v>30</v>
      </c>
      <c r="P677">
        <v>10</v>
      </c>
      <c r="Q677">
        <v>2014</v>
      </c>
      <c r="R677" s="9">
        <v>41942</v>
      </c>
      <c r="S677">
        <v>360</v>
      </c>
      <c r="T677">
        <v>1</v>
      </c>
      <c r="U677">
        <v>0</v>
      </c>
      <c r="V677">
        <v>0</v>
      </c>
      <c r="W677">
        <v>0</v>
      </c>
      <c r="X677">
        <f t="shared" si="80"/>
        <v>-66.862499999999983</v>
      </c>
      <c r="Y677">
        <v>-24.908000000000001</v>
      </c>
      <c r="Z677">
        <v>5.9527155970000001</v>
      </c>
      <c r="AA677" s="3">
        <f t="shared" si="82"/>
        <v>7</v>
      </c>
      <c r="AB677" s="3">
        <f t="shared" si="81"/>
        <v>6</v>
      </c>
      <c r="AD677" s="3" t="s">
        <v>2751</v>
      </c>
      <c r="AE677" s="22">
        <v>-77.709999999999994</v>
      </c>
      <c r="AF677" s="22">
        <f t="shared" si="83"/>
        <v>-77.709999999999994</v>
      </c>
      <c r="AG677" s="1">
        <v>-100.5</v>
      </c>
      <c r="AH677" s="2" t="s">
        <v>16</v>
      </c>
      <c r="AI677"/>
      <c r="AJ677" s="3">
        <f t="shared" si="84"/>
        <v>8</v>
      </c>
      <c r="AK677" s="3" t="s">
        <v>2706</v>
      </c>
      <c r="AL677">
        <v>8</v>
      </c>
      <c r="AM677" t="s">
        <v>15</v>
      </c>
    </row>
    <row r="678" spans="1:39" x14ac:dyDescent="0.3">
      <c r="A678" s="51" t="s">
        <v>1251</v>
      </c>
      <c r="B678" s="54" t="s">
        <v>1252</v>
      </c>
      <c r="C678" s="51" t="s">
        <v>2765</v>
      </c>
      <c r="D678" s="53">
        <v>0</v>
      </c>
      <c r="E678" s="53">
        <v>1</v>
      </c>
      <c r="F678" s="51" t="s">
        <v>2715</v>
      </c>
      <c r="G678" s="51" t="s">
        <v>2695</v>
      </c>
      <c r="H678" s="25" t="str">
        <f t="shared" si="79"/>
        <v>jgd</v>
      </c>
      <c r="I678" t="s">
        <v>72</v>
      </c>
      <c r="J678" t="s">
        <v>694</v>
      </c>
      <c r="K678" t="s">
        <v>1253</v>
      </c>
      <c r="L678" s="25">
        <v>46.077698689999998</v>
      </c>
      <c r="M678" s="25">
        <v>8.8919220160000005</v>
      </c>
      <c r="N678">
        <v>4</v>
      </c>
      <c r="O678">
        <v>14</v>
      </c>
      <c r="P678">
        <v>11</v>
      </c>
      <c r="Q678">
        <v>2015</v>
      </c>
      <c r="R678" s="9">
        <v>42322</v>
      </c>
      <c r="S678">
        <v>290</v>
      </c>
      <c r="T678">
        <v>1</v>
      </c>
      <c r="U678">
        <v>0</v>
      </c>
      <c r="V678">
        <v>0</v>
      </c>
      <c r="W678">
        <v>0</v>
      </c>
      <c r="X678">
        <f t="shared" si="80"/>
        <v>-66.724999999999994</v>
      </c>
      <c r="Y678">
        <v>-23.911171629999998</v>
      </c>
      <c r="Z678">
        <v>5.3046593949999998</v>
      </c>
      <c r="AA678" s="3">
        <f t="shared" si="82"/>
        <v>7</v>
      </c>
      <c r="AB678" s="3">
        <f t="shared" si="81"/>
        <v>5</v>
      </c>
      <c r="AD678" s="3" t="s">
        <v>2754</v>
      </c>
      <c r="AE678" s="22">
        <v>-77.599999999999994</v>
      </c>
      <c r="AF678" s="22">
        <f t="shared" si="83"/>
        <v>-77.599999999999994</v>
      </c>
      <c r="AG678" s="1">
        <v>-100.4</v>
      </c>
      <c r="AH678" s="2" t="s">
        <v>16</v>
      </c>
      <c r="AI678"/>
      <c r="AJ678" s="3">
        <f t="shared" si="84"/>
        <v>8</v>
      </c>
      <c r="AK678" s="3" t="s">
        <v>2706</v>
      </c>
      <c r="AL678">
        <v>8</v>
      </c>
      <c r="AM678" t="s">
        <v>15</v>
      </c>
    </row>
    <row r="679" spans="1:39" x14ac:dyDescent="0.3">
      <c r="A679" s="51" t="s">
        <v>2049</v>
      </c>
      <c r="B679" s="54" t="s">
        <v>2050</v>
      </c>
      <c r="C679" s="51" t="s">
        <v>2765</v>
      </c>
      <c r="D679" s="53">
        <v>0</v>
      </c>
      <c r="E679" s="53">
        <v>1</v>
      </c>
      <c r="F679" s="51" t="s">
        <v>2715</v>
      </c>
      <c r="G679" s="51" t="s">
        <v>2695</v>
      </c>
      <c r="H679" s="25" t="str">
        <f t="shared" si="79"/>
        <v>jgd</v>
      </c>
      <c r="I679" t="s">
        <v>72</v>
      </c>
      <c r="J679" t="s">
        <v>2051</v>
      </c>
      <c r="K679" t="s">
        <v>2052</v>
      </c>
      <c r="L679" s="25">
        <v>46.506242720000003</v>
      </c>
      <c r="M679" s="25">
        <v>8.6783232439999995</v>
      </c>
      <c r="N679">
        <v>5</v>
      </c>
      <c r="O679">
        <v>25</v>
      </c>
      <c r="P679">
        <v>10</v>
      </c>
      <c r="Q679">
        <v>2016</v>
      </c>
      <c r="R679" s="9">
        <v>42668</v>
      </c>
      <c r="S679">
        <v>298</v>
      </c>
      <c r="T679">
        <v>1</v>
      </c>
      <c r="U679">
        <v>0</v>
      </c>
      <c r="V679">
        <v>0</v>
      </c>
      <c r="W679">
        <v>0</v>
      </c>
      <c r="X679" s="57">
        <f t="shared" si="80"/>
        <v>-66.721542874999983</v>
      </c>
      <c r="Y679">
        <v>-24.52</v>
      </c>
      <c r="Z679">
        <v>5.53</v>
      </c>
      <c r="AA679" s="3">
        <f t="shared" si="82"/>
        <v>7</v>
      </c>
      <c r="AB679" s="3">
        <f t="shared" si="81"/>
        <v>6</v>
      </c>
      <c r="AD679" s="3" t="s">
        <v>2754</v>
      </c>
      <c r="AE679" s="22">
        <v>-77.597234299999997</v>
      </c>
      <c r="AF679" s="22">
        <f t="shared" si="83"/>
        <v>-77.597234299999997</v>
      </c>
      <c r="AG679" s="60" t="s">
        <v>16</v>
      </c>
      <c r="AH679" s="61" t="s">
        <v>16</v>
      </c>
      <c r="AJ679" s="3">
        <f t="shared" si="84"/>
        <v>8</v>
      </c>
      <c r="AK679" s="3" t="s">
        <v>2706</v>
      </c>
      <c r="AL679">
        <v>8</v>
      </c>
      <c r="AM679" t="s">
        <v>15</v>
      </c>
    </row>
    <row r="680" spans="1:39" x14ac:dyDescent="0.3">
      <c r="A680" s="51" t="s">
        <v>1902</v>
      </c>
      <c r="B680" s="54" t="s">
        <v>1114</v>
      </c>
      <c r="C680" s="51" t="s">
        <v>2765</v>
      </c>
      <c r="D680" s="53">
        <v>0</v>
      </c>
      <c r="E680" s="53">
        <v>1</v>
      </c>
      <c r="F680" s="51" t="s">
        <v>2715</v>
      </c>
      <c r="G680" s="51" t="s">
        <v>2695</v>
      </c>
      <c r="H680" s="25" t="str">
        <f t="shared" si="79"/>
        <v>jgd</v>
      </c>
      <c r="I680" t="s">
        <v>72</v>
      </c>
      <c r="J680" t="s">
        <v>1098</v>
      </c>
      <c r="K680" t="s">
        <v>1894</v>
      </c>
      <c r="L680" s="25">
        <v>46.025250970000002</v>
      </c>
      <c r="M680" s="25">
        <v>8.8368246920000004</v>
      </c>
      <c r="N680">
        <v>5</v>
      </c>
      <c r="O680">
        <v>19</v>
      </c>
      <c r="P680">
        <v>11</v>
      </c>
      <c r="Q680">
        <v>2016</v>
      </c>
      <c r="R680" s="9">
        <v>42693</v>
      </c>
      <c r="S680">
        <v>315</v>
      </c>
      <c r="T680">
        <v>1</v>
      </c>
      <c r="U680">
        <v>0</v>
      </c>
      <c r="V680">
        <v>0</v>
      </c>
      <c r="W680">
        <v>0</v>
      </c>
      <c r="X680" s="57">
        <f t="shared" si="80"/>
        <v>-66.604686874999999</v>
      </c>
      <c r="Y680">
        <v>-23.73</v>
      </c>
      <c r="Z680">
        <v>9.58</v>
      </c>
      <c r="AA680" s="3">
        <f t="shared" si="82"/>
        <v>7</v>
      </c>
      <c r="AB680" s="3">
        <f t="shared" si="81"/>
        <v>10</v>
      </c>
      <c r="AD680" s="3" t="s">
        <v>2754</v>
      </c>
      <c r="AE680" s="22">
        <v>-77.503749499999998</v>
      </c>
      <c r="AF680" s="22">
        <f t="shared" si="83"/>
        <v>-77.503749499999998</v>
      </c>
      <c r="AG680" s="60" t="s">
        <v>16</v>
      </c>
      <c r="AH680" s="61" t="s">
        <v>16</v>
      </c>
      <c r="AJ680" s="3">
        <f t="shared" si="84"/>
        <v>8</v>
      </c>
      <c r="AK680" s="3" t="s">
        <v>2706</v>
      </c>
      <c r="AL680">
        <v>8</v>
      </c>
      <c r="AM680" t="s">
        <v>15</v>
      </c>
    </row>
    <row r="681" spans="1:39" x14ac:dyDescent="0.3">
      <c r="A681" s="51" t="s">
        <v>1329</v>
      </c>
      <c r="B681" s="54" t="s">
        <v>1330</v>
      </c>
      <c r="C681" s="51" t="s">
        <v>2765</v>
      </c>
      <c r="D681" s="53">
        <v>0</v>
      </c>
      <c r="E681" s="53">
        <v>1</v>
      </c>
      <c r="F681" s="51" t="s">
        <v>2715</v>
      </c>
      <c r="G681" s="51" t="s">
        <v>2695</v>
      </c>
      <c r="H681" s="25" t="str">
        <f t="shared" si="79"/>
        <v>jgd</v>
      </c>
      <c r="I681" t="s">
        <v>72</v>
      </c>
      <c r="J681" t="s">
        <v>242</v>
      </c>
      <c r="K681" t="s">
        <v>1324</v>
      </c>
      <c r="L681" s="25">
        <v>46.193758189999997</v>
      </c>
      <c r="M681" s="25">
        <v>8.6392928250000001</v>
      </c>
      <c r="N681">
        <v>6</v>
      </c>
      <c r="O681">
        <v>25</v>
      </c>
      <c r="P681">
        <v>11</v>
      </c>
      <c r="Q681">
        <v>2015</v>
      </c>
      <c r="R681" s="9">
        <v>42333</v>
      </c>
      <c r="S681">
        <v>348</v>
      </c>
      <c r="T681">
        <v>1</v>
      </c>
      <c r="U681">
        <v>0</v>
      </c>
      <c r="V681">
        <v>0</v>
      </c>
      <c r="W681">
        <v>0</v>
      </c>
      <c r="X681">
        <f t="shared" si="80"/>
        <v>-66.599999999999994</v>
      </c>
      <c r="Y681">
        <v>-24.017399999999999</v>
      </c>
      <c r="Z681">
        <v>3.3966480020000001</v>
      </c>
      <c r="AA681" s="3">
        <f t="shared" si="82"/>
        <v>7</v>
      </c>
      <c r="AB681" s="3">
        <f t="shared" ref="AB681:AB712" si="85">ROUND(Z681,0)</f>
        <v>3</v>
      </c>
      <c r="AD681" s="3" t="s">
        <v>2754</v>
      </c>
      <c r="AE681" s="22">
        <v>-77.5</v>
      </c>
      <c r="AF681" s="22">
        <f t="shared" si="83"/>
        <v>-77.5</v>
      </c>
      <c r="AG681" s="1">
        <v>-100.3</v>
      </c>
      <c r="AH681" s="2" t="s">
        <v>16</v>
      </c>
      <c r="AI681"/>
      <c r="AJ681" s="3">
        <f t="shared" si="84"/>
        <v>8</v>
      </c>
      <c r="AK681" s="3" t="s">
        <v>2706</v>
      </c>
      <c r="AL681">
        <v>8</v>
      </c>
      <c r="AM681" t="s">
        <v>15</v>
      </c>
    </row>
    <row r="682" spans="1:39" hidden="1" x14ac:dyDescent="0.3">
      <c r="A682" s="51" t="s">
        <v>215</v>
      </c>
      <c r="B682" s="54" t="s">
        <v>216</v>
      </c>
      <c r="C682" s="51" t="s">
        <v>2765</v>
      </c>
      <c r="D682" s="53">
        <v>0</v>
      </c>
      <c r="E682" s="53">
        <v>1</v>
      </c>
      <c r="F682" s="51" t="s">
        <v>2715</v>
      </c>
      <c r="G682" s="51" t="s">
        <v>2695</v>
      </c>
      <c r="H682" s="25" t="str">
        <f t="shared" si="79"/>
        <v>jgd</v>
      </c>
      <c r="I682" t="s">
        <v>13</v>
      </c>
      <c r="J682" t="s">
        <v>54</v>
      </c>
      <c r="K682" t="s">
        <v>190</v>
      </c>
      <c r="L682" s="25">
        <v>47.092297709999997</v>
      </c>
      <c r="M682" s="25">
        <v>6.8935909720000001</v>
      </c>
      <c r="N682">
        <v>5</v>
      </c>
      <c r="O682">
        <v>30</v>
      </c>
      <c r="P682">
        <v>10</v>
      </c>
      <c r="Q682">
        <v>2013</v>
      </c>
      <c r="R682" s="9">
        <v>41577</v>
      </c>
      <c r="S682">
        <v>325</v>
      </c>
      <c r="T682">
        <v>1</v>
      </c>
      <c r="U682">
        <v>0</v>
      </c>
      <c r="V682">
        <v>0</v>
      </c>
      <c r="W682">
        <v>0</v>
      </c>
      <c r="X682">
        <f t="shared" si="80"/>
        <v>-66.587500000000006</v>
      </c>
      <c r="Y682">
        <v>-59.125289610000003</v>
      </c>
      <c r="Z682">
        <v>4.4258503400000002</v>
      </c>
      <c r="AA682" s="3">
        <f t="shared" si="82"/>
        <v>7</v>
      </c>
      <c r="AB682" s="3">
        <f t="shared" si="85"/>
        <v>4</v>
      </c>
      <c r="AD682" s="3" t="s">
        <v>2750</v>
      </c>
      <c r="AE682" s="22">
        <v>-77.489999999999995</v>
      </c>
      <c r="AF682" s="22">
        <f t="shared" si="83"/>
        <v>-77.489999999999995</v>
      </c>
      <c r="AG682" s="1">
        <v>-100.3</v>
      </c>
      <c r="AH682" s="2" t="s">
        <v>16</v>
      </c>
      <c r="AI682"/>
      <c r="AJ682" s="3">
        <f t="shared" si="84"/>
        <v>8</v>
      </c>
      <c r="AK682" s="3" t="s">
        <v>2706</v>
      </c>
      <c r="AL682">
        <v>8</v>
      </c>
      <c r="AM682" t="s">
        <v>15</v>
      </c>
    </row>
    <row r="683" spans="1:39" x14ac:dyDescent="0.3">
      <c r="A683" s="51" t="s">
        <v>1269</v>
      </c>
      <c r="B683" s="54" t="s">
        <v>1270</v>
      </c>
      <c r="C683" s="51" t="s">
        <v>2765</v>
      </c>
      <c r="D683" s="53">
        <v>0</v>
      </c>
      <c r="E683" s="53">
        <v>1</v>
      </c>
      <c r="F683" s="51" t="s">
        <v>2715</v>
      </c>
      <c r="G683" s="51" t="s">
        <v>2695</v>
      </c>
      <c r="H683" s="25" t="str">
        <f t="shared" si="79"/>
        <v>jgd</v>
      </c>
      <c r="I683" t="s">
        <v>72</v>
      </c>
      <c r="J683" t="s">
        <v>694</v>
      </c>
      <c r="K683" t="s">
        <v>1271</v>
      </c>
      <c r="L683" s="25">
        <v>46.078493690000002</v>
      </c>
      <c r="M683" s="25">
        <v>8.9000233439999992</v>
      </c>
      <c r="N683">
        <v>4</v>
      </c>
      <c r="O683">
        <v>12</v>
      </c>
      <c r="P683">
        <v>11</v>
      </c>
      <c r="Q683">
        <v>2015</v>
      </c>
      <c r="R683" s="9">
        <v>42320</v>
      </c>
      <c r="S683">
        <v>310</v>
      </c>
      <c r="T683">
        <v>1</v>
      </c>
      <c r="U683">
        <v>0</v>
      </c>
      <c r="V683">
        <v>0</v>
      </c>
      <c r="W683">
        <v>0</v>
      </c>
      <c r="X683">
        <f t="shared" si="80"/>
        <v>-66.587500000000006</v>
      </c>
      <c r="Y683">
        <v>-24.66</v>
      </c>
      <c r="Z683">
        <v>6.7400721319999999</v>
      </c>
      <c r="AA683" s="3">
        <f t="shared" si="82"/>
        <v>7</v>
      </c>
      <c r="AB683" s="3">
        <f t="shared" si="85"/>
        <v>7</v>
      </c>
      <c r="AD683" s="3" t="s">
        <v>2754</v>
      </c>
      <c r="AE683" s="22">
        <v>-77.489999999999995</v>
      </c>
      <c r="AF683" s="22">
        <f t="shared" si="83"/>
        <v>-77.489999999999995</v>
      </c>
      <c r="AG683" s="1">
        <v>-100.3</v>
      </c>
      <c r="AH683" s="2" t="s">
        <v>16</v>
      </c>
      <c r="AI683"/>
      <c r="AJ683" s="3">
        <f t="shared" si="84"/>
        <v>8</v>
      </c>
      <c r="AK683" s="3" t="s">
        <v>2706</v>
      </c>
      <c r="AL683">
        <v>8</v>
      </c>
      <c r="AM683" t="s">
        <v>15</v>
      </c>
    </row>
    <row r="684" spans="1:39" x14ac:dyDescent="0.3">
      <c r="A684" s="51" t="s">
        <v>2066</v>
      </c>
      <c r="B684" s="54" t="s">
        <v>1476</v>
      </c>
      <c r="C684" s="51" t="s">
        <v>2765</v>
      </c>
      <c r="D684" s="53">
        <v>0</v>
      </c>
      <c r="E684" s="53">
        <v>1</v>
      </c>
      <c r="F684" s="51" t="s">
        <v>2715</v>
      </c>
      <c r="G684" s="51" t="s">
        <v>2695</v>
      </c>
      <c r="H684" s="25" t="str">
        <f t="shared" si="79"/>
        <v>jgd</v>
      </c>
      <c r="I684" t="s">
        <v>72</v>
      </c>
      <c r="J684" t="s">
        <v>73</v>
      </c>
      <c r="K684" t="s">
        <v>2067</v>
      </c>
      <c r="L684" s="25">
        <v>46.075963479999999</v>
      </c>
      <c r="M684" s="25">
        <v>9.0208311729999995</v>
      </c>
      <c r="N684">
        <v>5</v>
      </c>
      <c r="O684">
        <v>19</v>
      </c>
      <c r="P684">
        <v>11</v>
      </c>
      <c r="Q684">
        <v>2017</v>
      </c>
      <c r="R684" s="9">
        <v>43058</v>
      </c>
      <c r="S684">
        <v>245</v>
      </c>
      <c r="T684">
        <v>1</v>
      </c>
      <c r="U684">
        <v>0</v>
      </c>
      <c r="V684">
        <v>0</v>
      </c>
      <c r="W684">
        <v>0</v>
      </c>
      <c r="X684" s="57">
        <f t="shared" si="80"/>
        <v>-66.572779999999995</v>
      </c>
      <c r="Y684" t="s">
        <v>16</v>
      </c>
      <c r="Z684">
        <v>6.3994302440000004</v>
      </c>
      <c r="AA684" s="3">
        <f t="shared" si="82"/>
        <v>7</v>
      </c>
      <c r="AB684" s="3">
        <f t="shared" si="85"/>
        <v>6</v>
      </c>
      <c r="AD684" s="3" t="s">
        <v>2754</v>
      </c>
      <c r="AE684" s="22">
        <v>-77.478223999999997</v>
      </c>
      <c r="AF684" s="22">
        <f t="shared" si="83"/>
        <v>-77.478223999999997</v>
      </c>
      <c r="AG684" s="60" t="s">
        <v>16</v>
      </c>
      <c r="AH684" s="61" t="s">
        <v>16</v>
      </c>
      <c r="AJ684" s="3">
        <f t="shared" si="84"/>
        <v>8</v>
      </c>
      <c r="AK684" s="3" t="s">
        <v>2706</v>
      </c>
      <c r="AL684">
        <v>8</v>
      </c>
      <c r="AM684" t="s">
        <v>2678</v>
      </c>
    </row>
    <row r="685" spans="1:39" x14ac:dyDescent="0.3">
      <c r="A685" s="51" t="s">
        <v>974</v>
      </c>
      <c r="B685" s="54" t="s">
        <v>176</v>
      </c>
      <c r="C685" s="51" t="s">
        <v>2765</v>
      </c>
      <c r="D685" s="53">
        <v>0</v>
      </c>
      <c r="E685" s="53">
        <v>1</v>
      </c>
      <c r="F685" s="51" t="s">
        <v>2715</v>
      </c>
      <c r="G685" s="51" t="s">
        <v>2695</v>
      </c>
      <c r="H685" s="25" t="str">
        <f t="shared" si="79"/>
        <v>jgd</v>
      </c>
      <c r="I685" t="s">
        <v>72</v>
      </c>
      <c r="J685" t="s">
        <v>958</v>
      </c>
      <c r="K685" t="s">
        <v>400</v>
      </c>
      <c r="L685" s="25">
        <v>46.118460740000003</v>
      </c>
      <c r="M685" s="25">
        <v>8.8344646709999992</v>
      </c>
      <c r="N685">
        <v>4</v>
      </c>
      <c r="O685">
        <v>10</v>
      </c>
      <c r="P685">
        <v>11</v>
      </c>
      <c r="Q685">
        <v>2015</v>
      </c>
      <c r="R685" s="9">
        <v>42318</v>
      </c>
      <c r="S685">
        <v>337</v>
      </c>
      <c r="T685">
        <v>1</v>
      </c>
      <c r="U685">
        <v>0</v>
      </c>
      <c r="V685">
        <v>0</v>
      </c>
      <c r="W685">
        <v>0</v>
      </c>
      <c r="X685">
        <f t="shared" si="80"/>
        <v>-66.525000000000006</v>
      </c>
      <c r="Y685">
        <v>-25.358799999999999</v>
      </c>
      <c r="Z685">
        <v>4.2071453480000001</v>
      </c>
      <c r="AA685" s="3">
        <f t="shared" si="82"/>
        <v>7</v>
      </c>
      <c r="AB685" s="3">
        <f t="shared" si="85"/>
        <v>4</v>
      </c>
      <c r="AD685" s="3" t="s">
        <v>2754</v>
      </c>
      <c r="AE685" s="22">
        <v>-77.44</v>
      </c>
      <c r="AF685" s="22">
        <f t="shared" si="83"/>
        <v>-77.44</v>
      </c>
      <c r="AG685" s="1">
        <v>-100.2</v>
      </c>
      <c r="AH685" s="2" t="s">
        <v>16</v>
      </c>
      <c r="AI685"/>
      <c r="AJ685" s="3">
        <f t="shared" si="84"/>
        <v>8</v>
      </c>
      <c r="AK685" s="3" t="s">
        <v>2706</v>
      </c>
      <c r="AL685">
        <v>8</v>
      </c>
      <c r="AM685" t="s">
        <v>15</v>
      </c>
    </row>
    <row r="686" spans="1:39" hidden="1" x14ac:dyDescent="0.3">
      <c r="A686" s="51" t="s">
        <v>2023</v>
      </c>
      <c r="B686" s="54" t="s">
        <v>2024</v>
      </c>
      <c r="C686" s="51" t="s">
        <v>2765</v>
      </c>
      <c r="D686" s="53">
        <v>0</v>
      </c>
      <c r="E686" s="53">
        <v>1</v>
      </c>
      <c r="F686" s="51" t="s">
        <v>2715</v>
      </c>
      <c r="G686" s="51" t="s">
        <v>2695</v>
      </c>
      <c r="H686" s="25" t="str">
        <f t="shared" si="79"/>
        <v>jgd</v>
      </c>
      <c r="I686" t="s">
        <v>30</v>
      </c>
      <c r="J686" t="s">
        <v>34</v>
      </c>
      <c r="K686" t="s">
        <v>16</v>
      </c>
      <c r="L686" s="25">
        <v>46.732813909999997</v>
      </c>
      <c r="M686" s="25">
        <v>7.047599977</v>
      </c>
      <c r="N686">
        <v>5</v>
      </c>
      <c r="O686">
        <v>2</v>
      </c>
      <c r="P686">
        <v>11</v>
      </c>
      <c r="Q686">
        <v>2016</v>
      </c>
      <c r="R686" s="9">
        <v>42676</v>
      </c>
      <c r="S686">
        <v>288</v>
      </c>
      <c r="T686">
        <v>1</v>
      </c>
      <c r="U686">
        <v>0</v>
      </c>
      <c r="V686">
        <v>0</v>
      </c>
      <c r="W686">
        <v>0</v>
      </c>
      <c r="X686" s="57">
        <f t="shared" si="80"/>
        <v>-66.518926499999992</v>
      </c>
      <c r="Y686">
        <v>-23.45</v>
      </c>
      <c r="Z686">
        <v>1.59</v>
      </c>
      <c r="AA686" s="3">
        <f t="shared" si="82"/>
        <v>7</v>
      </c>
      <c r="AB686" s="3">
        <f t="shared" si="85"/>
        <v>2</v>
      </c>
      <c r="AD686" s="3" t="s">
        <v>2751</v>
      </c>
      <c r="AE686" s="22">
        <v>-77.435141200000004</v>
      </c>
      <c r="AF686" s="22">
        <f t="shared" si="83"/>
        <v>-77.435141200000004</v>
      </c>
      <c r="AG686" s="60" t="s">
        <v>16</v>
      </c>
      <c r="AH686" s="61" t="s">
        <v>16</v>
      </c>
      <c r="AJ686" s="3">
        <f t="shared" si="84"/>
        <v>8</v>
      </c>
      <c r="AK686" s="3" t="s">
        <v>2706</v>
      </c>
      <c r="AL686">
        <v>8</v>
      </c>
      <c r="AM686" t="s">
        <v>15</v>
      </c>
    </row>
    <row r="687" spans="1:39" x14ac:dyDescent="0.3">
      <c r="A687" s="51" t="s">
        <v>846</v>
      </c>
      <c r="B687" s="54" t="s">
        <v>847</v>
      </c>
      <c r="C687" s="51" t="s">
        <v>2765</v>
      </c>
      <c r="D687" s="53">
        <v>0</v>
      </c>
      <c r="E687" s="53">
        <v>1</v>
      </c>
      <c r="F687" s="51" t="s">
        <v>2715</v>
      </c>
      <c r="G687" s="51" t="s">
        <v>2695</v>
      </c>
      <c r="H687" s="25" t="str">
        <f t="shared" si="79"/>
        <v>jgd</v>
      </c>
      <c r="I687" t="s">
        <v>72</v>
      </c>
      <c r="J687" t="s">
        <v>848</v>
      </c>
      <c r="K687" t="s">
        <v>849</v>
      </c>
      <c r="L687" s="25">
        <v>46.171195619999999</v>
      </c>
      <c r="M687" s="25">
        <v>8.6074709580000004</v>
      </c>
      <c r="N687">
        <v>6</v>
      </c>
      <c r="O687">
        <v>16</v>
      </c>
      <c r="P687">
        <v>10</v>
      </c>
      <c r="Q687">
        <v>2015</v>
      </c>
      <c r="R687" s="9">
        <v>42293</v>
      </c>
      <c r="S687">
        <v>303</v>
      </c>
      <c r="T687">
        <v>1</v>
      </c>
      <c r="U687">
        <v>0</v>
      </c>
      <c r="V687">
        <v>0</v>
      </c>
      <c r="W687">
        <v>0</v>
      </c>
      <c r="X687">
        <f t="shared" si="80"/>
        <v>-66.5</v>
      </c>
      <c r="Y687">
        <v>-24.14725</v>
      </c>
      <c r="Z687">
        <v>4.8850943579999999</v>
      </c>
      <c r="AA687" s="3">
        <f t="shared" si="82"/>
        <v>7</v>
      </c>
      <c r="AB687" s="3">
        <f t="shared" si="85"/>
        <v>5</v>
      </c>
      <c r="AD687" s="3" t="s">
        <v>2754</v>
      </c>
      <c r="AE687" s="22">
        <v>-77.42</v>
      </c>
      <c r="AF687" s="22">
        <f t="shared" si="83"/>
        <v>-77.42</v>
      </c>
      <c r="AG687" s="1">
        <v>-100.2</v>
      </c>
      <c r="AH687" s="2" t="s">
        <v>16</v>
      </c>
      <c r="AI687"/>
      <c r="AJ687" s="3">
        <f t="shared" si="84"/>
        <v>8</v>
      </c>
      <c r="AK687" s="3" t="s">
        <v>2706</v>
      </c>
      <c r="AL687">
        <v>8</v>
      </c>
      <c r="AM687" t="s">
        <v>15</v>
      </c>
    </row>
    <row r="688" spans="1:39" x14ac:dyDescent="0.3">
      <c r="A688" s="51" t="s">
        <v>1602</v>
      </c>
      <c r="B688" s="54" t="s">
        <v>1603</v>
      </c>
      <c r="C688" s="51" t="s">
        <v>2765</v>
      </c>
      <c r="D688" s="53">
        <v>0</v>
      </c>
      <c r="E688" s="53">
        <v>1</v>
      </c>
      <c r="F688" s="51" t="s">
        <v>2715</v>
      </c>
      <c r="G688" s="51" t="s">
        <v>2695</v>
      </c>
      <c r="H688" s="25" t="str">
        <f t="shared" si="79"/>
        <v>jgd</v>
      </c>
      <c r="I688" t="s">
        <v>72</v>
      </c>
      <c r="J688" t="s">
        <v>804</v>
      </c>
      <c r="K688" t="s">
        <v>1594</v>
      </c>
      <c r="L688" s="25">
        <v>46.055380300000003</v>
      </c>
      <c r="M688" s="25">
        <v>8.8951664160000004</v>
      </c>
      <c r="N688">
        <v>5</v>
      </c>
      <c r="O688">
        <v>5</v>
      </c>
      <c r="P688">
        <v>11</v>
      </c>
      <c r="Q688">
        <v>2016</v>
      </c>
      <c r="R688" s="9">
        <v>42679</v>
      </c>
      <c r="S688">
        <v>307</v>
      </c>
      <c r="T688">
        <v>1</v>
      </c>
      <c r="U688">
        <v>0</v>
      </c>
      <c r="V688">
        <v>0</v>
      </c>
      <c r="W688">
        <v>0</v>
      </c>
      <c r="X688" s="57">
        <f t="shared" si="80"/>
        <v>-66.316685624999991</v>
      </c>
      <c r="Y688">
        <v>-23.74</v>
      </c>
      <c r="Z688">
        <v>4.1900000000000004</v>
      </c>
      <c r="AA688" s="3">
        <f t="shared" si="82"/>
        <v>7</v>
      </c>
      <c r="AB688" s="3">
        <f t="shared" si="85"/>
        <v>4</v>
      </c>
      <c r="AD688" s="3" t="s">
        <v>2754</v>
      </c>
      <c r="AE688" s="22">
        <v>-77.273348499999997</v>
      </c>
      <c r="AF688" s="22">
        <f t="shared" si="83"/>
        <v>-77.273348499999997</v>
      </c>
      <c r="AG688" s="60" t="s">
        <v>16</v>
      </c>
      <c r="AH688" s="61" t="s">
        <v>16</v>
      </c>
      <c r="AJ688" s="3">
        <f t="shared" si="84"/>
        <v>8</v>
      </c>
      <c r="AK688" s="3" t="s">
        <v>2706</v>
      </c>
      <c r="AL688">
        <v>8</v>
      </c>
      <c r="AM688" t="s">
        <v>15</v>
      </c>
    </row>
    <row r="689" spans="1:39" x14ac:dyDescent="0.3">
      <c r="A689" s="51" t="s">
        <v>806</v>
      </c>
      <c r="B689" s="54" t="s">
        <v>807</v>
      </c>
      <c r="C689" s="51" t="s">
        <v>2765</v>
      </c>
      <c r="D689" s="53">
        <v>0</v>
      </c>
      <c r="E689" s="53">
        <v>1</v>
      </c>
      <c r="F689" s="51" t="s">
        <v>2715</v>
      </c>
      <c r="G689" s="51" t="s">
        <v>2695</v>
      </c>
      <c r="H689" s="25" t="str">
        <f t="shared" si="79"/>
        <v>jgd</v>
      </c>
      <c r="I689" t="s">
        <v>72</v>
      </c>
      <c r="J689" t="s">
        <v>804</v>
      </c>
      <c r="K689" t="s">
        <v>805</v>
      </c>
      <c r="L689" s="25">
        <v>46.054510260000001</v>
      </c>
      <c r="M689" s="25">
        <v>8.8935666659999999</v>
      </c>
      <c r="N689">
        <v>5</v>
      </c>
      <c r="O689">
        <v>17</v>
      </c>
      <c r="P689">
        <v>10</v>
      </c>
      <c r="Q689">
        <v>2015</v>
      </c>
      <c r="R689" s="9">
        <v>42294</v>
      </c>
      <c r="S689">
        <v>288</v>
      </c>
      <c r="T689">
        <v>1</v>
      </c>
      <c r="U689">
        <v>0</v>
      </c>
      <c r="V689">
        <v>0</v>
      </c>
      <c r="W689">
        <v>0</v>
      </c>
      <c r="X689">
        <f t="shared" si="80"/>
        <v>-66.262500000000017</v>
      </c>
      <c r="Y689">
        <v>-23.398399999999999</v>
      </c>
      <c r="Z689">
        <v>4.3176607819999999</v>
      </c>
      <c r="AA689" s="3">
        <f t="shared" si="82"/>
        <v>7</v>
      </c>
      <c r="AB689" s="3">
        <f t="shared" si="85"/>
        <v>4</v>
      </c>
      <c r="AD689" s="3" t="s">
        <v>2754</v>
      </c>
      <c r="AE689" s="22">
        <v>-77.23</v>
      </c>
      <c r="AF689" s="22">
        <f t="shared" si="83"/>
        <v>-77.23</v>
      </c>
      <c r="AG689" s="1">
        <v>-100</v>
      </c>
      <c r="AH689" s="2" t="s">
        <v>16</v>
      </c>
      <c r="AI689"/>
      <c r="AJ689" s="3">
        <f t="shared" si="84"/>
        <v>8</v>
      </c>
      <c r="AK689" s="3" t="s">
        <v>2706</v>
      </c>
      <c r="AL689">
        <v>8</v>
      </c>
      <c r="AM689" t="s">
        <v>15</v>
      </c>
    </row>
    <row r="690" spans="1:39" hidden="1" x14ac:dyDescent="0.3">
      <c r="A690" s="51" t="s">
        <v>921</v>
      </c>
      <c r="B690" s="54" t="s">
        <v>922</v>
      </c>
      <c r="C690" s="51" t="s">
        <v>2765</v>
      </c>
      <c r="D690" s="53">
        <v>0</v>
      </c>
      <c r="E690" s="53">
        <v>1</v>
      </c>
      <c r="F690" s="51" t="s">
        <v>2715</v>
      </c>
      <c r="G690" s="51" t="s">
        <v>2695</v>
      </c>
      <c r="H690" s="25" t="str">
        <f t="shared" si="79"/>
        <v>jgd</v>
      </c>
      <c r="I690" t="s">
        <v>385</v>
      </c>
      <c r="J690" t="s">
        <v>539</v>
      </c>
      <c r="K690" t="s">
        <v>923</v>
      </c>
      <c r="L690" s="25">
        <v>46.896514230000001</v>
      </c>
      <c r="M690" s="25">
        <v>6.6601571750000002</v>
      </c>
      <c r="N690">
        <v>6</v>
      </c>
      <c r="O690">
        <v>10</v>
      </c>
      <c r="P690">
        <v>11</v>
      </c>
      <c r="Q690">
        <v>2015</v>
      </c>
      <c r="R690" s="9">
        <v>42318</v>
      </c>
      <c r="S690">
        <v>362</v>
      </c>
      <c r="T690">
        <v>1</v>
      </c>
      <c r="U690">
        <v>0</v>
      </c>
      <c r="V690">
        <v>0</v>
      </c>
      <c r="W690">
        <v>0</v>
      </c>
      <c r="X690">
        <f t="shared" si="80"/>
        <v>-66.112500000000011</v>
      </c>
      <c r="Y690">
        <v>-23.753</v>
      </c>
      <c r="Z690">
        <v>8.5253865520000005</v>
      </c>
      <c r="AA690" s="3">
        <f t="shared" si="82"/>
        <v>7</v>
      </c>
      <c r="AB690" s="3">
        <f t="shared" si="85"/>
        <v>9</v>
      </c>
      <c r="AD690" s="3" t="s">
        <v>2750</v>
      </c>
      <c r="AE690" s="22">
        <v>-77.11</v>
      </c>
      <c r="AF690" s="22">
        <f t="shared" si="83"/>
        <v>-77.11</v>
      </c>
      <c r="AG690" s="1">
        <v>-99.9</v>
      </c>
      <c r="AH690" s="2" t="s">
        <v>16</v>
      </c>
      <c r="AI690"/>
      <c r="AJ690" s="3">
        <f t="shared" si="84"/>
        <v>8</v>
      </c>
      <c r="AK690" s="3" t="s">
        <v>2706</v>
      </c>
      <c r="AL690">
        <v>8</v>
      </c>
      <c r="AM690" t="s">
        <v>15</v>
      </c>
    </row>
    <row r="691" spans="1:39" x14ac:dyDescent="0.3">
      <c r="A691" s="51" t="s">
        <v>1202</v>
      </c>
      <c r="B691" s="54" t="s">
        <v>1203</v>
      </c>
      <c r="C691" s="51" t="s">
        <v>2765</v>
      </c>
      <c r="D691" s="53">
        <v>0</v>
      </c>
      <c r="E691" s="53">
        <v>1</v>
      </c>
      <c r="F691" s="51" t="s">
        <v>2715</v>
      </c>
      <c r="G691" s="51" t="s">
        <v>2695</v>
      </c>
      <c r="H691" s="25" t="str">
        <f t="shared" si="79"/>
        <v>jgd</v>
      </c>
      <c r="I691" t="s">
        <v>72</v>
      </c>
      <c r="J691" t="s">
        <v>716</v>
      </c>
      <c r="K691" t="s">
        <v>1204</v>
      </c>
      <c r="L691" s="25">
        <v>45.88460156</v>
      </c>
      <c r="M691" s="25">
        <v>9.0749548690000008</v>
      </c>
      <c r="N691">
        <v>5</v>
      </c>
      <c r="O691">
        <v>8</v>
      </c>
      <c r="P691">
        <v>11</v>
      </c>
      <c r="Q691">
        <v>2015</v>
      </c>
      <c r="R691" s="9">
        <v>42316</v>
      </c>
      <c r="S691">
        <v>315</v>
      </c>
      <c r="T691">
        <v>1</v>
      </c>
      <c r="U691">
        <v>0</v>
      </c>
      <c r="V691">
        <v>0</v>
      </c>
      <c r="W691">
        <v>0</v>
      </c>
      <c r="X691">
        <f t="shared" si="80"/>
        <v>-66.037499999999994</v>
      </c>
      <c r="Y691">
        <v>-22.803799999999999</v>
      </c>
      <c r="Z691">
        <v>5.2344030349999997</v>
      </c>
      <c r="AA691" s="3">
        <f t="shared" si="82"/>
        <v>7</v>
      </c>
      <c r="AB691" s="3">
        <f t="shared" si="85"/>
        <v>5</v>
      </c>
      <c r="AD691" s="3" t="s">
        <v>2754</v>
      </c>
      <c r="AE691" s="22">
        <v>-77.05</v>
      </c>
      <c r="AF691" s="22">
        <f t="shared" si="83"/>
        <v>-77.05</v>
      </c>
      <c r="AG691" s="1">
        <v>-99.8</v>
      </c>
      <c r="AH691" s="2" t="s">
        <v>16</v>
      </c>
      <c r="AI691"/>
      <c r="AJ691" s="3">
        <f t="shared" si="84"/>
        <v>8</v>
      </c>
      <c r="AK691" s="3" t="s">
        <v>2706</v>
      </c>
      <c r="AL691">
        <v>8</v>
      </c>
      <c r="AM691" t="s">
        <v>15</v>
      </c>
    </row>
    <row r="692" spans="1:39" x14ac:dyDescent="0.3">
      <c r="A692" s="51" t="s">
        <v>1648</v>
      </c>
      <c r="B692" s="54" t="s">
        <v>1649</v>
      </c>
      <c r="C692" s="51" t="s">
        <v>2765</v>
      </c>
      <c r="D692" s="53">
        <v>0</v>
      </c>
      <c r="E692" s="53">
        <v>1</v>
      </c>
      <c r="F692" s="51" t="s">
        <v>2715</v>
      </c>
      <c r="G692" s="51" t="s">
        <v>2695</v>
      </c>
      <c r="H692" s="25" t="str">
        <f t="shared" si="79"/>
        <v>jgd</v>
      </c>
      <c r="I692" t="s">
        <v>72</v>
      </c>
      <c r="J692" t="s">
        <v>931</v>
      </c>
      <c r="K692" t="s">
        <v>16</v>
      </c>
      <c r="L692" s="25">
        <v>46.04888081</v>
      </c>
      <c r="M692" s="25">
        <v>8.8758309749999995</v>
      </c>
      <c r="N692">
        <v>5</v>
      </c>
      <c r="O692">
        <v>30</v>
      </c>
      <c r="P692">
        <v>10</v>
      </c>
      <c r="Q692">
        <v>2016</v>
      </c>
      <c r="R692" s="9">
        <v>42673</v>
      </c>
      <c r="S692">
        <v>240</v>
      </c>
      <c r="T692">
        <v>1</v>
      </c>
      <c r="U692">
        <v>0</v>
      </c>
      <c r="V692">
        <v>0</v>
      </c>
      <c r="W692">
        <v>0</v>
      </c>
      <c r="X692" s="57">
        <f t="shared" si="80"/>
        <v>-66.031501125000005</v>
      </c>
      <c r="Y692">
        <v>-23.91</v>
      </c>
      <c r="Z692">
        <v>5.1100000000000003</v>
      </c>
      <c r="AA692" s="3">
        <f t="shared" si="82"/>
        <v>7</v>
      </c>
      <c r="AB692" s="3">
        <f t="shared" si="85"/>
        <v>5</v>
      </c>
      <c r="AD692" s="3" t="s">
        <v>2754</v>
      </c>
      <c r="AE692" s="22">
        <v>-77.045200899999998</v>
      </c>
      <c r="AF692" s="22">
        <f t="shared" si="83"/>
        <v>-77.045200899999998</v>
      </c>
      <c r="AG692" s="60" t="s">
        <v>16</v>
      </c>
      <c r="AH692" s="61" t="s">
        <v>16</v>
      </c>
      <c r="AJ692" s="3">
        <f t="shared" si="84"/>
        <v>8</v>
      </c>
      <c r="AK692" s="3" t="s">
        <v>2706</v>
      </c>
      <c r="AL692">
        <v>8</v>
      </c>
      <c r="AM692" t="s">
        <v>15</v>
      </c>
    </row>
    <row r="693" spans="1:39" x14ac:dyDescent="0.3">
      <c r="A693" s="51" t="s">
        <v>1199</v>
      </c>
      <c r="B693" s="54" t="s">
        <v>1200</v>
      </c>
      <c r="C693" s="51" t="s">
        <v>2765</v>
      </c>
      <c r="D693" s="53">
        <v>0</v>
      </c>
      <c r="E693" s="53">
        <v>1</v>
      </c>
      <c r="F693" s="51" t="s">
        <v>2715</v>
      </c>
      <c r="G693" s="51" t="s">
        <v>2695</v>
      </c>
      <c r="H693" s="25" t="str">
        <f t="shared" ref="H693:H756" si="86">IF(T693=1,"jgd",IF(W693=1,"Captures automne","Captures printemps-été"))</f>
        <v>jgd</v>
      </c>
      <c r="I693" t="s">
        <v>72</v>
      </c>
      <c r="J693" t="s">
        <v>712</v>
      </c>
      <c r="K693" t="s">
        <v>1201</v>
      </c>
      <c r="L693" s="25">
        <v>46.498722970000003</v>
      </c>
      <c r="M693" s="25">
        <v>8.7879654499999997</v>
      </c>
      <c r="N693">
        <v>5</v>
      </c>
      <c r="O693">
        <v>5</v>
      </c>
      <c r="P693">
        <v>11</v>
      </c>
      <c r="Q693">
        <v>2015</v>
      </c>
      <c r="R693" s="9">
        <v>42313</v>
      </c>
      <c r="S693">
        <v>280</v>
      </c>
      <c r="T693">
        <v>1</v>
      </c>
      <c r="U693">
        <v>0</v>
      </c>
      <c r="V693">
        <v>0</v>
      </c>
      <c r="W693">
        <v>0</v>
      </c>
      <c r="X693">
        <f t="shared" ref="X693:X756" si="87">1.25*AF693+30.275</f>
        <v>-66.025000000000006</v>
      </c>
      <c r="Y693">
        <v>-23.6218</v>
      </c>
      <c r="Z693">
        <v>8.5218273240000002</v>
      </c>
      <c r="AA693" s="3">
        <f t="shared" si="82"/>
        <v>7</v>
      </c>
      <c r="AB693" s="3">
        <f t="shared" si="85"/>
        <v>9</v>
      </c>
      <c r="AD693" s="3" t="s">
        <v>2754</v>
      </c>
      <c r="AE693" s="22">
        <v>-77.040000000000006</v>
      </c>
      <c r="AF693" s="22">
        <f t="shared" si="83"/>
        <v>-77.040000000000006</v>
      </c>
      <c r="AG693" s="1">
        <v>-99.8</v>
      </c>
      <c r="AH693" s="2" t="s">
        <v>16</v>
      </c>
      <c r="AI693"/>
      <c r="AJ693" s="3">
        <f t="shared" si="84"/>
        <v>8</v>
      </c>
      <c r="AK693" s="3" t="s">
        <v>2706</v>
      </c>
      <c r="AL693">
        <v>8</v>
      </c>
      <c r="AM693" t="s">
        <v>15</v>
      </c>
    </row>
    <row r="694" spans="1:39" x14ac:dyDescent="0.3">
      <c r="A694" s="51" t="s">
        <v>1680</v>
      </c>
      <c r="B694" s="54" t="s">
        <v>1681</v>
      </c>
      <c r="C694" s="51" t="s">
        <v>2765</v>
      </c>
      <c r="D694" s="53">
        <v>0</v>
      </c>
      <c r="E694" s="53">
        <v>1</v>
      </c>
      <c r="F694" s="51" t="s">
        <v>2715</v>
      </c>
      <c r="G694" s="51" t="s">
        <v>2695</v>
      </c>
      <c r="H694" s="25" t="str">
        <f t="shared" si="86"/>
        <v>jgd</v>
      </c>
      <c r="I694" t="s">
        <v>72</v>
      </c>
      <c r="J694" t="s">
        <v>155</v>
      </c>
      <c r="K694" t="s">
        <v>1682</v>
      </c>
      <c r="L694" s="25">
        <v>46.111979959999999</v>
      </c>
      <c r="M694" s="25">
        <v>8.8491753929999994</v>
      </c>
      <c r="N694">
        <v>4</v>
      </c>
      <c r="O694">
        <v>6</v>
      </c>
      <c r="P694">
        <v>11</v>
      </c>
      <c r="Q694">
        <v>2016</v>
      </c>
      <c r="R694" s="9">
        <v>42680</v>
      </c>
      <c r="S694">
        <v>342</v>
      </c>
      <c r="T694">
        <v>1</v>
      </c>
      <c r="U694">
        <v>0</v>
      </c>
      <c r="V694">
        <v>0</v>
      </c>
      <c r="W694">
        <v>0</v>
      </c>
      <c r="X694" s="57">
        <f t="shared" si="87"/>
        <v>-66.011743124999981</v>
      </c>
      <c r="Y694">
        <v>-23.98</v>
      </c>
      <c r="Z694">
        <v>7.97</v>
      </c>
      <c r="AA694" s="3">
        <f t="shared" si="82"/>
        <v>7</v>
      </c>
      <c r="AB694" s="3">
        <f t="shared" si="85"/>
        <v>8</v>
      </c>
      <c r="AD694" s="3" t="s">
        <v>2754</v>
      </c>
      <c r="AE694" s="22">
        <v>-77.029394499999995</v>
      </c>
      <c r="AF694" s="22">
        <f t="shared" si="83"/>
        <v>-77.029394499999995</v>
      </c>
      <c r="AG694" s="60" t="s">
        <v>16</v>
      </c>
      <c r="AH694" s="61" t="s">
        <v>16</v>
      </c>
      <c r="AJ694" s="3">
        <f t="shared" si="84"/>
        <v>8</v>
      </c>
      <c r="AK694" s="3" t="s">
        <v>2706</v>
      </c>
      <c r="AL694">
        <v>8</v>
      </c>
      <c r="AM694" t="s">
        <v>15</v>
      </c>
    </row>
    <row r="695" spans="1:39" hidden="1" x14ac:dyDescent="0.3">
      <c r="A695" s="51" t="s">
        <v>792</v>
      </c>
      <c r="B695" s="54" t="s">
        <v>793</v>
      </c>
      <c r="C695" s="51" t="s">
        <v>2765</v>
      </c>
      <c r="D695" s="53">
        <v>0</v>
      </c>
      <c r="E695" s="53">
        <v>1</v>
      </c>
      <c r="F695" s="51" t="s">
        <v>2715</v>
      </c>
      <c r="G695" s="51" t="s">
        <v>2695</v>
      </c>
      <c r="H695" s="25" t="str">
        <f t="shared" si="86"/>
        <v>jgd</v>
      </c>
      <c r="I695" t="s">
        <v>30</v>
      </c>
      <c r="J695" t="s">
        <v>39</v>
      </c>
      <c r="K695" t="s">
        <v>794</v>
      </c>
      <c r="L695" s="25">
        <v>46.594819719999997</v>
      </c>
      <c r="M695" s="25">
        <v>6.9753753170000001</v>
      </c>
      <c r="N695">
        <v>3</v>
      </c>
      <c r="O695">
        <v>7</v>
      </c>
      <c r="P695">
        <v>11</v>
      </c>
      <c r="Q695">
        <v>2015</v>
      </c>
      <c r="R695" s="9">
        <v>42315</v>
      </c>
      <c r="S695">
        <v>320</v>
      </c>
      <c r="T695">
        <v>1</v>
      </c>
      <c r="U695">
        <v>0</v>
      </c>
      <c r="V695">
        <v>0</v>
      </c>
      <c r="W695">
        <v>0</v>
      </c>
      <c r="X695">
        <f t="shared" si="87"/>
        <v>-65.887500000000017</v>
      </c>
      <c r="Y695">
        <v>-24.4742</v>
      </c>
      <c r="Z695">
        <v>5.0833498390000003</v>
      </c>
      <c r="AA695" s="3">
        <f t="shared" si="82"/>
        <v>7</v>
      </c>
      <c r="AB695" s="3">
        <f t="shared" si="85"/>
        <v>5</v>
      </c>
      <c r="AD695" s="3" t="s">
        <v>2752</v>
      </c>
      <c r="AE695" s="22">
        <v>-76.930000000000007</v>
      </c>
      <c r="AF695" s="22">
        <f t="shared" si="83"/>
        <v>-76.930000000000007</v>
      </c>
      <c r="AG695" s="1">
        <v>-99.7</v>
      </c>
      <c r="AH695" s="2" t="s">
        <v>16</v>
      </c>
      <c r="AI695"/>
      <c r="AJ695" s="3">
        <f t="shared" si="84"/>
        <v>8</v>
      </c>
      <c r="AK695" s="3" t="s">
        <v>2706</v>
      </c>
      <c r="AL695">
        <v>8</v>
      </c>
      <c r="AM695" t="s">
        <v>15</v>
      </c>
    </row>
    <row r="696" spans="1:39" hidden="1" x14ac:dyDescent="0.3">
      <c r="A696" s="51" t="s">
        <v>2436</v>
      </c>
      <c r="B696" s="54" t="s">
        <v>1053</v>
      </c>
      <c r="C696" s="51" t="s">
        <v>2765</v>
      </c>
      <c r="D696" s="53">
        <v>0</v>
      </c>
      <c r="E696" s="53">
        <v>1</v>
      </c>
      <c r="F696" s="51" t="s">
        <v>2715</v>
      </c>
      <c r="G696" s="51" t="s">
        <v>2695</v>
      </c>
      <c r="H696" s="25" t="str">
        <f t="shared" si="86"/>
        <v>jgd</v>
      </c>
      <c r="I696" t="s">
        <v>13</v>
      </c>
      <c r="J696" t="s">
        <v>2437</v>
      </c>
      <c r="K696" t="s">
        <v>2438</v>
      </c>
      <c r="L696" s="25">
        <v>47.086353629999998</v>
      </c>
      <c r="M696" s="25">
        <v>6.8882914030000002</v>
      </c>
      <c r="N696">
        <v>6</v>
      </c>
      <c r="O696">
        <v>19</v>
      </c>
      <c r="P696">
        <v>10</v>
      </c>
      <c r="Q696">
        <v>2017</v>
      </c>
      <c r="R696" s="9">
        <v>43027</v>
      </c>
      <c r="S696">
        <v>299</v>
      </c>
      <c r="T696">
        <v>1</v>
      </c>
      <c r="U696">
        <v>0</v>
      </c>
      <c r="V696">
        <v>0</v>
      </c>
      <c r="W696">
        <v>0</v>
      </c>
      <c r="X696" s="57">
        <f t="shared" si="87"/>
        <v>-65.863560124999992</v>
      </c>
      <c r="Y696" t="s">
        <v>16</v>
      </c>
      <c r="Z696">
        <v>7.676698902</v>
      </c>
      <c r="AA696" s="3">
        <f t="shared" si="82"/>
        <v>7</v>
      </c>
      <c r="AB696" s="3">
        <f t="shared" si="85"/>
        <v>8</v>
      </c>
      <c r="AD696" s="3" t="s">
        <v>2750</v>
      </c>
      <c r="AE696" s="22">
        <v>-76.910848099999995</v>
      </c>
      <c r="AF696" s="22">
        <f t="shared" si="83"/>
        <v>-76.910848099999995</v>
      </c>
      <c r="AG696" s="60" t="s">
        <v>16</v>
      </c>
      <c r="AH696" s="61" t="s">
        <v>16</v>
      </c>
      <c r="AJ696" s="3">
        <f t="shared" si="84"/>
        <v>8</v>
      </c>
      <c r="AK696" s="3" t="s">
        <v>2706</v>
      </c>
      <c r="AL696">
        <v>8</v>
      </c>
      <c r="AM696" t="s">
        <v>15</v>
      </c>
    </row>
    <row r="697" spans="1:39" x14ac:dyDescent="0.3">
      <c r="A697" s="51" t="s">
        <v>1171</v>
      </c>
      <c r="B697" s="54" t="s">
        <v>1172</v>
      </c>
      <c r="C697" s="51" t="s">
        <v>2765</v>
      </c>
      <c r="D697" s="53">
        <v>0</v>
      </c>
      <c r="E697" s="53">
        <v>1</v>
      </c>
      <c r="F697" s="51" t="s">
        <v>2715</v>
      </c>
      <c r="G697" s="51" t="s">
        <v>2695</v>
      </c>
      <c r="H697" s="25" t="str">
        <f t="shared" si="86"/>
        <v>jgd</v>
      </c>
      <c r="I697" t="s">
        <v>72</v>
      </c>
      <c r="J697" t="s">
        <v>298</v>
      </c>
      <c r="K697" t="s">
        <v>1166</v>
      </c>
      <c r="L697" s="25">
        <v>46.13713242</v>
      </c>
      <c r="M697" s="25">
        <v>8.9360206430000009</v>
      </c>
      <c r="N697">
        <v>5</v>
      </c>
      <c r="O697">
        <v>21</v>
      </c>
      <c r="P697">
        <v>10</v>
      </c>
      <c r="Q697">
        <v>2015</v>
      </c>
      <c r="R697" s="9">
        <v>42298</v>
      </c>
      <c r="S697">
        <v>320</v>
      </c>
      <c r="T697">
        <v>1</v>
      </c>
      <c r="U697">
        <v>0</v>
      </c>
      <c r="V697">
        <v>0</v>
      </c>
      <c r="W697">
        <v>0</v>
      </c>
      <c r="X697">
        <f t="shared" si="87"/>
        <v>-65.8125</v>
      </c>
      <c r="Y697">
        <v>-23.45618859</v>
      </c>
      <c r="Z697">
        <v>7.0992954099999999</v>
      </c>
      <c r="AA697" s="3">
        <f t="shared" si="82"/>
        <v>7</v>
      </c>
      <c r="AB697" s="3">
        <f t="shared" si="85"/>
        <v>7</v>
      </c>
      <c r="AD697" s="3" t="s">
        <v>2754</v>
      </c>
      <c r="AE697" s="22">
        <v>-76.87</v>
      </c>
      <c r="AF697" s="22">
        <f t="shared" si="83"/>
        <v>-76.87</v>
      </c>
      <c r="AG697" s="1">
        <v>-99.7</v>
      </c>
      <c r="AH697" s="2" t="s">
        <v>16</v>
      </c>
      <c r="AI697"/>
      <c r="AJ697" s="3">
        <f t="shared" si="84"/>
        <v>8</v>
      </c>
      <c r="AK697" s="3" t="s">
        <v>2706</v>
      </c>
      <c r="AL697">
        <v>8</v>
      </c>
      <c r="AM697" t="s">
        <v>15</v>
      </c>
    </row>
    <row r="698" spans="1:39" x14ac:dyDescent="0.3">
      <c r="A698" s="51" t="s">
        <v>2517</v>
      </c>
      <c r="B698" s="54" t="s">
        <v>1918</v>
      </c>
      <c r="C698" s="51" t="s">
        <v>2765</v>
      </c>
      <c r="D698" s="53">
        <v>0</v>
      </c>
      <c r="E698" s="53">
        <v>1</v>
      </c>
      <c r="F698" s="51" t="s">
        <v>2715</v>
      </c>
      <c r="G698" s="51" t="s">
        <v>2695</v>
      </c>
      <c r="H698" s="25" t="str">
        <f t="shared" si="86"/>
        <v>jgd</v>
      </c>
      <c r="I698" t="s">
        <v>72</v>
      </c>
      <c r="J698" t="s">
        <v>298</v>
      </c>
      <c r="K698" t="s">
        <v>2515</v>
      </c>
      <c r="L698" s="25">
        <v>46.130163000000003</v>
      </c>
      <c r="M698" s="25">
        <v>8.9639882790000005</v>
      </c>
      <c r="N698">
        <v>5</v>
      </c>
      <c r="O698">
        <v>2</v>
      </c>
      <c r="P698">
        <v>11</v>
      </c>
      <c r="Q698">
        <v>2017</v>
      </c>
      <c r="R698" s="9">
        <v>43041</v>
      </c>
      <c r="S698">
        <v>340</v>
      </c>
      <c r="T698">
        <v>1</v>
      </c>
      <c r="U698">
        <v>0</v>
      </c>
      <c r="V698">
        <v>0</v>
      </c>
      <c r="W698">
        <v>0</v>
      </c>
      <c r="X698" s="57">
        <f t="shared" si="87"/>
        <v>-65.715642000000003</v>
      </c>
      <c r="Y698" t="s">
        <v>16</v>
      </c>
      <c r="Z698">
        <v>6.2033232380000003</v>
      </c>
      <c r="AA698" s="3">
        <f t="shared" si="82"/>
        <v>7</v>
      </c>
      <c r="AB698" s="3">
        <f t="shared" si="85"/>
        <v>6</v>
      </c>
      <c r="AD698" s="3" t="s">
        <v>2754</v>
      </c>
      <c r="AE698" s="22">
        <v>-76.792513600000007</v>
      </c>
      <c r="AF698" s="22">
        <f t="shared" si="83"/>
        <v>-76.792513600000007</v>
      </c>
      <c r="AG698" s="60" t="s">
        <v>16</v>
      </c>
      <c r="AH698" s="61" t="s">
        <v>16</v>
      </c>
      <c r="AJ698" s="3">
        <f t="shared" si="84"/>
        <v>8</v>
      </c>
      <c r="AK698" s="3" t="s">
        <v>2706</v>
      </c>
      <c r="AL698">
        <v>8</v>
      </c>
      <c r="AM698" t="s">
        <v>15</v>
      </c>
    </row>
    <row r="699" spans="1:39" hidden="1" x14ac:dyDescent="0.3">
      <c r="A699" s="51" t="s">
        <v>2096</v>
      </c>
      <c r="B699" s="54" t="s">
        <v>2097</v>
      </c>
      <c r="C699" s="51" t="s">
        <v>2765</v>
      </c>
      <c r="D699" s="53">
        <v>0</v>
      </c>
      <c r="E699" s="53">
        <v>1</v>
      </c>
      <c r="F699" s="51" t="s">
        <v>2715</v>
      </c>
      <c r="G699" s="51" t="s">
        <v>2695</v>
      </c>
      <c r="H699" s="25" t="str">
        <f t="shared" si="86"/>
        <v>jgd</v>
      </c>
      <c r="I699" t="s">
        <v>30</v>
      </c>
      <c r="J699" t="s">
        <v>64</v>
      </c>
      <c r="K699" t="s">
        <v>2098</v>
      </c>
      <c r="L699" s="25">
        <v>46.657988150000001</v>
      </c>
      <c r="M699" s="25">
        <v>7.0270937949999999</v>
      </c>
      <c r="N699">
        <v>3</v>
      </c>
      <c r="O699">
        <v>21</v>
      </c>
      <c r="P699">
        <v>10</v>
      </c>
      <c r="Q699">
        <v>2017</v>
      </c>
      <c r="R699" s="9">
        <v>43029</v>
      </c>
      <c r="S699">
        <v>324</v>
      </c>
      <c r="T699">
        <v>1</v>
      </c>
      <c r="U699">
        <v>0</v>
      </c>
      <c r="V699">
        <v>0</v>
      </c>
      <c r="W699">
        <v>0</v>
      </c>
      <c r="X699" s="57">
        <f t="shared" si="87"/>
        <v>-65.680057000000005</v>
      </c>
      <c r="Y699" t="s">
        <v>16</v>
      </c>
      <c r="Z699">
        <v>6.4244729820000002</v>
      </c>
      <c r="AA699" s="3">
        <f t="shared" si="82"/>
        <v>7</v>
      </c>
      <c r="AB699" s="3">
        <f t="shared" si="85"/>
        <v>6</v>
      </c>
      <c r="AD699" s="3" t="s">
        <v>2751</v>
      </c>
      <c r="AE699" s="22">
        <v>-76.764045600000003</v>
      </c>
      <c r="AF699" s="22">
        <f t="shared" si="83"/>
        <v>-76.764045600000003</v>
      </c>
      <c r="AG699" s="60" t="s">
        <v>16</v>
      </c>
      <c r="AH699" s="61" t="s">
        <v>16</v>
      </c>
      <c r="AJ699" s="3">
        <f t="shared" si="84"/>
        <v>8</v>
      </c>
      <c r="AK699" s="3" t="s">
        <v>2706</v>
      </c>
      <c r="AL699">
        <v>8</v>
      </c>
      <c r="AM699" t="s">
        <v>15</v>
      </c>
    </row>
    <row r="700" spans="1:39" hidden="1" x14ac:dyDescent="0.3">
      <c r="A700" s="51" t="s">
        <v>501</v>
      </c>
      <c r="B700" s="54" t="s">
        <v>502</v>
      </c>
      <c r="C700" s="51" t="s">
        <v>2765</v>
      </c>
      <c r="D700" s="53">
        <v>0</v>
      </c>
      <c r="E700" s="53">
        <v>1</v>
      </c>
      <c r="F700" s="51" t="s">
        <v>2715</v>
      </c>
      <c r="G700" s="51" t="s">
        <v>2695</v>
      </c>
      <c r="H700" s="25" t="str">
        <f t="shared" si="86"/>
        <v>jgd</v>
      </c>
      <c r="I700" t="s">
        <v>385</v>
      </c>
      <c r="J700" t="s">
        <v>503</v>
      </c>
      <c r="K700" t="s">
        <v>504</v>
      </c>
      <c r="L700" s="25">
        <v>46.516327140000001</v>
      </c>
      <c r="M700" s="25">
        <v>6.2163138780000002</v>
      </c>
      <c r="N700">
        <v>4</v>
      </c>
      <c r="O700">
        <v>10</v>
      </c>
      <c r="P700">
        <v>10</v>
      </c>
      <c r="Q700">
        <v>2014</v>
      </c>
      <c r="R700" s="9">
        <v>41922</v>
      </c>
      <c r="S700">
        <v>385</v>
      </c>
      <c r="T700">
        <v>1</v>
      </c>
      <c r="U700">
        <v>0</v>
      </c>
      <c r="V700">
        <v>0</v>
      </c>
      <c r="W700">
        <v>0</v>
      </c>
      <c r="X700">
        <f t="shared" si="87"/>
        <v>-65.662499999999994</v>
      </c>
      <c r="Y700">
        <v>-23.614799999999999</v>
      </c>
      <c r="Z700">
        <v>1.9093675530000001</v>
      </c>
      <c r="AA700" s="3">
        <f t="shared" si="82"/>
        <v>7</v>
      </c>
      <c r="AB700" s="3">
        <f t="shared" si="85"/>
        <v>2</v>
      </c>
      <c r="AD700" s="3" t="s">
        <v>2750</v>
      </c>
      <c r="AE700" s="22">
        <v>-76.75</v>
      </c>
      <c r="AF700" s="22">
        <f t="shared" si="83"/>
        <v>-76.75</v>
      </c>
      <c r="AG700" s="1">
        <v>-99.5</v>
      </c>
      <c r="AH700" s="2" t="s">
        <v>16</v>
      </c>
      <c r="AI700"/>
      <c r="AJ700" s="3">
        <f t="shared" si="84"/>
        <v>8</v>
      </c>
      <c r="AK700" s="3" t="s">
        <v>2706</v>
      </c>
      <c r="AL700">
        <v>8</v>
      </c>
      <c r="AM700" t="s">
        <v>15</v>
      </c>
    </row>
    <row r="701" spans="1:39" x14ac:dyDescent="0.3">
      <c r="A701" s="51" t="s">
        <v>1522</v>
      </c>
      <c r="B701" s="54" t="s">
        <v>354</v>
      </c>
      <c r="C701" s="51" t="s">
        <v>2765</v>
      </c>
      <c r="D701" s="53">
        <v>0</v>
      </c>
      <c r="E701" s="53">
        <v>1</v>
      </c>
      <c r="F701" s="51" t="s">
        <v>2715</v>
      </c>
      <c r="G701" s="51" t="s">
        <v>2695</v>
      </c>
      <c r="H701" s="25" t="str">
        <f t="shared" si="86"/>
        <v>jgd</v>
      </c>
      <c r="I701" t="s">
        <v>72</v>
      </c>
      <c r="J701" t="s">
        <v>1310</v>
      </c>
      <c r="K701" t="s">
        <v>1523</v>
      </c>
      <c r="L701" s="25">
        <v>46.210431149999998</v>
      </c>
      <c r="M701" s="25">
        <v>8.6913148180000004</v>
      </c>
      <c r="N701">
        <v>6</v>
      </c>
      <c r="O701">
        <v>8</v>
      </c>
      <c r="P701">
        <v>11</v>
      </c>
      <c r="Q701">
        <v>2016</v>
      </c>
      <c r="R701" s="9">
        <v>42682</v>
      </c>
      <c r="S701">
        <v>335</v>
      </c>
      <c r="T701">
        <v>1</v>
      </c>
      <c r="U701">
        <v>0</v>
      </c>
      <c r="V701">
        <v>0</v>
      </c>
      <c r="W701">
        <v>0</v>
      </c>
      <c r="X701" s="57">
        <f t="shared" si="87"/>
        <v>-65.594988374999986</v>
      </c>
      <c r="Y701">
        <v>-23.49</v>
      </c>
      <c r="Z701">
        <v>5.81</v>
      </c>
      <c r="AA701" s="3">
        <f t="shared" si="82"/>
        <v>7</v>
      </c>
      <c r="AB701" s="3">
        <f t="shared" si="85"/>
        <v>6</v>
      </c>
      <c r="AD701" s="3" t="s">
        <v>2754</v>
      </c>
      <c r="AE701" s="22">
        <v>-76.695990699999996</v>
      </c>
      <c r="AF701" s="22">
        <f t="shared" si="83"/>
        <v>-76.695990699999996</v>
      </c>
      <c r="AG701" s="60" t="s">
        <v>16</v>
      </c>
      <c r="AH701" s="61" t="s">
        <v>16</v>
      </c>
      <c r="AJ701" s="3">
        <f t="shared" si="84"/>
        <v>8</v>
      </c>
      <c r="AK701" s="3" t="s">
        <v>2706</v>
      </c>
      <c r="AL701">
        <v>8</v>
      </c>
      <c r="AM701" t="s">
        <v>15</v>
      </c>
    </row>
    <row r="702" spans="1:39" x14ac:dyDescent="0.3">
      <c r="A702" s="51" t="s">
        <v>1934</v>
      </c>
      <c r="B702" s="54" t="s">
        <v>1935</v>
      </c>
      <c r="C702" s="51" t="s">
        <v>2765</v>
      </c>
      <c r="D702" s="53">
        <v>0</v>
      </c>
      <c r="E702" s="53">
        <v>1</v>
      </c>
      <c r="F702" s="51" t="s">
        <v>2715</v>
      </c>
      <c r="G702" s="51" t="s">
        <v>2695</v>
      </c>
      <c r="H702" s="25" t="str">
        <f t="shared" si="86"/>
        <v>jgd</v>
      </c>
      <c r="I702" t="s">
        <v>72</v>
      </c>
      <c r="J702" t="s">
        <v>694</v>
      </c>
      <c r="K702" t="s">
        <v>1916</v>
      </c>
      <c r="L702" s="25">
        <v>46.13543464</v>
      </c>
      <c r="M702" s="25">
        <v>8.9283383280000006</v>
      </c>
      <c r="N702">
        <v>5</v>
      </c>
      <c r="O702">
        <v>30</v>
      </c>
      <c r="P702">
        <v>11</v>
      </c>
      <c r="Q702">
        <v>2016</v>
      </c>
      <c r="R702" s="9">
        <v>42704</v>
      </c>
      <c r="S702">
        <v>280</v>
      </c>
      <c r="T702">
        <v>1</v>
      </c>
      <c r="U702">
        <v>0</v>
      </c>
      <c r="V702">
        <v>0</v>
      </c>
      <c r="W702">
        <v>0</v>
      </c>
      <c r="X702" s="57">
        <f t="shared" si="87"/>
        <v>-65.51379799999998</v>
      </c>
      <c r="Y702">
        <v>-24.01</v>
      </c>
      <c r="Z702">
        <v>6.15</v>
      </c>
      <c r="AA702" s="3">
        <f t="shared" si="82"/>
        <v>7</v>
      </c>
      <c r="AB702" s="3">
        <f t="shared" si="85"/>
        <v>6</v>
      </c>
      <c r="AD702" s="3" t="s">
        <v>2754</v>
      </c>
      <c r="AE702" s="22">
        <v>-76.631038399999994</v>
      </c>
      <c r="AF702" s="22">
        <f t="shared" si="83"/>
        <v>-76.631038399999994</v>
      </c>
      <c r="AG702" s="60" t="s">
        <v>16</v>
      </c>
      <c r="AH702" s="61" t="s">
        <v>16</v>
      </c>
      <c r="AJ702" s="3">
        <f t="shared" si="84"/>
        <v>8</v>
      </c>
      <c r="AK702" s="3" t="s">
        <v>2706</v>
      </c>
      <c r="AL702">
        <v>8</v>
      </c>
      <c r="AM702" t="s">
        <v>15</v>
      </c>
    </row>
    <row r="703" spans="1:39" x14ac:dyDescent="0.3">
      <c r="A703" s="51" t="s">
        <v>1656</v>
      </c>
      <c r="B703" s="54" t="s">
        <v>1657</v>
      </c>
      <c r="C703" s="51" t="s">
        <v>2765</v>
      </c>
      <c r="D703" s="53">
        <v>0</v>
      </c>
      <c r="E703" s="53">
        <v>1</v>
      </c>
      <c r="F703" s="51" t="s">
        <v>2715</v>
      </c>
      <c r="G703" s="51" t="s">
        <v>2695</v>
      </c>
      <c r="H703" s="25" t="str">
        <f t="shared" si="86"/>
        <v>jgd</v>
      </c>
      <c r="I703" t="s">
        <v>72</v>
      </c>
      <c r="J703" t="s">
        <v>931</v>
      </c>
      <c r="K703" t="s">
        <v>16</v>
      </c>
      <c r="L703" s="25">
        <v>46.055440760000003</v>
      </c>
      <c r="M703" s="25">
        <v>8.8806686520000007</v>
      </c>
      <c r="N703">
        <v>2</v>
      </c>
      <c r="O703">
        <v>8</v>
      </c>
      <c r="P703">
        <v>11</v>
      </c>
      <c r="Q703">
        <v>2016</v>
      </c>
      <c r="R703" s="9">
        <v>42682</v>
      </c>
      <c r="S703">
        <v>330</v>
      </c>
      <c r="T703">
        <v>1</v>
      </c>
      <c r="U703">
        <v>0</v>
      </c>
      <c r="V703">
        <v>0</v>
      </c>
      <c r="W703">
        <v>0</v>
      </c>
      <c r="X703" s="57">
        <f t="shared" si="87"/>
        <v>-65.438676749999985</v>
      </c>
      <c r="Y703">
        <v>-23.48</v>
      </c>
      <c r="Z703">
        <v>2.89</v>
      </c>
      <c r="AA703" s="3">
        <f t="shared" si="82"/>
        <v>7</v>
      </c>
      <c r="AB703" s="3">
        <f t="shared" si="85"/>
        <v>3</v>
      </c>
      <c r="AD703" s="3" t="s">
        <v>2754</v>
      </c>
      <c r="AE703" s="22">
        <v>-76.570941399999995</v>
      </c>
      <c r="AF703" s="22">
        <f t="shared" si="83"/>
        <v>-76.570941399999995</v>
      </c>
      <c r="AG703" s="60" t="s">
        <v>16</v>
      </c>
      <c r="AH703" s="61" t="s">
        <v>16</v>
      </c>
      <c r="AJ703" s="3">
        <f t="shared" si="84"/>
        <v>8</v>
      </c>
      <c r="AK703" s="3" t="s">
        <v>2706</v>
      </c>
      <c r="AL703">
        <v>8</v>
      </c>
      <c r="AM703" t="s">
        <v>15</v>
      </c>
    </row>
    <row r="704" spans="1:39" x14ac:dyDescent="0.3">
      <c r="A704" s="51" t="s">
        <v>1895</v>
      </c>
      <c r="B704" s="54" t="s">
        <v>1896</v>
      </c>
      <c r="C704" s="51" t="s">
        <v>2765</v>
      </c>
      <c r="D704" s="53">
        <v>0</v>
      </c>
      <c r="E704" s="53">
        <v>1</v>
      </c>
      <c r="F704" s="51" t="s">
        <v>2715</v>
      </c>
      <c r="G704" s="51" t="s">
        <v>2695</v>
      </c>
      <c r="H704" s="25" t="str">
        <f t="shared" si="86"/>
        <v>jgd</v>
      </c>
      <c r="I704" t="s">
        <v>72</v>
      </c>
      <c r="J704" t="s">
        <v>1897</v>
      </c>
      <c r="K704" t="s">
        <v>1898</v>
      </c>
      <c r="L704" s="25">
        <v>46.050680630000002</v>
      </c>
      <c r="M704" s="25">
        <v>8.8371781810000005</v>
      </c>
      <c r="N704">
        <v>6</v>
      </c>
      <c r="O704">
        <v>29</v>
      </c>
      <c r="P704">
        <v>10</v>
      </c>
      <c r="Q704">
        <v>2016</v>
      </c>
      <c r="R704" s="9">
        <v>42672</v>
      </c>
      <c r="S704">
        <v>326</v>
      </c>
      <c r="T704">
        <v>1</v>
      </c>
      <c r="U704">
        <v>0</v>
      </c>
      <c r="V704">
        <v>0</v>
      </c>
      <c r="W704">
        <v>0</v>
      </c>
      <c r="X704" s="57">
        <f t="shared" si="87"/>
        <v>-65.369669750000014</v>
      </c>
      <c r="Y704">
        <v>-23.82</v>
      </c>
      <c r="Z704">
        <v>6.47</v>
      </c>
      <c r="AA704" s="3">
        <f t="shared" si="82"/>
        <v>7</v>
      </c>
      <c r="AB704" s="3">
        <f t="shared" si="85"/>
        <v>6</v>
      </c>
      <c r="AD704" s="3" t="s">
        <v>2754</v>
      </c>
      <c r="AE704" s="22">
        <v>-76.515735800000002</v>
      </c>
      <c r="AF704" s="22">
        <f t="shared" si="83"/>
        <v>-76.515735800000002</v>
      </c>
      <c r="AG704" s="60" t="s">
        <v>16</v>
      </c>
      <c r="AH704" s="61" t="s">
        <v>16</v>
      </c>
      <c r="AJ704" s="3">
        <f t="shared" si="84"/>
        <v>8</v>
      </c>
      <c r="AK704" s="3" t="s">
        <v>2706</v>
      </c>
      <c r="AL704">
        <v>8</v>
      </c>
      <c r="AM704" t="s">
        <v>15</v>
      </c>
    </row>
    <row r="705" spans="1:39" hidden="1" x14ac:dyDescent="0.3">
      <c r="A705" s="51" t="s">
        <v>82</v>
      </c>
      <c r="B705" s="54" t="s">
        <v>83</v>
      </c>
      <c r="C705" s="51" t="s">
        <v>2765</v>
      </c>
      <c r="D705" s="53">
        <v>0</v>
      </c>
      <c r="E705" s="53">
        <v>1</v>
      </c>
      <c r="F705" s="51" t="s">
        <v>2715</v>
      </c>
      <c r="G705" s="51" t="s">
        <v>2695</v>
      </c>
      <c r="H705" s="25" t="str">
        <f t="shared" si="86"/>
        <v>jgd</v>
      </c>
      <c r="I705" t="s">
        <v>13</v>
      </c>
      <c r="J705" t="s">
        <v>84</v>
      </c>
      <c r="K705" t="s">
        <v>85</v>
      </c>
      <c r="L705" s="25">
        <v>46.9300785</v>
      </c>
      <c r="M705" s="25">
        <v>6.4918736959999999</v>
      </c>
      <c r="N705">
        <v>4</v>
      </c>
      <c r="O705">
        <v>31</v>
      </c>
      <c r="P705">
        <v>10</v>
      </c>
      <c r="Q705">
        <v>2013</v>
      </c>
      <c r="R705" s="9">
        <v>41578</v>
      </c>
      <c r="S705">
        <v>300</v>
      </c>
      <c r="T705">
        <v>1</v>
      </c>
      <c r="U705">
        <v>0</v>
      </c>
      <c r="V705">
        <v>0</v>
      </c>
      <c r="W705">
        <v>0</v>
      </c>
      <c r="X705">
        <f t="shared" si="87"/>
        <v>-65.349999999999994</v>
      </c>
      <c r="Y705">
        <v>-39.497540720000003</v>
      </c>
      <c r="Z705">
        <v>3.948775355</v>
      </c>
      <c r="AA705" s="3">
        <f t="shared" si="82"/>
        <v>7</v>
      </c>
      <c r="AB705" s="3">
        <f t="shared" si="85"/>
        <v>4</v>
      </c>
      <c r="AD705" s="3" t="s">
        <v>2750</v>
      </c>
      <c r="AE705" s="22">
        <v>-76.5</v>
      </c>
      <c r="AF705" s="22">
        <f t="shared" si="83"/>
        <v>-76.5</v>
      </c>
      <c r="AG705" s="1">
        <v>-99.3</v>
      </c>
      <c r="AH705" s="2" t="s">
        <v>16</v>
      </c>
      <c r="AI705"/>
      <c r="AJ705" s="3">
        <f t="shared" si="84"/>
        <v>8</v>
      </c>
      <c r="AK705" s="3" t="s">
        <v>2706</v>
      </c>
      <c r="AL705">
        <v>8</v>
      </c>
      <c r="AM705" t="s">
        <v>15</v>
      </c>
    </row>
    <row r="706" spans="1:39" x14ac:dyDescent="0.3">
      <c r="A706" s="51" t="s">
        <v>1967</v>
      </c>
      <c r="B706" s="54" t="s">
        <v>1968</v>
      </c>
      <c r="C706" s="51" t="s">
        <v>2765</v>
      </c>
      <c r="D706" s="53">
        <v>0</v>
      </c>
      <c r="E706" s="53">
        <v>1</v>
      </c>
      <c r="F706" s="51" t="s">
        <v>2715</v>
      </c>
      <c r="G706" s="51" t="s">
        <v>2695</v>
      </c>
      <c r="H706" s="25" t="str">
        <f t="shared" si="86"/>
        <v>jgd</v>
      </c>
      <c r="I706" t="s">
        <v>72</v>
      </c>
      <c r="J706" t="s">
        <v>1473</v>
      </c>
      <c r="K706" t="s">
        <v>1474</v>
      </c>
      <c r="L706" s="25">
        <v>45.895310549999998</v>
      </c>
      <c r="M706" s="25">
        <v>9.081575677</v>
      </c>
      <c r="N706">
        <v>5</v>
      </c>
      <c r="O706">
        <v>2</v>
      </c>
      <c r="P706">
        <v>11</v>
      </c>
      <c r="Q706">
        <v>2016</v>
      </c>
      <c r="R706" s="9">
        <v>42676</v>
      </c>
      <c r="S706">
        <v>325</v>
      </c>
      <c r="T706">
        <v>1</v>
      </c>
      <c r="U706">
        <v>0</v>
      </c>
      <c r="V706">
        <v>0</v>
      </c>
      <c r="W706">
        <v>0</v>
      </c>
      <c r="X706" s="57">
        <f t="shared" si="87"/>
        <v>-65.342563750000011</v>
      </c>
      <c r="Y706">
        <v>-23.31</v>
      </c>
      <c r="Z706">
        <v>6.3</v>
      </c>
      <c r="AA706" s="3">
        <f t="shared" si="82"/>
        <v>7</v>
      </c>
      <c r="AB706" s="3">
        <f t="shared" si="85"/>
        <v>6</v>
      </c>
      <c r="AD706" s="3" t="s">
        <v>2754</v>
      </c>
      <c r="AE706" s="22">
        <v>-76.494050999999999</v>
      </c>
      <c r="AF706" s="22">
        <f t="shared" si="83"/>
        <v>-76.494050999999999</v>
      </c>
      <c r="AG706" s="60" t="s">
        <v>16</v>
      </c>
      <c r="AH706" s="61" t="s">
        <v>16</v>
      </c>
      <c r="AJ706" s="3">
        <f t="shared" si="84"/>
        <v>8</v>
      </c>
      <c r="AK706" s="3" t="s">
        <v>2706</v>
      </c>
      <c r="AL706">
        <v>8</v>
      </c>
      <c r="AM706" t="s">
        <v>15</v>
      </c>
    </row>
    <row r="707" spans="1:39" hidden="1" x14ac:dyDescent="0.3">
      <c r="A707" s="51" t="s">
        <v>2055</v>
      </c>
      <c r="B707" s="54" t="s">
        <v>2056</v>
      </c>
      <c r="C707" s="51" t="s">
        <v>2765</v>
      </c>
      <c r="D707" s="53">
        <v>0</v>
      </c>
      <c r="E707" s="53">
        <v>1</v>
      </c>
      <c r="F707" s="51" t="s">
        <v>2715</v>
      </c>
      <c r="G707" s="51" t="s">
        <v>2695</v>
      </c>
      <c r="H707" s="25" t="str">
        <f t="shared" si="86"/>
        <v>jgd</v>
      </c>
      <c r="I707" t="s">
        <v>30</v>
      </c>
      <c r="J707" t="s">
        <v>2057</v>
      </c>
      <c r="K707" t="s">
        <v>16</v>
      </c>
      <c r="L707" s="25">
        <v>46.734150210000003</v>
      </c>
      <c r="M707" s="25">
        <v>6.9382779509999999</v>
      </c>
      <c r="N707">
        <v>5</v>
      </c>
      <c r="O707">
        <v>10</v>
      </c>
      <c r="P707">
        <v>11</v>
      </c>
      <c r="Q707">
        <v>2016</v>
      </c>
      <c r="R707" s="9">
        <v>42684</v>
      </c>
      <c r="S707">
        <v>318</v>
      </c>
      <c r="T707">
        <v>1</v>
      </c>
      <c r="U707">
        <v>0</v>
      </c>
      <c r="V707">
        <v>0</v>
      </c>
      <c r="W707">
        <v>0</v>
      </c>
      <c r="X707" s="57">
        <f t="shared" si="87"/>
        <v>-65.298778999999996</v>
      </c>
      <c r="Y707">
        <v>-22.76</v>
      </c>
      <c r="Z707">
        <v>4.79</v>
      </c>
      <c r="AA707" s="3">
        <f t="shared" si="82"/>
        <v>7</v>
      </c>
      <c r="AB707" s="3">
        <f t="shared" si="85"/>
        <v>5</v>
      </c>
      <c r="AD707" s="3" t="s">
        <v>2751</v>
      </c>
      <c r="AE707" s="22">
        <v>-76.459023200000004</v>
      </c>
      <c r="AF707" s="22">
        <f t="shared" si="83"/>
        <v>-76.459023200000004</v>
      </c>
      <c r="AG707" s="60" t="s">
        <v>16</v>
      </c>
      <c r="AH707" s="61" t="s">
        <v>16</v>
      </c>
      <c r="AJ707" s="3">
        <f t="shared" si="84"/>
        <v>8</v>
      </c>
      <c r="AK707" s="3" t="s">
        <v>2706</v>
      </c>
      <c r="AL707">
        <v>8</v>
      </c>
      <c r="AM707" t="s">
        <v>15</v>
      </c>
    </row>
    <row r="708" spans="1:39" x14ac:dyDescent="0.3">
      <c r="A708" s="51" t="s">
        <v>1445</v>
      </c>
      <c r="B708" s="54" t="s">
        <v>1446</v>
      </c>
      <c r="C708" s="51" t="s">
        <v>2765</v>
      </c>
      <c r="D708" s="53">
        <v>0</v>
      </c>
      <c r="E708" s="53">
        <v>1</v>
      </c>
      <c r="F708" s="51" t="s">
        <v>2715</v>
      </c>
      <c r="G708" s="51" t="s">
        <v>2695</v>
      </c>
      <c r="H708" s="25" t="str">
        <f t="shared" si="86"/>
        <v>jgd</v>
      </c>
      <c r="I708" t="s">
        <v>72</v>
      </c>
      <c r="J708" t="s">
        <v>694</v>
      </c>
      <c r="K708" t="s">
        <v>1447</v>
      </c>
      <c r="L708" s="25">
        <v>46.121189579999999</v>
      </c>
      <c r="M708" s="25">
        <v>8.9031075770000001</v>
      </c>
      <c r="N708">
        <v>4</v>
      </c>
      <c r="O708">
        <v>17</v>
      </c>
      <c r="P708">
        <v>11</v>
      </c>
      <c r="Q708">
        <v>2016</v>
      </c>
      <c r="R708" s="9">
        <v>42691</v>
      </c>
      <c r="S708">
        <v>300</v>
      </c>
      <c r="T708">
        <v>1</v>
      </c>
      <c r="U708">
        <v>0</v>
      </c>
      <c r="V708">
        <v>0</v>
      </c>
      <c r="W708">
        <v>0</v>
      </c>
      <c r="X708" s="57">
        <f t="shared" si="87"/>
        <v>-65.169084999999995</v>
      </c>
      <c r="Y708">
        <v>-24.17</v>
      </c>
      <c r="Z708">
        <v>5.97</v>
      </c>
      <c r="AA708" s="3">
        <f t="shared" si="82"/>
        <v>7</v>
      </c>
      <c r="AB708" s="3">
        <f t="shared" si="85"/>
        <v>6</v>
      </c>
      <c r="AD708" s="3" t="s">
        <v>2754</v>
      </c>
      <c r="AE708" s="22">
        <v>-76.355267999999995</v>
      </c>
      <c r="AF708" s="22">
        <f t="shared" si="83"/>
        <v>-76.355267999999995</v>
      </c>
      <c r="AG708" s="60" t="s">
        <v>16</v>
      </c>
      <c r="AH708" s="61" t="s">
        <v>16</v>
      </c>
      <c r="AJ708" s="3">
        <f t="shared" si="84"/>
        <v>8</v>
      </c>
      <c r="AK708" s="3" t="s">
        <v>2706</v>
      </c>
      <c r="AL708">
        <v>8</v>
      </c>
      <c r="AM708" t="s">
        <v>15</v>
      </c>
    </row>
    <row r="709" spans="1:39" x14ac:dyDescent="0.3">
      <c r="A709" s="51" t="s">
        <v>710</v>
      </c>
      <c r="B709" s="54" t="s">
        <v>711</v>
      </c>
      <c r="C709" s="51" t="s">
        <v>2765</v>
      </c>
      <c r="D709" s="53">
        <v>0</v>
      </c>
      <c r="E709" s="53">
        <v>1</v>
      </c>
      <c r="F709" s="51" t="s">
        <v>2715</v>
      </c>
      <c r="G709" s="51" t="s">
        <v>2695</v>
      </c>
      <c r="H709" s="25" t="str">
        <f t="shared" si="86"/>
        <v>jgd</v>
      </c>
      <c r="I709" t="s">
        <v>72</v>
      </c>
      <c r="J709" t="s">
        <v>712</v>
      </c>
      <c r="K709" t="s">
        <v>713</v>
      </c>
      <c r="L709" s="25">
        <v>46.495552940000003</v>
      </c>
      <c r="M709" s="25">
        <v>8.7844342060000002</v>
      </c>
      <c r="N709">
        <v>5</v>
      </c>
      <c r="O709">
        <v>29</v>
      </c>
      <c r="P709">
        <v>10</v>
      </c>
      <c r="Q709">
        <v>2015</v>
      </c>
      <c r="R709" s="9">
        <v>42306</v>
      </c>
      <c r="S709">
        <v>290</v>
      </c>
      <c r="T709">
        <v>1</v>
      </c>
      <c r="U709">
        <v>0</v>
      </c>
      <c r="V709">
        <v>0</v>
      </c>
      <c r="W709">
        <v>0</v>
      </c>
      <c r="X709">
        <f t="shared" si="87"/>
        <v>-64.962500000000006</v>
      </c>
      <c r="Y709">
        <v>-24.2834</v>
      </c>
      <c r="Z709">
        <v>5.7458810219999998</v>
      </c>
      <c r="AA709" s="3">
        <f t="shared" si="82"/>
        <v>6</v>
      </c>
      <c r="AB709" s="3">
        <f t="shared" si="85"/>
        <v>6</v>
      </c>
      <c r="AD709" s="3" t="s">
        <v>2754</v>
      </c>
      <c r="AE709" s="22">
        <v>-76.19</v>
      </c>
      <c r="AF709" s="22">
        <f t="shared" si="83"/>
        <v>-76.19</v>
      </c>
      <c r="AG709" s="1">
        <v>-99</v>
      </c>
      <c r="AH709" s="2" t="s">
        <v>16</v>
      </c>
      <c r="AI709"/>
      <c r="AJ709" s="3">
        <f t="shared" si="84"/>
        <v>8</v>
      </c>
      <c r="AK709" s="3" t="s">
        <v>2706</v>
      </c>
      <c r="AL709">
        <v>8</v>
      </c>
      <c r="AM709" t="s">
        <v>15</v>
      </c>
    </row>
    <row r="710" spans="1:39" x14ac:dyDescent="0.3">
      <c r="A710" s="51" t="s">
        <v>952</v>
      </c>
      <c r="B710" s="54" t="s">
        <v>953</v>
      </c>
      <c r="C710" s="51" t="s">
        <v>2765</v>
      </c>
      <c r="D710" s="53">
        <v>0</v>
      </c>
      <c r="E710" s="53">
        <v>1</v>
      </c>
      <c r="F710" s="51" t="s">
        <v>2715</v>
      </c>
      <c r="G710" s="51" t="s">
        <v>2695</v>
      </c>
      <c r="H710" s="25" t="str">
        <f t="shared" si="86"/>
        <v>jgd</v>
      </c>
      <c r="I710" t="s">
        <v>72</v>
      </c>
      <c r="J710" t="s">
        <v>931</v>
      </c>
      <c r="K710" t="s">
        <v>954</v>
      </c>
      <c r="L710" s="25">
        <v>46.049433579999999</v>
      </c>
      <c r="M710" s="25">
        <v>8.8769309070000002</v>
      </c>
      <c r="N710">
        <v>5</v>
      </c>
      <c r="O710">
        <v>8</v>
      </c>
      <c r="P710">
        <v>11</v>
      </c>
      <c r="Q710">
        <v>2015</v>
      </c>
      <c r="R710" s="9">
        <v>42316</v>
      </c>
      <c r="S710">
        <v>298</v>
      </c>
      <c r="T710">
        <v>1</v>
      </c>
      <c r="U710">
        <v>0</v>
      </c>
      <c r="V710">
        <v>0</v>
      </c>
      <c r="W710">
        <v>0</v>
      </c>
      <c r="X710">
        <f t="shared" si="87"/>
        <v>-64.912499999999994</v>
      </c>
      <c r="Y710">
        <v>-24.116199999999999</v>
      </c>
      <c r="Z710">
        <v>3.7377188330000002</v>
      </c>
      <c r="AA710" s="3">
        <f t="shared" si="82"/>
        <v>6</v>
      </c>
      <c r="AB710" s="3">
        <f t="shared" si="85"/>
        <v>4</v>
      </c>
      <c r="AD710" s="3" t="s">
        <v>2754</v>
      </c>
      <c r="AE710" s="22">
        <v>-76.150000000000006</v>
      </c>
      <c r="AF710" s="22">
        <f t="shared" si="83"/>
        <v>-76.150000000000006</v>
      </c>
      <c r="AG710" s="1">
        <v>-98.9</v>
      </c>
      <c r="AH710" s="2" t="s">
        <v>16</v>
      </c>
      <c r="AI710"/>
      <c r="AJ710" s="3">
        <f t="shared" si="84"/>
        <v>8</v>
      </c>
      <c r="AK710" s="3" t="s">
        <v>2706</v>
      </c>
      <c r="AL710">
        <v>8</v>
      </c>
      <c r="AM710" t="s">
        <v>15</v>
      </c>
    </row>
    <row r="711" spans="1:39" x14ac:dyDescent="0.3">
      <c r="A711" s="51" t="s">
        <v>1518</v>
      </c>
      <c r="B711" s="54" t="s">
        <v>349</v>
      </c>
      <c r="C711" s="51" t="s">
        <v>2765</v>
      </c>
      <c r="D711" s="53">
        <v>0</v>
      </c>
      <c r="E711" s="53">
        <v>1</v>
      </c>
      <c r="F711" s="51" t="s">
        <v>2715</v>
      </c>
      <c r="G711" s="51" t="s">
        <v>2695</v>
      </c>
      <c r="H711" s="25" t="str">
        <f t="shared" si="86"/>
        <v>jgd</v>
      </c>
      <c r="I711" t="s">
        <v>72</v>
      </c>
      <c r="J711" t="s">
        <v>1310</v>
      </c>
      <c r="K711" t="s">
        <v>1519</v>
      </c>
      <c r="L711" s="25">
        <v>46.21789699</v>
      </c>
      <c r="M711" s="25">
        <v>8.6643595569999992</v>
      </c>
      <c r="N711">
        <v>6</v>
      </c>
      <c r="O711">
        <v>23</v>
      </c>
      <c r="P711">
        <v>10</v>
      </c>
      <c r="Q711">
        <v>2016</v>
      </c>
      <c r="R711" s="9">
        <v>42666</v>
      </c>
      <c r="S711">
        <v>284</v>
      </c>
      <c r="T711">
        <v>1</v>
      </c>
      <c r="U711">
        <v>0</v>
      </c>
      <c r="V711">
        <v>0</v>
      </c>
      <c r="W711">
        <v>0</v>
      </c>
      <c r="X711" s="57">
        <f t="shared" si="87"/>
        <v>-64.87329112499998</v>
      </c>
      <c r="Y711">
        <v>-24.8</v>
      </c>
      <c r="Z711">
        <v>6.96</v>
      </c>
      <c r="AA711" s="3">
        <f t="shared" si="82"/>
        <v>6</v>
      </c>
      <c r="AB711" s="3">
        <f t="shared" si="85"/>
        <v>7</v>
      </c>
      <c r="AD711" s="3" t="s">
        <v>2754</v>
      </c>
      <c r="AE711" s="22">
        <v>-76.118632899999994</v>
      </c>
      <c r="AF711" s="22">
        <f t="shared" si="83"/>
        <v>-76.118632899999994</v>
      </c>
      <c r="AG711" s="60" t="s">
        <v>16</v>
      </c>
      <c r="AH711" s="61" t="s">
        <v>16</v>
      </c>
      <c r="AJ711" s="3">
        <f t="shared" si="84"/>
        <v>8</v>
      </c>
      <c r="AK711" s="3" t="s">
        <v>2706</v>
      </c>
      <c r="AL711">
        <v>8</v>
      </c>
      <c r="AM711" t="s">
        <v>15</v>
      </c>
    </row>
    <row r="712" spans="1:39" x14ac:dyDescent="0.3">
      <c r="A712" s="51" t="s">
        <v>1691</v>
      </c>
      <c r="B712" s="54" t="s">
        <v>412</v>
      </c>
      <c r="C712" s="51" t="s">
        <v>2765</v>
      </c>
      <c r="D712" s="53">
        <v>0</v>
      </c>
      <c r="E712" s="53">
        <v>1</v>
      </c>
      <c r="F712" s="51" t="s">
        <v>2715</v>
      </c>
      <c r="G712" s="51" t="s">
        <v>2695</v>
      </c>
      <c r="H712" s="25" t="str">
        <f t="shared" si="86"/>
        <v>jgd</v>
      </c>
      <c r="I712" t="s">
        <v>72</v>
      </c>
      <c r="J712" t="s">
        <v>155</v>
      </c>
      <c r="K712" t="s">
        <v>165</v>
      </c>
      <c r="L712" s="25">
        <v>46.116741730000001</v>
      </c>
      <c r="M712" s="25">
        <v>8.8279521219999992</v>
      </c>
      <c r="N712">
        <v>4</v>
      </c>
      <c r="O712">
        <v>17</v>
      </c>
      <c r="P712">
        <v>11</v>
      </c>
      <c r="Q712">
        <v>2016</v>
      </c>
      <c r="R712" s="9">
        <v>42691</v>
      </c>
      <c r="S712">
        <v>353</v>
      </c>
      <c r="T712">
        <v>1</v>
      </c>
      <c r="U712">
        <v>0</v>
      </c>
      <c r="V712">
        <v>0</v>
      </c>
      <c r="W712">
        <v>0</v>
      </c>
      <c r="X712" s="57">
        <f t="shared" si="87"/>
        <v>-64.801611750000006</v>
      </c>
      <c r="Y712">
        <v>-23.5</v>
      </c>
      <c r="Z712">
        <v>6.04</v>
      </c>
      <c r="AA712" s="3">
        <f t="shared" si="82"/>
        <v>6</v>
      </c>
      <c r="AB712" s="3">
        <f t="shared" si="85"/>
        <v>6</v>
      </c>
      <c r="AD712" s="3" t="s">
        <v>2754</v>
      </c>
      <c r="AE712" s="22">
        <v>-76.061289400000007</v>
      </c>
      <c r="AF712" s="22">
        <f t="shared" si="83"/>
        <v>-76.061289400000007</v>
      </c>
      <c r="AG712" s="60" t="s">
        <v>16</v>
      </c>
      <c r="AH712" s="61" t="s">
        <v>16</v>
      </c>
      <c r="AJ712" s="3">
        <f t="shared" si="84"/>
        <v>8</v>
      </c>
      <c r="AK712" s="3" t="s">
        <v>2706</v>
      </c>
      <c r="AL712">
        <v>8</v>
      </c>
      <c r="AM712" t="s">
        <v>15</v>
      </c>
    </row>
    <row r="713" spans="1:39" x14ac:dyDescent="0.3">
      <c r="A713" s="51" t="s">
        <v>874</v>
      </c>
      <c r="B713" s="54" t="s">
        <v>875</v>
      </c>
      <c r="C713" s="51" t="s">
        <v>2765</v>
      </c>
      <c r="D713" s="53">
        <v>0</v>
      </c>
      <c r="E713" s="53">
        <v>1</v>
      </c>
      <c r="F713" s="51" t="s">
        <v>2715</v>
      </c>
      <c r="G713" s="51" t="s">
        <v>2695</v>
      </c>
      <c r="H713" s="25" t="str">
        <f t="shared" si="86"/>
        <v>jgd</v>
      </c>
      <c r="I713" t="s">
        <v>72</v>
      </c>
      <c r="J713" t="s">
        <v>848</v>
      </c>
      <c r="K713" t="s">
        <v>16</v>
      </c>
      <c r="L713" s="25">
        <v>46.150580810000001</v>
      </c>
      <c r="M713" s="25">
        <v>8.6965679149999993</v>
      </c>
      <c r="N713">
        <v>6</v>
      </c>
      <c r="O713">
        <v>18</v>
      </c>
      <c r="P713">
        <v>11</v>
      </c>
      <c r="Q713">
        <v>2015</v>
      </c>
      <c r="R713" s="9">
        <v>42326</v>
      </c>
      <c r="S713">
        <v>300</v>
      </c>
      <c r="T713">
        <v>1</v>
      </c>
      <c r="U713">
        <v>0</v>
      </c>
      <c r="V713">
        <v>0</v>
      </c>
      <c r="W713">
        <v>0</v>
      </c>
      <c r="X713">
        <f t="shared" si="87"/>
        <v>-64.737500000000011</v>
      </c>
      <c r="Y713">
        <v>-23.699249999999999</v>
      </c>
      <c r="Z713">
        <v>5.548889258</v>
      </c>
      <c r="AA713" s="3">
        <f t="shared" si="82"/>
        <v>6</v>
      </c>
      <c r="AB713" s="3">
        <f t="shared" ref="AB713:AB747" si="88">ROUND(Z713,0)</f>
        <v>6</v>
      </c>
      <c r="AD713" s="3" t="s">
        <v>2754</v>
      </c>
      <c r="AE713" s="22">
        <v>-76.010000000000005</v>
      </c>
      <c r="AF713" s="22">
        <f t="shared" si="83"/>
        <v>-76.010000000000005</v>
      </c>
      <c r="AG713" s="1">
        <v>-98.8</v>
      </c>
      <c r="AH713" s="2" t="s">
        <v>16</v>
      </c>
      <c r="AI713"/>
      <c r="AJ713" s="3">
        <f t="shared" si="84"/>
        <v>8</v>
      </c>
      <c r="AK713" s="3" t="s">
        <v>2706</v>
      </c>
      <c r="AL713">
        <v>8</v>
      </c>
      <c r="AM713" t="s">
        <v>15</v>
      </c>
    </row>
    <row r="714" spans="1:39" x14ac:dyDescent="0.3">
      <c r="A714" s="51" t="s">
        <v>1626</v>
      </c>
      <c r="B714" s="54" t="s">
        <v>1627</v>
      </c>
      <c r="C714" s="51" t="s">
        <v>2765</v>
      </c>
      <c r="D714" s="53">
        <v>0</v>
      </c>
      <c r="E714" s="53">
        <v>1</v>
      </c>
      <c r="F714" s="51" t="s">
        <v>2715</v>
      </c>
      <c r="G714" s="51" t="s">
        <v>2695</v>
      </c>
      <c r="H714" s="25" t="str">
        <f t="shared" si="86"/>
        <v>jgd</v>
      </c>
      <c r="I714" t="s">
        <v>72</v>
      </c>
      <c r="J714" t="s">
        <v>848</v>
      </c>
      <c r="K714" t="s">
        <v>16</v>
      </c>
      <c r="L714" s="25">
        <v>46.157179720000002</v>
      </c>
      <c r="M714" s="25">
        <v>8.6774559090000007</v>
      </c>
      <c r="N714">
        <v>5</v>
      </c>
      <c r="O714">
        <v>8</v>
      </c>
      <c r="P714">
        <v>11</v>
      </c>
      <c r="Q714">
        <v>2016</v>
      </c>
      <c r="R714" s="9">
        <v>42682</v>
      </c>
      <c r="S714">
        <v>320</v>
      </c>
      <c r="T714">
        <v>1</v>
      </c>
      <c r="U714">
        <v>0</v>
      </c>
      <c r="V714">
        <v>0</v>
      </c>
      <c r="W714">
        <v>0</v>
      </c>
      <c r="X714" s="57">
        <f t="shared" si="87"/>
        <v>-64.729057124999997</v>
      </c>
      <c r="Y714">
        <v>-24.48</v>
      </c>
      <c r="Z714">
        <v>5.58</v>
      </c>
      <c r="AA714" s="3">
        <f t="shared" si="82"/>
        <v>6</v>
      </c>
      <c r="AB714" s="3">
        <f t="shared" si="88"/>
        <v>6</v>
      </c>
      <c r="AD714" s="3" t="s">
        <v>2754</v>
      </c>
      <c r="AE714" s="22">
        <v>-76.003245699999994</v>
      </c>
      <c r="AF714" s="22">
        <f t="shared" si="83"/>
        <v>-76.003245699999994</v>
      </c>
      <c r="AG714" s="60" t="s">
        <v>16</v>
      </c>
      <c r="AH714" s="61" t="s">
        <v>16</v>
      </c>
      <c r="AJ714" s="3">
        <f t="shared" si="84"/>
        <v>8</v>
      </c>
      <c r="AK714" s="3" t="s">
        <v>2706</v>
      </c>
      <c r="AL714">
        <v>8</v>
      </c>
      <c r="AM714" t="s">
        <v>15</v>
      </c>
    </row>
    <row r="715" spans="1:39" x14ac:dyDescent="0.3">
      <c r="A715" s="51" t="s">
        <v>1164</v>
      </c>
      <c r="B715" s="54" t="s">
        <v>1165</v>
      </c>
      <c r="C715" s="51" t="s">
        <v>2765</v>
      </c>
      <c r="D715" s="53">
        <v>0</v>
      </c>
      <c r="E715" s="53">
        <v>1</v>
      </c>
      <c r="F715" s="51" t="s">
        <v>2715</v>
      </c>
      <c r="G715" s="51" t="s">
        <v>2695</v>
      </c>
      <c r="H715" s="25" t="str">
        <f t="shared" si="86"/>
        <v>jgd</v>
      </c>
      <c r="I715" t="s">
        <v>72</v>
      </c>
      <c r="J715" t="s">
        <v>298</v>
      </c>
      <c r="K715" t="s">
        <v>1166</v>
      </c>
      <c r="L715" s="25">
        <v>46.137917819999998</v>
      </c>
      <c r="M715" s="25">
        <v>8.9378541519999999</v>
      </c>
      <c r="N715">
        <v>5</v>
      </c>
      <c r="O715">
        <v>21</v>
      </c>
      <c r="P715">
        <v>10</v>
      </c>
      <c r="Q715">
        <v>2015</v>
      </c>
      <c r="R715" s="9">
        <v>42298</v>
      </c>
      <c r="S715">
        <v>300</v>
      </c>
      <c r="T715">
        <v>1</v>
      </c>
      <c r="U715">
        <v>0</v>
      </c>
      <c r="V715">
        <v>0</v>
      </c>
      <c r="W715">
        <v>0</v>
      </c>
      <c r="X715">
        <f t="shared" si="87"/>
        <v>-64.712500000000006</v>
      </c>
      <c r="Y715">
        <v>-22.747870970000001</v>
      </c>
      <c r="Z715">
        <v>4.1034937109999996</v>
      </c>
      <c r="AA715" s="3">
        <f t="shared" si="82"/>
        <v>6</v>
      </c>
      <c r="AB715" s="3">
        <f t="shared" si="88"/>
        <v>4</v>
      </c>
      <c r="AD715" s="3" t="s">
        <v>2754</v>
      </c>
      <c r="AE715" s="22">
        <v>-75.989999999999995</v>
      </c>
      <c r="AF715" s="22">
        <f t="shared" si="83"/>
        <v>-75.989999999999995</v>
      </c>
      <c r="AG715" s="1">
        <v>-98.8</v>
      </c>
      <c r="AH715" s="2" t="s">
        <v>16</v>
      </c>
      <c r="AI715"/>
      <c r="AJ715" s="3">
        <f t="shared" si="84"/>
        <v>8</v>
      </c>
      <c r="AK715" s="3" t="s">
        <v>2706</v>
      </c>
      <c r="AL715">
        <v>8</v>
      </c>
      <c r="AM715" t="s">
        <v>15</v>
      </c>
    </row>
    <row r="716" spans="1:39" hidden="1" x14ac:dyDescent="0.3">
      <c r="A716" s="51" t="s">
        <v>830</v>
      </c>
      <c r="B716" s="54" t="s">
        <v>366</v>
      </c>
      <c r="C716" s="51" t="s">
        <v>2765</v>
      </c>
      <c r="D716" s="53">
        <v>0</v>
      </c>
      <c r="E716" s="53">
        <v>1</v>
      </c>
      <c r="F716" s="51" t="s">
        <v>2715</v>
      </c>
      <c r="G716" s="51" t="s">
        <v>2695</v>
      </c>
      <c r="H716" s="25" t="str">
        <f t="shared" si="86"/>
        <v>jgd</v>
      </c>
      <c r="I716" t="s">
        <v>30</v>
      </c>
      <c r="J716" t="s">
        <v>41</v>
      </c>
      <c r="K716" t="s">
        <v>16</v>
      </c>
      <c r="L716" s="25">
        <v>46.68627755</v>
      </c>
      <c r="M716" s="25">
        <v>6.9470875210000003</v>
      </c>
      <c r="N716">
        <v>6</v>
      </c>
      <c r="O716">
        <v>28</v>
      </c>
      <c r="P716">
        <v>10</v>
      </c>
      <c r="Q716">
        <v>2015</v>
      </c>
      <c r="R716" s="9">
        <v>42305</v>
      </c>
      <c r="S716">
        <v>298</v>
      </c>
      <c r="T716">
        <v>1</v>
      </c>
      <c r="U716">
        <v>0</v>
      </c>
      <c r="V716">
        <v>0</v>
      </c>
      <c r="W716">
        <v>0</v>
      </c>
      <c r="X716">
        <f t="shared" si="87"/>
        <v>-64.637500000000017</v>
      </c>
      <c r="Y716">
        <v>-24.632392679999999</v>
      </c>
      <c r="Z716">
        <v>5.7660586900000004</v>
      </c>
      <c r="AA716" s="3">
        <f t="shared" si="82"/>
        <v>6</v>
      </c>
      <c r="AB716" s="3">
        <f t="shared" si="88"/>
        <v>6</v>
      </c>
      <c r="AD716" s="3" t="s">
        <v>2751</v>
      </c>
      <c r="AE716" s="22">
        <v>-75.930000000000007</v>
      </c>
      <c r="AF716" s="22">
        <f t="shared" si="83"/>
        <v>-75.930000000000007</v>
      </c>
      <c r="AG716" s="1">
        <v>-98.7</v>
      </c>
      <c r="AH716" s="2" t="s">
        <v>16</v>
      </c>
      <c r="AI716"/>
      <c r="AJ716" s="3">
        <f t="shared" si="84"/>
        <v>8</v>
      </c>
      <c r="AK716" s="3" t="s">
        <v>2706</v>
      </c>
      <c r="AL716">
        <v>8</v>
      </c>
      <c r="AM716" t="s">
        <v>15</v>
      </c>
    </row>
    <row r="717" spans="1:39" hidden="1" x14ac:dyDescent="0.3">
      <c r="A717" s="51" t="s">
        <v>1363</v>
      </c>
      <c r="B717" s="54" t="s">
        <v>1364</v>
      </c>
      <c r="C717" s="51" t="s">
        <v>2765</v>
      </c>
      <c r="D717" s="53">
        <v>0</v>
      </c>
      <c r="E717" s="53">
        <v>1</v>
      </c>
      <c r="F717" s="51" t="s">
        <v>2715</v>
      </c>
      <c r="G717" s="51" t="s">
        <v>2695</v>
      </c>
      <c r="H717" s="25" t="str">
        <f t="shared" si="86"/>
        <v>jgd</v>
      </c>
      <c r="I717" t="s">
        <v>30</v>
      </c>
      <c r="J717" t="s">
        <v>268</v>
      </c>
      <c r="K717" t="s">
        <v>1362</v>
      </c>
      <c r="L717" s="25">
        <v>46.746853659999999</v>
      </c>
      <c r="M717" s="25">
        <v>7.0629795230000001</v>
      </c>
      <c r="N717">
        <v>5</v>
      </c>
      <c r="O717">
        <v>2</v>
      </c>
      <c r="P717">
        <v>12</v>
      </c>
      <c r="Q717">
        <v>2015</v>
      </c>
      <c r="R717" s="9">
        <v>42340</v>
      </c>
      <c r="S717">
        <v>303</v>
      </c>
      <c r="T717">
        <v>1</v>
      </c>
      <c r="U717">
        <v>0</v>
      </c>
      <c r="V717">
        <v>0</v>
      </c>
      <c r="W717">
        <v>0</v>
      </c>
      <c r="X717">
        <f t="shared" si="87"/>
        <v>-64.537499999999994</v>
      </c>
      <c r="Y717">
        <v>-24.984511170000001</v>
      </c>
      <c r="Z717">
        <v>4.515502991</v>
      </c>
      <c r="AA717" s="3">
        <f t="shared" si="82"/>
        <v>6</v>
      </c>
      <c r="AB717" s="3">
        <f t="shared" si="88"/>
        <v>5</v>
      </c>
      <c r="AD717" s="3" t="s">
        <v>2751</v>
      </c>
      <c r="AE717" s="22">
        <v>-75.849999999999994</v>
      </c>
      <c r="AF717" s="22">
        <f t="shared" si="83"/>
        <v>-75.849999999999994</v>
      </c>
      <c r="AG717" s="1">
        <v>-98.6</v>
      </c>
      <c r="AH717" s="2" t="s">
        <v>16</v>
      </c>
      <c r="AI717"/>
      <c r="AJ717" s="3">
        <f t="shared" si="84"/>
        <v>8</v>
      </c>
      <c r="AK717" s="3" t="s">
        <v>2706</v>
      </c>
      <c r="AL717">
        <v>8</v>
      </c>
      <c r="AM717" t="s">
        <v>15</v>
      </c>
    </row>
    <row r="718" spans="1:39" x14ac:dyDescent="0.3">
      <c r="A718" s="51" t="s">
        <v>2007</v>
      </c>
      <c r="B718" s="54" t="s">
        <v>229</v>
      </c>
      <c r="C718" s="51" t="s">
        <v>2765</v>
      </c>
      <c r="D718" s="53">
        <v>0</v>
      </c>
      <c r="E718" s="53">
        <v>1</v>
      </c>
      <c r="F718" s="51" t="s">
        <v>2715</v>
      </c>
      <c r="G718" s="51" t="s">
        <v>2695</v>
      </c>
      <c r="H718" s="25" t="str">
        <f t="shared" si="86"/>
        <v>jgd</v>
      </c>
      <c r="I718" t="s">
        <v>72</v>
      </c>
      <c r="J718" t="s">
        <v>2005</v>
      </c>
      <c r="K718" t="s">
        <v>2008</v>
      </c>
      <c r="L718" s="25">
        <v>46.178894249999999</v>
      </c>
      <c r="M718" s="25">
        <v>9.0898774489999994</v>
      </c>
      <c r="N718">
        <v>4</v>
      </c>
      <c r="O718">
        <v>2</v>
      </c>
      <c r="P718">
        <v>11</v>
      </c>
      <c r="Q718">
        <v>2016</v>
      </c>
      <c r="R718" s="9">
        <v>42676</v>
      </c>
      <c r="S718">
        <v>365</v>
      </c>
      <c r="T718">
        <v>1</v>
      </c>
      <c r="U718">
        <v>0</v>
      </c>
      <c r="V718">
        <v>0</v>
      </c>
      <c r="W718">
        <v>0</v>
      </c>
      <c r="X718" s="57">
        <f t="shared" si="87"/>
        <v>-64.51037599999998</v>
      </c>
      <c r="Y718">
        <v>-24.1</v>
      </c>
      <c r="Z718">
        <v>6.03</v>
      </c>
      <c r="AA718" s="3">
        <f t="shared" si="82"/>
        <v>6</v>
      </c>
      <c r="AB718" s="3">
        <f t="shared" si="88"/>
        <v>6</v>
      </c>
      <c r="AD718" s="3" t="s">
        <v>2754</v>
      </c>
      <c r="AE718" s="22">
        <v>-75.828300799999994</v>
      </c>
      <c r="AF718" s="22">
        <f t="shared" si="83"/>
        <v>-75.828300799999994</v>
      </c>
      <c r="AG718" s="60" t="s">
        <v>16</v>
      </c>
      <c r="AH718" s="61" t="s">
        <v>16</v>
      </c>
      <c r="AJ718" s="3">
        <f t="shared" si="84"/>
        <v>8</v>
      </c>
      <c r="AK718" s="3" t="s">
        <v>2706</v>
      </c>
      <c r="AL718">
        <v>8</v>
      </c>
      <c r="AM718" t="s">
        <v>15</v>
      </c>
    </row>
    <row r="719" spans="1:39" x14ac:dyDescent="0.3">
      <c r="A719" s="51" t="s">
        <v>1929</v>
      </c>
      <c r="B719" s="54" t="s">
        <v>1930</v>
      </c>
      <c r="C719" s="51" t="s">
        <v>2765</v>
      </c>
      <c r="D719" s="53">
        <v>0</v>
      </c>
      <c r="E719" s="53">
        <v>1</v>
      </c>
      <c r="F719" s="51" t="s">
        <v>2715</v>
      </c>
      <c r="G719" s="51" t="s">
        <v>2695</v>
      </c>
      <c r="H719" s="25" t="str">
        <f t="shared" si="86"/>
        <v>jgd</v>
      </c>
      <c r="I719" t="s">
        <v>72</v>
      </c>
      <c r="J719" t="s">
        <v>694</v>
      </c>
      <c r="K719" t="s">
        <v>1916</v>
      </c>
      <c r="L719" s="25">
        <v>46.134623840000003</v>
      </c>
      <c r="M719" s="25">
        <v>8.9215865169999997</v>
      </c>
      <c r="N719">
        <v>5</v>
      </c>
      <c r="O719">
        <v>27</v>
      </c>
      <c r="P719">
        <v>11</v>
      </c>
      <c r="Q719">
        <v>2016</v>
      </c>
      <c r="R719" s="9">
        <v>42701</v>
      </c>
      <c r="S719">
        <v>310</v>
      </c>
      <c r="T719">
        <v>1</v>
      </c>
      <c r="U719">
        <v>0</v>
      </c>
      <c r="V719">
        <v>0</v>
      </c>
      <c r="W719">
        <v>0</v>
      </c>
      <c r="X719" s="57">
        <f t="shared" si="87"/>
        <v>-64.421638000000002</v>
      </c>
      <c r="Y719">
        <v>-22.59</v>
      </c>
      <c r="Z719">
        <v>7.18</v>
      </c>
      <c r="AA719" s="3">
        <f t="shared" si="82"/>
        <v>6</v>
      </c>
      <c r="AB719" s="3">
        <f t="shared" si="88"/>
        <v>7</v>
      </c>
      <c r="AD719" s="3" t="s">
        <v>2754</v>
      </c>
      <c r="AE719" s="22">
        <v>-75.757310399999994</v>
      </c>
      <c r="AF719" s="22">
        <f t="shared" si="83"/>
        <v>-75.757310399999994</v>
      </c>
      <c r="AG719" s="60" t="s">
        <v>16</v>
      </c>
      <c r="AH719" s="61" t="s">
        <v>16</v>
      </c>
      <c r="AJ719" s="3">
        <f t="shared" si="84"/>
        <v>8</v>
      </c>
      <c r="AK719" s="3" t="s">
        <v>2706</v>
      </c>
      <c r="AL719">
        <v>8</v>
      </c>
      <c r="AM719" t="s">
        <v>15</v>
      </c>
    </row>
    <row r="720" spans="1:39" x14ac:dyDescent="0.3">
      <c r="A720" s="51" t="s">
        <v>1693</v>
      </c>
      <c r="B720" s="54" t="s">
        <v>161</v>
      </c>
      <c r="C720" s="51" t="s">
        <v>2765</v>
      </c>
      <c r="D720" s="53">
        <v>0</v>
      </c>
      <c r="E720" s="53">
        <v>1</v>
      </c>
      <c r="F720" s="51" t="s">
        <v>2715</v>
      </c>
      <c r="G720" s="51" t="s">
        <v>2695</v>
      </c>
      <c r="H720" s="25" t="str">
        <f t="shared" si="86"/>
        <v>jgd</v>
      </c>
      <c r="I720" t="s">
        <v>72</v>
      </c>
      <c r="J720" t="s">
        <v>155</v>
      </c>
      <c r="K720" t="s">
        <v>1682</v>
      </c>
      <c r="L720" s="25">
        <v>46.11200419</v>
      </c>
      <c r="M720" s="25">
        <v>8.847235607</v>
      </c>
      <c r="N720">
        <v>4</v>
      </c>
      <c r="O720">
        <v>20</v>
      </c>
      <c r="P720">
        <v>10</v>
      </c>
      <c r="Q720">
        <v>2016</v>
      </c>
      <c r="R720" s="9">
        <v>42663</v>
      </c>
      <c r="S720">
        <v>316</v>
      </c>
      <c r="T720">
        <v>1</v>
      </c>
      <c r="U720">
        <v>0</v>
      </c>
      <c r="V720">
        <v>0</v>
      </c>
      <c r="W720">
        <v>0</v>
      </c>
      <c r="X720" s="57">
        <f t="shared" si="87"/>
        <v>-64.415877375000008</v>
      </c>
      <c r="Y720">
        <v>-22.98</v>
      </c>
      <c r="Z720">
        <v>6.12</v>
      </c>
      <c r="AA720" s="3">
        <f t="shared" si="82"/>
        <v>6</v>
      </c>
      <c r="AB720" s="3">
        <f t="shared" si="88"/>
        <v>6</v>
      </c>
      <c r="AD720" s="3" t="s">
        <v>2754</v>
      </c>
      <c r="AE720" s="22">
        <v>-75.752701900000005</v>
      </c>
      <c r="AF720" s="22">
        <f t="shared" si="83"/>
        <v>-75.752701900000005</v>
      </c>
      <c r="AG720" s="60" t="s">
        <v>16</v>
      </c>
      <c r="AH720" s="61" t="s">
        <v>16</v>
      </c>
      <c r="AJ720" s="3">
        <f t="shared" si="84"/>
        <v>8</v>
      </c>
      <c r="AK720" s="3" t="s">
        <v>2706</v>
      </c>
      <c r="AL720">
        <v>8</v>
      </c>
      <c r="AM720" t="s">
        <v>15</v>
      </c>
    </row>
    <row r="721" spans="1:39" x14ac:dyDescent="0.3">
      <c r="A721" s="51" t="s">
        <v>2527</v>
      </c>
      <c r="B721" s="54" t="s">
        <v>1182</v>
      </c>
      <c r="C721" s="51" t="s">
        <v>2765</v>
      </c>
      <c r="D721" s="53">
        <v>0</v>
      </c>
      <c r="E721" s="53">
        <v>1</v>
      </c>
      <c r="F721" s="51" t="s">
        <v>2715</v>
      </c>
      <c r="G721" s="51" t="s">
        <v>2695</v>
      </c>
      <c r="H721" s="25" t="str">
        <f t="shared" si="86"/>
        <v>jgd</v>
      </c>
      <c r="I721" t="s">
        <v>72</v>
      </c>
      <c r="J721" t="s">
        <v>298</v>
      </c>
      <c r="K721" t="s">
        <v>2515</v>
      </c>
      <c r="L721" s="25">
        <v>46.130612919999997</v>
      </c>
      <c r="M721" s="25">
        <v>8.8951949880000001</v>
      </c>
      <c r="N721">
        <v>5</v>
      </c>
      <c r="O721">
        <v>25</v>
      </c>
      <c r="P721">
        <v>10</v>
      </c>
      <c r="Q721">
        <v>2017</v>
      </c>
      <c r="R721" s="9">
        <v>43033</v>
      </c>
      <c r="S721">
        <v>305</v>
      </c>
      <c r="T721">
        <v>1</v>
      </c>
      <c r="U721">
        <v>0</v>
      </c>
      <c r="V721">
        <v>0</v>
      </c>
      <c r="W721">
        <v>0</v>
      </c>
      <c r="X721" s="57">
        <f t="shared" si="87"/>
        <v>-64.325877749999989</v>
      </c>
      <c r="Y721" t="s">
        <v>16</v>
      </c>
      <c r="Z721">
        <v>3.9188431449999999</v>
      </c>
      <c r="AA721" s="3">
        <f t="shared" si="82"/>
        <v>6</v>
      </c>
      <c r="AB721" s="3">
        <f t="shared" si="88"/>
        <v>4</v>
      </c>
      <c r="AD721" s="3" t="s">
        <v>2754</v>
      </c>
      <c r="AE721" s="22">
        <v>-75.680702199999999</v>
      </c>
      <c r="AF721" s="22">
        <f t="shared" si="83"/>
        <v>-75.680702199999999</v>
      </c>
      <c r="AG721" s="60" t="s">
        <v>16</v>
      </c>
      <c r="AH721" s="61" t="s">
        <v>16</v>
      </c>
      <c r="AJ721" s="3">
        <f t="shared" si="84"/>
        <v>8</v>
      </c>
      <c r="AK721" s="3" t="s">
        <v>2706</v>
      </c>
      <c r="AL721">
        <v>8</v>
      </c>
      <c r="AM721" t="s">
        <v>15</v>
      </c>
    </row>
    <row r="722" spans="1:39" hidden="1" x14ac:dyDescent="0.3">
      <c r="A722" s="51" t="s">
        <v>1415</v>
      </c>
      <c r="B722" s="54" t="s">
        <v>1416</v>
      </c>
      <c r="C722" s="51" t="s">
        <v>2765</v>
      </c>
      <c r="D722" s="53">
        <v>0</v>
      </c>
      <c r="E722" s="53">
        <v>1</v>
      </c>
      <c r="F722" s="51" t="s">
        <v>2715</v>
      </c>
      <c r="G722" s="51" t="s">
        <v>2695</v>
      </c>
      <c r="H722" s="25" t="str">
        <f t="shared" si="86"/>
        <v>jgd</v>
      </c>
      <c r="I722" t="s">
        <v>30</v>
      </c>
      <c r="J722" t="s">
        <v>286</v>
      </c>
      <c r="K722" t="s">
        <v>1417</v>
      </c>
      <c r="L722" s="25">
        <v>46.753888830000001</v>
      </c>
      <c r="M722" s="25">
        <v>6.9794799989999996</v>
      </c>
      <c r="N722">
        <v>4</v>
      </c>
      <c r="O722">
        <v>5</v>
      </c>
      <c r="P722">
        <v>12</v>
      </c>
      <c r="Q722">
        <v>2015</v>
      </c>
      <c r="R722" s="9">
        <v>42343</v>
      </c>
      <c r="S722">
        <v>382</v>
      </c>
      <c r="T722">
        <v>1</v>
      </c>
      <c r="U722">
        <v>0</v>
      </c>
      <c r="V722">
        <v>0</v>
      </c>
      <c r="W722">
        <v>0</v>
      </c>
      <c r="X722">
        <f t="shared" si="87"/>
        <v>-64.3125</v>
      </c>
      <c r="Y722">
        <v>-23.681799999999999</v>
      </c>
      <c r="Z722">
        <v>5.3700300009999999</v>
      </c>
      <c r="AA722" s="3">
        <f t="shared" si="82"/>
        <v>6</v>
      </c>
      <c r="AB722" s="3">
        <f t="shared" si="88"/>
        <v>5</v>
      </c>
      <c r="AD722" s="3" t="s">
        <v>2751</v>
      </c>
      <c r="AE722" s="22">
        <v>-75.67</v>
      </c>
      <c r="AF722" s="22">
        <f t="shared" si="83"/>
        <v>-75.67</v>
      </c>
      <c r="AG722" s="1">
        <v>-98.4</v>
      </c>
      <c r="AH722" s="2" t="s">
        <v>16</v>
      </c>
      <c r="AI722"/>
      <c r="AJ722" s="3">
        <f t="shared" si="84"/>
        <v>8</v>
      </c>
      <c r="AK722" s="3" t="s">
        <v>2706</v>
      </c>
      <c r="AL722">
        <v>8</v>
      </c>
      <c r="AM722" t="s">
        <v>15</v>
      </c>
    </row>
    <row r="723" spans="1:39" hidden="1" x14ac:dyDescent="0.3">
      <c r="A723" s="51" t="s">
        <v>1411</v>
      </c>
      <c r="B723" s="54" t="s">
        <v>1412</v>
      </c>
      <c r="C723" s="51" t="s">
        <v>2765</v>
      </c>
      <c r="D723" s="53">
        <v>0</v>
      </c>
      <c r="E723" s="53">
        <v>1</v>
      </c>
      <c r="F723" s="51" t="s">
        <v>2715</v>
      </c>
      <c r="G723" s="51" t="s">
        <v>2695</v>
      </c>
      <c r="H723" s="25" t="str">
        <f t="shared" si="86"/>
        <v>jgd</v>
      </c>
      <c r="I723" t="s">
        <v>30</v>
      </c>
      <c r="J723" t="s">
        <v>1409</v>
      </c>
      <c r="K723" t="s">
        <v>16</v>
      </c>
      <c r="L723" s="25">
        <v>46.731436819999999</v>
      </c>
      <c r="M723" s="25">
        <v>6.9410897609999997</v>
      </c>
      <c r="N723">
        <v>4</v>
      </c>
      <c r="O723">
        <v>21</v>
      </c>
      <c r="P723">
        <v>11</v>
      </c>
      <c r="Q723">
        <v>2015</v>
      </c>
      <c r="R723" s="9">
        <v>42329</v>
      </c>
      <c r="S723">
        <v>356</v>
      </c>
      <c r="T723">
        <v>1</v>
      </c>
      <c r="U723">
        <v>0</v>
      </c>
      <c r="V723">
        <v>0</v>
      </c>
      <c r="W723">
        <v>0</v>
      </c>
      <c r="X723">
        <f t="shared" si="87"/>
        <v>-64.287499999999994</v>
      </c>
      <c r="Y723">
        <v>-23.412800000000001</v>
      </c>
      <c r="Z723">
        <v>5.1445727290000001</v>
      </c>
      <c r="AA723" s="3">
        <f t="shared" si="82"/>
        <v>6</v>
      </c>
      <c r="AB723" s="3">
        <f t="shared" si="88"/>
        <v>5</v>
      </c>
      <c r="AD723" s="3" t="s">
        <v>2751</v>
      </c>
      <c r="AE723" s="22">
        <v>-75.650000000000006</v>
      </c>
      <c r="AF723" s="22">
        <f t="shared" si="83"/>
        <v>-75.650000000000006</v>
      </c>
      <c r="AG723" s="1">
        <v>-98.4</v>
      </c>
      <c r="AH723" s="2" t="s">
        <v>16</v>
      </c>
      <c r="AI723"/>
      <c r="AJ723" s="3">
        <f t="shared" si="84"/>
        <v>8</v>
      </c>
      <c r="AK723" s="3" t="s">
        <v>2706</v>
      </c>
      <c r="AL723">
        <v>8</v>
      </c>
      <c r="AM723" t="s">
        <v>15</v>
      </c>
    </row>
    <row r="724" spans="1:39" hidden="1" x14ac:dyDescent="0.3">
      <c r="A724" s="51" t="s">
        <v>260</v>
      </c>
      <c r="B724" s="54" t="s">
        <v>261</v>
      </c>
      <c r="C724" s="51" t="s">
        <v>2765</v>
      </c>
      <c r="D724" s="53">
        <v>0</v>
      </c>
      <c r="E724" s="53">
        <v>1</v>
      </c>
      <c r="F724" s="51" t="s">
        <v>2715</v>
      </c>
      <c r="G724" s="51" t="s">
        <v>2695</v>
      </c>
      <c r="H724" s="25" t="str">
        <f t="shared" si="86"/>
        <v>jgd</v>
      </c>
      <c r="I724" t="s">
        <v>30</v>
      </c>
      <c r="J724" t="s">
        <v>259</v>
      </c>
      <c r="K724" t="s">
        <v>259</v>
      </c>
      <c r="L724" s="25">
        <v>46.764277239999998</v>
      </c>
      <c r="M724" s="25">
        <v>7.038889041</v>
      </c>
      <c r="N724">
        <v>6</v>
      </c>
      <c r="O724">
        <v>6</v>
      </c>
      <c r="P724">
        <v>11</v>
      </c>
      <c r="Q724">
        <v>2013</v>
      </c>
      <c r="R724" s="9">
        <v>41584</v>
      </c>
      <c r="S724">
        <v>325</v>
      </c>
      <c r="T724">
        <v>1</v>
      </c>
      <c r="U724">
        <v>0</v>
      </c>
      <c r="V724">
        <v>0</v>
      </c>
      <c r="W724">
        <v>0</v>
      </c>
      <c r="X724">
        <f t="shared" si="87"/>
        <v>-64.275000000000006</v>
      </c>
      <c r="Y724">
        <v>-22.597896769999998</v>
      </c>
      <c r="Z724">
        <v>2.922561001</v>
      </c>
      <c r="AA724" s="3">
        <f t="shared" si="82"/>
        <v>6</v>
      </c>
      <c r="AB724" s="3">
        <f t="shared" si="88"/>
        <v>3</v>
      </c>
      <c r="AD724" s="3" t="s">
        <v>2751</v>
      </c>
      <c r="AE724" s="22">
        <v>-75.64</v>
      </c>
      <c r="AF724" s="22">
        <f t="shared" si="83"/>
        <v>-75.64</v>
      </c>
      <c r="AG724" s="1">
        <v>-98.4</v>
      </c>
      <c r="AH724" s="2" t="s">
        <v>16</v>
      </c>
      <c r="AI724"/>
      <c r="AJ724" s="3">
        <f t="shared" si="84"/>
        <v>8</v>
      </c>
      <c r="AK724" s="3" t="s">
        <v>2706</v>
      </c>
      <c r="AL724">
        <v>8</v>
      </c>
      <c r="AM724" t="s">
        <v>15</v>
      </c>
    </row>
    <row r="725" spans="1:39" x14ac:dyDescent="0.3">
      <c r="A725" s="51" t="s">
        <v>1695</v>
      </c>
      <c r="B725" s="54" t="s">
        <v>167</v>
      </c>
      <c r="C725" s="51" t="s">
        <v>2765</v>
      </c>
      <c r="D725" s="53">
        <v>0</v>
      </c>
      <c r="E725" s="53">
        <v>1</v>
      </c>
      <c r="F725" s="51" t="s">
        <v>2715</v>
      </c>
      <c r="G725" s="51" t="s">
        <v>2695</v>
      </c>
      <c r="H725" s="25" t="str">
        <f t="shared" si="86"/>
        <v>jgd</v>
      </c>
      <c r="I725" t="s">
        <v>72</v>
      </c>
      <c r="J725" t="s">
        <v>155</v>
      </c>
      <c r="K725" t="s">
        <v>165</v>
      </c>
      <c r="L725" s="25">
        <v>46.120291520000002</v>
      </c>
      <c r="M725" s="25">
        <v>8.8319238989999995</v>
      </c>
      <c r="N725">
        <v>4</v>
      </c>
      <c r="O725">
        <v>20</v>
      </c>
      <c r="P725">
        <v>10</v>
      </c>
      <c r="Q725">
        <v>2016</v>
      </c>
      <c r="R725" s="9">
        <v>42663</v>
      </c>
      <c r="S725">
        <v>306</v>
      </c>
      <c r="T725">
        <v>1</v>
      </c>
      <c r="U725">
        <v>0</v>
      </c>
      <c r="V725">
        <v>0</v>
      </c>
      <c r="W725">
        <v>0</v>
      </c>
      <c r="X725" s="57">
        <f t="shared" si="87"/>
        <v>-64.215970625000011</v>
      </c>
      <c r="Y725">
        <v>-23.35</v>
      </c>
      <c r="Z725">
        <v>2.35</v>
      </c>
      <c r="AA725" s="3">
        <f t="shared" si="82"/>
        <v>6</v>
      </c>
      <c r="AB725" s="3">
        <f t="shared" si="88"/>
        <v>2</v>
      </c>
      <c r="AD725" s="3" t="s">
        <v>2754</v>
      </c>
      <c r="AE725" s="22">
        <v>-75.592776499999999</v>
      </c>
      <c r="AF725" s="22">
        <f t="shared" si="83"/>
        <v>-75.592776499999999</v>
      </c>
      <c r="AG725" s="60" t="s">
        <v>16</v>
      </c>
      <c r="AH725" s="61" t="s">
        <v>16</v>
      </c>
      <c r="AJ725" s="3">
        <f t="shared" si="84"/>
        <v>8</v>
      </c>
      <c r="AK725" s="3" t="s">
        <v>2706</v>
      </c>
      <c r="AL725">
        <v>8</v>
      </c>
      <c r="AM725" t="s">
        <v>15</v>
      </c>
    </row>
    <row r="726" spans="1:39" hidden="1" x14ac:dyDescent="0.3">
      <c r="A726" s="51" t="s">
        <v>1378</v>
      </c>
      <c r="B726" s="54" t="s">
        <v>1379</v>
      </c>
      <c r="C726" s="51" t="s">
        <v>2765</v>
      </c>
      <c r="D726" s="53">
        <v>0</v>
      </c>
      <c r="E726" s="53">
        <v>1</v>
      </c>
      <c r="F726" s="51" t="s">
        <v>2715</v>
      </c>
      <c r="G726" s="51" t="s">
        <v>2695</v>
      </c>
      <c r="H726" s="25" t="str">
        <f t="shared" si="86"/>
        <v>jgd</v>
      </c>
      <c r="I726" t="s">
        <v>30</v>
      </c>
      <c r="J726" t="s">
        <v>1380</v>
      </c>
      <c r="K726" t="s">
        <v>1381</v>
      </c>
      <c r="L726" s="25">
        <v>46.629317999999998</v>
      </c>
      <c r="M726" s="25">
        <v>6.9092274930000004</v>
      </c>
      <c r="N726">
        <v>5</v>
      </c>
      <c r="O726">
        <v>2</v>
      </c>
      <c r="P726">
        <v>11</v>
      </c>
      <c r="Q726">
        <v>2015</v>
      </c>
      <c r="R726" s="9">
        <v>42310</v>
      </c>
      <c r="S726">
        <v>325</v>
      </c>
      <c r="T726">
        <v>1</v>
      </c>
      <c r="U726">
        <v>0</v>
      </c>
      <c r="V726">
        <v>0</v>
      </c>
      <c r="W726">
        <v>0</v>
      </c>
      <c r="X726">
        <f t="shared" si="87"/>
        <v>-64.212500000000006</v>
      </c>
      <c r="Y726">
        <v>-24.380800000000001</v>
      </c>
      <c r="Z726">
        <v>6.0193783420000004</v>
      </c>
      <c r="AA726" s="3">
        <f t="shared" ref="AA726:AA789" si="89">-ROUND(X726/10,0)</f>
        <v>6</v>
      </c>
      <c r="AB726" s="3">
        <f t="shared" si="88"/>
        <v>6</v>
      </c>
      <c r="AD726" s="3" t="s">
        <v>2751</v>
      </c>
      <c r="AE726" s="22">
        <v>-75.59</v>
      </c>
      <c r="AF726" s="22">
        <f t="shared" ref="AF726:AF789" si="90">IF(AI726&lt;0,AI726,AE726)</f>
        <v>-75.59</v>
      </c>
      <c r="AG726" s="1">
        <v>-98.4</v>
      </c>
      <c r="AH726" s="2" t="s">
        <v>16</v>
      </c>
      <c r="AI726"/>
      <c r="AJ726" s="3">
        <f t="shared" ref="AJ726:AJ789" si="91">-ROUND(AF726/10,0)</f>
        <v>8</v>
      </c>
      <c r="AK726" s="3" t="s">
        <v>2706</v>
      </c>
      <c r="AL726">
        <v>8</v>
      </c>
      <c r="AM726" t="s">
        <v>15</v>
      </c>
    </row>
    <row r="727" spans="1:39" hidden="1" x14ac:dyDescent="0.3">
      <c r="A727" s="51" t="s">
        <v>2087</v>
      </c>
      <c r="B727" s="54" t="s">
        <v>774</v>
      </c>
      <c r="C727" s="51" t="s">
        <v>2765</v>
      </c>
      <c r="D727" s="53">
        <v>0</v>
      </c>
      <c r="E727" s="53">
        <v>1</v>
      </c>
      <c r="F727" s="51" t="s">
        <v>2715</v>
      </c>
      <c r="G727" s="51" t="s">
        <v>2695</v>
      </c>
      <c r="H727" s="25" t="str">
        <f t="shared" si="86"/>
        <v>jgd</v>
      </c>
      <c r="I727" t="s">
        <v>385</v>
      </c>
      <c r="J727" t="s">
        <v>767</v>
      </c>
      <c r="K727" t="s">
        <v>16</v>
      </c>
      <c r="L727" s="25">
        <v>46.570664469999997</v>
      </c>
      <c r="M727" s="25">
        <v>6.1668185500000003</v>
      </c>
      <c r="N727">
        <v>3</v>
      </c>
      <c r="O727">
        <v>30</v>
      </c>
      <c r="P727">
        <v>10</v>
      </c>
      <c r="Q727">
        <v>2017</v>
      </c>
      <c r="R727" s="9">
        <v>43038</v>
      </c>
      <c r="S727">
        <v>378</v>
      </c>
      <c r="T727">
        <v>1</v>
      </c>
      <c r="U727">
        <v>0</v>
      </c>
      <c r="V727">
        <v>0</v>
      </c>
      <c r="W727">
        <v>0</v>
      </c>
      <c r="X727" s="57">
        <f t="shared" si="87"/>
        <v>-64.083091749999994</v>
      </c>
      <c r="Y727" t="s">
        <v>16</v>
      </c>
      <c r="Z727">
        <v>8.2072744239999995</v>
      </c>
      <c r="AA727" s="3">
        <f t="shared" si="89"/>
        <v>6</v>
      </c>
      <c r="AB727" s="3">
        <f t="shared" si="88"/>
        <v>8</v>
      </c>
      <c r="AD727" s="3" t="s">
        <v>2750</v>
      </c>
      <c r="AE727" s="22">
        <v>-75.486473399999994</v>
      </c>
      <c r="AF727" s="22">
        <f t="shared" si="90"/>
        <v>-75.486473399999994</v>
      </c>
      <c r="AG727" s="60" t="s">
        <v>16</v>
      </c>
      <c r="AH727" s="61" t="s">
        <v>16</v>
      </c>
      <c r="AJ727" s="3">
        <f t="shared" si="91"/>
        <v>8</v>
      </c>
      <c r="AK727" s="3" t="s">
        <v>2706</v>
      </c>
      <c r="AL727">
        <v>8</v>
      </c>
      <c r="AM727" t="s">
        <v>15</v>
      </c>
    </row>
    <row r="728" spans="1:39" x14ac:dyDescent="0.3">
      <c r="A728" s="51" t="s">
        <v>1468</v>
      </c>
      <c r="B728" s="54" t="s">
        <v>1469</v>
      </c>
      <c r="C728" s="51" t="s">
        <v>2765</v>
      </c>
      <c r="D728" s="53">
        <v>0</v>
      </c>
      <c r="E728" s="53">
        <v>1</v>
      </c>
      <c r="F728" s="51" t="s">
        <v>2715</v>
      </c>
      <c r="G728" s="51" t="s">
        <v>2695</v>
      </c>
      <c r="H728" s="25" t="str">
        <f t="shared" si="86"/>
        <v>jgd</v>
      </c>
      <c r="I728" t="s">
        <v>72</v>
      </c>
      <c r="J728" t="s">
        <v>708</v>
      </c>
      <c r="K728" t="s">
        <v>1470</v>
      </c>
      <c r="L728" s="25">
        <v>46.517544360000002</v>
      </c>
      <c r="M728" s="25">
        <v>8.5820247760000008</v>
      </c>
      <c r="N728">
        <v>5</v>
      </c>
      <c r="O728">
        <v>1</v>
      </c>
      <c r="P728">
        <v>11</v>
      </c>
      <c r="Q728">
        <v>2016</v>
      </c>
      <c r="R728" s="9">
        <v>42675</v>
      </c>
      <c r="S728">
        <v>315</v>
      </c>
      <c r="T728">
        <v>1</v>
      </c>
      <c r="U728">
        <v>0</v>
      </c>
      <c r="V728">
        <v>0</v>
      </c>
      <c r="W728">
        <v>0</v>
      </c>
      <c r="X728" s="57">
        <f t="shared" si="87"/>
        <v>-63.977099000000003</v>
      </c>
      <c r="Y728">
        <v>-22.83</v>
      </c>
      <c r="Z728">
        <v>3.54</v>
      </c>
      <c r="AA728" s="3">
        <f t="shared" si="89"/>
        <v>6</v>
      </c>
      <c r="AB728" s="3">
        <f t="shared" si="88"/>
        <v>4</v>
      </c>
      <c r="AD728" s="3" t="s">
        <v>2754</v>
      </c>
      <c r="AE728" s="22">
        <v>-75.401679200000004</v>
      </c>
      <c r="AF728" s="22">
        <f t="shared" si="90"/>
        <v>-75.401679200000004</v>
      </c>
      <c r="AG728" s="60" t="s">
        <v>16</v>
      </c>
      <c r="AH728" s="61" t="s">
        <v>16</v>
      </c>
      <c r="AJ728" s="3">
        <f t="shared" si="91"/>
        <v>8</v>
      </c>
      <c r="AK728" s="3" t="s">
        <v>2706</v>
      </c>
      <c r="AL728">
        <v>8</v>
      </c>
      <c r="AM728" t="s">
        <v>15</v>
      </c>
    </row>
    <row r="729" spans="1:39" x14ac:dyDescent="0.3">
      <c r="A729" s="51" t="s">
        <v>964</v>
      </c>
      <c r="B729" s="54" t="s">
        <v>406</v>
      </c>
      <c r="C729" s="51" t="s">
        <v>2765</v>
      </c>
      <c r="D729" s="53">
        <v>0</v>
      </c>
      <c r="E729" s="53">
        <v>1</v>
      </c>
      <c r="F729" s="51" t="s">
        <v>2715</v>
      </c>
      <c r="G729" s="51" t="s">
        <v>2695</v>
      </c>
      <c r="H729" s="25" t="str">
        <f t="shared" si="86"/>
        <v>jgd</v>
      </c>
      <c r="I729" t="s">
        <v>72</v>
      </c>
      <c r="J729" t="s">
        <v>694</v>
      </c>
      <c r="K729" t="s">
        <v>965</v>
      </c>
      <c r="L729" s="25">
        <v>46.128408649999997</v>
      </c>
      <c r="M729" s="25">
        <v>8.9692965200000003</v>
      </c>
      <c r="N729">
        <v>4</v>
      </c>
      <c r="O729">
        <v>24</v>
      </c>
      <c r="P729">
        <v>11</v>
      </c>
      <c r="Q729">
        <v>2015</v>
      </c>
      <c r="R729" s="9">
        <v>42332</v>
      </c>
      <c r="S729">
        <v>325</v>
      </c>
      <c r="T729">
        <v>1</v>
      </c>
      <c r="U729">
        <v>0</v>
      </c>
      <c r="V729">
        <v>0</v>
      </c>
      <c r="W729">
        <v>0</v>
      </c>
      <c r="X729">
        <f t="shared" si="87"/>
        <v>-63.975000000000001</v>
      </c>
      <c r="Y729">
        <v>-24.004799999999999</v>
      </c>
      <c r="Z729">
        <v>6.5283767529999999</v>
      </c>
      <c r="AA729" s="3">
        <f t="shared" si="89"/>
        <v>6</v>
      </c>
      <c r="AB729" s="3">
        <f t="shared" si="88"/>
        <v>7</v>
      </c>
      <c r="AD729" s="3" t="s">
        <v>2754</v>
      </c>
      <c r="AE729" s="22">
        <v>-75.400000000000006</v>
      </c>
      <c r="AF729" s="22">
        <f t="shared" si="90"/>
        <v>-75.400000000000006</v>
      </c>
      <c r="AG729" s="1">
        <v>-98.2</v>
      </c>
      <c r="AH729" s="2" t="s">
        <v>16</v>
      </c>
      <c r="AI729"/>
      <c r="AJ729" s="3">
        <f t="shared" si="91"/>
        <v>8</v>
      </c>
      <c r="AK729" s="3" t="s">
        <v>2706</v>
      </c>
      <c r="AL729">
        <v>8</v>
      </c>
      <c r="AM729" t="s">
        <v>15</v>
      </c>
    </row>
    <row r="730" spans="1:39" x14ac:dyDescent="0.3">
      <c r="A730" s="51" t="s">
        <v>1215</v>
      </c>
      <c r="B730" s="54" t="s">
        <v>1216</v>
      </c>
      <c r="C730" s="51" t="s">
        <v>2765</v>
      </c>
      <c r="D730" s="53">
        <v>0</v>
      </c>
      <c r="E730" s="53">
        <v>1</v>
      </c>
      <c r="F730" s="51" t="s">
        <v>2715</v>
      </c>
      <c r="G730" s="51" t="s">
        <v>2695</v>
      </c>
      <c r="H730" s="25" t="str">
        <f t="shared" si="86"/>
        <v>jgd</v>
      </c>
      <c r="I730" t="s">
        <v>72</v>
      </c>
      <c r="J730" t="s">
        <v>1189</v>
      </c>
      <c r="K730" t="s">
        <v>1217</v>
      </c>
      <c r="L730" s="25">
        <v>46.020301359999998</v>
      </c>
      <c r="M730" s="25">
        <v>8.9862357090000007</v>
      </c>
      <c r="N730">
        <v>5</v>
      </c>
      <c r="O730">
        <v>11</v>
      </c>
      <c r="P730">
        <v>11</v>
      </c>
      <c r="Q730">
        <v>2015</v>
      </c>
      <c r="R730" s="9">
        <v>42319</v>
      </c>
      <c r="S730">
        <v>265</v>
      </c>
      <c r="T730">
        <v>1</v>
      </c>
      <c r="U730">
        <v>0</v>
      </c>
      <c r="V730">
        <v>0</v>
      </c>
      <c r="W730">
        <v>0</v>
      </c>
      <c r="X730">
        <f t="shared" si="87"/>
        <v>-63.949999999999996</v>
      </c>
      <c r="Y730">
        <v>-23.896799999999999</v>
      </c>
      <c r="Z730">
        <v>7.4653630150000003</v>
      </c>
      <c r="AA730" s="3">
        <f t="shared" si="89"/>
        <v>6</v>
      </c>
      <c r="AB730" s="3">
        <f t="shared" si="88"/>
        <v>7</v>
      </c>
      <c r="AD730" s="3" t="s">
        <v>2754</v>
      </c>
      <c r="AE730" s="22">
        <v>-75.38</v>
      </c>
      <c r="AF730" s="22">
        <f t="shared" si="90"/>
        <v>-75.38</v>
      </c>
      <c r="AG730" s="1">
        <v>-98.1</v>
      </c>
      <c r="AH730" s="2" t="s">
        <v>16</v>
      </c>
      <c r="AI730"/>
      <c r="AJ730" s="3">
        <f t="shared" si="91"/>
        <v>8</v>
      </c>
      <c r="AK730" s="3" t="s">
        <v>2706</v>
      </c>
      <c r="AL730">
        <v>8</v>
      </c>
      <c r="AM730" t="s">
        <v>15</v>
      </c>
    </row>
    <row r="731" spans="1:39" x14ac:dyDescent="0.3">
      <c r="A731" s="51" t="s">
        <v>1616</v>
      </c>
      <c r="B731" s="54" t="s">
        <v>1617</v>
      </c>
      <c r="C731" s="51" t="s">
        <v>2765</v>
      </c>
      <c r="D731" s="53">
        <v>0</v>
      </c>
      <c r="E731" s="53">
        <v>1</v>
      </c>
      <c r="F731" s="51" t="s">
        <v>2715</v>
      </c>
      <c r="G731" s="51" t="s">
        <v>2695</v>
      </c>
      <c r="H731" s="25" t="str">
        <f t="shared" si="86"/>
        <v>jgd</v>
      </c>
      <c r="I731" t="s">
        <v>72</v>
      </c>
      <c r="J731" t="s">
        <v>848</v>
      </c>
      <c r="K731" t="s">
        <v>16</v>
      </c>
      <c r="L731" s="25">
        <v>46.179947140000003</v>
      </c>
      <c r="M731" s="25">
        <v>8.6520439339999999</v>
      </c>
      <c r="N731">
        <v>5</v>
      </c>
      <c r="O731">
        <v>2</v>
      </c>
      <c r="P731">
        <v>11</v>
      </c>
      <c r="Q731">
        <v>2016</v>
      </c>
      <c r="R731" s="9">
        <v>42676</v>
      </c>
      <c r="S731">
        <v>297</v>
      </c>
      <c r="T731">
        <v>1</v>
      </c>
      <c r="U731">
        <v>0</v>
      </c>
      <c r="V731">
        <v>0</v>
      </c>
      <c r="W731">
        <v>0</v>
      </c>
      <c r="X731" s="57">
        <f t="shared" si="87"/>
        <v>-63.860204375000002</v>
      </c>
      <c r="Y731">
        <v>-23.99</v>
      </c>
      <c r="Z731">
        <v>5.83</v>
      </c>
      <c r="AA731" s="3">
        <f t="shared" si="89"/>
        <v>6</v>
      </c>
      <c r="AB731" s="3">
        <f t="shared" si="88"/>
        <v>6</v>
      </c>
      <c r="AD731" s="3" t="s">
        <v>2754</v>
      </c>
      <c r="AE731" s="22">
        <v>-75.308163500000006</v>
      </c>
      <c r="AF731" s="22">
        <f t="shared" si="90"/>
        <v>-75.308163500000006</v>
      </c>
      <c r="AG731" s="60" t="s">
        <v>16</v>
      </c>
      <c r="AH731" s="61" t="s">
        <v>16</v>
      </c>
      <c r="AJ731" s="3">
        <f t="shared" si="91"/>
        <v>8</v>
      </c>
      <c r="AK731" s="3" t="s">
        <v>2706</v>
      </c>
      <c r="AL731">
        <v>8</v>
      </c>
      <c r="AM731" t="s">
        <v>15</v>
      </c>
    </row>
    <row r="732" spans="1:39" hidden="1" x14ac:dyDescent="0.3">
      <c r="A732" s="51" t="s">
        <v>2447</v>
      </c>
      <c r="B732" s="54" t="s">
        <v>1068</v>
      </c>
      <c r="C732" s="51" t="s">
        <v>2765</v>
      </c>
      <c r="D732" s="53">
        <v>0</v>
      </c>
      <c r="E732" s="53">
        <v>1</v>
      </c>
      <c r="F732" s="51" t="s">
        <v>2715</v>
      </c>
      <c r="G732" s="51" t="s">
        <v>2695</v>
      </c>
      <c r="H732" s="25" t="str">
        <f t="shared" si="86"/>
        <v>jgd</v>
      </c>
      <c r="I732" t="s">
        <v>13</v>
      </c>
      <c r="J732" t="s">
        <v>19</v>
      </c>
      <c r="K732" t="s">
        <v>2448</v>
      </c>
      <c r="L732" s="25">
        <v>46.946023289999999</v>
      </c>
      <c r="M732" s="25">
        <v>6.4708250439999997</v>
      </c>
      <c r="N732">
        <v>5</v>
      </c>
      <c r="O732">
        <v>11</v>
      </c>
      <c r="P732">
        <v>11</v>
      </c>
      <c r="Q732">
        <v>2017</v>
      </c>
      <c r="R732" s="9">
        <v>43050</v>
      </c>
      <c r="S732">
        <v>292</v>
      </c>
      <c r="T732">
        <v>1</v>
      </c>
      <c r="U732">
        <v>0</v>
      </c>
      <c r="V732">
        <v>0</v>
      </c>
      <c r="W732">
        <v>0</v>
      </c>
      <c r="X732" s="57">
        <f t="shared" si="87"/>
        <v>-63.822352124999988</v>
      </c>
      <c r="Y732" t="s">
        <v>16</v>
      </c>
      <c r="Z732">
        <v>7.7719955619999999</v>
      </c>
      <c r="AA732" s="3">
        <f t="shared" si="89"/>
        <v>6</v>
      </c>
      <c r="AB732" s="3">
        <f t="shared" si="88"/>
        <v>8</v>
      </c>
      <c r="AD732" s="3" t="s">
        <v>2750</v>
      </c>
      <c r="AE732" s="22">
        <v>-75.277881699999995</v>
      </c>
      <c r="AF732" s="22">
        <f t="shared" si="90"/>
        <v>-75.277881699999995</v>
      </c>
      <c r="AG732" s="60" t="s">
        <v>16</v>
      </c>
      <c r="AH732" s="61" t="s">
        <v>16</v>
      </c>
      <c r="AJ732" s="3">
        <f t="shared" si="91"/>
        <v>8</v>
      </c>
      <c r="AK732" s="3" t="s">
        <v>2706</v>
      </c>
      <c r="AL732">
        <v>8</v>
      </c>
      <c r="AM732" t="s">
        <v>15</v>
      </c>
    </row>
    <row r="733" spans="1:39" x14ac:dyDescent="0.3">
      <c r="A733" s="51" t="s">
        <v>666</v>
      </c>
      <c r="B733" s="54" t="s">
        <v>667</v>
      </c>
      <c r="C733" s="51" t="s">
        <v>2765</v>
      </c>
      <c r="D733" s="53">
        <v>0</v>
      </c>
      <c r="E733" s="53">
        <v>1</v>
      </c>
      <c r="F733" s="51" t="s">
        <v>2715</v>
      </c>
      <c r="G733" s="51" t="s">
        <v>2695</v>
      </c>
      <c r="H733" s="25" t="str">
        <f t="shared" si="86"/>
        <v>jgd</v>
      </c>
      <c r="I733" t="s">
        <v>72</v>
      </c>
      <c r="J733" t="s">
        <v>73</v>
      </c>
      <c r="K733" t="s">
        <v>668</v>
      </c>
      <c r="L733" s="25">
        <v>46.074386609999998</v>
      </c>
      <c r="M733" s="25">
        <v>9.0369451099999996</v>
      </c>
      <c r="N733">
        <v>5</v>
      </c>
      <c r="O733">
        <v>8</v>
      </c>
      <c r="P733">
        <v>11</v>
      </c>
      <c r="Q733">
        <v>2015</v>
      </c>
      <c r="R733" s="9">
        <v>42316</v>
      </c>
      <c r="S733">
        <v>320</v>
      </c>
      <c r="T733">
        <v>1</v>
      </c>
      <c r="U733">
        <v>0</v>
      </c>
      <c r="V733">
        <v>0</v>
      </c>
      <c r="W733">
        <v>0</v>
      </c>
      <c r="X733">
        <f t="shared" si="87"/>
        <v>-63.774999999999999</v>
      </c>
      <c r="Y733">
        <v>-24.0214</v>
      </c>
      <c r="Z733">
        <v>7.8015503500000003</v>
      </c>
      <c r="AA733" s="3">
        <f t="shared" si="89"/>
        <v>6</v>
      </c>
      <c r="AB733" s="3">
        <f t="shared" si="88"/>
        <v>8</v>
      </c>
      <c r="AD733" s="3" t="s">
        <v>2754</v>
      </c>
      <c r="AE733" s="22">
        <v>-75.239999999999995</v>
      </c>
      <c r="AF733" s="22">
        <f t="shared" si="90"/>
        <v>-75.239999999999995</v>
      </c>
      <c r="AG733" s="1">
        <v>-98</v>
      </c>
      <c r="AH733" s="2" t="s">
        <v>16</v>
      </c>
      <c r="AI733"/>
      <c r="AJ733" s="3">
        <f t="shared" si="91"/>
        <v>8</v>
      </c>
      <c r="AK733" s="3" t="s">
        <v>2706</v>
      </c>
      <c r="AL733">
        <v>8</v>
      </c>
      <c r="AM733" t="s">
        <v>15</v>
      </c>
    </row>
    <row r="734" spans="1:39" hidden="1" x14ac:dyDescent="0.3">
      <c r="A734" s="51" t="s">
        <v>2015</v>
      </c>
      <c r="B734" s="54" t="s">
        <v>1377</v>
      </c>
      <c r="C734" s="51" t="s">
        <v>2765</v>
      </c>
      <c r="D734" s="53">
        <v>0</v>
      </c>
      <c r="E734" s="53">
        <v>1</v>
      </c>
      <c r="F734" s="51" t="s">
        <v>2715</v>
      </c>
      <c r="G734" s="51" t="s">
        <v>2695</v>
      </c>
      <c r="H734" s="25" t="str">
        <f t="shared" si="86"/>
        <v>jgd</v>
      </c>
      <c r="I734" t="s">
        <v>30</v>
      </c>
      <c r="J734" t="s">
        <v>286</v>
      </c>
      <c r="K734" t="s">
        <v>2012</v>
      </c>
      <c r="L734" s="25">
        <v>46.766412590000002</v>
      </c>
      <c r="M734" s="25">
        <v>7.0424471229999996</v>
      </c>
      <c r="N734">
        <v>5</v>
      </c>
      <c r="O734">
        <v>12</v>
      </c>
      <c r="P734">
        <v>11</v>
      </c>
      <c r="Q734">
        <v>2016</v>
      </c>
      <c r="R734" s="9">
        <v>42686</v>
      </c>
      <c r="S734">
        <v>313</v>
      </c>
      <c r="T734">
        <v>1</v>
      </c>
      <c r="U734">
        <v>0</v>
      </c>
      <c r="V734">
        <v>0</v>
      </c>
      <c r="W734">
        <v>0</v>
      </c>
      <c r="X734" s="57">
        <f t="shared" si="87"/>
        <v>-63.754396500000006</v>
      </c>
      <c r="Y734">
        <v>-23.14</v>
      </c>
      <c r="Z734">
        <v>5.15</v>
      </c>
      <c r="AA734" s="3">
        <f t="shared" si="89"/>
        <v>6</v>
      </c>
      <c r="AB734" s="3">
        <f t="shared" si="88"/>
        <v>5</v>
      </c>
      <c r="AD734" s="3" t="s">
        <v>2751</v>
      </c>
      <c r="AE734" s="22">
        <v>-75.223517200000003</v>
      </c>
      <c r="AF734" s="22">
        <f t="shared" si="90"/>
        <v>-75.223517200000003</v>
      </c>
      <c r="AG734" s="60" t="s">
        <v>16</v>
      </c>
      <c r="AH734" s="61" t="s">
        <v>16</v>
      </c>
      <c r="AJ734" s="3">
        <f t="shared" si="91"/>
        <v>8</v>
      </c>
      <c r="AK734" s="3" t="s">
        <v>2706</v>
      </c>
      <c r="AL734">
        <v>8</v>
      </c>
      <c r="AM734" t="s">
        <v>15</v>
      </c>
    </row>
    <row r="735" spans="1:39" x14ac:dyDescent="0.3">
      <c r="A735" s="51" t="s">
        <v>1284</v>
      </c>
      <c r="B735" s="54" t="s">
        <v>1285</v>
      </c>
      <c r="C735" s="51" t="s">
        <v>2765</v>
      </c>
      <c r="D735" s="53">
        <v>0</v>
      </c>
      <c r="E735" s="53">
        <v>1</v>
      </c>
      <c r="F735" s="51" t="s">
        <v>2715</v>
      </c>
      <c r="G735" s="51" t="s">
        <v>2695</v>
      </c>
      <c r="H735" s="25" t="str">
        <f t="shared" si="86"/>
        <v>jgd</v>
      </c>
      <c r="I735" t="s">
        <v>72</v>
      </c>
      <c r="J735" t="s">
        <v>1286</v>
      </c>
      <c r="K735" t="s">
        <v>1287</v>
      </c>
      <c r="L735" s="25">
        <v>46.080232430000002</v>
      </c>
      <c r="M735" s="25">
        <v>9.0371162229999999</v>
      </c>
      <c r="N735">
        <v>6</v>
      </c>
      <c r="O735">
        <v>29</v>
      </c>
      <c r="P735">
        <v>11</v>
      </c>
      <c r="Q735">
        <v>2015</v>
      </c>
      <c r="R735" s="9">
        <v>42337</v>
      </c>
      <c r="S735">
        <v>300</v>
      </c>
      <c r="T735">
        <v>1</v>
      </c>
      <c r="U735">
        <v>0</v>
      </c>
      <c r="V735">
        <v>0</v>
      </c>
      <c r="W735">
        <v>0</v>
      </c>
      <c r="X735">
        <f t="shared" si="87"/>
        <v>-63.637499999999996</v>
      </c>
      <c r="Y735">
        <v>-24.463000000000001</v>
      </c>
      <c r="Z735">
        <v>4.0708941650000003</v>
      </c>
      <c r="AA735" s="3">
        <f t="shared" si="89"/>
        <v>6</v>
      </c>
      <c r="AB735" s="3">
        <f t="shared" si="88"/>
        <v>4</v>
      </c>
      <c r="AD735" s="3" t="s">
        <v>2754</v>
      </c>
      <c r="AE735" s="22">
        <v>-75.13</v>
      </c>
      <c r="AF735" s="22">
        <f t="shared" si="90"/>
        <v>-75.13</v>
      </c>
      <c r="AG735" s="1">
        <v>-97.9</v>
      </c>
      <c r="AH735" s="2" t="s">
        <v>16</v>
      </c>
      <c r="AI735"/>
      <c r="AJ735" s="3">
        <f t="shared" si="91"/>
        <v>8</v>
      </c>
      <c r="AK735" s="3" t="s">
        <v>2706</v>
      </c>
      <c r="AL735">
        <v>8</v>
      </c>
      <c r="AM735" t="s">
        <v>15</v>
      </c>
    </row>
    <row r="736" spans="1:39" hidden="1" x14ac:dyDescent="0.3">
      <c r="A736" s="51" t="s">
        <v>195</v>
      </c>
      <c r="B736" s="54" t="s">
        <v>52</v>
      </c>
      <c r="C736" s="51" t="s">
        <v>2765</v>
      </c>
      <c r="D736" s="53">
        <v>0</v>
      </c>
      <c r="E736" s="53">
        <v>1</v>
      </c>
      <c r="F736" s="51" t="s">
        <v>2715</v>
      </c>
      <c r="G736" s="51" t="s">
        <v>2695</v>
      </c>
      <c r="H736" s="25" t="str">
        <f t="shared" si="86"/>
        <v>jgd</v>
      </c>
      <c r="I736" t="s">
        <v>13</v>
      </c>
      <c r="J736" t="s">
        <v>16</v>
      </c>
      <c r="K736" t="s">
        <v>196</v>
      </c>
      <c r="L736" s="25">
        <v>46.93845314</v>
      </c>
      <c r="M736" s="25">
        <v>6.5869466550000002</v>
      </c>
      <c r="N736">
        <v>6</v>
      </c>
      <c r="O736">
        <v>24</v>
      </c>
      <c r="P736">
        <v>10</v>
      </c>
      <c r="Q736">
        <v>2013</v>
      </c>
      <c r="R736" s="9">
        <v>41571</v>
      </c>
      <c r="S736">
        <v>307</v>
      </c>
      <c r="T736">
        <v>1</v>
      </c>
      <c r="U736">
        <v>0</v>
      </c>
      <c r="V736">
        <v>0</v>
      </c>
      <c r="W736">
        <v>0</v>
      </c>
      <c r="X736">
        <f t="shared" si="87"/>
        <v>-63.587500000000013</v>
      </c>
      <c r="Y736">
        <v>-6.5620291569999996</v>
      </c>
      <c r="Z736">
        <v>2.8765267209999998</v>
      </c>
      <c r="AA736" s="3">
        <f t="shared" si="89"/>
        <v>6</v>
      </c>
      <c r="AB736" s="3">
        <f t="shared" si="88"/>
        <v>3</v>
      </c>
      <c r="AD736" s="3" t="s">
        <v>2750</v>
      </c>
      <c r="AE736" s="22">
        <v>-75.09</v>
      </c>
      <c r="AF736" s="22">
        <f t="shared" si="90"/>
        <v>-75.09</v>
      </c>
      <c r="AG736" s="1">
        <v>-97.8</v>
      </c>
      <c r="AH736" s="2" t="s">
        <v>16</v>
      </c>
      <c r="AI736"/>
      <c r="AJ736" s="3">
        <f t="shared" si="91"/>
        <v>8</v>
      </c>
      <c r="AK736" s="3" t="s">
        <v>2706</v>
      </c>
      <c r="AL736">
        <v>8</v>
      </c>
      <c r="AM736" t="s">
        <v>15</v>
      </c>
    </row>
    <row r="737" spans="1:39" x14ac:dyDescent="0.3">
      <c r="A737" s="51" t="s">
        <v>2148</v>
      </c>
      <c r="B737" s="54" t="s">
        <v>154</v>
      </c>
      <c r="C737" s="51" t="s">
        <v>2765</v>
      </c>
      <c r="D737" s="53">
        <v>0</v>
      </c>
      <c r="E737" s="53">
        <v>1</v>
      </c>
      <c r="F737" s="51" t="s">
        <v>2715</v>
      </c>
      <c r="G737" s="51" t="s">
        <v>2695</v>
      </c>
      <c r="H737" s="25" t="str">
        <f t="shared" si="86"/>
        <v>jgd</v>
      </c>
      <c r="I737" t="s">
        <v>72</v>
      </c>
      <c r="J737" t="s">
        <v>155</v>
      </c>
      <c r="K737" t="s">
        <v>1682</v>
      </c>
      <c r="L737" s="25">
        <v>46.116581750000002</v>
      </c>
      <c r="M737" s="25">
        <v>8.8408851819999992</v>
      </c>
      <c r="N737">
        <v>5</v>
      </c>
      <c r="O737">
        <v>17</v>
      </c>
      <c r="P737">
        <v>10</v>
      </c>
      <c r="Q737">
        <v>2017</v>
      </c>
      <c r="R737" s="9">
        <v>43025</v>
      </c>
      <c r="S737">
        <v>339</v>
      </c>
      <c r="T737">
        <v>1</v>
      </c>
      <c r="U737">
        <v>0</v>
      </c>
      <c r="V737">
        <v>0</v>
      </c>
      <c r="W737">
        <v>0</v>
      </c>
      <c r="X737" s="57">
        <f t="shared" si="87"/>
        <v>-63.5590695</v>
      </c>
      <c r="Y737" t="s">
        <v>16</v>
      </c>
      <c r="Z737">
        <v>3.7097121980000001</v>
      </c>
      <c r="AA737" s="3">
        <f t="shared" si="89"/>
        <v>6</v>
      </c>
      <c r="AB737" s="3">
        <f t="shared" si="88"/>
        <v>4</v>
      </c>
      <c r="AD737" s="3" t="s">
        <v>2754</v>
      </c>
      <c r="AE737" s="22">
        <v>-75.067255599999996</v>
      </c>
      <c r="AF737" s="22">
        <f t="shared" si="90"/>
        <v>-75.067255599999996</v>
      </c>
      <c r="AG737" s="60" t="s">
        <v>16</v>
      </c>
      <c r="AH737" s="61" t="s">
        <v>16</v>
      </c>
      <c r="AJ737" s="3">
        <f t="shared" si="91"/>
        <v>8</v>
      </c>
      <c r="AK737" s="3" t="s">
        <v>2706</v>
      </c>
      <c r="AL737">
        <v>8</v>
      </c>
      <c r="AM737" t="s">
        <v>15</v>
      </c>
    </row>
    <row r="738" spans="1:39" x14ac:dyDescent="0.3">
      <c r="A738" s="51" t="s">
        <v>2523</v>
      </c>
      <c r="B738" s="54" t="s">
        <v>1174</v>
      </c>
      <c r="C738" s="51" t="s">
        <v>2765</v>
      </c>
      <c r="D738" s="53">
        <v>0</v>
      </c>
      <c r="E738" s="53">
        <v>1</v>
      </c>
      <c r="F738" s="51" t="s">
        <v>2715</v>
      </c>
      <c r="G738" s="51" t="s">
        <v>2695</v>
      </c>
      <c r="H738" s="25" t="str">
        <f t="shared" si="86"/>
        <v>jgd</v>
      </c>
      <c r="I738" t="s">
        <v>72</v>
      </c>
      <c r="J738" t="s">
        <v>298</v>
      </c>
      <c r="K738" t="s">
        <v>2515</v>
      </c>
      <c r="L738" s="25">
        <v>46.124882229999997</v>
      </c>
      <c r="M738" s="25">
        <v>8.9818136049999993</v>
      </c>
      <c r="N738">
        <v>5</v>
      </c>
      <c r="O738">
        <v>19</v>
      </c>
      <c r="P738">
        <v>10</v>
      </c>
      <c r="Q738">
        <v>2017</v>
      </c>
      <c r="R738" s="9">
        <v>43027</v>
      </c>
      <c r="S738">
        <v>330</v>
      </c>
      <c r="T738">
        <v>1</v>
      </c>
      <c r="U738">
        <v>0</v>
      </c>
      <c r="V738">
        <v>0</v>
      </c>
      <c r="W738">
        <v>0</v>
      </c>
      <c r="X738" s="57">
        <f t="shared" si="87"/>
        <v>-63.531274500000002</v>
      </c>
      <c r="Y738" t="s">
        <v>16</v>
      </c>
      <c r="Z738">
        <v>5.7858879239999998</v>
      </c>
      <c r="AA738" s="3">
        <f t="shared" si="89"/>
        <v>6</v>
      </c>
      <c r="AB738" s="3">
        <f t="shared" si="88"/>
        <v>6</v>
      </c>
      <c r="AD738" s="3" t="s">
        <v>2754</v>
      </c>
      <c r="AE738" s="22">
        <v>-75.045019600000003</v>
      </c>
      <c r="AF738" s="22">
        <f t="shared" si="90"/>
        <v>-75.045019600000003</v>
      </c>
      <c r="AG738" s="60" t="s">
        <v>16</v>
      </c>
      <c r="AH738" s="61" t="s">
        <v>16</v>
      </c>
      <c r="AJ738" s="3">
        <f t="shared" si="91"/>
        <v>8</v>
      </c>
      <c r="AK738" s="3" t="s">
        <v>2706</v>
      </c>
      <c r="AL738">
        <v>8</v>
      </c>
      <c r="AM738" t="s">
        <v>15</v>
      </c>
    </row>
    <row r="739" spans="1:39" hidden="1" x14ac:dyDescent="0.3">
      <c r="A739" s="51" t="s">
        <v>1374</v>
      </c>
      <c r="B739" s="54" t="s">
        <v>1375</v>
      </c>
      <c r="C739" s="51" t="s">
        <v>2765</v>
      </c>
      <c r="D739" s="53">
        <v>0</v>
      </c>
      <c r="E739" s="53">
        <v>1</v>
      </c>
      <c r="F739" s="51" t="s">
        <v>2715</v>
      </c>
      <c r="G739" s="51" t="s">
        <v>2695</v>
      </c>
      <c r="H739" s="25" t="str">
        <f t="shared" si="86"/>
        <v>jgd</v>
      </c>
      <c r="I739" t="s">
        <v>30</v>
      </c>
      <c r="J739" t="s">
        <v>788</v>
      </c>
      <c r="K739" t="s">
        <v>1373</v>
      </c>
      <c r="L739" s="25">
        <v>46.615210759999997</v>
      </c>
      <c r="M739" s="25">
        <v>6.9532295519999998</v>
      </c>
      <c r="N739">
        <v>5</v>
      </c>
      <c r="O739">
        <v>24</v>
      </c>
      <c r="P739">
        <v>10</v>
      </c>
      <c r="Q739">
        <v>2015</v>
      </c>
      <c r="R739" s="9">
        <v>42301</v>
      </c>
      <c r="S739">
        <v>285</v>
      </c>
      <c r="T739">
        <v>1</v>
      </c>
      <c r="U739">
        <v>0</v>
      </c>
      <c r="V739">
        <v>0</v>
      </c>
      <c r="W739">
        <v>0</v>
      </c>
      <c r="X739">
        <f t="shared" si="87"/>
        <v>-63.525000000000013</v>
      </c>
      <c r="Y739">
        <v>-25.131799999999998</v>
      </c>
      <c r="Z739">
        <v>6.1037358299999998</v>
      </c>
      <c r="AA739" s="3">
        <f t="shared" si="89"/>
        <v>6</v>
      </c>
      <c r="AB739" s="3">
        <f t="shared" si="88"/>
        <v>6</v>
      </c>
      <c r="AD739" s="3" t="s">
        <v>2751</v>
      </c>
      <c r="AE739" s="22">
        <v>-75.040000000000006</v>
      </c>
      <c r="AF739" s="22">
        <f t="shared" si="90"/>
        <v>-75.040000000000006</v>
      </c>
      <c r="AG739" s="1">
        <v>-97.8</v>
      </c>
      <c r="AH739" s="2" t="s">
        <v>16</v>
      </c>
      <c r="AI739"/>
      <c r="AJ739" s="3">
        <f t="shared" si="91"/>
        <v>8</v>
      </c>
      <c r="AK739" s="3" t="s">
        <v>2706</v>
      </c>
      <c r="AL739">
        <v>8</v>
      </c>
      <c r="AM739" t="s">
        <v>15</v>
      </c>
    </row>
    <row r="740" spans="1:39" hidden="1" x14ac:dyDescent="0.3">
      <c r="A740" s="51" t="s">
        <v>197</v>
      </c>
      <c r="B740" s="54" t="s">
        <v>53</v>
      </c>
      <c r="C740" s="51" t="s">
        <v>2765</v>
      </c>
      <c r="D740" s="53">
        <v>0</v>
      </c>
      <c r="E740" s="53">
        <v>1</v>
      </c>
      <c r="F740" s="51" t="s">
        <v>2715</v>
      </c>
      <c r="G740" s="51" t="s">
        <v>2695</v>
      </c>
      <c r="H740" s="25" t="str">
        <f t="shared" si="86"/>
        <v>jgd</v>
      </c>
      <c r="I740" t="s">
        <v>13</v>
      </c>
      <c r="J740" t="s">
        <v>16</v>
      </c>
      <c r="K740" t="s">
        <v>198</v>
      </c>
      <c r="L740" s="25">
        <v>46.972385260000003</v>
      </c>
      <c r="M740" s="25">
        <v>6.7625102760000004</v>
      </c>
      <c r="N740">
        <v>6</v>
      </c>
      <c r="O740">
        <v>26</v>
      </c>
      <c r="P740">
        <v>10</v>
      </c>
      <c r="Q740">
        <v>2013</v>
      </c>
      <c r="R740" s="9">
        <v>41573</v>
      </c>
      <c r="S740">
        <v>334</v>
      </c>
      <c r="T740">
        <v>1</v>
      </c>
      <c r="U740">
        <v>0</v>
      </c>
      <c r="V740">
        <v>0</v>
      </c>
      <c r="W740">
        <v>0</v>
      </c>
      <c r="X740">
        <f t="shared" si="87"/>
        <v>-63.487500000000004</v>
      </c>
      <c r="Y740">
        <v>87.854290860000006</v>
      </c>
      <c r="Z740">
        <v>3.7441635230000001</v>
      </c>
      <c r="AA740" s="3">
        <f t="shared" si="89"/>
        <v>6</v>
      </c>
      <c r="AB740" s="3">
        <f t="shared" si="88"/>
        <v>4</v>
      </c>
      <c r="AD740" s="3" t="s">
        <v>2750</v>
      </c>
      <c r="AE740" s="22">
        <v>-75.010000000000005</v>
      </c>
      <c r="AF740" s="22">
        <f t="shared" si="90"/>
        <v>-75.010000000000005</v>
      </c>
      <c r="AG740" s="1">
        <v>-97.8</v>
      </c>
      <c r="AH740" s="2" t="s">
        <v>16</v>
      </c>
      <c r="AI740"/>
      <c r="AJ740" s="3">
        <f t="shared" si="91"/>
        <v>8</v>
      </c>
      <c r="AK740" s="3" t="s">
        <v>2706</v>
      </c>
      <c r="AL740">
        <v>8</v>
      </c>
      <c r="AM740" t="s">
        <v>15</v>
      </c>
    </row>
    <row r="741" spans="1:39" hidden="1" x14ac:dyDescent="0.3">
      <c r="A741" s="51" t="s">
        <v>556</v>
      </c>
      <c r="B741" s="54" t="s">
        <v>557</v>
      </c>
      <c r="C741" s="51" t="s">
        <v>2765</v>
      </c>
      <c r="D741" s="53">
        <v>0</v>
      </c>
      <c r="E741" s="53">
        <v>1</v>
      </c>
      <c r="F741" s="51" t="s">
        <v>2715</v>
      </c>
      <c r="G741" s="51" t="s">
        <v>2695</v>
      </c>
      <c r="H741" s="25" t="str">
        <f t="shared" si="86"/>
        <v>jgd</v>
      </c>
      <c r="I741" t="s">
        <v>385</v>
      </c>
      <c r="J741" t="s">
        <v>558</v>
      </c>
      <c r="K741" t="s">
        <v>559</v>
      </c>
      <c r="L741" s="25">
        <v>46.690058749999999</v>
      </c>
      <c r="M741" s="25">
        <v>6.3130504930000004</v>
      </c>
      <c r="N741">
        <v>4</v>
      </c>
      <c r="O741">
        <v>22</v>
      </c>
      <c r="P741">
        <v>10</v>
      </c>
      <c r="Q741">
        <v>2014</v>
      </c>
      <c r="R741" s="9">
        <v>41934</v>
      </c>
      <c r="S741">
        <v>328</v>
      </c>
      <c r="T741">
        <v>1</v>
      </c>
      <c r="U741">
        <v>0</v>
      </c>
      <c r="V741">
        <v>0</v>
      </c>
      <c r="W741">
        <v>0</v>
      </c>
      <c r="X741">
        <f t="shared" si="87"/>
        <v>-63.462499999999999</v>
      </c>
      <c r="Y741">
        <v>-24.064800000000002</v>
      </c>
      <c r="Z741">
        <v>5.0462848190000003</v>
      </c>
      <c r="AA741" s="3">
        <f t="shared" si="89"/>
        <v>6</v>
      </c>
      <c r="AB741" s="3">
        <f t="shared" si="88"/>
        <v>5</v>
      </c>
      <c r="AD741" s="3" t="s">
        <v>2750</v>
      </c>
      <c r="AE741" s="22">
        <v>-74.989999999999995</v>
      </c>
      <c r="AF741" s="22">
        <f t="shared" si="90"/>
        <v>-74.989999999999995</v>
      </c>
      <c r="AG741" s="1">
        <v>-97.7</v>
      </c>
      <c r="AH741" s="2" t="s">
        <v>16</v>
      </c>
      <c r="AI741"/>
      <c r="AJ741" s="3">
        <f t="shared" si="91"/>
        <v>7</v>
      </c>
      <c r="AK741" s="3" t="s">
        <v>2706</v>
      </c>
      <c r="AL741">
        <v>7</v>
      </c>
      <c r="AM741" t="s">
        <v>15</v>
      </c>
    </row>
    <row r="742" spans="1:39" x14ac:dyDescent="0.3">
      <c r="A742" s="51" t="s">
        <v>1592</v>
      </c>
      <c r="B742" s="54" t="s">
        <v>1593</v>
      </c>
      <c r="C742" s="51" t="s">
        <v>2765</v>
      </c>
      <c r="D742" s="53">
        <v>0</v>
      </c>
      <c r="E742" s="53">
        <v>1</v>
      </c>
      <c r="F742" s="51" t="s">
        <v>2715</v>
      </c>
      <c r="G742" s="51" t="s">
        <v>2695</v>
      </c>
      <c r="H742" s="25" t="str">
        <f t="shared" si="86"/>
        <v>jgd</v>
      </c>
      <c r="I742" t="s">
        <v>72</v>
      </c>
      <c r="J742" t="s">
        <v>804</v>
      </c>
      <c r="K742" t="s">
        <v>1594</v>
      </c>
      <c r="L742" s="25">
        <v>46.056110259999997</v>
      </c>
      <c r="M742" s="25">
        <v>8.8964652510000004</v>
      </c>
      <c r="N742">
        <v>5</v>
      </c>
      <c r="O742">
        <v>22</v>
      </c>
      <c r="P742">
        <v>10</v>
      </c>
      <c r="Q742">
        <v>2016</v>
      </c>
      <c r="R742" s="9">
        <v>42665</v>
      </c>
      <c r="S742">
        <v>345</v>
      </c>
      <c r="T742">
        <v>1</v>
      </c>
      <c r="U742">
        <v>0</v>
      </c>
      <c r="V742">
        <v>0</v>
      </c>
      <c r="W742">
        <v>0</v>
      </c>
      <c r="X742" s="57">
        <f t="shared" si="87"/>
        <v>-63.448531999999993</v>
      </c>
      <c r="Y742">
        <v>-24.34</v>
      </c>
      <c r="Z742">
        <v>6.94</v>
      </c>
      <c r="AA742" s="3">
        <f t="shared" si="89"/>
        <v>6</v>
      </c>
      <c r="AB742" s="3">
        <f t="shared" si="88"/>
        <v>7</v>
      </c>
      <c r="AD742" s="3" t="s">
        <v>2754</v>
      </c>
      <c r="AE742" s="22">
        <v>-74.978825599999993</v>
      </c>
      <c r="AF742" s="22">
        <f t="shared" si="90"/>
        <v>-74.978825599999993</v>
      </c>
      <c r="AG742" s="60" t="s">
        <v>16</v>
      </c>
      <c r="AH742" s="61" t="s">
        <v>16</v>
      </c>
      <c r="AJ742" s="3">
        <f t="shared" si="91"/>
        <v>7</v>
      </c>
      <c r="AK742" s="3" t="s">
        <v>2706</v>
      </c>
      <c r="AL742">
        <v>7</v>
      </c>
      <c r="AM742" t="s">
        <v>15</v>
      </c>
    </row>
    <row r="743" spans="1:39" hidden="1" x14ac:dyDescent="0.3">
      <c r="A743" s="51" t="s">
        <v>1835</v>
      </c>
      <c r="B743" s="54" t="s">
        <v>1836</v>
      </c>
      <c r="C743" s="51" t="s">
        <v>2765</v>
      </c>
      <c r="D743" s="53">
        <v>0</v>
      </c>
      <c r="E743" s="53">
        <v>1</v>
      </c>
      <c r="F743" s="51" t="s">
        <v>2715</v>
      </c>
      <c r="G743" s="51" t="s">
        <v>2695</v>
      </c>
      <c r="H743" s="25" t="str">
        <f t="shared" si="86"/>
        <v>jgd</v>
      </c>
      <c r="I743" t="s">
        <v>13</v>
      </c>
      <c r="J743" t="s">
        <v>19</v>
      </c>
      <c r="K743" t="s">
        <v>1837</v>
      </c>
      <c r="L743" s="25">
        <v>46.934423860000003</v>
      </c>
      <c r="M743" s="25">
        <v>6.4640208660000003</v>
      </c>
      <c r="N743">
        <v>6</v>
      </c>
      <c r="O743">
        <v>16</v>
      </c>
      <c r="P743">
        <v>10</v>
      </c>
      <c r="Q743">
        <v>2017</v>
      </c>
      <c r="R743" s="9">
        <v>43024</v>
      </c>
      <c r="S743" t="s">
        <v>16</v>
      </c>
      <c r="T743">
        <v>1</v>
      </c>
      <c r="U743">
        <v>0</v>
      </c>
      <c r="V743">
        <v>0</v>
      </c>
      <c r="W743">
        <v>0</v>
      </c>
      <c r="X743" s="57">
        <f t="shared" si="87"/>
        <v>-63.381605499999999</v>
      </c>
      <c r="Y743" t="s">
        <v>16</v>
      </c>
      <c r="Z743">
        <v>5.1604925460000004</v>
      </c>
      <c r="AA743" s="3">
        <f t="shared" si="89"/>
        <v>6</v>
      </c>
      <c r="AB743" s="3">
        <f t="shared" si="88"/>
        <v>5</v>
      </c>
      <c r="AD743" s="3" t="s">
        <v>2750</v>
      </c>
      <c r="AE743" s="22">
        <v>-74.925284399999995</v>
      </c>
      <c r="AF743" s="22">
        <f t="shared" si="90"/>
        <v>-74.925284399999995</v>
      </c>
      <c r="AG743" s="60" t="s">
        <v>16</v>
      </c>
      <c r="AH743" s="61" t="s">
        <v>16</v>
      </c>
      <c r="AJ743" s="3">
        <f t="shared" si="91"/>
        <v>7</v>
      </c>
      <c r="AK743" s="3" t="s">
        <v>2706</v>
      </c>
      <c r="AL743">
        <v>7</v>
      </c>
      <c r="AM743" t="s">
        <v>2679</v>
      </c>
    </row>
    <row r="744" spans="1:39" x14ac:dyDescent="0.3">
      <c r="A744" s="51" t="s">
        <v>817</v>
      </c>
      <c r="B744" s="54" t="s">
        <v>818</v>
      </c>
      <c r="C744" s="51" t="s">
        <v>2765</v>
      </c>
      <c r="D744" s="53">
        <v>0</v>
      </c>
      <c r="E744" s="53">
        <v>1</v>
      </c>
      <c r="F744" s="51" t="s">
        <v>2715</v>
      </c>
      <c r="G744" s="51" t="s">
        <v>2695</v>
      </c>
      <c r="H744" s="25" t="str">
        <f t="shared" si="86"/>
        <v>jgd</v>
      </c>
      <c r="I744" t="s">
        <v>72</v>
      </c>
      <c r="J744" t="s">
        <v>804</v>
      </c>
      <c r="K744" t="s">
        <v>805</v>
      </c>
      <c r="L744" s="25">
        <v>46.054627969999999</v>
      </c>
      <c r="M744" s="25">
        <v>8.8955986520000003</v>
      </c>
      <c r="N744">
        <v>6</v>
      </c>
      <c r="O744">
        <v>25</v>
      </c>
      <c r="P744">
        <v>10</v>
      </c>
      <c r="Q744">
        <v>2015</v>
      </c>
      <c r="R744" s="9">
        <v>42302</v>
      </c>
      <c r="S744">
        <v>324</v>
      </c>
      <c r="T744">
        <v>1</v>
      </c>
      <c r="U744">
        <v>0</v>
      </c>
      <c r="V744">
        <v>0</v>
      </c>
      <c r="W744">
        <v>0</v>
      </c>
      <c r="X744">
        <f t="shared" si="87"/>
        <v>-63.375000000000007</v>
      </c>
      <c r="Y744">
        <v>-23.413399999999999</v>
      </c>
      <c r="Z744">
        <v>6.846395223</v>
      </c>
      <c r="AA744" s="3">
        <f t="shared" si="89"/>
        <v>6</v>
      </c>
      <c r="AB744" s="3">
        <f t="shared" si="88"/>
        <v>7</v>
      </c>
      <c r="AD744" s="3" t="s">
        <v>2754</v>
      </c>
      <c r="AE744" s="22">
        <v>-74.92</v>
      </c>
      <c r="AF744" s="22">
        <f t="shared" si="90"/>
        <v>-74.92</v>
      </c>
      <c r="AG744" s="1">
        <v>-97.7</v>
      </c>
      <c r="AH744" s="2" t="s">
        <v>16</v>
      </c>
      <c r="AI744"/>
      <c r="AJ744" s="3">
        <f t="shared" si="91"/>
        <v>7</v>
      </c>
      <c r="AK744" s="3" t="s">
        <v>2706</v>
      </c>
      <c r="AL744">
        <v>7</v>
      </c>
      <c r="AM744" t="s">
        <v>15</v>
      </c>
    </row>
    <row r="745" spans="1:39" x14ac:dyDescent="0.3">
      <c r="A745" s="51" t="s">
        <v>1225</v>
      </c>
      <c r="B745" s="54" t="s">
        <v>1226</v>
      </c>
      <c r="C745" s="51" t="s">
        <v>2765</v>
      </c>
      <c r="D745" s="53">
        <v>0</v>
      </c>
      <c r="E745" s="53">
        <v>1</v>
      </c>
      <c r="F745" s="51" t="s">
        <v>2715</v>
      </c>
      <c r="G745" s="51" t="s">
        <v>2695</v>
      </c>
      <c r="H745" s="25" t="str">
        <f t="shared" si="86"/>
        <v>jgd</v>
      </c>
      <c r="I745" t="s">
        <v>72</v>
      </c>
      <c r="J745" t="s">
        <v>1189</v>
      </c>
      <c r="K745" t="s">
        <v>1227</v>
      </c>
      <c r="L745" s="25">
        <v>46.02094237</v>
      </c>
      <c r="M745" s="25">
        <v>9.007537696</v>
      </c>
      <c r="N745">
        <v>5</v>
      </c>
      <c r="O745">
        <v>18</v>
      </c>
      <c r="P745">
        <v>11</v>
      </c>
      <c r="Q745">
        <v>2015</v>
      </c>
      <c r="R745" s="9">
        <v>42326</v>
      </c>
      <c r="S745">
        <v>350</v>
      </c>
      <c r="T745">
        <v>1</v>
      </c>
      <c r="U745">
        <v>0</v>
      </c>
      <c r="V745">
        <v>0</v>
      </c>
      <c r="W745">
        <v>0</v>
      </c>
      <c r="X745">
        <f t="shared" si="87"/>
        <v>-63.199999999999996</v>
      </c>
      <c r="Y745">
        <v>-25.155799999999999</v>
      </c>
      <c r="Z745">
        <v>6.4519132680000002</v>
      </c>
      <c r="AA745" s="3">
        <f t="shared" si="89"/>
        <v>6</v>
      </c>
      <c r="AB745" s="3">
        <f t="shared" si="88"/>
        <v>6</v>
      </c>
      <c r="AD745" s="3" t="s">
        <v>2754</v>
      </c>
      <c r="AE745" s="22">
        <v>-74.78</v>
      </c>
      <c r="AF745" s="22">
        <f t="shared" si="90"/>
        <v>-74.78</v>
      </c>
      <c r="AG745" s="1">
        <v>-97.5</v>
      </c>
      <c r="AH745" s="2" t="s">
        <v>16</v>
      </c>
      <c r="AI745"/>
      <c r="AJ745" s="3">
        <f t="shared" si="91"/>
        <v>7</v>
      </c>
      <c r="AK745" s="3" t="s">
        <v>2706</v>
      </c>
      <c r="AL745">
        <v>7</v>
      </c>
      <c r="AM745" t="s">
        <v>15</v>
      </c>
    </row>
    <row r="746" spans="1:39" x14ac:dyDescent="0.3">
      <c r="A746" s="51" t="s">
        <v>2047</v>
      </c>
      <c r="B746" s="54" t="s">
        <v>1392</v>
      </c>
      <c r="C746" s="51" t="s">
        <v>2765</v>
      </c>
      <c r="D746" s="53">
        <v>0</v>
      </c>
      <c r="E746" s="53">
        <v>1</v>
      </c>
      <c r="F746" s="51" t="s">
        <v>2715</v>
      </c>
      <c r="G746" s="51" t="s">
        <v>2695</v>
      </c>
      <c r="H746" s="25" t="str">
        <f t="shared" si="86"/>
        <v>jgd</v>
      </c>
      <c r="I746" t="s">
        <v>72</v>
      </c>
      <c r="J746" t="s">
        <v>1387</v>
      </c>
      <c r="K746" t="s">
        <v>2048</v>
      </c>
      <c r="L746" s="25">
        <v>46.072612290000002</v>
      </c>
      <c r="M746" s="25">
        <v>8.9703181010000002</v>
      </c>
      <c r="N746">
        <v>3</v>
      </c>
      <c r="O746">
        <v>29</v>
      </c>
      <c r="P746">
        <v>11</v>
      </c>
      <c r="Q746">
        <v>2016</v>
      </c>
      <c r="R746" s="9">
        <v>42703</v>
      </c>
      <c r="S746">
        <v>287</v>
      </c>
      <c r="T746">
        <v>1</v>
      </c>
      <c r="U746">
        <v>0</v>
      </c>
      <c r="V746">
        <v>0</v>
      </c>
      <c r="W746">
        <v>0</v>
      </c>
      <c r="X746" s="57">
        <f t="shared" si="87"/>
        <v>-63.169067000000005</v>
      </c>
      <c r="Y746">
        <v>-23.13</v>
      </c>
      <c r="Z746">
        <v>3.83</v>
      </c>
      <c r="AA746" s="3">
        <f t="shared" si="89"/>
        <v>6</v>
      </c>
      <c r="AB746" s="3">
        <f t="shared" si="88"/>
        <v>4</v>
      </c>
      <c r="AD746" s="3" t="s">
        <v>2754</v>
      </c>
      <c r="AE746" s="22">
        <v>-74.755253600000003</v>
      </c>
      <c r="AF746" s="22">
        <f t="shared" si="90"/>
        <v>-74.755253600000003</v>
      </c>
      <c r="AG746" s="60" t="s">
        <v>16</v>
      </c>
      <c r="AH746" s="61" t="s">
        <v>16</v>
      </c>
      <c r="AJ746" s="3">
        <f t="shared" si="91"/>
        <v>7</v>
      </c>
      <c r="AK746" s="3" t="s">
        <v>2706</v>
      </c>
      <c r="AL746">
        <v>7</v>
      </c>
      <c r="AM746" t="s">
        <v>15</v>
      </c>
    </row>
    <row r="747" spans="1:39" x14ac:dyDescent="0.3">
      <c r="A747" s="51" t="s">
        <v>991</v>
      </c>
      <c r="B747" s="54" t="s">
        <v>444</v>
      </c>
      <c r="C747" s="51" t="s">
        <v>2765</v>
      </c>
      <c r="D747" s="53">
        <v>0</v>
      </c>
      <c r="E747" s="53">
        <v>1</v>
      </c>
      <c r="F747" s="51" t="s">
        <v>2715</v>
      </c>
      <c r="G747" s="51" t="s">
        <v>2695</v>
      </c>
      <c r="H747" s="25" t="str">
        <f t="shared" si="86"/>
        <v>jgd</v>
      </c>
      <c r="I747" t="s">
        <v>72</v>
      </c>
      <c r="J747" t="s">
        <v>992</v>
      </c>
      <c r="K747" t="s">
        <v>993</v>
      </c>
      <c r="L747" s="25">
        <v>46.089149249999998</v>
      </c>
      <c r="M747" s="25">
        <v>8.9449200720000004</v>
      </c>
      <c r="N747">
        <v>5</v>
      </c>
      <c r="O747">
        <v>4</v>
      </c>
      <c r="P747">
        <v>11</v>
      </c>
      <c r="Q747">
        <v>2015</v>
      </c>
      <c r="R747" s="9">
        <v>42312</v>
      </c>
      <c r="S747">
        <v>278</v>
      </c>
      <c r="T747">
        <v>1</v>
      </c>
      <c r="U747">
        <v>0</v>
      </c>
      <c r="V747">
        <v>0</v>
      </c>
      <c r="W747">
        <v>0</v>
      </c>
      <c r="X747">
        <f t="shared" si="87"/>
        <v>-63.1</v>
      </c>
      <c r="Y747">
        <v>-23.567127379999999</v>
      </c>
      <c r="Z747">
        <v>7.2879859309999997</v>
      </c>
      <c r="AA747" s="3">
        <f t="shared" si="89"/>
        <v>6</v>
      </c>
      <c r="AB747" s="3">
        <f t="shared" si="88"/>
        <v>7</v>
      </c>
      <c r="AD747" s="3" t="s">
        <v>2754</v>
      </c>
      <c r="AE747" s="22">
        <v>-74.7</v>
      </c>
      <c r="AF747" s="22">
        <f t="shared" si="90"/>
        <v>-74.7</v>
      </c>
      <c r="AG747" s="1">
        <v>-97.4</v>
      </c>
      <c r="AH747" s="2" t="s">
        <v>16</v>
      </c>
      <c r="AI747"/>
      <c r="AJ747" s="3">
        <f t="shared" si="91"/>
        <v>7</v>
      </c>
      <c r="AK747" s="3" t="s">
        <v>2706</v>
      </c>
      <c r="AL747">
        <v>7</v>
      </c>
      <c r="AM747" t="s">
        <v>15</v>
      </c>
    </row>
    <row r="748" spans="1:39" hidden="1" x14ac:dyDescent="0.3">
      <c r="A748" s="51" t="s">
        <v>632</v>
      </c>
      <c r="B748" s="54" t="s">
        <v>633</v>
      </c>
      <c r="C748" s="51" t="s">
        <v>2765</v>
      </c>
      <c r="D748" s="53">
        <v>0</v>
      </c>
      <c r="E748" s="53">
        <v>1</v>
      </c>
      <c r="F748" s="51" t="s">
        <v>2715</v>
      </c>
      <c r="G748" s="51" t="s">
        <v>2695</v>
      </c>
      <c r="H748" s="25" t="str">
        <f t="shared" si="86"/>
        <v>jgd</v>
      </c>
      <c r="I748" t="s">
        <v>30</v>
      </c>
      <c r="J748" t="s">
        <v>634</v>
      </c>
      <c r="K748" t="s">
        <v>635</v>
      </c>
      <c r="L748" s="25">
        <v>46.703392239999999</v>
      </c>
      <c r="M748" s="25">
        <v>7.2742220150000003</v>
      </c>
      <c r="N748">
        <v>4</v>
      </c>
      <c r="O748">
        <v>30</v>
      </c>
      <c r="P748">
        <v>10</v>
      </c>
      <c r="Q748">
        <v>2014</v>
      </c>
      <c r="R748" s="9">
        <v>41942</v>
      </c>
      <c r="S748">
        <v>284</v>
      </c>
      <c r="T748">
        <v>1</v>
      </c>
      <c r="U748">
        <v>0</v>
      </c>
      <c r="V748">
        <v>0</v>
      </c>
      <c r="W748">
        <v>0</v>
      </c>
      <c r="X748">
        <f t="shared" si="87"/>
        <v>-62.975000000000001</v>
      </c>
      <c r="Y748" t="s">
        <v>16</v>
      </c>
      <c r="Z748" t="s">
        <v>16</v>
      </c>
      <c r="AA748" s="3">
        <f t="shared" si="89"/>
        <v>6</v>
      </c>
      <c r="AD748" s="3" t="s">
        <v>2752</v>
      </c>
      <c r="AE748" s="22">
        <v>-74.599999999999994</v>
      </c>
      <c r="AF748" s="22">
        <f t="shared" si="90"/>
        <v>-74.599999999999994</v>
      </c>
      <c r="AG748" s="1">
        <v>-97.3</v>
      </c>
      <c r="AH748" s="2" t="s">
        <v>16</v>
      </c>
      <c r="AI748"/>
      <c r="AJ748" s="3">
        <f t="shared" si="91"/>
        <v>7</v>
      </c>
      <c r="AK748" s="3" t="s">
        <v>2706</v>
      </c>
      <c r="AL748">
        <v>7</v>
      </c>
      <c r="AM748" t="s">
        <v>15</v>
      </c>
    </row>
    <row r="749" spans="1:39" hidden="1" x14ac:dyDescent="0.3">
      <c r="A749" s="51" t="s">
        <v>1141</v>
      </c>
      <c r="B749" s="54" t="s">
        <v>1142</v>
      </c>
      <c r="C749" s="51" t="s">
        <v>2765</v>
      </c>
      <c r="D749" s="53">
        <v>0</v>
      </c>
      <c r="E749" s="53">
        <v>1</v>
      </c>
      <c r="F749" s="51" t="s">
        <v>2715</v>
      </c>
      <c r="G749" s="51" t="s">
        <v>2695</v>
      </c>
      <c r="H749" s="25" t="str">
        <f t="shared" si="86"/>
        <v>jgd</v>
      </c>
      <c r="I749" t="s">
        <v>13</v>
      </c>
      <c r="J749" t="s">
        <v>1057</v>
      </c>
      <c r="K749" t="s">
        <v>1143</v>
      </c>
      <c r="L749" s="25">
        <v>46.873895089999998</v>
      </c>
      <c r="M749" s="25">
        <v>6.5532056049999996</v>
      </c>
      <c r="N749">
        <v>4</v>
      </c>
      <c r="O749">
        <v>27</v>
      </c>
      <c r="P749">
        <v>11</v>
      </c>
      <c r="Q749">
        <v>2015</v>
      </c>
      <c r="R749" s="9">
        <v>42335</v>
      </c>
      <c r="S749">
        <v>305</v>
      </c>
      <c r="T749">
        <v>1</v>
      </c>
      <c r="U749">
        <v>0</v>
      </c>
      <c r="V749">
        <v>0</v>
      </c>
      <c r="W749">
        <v>0</v>
      </c>
      <c r="X749">
        <f t="shared" si="87"/>
        <v>-62.874999999999993</v>
      </c>
      <c r="Y749">
        <v>-23.827000000000002</v>
      </c>
      <c r="Z749">
        <v>6.0350240069999996</v>
      </c>
      <c r="AA749" s="3">
        <f t="shared" si="89"/>
        <v>6</v>
      </c>
      <c r="AB749" s="3">
        <f t="shared" ref="AB749:AB761" si="92">ROUND(Z749,0)</f>
        <v>6</v>
      </c>
      <c r="AD749" s="3" t="s">
        <v>2750</v>
      </c>
      <c r="AE749" s="22">
        <v>-74.52</v>
      </c>
      <c r="AF749" s="22">
        <f t="shared" si="90"/>
        <v>-74.52</v>
      </c>
      <c r="AG749" s="1">
        <v>-97.3</v>
      </c>
      <c r="AH749" s="2" t="s">
        <v>16</v>
      </c>
      <c r="AI749"/>
      <c r="AJ749" s="3">
        <f t="shared" si="91"/>
        <v>7</v>
      </c>
      <c r="AK749" s="3" t="s">
        <v>2706</v>
      </c>
      <c r="AL749">
        <v>7</v>
      </c>
      <c r="AM749" t="s">
        <v>15</v>
      </c>
    </row>
    <row r="750" spans="1:39" x14ac:dyDescent="0.3">
      <c r="A750" s="51" t="s">
        <v>1939</v>
      </c>
      <c r="B750" s="54" t="s">
        <v>1186</v>
      </c>
      <c r="C750" s="51" t="s">
        <v>2765</v>
      </c>
      <c r="D750" s="53">
        <v>0</v>
      </c>
      <c r="E750" s="53">
        <v>1</v>
      </c>
      <c r="F750" s="51" t="s">
        <v>2715</v>
      </c>
      <c r="G750" s="51" t="s">
        <v>2695</v>
      </c>
      <c r="H750" s="25" t="str">
        <f t="shared" si="86"/>
        <v>jgd</v>
      </c>
      <c r="I750" t="s">
        <v>72</v>
      </c>
      <c r="J750" t="s">
        <v>694</v>
      </c>
      <c r="K750" t="s">
        <v>1916</v>
      </c>
      <c r="L750" s="25">
        <v>46.131973289999998</v>
      </c>
      <c r="M750" s="25">
        <v>8.9383378370000006</v>
      </c>
      <c r="N750">
        <v>5</v>
      </c>
      <c r="O750">
        <v>8</v>
      </c>
      <c r="P750">
        <v>11</v>
      </c>
      <c r="Q750">
        <v>2016</v>
      </c>
      <c r="R750" s="9">
        <v>42682</v>
      </c>
      <c r="S750">
        <v>315</v>
      </c>
      <c r="T750">
        <v>1</v>
      </c>
      <c r="U750">
        <v>0</v>
      </c>
      <c r="V750">
        <v>0</v>
      </c>
      <c r="W750">
        <v>0</v>
      </c>
      <c r="X750" s="57">
        <f t="shared" si="87"/>
        <v>-62.855071000000002</v>
      </c>
      <c r="Y750">
        <v>-23.58</v>
      </c>
      <c r="Z750">
        <v>4.7300000000000004</v>
      </c>
      <c r="AA750" s="3">
        <f t="shared" si="89"/>
        <v>6</v>
      </c>
      <c r="AB750" s="3">
        <f t="shared" si="92"/>
        <v>5</v>
      </c>
      <c r="AD750" s="3" t="s">
        <v>2754</v>
      </c>
      <c r="AE750" s="22">
        <v>-74.504056800000001</v>
      </c>
      <c r="AF750" s="22">
        <f t="shared" si="90"/>
        <v>-74.504056800000001</v>
      </c>
      <c r="AG750" s="60" t="s">
        <v>16</v>
      </c>
      <c r="AH750" s="61" t="s">
        <v>16</v>
      </c>
      <c r="AJ750" s="3">
        <f t="shared" si="91"/>
        <v>7</v>
      </c>
      <c r="AK750" s="3" t="s">
        <v>2706</v>
      </c>
      <c r="AL750">
        <v>7</v>
      </c>
      <c r="AM750" t="s">
        <v>15</v>
      </c>
    </row>
    <row r="751" spans="1:39" x14ac:dyDescent="0.3">
      <c r="A751" s="51" t="s">
        <v>1692</v>
      </c>
      <c r="B751" s="54" t="s">
        <v>158</v>
      </c>
      <c r="C751" s="51" t="s">
        <v>2765</v>
      </c>
      <c r="D751" s="53">
        <v>0</v>
      </c>
      <c r="E751" s="53">
        <v>1</v>
      </c>
      <c r="F751" s="51" t="s">
        <v>2715</v>
      </c>
      <c r="G751" s="51" t="s">
        <v>2695</v>
      </c>
      <c r="H751" s="25" t="str">
        <f t="shared" si="86"/>
        <v>jgd</v>
      </c>
      <c r="I751" t="s">
        <v>72</v>
      </c>
      <c r="J751" t="s">
        <v>155</v>
      </c>
      <c r="K751" t="s">
        <v>1682</v>
      </c>
      <c r="L751" s="25">
        <v>46.108519219999998</v>
      </c>
      <c r="M751" s="25">
        <v>8.8380909970000001</v>
      </c>
      <c r="N751">
        <v>4</v>
      </c>
      <c r="O751">
        <v>17</v>
      </c>
      <c r="P751">
        <v>10</v>
      </c>
      <c r="Q751">
        <v>2016</v>
      </c>
      <c r="R751" s="9">
        <v>42660</v>
      </c>
      <c r="S751">
        <v>293</v>
      </c>
      <c r="T751">
        <v>1</v>
      </c>
      <c r="U751">
        <v>0</v>
      </c>
      <c r="V751">
        <v>0</v>
      </c>
      <c r="W751">
        <v>0</v>
      </c>
      <c r="X751" s="57">
        <f t="shared" si="87"/>
        <v>-62.813235124999999</v>
      </c>
      <c r="Y751">
        <v>-22.99</v>
      </c>
      <c r="Z751">
        <v>5.47</v>
      </c>
      <c r="AA751" s="3">
        <f t="shared" si="89"/>
        <v>6</v>
      </c>
      <c r="AB751" s="3">
        <f t="shared" si="92"/>
        <v>5</v>
      </c>
      <c r="AD751" s="3" t="s">
        <v>2754</v>
      </c>
      <c r="AE751" s="22">
        <v>-74.470588100000001</v>
      </c>
      <c r="AF751" s="22">
        <f t="shared" si="90"/>
        <v>-74.470588100000001</v>
      </c>
      <c r="AG751" s="60" t="s">
        <v>16</v>
      </c>
      <c r="AH751" s="61" t="s">
        <v>16</v>
      </c>
      <c r="AJ751" s="3">
        <f t="shared" si="91"/>
        <v>7</v>
      </c>
      <c r="AK751" s="3" t="s">
        <v>2706</v>
      </c>
      <c r="AL751">
        <v>7</v>
      </c>
      <c r="AM751" t="s">
        <v>15</v>
      </c>
    </row>
    <row r="752" spans="1:39" hidden="1" x14ac:dyDescent="0.3">
      <c r="A752" s="51" t="s">
        <v>477</v>
      </c>
      <c r="B752" s="54" t="s">
        <v>478</v>
      </c>
      <c r="C752" s="51" t="s">
        <v>2765</v>
      </c>
      <c r="D752" s="53">
        <v>0</v>
      </c>
      <c r="E752" s="53">
        <v>1</v>
      </c>
      <c r="F752" s="51" t="s">
        <v>2715</v>
      </c>
      <c r="G752" s="51" t="s">
        <v>2695</v>
      </c>
      <c r="H752" s="25" t="str">
        <f t="shared" si="86"/>
        <v>jgd</v>
      </c>
      <c r="I752" t="s">
        <v>13</v>
      </c>
      <c r="J752" t="s">
        <v>48</v>
      </c>
      <c r="K752" t="s">
        <v>49</v>
      </c>
      <c r="L752" s="25">
        <v>46.956015890000003</v>
      </c>
      <c r="M752" s="25">
        <v>6.6181995479999998</v>
      </c>
      <c r="N752">
        <v>6</v>
      </c>
      <c r="O752">
        <v>11</v>
      </c>
      <c r="P752">
        <v>10</v>
      </c>
      <c r="Q752">
        <v>2014</v>
      </c>
      <c r="R752" s="9">
        <v>41923</v>
      </c>
      <c r="S752">
        <v>297</v>
      </c>
      <c r="T752">
        <v>1</v>
      </c>
      <c r="U752">
        <v>0</v>
      </c>
      <c r="V752">
        <v>0</v>
      </c>
      <c r="W752">
        <v>0</v>
      </c>
      <c r="X752">
        <f t="shared" si="87"/>
        <v>-62.79999999999999</v>
      </c>
      <c r="Y752">
        <v>-23.461285709999999</v>
      </c>
      <c r="Z752">
        <v>4.8131155190000001</v>
      </c>
      <c r="AA752" s="3">
        <f t="shared" si="89"/>
        <v>6</v>
      </c>
      <c r="AB752" s="3">
        <f t="shared" si="92"/>
        <v>5</v>
      </c>
      <c r="AD752" s="3" t="s">
        <v>2750</v>
      </c>
      <c r="AE752" s="22">
        <v>-74.459999999999994</v>
      </c>
      <c r="AF752" s="22">
        <f t="shared" si="90"/>
        <v>-74.459999999999994</v>
      </c>
      <c r="AG752" s="1">
        <v>-97.2</v>
      </c>
      <c r="AH752" s="2" t="s">
        <v>16</v>
      </c>
      <c r="AI752"/>
      <c r="AJ752" s="3">
        <f t="shared" si="91"/>
        <v>7</v>
      </c>
      <c r="AK752" s="3" t="s">
        <v>2706</v>
      </c>
      <c r="AL752">
        <v>7</v>
      </c>
      <c r="AM752" t="s">
        <v>15</v>
      </c>
    </row>
    <row r="753" spans="1:39" x14ac:dyDescent="0.3">
      <c r="A753" s="51" t="s">
        <v>933</v>
      </c>
      <c r="B753" s="54" t="s">
        <v>934</v>
      </c>
      <c r="C753" s="51" t="s">
        <v>2765</v>
      </c>
      <c r="D753" s="53">
        <v>0</v>
      </c>
      <c r="E753" s="53">
        <v>1</v>
      </c>
      <c r="F753" s="51" t="s">
        <v>2715</v>
      </c>
      <c r="G753" s="51" t="s">
        <v>2695</v>
      </c>
      <c r="H753" s="25" t="str">
        <f t="shared" si="86"/>
        <v>jgd</v>
      </c>
      <c r="I753" t="s">
        <v>72</v>
      </c>
      <c r="J753" t="s">
        <v>931</v>
      </c>
      <c r="K753" t="s">
        <v>935</v>
      </c>
      <c r="L753" s="25">
        <v>46.049987739999999</v>
      </c>
      <c r="M753" s="25">
        <v>8.8772168439999994</v>
      </c>
      <c r="N753">
        <v>5</v>
      </c>
      <c r="O753">
        <v>10</v>
      </c>
      <c r="P753">
        <v>11</v>
      </c>
      <c r="Q753">
        <v>2015</v>
      </c>
      <c r="R753" s="9">
        <v>42318</v>
      </c>
      <c r="S753">
        <v>277</v>
      </c>
      <c r="T753">
        <v>1</v>
      </c>
      <c r="U753">
        <v>0</v>
      </c>
      <c r="V753">
        <v>0</v>
      </c>
      <c r="W753">
        <v>0</v>
      </c>
      <c r="X753">
        <f t="shared" si="87"/>
        <v>-62.687500000000007</v>
      </c>
      <c r="Y753">
        <v>-24.776199999999999</v>
      </c>
      <c r="Z753">
        <v>5.8382261010000001</v>
      </c>
      <c r="AA753" s="3">
        <f t="shared" si="89"/>
        <v>6</v>
      </c>
      <c r="AB753" s="3">
        <f t="shared" si="92"/>
        <v>6</v>
      </c>
      <c r="AD753" s="3" t="s">
        <v>2754</v>
      </c>
      <c r="AE753" s="22">
        <v>-74.37</v>
      </c>
      <c r="AF753" s="22">
        <f t="shared" si="90"/>
        <v>-74.37</v>
      </c>
      <c r="AG753" s="1">
        <v>-97.1</v>
      </c>
      <c r="AH753" s="2" t="s">
        <v>16</v>
      </c>
      <c r="AI753"/>
      <c r="AJ753" s="3">
        <f t="shared" si="91"/>
        <v>7</v>
      </c>
      <c r="AK753" s="3" t="s">
        <v>2706</v>
      </c>
      <c r="AL753">
        <v>7</v>
      </c>
      <c r="AM753" t="s">
        <v>15</v>
      </c>
    </row>
    <row r="754" spans="1:39" x14ac:dyDescent="0.3">
      <c r="A754" s="51" t="s">
        <v>1092</v>
      </c>
      <c r="B754" s="54" t="s">
        <v>1093</v>
      </c>
      <c r="C754" s="51" t="s">
        <v>2765</v>
      </c>
      <c r="D754" s="53">
        <v>0</v>
      </c>
      <c r="E754" s="53">
        <v>1</v>
      </c>
      <c r="F754" s="51" t="s">
        <v>2715</v>
      </c>
      <c r="G754" s="51" t="s">
        <v>2695</v>
      </c>
      <c r="H754" s="25" t="str">
        <f t="shared" si="86"/>
        <v>jgd</v>
      </c>
      <c r="I754" t="s">
        <v>72</v>
      </c>
      <c r="J754" t="s">
        <v>1094</v>
      </c>
      <c r="K754" t="s">
        <v>1095</v>
      </c>
      <c r="L754" s="25">
        <v>46.28757117</v>
      </c>
      <c r="M754" s="25">
        <v>9.0202638680000007</v>
      </c>
      <c r="N754">
        <v>6</v>
      </c>
      <c r="O754">
        <v>21</v>
      </c>
      <c r="P754">
        <v>11</v>
      </c>
      <c r="Q754">
        <v>2015</v>
      </c>
      <c r="R754" s="9">
        <v>42329</v>
      </c>
      <c r="S754">
        <v>250</v>
      </c>
      <c r="T754">
        <v>1</v>
      </c>
      <c r="U754">
        <v>0</v>
      </c>
      <c r="V754">
        <v>0</v>
      </c>
      <c r="W754">
        <v>0</v>
      </c>
      <c r="X754">
        <f t="shared" si="87"/>
        <v>-62.612500000000004</v>
      </c>
      <c r="Y754">
        <v>-23.774799999999999</v>
      </c>
      <c r="Z754">
        <v>3.8442051319999999</v>
      </c>
      <c r="AA754" s="3">
        <f t="shared" si="89"/>
        <v>6</v>
      </c>
      <c r="AB754" s="3">
        <f t="shared" si="92"/>
        <v>4</v>
      </c>
      <c r="AD754" s="3" t="s">
        <v>2754</v>
      </c>
      <c r="AE754" s="22">
        <v>-74.31</v>
      </c>
      <c r="AF754" s="22">
        <f t="shared" si="90"/>
        <v>-74.31</v>
      </c>
      <c r="AG754" s="1">
        <v>-97</v>
      </c>
      <c r="AH754" s="2" t="s">
        <v>16</v>
      </c>
      <c r="AI754"/>
      <c r="AJ754" s="3">
        <f t="shared" si="91"/>
        <v>7</v>
      </c>
      <c r="AK754" s="3" t="s">
        <v>2706</v>
      </c>
      <c r="AL754">
        <v>7</v>
      </c>
      <c r="AM754" t="s">
        <v>15</v>
      </c>
    </row>
    <row r="755" spans="1:39" x14ac:dyDescent="0.3">
      <c r="A755" s="51" t="s">
        <v>660</v>
      </c>
      <c r="B755" s="54" t="s">
        <v>307</v>
      </c>
      <c r="C755" s="51" t="s">
        <v>2765</v>
      </c>
      <c r="D755" s="53">
        <v>0</v>
      </c>
      <c r="E755" s="53">
        <v>1</v>
      </c>
      <c r="F755" s="51" t="s">
        <v>2715</v>
      </c>
      <c r="G755" s="51" t="s">
        <v>2695</v>
      </c>
      <c r="H755" s="25" t="str">
        <f t="shared" si="86"/>
        <v>jgd</v>
      </c>
      <c r="I755" t="s">
        <v>72</v>
      </c>
      <c r="J755" t="s">
        <v>73</v>
      </c>
      <c r="K755" t="s">
        <v>661</v>
      </c>
      <c r="L755" s="25">
        <v>46.077589250000003</v>
      </c>
      <c r="M755" s="25">
        <v>9.0331603069999993</v>
      </c>
      <c r="N755">
        <v>5</v>
      </c>
      <c r="O755">
        <v>7</v>
      </c>
      <c r="P755">
        <v>11</v>
      </c>
      <c r="Q755">
        <v>2015</v>
      </c>
      <c r="R755" s="9">
        <v>42315</v>
      </c>
      <c r="S755">
        <v>320</v>
      </c>
      <c r="T755">
        <v>1</v>
      </c>
      <c r="U755">
        <v>0</v>
      </c>
      <c r="V755">
        <v>0</v>
      </c>
      <c r="W755">
        <v>0</v>
      </c>
      <c r="X755">
        <f t="shared" si="87"/>
        <v>-62.612500000000004</v>
      </c>
      <c r="Y755">
        <v>-22.452400000000001</v>
      </c>
      <c r="Z755">
        <v>6.7644265079999997</v>
      </c>
      <c r="AA755" s="3">
        <f t="shared" si="89"/>
        <v>6</v>
      </c>
      <c r="AB755" s="3">
        <f t="shared" si="92"/>
        <v>7</v>
      </c>
      <c r="AD755" s="3" t="s">
        <v>2754</v>
      </c>
      <c r="AE755" s="22">
        <v>-74.31</v>
      </c>
      <c r="AF755" s="22">
        <f t="shared" si="90"/>
        <v>-74.31</v>
      </c>
      <c r="AG755" s="1">
        <v>-97.1</v>
      </c>
      <c r="AH755" s="2" t="s">
        <v>16</v>
      </c>
      <c r="AI755"/>
      <c r="AJ755" s="3">
        <f t="shared" si="91"/>
        <v>7</v>
      </c>
      <c r="AK755" s="3" t="s">
        <v>2706</v>
      </c>
      <c r="AL755">
        <v>7</v>
      </c>
      <c r="AM755" t="s">
        <v>15</v>
      </c>
    </row>
    <row r="756" spans="1:39" x14ac:dyDescent="0.3">
      <c r="A756" s="51" t="s">
        <v>1213</v>
      </c>
      <c r="B756" s="54" t="s">
        <v>1214</v>
      </c>
      <c r="C756" s="51" t="s">
        <v>2765</v>
      </c>
      <c r="D756" s="53">
        <v>0</v>
      </c>
      <c r="E756" s="53">
        <v>1</v>
      </c>
      <c r="F756" s="51" t="s">
        <v>2715</v>
      </c>
      <c r="G756" s="51" t="s">
        <v>2695</v>
      </c>
      <c r="H756" s="25" t="str">
        <f t="shared" si="86"/>
        <v>jgd</v>
      </c>
      <c r="I756" t="s">
        <v>72</v>
      </c>
      <c r="J756" t="s">
        <v>716</v>
      </c>
      <c r="K756" t="s">
        <v>1212</v>
      </c>
      <c r="L756" s="25">
        <v>45.895787110000001</v>
      </c>
      <c r="M756" s="25">
        <v>9.0748120970000006</v>
      </c>
      <c r="N756">
        <v>5</v>
      </c>
      <c r="O756">
        <v>11</v>
      </c>
      <c r="P756">
        <v>11</v>
      </c>
      <c r="Q756">
        <v>2015</v>
      </c>
      <c r="R756" s="9">
        <v>42319</v>
      </c>
      <c r="S756">
        <v>310</v>
      </c>
      <c r="T756">
        <v>1</v>
      </c>
      <c r="U756">
        <v>0</v>
      </c>
      <c r="V756">
        <v>0</v>
      </c>
      <c r="W756">
        <v>0</v>
      </c>
      <c r="X756">
        <f t="shared" si="87"/>
        <v>-62.612500000000004</v>
      </c>
      <c r="Y756">
        <v>-23.6128</v>
      </c>
      <c r="Z756">
        <v>8.0410906050000008</v>
      </c>
      <c r="AA756" s="3">
        <f t="shared" si="89"/>
        <v>6</v>
      </c>
      <c r="AB756" s="3">
        <f t="shared" si="92"/>
        <v>8</v>
      </c>
      <c r="AD756" s="3" t="s">
        <v>2754</v>
      </c>
      <c r="AE756" s="22">
        <v>-74.31</v>
      </c>
      <c r="AF756" s="22">
        <f t="shared" si="90"/>
        <v>-74.31</v>
      </c>
      <c r="AG756" s="1">
        <v>-97.1</v>
      </c>
      <c r="AH756" s="2" t="s">
        <v>16</v>
      </c>
      <c r="AI756"/>
      <c r="AJ756" s="3">
        <f t="shared" si="91"/>
        <v>7</v>
      </c>
      <c r="AK756" s="3" t="s">
        <v>2706</v>
      </c>
      <c r="AL756">
        <v>7</v>
      </c>
      <c r="AM756" t="s">
        <v>15</v>
      </c>
    </row>
    <row r="757" spans="1:39" x14ac:dyDescent="0.3">
      <c r="A757" s="51" t="s">
        <v>304</v>
      </c>
      <c r="B757" s="54" t="s">
        <v>305</v>
      </c>
      <c r="C757" s="51" t="s">
        <v>2765</v>
      </c>
      <c r="D757" s="53">
        <v>0</v>
      </c>
      <c r="E757" s="53">
        <v>1</v>
      </c>
      <c r="F757" s="51" t="s">
        <v>2715</v>
      </c>
      <c r="G757" s="51" t="s">
        <v>2695</v>
      </c>
      <c r="H757" s="25" t="str">
        <f t="shared" ref="H757:H820" si="93">IF(T757=1,"jgd",IF(W757=1,"Captures automne","Captures printemps-été"))</f>
        <v>jgd</v>
      </c>
      <c r="I757" t="s">
        <v>72</v>
      </c>
      <c r="J757" t="s">
        <v>140</v>
      </c>
      <c r="K757" t="s">
        <v>141</v>
      </c>
      <c r="L757" s="25">
        <v>46.089753459999997</v>
      </c>
      <c r="M757" s="25">
        <v>9.0477401000000004</v>
      </c>
      <c r="N757">
        <v>5</v>
      </c>
      <c r="O757">
        <v>28</v>
      </c>
      <c r="P757">
        <v>10</v>
      </c>
      <c r="Q757">
        <v>2014</v>
      </c>
      <c r="R757" s="9">
        <v>41940</v>
      </c>
      <c r="S757">
        <v>270</v>
      </c>
      <c r="T757">
        <v>1</v>
      </c>
      <c r="U757">
        <v>0</v>
      </c>
      <c r="V757">
        <v>0</v>
      </c>
      <c r="W757">
        <v>0</v>
      </c>
      <c r="X757">
        <f t="shared" ref="X757:X820" si="94">1.25*AF757+30.275</f>
        <v>-62.6</v>
      </c>
      <c r="Y757">
        <v>-23.705749999999998</v>
      </c>
      <c r="Z757">
        <v>5.1767454129999999</v>
      </c>
      <c r="AA757" s="3">
        <f t="shared" si="89"/>
        <v>6</v>
      </c>
      <c r="AB757" s="3">
        <f t="shared" si="92"/>
        <v>5</v>
      </c>
      <c r="AD757" s="3" t="s">
        <v>2754</v>
      </c>
      <c r="AE757" s="22">
        <v>-74.3</v>
      </c>
      <c r="AF757" s="22">
        <f t="shared" si="90"/>
        <v>-74.3</v>
      </c>
      <c r="AG757" s="1">
        <v>-97</v>
      </c>
      <c r="AH757" s="2" t="s">
        <v>16</v>
      </c>
      <c r="AI757"/>
      <c r="AJ757" s="3">
        <f t="shared" si="91"/>
        <v>7</v>
      </c>
      <c r="AK757" s="3" t="s">
        <v>2706</v>
      </c>
      <c r="AL757">
        <v>7</v>
      </c>
      <c r="AM757" t="s">
        <v>15</v>
      </c>
    </row>
    <row r="758" spans="1:39" x14ac:dyDescent="0.3">
      <c r="A758" s="51" t="s">
        <v>1480</v>
      </c>
      <c r="B758" s="54" t="s">
        <v>1481</v>
      </c>
      <c r="C758" s="51" t="s">
        <v>2765</v>
      </c>
      <c r="D758" s="53">
        <v>0</v>
      </c>
      <c r="E758" s="53">
        <v>1</v>
      </c>
      <c r="F758" s="51" t="s">
        <v>2715</v>
      </c>
      <c r="G758" s="51" t="s">
        <v>2695</v>
      </c>
      <c r="H758" s="25" t="str">
        <f t="shared" si="93"/>
        <v>jgd</v>
      </c>
      <c r="I758" t="s">
        <v>72</v>
      </c>
      <c r="J758" t="s">
        <v>1189</v>
      </c>
      <c r="K758" t="s">
        <v>1482</v>
      </c>
      <c r="L758" s="25">
        <v>46.095068079999997</v>
      </c>
      <c r="M758" s="25">
        <v>9.0692357040000005</v>
      </c>
      <c r="N758">
        <v>5</v>
      </c>
      <c r="O758">
        <v>26</v>
      </c>
      <c r="P758">
        <v>11</v>
      </c>
      <c r="Q758">
        <v>2016</v>
      </c>
      <c r="R758" s="9">
        <v>42700</v>
      </c>
      <c r="S758">
        <v>310</v>
      </c>
      <c r="T758">
        <v>1</v>
      </c>
      <c r="U758">
        <v>0</v>
      </c>
      <c r="V758">
        <v>0</v>
      </c>
      <c r="W758">
        <v>0</v>
      </c>
      <c r="X758" s="57">
        <f t="shared" si="94"/>
        <v>-62.425033000000006</v>
      </c>
      <c r="Y758">
        <v>-23.62</v>
      </c>
      <c r="Z758">
        <v>5.01</v>
      </c>
      <c r="AA758" s="3">
        <f t="shared" si="89"/>
        <v>6</v>
      </c>
      <c r="AB758" s="3">
        <f t="shared" si="92"/>
        <v>5</v>
      </c>
      <c r="AD758" s="3" t="s">
        <v>2754</v>
      </c>
      <c r="AE758" s="22">
        <v>-74.160026400000007</v>
      </c>
      <c r="AF758" s="22">
        <f t="shared" si="90"/>
        <v>-74.160026400000007</v>
      </c>
      <c r="AG758" s="60" t="s">
        <v>16</v>
      </c>
      <c r="AH758" s="61" t="s">
        <v>16</v>
      </c>
      <c r="AJ758" s="3">
        <f t="shared" si="91"/>
        <v>7</v>
      </c>
      <c r="AK758" s="3" t="s">
        <v>2706</v>
      </c>
      <c r="AL758">
        <v>7</v>
      </c>
      <c r="AM758" t="s">
        <v>15</v>
      </c>
    </row>
    <row r="759" spans="1:39" x14ac:dyDescent="0.3">
      <c r="A759" s="51" t="s">
        <v>1428</v>
      </c>
      <c r="B759" s="54" t="s">
        <v>307</v>
      </c>
      <c r="C759" s="51" t="s">
        <v>2765</v>
      </c>
      <c r="D759" s="53">
        <v>0</v>
      </c>
      <c r="E759" s="53">
        <v>1</v>
      </c>
      <c r="F759" s="51" t="s">
        <v>2715</v>
      </c>
      <c r="G759" s="51" t="s">
        <v>2695</v>
      </c>
      <c r="H759" s="25" t="str">
        <f t="shared" si="93"/>
        <v>jgd</v>
      </c>
      <c r="I759" t="s">
        <v>72</v>
      </c>
      <c r="J759" t="s">
        <v>1189</v>
      </c>
      <c r="K759" t="s">
        <v>668</v>
      </c>
      <c r="L759" s="25">
        <v>46.077093840000003</v>
      </c>
      <c r="M759" s="25">
        <v>9.0363779300000004</v>
      </c>
      <c r="N759">
        <v>5</v>
      </c>
      <c r="O759">
        <v>13</v>
      </c>
      <c r="P759">
        <v>11</v>
      </c>
      <c r="Q759">
        <v>2016</v>
      </c>
      <c r="R759" s="9">
        <v>42687</v>
      </c>
      <c r="S759">
        <v>290</v>
      </c>
      <c r="T759">
        <v>1</v>
      </c>
      <c r="U759">
        <v>0</v>
      </c>
      <c r="V759">
        <v>0</v>
      </c>
      <c r="W759">
        <v>0</v>
      </c>
      <c r="X759" s="57">
        <f t="shared" si="94"/>
        <v>-62.341414500000006</v>
      </c>
      <c r="Y759">
        <v>-23.39</v>
      </c>
      <c r="Z759">
        <v>5.79</v>
      </c>
      <c r="AA759" s="3">
        <f t="shared" si="89"/>
        <v>6</v>
      </c>
      <c r="AB759" s="3">
        <f t="shared" si="92"/>
        <v>6</v>
      </c>
      <c r="AD759" s="3" t="s">
        <v>2754</v>
      </c>
      <c r="AE759" s="22">
        <v>-74.093131600000007</v>
      </c>
      <c r="AF759" s="22">
        <f t="shared" si="90"/>
        <v>-74.093131600000007</v>
      </c>
      <c r="AG759" s="60" t="s">
        <v>16</v>
      </c>
      <c r="AH759" s="61" t="s">
        <v>16</v>
      </c>
      <c r="AJ759" s="3">
        <f t="shared" si="91"/>
        <v>7</v>
      </c>
      <c r="AK759" s="3" t="s">
        <v>2706</v>
      </c>
      <c r="AL759">
        <v>7</v>
      </c>
      <c r="AM759" t="s">
        <v>15</v>
      </c>
    </row>
    <row r="760" spans="1:39" hidden="1" x14ac:dyDescent="0.3">
      <c r="A760" s="51" t="s">
        <v>191</v>
      </c>
      <c r="B760" s="54" t="s">
        <v>50</v>
      </c>
      <c r="C760" s="51" t="s">
        <v>2765</v>
      </c>
      <c r="D760" s="53">
        <v>0</v>
      </c>
      <c r="E760" s="53">
        <v>1</v>
      </c>
      <c r="F760" s="51" t="s">
        <v>2715</v>
      </c>
      <c r="G760" s="51" t="s">
        <v>2695</v>
      </c>
      <c r="H760" s="25" t="str">
        <f t="shared" si="93"/>
        <v>jgd</v>
      </c>
      <c r="I760" t="s">
        <v>13</v>
      </c>
      <c r="J760" t="s">
        <v>16</v>
      </c>
      <c r="K760" t="s">
        <v>192</v>
      </c>
      <c r="L760" s="25">
        <v>47.023205259999997</v>
      </c>
      <c r="M760" s="25">
        <v>6.764829733</v>
      </c>
      <c r="N760">
        <v>6</v>
      </c>
      <c r="O760">
        <v>16</v>
      </c>
      <c r="P760">
        <v>10</v>
      </c>
      <c r="Q760">
        <v>2013</v>
      </c>
      <c r="R760" s="9">
        <v>41563</v>
      </c>
      <c r="S760">
        <v>382</v>
      </c>
      <c r="T760">
        <v>1</v>
      </c>
      <c r="U760">
        <v>0</v>
      </c>
      <c r="V760">
        <v>0</v>
      </c>
      <c r="W760">
        <v>0</v>
      </c>
      <c r="X760">
        <f t="shared" si="94"/>
        <v>-62.312499999999993</v>
      </c>
      <c r="Y760">
        <v>-45.634638510000002</v>
      </c>
      <c r="Z760">
        <v>7.2537320149999998</v>
      </c>
      <c r="AA760" s="3">
        <f t="shared" si="89"/>
        <v>6</v>
      </c>
      <c r="AB760" s="3">
        <f t="shared" si="92"/>
        <v>7</v>
      </c>
      <c r="AD760" s="3" t="s">
        <v>2750</v>
      </c>
      <c r="AE760" s="22">
        <v>-74.069999999999993</v>
      </c>
      <c r="AF760" s="22">
        <f t="shared" si="90"/>
        <v>-74.069999999999993</v>
      </c>
      <c r="AG760" s="1">
        <v>-96.8</v>
      </c>
      <c r="AH760" s="2" t="s">
        <v>16</v>
      </c>
      <c r="AI760"/>
      <c r="AJ760" s="3">
        <f t="shared" si="91"/>
        <v>7</v>
      </c>
      <c r="AK760" s="3" t="s">
        <v>2706</v>
      </c>
      <c r="AL760">
        <v>7</v>
      </c>
      <c r="AM760" t="s">
        <v>15</v>
      </c>
    </row>
    <row r="761" spans="1:39" hidden="1" x14ac:dyDescent="0.3">
      <c r="A761" s="51" t="s">
        <v>262</v>
      </c>
      <c r="B761" s="54" t="s">
        <v>263</v>
      </c>
      <c r="C761" s="51" t="s">
        <v>2765</v>
      </c>
      <c r="D761" s="53">
        <v>0</v>
      </c>
      <c r="E761" s="53">
        <v>1</v>
      </c>
      <c r="F761" s="51" t="s">
        <v>2715</v>
      </c>
      <c r="G761" s="51" t="s">
        <v>2695</v>
      </c>
      <c r="H761" s="25" t="str">
        <f t="shared" si="93"/>
        <v>jgd</v>
      </c>
      <c r="I761" t="s">
        <v>30</v>
      </c>
      <c r="J761" t="s">
        <v>264</v>
      </c>
      <c r="K761" t="s">
        <v>265</v>
      </c>
      <c r="L761" s="25">
        <v>46.804493360000002</v>
      </c>
      <c r="M761" s="25">
        <v>7.0511016849999999</v>
      </c>
      <c r="N761">
        <v>6</v>
      </c>
      <c r="O761">
        <v>7</v>
      </c>
      <c r="P761">
        <v>11</v>
      </c>
      <c r="Q761">
        <v>2013</v>
      </c>
      <c r="R761" s="9">
        <v>41585</v>
      </c>
      <c r="S761">
        <v>333</v>
      </c>
      <c r="T761">
        <v>1</v>
      </c>
      <c r="U761">
        <v>0</v>
      </c>
      <c r="V761">
        <v>0</v>
      </c>
      <c r="W761">
        <v>0</v>
      </c>
      <c r="X761">
        <f t="shared" si="94"/>
        <v>-62.125000000000007</v>
      </c>
      <c r="Y761">
        <v>-21.460662079999999</v>
      </c>
      <c r="Z761">
        <v>4.7383537110000002</v>
      </c>
      <c r="AA761" s="3">
        <f t="shared" si="89"/>
        <v>6</v>
      </c>
      <c r="AB761" s="3">
        <f t="shared" si="92"/>
        <v>5</v>
      </c>
      <c r="AD761" s="3" t="s">
        <v>2751</v>
      </c>
      <c r="AE761" s="22">
        <v>-73.92</v>
      </c>
      <c r="AF761" s="22">
        <f t="shared" si="90"/>
        <v>-73.92</v>
      </c>
      <c r="AG761" s="1">
        <v>-96.6</v>
      </c>
      <c r="AH761" s="2" t="s">
        <v>16</v>
      </c>
      <c r="AI761"/>
      <c r="AJ761" s="3">
        <f t="shared" si="91"/>
        <v>7</v>
      </c>
      <c r="AK761" s="3" t="s">
        <v>2706</v>
      </c>
      <c r="AL761">
        <v>7</v>
      </c>
      <c r="AM761" t="s">
        <v>15</v>
      </c>
    </row>
    <row r="762" spans="1:39" hidden="1" x14ac:dyDescent="0.3">
      <c r="A762" s="51" t="s">
        <v>607</v>
      </c>
      <c r="B762" s="54" t="s">
        <v>258</v>
      </c>
      <c r="C762" s="51" t="s">
        <v>2765</v>
      </c>
      <c r="D762" s="53">
        <v>0</v>
      </c>
      <c r="E762" s="53">
        <v>1</v>
      </c>
      <c r="F762" s="51" t="s">
        <v>2715</v>
      </c>
      <c r="G762" s="51" t="s">
        <v>2695</v>
      </c>
      <c r="H762" s="25" t="str">
        <f t="shared" si="93"/>
        <v>jgd</v>
      </c>
      <c r="I762" t="s">
        <v>30</v>
      </c>
      <c r="J762" t="s">
        <v>271</v>
      </c>
      <c r="K762" t="s">
        <v>608</v>
      </c>
      <c r="L762" s="25">
        <v>46.64032083</v>
      </c>
      <c r="M762" s="25">
        <v>7.0052993480000003</v>
      </c>
      <c r="N762">
        <v>4</v>
      </c>
      <c r="O762">
        <v>29</v>
      </c>
      <c r="P762">
        <v>10</v>
      </c>
      <c r="Q762">
        <v>2014</v>
      </c>
      <c r="R762" s="9">
        <v>41941</v>
      </c>
      <c r="S762">
        <v>307</v>
      </c>
      <c r="T762">
        <v>1</v>
      </c>
      <c r="U762">
        <v>0</v>
      </c>
      <c r="V762">
        <v>0</v>
      </c>
      <c r="W762">
        <v>0</v>
      </c>
      <c r="X762">
        <f t="shared" si="94"/>
        <v>-62.11249999999999</v>
      </c>
      <c r="Y762" t="s">
        <v>16</v>
      </c>
      <c r="Z762" t="s">
        <v>16</v>
      </c>
      <c r="AA762" s="3">
        <f t="shared" si="89"/>
        <v>6</v>
      </c>
      <c r="AD762" s="3" t="s">
        <v>2751</v>
      </c>
      <c r="AE762" s="22">
        <v>-73.91</v>
      </c>
      <c r="AF762" s="22">
        <f t="shared" si="90"/>
        <v>-73.91</v>
      </c>
      <c r="AG762" s="1">
        <v>-96.6</v>
      </c>
      <c r="AH762" s="2" t="s">
        <v>16</v>
      </c>
      <c r="AI762"/>
      <c r="AJ762" s="3">
        <f t="shared" si="91"/>
        <v>7</v>
      </c>
      <c r="AK762" s="3" t="s">
        <v>2706</v>
      </c>
      <c r="AL762">
        <v>7</v>
      </c>
      <c r="AM762" t="s">
        <v>15</v>
      </c>
    </row>
    <row r="763" spans="1:39" hidden="1" x14ac:dyDescent="0.3">
      <c r="A763" s="51" t="s">
        <v>907</v>
      </c>
      <c r="B763" s="54" t="s">
        <v>908</v>
      </c>
      <c r="C763" s="51" t="s">
        <v>2765</v>
      </c>
      <c r="D763" s="53">
        <v>0</v>
      </c>
      <c r="E763" s="53">
        <v>1</v>
      </c>
      <c r="F763" s="51" t="s">
        <v>2715</v>
      </c>
      <c r="G763" s="51" t="s">
        <v>2695</v>
      </c>
      <c r="H763" s="25" t="str">
        <f t="shared" si="93"/>
        <v>jgd</v>
      </c>
      <c r="I763" t="s">
        <v>13</v>
      </c>
      <c r="J763" t="s">
        <v>19</v>
      </c>
      <c r="K763" t="s">
        <v>909</v>
      </c>
      <c r="L763" s="25">
        <v>46.929369270000002</v>
      </c>
      <c r="M763" s="25">
        <v>6.4823000139999998</v>
      </c>
      <c r="N763">
        <v>5</v>
      </c>
      <c r="O763">
        <v>14</v>
      </c>
      <c r="P763">
        <v>11</v>
      </c>
      <c r="Q763">
        <v>2015</v>
      </c>
      <c r="R763" s="9">
        <v>42322</v>
      </c>
      <c r="S763">
        <v>341</v>
      </c>
      <c r="T763">
        <v>1</v>
      </c>
      <c r="U763">
        <v>0</v>
      </c>
      <c r="V763">
        <v>0</v>
      </c>
      <c r="W763">
        <v>0</v>
      </c>
      <c r="X763">
        <f t="shared" si="94"/>
        <v>-61.987500000000004</v>
      </c>
      <c r="Y763">
        <v>-22.521999999999998</v>
      </c>
      <c r="Z763">
        <v>4.322283315</v>
      </c>
      <c r="AA763" s="3">
        <f t="shared" si="89"/>
        <v>6</v>
      </c>
      <c r="AB763" s="3">
        <f t="shared" ref="AB763:AB798" si="95">ROUND(Z763,0)</f>
        <v>4</v>
      </c>
      <c r="AD763" s="3" t="s">
        <v>2750</v>
      </c>
      <c r="AE763" s="22">
        <v>-73.81</v>
      </c>
      <c r="AF763" s="22">
        <f t="shared" si="90"/>
        <v>-73.81</v>
      </c>
      <c r="AG763" s="1">
        <v>-96.5</v>
      </c>
      <c r="AH763" s="2" t="s">
        <v>16</v>
      </c>
      <c r="AI763"/>
      <c r="AJ763" s="3">
        <f t="shared" si="91"/>
        <v>7</v>
      </c>
      <c r="AK763" s="3" t="s">
        <v>2706</v>
      </c>
      <c r="AL763">
        <v>7</v>
      </c>
      <c r="AM763" t="s">
        <v>15</v>
      </c>
    </row>
    <row r="764" spans="1:39" hidden="1" x14ac:dyDescent="0.3">
      <c r="A764" s="51" t="s">
        <v>489</v>
      </c>
      <c r="B764" s="54" t="s">
        <v>490</v>
      </c>
      <c r="C764" s="51" t="s">
        <v>2765</v>
      </c>
      <c r="D764" s="53">
        <v>0</v>
      </c>
      <c r="E764" s="53">
        <v>1</v>
      </c>
      <c r="F764" s="51" t="s">
        <v>2715</v>
      </c>
      <c r="G764" s="51" t="s">
        <v>2695</v>
      </c>
      <c r="H764" s="25" t="str">
        <f t="shared" si="93"/>
        <v>jgd</v>
      </c>
      <c r="I764" t="s">
        <v>13</v>
      </c>
      <c r="J764" t="s">
        <v>25</v>
      </c>
      <c r="K764" t="s">
        <v>476</v>
      </c>
      <c r="L764" s="25">
        <v>47.088038230000002</v>
      </c>
      <c r="M764" s="25">
        <v>6.8832036739999998</v>
      </c>
      <c r="N764">
        <v>6</v>
      </c>
      <c r="O764">
        <v>24</v>
      </c>
      <c r="P764">
        <v>10</v>
      </c>
      <c r="Q764">
        <v>2014</v>
      </c>
      <c r="R764" s="9">
        <v>41936</v>
      </c>
      <c r="S764">
        <v>315</v>
      </c>
      <c r="T764">
        <v>1</v>
      </c>
      <c r="U764">
        <v>0</v>
      </c>
      <c r="V764">
        <v>0</v>
      </c>
      <c r="W764">
        <v>0</v>
      </c>
      <c r="X764">
        <f t="shared" si="94"/>
        <v>-61.937499999999993</v>
      </c>
      <c r="Y764">
        <v>-24.572285709999999</v>
      </c>
      <c r="Z764">
        <v>6.5896696109999997</v>
      </c>
      <c r="AA764" s="3">
        <f t="shared" si="89"/>
        <v>6</v>
      </c>
      <c r="AB764" s="3">
        <f t="shared" si="95"/>
        <v>7</v>
      </c>
      <c r="AD764" s="3" t="s">
        <v>2750</v>
      </c>
      <c r="AE764" s="22">
        <v>-73.77</v>
      </c>
      <c r="AF764" s="22">
        <f t="shared" si="90"/>
        <v>-73.77</v>
      </c>
      <c r="AG764" s="1">
        <v>-96.5</v>
      </c>
      <c r="AH764" s="2" t="s">
        <v>16</v>
      </c>
      <c r="AI764"/>
      <c r="AJ764" s="3">
        <f t="shared" si="91"/>
        <v>7</v>
      </c>
      <c r="AK764" s="3" t="s">
        <v>2706</v>
      </c>
      <c r="AL764">
        <v>7</v>
      </c>
      <c r="AM764" t="s">
        <v>15</v>
      </c>
    </row>
    <row r="765" spans="1:39" x14ac:dyDescent="0.3">
      <c r="A765" s="51" t="s">
        <v>1506</v>
      </c>
      <c r="B765" s="54" t="s">
        <v>1507</v>
      </c>
      <c r="C765" s="51" t="s">
        <v>2765</v>
      </c>
      <c r="D765" s="53">
        <v>0</v>
      </c>
      <c r="E765" s="53">
        <v>1</v>
      </c>
      <c r="F765" s="51" t="s">
        <v>2715</v>
      </c>
      <c r="G765" s="51" t="s">
        <v>2695</v>
      </c>
      <c r="H765" s="25" t="str">
        <f t="shared" si="93"/>
        <v>jgd</v>
      </c>
      <c r="I765" t="s">
        <v>72</v>
      </c>
      <c r="J765" t="s">
        <v>441</v>
      </c>
      <c r="K765" t="s">
        <v>1508</v>
      </c>
      <c r="L765" s="25">
        <v>46.109432769999998</v>
      </c>
      <c r="M765" s="25">
        <v>8.9739903769999998</v>
      </c>
      <c r="N765">
        <v>5</v>
      </c>
      <c r="O765">
        <v>22</v>
      </c>
      <c r="P765">
        <v>10</v>
      </c>
      <c r="Q765">
        <v>2016</v>
      </c>
      <c r="R765" s="9">
        <v>42665</v>
      </c>
      <c r="S765">
        <v>305</v>
      </c>
      <c r="T765">
        <v>1</v>
      </c>
      <c r="U765">
        <v>0</v>
      </c>
      <c r="V765">
        <v>0</v>
      </c>
      <c r="W765">
        <v>0</v>
      </c>
      <c r="X765" s="57">
        <f t="shared" si="94"/>
        <v>-61.930596000000001</v>
      </c>
      <c r="Y765">
        <v>-23.49</v>
      </c>
      <c r="Z765">
        <v>5.36</v>
      </c>
      <c r="AA765" s="3">
        <f t="shared" si="89"/>
        <v>6</v>
      </c>
      <c r="AB765" s="3">
        <f t="shared" si="95"/>
        <v>5</v>
      </c>
      <c r="AD765" s="3" t="s">
        <v>2754</v>
      </c>
      <c r="AE765" s="22">
        <v>-73.764476799999997</v>
      </c>
      <c r="AF765" s="22">
        <f t="shared" si="90"/>
        <v>-73.764476799999997</v>
      </c>
      <c r="AG765" s="60" t="s">
        <v>16</v>
      </c>
      <c r="AH765" s="61" t="s">
        <v>16</v>
      </c>
      <c r="AJ765" s="3">
        <f t="shared" si="91"/>
        <v>7</v>
      </c>
      <c r="AK765" s="3" t="s">
        <v>2706</v>
      </c>
      <c r="AL765">
        <v>7</v>
      </c>
      <c r="AM765" t="s">
        <v>15</v>
      </c>
    </row>
    <row r="766" spans="1:39" x14ac:dyDescent="0.3">
      <c r="A766" s="51" t="s">
        <v>1640</v>
      </c>
      <c r="B766" s="54" t="s">
        <v>879</v>
      </c>
      <c r="C766" s="51" t="s">
        <v>2765</v>
      </c>
      <c r="D766" s="53">
        <v>0</v>
      </c>
      <c r="E766" s="53">
        <v>1</v>
      </c>
      <c r="F766" s="51" t="s">
        <v>2715</v>
      </c>
      <c r="G766" s="51" t="s">
        <v>2695</v>
      </c>
      <c r="H766" s="25" t="str">
        <f t="shared" si="93"/>
        <v>jgd</v>
      </c>
      <c r="I766" t="s">
        <v>72</v>
      </c>
      <c r="J766" t="s">
        <v>1310</v>
      </c>
      <c r="K766" t="s">
        <v>1641</v>
      </c>
      <c r="L766" s="25">
        <v>46.208113580000003</v>
      </c>
      <c r="M766" s="25">
        <v>8.6934256009999995</v>
      </c>
      <c r="N766">
        <v>5</v>
      </c>
      <c r="O766">
        <v>22</v>
      </c>
      <c r="P766">
        <v>10</v>
      </c>
      <c r="Q766">
        <v>2016</v>
      </c>
      <c r="R766" s="9">
        <v>42665</v>
      </c>
      <c r="S766">
        <v>330</v>
      </c>
      <c r="T766">
        <v>1</v>
      </c>
      <c r="U766">
        <v>0</v>
      </c>
      <c r="V766">
        <v>0</v>
      </c>
      <c r="W766">
        <v>0</v>
      </c>
      <c r="X766" s="57">
        <f t="shared" si="94"/>
        <v>-61.927207750000001</v>
      </c>
      <c r="Y766">
        <v>-24.48</v>
      </c>
      <c r="Z766">
        <v>4.16</v>
      </c>
      <c r="AA766" s="3">
        <f t="shared" si="89"/>
        <v>6</v>
      </c>
      <c r="AB766" s="3">
        <f t="shared" si="95"/>
        <v>4</v>
      </c>
      <c r="AD766" s="3" t="s">
        <v>2754</v>
      </c>
      <c r="AE766" s="22">
        <v>-73.761766199999997</v>
      </c>
      <c r="AF766" s="22">
        <f t="shared" si="90"/>
        <v>-73.761766199999997</v>
      </c>
      <c r="AG766" s="60" t="s">
        <v>16</v>
      </c>
      <c r="AH766" s="61" t="s">
        <v>16</v>
      </c>
      <c r="AJ766" s="3">
        <f t="shared" si="91"/>
        <v>7</v>
      </c>
      <c r="AK766" s="3" t="s">
        <v>2706</v>
      </c>
      <c r="AL766">
        <v>7</v>
      </c>
      <c r="AM766" t="s">
        <v>15</v>
      </c>
    </row>
    <row r="767" spans="1:39" hidden="1" x14ac:dyDescent="0.3">
      <c r="A767" s="51" t="s">
        <v>1440</v>
      </c>
      <c r="B767" s="54" t="s">
        <v>18</v>
      </c>
      <c r="C767" s="51" t="s">
        <v>2765</v>
      </c>
      <c r="D767" s="53">
        <v>0</v>
      </c>
      <c r="E767" s="53">
        <v>1</v>
      </c>
      <c r="F767" s="51" t="s">
        <v>2715</v>
      </c>
      <c r="G767" s="51" t="s">
        <v>2695</v>
      </c>
      <c r="H767" s="25" t="str">
        <f t="shared" si="93"/>
        <v>jgd</v>
      </c>
      <c r="I767" t="s">
        <v>13</v>
      </c>
      <c r="J767" t="s">
        <v>21</v>
      </c>
      <c r="K767" t="s">
        <v>1441</v>
      </c>
      <c r="L767" s="25">
        <v>46.9919425</v>
      </c>
      <c r="M767" s="25">
        <v>6.6902468800000001</v>
      </c>
      <c r="N767">
        <v>6</v>
      </c>
      <c r="O767">
        <v>1</v>
      </c>
      <c r="P767">
        <v>11</v>
      </c>
      <c r="Q767">
        <v>2016</v>
      </c>
      <c r="R767" s="9">
        <v>42675</v>
      </c>
      <c r="S767">
        <v>300</v>
      </c>
      <c r="T767">
        <v>1</v>
      </c>
      <c r="U767">
        <v>0</v>
      </c>
      <c r="V767">
        <v>0</v>
      </c>
      <c r="W767">
        <v>0</v>
      </c>
      <c r="X767" s="57">
        <f t="shared" si="94"/>
        <v>-61.908503250000003</v>
      </c>
      <c r="Y767">
        <v>-24.06</v>
      </c>
      <c r="Z767">
        <v>7.09</v>
      </c>
      <c r="AA767" s="3">
        <f t="shared" si="89"/>
        <v>6</v>
      </c>
      <c r="AB767" s="3">
        <f t="shared" si="95"/>
        <v>7</v>
      </c>
      <c r="AD767" s="3" t="s">
        <v>2750</v>
      </c>
      <c r="AE767" s="22">
        <v>-73.746802599999995</v>
      </c>
      <c r="AF767" s="22">
        <f t="shared" si="90"/>
        <v>-73.746802599999995</v>
      </c>
      <c r="AG767" s="60" t="s">
        <v>16</v>
      </c>
      <c r="AH767" s="61" t="s">
        <v>16</v>
      </c>
      <c r="AJ767" s="3">
        <f t="shared" si="91"/>
        <v>7</v>
      </c>
      <c r="AK767" s="3" t="s">
        <v>2706</v>
      </c>
      <c r="AL767">
        <v>7</v>
      </c>
      <c r="AM767" t="s">
        <v>15</v>
      </c>
    </row>
    <row r="768" spans="1:39" x14ac:dyDescent="0.3">
      <c r="A768" s="51" t="s">
        <v>989</v>
      </c>
      <c r="B768" s="54" t="s">
        <v>188</v>
      </c>
      <c r="C768" s="51" t="s">
        <v>2765</v>
      </c>
      <c r="D768" s="53">
        <v>0</v>
      </c>
      <c r="E768" s="53">
        <v>1</v>
      </c>
      <c r="F768" s="51" t="s">
        <v>2715</v>
      </c>
      <c r="G768" s="51" t="s">
        <v>2695</v>
      </c>
      <c r="H768" s="25" t="str">
        <f t="shared" si="93"/>
        <v>jgd</v>
      </c>
      <c r="I768" t="s">
        <v>72</v>
      </c>
      <c r="J768" t="s">
        <v>984</v>
      </c>
      <c r="K768" t="s">
        <v>990</v>
      </c>
      <c r="L768" s="25">
        <v>46.101964529999997</v>
      </c>
      <c r="M768" s="25">
        <v>8.9620879240000004</v>
      </c>
      <c r="N768">
        <v>5</v>
      </c>
      <c r="O768">
        <v>3</v>
      </c>
      <c r="P768">
        <v>11</v>
      </c>
      <c r="Q768">
        <v>2015</v>
      </c>
      <c r="R768" s="9">
        <v>42311</v>
      </c>
      <c r="S768">
        <v>304</v>
      </c>
      <c r="T768">
        <v>1</v>
      </c>
      <c r="U768">
        <v>0</v>
      </c>
      <c r="V768">
        <v>0</v>
      </c>
      <c r="W768">
        <v>0</v>
      </c>
      <c r="X768">
        <f t="shared" si="94"/>
        <v>-61.9</v>
      </c>
      <c r="Y768">
        <v>-23.540401989999999</v>
      </c>
      <c r="Z768">
        <v>5.15136314</v>
      </c>
      <c r="AA768" s="3">
        <f t="shared" si="89"/>
        <v>6</v>
      </c>
      <c r="AB768" s="3">
        <f t="shared" si="95"/>
        <v>5</v>
      </c>
      <c r="AD768" s="3" t="s">
        <v>2754</v>
      </c>
      <c r="AE768" s="22">
        <v>-73.739999999999995</v>
      </c>
      <c r="AF768" s="22">
        <f t="shared" si="90"/>
        <v>-73.739999999999995</v>
      </c>
      <c r="AG768" s="1">
        <v>-96.5</v>
      </c>
      <c r="AH768" s="2" t="s">
        <v>16</v>
      </c>
      <c r="AI768"/>
      <c r="AJ768" s="3">
        <f t="shared" si="91"/>
        <v>7</v>
      </c>
      <c r="AK768" s="3" t="s">
        <v>2706</v>
      </c>
      <c r="AL768">
        <v>7</v>
      </c>
      <c r="AM768" t="s">
        <v>15</v>
      </c>
    </row>
    <row r="769" spans="1:39" x14ac:dyDescent="0.3">
      <c r="A769" s="51" t="s">
        <v>1177</v>
      </c>
      <c r="B769" s="54" t="s">
        <v>1178</v>
      </c>
      <c r="C769" s="51" t="s">
        <v>2765</v>
      </c>
      <c r="D769" s="53">
        <v>0</v>
      </c>
      <c r="E769" s="53">
        <v>1</v>
      </c>
      <c r="F769" s="51" t="s">
        <v>2715</v>
      </c>
      <c r="G769" s="51" t="s">
        <v>2695</v>
      </c>
      <c r="H769" s="25" t="str">
        <f t="shared" si="93"/>
        <v>jgd</v>
      </c>
      <c r="I769" t="s">
        <v>72</v>
      </c>
      <c r="J769" t="s">
        <v>298</v>
      </c>
      <c r="K769" t="s">
        <v>1166</v>
      </c>
      <c r="L769" s="25">
        <v>46.135189779999997</v>
      </c>
      <c r="M769" s="25">
        <v>8.9332495329999997</v>
      </c>
      <c r="N769">
        <v>5</v>
      </c>
      <c r="O769">
        <v>24</v>
      </c>
      <c r="P769">
        <v>10</v>
      </c>
      <c r="Q769">
        <v>2015</v>
      </c>
      <c r="R769" s="9">
        <v>42301</v>
      </c>
      <c r="S769">
        <v>275</v>
      </c>
      <c r="T769">
        <v>1</v>
      </c>
      <c r="U769">
        <v>0</v>
      </c>
      <c r="V769">
        <v>0</v>
      </c>
      <c r="W769">
        <v>0</v>
      </c>
      <c r="X769">
        <f t="shared" si="94"/>
        <v>-61.82500000000001</v>
      </c>
      <c r="Y769">
        <v>-23.152774189999999</v>
      </c>
      <c r="Z769">
        <v>3.7625710840000002</v>
      </c>
      <c r="AA769" s="3">
        <f t="shared" si="89"/>
        <v>6</v>
      </c>
      <c r="AB769" s="3">
        <f t="shared" si="95"/>
        <v>4</v>
      </c>
      <c r="AD769" s="3" t="s">
        <v>2754</v>
      </c>
      <c r="AE769" s="22">
        <v>-73.680000000000007</v>
      </c>
      <c r="AF769" s="22">
        <f t="shared" si="90"/>
        <v>-73.680000000000007</v>
      </c>
      <c r="AG769" s="1">
        <v>-96.4</v>
      </c>
      <c r="AH769" s="2" t="s">
        <v>16</v>
      </c>
      <c r="AI769"/>
      <c r="AJ769" s="3">
        <f t="shared" si="91"/>
        <v>7</v>
      </c>
      <c r="AK769" s="3" t="s">
        <v>2706</v>
      </c>
      <c r="AL769">
        <v>7</v>
      </c>
      <c r="AM769" t="s">
        <v>15</v>
      </c>
    </row>
    <row r="770" spans="1:39" x14ac:dyDescent="0.3">
      <c r="A770" s="51" t="s">
        <v>1431</v>
      </c>
      <c r="B770" s="54" t="s">
        <v>667</v>
      </c>
      <c r="C770" s="51" t="s">
        <v>2765</v>
      </c>
      <c r="D770" s="53">
        <v>0</v>
      </c>
      <c r="E770" s="53">
        <v>1</v>
      </c>
      <c r="F770" s="51" t="s">
        <v>2715</v>
      </c>
      <c r="G770" s="51" t="s">
        <v>2695</v>
      </c>
      <c r="H770" s="25" t="str">
        <f t="shared" si="93"/>
        <v>jgd</v>
      </c>
      <c r="I770" t="s">
        <v>72</v>
      </c>
      <c r="J770" t="s">
        <v>1189</v>
      </c>
      <c r="K770" t="s">
        <v>1433</v>
      </c>
      <c r="L770" s="25">
        <v>46.091273630000003</v>
      </c>
      <c r="M770" s="25">
        <v>9.0827008060000001</v>
      </c>
      <c r="N770">
        <v>5</v>
      </c>
      <c r="O770">
        <v>27</v>
      </c>
      <c r="P770">
        <v>11</v>
      </c>
      <c r="Q770">
        <v>2016</v>
      </c>
      <c r="R770" s="9">
        <v>42701</v>
      </c>
      <c r="S770">
        <v>320</v>
      </c>
      <c r="T770">
        <v>1</v>
      </c>
      <c r="U770">
        <v>0</v>
      </c>
      <c r="V770">
        <v>0</v>
      </c>
      <c r="W770">
        <v>0</v>
      </c>
      <c r="X770" s="57">
        <f t="shared" si="94"/>
        <v>-61.7782695</v>
      </c>
      <c r="Y770">
        <v>-23.98</v>
      </c>
      <c r="Z770">
        <v>4.75</v>
      </c>
      <c r="AA770" s="3">
        <f t="shared" si="89"/>
        <v>6</v>
      </c>
      <c r="AB770" s="3">
        <f t="shared" si="95"/>
        <v>5</v>
      </c>
      <c r="AD770" s="3" t="s">
        <v>2754</v>
      </c>
      <c r="AE770" s="22">
        <v>-73.642615599999999</v>
      </c>
      <c r="AF770" s="22">
        <f t="shared" si="90"/>
        <v>-73.642615599999999</v>
      </c>
      <c r="AG770" s="60" t="s">
        <v>16</v>
      </c>
      <c r="AH770" s="61" t="s">
        <v>16</v>
      </c>
      <c r="AJ770" s="3">
        <f t="shared" si="91"/>
        <v>7</v>
      </c>
      <c r="AK770" s="3" t="s">
        <v>2706</v>
      </c>
      <c r="AL770">
        <v>7</v>
      </c>
      <c r="AM770" t="s">
        <v>15</v>
      </c>
    </row>
    <row r="771" spans="1:39" hidden="1" x14ac:dyDescent="0.3">
      <c r="A771" s="51" t="s">
        <v>526</v>
      </c>
      <c r="B771" s="54" t="s">
        <v>527</v>
      </c>
      <c r="C771" s="51" t="s">
        <v>2765</v>
      </c>
      <c r="D771" s="53">
        <v>0</v>
      </c>
      <c r="E771" s="53">
        <v>1</v>
      </c>
      <c r="F771" s="51" t="s">
        <v>2715</v>
      </c>
      <c r="G771" s="51" t="s">
        <v>2695</v>
      </c>
      <c r="H771" s="25" t="str">
        <f t="shared" si="93"/>
        <v>jgd</v>
      </c>
      <c r="I771" t="s">
        <v>13</v>
      </c>
      <c r="J771" t="s">
        <v>25</v>
      </c>
      <c r="K771" t="s">
        <v>528</v>
      </c>
      <c r="L771" s="25">
        <v>47.079077150000003</v>
      </c>
      <c r="M771" s="25">
        <v>6.8846791200000004</v>
      </c>
      <c r="N771">
        <v>6</v>
      </c>
      <c r="O771">
        <v>13</v>
      </c>
      <c r="P771">
        <v>10</v>
      </c>
      <c r="Q771">
        <v>2014</v>
      </c>
      <c r="R771" s="9">
        <v>41925</v>
      </c>
      <c r="S771">
        <v>370</v>
      </c>
      <c r="T771">
        <v>1</v>
      </c>
      <c r="U771">
        <v>0</v>
      </c>
      <c r="V771">
        <v>0</v>
      </c>
      <c r="W771">
        <v>0</v>
      </c>
      <c r="X771">
        <f t="shared" si="94"/>
        <v>-61.699999999999996</v>
      </c>
      <c r="Y771">
        <v>-24.431285710000001</v>
      </c>
      <c r="Z771">
        <v>4.9925662529999997</v>
      </c>
      <c r="AA771" s="3">
        <f t="shared" si="89"/>
        <v>6</v>
      </c>
      <c r="AB771" s="3">
        <f t="shared" si="95"/>
        <v>5</v>
      </c>
      <c r="AD771" s="3" t="s">
        <v>2750</v>
      </c>
      <c r="AE771" s="22">
        <v>-73.58</v>
      </c>
      <c r="AF771" s="22">
        <f t="shared" si="90"/>
        <v>-73.58</v>
      </c>
      <c r="AG771" s="1">
        <v>-96.3</v>
      </c>
      <c r="AH771" s="2" t="s">
        <v>16</v>
      </c>
      <c r="AI771"/>
      <c r="AJ771" s="3">
        <f t="shared" si="91"/>
        <v>7</v>
      </c>
      <c r="AK771" s="3" t="s">
        <v>2706</v>
      </c>
      <c r="AL771">
        <v>7</v>
      </c>
      <c r="AM771" t="s">
        <v>15</v>
      </c>
    </row>
    <row r="772" spans="1:39" x14ac:dyDescent="0.3">
      <c r="A772" s="51" t="s">
        <v>1987</v>
      </c>
      <c r="B772" s="54" t="s">
        <v>1261</v>
      </c>
      <c r="C772" s="51" t="s">
        <v>2765</v>
      </c>
      <c r="D772" s="53">
        <v>0</v>
      </c>
      <c r="E772" s="53">
        <v>1</v>
      </c>
      <c r="F772" s="51" t="s">
        <v>2715</v>
      </c>
      <c r="G772" s="51" t="s">
        <v>2695</v>
      </c>
      <c r="H772" s="25" t="str">
        <f t="shared" si="93"/>
        <v>jgd</v>
      </c>
      <c r="I772" t="s">
        <v>72</v>
      </c>
      <c r="J772" t="s">
        <v>694</v>
      </c>
      <c r="K772" t="s">
        <v>1988</v>
      </c>
      <c r="L772" s="25">
        <v>46.081158330000001</v>
      </c>
      <c r="M772" s="25">
        <v>8.9026804380000009</v>
      </c>
      <c r="N772">
        <v>4</v>
      </c>
      <c r="O772">
        <v>27</v>
      </c>
      <c r="P772">
        <v>10</v>
      </c>
      <c r="Q772">
        <v>2016</v>
      </c>
      <c r="R772" s="9">
        <v>42670</v>
      </c>
      <c r="S772">
        <v>290</v>
      </c>
      <c r="T772">
        <v>1</v>
      </c>
      <c r="U772">
        <v>0</v>
      </c>
      <c r="V772">
        <v>0</v>
      </c>
      <c r="W772">
        <v>0</v>
      </c>
      <c r="X772" s="57">
        <f t="shared" si="94"/>
        <v>-61.612747500000005</v>
      </c>
      <c r="Y772">
        <v>-23.08</v>
      </c>
      <c r="Z772">
        <v>6.38</v>
      </c>
      <c r="AA772" s="3">
        <f t="shared" si="89"/>
        <v>6</v>
      </c>
      <c r="AB772" s="3">
        <f t="shared" si="95"/>
        <v>6</v>
      </c>
      <c r="AD772" s="3" t="s">
        <v>2754</v>
      </c>
      <c r="AE772" s="22">
        <v>-73.510198000000003</v>
      </c>
      <c r="AF772" s="22">
        <f t="shared" si="90"/>
        <v>-73.510198000000003</v>
      </c>
      <c r="AG772" s="60" t="s">
        <v>16</v>
      </c>
      <c r="AH772" s="61" t="s">
        <v>16</v>
      </c>
      <c r="AJ772" s="3">
        <f t="shared" si="91"/>
        <v>7</v>
      </c>
      <c r="AK772" s="3" t="s">
        <v>2706</v>
      </c>
      <c r="AL772">
        <v>7</v>
      </c>
      <c r="AM772" t="s">
        <v>15</v>
      </c>
    </row>
    <row r="773" spans="1:39" x14ac:dyDescent="0.3">
      <c r="A773" s="51" t="s">
        <v>2128</v>
      </c>
      <c r="B773" s="54" t="s">
        <v>2129</v>
      </c>
      <c r="C773" s="51" t="s">
        <v>2765</v>
      </c>
      <c r="D773" s="53">
        <v>0</v>
      </c>
      <c r="E773" s="53">
        <v>1</v>
      </c>
      <c r="F773" s="51" t="s">
        <v>2715</v>
      </c>
      <c r="G773" s="51" t="s">
        <v>2695</v>
      </c>
      <c r="H773" s="25" t="str">
        <f t="shared" si="93"/>
        <v>jgd</v>
      </c>
      <c r="I773" t="s">
        <v>72</v>
      </c>
      <c r="J773" t="s">
        <v>155</v>
      </c>
      <c r="K773" t="s">
        <v>2130</v>
      </c>
      <c r="L773" s="25">
        <v>46.143173109999999</v>
      </c>
      <c r="M773" s="25">
        <v>8.8684265599999996</v>
      </c>
      <c r="N773">
        <v>6</v>
      </c>
      <c r="O773">
        <v>11</v>
      </c>
      <c r="P773">
        <v>11</v>
      </c>
      <c r="Q773">
        <v>2017</v>
      </c>
      <c r="R773" s="9">
        <v>43050</v>
      </c>
      <c r="S773">
        <v>285</v>
      </c>
      <c r="T773">
        <v>1</v>
      </c>
      <c r="U773">
        <v>0</v>
      </c>
      <c r="V773">
        <v>0</v>
      </c>
      <c r="W773">
        <v>0</v>
      </c>
      <c r="X773" s="57">
        <f t="shared" si="94"/>
        <v>-61.429421499999997</v>
      </c>
      <c r="Y773" t="s">
        <v>16</v>
      </c>
      <c r="Z773">
        <v>7.2778163569999998</v>
      </c>
      <c r="AA773" s="3">
        <f t="shared" si="89"/>
        <v>6</v>
      </c>
      <c r="AB773" s="3">
        <f t="shared" si="95"/>
        <v>7</v>
      </c>
      <c r="AD773" s="3" t="s">
        <v>2754</v>
      </c>
      <c r="AE773" s="22">
        <v>-73.363537199999996</v>
      </c>
      <c r="AF773" s="22">
        <f t="shared" si="90"/>
        <v>-73.363537199999996</v>
      </c>
      <c r="AG773" s="60" t="s">
        <v>16</v>
      </c>
      <c r="AH773" s="61" t="s">
        <v>16</v>
      </c>
      <c r="AJ773" s="3">
        <f t="shared" si="91"/>
        <v>7</v>
      </c>
      <c r="AK773" s="3" t="s">
        <v>2706</v>
      </c>
      <c r="AL773">
        <v>7</v>
      </c>
      <c r="AM773" t="s">
        <v>15</v>
      </c>
    </row>
    <row r="774" spans="1:39" x14ac:dyDescent="0.3">
      <c r="A774" s="51" t="s">
        <v>1620</v>
      </c>
      <c r="B774" s="54" t="s">
        <v>1621</v>
      </c>
      <c r="C774" s="51" t="s">
        <v>2765</v>
      </c>
      <c r="D774" s="53">
        <v>0</v>
      </c>
      <c r="E774" s="53">
        <v>1</v>
      </c>
      <c r="F774" s="51" t="s">
        <v>2715</v>
      </c>
      <c r="G774" s="51" t="s">
        <v>2695</v>
      </c>
      <c r="H774" s="25" t="str">
        <f t="shared" si="93"/>
        <v>jgd</v>
      </c>
      <c r="I774" t="s">
        <v>72</v>
      </c>
      <c r="J774" t="s">
        <v>848</v>
      </c>
      <c r="K774" t="s">
        <v>16</v>
      </c>
      <c r="L774" s="25">
        <v>46.179947140000003</v>
      </c>
      <c r="M774" s="25">
        <v>8.6520439339999999</v>
      </c>
      <c r="N774">
        <v>5</v>
      </c>
      <c r="O774">
        <v>2</v>
      </c>
      <c r="P774">
        <v>11</v>
      </c>
      <c r="Q774">
        <v>2016</v>
      </c>
      <c r="R774" s="9">
        <v>42676</v>
      </c>
      <c r="S774">
        <v>273</v>
      </c>
      <c r="T774">
        <v>1</v>
      </c>
      <c r="U774">
        <v>0</v>
      </c>
      <c r="V774">
        <v>0</v>
      </c>
      <c r="W774">
        <v>0</v>
      </c>
      <c r="X774" s="57">
        <f t="shared" si="94"/>
        <v>-61.380005375000003</v>
      </c>
      <c r="Y774">
        <v>-24.22</v>
      </c>
      <c r="Z774">
        <v>3.39</v>
      </c>
      <c r="AA774" s="3">
        <f t="shared" si="89"/>
        <v>6</v>
      </c>
      <c r="AB774" s="3">
        <f t="shared" si="95"/>
        <v>3</v>
      </c>
      <c r="AD774" s="3" t="s">
        <v>2754</v>
      </c>
      <c r="AE774" s="22">
        <v>-73.324004299999999</v>
      </c>
      <c r="AF774" s="22">
        <f t="shared" si="90"/>
        <v>-73.324004299999999</v>
      </c>
      <c r="AG774" s="60" t="s">
        <v>16</v>
      </c>
      <c r="AH774" s="61" t="s">
        <v>16</v>
      </c>
      <c r="AJ774" s="3">
        <f t="shared" si="91"/>
        <v>7</v>
      </c>
      <c r="AK774" s="3" t="s">
        <v>2706</v>
      </c>
      <c r="AL774">
        <v>7</v>
      </c>
      <c r="AM774" t="s">
        <v>15</v>
      </c>
    </row>
    <row r="775" spans="1:39" hidden="1" x14ac:dyDescent="0.3">
      <c r="A775" s="51" t="s">
        <v>917</v>
      </c>
      <c r="B775" s="54" t="s">
        <v>146</v>
      </c>
      <c r="C775" s="51" t="s">
        <v>2765</v>
      </c>
      <c r="D775" s="53">
        <v>0</v>
      </c>
      <c r="E775" s="53">
        <v>1</v>
      </c>
      <c r="F775" s="51" t="s">
        <v>2715</v>
      </c>
      <c r="G775" s="51" t="s">
        <v>2695</v>
      </c>
      <c r="H775" s="25" t="str">
        <f t="shared" si="93"/>
        <v>jgd</v>
      </c>
      <c r="I775" t="s">
        <v>385</v>
      </c>
      <c r="J775" t="s">
        <v>386</v>
      </c>
      <c r="K775" t="s">
        <v>918</v>
      </c>
      <c r="L775" s="25">
        <v>46.862167929999998</v>
      </c>
      <c r="M775" s="25">
        <v>6.5524935749999997</v>
      </c>
      <c r="N775">
        <v>6</v>
      </c>
      <c r="O775">
        <v>3</v>
      </c>
      <c r="P775">
        <v>11</v>
      </c>
      <c r="Q775">
        <v>2015</v>
      </c>
      <c r="R775" s="9">
        <v>42311</v>
      </c>
      <c r="S775">
        <v>312</v>
      </c>
      <c r="T775">
        <v>1</v>
      </c>
      <c r="U775">
        <v>0</v>
      </c>
      <c r="V775">
        <v>0</v>
      </c>
      <c r="W775">
        <v>0</v>
      </c>
      <c r="X775">
        <f t="shared" si="94"/>
        <v>-61.337500000000013</v>
      </c>
      <c r="Y775">
        <v>-22.631</v>
      </c>
      <c r="Z775">
        <v>4.246373889</v>
      </c>
      <c r="AA775" s="3">
        <f t="shared" si="89"/>
        <v>6</v>
      </c>
      <c r="AB775" s="3">
        <f t="shared" si="95"/>
        <v>4</v>
      </c>
      <c r="AD775" s="3" t="s">
        <v>2750</v>
      </c>
      <c r="AE775" s="22">
        <v>-73.290000000000006</v>
      </c>
      <c r="AF775" s="22">
        <f t="shared" si="90"/>
        <v>-73.290000000000006</v>
      </c>
      <c r="AG775" s="1">
        <v>-96</v>
      </c>
      <c r="AH775" s="2" t="s">
        <v>16</v>
      </c>
      <c r="AI775"/>
      <c r="AJ775" s="3">
        <f t="shared" si="91"/>
        <v>7</v>
      </c>
      <c r="AK775" s="3" t="s">
        <v>2706</v>
      </c>
      <c r="AL775">
        <v>7</v>
      </c>
      <c r="AM775" t="s">
        <v>15</v>
      </c>
    </row>
    <row r="776" spans="1:39" x14ac:dyDescent="0.3">
      <c r="A776" s="51" t="s">
        <v>1265</v>
      </c>
      <c r="B776" s="54" t="s">
        <v>1266</v>
      </c>
      <c r="C776" s="51" t="s">
        <v>2765</v>
      </c>
      <c r="D776" s="53">
        <v>0</v>
      </c>
      <c r="E776" s="53">
        <v>1</v>
      </c>
      <c r="F776" s="51" t="s">
        <v>2715</v>
      </c>
      <c r="G776" s="51" t="s">
        <v>2695</v>
      </c>
      <c r="H776" s="25" t="str">
        <f t="shared" si="93"/>
        <v>jgd</v>
      </c>
      <c r="I776" t="s">
        <v>72</v>
      </c>
      <c r="J776" t="s">
        <v>1245</v>
      </c>
      <c r="K776" t="s">
        <v>1246</v>
      </c>
      <c r="L776" s="25">
        <v>46.071065359999999</v>
      </c>
      <c r="M776" s="25">
        <v>8.9004709149999996</v>
      </c>
      <c r="N776">
        <v>4</v>
      </c>
      <c r="O776">
        <v>5</v>
      </c>
      <c r="P776">
        <v>11</v>
      </c>
      <c r="Q776">
        <v>2015</v>
      </c>
      <c r="R776" s="9">
        <v>42313</v>
      </c>
      <c r="S776">
        <v>310</v>
      </c>
      <c r="T776">
        <v>1</v>
      </c>
      <c r="U776">
        <v>0</v>
      </c>
      <c r="V776">
        <v>0</v>
      </c>
      <c r="W776">
        <v>0</v>
      </c>
      <c r="X776">
        <f t="shared" si="94"/>
        <v>-61.250000000000007</v>
      </c>
      <c r="Y776">
        <v>-25.457576509999999</v>
      </c>
      <c r="Z776">
        <v>4.4785697989999997</v>
      </c>
      <c r="AA776" s="3">
        <f t="shared" si="89"/>
        <v>6</v>
      </c>
      <c r="AB776" s="3">
        <f t="shared" si="95"/>
        <v>4</v>
      </c>
      <c r="AD776" s="3" t="s">
        <v>2754</v>
      </c>
      <c r="AE776" s="22">
        <v>-73.22</v>
      </c>
      <c r="AF776" s="22">
        <f t="shared" si="90"/>
        <v>-73.22</v>
      </c>
      <c r="AG776" s="1">
        <v>-95.9</v>
      </c>
      <c r="AH776" s="2" t="s">
        <v>16</v>
      </c>
      <c r="AI776"/>
      <c r="AJ776" s="3">
        <f t="shared" si="91"/>
        <v>7</v>
      </c>
      <c r="AK776" s="3" t="s">
        <v>2706</v>
      </c>
      <c r="AL776">
        <v>7</v>
      </c>
      <c r="AM776" t="s">
        <v>15</v>
      </c>
    </row>
    <row r="777" spans="1:39" x14ac:dyDescent="0.3">
      <c r="A777" s="51" t="s">
        <v>1977</v>
      </c>
      <c r="B777" s="54" t="s">
        <v>1978</v>
      </c>
      <c r="C777" s="51" t="s">
        <v>2765</v>
      </c>
      <c r="D777" s="53">
        <v>0</v>
      </c>
      <c r="E777" s="53">
        <v>1</v>
      </c>
      <c r="F777" s="51" t="s">
        <v>2715</v>
      </c>
      <c r="G777" s="51" t="s">
        <v>2695</v>
      </c>
      <c r="H777" s="25" t="str">
        <f t="shared" si="93"/>
        <v>jgd</v>
      </c>
      <c r="I777" t="s">
        <v>72</v>
      </c>
      <c r="J777" t="s">
        <v>1473</v>
      </c>
      <c r="K777" t="s">
        <v>1474</v>
      </c>
      <c r="L777" s="25">
        <v>45.896091679999998</v>
      </c>
      <c r="M777" s="25">
        <v>9.0835319610000003</v>
      </c>
      <c r="N777">
        <v>5</v>
      </c>
      <c r="O777">
        <v>8</v>
      </c>
      <c r="P777">
        <v>11</v>
      </c>
      <c r="Q777">
        <v>2016</v>
      </c>
      <c r="R777" s="9">
        <v>42682</v>
      </c>
      <c r="S777">
        <v>310</v>
      </c>
      <c r="T777">
        <v>1</v>
      </c>
      <c r="U777">
        <v>0</v>
      </c>
      <c r="V777">
        <v>0</v>
      </c>
      <c r="W777">
        <v>0</v>
      </c>
      <c r="X777" s="57">
        <f t="shared" si="94"/>
        <v>-61.193651624999994</v>
      </c>
      <c r="Y777">
        <v>-23.37</v>
      </c>
      <c r="Z777">
        <v>8.0399999999999991</v>
      </c>
      <c r="AA777" s="3">
        <f t="shared" si="89"/>
        <v>6</v>
      </c>
      <c r="AB777" s="3">
        <f t="shared" si="95"/>
        <v>8</v>
      </c>
      <c r="AD777" s="3" t="s">
        <v>2754</v>
      </c>
      <c r="AE777" s="22">
        <v>-73.174921299999994</v>
      </c>
      <c r="AF777" s="22">
        <f t="shared" si="90"/>
        <v>-73.174921299999994</v>
      </c>
      <c r="AG777" s="60" t="s">
        <v>16</v>
      </c>
      <c r="AH777" s="61" t="s">
        <v>16</v>
      </c>
      <c r="AJ777" s="3">
        <f t="shared" si="91"/>
        <v>7</v>
      </c>
      <c r="AK777" s="3" t="s">
        <v>2706</v>
      </c>
      <c r="AL777">
        <v>7</v>
      </c>
      <c r="AM777" t="s">
        <v>15</v>
      </c>
    </row>
    <row r="778" spans="1:39" hidden="1" x14ac:dyDescent="0.3">
      <c r="A778" s="51" t="s">
        <v>102</v>
      </c>
      <c r="B778" s="54" t="s">
        <v>33</v>
      </c>
      <c r="C778" s="51" t="s">
        <v>2765</v>
      </c>
      <c r="D778" s="53">
        <v>0</v>
      </c>
      <c r="E778" s="53">
        <v>1</v>
      </c>
      <c r="F778" s="51" t="s">
        <v>2715</v>
      </c>
      <c r="G778" s="51" t="s">
        <v>2695</v>
      </c>
      <c r="H778" s="25" t="str">
        <f t="shared" si="93"/>
        <v>jgd</v>
      </c>
      <c r="I778" t="s">
        <v>30</v>
      </c>
      <c r="J778" t="s">
        <v>103</v>
      </c>
      <c r="K778" t="s">
        <v>16</v>
      </c>
      <c r="L778" s="25">
        <v>46.59123864</v>
      </c>
      <c r="M778" s="25">
        <v>6.794024662</v>
      </c>
      <c r="N778">
        <v>4</v>
      </c>
      <c r="O778">
        <v>7</v>
      </c>
      <c r="P778">
        <v>11</v>
      </c>
      <c r="Q778">
        <v>2013</v>
      </c>
      <c r="R778" s="9">
        <v>41585</v>
      </c>
      <c r="S778">
        <v>328</v>
      </c>
      <c r="T778">
        <v>1</v>
      </c>
      <c r="U778">
        <v>0</v>
      </c>
      <c r="V778">
        <v>0</v>
      </c>
      <c r="W778">
        <v>0</v>
      </c>
      <c r="X778">
        <f t="shared" si="94"/>
        <v>-61.074999999999996</v>
      </c>
      <c r="Y778">
        <v>-79.121606720000003</v>
      </c>
      <c r="Z778">
        <v>5.1865954820000004</v>
      </c>
      <c r="AA778" s="3">
        <f t="shared" si="89"/>
        <v>6</v>
      </c>
      <c r="AB778" s="3">
        <f t="shared" si="95"/>
        <v>5</v>
      </c>
      <c r="AD778" s="3" t="s">
        <v>2751</v>
      </c>
      <c r="AE778" s="22">
        <v>-73.08</v>
      </c>
      <c r="AF778" s="22">
        <f t="shared" si="90"/>
        <v>-73.08</v>
      </c>
      <c r="AG778" s="1">
        <v>-95.8</v>
      </c>
      <c r="AH778" s="2" t="s">
        <v>16</v>
      </c>
      <c r="AI778"/>
      <c r="AJ778" s="3">
        <f t="shared" si="91"/>
        <v>7</v>
      </c>
      <c r="AK778" s="3" t="s">
        <v>2706</v>
      </c>
      <c r="AL778">
        <v>7</v>
      </c>
      <c r="AM778" t="s">
        <v>15</v>
      </c>
    </row>
    <row r="779" spans="1:39" hidden="1" x14ac:dyDescent="0.3">
      <c r="A779" s="51" t="s">
        <v>1436</v>
      </c>
      <c r="B779" s="54" t="s">
        <v>12</v>
      </c>
      <c r="C779" s="51" t="s">
        <v>2765</v>
      </c>
      <c r="D779" s="53">
        <v>0</v>
      </c>
      <c r="E779" s="53">
        <v>1</v>
      </c>
      <c r="F779" s="51" t="s">
        <v>2715</v>
      </c>
      <c r="G779" s="51" t="s">
        <v>2695</v>
      </c>
      <c r="H779" s="25" t="str">
        <f t="shared" si="93"/>
        <v>jgd</v>
      </c>
      <c r="I779" t="s">
        <v>13</v>
      </c>
      <c r="J779" t="s">
        <v>84</v>
      </c>
      <c r="K779" t="s">
        <v>1437</v>
      </c>
      <c r="L779" s="25">
        <v>46.93102047</v>
      </c>
      <c r="M779" s="25">
        <v>6.541864093</v>
      </c>
      <c r="N779" t="s">
        <v>16</v>
      </c>
      <c r="O779">
        <v>15</v>
      </c>
      <c r="P779">
        <v>10</v>
      </c>
      <c r="Q779">
        <v>2016</v>
      </c>
      <c r="R779" s="9">
        <v>42658</v>
      </c>
      <c r="S779">
        <v>280</v>
      </c>
      <c r="T779">
        <v>1</v>
      </c>
      <c r="U779">
        <v>0</v>
      </c>
      <c r="V779">
        <v>0</v>
      </c>
      <c r="W779">
        <v>0</v>
      </c>
      <c r="X779" s="57">
        <f t="shared" si="94"/>
        <v>-61.072472249999997</v>
      </c>
      <c r="Y779">
        <v>-23.42</v>
      </c>
      <c r="Z779">
        <v>10.83</v>
      </c>
      <c r="AA779" s="3">
        <f t="shared" si="89"/>
        <v>6</v>
      </c>
      <c r="AB779" s="3">
        <f t="shared" si="95"/>
        <v>11</v>
      </c>
      <c r="AD779" s="3" t="s">
        <v>2750</v>
      </c>
      <c r="AE779" s="22">
        <v>-73.077977799999999</v>
      </c>
      <c r="AF779" s="22">
        <f t="shared" si="90"/>
        <v>-73.077977799999999</v>
      </c>
      <c r="AG779" s="60" t="s">
        <v>16</v>
      </c>
      <c r="AH779" s="61" t="s">
        <v>16</v>
      </c>
      <c r="AJ779" s="3">
        <f t="shared" si="91"/>
        <v>7</v>
      </c>
      <c r="AK779" s="3" t="s">
        <v>2706</v>
      </c>
      <c r="AL779">
        <v>7</v>
      </c>
      <c r="AM779" t="s">
        <v>15</v>
      </c>
    </row>
    <row r="780" spans="1:39" hidden="1" x14ac:dyDescent="0.3">
      <c r="A780" s="51" t="s">
        <v>1083</v>
      </c>
      <c r="B780" s="54" t="s">
        <v>1084</v>
      </c>
      <c r="C780" s="51" t="s">
        <v>2765</v>
      </c>
      <c r="D780" s="53">
        <v>0</v>
      </c>
      <c r="E780" s="53">
        <v>1</v>
      </c>
      <c r="F780" s="51" t="s">
        <v>2715</v>
      </c>
      <c r="G780" s="51" t="s">
        <v>2695</v>
      </c>
      <c r="H780" s="25" t="str">
        <f t="shared" si="93"/>
        <v>jgd</v>
      </c>
      <c r="I780" t="s">
        <v>13</v>
      </c>
      <c r="J780" t="s">
        <v>1057</v>
      </c>
      <c r="K780" t="s">
        <v>1085</v>
      </c>
      <c r="L780" s="25">
        <v>46.937379649999997</v>
      </c>
      <c r="M780" s="25">
        <v>6.4688661539999996</v>
      </c>
      <c r="N780">
        <v>6</v>
      </c>
      <c r="O780">
        <v>3</v>
      </c>
      <c r="P780">
        <v>11</v>
      </c>
      <c r="Q780">
        <v>2015</v>
      </c>
      <c r="R780" s="9">
        <v>42311</v>
      </c>
      <c r="S780">
        <v>321</v>
      </c>
      <c r="T780">
        <v>1</v>
      </c>
      <c r="U780">
        <v>0</v>
      </c>
      <c r="V780">
        <v>0</v>
      </c>
      <c r="W780">
        <v>0</v>
      </c>
      <c r="X780">
        <f t="shared" si="94"/>
        <v>-61.050000000000004</v>
      </c>
      <c r="Y780">
        <v>-23.285133999999999</v>
      </c>
      <c r="Z780">
        <v>9.0827475179999997</v>
      </c>
      <c r="AA780" s="3">
        <f t="shared" si="89"/>
        <v>6</v>
      </c>
      <c r="AB780" s="3">
        <f t="shared" si="95"/>
        <v>9</v>
      </c>
      <c r="AD780" s="3" t="s">
        <v>2750</v>
      </c>
      <c r="AE780" s="22">
        <v>-73.06</v>
      </c>
      <c r="AF780" s="22">
        <f t="shared" si="90"/>
        <v>-73.06</v>
      </c>
      <c r="AG780" s="1">
        <v>-95.8</v>
      </c>
      <c r="AH780" s="2" t="s">
        <v>16</v>
      </c>
      <c r="AI780"/>
      <c r="AJ780" s="3">
        <f t="shared" si="91"/>
        <v>7</v>
      </c>
      <c r="AK780" s="3" t="s">
        <v>2706</v>
      </c>
      <c r="AL780">
        <v>7</v>
      </c>
      <c r="AM780" t="s">
        <v>15</v>
      </c>
    </row>
    <row r="781" spans="1:39" hidden="1" x14ac:dyDescent="0.3">
      <c r="A781" s="51" t="s">
        <v>273</v>
      </c>
      <c r="B781" s="54" t="s">
        <v>63</v>
      </c>
      <c r="C781" s="51" t="s">
        <v>2765</v>
      </c>
      <c r="D781" s="53">
        <v>0</v>
      </c>
      <c r="E781" s="53">
        <v>1</v>
      </c>
      <c r="F781" s="51" t="s">
        <v>2715</v>
      </c>
      <c r="G781" s="51" t="s">
        <v>2695</v>
      </c>
      <c r="H781" s="25" t="str">
        <f t="shared" si="93"/>
        <v>jgd</v>
      </c>
      <c r="I781" t="s">
        <v>30</v>
      </c>
      <c r="J781" t="s">
        <v>64</v>
      </c>
      <c r="K781" t="s">
        <v>16</v>
      </c>
      <c r="L781" s="25">
        <v>46.648526369999999</v>
      </c>
      <c r="M781" s="25">
        <v>7.0225939000000004</v>
      </c>
      <c r="N781">
        <v>6</v>
      </c>
      <c r="O781">
        <v>9</v>
      </c>
      <c r="P781">
        <v>11</v>
      </c>
      <c r="Q781">
        <v>2013</v>
      </c>
      <c r="R781" s="9">
        <v>41587</v>
      </c>
      <c r="S781">
        <v>295</v>
      </c>
      <c r="T781">
        <v>1</v>
      </c>
      <c r="U781">
        <v>0</v>
      </c>
      <c r="V781">
        <v>0</v>
      </c>
      <c r="W781">
        <v>0</v>
      </c>
      <c r="X781">
        <f t="shared" si="94"/>
        <v>-61.037500000000001</v>
      </c>
      <c r="Y781">
        <v>-46.572207499999998</v>
      </c>
      <c r="Z781">
        <v>4.6983978000000004</v>
      </c>
      <c r="AA781" s="3">
        <f t="shared" si="89"/>
        <v>6</v>
      </c>
      <c r="AB781" s="3">
        <f t="shared" si="95"/>
        <v>5</v>
      </c>
      <c r="AD781" s="3" t="s">
        <v>2751</v>
      </c>
      <c r="AE781" s="22">
        <v>-73.05</v>
      </c>
      <c r="AF781" s="22">
        <f t="shared" si="90"/>
        <v>-73.05</v>
      </c>
      <c r="AG781" s="1">
        <v>-95.8</v>
      </c>
      <c r="AH781" s="2" t="s">
        <v>16</v>
      </c>
      <c r="AI781"/>
      <c r="AJ781" s="3">
        <f t="shared" si="91"/>
        <v>7</v>
      </c>
      <c r="AK781" s="3" t="s">
        <v>2706</v>
      </c>
      <c r="AL781">
        <v>7</v>
      </c>
      <c r="AM781" t="s">
        <v>15</v>
      </c>
    </row>
    <row r="782" spans="1:39" x14ac:dyDescent="0.3">
      <c r="A782" s="51" t="s">
        <v>983</v>
      </c>
      <c r="B782" s="54" t="s">
        <v>179</v>
      </c>
      <c r="C782" s="51" t="s">
        <v>2765</v>
      </c>
      <c r="D782" s="53">
        <v>0</v>
      </c>
      <c r="E782" s="53">
        <v>1</v>
      </c>
      <c r="F782" s="51" t="s">
        <v>2715</v>
      </c>
      <c r="G782" s="51" t="s">
        <v>2695</v>
      </c>
      <c r="H782" s="25" t="str">
        <f t="shared" si="93"/>
        <v>jgd</v>
      </c>
      <c r="I782" t="s">
        <v>72</v>
      </c>
      <c r="J782" t="s">
        <v>984</v>
      </c>
      <c r="K782" t="s">
        <v>985</v>
      </c>
      <c r="L782" s="25">
        <v>46.108463919999998</v>
      </c>
      <c r="M782" s="25">
        <v>8.9803791870000005</v>
      </c>
      <c r="N782">
        <v>5</v>
      </c>
      <c r="O782">
        <v>17</v>
      </c>
      <c r="P782">
        <v>10</v>
      </c>
      <c r="Q782">
        <v>2015</v>
      </c>
      <c r="R782" s="9">
        <v>42294</v>
      </c>
      <c r="S782">
        <v>316</v>
      </c>
      <c r="T782">
        <v>1</v>
      </c>
      <c r="U782">
        <v>0</v>
      </c>
      <c r="V782">
        <v>0</v>
      </c>
      <c r="W782">
        <v>0</v>
      </c>
      <c r="X782">
        <f t="shared" si="94"/>
        <v>-60.912500000000001</v>
      </c>
      <c r="Y782">
        <v>-23.671775019999998</v>
      </c>
      <c r="Z782">
        <v>3.945912544</v>
      </c>
      <c r="AA782" s="3">
        <f t="shared" si="89"/>
        <v>6</v>
      </c>
      <c r="AB782" s="3">
        <f t="shared" si="95"/>
        <v>4</v>
      </c>
      <c r="AD782" s="3" t="s">
        <v>2754</v>
      </c>
      <c r="AE782" s="22">
        <v>-72.95</v>
      </c>
      <c r="AF782" s="22">
        <f t="shared" si="90"/>
        <v>-72.95</v>
      </c>
      <c r="AG782" s="1">
        <v>-95.7</v>
      </c>
      <c r="AH782" s="2" t="s">
        <v>16</v>
      </c>
      <c r="AI782"/>
      <c r="AJ782" s="3">
        <f t="shared" si="91"/>
        <v>7</v>
      </c>
      <c r="AK782" s="3" t="s">
        <v>2706</v>
      </c>
      <c r="AL782">
        <v>7</v>
      </c>
      <c r="AM782" t="s">
        <v>15</v>
      </c>
    </row>
    <row r="783" spans="1:39" hidden="1" x14ac:dyDescent="0.3">
      <c r="A783" s="51" t="s">
        <v>494</v>
      </c>
      <c r="B783" s="54" t="s">
        <v>495</v>
      </c>
      <c r="C783" s="51" t="s">
        <v>2765</v>
      </c>
      <c r="D783" s="53">
        <v>0</v>
      </c>
      <c r="E783" s="53">
        <v>1</v>
      </c>
      <c r="F783" s="51" t="s">
        <v>2715</v>
      </c>
      <c r="G783" s="51" t="s">
        <v>2695</v>
      </c>
      <c r="H783" s="25" t="str">
        <f t="shared" si="93"/>
        <v>jgd</v>
      </c>
      <c r="I783" t="s">
        <v>13</v>
      </c>
      <c r="J783" t="s">
        <v>66</v>
      </c>
      <c r="K783" t="s">
        <v>496</v>
      </c>
      <c r="L783" s="25">
        <v>46.971571849999997</v>
      </c>
      <c r="M783" s="25">
        <v>6.7618634350000004</v>
      </c>
      <c r="N783">
        <v>6</v>
      </c>
      <c r="O783">
        <v>3</v>
      </c>
      <c r="P783">
        <v>11</v>
      </c>
      <c r="Q783">
        <v>2014</v>
      </c>
      <c r="R783" s="9">
        <v>41946</v>
      </c>
      <c r="S783">
        <v>286</v>
      </c>
      <c r="T783">
        <v>1</v>
      </c>
      <c r="U783">
        <v>0</v>
      </c>
      <c r="V783">
        <v>0</v>
      </c>
      <c r="W783">
        <v>0</v>
      </c>
      <c r="X783">
        <f t="shared" si="94"/>
        <v>-60.85</v>
      </c>
      <c r="Y783">
        <v>-24.484285710000002</v>
      </c>
      <c r="Z783">
        <v>8.0739581870000006</v>
      </c>
      <c r="AA783" s="3">
        <f t="shared" si="89"/>
        <v>6</v>
      </c>
      <c r="AB783" s="3">
        <f t="shared" si="95"/>
        <v>8</v>
      </c>
      <c r="AD783" s="3" t="s">
        <v>2750</v>
      </c>
      <c r="AE783" s="22">
        <v>-72.900000000000006</v>
      </c>
      <c r="AF783" s="22">
        <f t="shared" si="90"/>
        <v>-72.900000000000006</v>
      </c>
      <c r="AG783" s="1">
        <v>-95.6</v>
      </c>
      <c r="AH783" s="2" t="s">
        <v>16</v>
      </c>
      <c r="AI783"/>
      <c r="AJ783" s="3">
        <f t="shared" si="91"/>
        <v>7</v>
      </c>
      <c r="AK783" s="3" t="s">
        <v>2706</v>
      </c>
      <c r="AL783">
        <v>7</v>
      </c>
      <c r="AM783" t="s">
        <v>15</v>
      </c>
    </row>
    <row r="784" spans="1:39" hidden="1" x14ac:dyDescent="0.3">
      <c r="A784" s="51" t="s">
        <v>2019</v>
      </c>
      <c r="B784" s="54" t="s">
        <v>2020</v>
      </c>
      <c r="C784" s="51" t="s">
        <v>2765</v>
      </c>
      <c r="D784" s="53">
        <v>0</v>
      </c>
      <c r="E784" s="53">
        <v>1</v>
      </c>
      <c r="F784" s="51" t="s">
        <v>2715</v>
      </c>
      <c r="G784" s="51" t="s">
        <v>2695</v>
      </c>
      <c r="H784" s="25" t="str">
        <f t="shared" si="93"/>
        <v>jgd</v>
      </c>
      <c r="I784" t="s">
        <v>30</v>
      </c>
      <c r="J784" t="s">
        <v>2014</v>
      </c>
      <c r="K784" t="s">
        <v>16</v>
      </c>
      <c r="L784" s="25">
        <v>46.76700881</v>
      </c>
      <c r="M784" s="25">
        <v>7.0457810470000002</v>
      </c>
      <c r="N784">
        <v>5</v>
      </c>
      <c r="O784">
        <v>19</v>
      </c>
      <c r="P784">
        <v>11</v>
      </c>
      <c r="Q784">
        <v>2016</v>
      </c>
      <c r="R784" s="9">
        <v>42693</v>
      </c>
      <c r="S784">
        <v>331</v>
      </c>
      <c r="T784">
        <v>1</v>
      </c>
      <c r="U784">
        <v>0</v>
      </c>
      <c r="V784">
        <v>0</v>
      </c>
      <c r="W784">
        <v>0</v>
      </c>
      <c r="X784" s="57">
        <f t="shared" si="94"/>
        <v>-60.819216500000003</v>
      </c>
      <c r="Y784">
        <v>-23.46</v>
      </c>
      <c r="Z784">
        <v>6.12</v>
      </c>
      <c r="AA784" s="3">
        <f t="shared" si="89"/>
        <v>6</v>
      </c>
      <c r="AB784" s="3">
        <f t="shared" si="95"/>
        <v>6</v>
      </c>
      <c r="AD784" s="3" t="s">
        <v>2751</v>
      </c>
      <c r="AE784" s="22">
        <v>-72.875373199999999</v>
      </c>
      <c r="AF784" s="22">
        <f t="shared" si="90"/>
        <v>-72.875373199999999</v>
      </c>
      <c r="AG784" s="60" t="s">
        <v>16</v>
      </c>
      <c r="AH784" s="61" t="s">
        <v>16</v>
      </c>
      <c r="AJ784" s="3">
        <f t="shared" si="91"/>
        <v>7</v>
      </c>
      <c r="AK784" s="3" t="s">
        <v>2706</v>
      </c>
      <c r="AL784">
        <v>7</v>
      </c>
      <c r="AM784" t="s">
        <v>15</v>
      </c>
    </row>
    <row r="785" spans="1:39" hidden="1" x14ac:dyDescent="0.3">
      <c r="A785" s="51" t="s">
        <v>2013</v>
      </c>
      <c r="B785" s="54" t="s">
        <v>1375</v>
      </c>
      <c r="C785" s="51" t="s">
        <v>2765</v>
      </c>
      <c r="D785" s="53">
        <v>0</v>
      </c>
      <c r="E785" s="53">
        <v>1</v>
      </c>
      <c r="F785" s="51" t="s">
        <v>2715</v>
      </c>
      <c r="G785" s="51" t="s">
        <v>2695</v>
      </c>
      <c r="H785" s="25" t="str">
        <f t="shared" si="93"/>
        <v>jgd</v>
      </c>
      <c r="I785" t="s">
        <v>30</v>
      </c>
      <c r="J785" t="s">
        <v>2014</v>
      </c>
      <c r="K785" t="s">
        <v>2012</v>
      </c>
      <c r="L785" s="25">
        <v>46.76863917</v>
      </c>
      <c r="M785" s="25">
        <v>7.0464106659999999</v>
      </c>
      <c r="N785">
        <v>5</v>
      </c>
      <c r="O785">
        <v>12</v>
      </c>
      <c r="P785">
        <v>11</v>
      </c>
      <c r="Q785">
        <v>2016</v>
      </c>
      <c r="R785" s="9">
        <v>42686</v>
      </c>
      <c r="S785">
        <v>339</v>
      </c>
      <c r="T785">
        <v>1</v>
      </c>
      <c r="U785">
        <v>0</v>
      </c>
      <c r="V785">
        <v>0</v>
      </c>
      <c r="W785">
        <v>0</v>
      </c>
      <c r="X785" s="57">
        <f t="shared" si="94"/>
        <v>-60.752663000000005</v>
      </c>
      <c r="Y785">
        <v>-24.14</v>
      </c>
      <c r="Z785">
        <v>5.58</v>
      </c>
      <c r="AA785" s="3">
        <f t="shared" si="89"/>
        <v>6</v>
      </c>
      <c r="AB785" s="3">
        <f t="shared" si="95"/>
        <v>6</v>
      </c>
      <c r="AD785" s="3" t="s">
        <v>2751</v>
      </c>
      <c r="AE785" s="22">
        <v>-72.822130400000006</v>
      </c>
      <c r="AF785" s="22">
        <f t="shared" si="90"/>
        <v>-72.822130400000006</v>
      </c>
      <c r="AG785" s="60" t="s">
        <v>16</v>
      </c>
      <c r="AH785" s="61" t="s">
        <v>16</v>
      </c>
      <c r="AJ785" s="3">
        <f t="shared" si="91"/>
        <v>7</v>
      </c>
      <c r="AK785" s="3" t="s">
        <v>2706</v>
      </c>
      <c r="AL785">
        <v>7</v>
      </c>
      <c r="AM785" t="s">
        <v>15</v>
      </c>
    </row>
    <row r="786" spans="1:39" x14ac:dyDescent="0.3">
      <c r="A786" s="51" t="s">
        <v>1520</v>
      </c>
      <c r="B786" s="54" t="s">
        <v>352</v>
      </c>
      <c r="C786" s="51" t="s">
        <v>2765</v>
      </c>
      <c r="D786" s="53">
        <v>0</v>
      </c>
      <c r="E786" s="53">
        <v>1</v>
      </c>
      <c r="F786" s="51" t="s">
        <v>2715</v>
      </c>
      <c r="G786" s="51" t="s">
        <v>2695</v>
      </c>
      <c r="H786" s="25" t="str">
        <f t="shared" si="93"/>
        <v>jgd</v>
      </c>
      <c r="I786" t="s">
        <v>72</v>
      </c>
      <c r="J786" t="s">
        <v>1521</v>
      </c>
      <c r="K786" t="s">
        <v>16</v>
      </c>
      <c r="L786" s="25">
        <v>46.192037229999997</v>
      </c>
      <c r="M786" s="25">
        <v>8.7030435149999992</v>
      </c>
      <c r="N786">
        <v>6</v>
      </c>
      <c r="O786">
        <v>25</v>
      </c>
      <c r="P786">
        <v>10</v>
      </c>
      <c r="Q786">
        <v>2016</v>
      </c>
      <c r="R786" s="9">
        <v>42668</v>
      </c>
      <c r="S786">
        <v>303</v>
      </c>
      <c r="T786">
        <v>1</v>
      </c>
      <c r="U786">
        <v>0</v>
      </c>
      <c r="V786">
        <v>0</v>
      </c>
      <c r="W786">
        <v>0</v>
      </c>
      <c r="X786" s="57">
        <f t="shared" si="94"/>
        <v>-60.639672749999995</v>
      </c>
      <c r="Y786">
        <v>-24.05</v>
      </c>
      <c r="Z786">
        <v>5.48</v>
      </c>
      <c r="AA786" s="3">
        <f t="shared" si="89"/>
        <v>6</v>
      </c>
      <c r="AB786" s="3">
        <f t="shared" si="95"/>
        <v>5</v>
      </c>
      <c r="AD786" s="3" t="s">
        <v>2754</v>
      </c>
      <c r="AE786" s="22">
        <v>-72.731738199999995</v>
      </c>
      <c r="AF786" s="22">
        <f t="shared" si="90"/>
        <v>-72.731738199999995</v>
      </c>
      <c r="AG786" s="60" t="s">
        <v>16</v>
      </c>
      <c r="AH786" s="61" t="s">
        <v>16</v>
      </c>
      <c r="AJ786" s="3">
        <f t="shared" si="91"/>
        <v>7</v>
      </c>
      <c r="AK786" s="3" t="s">
        <v>2706</v>
      </c>
      <c r="AL786">
        <v>7</v>
      </c>
      <c r="AM786" t="s">
        <v>15</v>
      </c>
    </row>
    <row r="787" spans="1:39" x14ac:dyDescent="0.3">
      <c r="A787" s="51" t="s">
        <v>756</v>
      </c>
      <c r="B787" s="54" t="s">
        <v>757</v>
      </c>
      <c r="C787" s="51" t="s">
        <v>2765</v>
      </c>
      <c r="D787" s="53">
        <v>0</v>
      </c>
      <c r="E787" s="53">
        <v>1</v>
      </c>
      <c r="F787" s="51" t="s">
        <v>2715</v>
      </c>
      <c r="G787" s="51" t="s">
        <v>2695</v>
      </c>
      <c r="H787" s="25" t="str">
        <f t="shared" si="93"/>
        <v>jgd</v>
      </c>
      <c r="I787" t="s">
        <v>72</v>
      </c>
      <c r="J787" t="s">
        <v>758</v>
      </c>
      <c r="K787" t="s">
        <v>759</v>
      </c>
      <c r="L787" s="25">
        <v>46.226024420000002</v>
      </c>
      <c r="M787" s="25">
        <v>8.6838050819999992</v>
      </c>
      <c r="N787">
        <v>6</v>
      </c>
      <c r="O787">
        <v>14</v>
      </c>
      <c r="P787">
        <v>11</v>
      </c>
      <c r="Q787">
        <v>2015</v>
      </c>
      <c r="R787" s="9">
        <v>42322</v>
      </c>
      <c r="S787">
        <v>328</v>
      </c>
      <c r="T787">
        <v>1</v>
      </c>
      <c r="U787">
        <v>0</v>
      </c>
      <c r="V787">
        <v>0</v>
      </c>
      <c r="W787">
        <v>0</v>
      </c>
      <c r="X787">
        <f t="shared" si="94"/>
        <v>-60.57500000000001</v>
      </c>
      <c r="Y787">
        <v>-23.172348639999999</v>
      </c>
      <c r="Z787">
        <v>6.0101096390000004</v>
      </c>
      <c r="AA787" s="3">
        <f t="shared" si="89"/>
        <v>6</v>
      </c>
      <c r="AB787" s="3">
        <f t="shared" si="95"/>
        <v>6</v>
      </c>
      <c r="AD787" s="3" t="s">
        <v>2754</v>
      </c>
      <c r="AE787" s="22">
        <v>-72.680000000000007</v>
      </c>
      <c r="AF787" s="22">
        <f t="shared" si="90"/>
        <v>-72.680000000000007</v>
      </c>
      <c r="AG787" s="1">
        <v>-95.4</v>
      </c>
      <c r="AH787" s="2" t="s">
        <v>16</v>
      </c>
      <c r="AI787"/>
      <c r="AJ787" s="3">
        <f t="shared" si="91"/>
        <v>7</v>
      </c>
      <c r="AK787" s="3" t="s">
        <v>2706</v>
      </c>
      <c r="AL787">
        <v>7</v>
      </c>
      <c r="AM787" t="s">
        <v>15</v>
      </c>
    </row>
    <row r="788" spans="1:39" hidden="1" x14ac:dyDescent="0.3">
      <c r="A788" s="51" t="s">
        <v>1312</v>
      </c>
      <c r="B788" s="54" t="s">
        <v>1313</v>
      </c>
      <c r="C788" s="51" t="s">
        <v>2765</v>
      </c>
      <c r="D788" s="53">
        <v>0</v>
      </c>
      <c r="E788" s="53">
        <v>1</v>
      </c>
      <c r="F788" s="51" t="s">
        <v>2715</v>
      </c>
      <c r="G788" s="51" t="s">
        <v>2695</v>
      </c>
      <c r="H788" s="25" t="str">
        <f t="shared" si="93"/>
        <v>jgd</v>
      </c>
      <c r="I788" t="s">
        <v>385</v>
      </c>
      <c r="J788" t="s">
        <v>1314</v>
      </c>
      <c r="K788" t="s">
        <v>1315</v>
      </c>
      <c r="L788" s="25">
        <v>46.391134450000003</v>
      </c>
      <c r="M788" s="25">
        <v>6.2035300290000004</v>
      </c>
      <c r="N788">
        <v>4</v>
      </c>
      <c r="O788">
        <v>4</v>
      </c>
      <c r="P788">
        <v>12</v>
      </c>
      <c r="Q788">
        <v>2015</v>
      </c>
      <c r="R788" s="9">
        <v>42342</v>
      </c>
      <c r="S788">
        <v>364</v>
      </c>
      <c r="T788">
        <v>1</v>
      </c>
      <c r="U788">
        <v>0</v>
      </c>
      <c r="V788">
        <v>0</v>
      </c>
      <c r="W788">
        <v>0</v>
      </c>
      <c r="X788">
        <f t="shared" si="94"/>
        <v>-60.337499999999999</v>
      </c>
      <c r="Y788">
        <v>-23.827999999999999</v>
      </c>
      <c r="Z788">
        <v>5.860929574</v>
      </c>
      <c r="AA788" s="3">
        <f t="shared" si="89"/>
        <v>6</v>
      </c>
      <c r="AB788" s="3">
        <f t="shared" si="95"/>
        <v>6</v>
      </c>
      <c r="AD788" s="3" t="s">
        <v>2751</v>
      </c>
      <c r="AE788" s="22">
        <v>-72.489999999999995</v>
      </c>
      <c r="AF788" s="22">
        <f t="shared" si="90"/>
        <v>-72.489999999999995</v>
      </c>
      <c r="AG788" s="1">
        <v>-95.2</v>
      </c>
      <c r="AH788" s="2" t="s">
        <v>16</v>
      </c>
      <c r="AI788"/>
      <c r="AJ788" s="3">
        <f t="shared" si="91"/>
        <v>7</v>
      </c>
      <c r="AK788" s="3" t="s">
        <v>2706</v>
      </c>
      <c r="AL788">
        <v>7</v>
      </c>
      <c r="AM788" t="s">
        <v>15</v>
      </c>
    </row>
    <row r="789" spans="1:39" hidden="1" x14ac:dyDescent="0.3">
      <c r="A789" s="51" t="s">
        <v>831</v>
      </c>
      <c r="B789" s="54" t="s">
        <v>832</v>
      </c>
      <c r="C789" s="51" t="s">
        <v>2765</v>
      </c>
      <c r="D789" s="53">
        <v>0</v>
      </c>
      <c r="E789" s="53">
        <v>1</v>
      </c>
      <c r="F789" s="51" t="s">
        <v>2715</v>
      </c>
      <c r="G789" s="51" t="s">
        <v>2695</v>
      </c>
      <c r="H789" s="25" t="str">
        <f t="shared" si="93"/>
        <v>jgd</v>
      </c>
      <c r="I789" t="s">
        <v>30</v>
      </c>
      <c r="J789" t="s">
        <v>379</v>
      </c>
      <c r="K789" t="s">
        <v>833</v>
      </c>
      <c r="L789" s="25">
        <v>46.617385239999997</v>
      </c>
      <c r="M789" s="25">
        <v>6.8893044249999997</v>
      </c>
      <c r="N789">
        <v>5</v>
      </c>
      <c r="O789">
        <v>2</v>
      </c>
      <c r="P789">
        <v>11</v>
      </c>
      <c r="Q789">
        <v>2015</v>
      </c>
      <c r="R789" s="9">
        <v>42310</v>
      </c>
      <c r="S789">
        <v>294</v>
      </c>
      <c r="T789">
        <v>1</v>
      </c>
      <c r="U789">
        <v>0</v>
      </c>
      <c r="V789">
        <v>0</v>
      </c>
      <c r="W789">
        <v>0</v>
      </c>
      <c r="X789">
        <f t="shared" si="94"/>
        <v>-60.274999999999999</v>
      </c>
      <c r="Y789">
        <v>-24.674528540000001</v>
      </c>
      <c r="Z789">
        <v>5.330528932</v>
      </c>
      <c r="AA789" s="3">
        <f t="shared" si="89"/>
        <v>6</v>
      </c>
      <c r="AB789" s="3">
        <f t="shared" si="95"/>
        <v>5</v>
      </c>
      <c r="AD789" s="3" t="s">
        <v>2751</v>
      </c>
      <c r="AE789" s="22">
        <v>-72.44</v>
      </c>
      <c r="AF789" s="22">
        <f t="shared" si="90"/>
        <v>-72.44</v>
      </c>
      <c r="AG789" s="1">
        <v>-95.1</v>
      </c>
      <c r="AH789" s="2" t="s">
        <v>16</v>
      </c>
      <c r="AI789"/>
      <c r="AJ789" s="3">
        <f t="shared" si="91"/>
        <v>7</v>
      </c>
      <c r="AK789" s="3" t="s">
        <v>2706</v>
      </c>
      <c r="AL789">
        <v>7</v>
      </c>
      <c r="AM789" t="s">
        <v>15</v>
      </c>
    </row>
    <row r="790" spans="1:39" x14ac:dyDescent="0.3">
      <c r="A790" s="51" t="s">
        <v>648</v>
      </c>
      <c r="B790" s="54" t="s">
        <v>649</v>
      </c>
      <c r="C790" s="51" t="s">
        <v>2765</v>
      </c>
      <c r="D790" s="53">
        <v>0</v>
      </c>
      <c r="E790" s="53">
        <v>1</v>
      </c>
      <c r="F790" s="51" t="s">
        <v>2715</v>
      </c>
      <c r="G790" s="51" t="s">
        <v>2695</v>
      </c>
      <c r="H790" s="25" t="str">
        <f t="shared" si="93"/>
        <v>jgd</v>
      </c>
      <c r="I790" t="s">
        <v>72</v>
      </c>
      <c r="J790" t="s">
        <v>298</v>
      </c>
      <c r="K790" t="s">
        <v>650</v>
      </c>
      <c r="L790" s="25">
        <v>46.136300130000002</v>
      </c>
      <c r="M790" s="25">
        <v>8.967900191</v>
      </c>
      <c r="N790">
        <v>4</v>
      </c>
      <c r="O790">
        <v>27</v>
      </c>
      <c r="P790">
        <v>10</v>
      </c>
      <c r="Q790">
        <v>2015</v>
      </c>
      <c r="R790" s="9">
        <v>42304</v>
      </c>
      <c r="S790">
        <v>290</v>
      </c>
      <c r="T790">
        <v>1</v>
      </c>
      <c r="U790">
        <v>0</v>
      </c>
      <c r="V790">
        <v>0</v>
      </c>
      <c r="W790">
        <v>0</v>
      </c>
      <c r="X790">
        <f t="shared" si="94"/>
        <v>-60.23749999999999</v>
      </c>
      <c r="Y790">
        <v>-24.970800000000001</v>
      </c>
      <c r="Z790">
        <v>7.9386607079999996</v>
      </c>
      <c r="AA790" s="3">
        <f t="shared" ref="AA790:AA853" si="96">-ROUND(X790/10,0)</f>
        <v>6</v>
      </c>
      <c r="AB790" s="3">
        <f t="shared" si="95"/>
        <v>8</v>
      </c>
      <c r="AD790" s="3" t="s">
        <v>2754</v>
      </c>
      <c r="AE790" s="22">
        <v>-72.41</v>
      </c>
      <c r="AF790" s="22">
        <f t="shared" ref="AF790:AF853" si="97">IF(AI790&lt;0,AI790,AE790)</f>
        <v>-72.41</v>
      </c>
      <c r="AG790" s="1">
        <v>-95.1</v>
      </c>
      <c r="AH790" s="2" t="s">
        <v>16</v>
      </c>
      <c r="AI790"/>
      <c r="AJ790" s="3">
        <f t="shared" ref="AJ790:AJ853" si="98">-ROUND(AF790/10,0)</f>
        <v>7</v>
      </c>
      <c r="AK790" s="3" t="s">
        <v>2706</v>
      </c>
      <c r="AL790">
        <v>7</v>
      </c>
      <c r="AM790" t="s">
        <v>15</v>
      </c>
    </row>
    <row r="791" spans="1:39" x14ac:dyDescent="0.3">
      <c r="A791" s="51" t="s">
        <v>718</v>
      </c>
      <c r="B791" s="54" t="s">
        <v>719</v>
      </c>
      <c r="C791" s="51" t="s">
        <v>2765</v>
      </c>
      <c r="D791" s="53">
        <v>0</v>
      </c>
      <c r="E791" s="53">
        <v>1</v>
      </c>
      <c r="F791" s="51" t="s">
        <v>2715</v>
      </c>
      <c r="G791" s="51" t="s">
        <v>2695</v>
      </c>
      <c r="H791" s="25" t="str">
        <f t="shared" si="93"/>
        <v>jgd</v>
      </c>
      <c r="I791" t="s">
        <v>72</v>
      </c>
      <c r="J791" t="s">
        <v>716</v>
      </c>
      <c r="K791" t="s">
        <v>720</v>
      </c>
      <c r="L791" s="25">
        <v>45.884041310000001</v>
      </c>
      <c r="M791" s="25">
        <v>9.0695530929999997</v>
      </c>
      <c r="N791">
        <v>5</v>
      </c>
      <c r="O791">
        <v>3</v>
      </c>
      <c r="P791">
        <v>11</v>
      </c>
      <c r="Q791">
        <v>2015</v>
      </c>
      <c r="R791" s="9">
        <v>42311</v>
      </c>
      <c r="S791">
        <v>300</v>
      </c>
      <c r="T791">
        <v>1</v>
      </c>
      <c r="U791">
        <v>0</v>
      </c>
      <c r="V791">
        <v>0</v>
      </c>
      <c r="W791">
        <v>0</v>
      </c>
      <c r="X791">
        <f t="shared" si="94"/>
        <v>-60.212499999999999</v>
      </c>
      <c r="Y791">
        <v>-23.5794</v>
      </c>
      <c r="Z791">
        <v>4.9942213019999997</v>
      </c>
      <c r="AA791" s="3">
        <f t="shared" si="96"/>
        <v>6</v>
      </c>
      <c r="AB791" s="3">
        <f t="shared" si="95"/>
        <v>5</v>
      </c>
      <c r="AD791" s="3" t="s">
        <v>2754</v>
      </c>
      <c r="AE791" s="22">
        <v>-72.39</v>
      </c>
      <c r="AF791" s="22">
        <f t="shared" si="97"/>
        <v>-72.39</v>
      </c>
      <c r="AG791" s="1">
        <v>-95.1</v>
      </c>
      <c r="AH791" s="2" t="s">
        <v>16</v>
      </c>
      <c r="AI791"/>
      <c r="AJ791" s="3">
        <f t="shared" si="98"/>
        <v>7</v>
      </c>
      <c r="AK791" s="3" t="s">
        <v>2706</v>
      </c>
      <c r="AL791">
        <v>7</v>
      </c>
      <c r="AM791" t="s">
        <v>15</v>
      </c>
    </row>
    <row r="792" spans="1:39" x14ac:dyDescent="0.3">
      <c r="A792" s="51" t="s">
        <v>891</v>
      </c>
      <c r="B792" s="54" t="s">
        <v>892</v>
      </c>
      <c r="C792" s="51" t="s">
        <v>2765</v>
      </c>
      <c r="D792" s="53">
        <v>0</v>
      </c>
      <c r="E792" s="53">
        <v>1</v>
      </c>
      <c r="F792" s="51" t="s">
        <v>2715</v>
      </c>
      <c r="G792" s="51" t="s">
        <v>2695</v>
      </c>
      <c r="H792" s="25" t="str">
        <f t="shared" si="93"/>
        <v>jgd</v>
      </c>
      <c r="I792" t="s">
        <v>72</v>
      </c>
      <c r="J792" t="s">
        <v>848</v>
      </c>
      <c r="K792" t="s">
        <v>849</v>
      </c>
      <c r="L792" s="25">
        <v>46.159744490000001</v>
      </c>
      <c r="M792" s="25">
        <v>8.6064616610000009</v>
      </c>
      <c r="N792">
        <v>6</v>
      </c>
      <c r="O792">
        <v>3</v>
      </c>
      <c r="P792">
        <v>11</v>
      </c>
      <c r="Q792">
        <v>2015</v>
      </c>
      <c r="R792" s="9">
        <v>42311</v>
      </c>
      <c r="S792">
        <v>311</v>
      </c>
      <c r="T792">
        <v>1</v>
      </c>
      <c r="U792">
        <v>0</v>
      </c>
      <c r="V792">
        <v>0</v>
      </c>
      <c r="W792">
        <v>0</v>
      </c>
      <c r="X792">
        <f t="shared" si="94"/>
        <v>-60.199999999999996</v>
      </c>
      <c r="Y792">
        <v>-22.798249999999999</v>
      </c>
      <c r="Z792">
        <v>4.8248623640000003</v>
      </c>
      <c r="AA792" s="3">
        <f t="shared" si="96"/>
        <v>6</v>
      </c>
      <c r="AB792" s="3">
        <f t="shared" si="95"/>
        <v>5</v>
      </c>
      <c r="AD792" s="3" t="s">
        <v>2754</v>
      </c>
      <c r="AE792" s="22">
        <v>-72.38</v>
      </c>
      <c r="AF792" s="22">
        <f t="shared" si="97"/>
        <v>-72.38</v>
      </c>
      <c r="AG792" s="1">
        <v>-95.1</v>
      </c>
      <c r="AH792" s="2" t="s">
        <v>16</v>
      </c>
      <c r="AI792"/>
      <c r="AJ792" s="3">
        <f t="shared" si="98"/>
        <v>7</v>
      </c>
      <c r="AK792" s="3" t="s">
        <v>2706</v>
      </c>
      <c r="AL792">
        <v>7</v>
      </c>
      <c r="AM792" t="s">
        <v>15</v>
      </c>
    </row>
    <row r="793" spans="1:39" x14ac:dyDescent="0.3">
      <c r="A793" s="51" t="s">
        <v>1914</v>
      </c>
      <c r="B793" s="54" t="s">
        <v>1915</v>
      </c>
      <c r="C793" s="51" t="s">
        <v>2765</v>
      </c>
      <c r="D793" s="53">
        <v>0</v>
      </c>
      <c r="E793" s="53">
        <v>1</v>
      </c>
      <c r="F793" s="51" t="s">
        <v>2715</v>
      </c>
      <c r="G793" s="51" t="s">
        <v>2695</v>
      </c>
      <c r="H793" s="25" t="str">
        <f t="shared" si="93"/>
        <v>jgd</v>
      </c>
      <c r="I793" t="s">
        <v>72</v>
      </c>
      <c r="J793" t="s">
        <v>694</v>
      </c>
      <c r="K793" t="s">
        <v>1916</v>
      </c>
      <c r="L793" s="25">
        <v>46.13218088</v>
      </c>
      <c r="M793" s="25">
        <v>8.9564611630000002</v>
      </c>
      <c r="N793">
        <v>5</v>
      </c>
      <c r="O793">
        <v>8</v>
      </c>
      <c r="P793">
        <v>11</v>
      </c>
      <c r="Q793">
        <v>2016</v>
      </c>
      <c r="R793" s="9">
        <v>42682</v>
      </c>
      <c r="S793">
        <v>320</v>
      </c>
      <c r="T793">
        <v>1</v>
      </c>
      <c r="U793">
        <v>0</v>
      </c>
      <c r="V793">
        <v>0</v>
      </c>
      <c r="W793">
        <v>0</v>
      </c>
      <c r="X793" s="57">
        <f t="shared" si="94"/>
        <v>-59.860163500000006</v>
      </c>
      <c r="Y793">
        <v>-23.74</v>
      </c>
      <c r="Z793">
        <v>-1.76</v>
      </c>
      <c r="AA793" s="3">
        <f t="shared" si="96"/>
        <v>6</v>
      </c>
      <c r="AB793" s="3">
        <f t="shared" si="95"/>
        <v>-2</v>
      </c>
      <c r="AD793" s="3" t="s">
        <v>2754</v>
      </c>
      <c r="AE793" s="22">
        <v>-72.108130799999998</v>
      </c>
      <c r="AF793" s="22">
        <f t="shared" si="97"/>
        <v>-72.108130799999998</v>
      </c>
      <c r="AG793" s="60" t="s">
        <v>16</v>
      </c>
      <c r="AH793" s="61" t="s">
        <v>16</v>
      </c>
      <c r="AJ793" s="3">
        <f t="shared" si="98"/>
        <v>7</v>
      </c>
      <c r="AK793" s="3" t="s">
        <v>2706</v>
      </c>
      <c r="AL793">
        <v>7</v>
      </c>
      <c r="AM793" t="s">
        <v>15</v>
      </c>
    </row>
    <row r="794" spans="1:39" x14ac:dyDescent="0.3">
      <c r="A794" s="51" t="s">
        <v>1644</v>
      </c>
      <c r="B794" s="54" t="s">
        <v>889</v>
      </c>
      <c r="C794" s="51" t="s">
        <v>2765</v>
      </c>
      <c r="D794" s="53">
        <v>0</v>
      </c>
      <c r="E794" s="53">
        <v>1</v>
      </c>
      <c r="F794" s="51" t="s">
        <v>2715</v>
      </c>
      <c r="G794" s="51" t="s">
        <v>2695</v>
      </c>
      <c r="H794" s="25" t="str">
        <f t="shared" si="93"/>
        <v>jgd</v>
      </c>
      <c r="I794" t="s">
        <v>72</v>
      </c>
      <c r="J794" t="s">
        <v>1310</v>
      </c>
      <c r="K794" t="s">
        <v>16</v>
      </c>
      <c r="L794" s="25">
        <v>46.202598369999997</v>
      </c>
      <c r="M794" s="25">
        <v>8.6370776060000001</v>
      </c>
      <c r="N794">
        <v>3</v>
      </c>
      <c r="O794">
        <v>29</v>
      </c>
      <c r="P794">
        <v>10</v>
      </c>
      <c r="Q794">
        <v>2016</v>
      </c>
      <c r="R794" s="9">
        <v>42672</v>
      </c>
      <c r="S794">
        <v>306</v>
      </c>
      <c r="T794">
        <v>1</v>
      </c>
      <c r="U794">
        <v>0</v>
      </c>
      <c r="V794">
        <v>0</v>
      </c>
      <c r="W794">
        <v>0</v>
      </c>
      <c r="X794" s="57">
        <f t="shared" si="94"/>
        <v>-59.798881874999999</v>
      </c>
      <c r="Y794">
        <v>-23.81</v>
      </c>
      <c r="Z794">
        <v>6.32</v>
      </c>
      <c r="AA794" s="3">
        <f t="shared" si="96"/>
        <v>6</v>
      </c>
      <c r="AB794" s="3">
        <f t="shared" si="95"/>
        <v>6</v>
      </c>
      <c r="AD794" s="3" t="s">
        <v>2754</v>
      </c>
      <c r="AE794" s="22">
        <v>-72.059105500000001</v>
      </c>
      <c r="AF794" s="22">
        <f t="shared" si="97"/>
        <v>-72.059105500000001</v>
      </c>
      <c r="AG794" s="60" t="s">
        <v>16</v>
      </c>
      <c r="AH794" s="61" t="s">
        <v>16</v>
      </c>
      <c r="AJ794" s="3">
        <f t="shared" si="98"/>
        <v>7</v>
      </c>
      <c r="AK794" s="3" t="s">
        <v>2706</v>
      </c>
      <c r="AL794">
        <v>7</v>
      </c>
      <c r="AM794" t="s">
        <v>15</v>
      </c>
    </row>
    <row r="795" spans="1:39" x14ac:dyDescent="0.3">
      <c r="A795" s="51" t="s">
        <v>1672</v>
      </c>
      <c r="B795" s="54" t="s">
        <v>943</v>
      </c>
      <c r="C795" s="51" t="s">
        <v>2765</v>
      </c>
      <c r="D795" s="53">
        <v>0</v>
      </c>
      <c r="E795" s="53">
        <v>1</v>
      </c>
      <c r="F795" s="51" t="s">
        <v>2715</v>
      </c>
      <c r="G795" s="51" t="s">
        <v>2695</v>
      </c>
      <c r="H795" s="25" t="str">
        <f t="shared" si="93"/>
        <v>jgd</v>
      </c>
      <c r="I795" t="s">
        <v>72</v>
      </c>
      <c r="J795" t="s">
        <v>931</v>
      </c>
      <c r="K795" t="s">
        <v>16</v>
      </c>
      <c r="L795" s="25">
        <v>46.055440760000003</v>
      </c>
      <c r="M795" s="25">
        <v>8.8806686520000007</v>
      </c>
      <c r="N795">
        <v>2</v>
      </c>
      <c r="O795">
        <v>18</v>
      </c>
      <c r="P795">
        <v>10</v>
      </c>
      <c r="Q795">
        <v>2016</v>
      </c>
      <c r="R795" s="9">
        <v>42661</v>
      </c>
      <c r="S795">
        <v>270</v>
      </c>
      <c r="T795">
        <v>1</v>
      </c>
      <c r="U795">
        <v>0</v>
      </c>
      <c r="V795">
        <v>0</v>
      </c>
      <c r="W795">
        <v>0</v>
      </c>
      <c r="X795" s="57">
        <f t="shared" si="94"/>
        <v>-59.74225387500001</v>
      </c>
      <c r="Y795">
        <v>-24.94</v>
      </c>
      <c r="Z795">
        <v>4.1500000000000004</v>
      </c>
      <c r="AA795" s="3">
        <f t="shared" si="96"/>
        <v>6</v>
      </c>
      <c r="AB795" s="3">
        <f t="shared" si="95"/>
        <v>4</v>
      </c>
      <c r="AD795" s="3" t="s">
        <v>2754</v>
      </c>
      <c r="AE795" s="22">
        <v>-72.013803100000004</v>
      </c>
      <c r="AF795" s="22">
        <f t="shared" si="97"/>
        <v>-72.013803100000004</v>
      </c>
      <c r="AG795" s="60" t="s">
        <v>16</v>
      </c>
      <c r="AH795" s="61" t="s">
        <v>16</v>
      </c>
      <c r="AJ795" s="3">
        <f t="shared" si="98"/>
        <v>7</v>
      </c>
      <c r="AK795" s="3" t="s">
        <v>2706</v>
      </c>
      <c r="AL795">
        <v>7</v>
      </c>
      <c r="AM795" t="s">
        <v>15</v>
      </c>
    </row>
    <row r="796" spans="1:39" hidden="1" x14ac:dyDescent="0.3">
      <c r="A796" s="51" t="s">
        <v>88</v>
      </c>
      <c r="B796" s="54" t="s">
        <v>20</v>
      </c>
      <c r="C796" s="51" t="s">
        <v>2765</v>
      </c>
      <c r="D796" s="53">
        <v>0</v>
      </c>
      <c r="E796" s="53">
        <v>1</v>
      </c>
      <c r="F796" s="51" t="s">
        <v>2715</v>
      </c>
      <c r="G796" s="51" t="s">
        <v>2695</v>
      </c>
      <c r="H796" s="25" t="str">
        <f t="shared" si="93"/>
        <v>jgd</v>
      </c>
      <c r="I796" t="s">
        <v>13</v>
      </c>
      <c r="J796" t="s">
        <v>84</v>
      </c>
      <c r="K796" t="s">
        <v>89</v>
      </c>
      <c r="L796" s="25">
        <v>46.938363449999997</v>
      </c>
      <c r="M796" s="25">
        <v>6.5444734130000004</v>
      </c>
      <c r="N796">
        <v>5</v>
      </c>
      <c r="O796">
        <v>9</v>
      </c>
      <c r="P796">
        <v>11</v>
      </c>
      <c r="Q796">
        <v>2013</v>
      </c>
      <c r="R796" s="9">
        <v>41587</v>
      </c>
      <c r="S796">
        <v>360</v>
      </c>
      <c r="T796">
        <v>1</v>
      </c>
      <c r="U796">
        <v>0</v>
      </c>
      <c r="V796">
        <v>0</v>
      </c>
      <c r="W796">
        <v>0</v>
      </c>
      <c r="X796">
        <f t="shared" si="94"/>
        <v>-59.61249999999999</v>
      </c>
      <c r="Y796">
        <v>-43.399810930000001</v>
      </c>
      <c r="Z796">
        <v>5.9628827610000004</v>
      </c>
      <c r="AA796" s="3">
        <f t="shared" si="96"/>
        <v>6</v>
      </c>
      <c r="AB796" s="3">
        <f t="shared" si="95"/>
        <v>6</v>
      </c>
      <c r="AD796" s="3" t="s">
        <v>2750</v>
      </c>
      <c r="AE796" s="22">
        <v>-71.91</v>
      </c>
      <c r="AF796" s="22">
        <f t="shared" si="97"/>
        <v>-71.91</v>
      </c>
      <c r="AG796" s="1">
        <v>-94.6</v>
      </c>
      <c r="AH796" s="2" t="s">
        <v>16</v>
      </c>
      <c r="AI796"/>
      <c r="AJ796" s="3">
        <f t="shared" si="98"/>
        <v>7</v>
      </c>
      <c r="AK796" s="3" t="s">
        <v>2706</v>
      </c>
      <c r="AL796">
        <v>7</v>
      </c>
      <c r="AM796" t="s">
        <v>15</v>
      </c>
    </row>
    <row r="797" spans="1:39" hidden="1" x14ac:dyDescent="0.3">
      <c r="A797" s="51" t="s">
        <v>1126</v>
      </c>
      <c r="B797" s="54" t="s">
        <v>1127</v>
      </c>
      <c r="C797" s="51" t="s">
        <v>2765</v>
      </c>
      <c r="D797" s="53">
        <v>0</v>
      </c>
      <c r="E797" s="53">
        <v>1</v>
      </c>
      <c r="F797" s="51" t="s">
        <v>2715</v>
      </c>
      <c r="G797" s="51" t="s">
        <v>2695</v>
      </c>
      <c r="H797" s="25" t="str">
        <f t="shared" si="93"/>
        <v>jgd</v>
      </c>
      <c r="I797" t="s">
        <v>13</v>
      </c>
      <c r="J797" t="s">
        <v>519</v>
      </c>
      <c r="K797" t="s">
        <v>513</v>
      </c>
      <c r="L797" s="25">
        <v>47.021788870000002</v>
      </c>
      <c r="M797" s="25">
        <v>6.8150293770000001</v>
      </c>
      <c r="N797">
        <v>6</v>
      </c>
      <c r="O797">
        <v>21</v>
      </c>
      <c r="P797">
        <v>11</v>
      </c>
      <c r="Q797">
        <v>2015</v>
      </c>
      <c r="R797" s="9">
        <v>42329</v>
      </c>
      <c r="S797">
        <v>310</v>
      </c>
      <c r="T797">
        <v>1</v>
      </c>
      <c r="U797">
        <v>0</v>
      </c>
      <c r="V797">
        <v>0</v>
      </c>
      <c r="W797">
        <v>0</v>
      </c>
      <c r="X797">
        <f t="shared" si="94"/>
        <v>-59.512499999999996</v>
      </c>
      <c r="Y797">
        <v>-25.013000000000002</v>
      </c>
      <c r="Z797">
        <v>5.7749290369999997</v>
      </c>
      <c r="AA797" s="3">
        <f t="shared" si="96"/>
        <v>6</v>
      </c>
      <c r="AB797" s="3">
        <f t="shared" si="95"/>
        <v>6</v>
      </c>
      <c r="AD797" s="3" t="s">
        <v>2750</v>
      </c>
      <c r="AE797" s="22">
        <v>-71.83</v>
      </c>
      <c r="AF797" s="22">
        <f t="shared" si="97"/>
        <v>-71.83</v>
      </c>
      <c r="AG797" s="1">
        <v>-94.5</v>
      </c>
      <c r="AH797" s="2" t="s">
        <v>16</v>
      </c>
      <c r="AI797"/>
      <c r="AJ797" s="3">
        <f t="shared" si="98"/>
        <v>7</v>
      </c>
      <c r="AK797" s="3" t="s">
        <v>2706</v>
      </c>
      <c r="AL797">
        <v>7</v>
      </c>
      <c r="AM797" t="s">
        <v>15</v>
      </c>
    </row>
    <row r="798" spans="1:39" x14ac:dyDescent="0.3">
      <c r="A798" s="51" t="s">
        <v>714</v>
      </c>
      <c r="B798" s="54" t="s">
        <v>715</v>
      </c>
      <c r="C798" s="51" t="s">
        <v>2765</v>
      </c>
      <c r="D798" s="53">
        <v>0</v>
      </c>
      <c r="E798" s="53">
        <v>1</v>
      </c>
      <c r="F798" s="51" t="s">
        <v>2715</v>
      </c>
      <c r="G798" s="51" t="s">
        <v>2695</v>
      </c>
      <c r="H798" s="25" t="str">
        <f t="shared" si="93"/>
        <v>jgd</v>
      </c>
      <c r="I798" t="s">
        <v>72</v>
      </c>
      <c r="J798" t="s">
        <v>716</v>
      </c>
      <c r="K798" t="s">
        <v>717</v>
      </c>
      <c r="L798" s="25">
        <v>45.882950430000001</v>
      </c>
      <c r="M798" s="25">
        <v>9.0678458929999994</v>
      </c>
      <c r="N798">
        <v>5</v>
      </c>
      <c r="O798">
        <v>3</v>
      </c>
      <c r="P798">
        <v>11</v>
      </c>
      <c r="Q798">
        <v>2015</v>
      </c>
      <c r="R798" s="9">
        <v>42311</v>
      </c>
      <c r="S798">
        <v>320</v>
      </c>
      <c r="T798">
        <v>1</v>
      </c>
      <c r="U798">
        <v>0</v>
      </c>
      <c r="V798">
        <v>0</v>
      </c>
      <c r="W798">
        <v>0</v>
      </c>
      <c r="X798">
        <f t="shared" si="94"/>
        <v>-59.512499999999996</v>
      </c>
      <c r="Y798">
        <v>-24.310400000000001</v>
      </c>
      <c r="Z798">
        <v>4.1762939799999996</v>
      </c>
      <c r="AA798" s="3">
        <f t="shared" si="96"/>
        <v>6</v>
      </c>
      <c r="AB798" s="3">
        <f t="shared" si="95"/>
        <v>4</v>
      </c>
      <c r="AD798" s="3" t="s">
        <v>2754</v>
      </c>
      <c r="AE798" s="22">
        <v>-71.83</v>
      </c>
      <c r="AF798" s="22">
        <f t="shared" si="97"/>
        <v>-71.83</v>
      </c>
      <c r="AG798" s="1">
        <v>-94.5</v>
      </c>
      <c r="AH798" s="2" t="s">
        <v>16</v>
      </c>
      <c r="AI798"/>
      <c r="AJ798" s="3">
        <f t="shared" si="98"/>
        <v>7</v>
      </c>
      <c r="AK798" s="3" t="s">
        <v>2706</v>
      </c>
      <c r="AL798">
        <v>7</v>
      </c>
      <c r="AM798" t="s">
        <v>15</v>
      </c>
    </row>
    <row r="799" spans="1:39" hidden="1" x14ac:dyDescent="0.3">
      <c r="A799" s="51" t="s">
        <v>629</v>
      </c>
      <c r="B799" s="54" t="s">
        <v>630</v>
      </c>
      <c r="C799" s="51" t="s">
        <v>2765</v>
      </c>
      <c r="D799" s="53">
        <v>0</v>
      </c>
      <c r="E799" s="53">
        <v>1</v>
      </c>
      <c r="F799" s="51" t="s">
        <v>2715</v>
      </c>
      <c r="G799" s="51" t="s">
        <v>2695</v>
      </c>
      <c r="H799" s="25" t="str">
        <f t="shared" si="93"/>
        <v>jgd</v>
      </c>
      <c r="I799" t="s">
        <v>30</v>
      </c>
      <c r="J799" t="s">
        <v>627</v>
      </c>
      <c r="K799" t="s">
        <v>631</v>
      </c>
      <c r="L799" s="25">
        <v>46.676489189999998</v>
      </c>
      <c r="M799" s="25">
        <v>7.1420029359999999</v>
      </c>
      <c r="N799">
        <v>4</v>
      </c>
      <c r="O799">
        <v>23</v>
      </c>
      <c r="P799">
        <v>10</v>
      </c>
      <c r="Q799">
        <v>2014</v>
      </c>
      <c r="R799" s="9">
        <v>41935</v>
      </c>
      <c r="S799">
        <v>306</v>
      </c>
      <c r="T799">
        <v>1</v>
      </c>
      <c r="U799">
        <v>0</v>
      </c>
      <c r="V799">
        <v>0</v>
      </c>
      <c r="W799">
        <v>0</v>
      </c>
      <c r="X799">
        <f t="shared" si="94"/>
        <v>-59.449999999999996</v>
      </c>
      <c r="Y799" t="s">
        <v>16</v>
      </c>
      <c r="Z799" t="s">
        <v>16</v>
      </c>
      <c r="AA799" s="3">
        <f t="shared" si="96"/>
        <v>6</v>
      </c>
      <c r="AD799" s="3" t="s">
        <v>2752</v>
      </c>
      <c r="AE799" s="22">
        <v>-71.78</v>
      </c>
      <c r="AF799" s="22">
        <f t="shared" si="97"/>
        <v>-71.78</v>
      </c>
      <c r="AG799" s="1">
        <v>-94.5</v>
      </c>
      <c r="AH799" s="2" t="s">
        <v>16</v>
      </c>
      <c r="AI799"/>
      <c r="AJ799" s="3">
        <f t="shared" si="98"/>
        <v>7</v>
      </c>
      <c r="AK799" s="3" t="s">
        <v>2706</v>
      </c>
      <c r="AL799">
        <v>7</v>
      </c>
      <c r="AM799" t="s">
        <v>15</v>
      </c>
    </row>
    <row r="800" spans="1:39" x14ac:dyDescent="0.3">
      <c r="A800" s="51" t="s">
        <v>2546</v>
      </c>
      <c r="B800" s="54" t="s">
        <v>2547</v>
      </c>
      <c r="C800" s="51" t="s">
        <v>2765</v>
      </c>
      <c r="D800" s="53">
        <v>0</v>
      </c>
      <c r="E800" s="53">
        <v>1</v>
      </c>
      <c r="F800" s="51" t="s">
        <v>2715</v>
      </c>
      <c r="G800" s="51" t="s">
        <v>2695</v>
      </c>
      <c r="H800" s="25" t="str">
        <f t="shared" si="93"/>
        <v>jgd</v>
      </c>
      <c r="I800" t="s">
        <v>72</v>
      </c>
      <c r="J800" t="s">
        <v>2543</v>
      </c>
      <c r="K800" t="s">
        <v>2548</v>
      </c>
      <c r="L800" s="25">
        <v>46.476890240000003</v>
      </c>
      <c r="M800" s="25">
        <v>8.4640829750000002</v>
      </c>
      <c r="N800">
        <v>5</v>
      </c>
      <c r="O800">
        <v>28</v>
      </c>
      <c r="P800">
        <v>10</v>
      </c>
      <c r="Q800">
        <v>2017</v>
      </c>
      <c r="R800" s="9">
        <v>43036</v>
      </c>
      <c r="S800">
        <v>336</v>
      </c>
      <c r="T800">
        <v>1</v>
      </c>
      <c r="U800">
        <v>0</v>
      </c>
      <c r="V800">
        <v>0</v>
      </c>
      <c r="W800">
        <v>0</v>
      </c>
      <c r="X800" s="57">
        <f t="shared" si="94"/>
        <v>-59.439369499999991</v>
      </c>
      <c r="Y800" t="s">
        <v>16</v>
      </c>
      <c r="Z800">
        <v>2.9757540730000001</v>
      </c>
      <c r="AA800" s="3">
        <f t="shared" si="96"/>
        <v>6</v>
      </c>
      <c r="AB800" s="3">
        <f t="shared" ref="AB800:AB863" si="99">ROUND(Z800,0)</f>
        <v>3</v>
      </c>
      <c r="AD800" s="3" t="s">
        <v>2754</v>
      </c>
      <c r="AE800" s="22">
        <v>-71.771495599999994</v>
      </c>
      <c r="AF800" s="22">
        <f t="shared" si="97"/>
        <v>-71.771495599999994</v>
      </c>
      <c r="AG800" s="60" t="s">
        <v>16</v>
      </c>
      <c r="AH800" s="61" t="s">
        <v>16</v>
      </c>
      <c r="AJ800" s="3">
        <f t="shared" si="98"/>
        <v>7</v>
      </c>
      <c r="AK800" s="3" t="s">
        <v>2706</v>
      </c>
      <c r="AL800">
        <v>7</v>
      </c>
      <c r="AM800" t="s">
        <v>15</v>
      </c>
    </row>
    <row r="801" spans="1:39" x14ac:dyDescent="0.3">
      <c r="A801" s="51" t="s">
        <v>1938</v>
      </c>
      <c r="B801" s="54" t="s">
        <v>1184</v>
      </c>
      <c r="C801" s="51" t="s">
        <v>2765</v>
      </c>
      <c r="D801" s="53">
        <v>0</v>
      </c>
      <c r="E801" s="53">
        <v>1</v>
      </c>
      <c r="F801" s="51" t="s">
        <v>2715</v>
      </c>
      <c r="G801" s="51" t="s">
        <v>2695</v>
      </c>
      <c r="H801" s="25" t="str">
        <f t="shared" si="93"/>
        <v>jgd</v>
      </c>
      <c r="I801" t="s">
        <v>72</v>
      </c>
      <c r="J801" t="s">
        <v>298</v>
      </c>
      <c r="K801" t="s">
        <v>1916</v>
      </c>
      <c r="L801" s="25">
        <v>46.135059149999996</v>
      </c>
      <c r="M801" s="25">
        <v>8.9430817309999995</v>
      </c>
      <c r="N801">
        <v>5</v>
      </c>
      <c r="O801">
        <v>8</v>
      </c>
      <c r="P801">
        <v>11</v>
      </c>
      <c r="Q801">
        <v>2016</v>
      </c>
      <c r="R801" s="9">
        <v>42682</v>
      </c>
      <c r="S801">
        <v>400</v>
      </c>
      <c r="T801">
        <v>1</v>
      </c>
      <c r="U801">
        <v>0</v>
      </c>
      <c r="V801">
        <v>0</v>
      </c>
      <c r="W801">
        <v>0</v>
      </c>
      <c r="X801" s="57">
        <f t="shared" si="94"/>
        <v>-59.402821499999995</v>
      </c>
      <c r="Y801">
        <v>-23.12</v>
      </c>
      <c r="Z801">
        <v>6.84</v>
      </c>
      <c r="AA801" s="3">
        <f t="shared" si="96"/>
        <v>6</v>
      </c>
      <c r="AB801" s="3">
        <f t="shared" si="99"/>
        <v>7</v>
      </c>
      <c r="AD801" s="3" t="s">
        <v>2754</v>
      </c>
      <c r="AE801" s="22">
        <v>-71.742257199999997</v>
      </c>
      <c r="AF801" s="22">
        <f t="shared" si="97"/>
        <v>-71.742257199999997</v>
      </c>
      <c r="AG801" s="60" t="s">
        <v>16</v>
      </c>
      <c r="AH801" s="61" t="s">
        <v>16</v>
      </c>
      <c r="AJ801" s="3">
        <f t="shared" si="98"/>
        <v>7</v>
      </c>
      <c r="AK801" s="3" t="s">
        <v>2706</v>
      </c>
      <c r="AL801">
        <v>7</v>
      </c>
      <c r="AM801" t="s">
        <v>15</v>
      </c>
    </row>
    <row r="802" spans="1:39" x14ac:dyDescent="0.3">
      <c r="A802" s="51" t="s">
        <v>1989</v>
      </c>
      <c r="B802" s="54" t="s">
        <v>1263</v>
      </c>
      <c r="C802" s="51" t="s">
        <v>2765</v>
      </c>
      <c r="D802" s="53">
        <v>0</v>
      </c>
      <c r="E802" s="53">
        <v>1</v>
      </c>
      <c r="F802" s="51" t="s">
        <v>2715</v>
      </c>
      <c r="G802" s="51" t="s">
        <v>2695</v>
      </c>
      <c r="H802" s="25" t="str">
        <f t="shared" si="93"/>
        <v>jgd</v>
      </c>
      <c r="I802" t="s">
        <v>72</v>
      </c>
      <c r="J802" t="s">
        <v>694</v>
      </c>
      <c r="K802" t="s">
        <v>1990</v>
      </c>
      <c r="L802" s="25">
        <v>46.124745140000002</v>
      </c>
      <c r="M802" s="25">
        <v>8.9064378269999995</v>
      </c>
      <c r="N802">
        <v>4</v>
      </c>
      <c r="O802">
        <v>29</v>
      </c>
      <c r="P802">
        <v>10</v>
      </c>
      <c r="Q802">
        <v>2016</v>
      </c>
      <c r="R802" s="9">
        <v>42672</v>
      </c>
      <c r="S802">
        <v>300</v>
      </c>
      <c r="T802">
        <v>1</v>
      </c>
      <c r="U802">
        <v>0</v>
      </c>
      <c r="V802">
        <v>0</v>
      </c>
      <c r="W802">
        <v>0</v>
      </c>
      <c r="X802" s="57">
        <f t="shared" si="94"/>
        <v>-59.398946625000001</v>
      </c>
      <c r="Y802">
        <v>-24</v>
      </c>
      <c r="Z802">
        <v>6.21</v>
      </c>
      <c r="AA802" s="3">
        <f t="shared" si="96"/>
        <v>6</v>
      </c>
      <c r="AB802" s="3">
        <f t="shared" si="99"/>
        <v>6</v>
      </c>
      <c r="AD802" s="3" t="s">
        <v>2754</v>
      </c>
      <c r="AE802" s="22">
        <v>-71.739157300000002</v>
      </c>
      <c r="AF802" s="22">
        <f t="shared" si="97"/>
        <v>-71.739157300000002</v>
      </c>
      <c r="AG802" s="60" t="s">
        <v>16</v>
      </c>
      <c r="AH802" s="61" t="s">
        <v>16</v>
      </c>
      <c r="AJ802" s="3">
        <f t="shared" si="98"/>
        <v>7</v>
      </c>
      <c r="AK802" s="3" t="s">
        <v>2706</v>
      </c>
      <c r="AL802">
        <v>7</v>
      </c>
      <c r="AM802" t="s">
        <v>15</v>
      </c>
    </row>
    <row r="803" spans="1:39" x14ac:dyDescent="0.3">
      <c r="A803" s="51" t="s">
        <v>1282</v>
      </c>
      <c r="B803" s="54" t="s">
        <v>573</v>
      </c>
      <c r="C803" s="51" t="s">
        <v>2765</v>
      </c>
      <c r="D803" s="53">
        <v>0</v>
      </c>
      <c r="E803" s="53">
        <v>1</v>
      </c>
      <c r="F803" s="51" t="s">
        <v>2715</v>
      </c>
      <c r="G803" s="51" t="s">
        <v>2695</v>
      </c>
      <c r="H803" s="25" t="str">
        <f t="shared" si="93"/>
        <v>jgd</v>
      </c>
      <c r="I803" t="s">
        <v>72</v>
      </c>
      <c r="J803" t="s">
        <v>574</v>
      </c>
      <c r="K803" t="s">
        <v>1283</v>
      </c>
      <c r="L803" s="25">
        <v>46.081659260000002</v>
      </c>
      <c r="M803" s="25">
        <v>9.0475015639999992</v>
      </c>
      <c r="N803">
        <v>5</v>
      </c>
      <c r="O803">
        <v>17</v>
      </c>
      <c r="P803">
        <v>10</v>
      </c>
      <c r="Q803">
        <v>2015</v>
      </c>
      <c r="R803" s="9">
        <v>42294</v>
      </c>
      <c r="S803">
        <v>329</v>
      </c>
      <c r="T803">
        <v>1</v>
      </c>
      <c r="U803">
        <v>0</v>
      </c>
      <c r="V803">
        <v>0</v>
      </c>
      <c r="W803">
        <v>0</v>
      </c>
      <c r="X803">
        <f t="shared" si="94"/>
        <v>-59.137499999999996</v>
      </c>
      <c r="Y803">
        <v>-22.622</v>
      </c>
      <c r="Z803">
        <v>2.4463352700000001</v>
      </c>
      <c r="AA803" s="3">
        <f t="shared" si="96"/>
        <v>6</v>
      </c>
      <c r="AB803" s="3">
        <f t="shared" si="99"/>
        <v>2</v>
      </c>
      <c r="AD803" s="3" t="s">
        <v>2754</v>
      </c>
      <c r="AE803" s="22">
        <v>-71.53</v>
      </c>
      <c r="AF803" s="22">
        <f t="shared" si="97"/>
        <v>-71.53</v>
      </c>
      <c r="AG803" s="1">
        <v>-94.2</v>
      </c>
      <c r="AH803" s="2" t="s">
        <v>16</v>
      </c>
      <c r="AI803"/>
      <c r="AJ803" s="3">
        <f t="shared" si="98"/>
        <v>7</v>
      </c>
      <c r="AK803" s="3" t="s">
        <v>2706</v>
      </c>
      <c r="AL803">
        <v>7</v>
      </c>
      <c r="AM803" t="s">
        <v>15</v>
      </c>
    </row>
    <row r="804" spans="1:39" hidden="1" x14ac:dyDescent="0.3">
      <c r="A804" s="51" t="s">
        <v>2029</v>
      </c>
      <c r="B804" s="54" t="s">
        <v>2030</v>
      </c>
      <c r="C804" s="51" t="s">
        <v>2765</v>
      </c>
      <c r="D804" s="53">
        <v>0</v>
      </c>
      <c r="E804" s="53">
        <v>1</v>
      </c>
      <c r="F804" s="51" t="s">
        <v>2715</v>
      </c>
      <c r="G804" s="51" t="s">
        <v>2695</v>
      </c>
      <c r="H804" s="25" t="str">
        <f t="shared" si="93"/>
        <v>jgd</v>
      </c>
      <c r="I804" t="s">
        <v>30</v>
      </c>
      <c r="J804" t="s">
        <v>286</v>
      </c>
      <c r="K804" t="s">
        <v>16</v>
      </c>
      <c r="L804" s="25">
        <v>46.765321040000003</v>
      </c>
      <c r="M804" s="25">
        <v>7.023839755</v>
      </c>
      <c r="N804">
        <v>5</v>
      </c>
      <c r="O804">
        <v>16</v>
      </c>
      <c r="P804">
        <v>11</v>
      </c>
      <c r="Q804">
        <v>2016</v>
      </c>
      <c r="R804" s="9">
        <v>42690</v>
      </c>
      <c r="S804">
        <v>330</v>
      </c>
      <c r="T804">
        <v>1</v>
      </c>
      <c r="U804">
        <v>0</v>
      </c>
      <c r="V804">
        <v>0</v>
      </c>
      <c r="W804">
        <v>0</v>
      </c>
      <c r="X804" s="57">
        <f t="shared" si="94"/>
        <v>-59.104183999999997</v>
      </c>
      <c r="Y804">
        <v>-23.88</v>
      </c>
      <c r="Z804">
        <v>5.73</v>
      </c>
      <c r="AA804" s="3">
        <f t="shared" si="96"/>
        <v>6</v>
      </c>
      <c r="AB804" s="3">
        <f t="shared" si="99"/>
        <v>6</v>
      </c>
      <c r="AD804" s="3" t="s">
        <v>2751</v>
      </c>
      <c r="AE804" s="22">
        <v>-71.503347199999993</v>
      </c>
      <c r="AF804" s="22">
        <f t="shared" si="97"/>
        <v>-71.503347199999993</v>
      </c>
      <c r="AG804" s="60" t="s">
        <v>16</v>
      </c>
      <c r="AH804" s="61" t="s">
        <v>16</v>
      </c>
      <c r="AJ804" s="3">
        <f t="shared" si="98"/>
        <v>7</v>
      </c>
      <c r="AK804" s="3" t="s">
        <v>2706</v>
      </c>
      <c r="AL804">
        <v>7</v>
      </c>
      <c r="AM804" t="s">
        <v>15</v>
      </c>
    </row>
    <row r="805" spans="1:39" x14ac:dyDescent="0.3">
      <c r="A805" s="51" t="s">
        <v>1944</v>
      </c>
      <c r="B805" s="54" t="s">
        <v>1945</v>
      </c>
      <c r="C805" s="51" t="s">
        <v>2765</v>
      </c>
      <c r="D805" s="53">
        <v>0</v>
      </c>
      <c r="E805" s="53">
        <v>1</v>
      </c>
      <c r="F805" s="51" t="s">
        <v>2715</v>
      </c>
      <c r="G805" s="51" t="s">
        <v>2695</v>
      </c>
      <c r="H805" s="25" t="str">
        <f t="shared" si="93"/>
        <v>jgd</v>
      </c>
      <c r="I805" t="s">
        <v>72</v>
      </c>
      <c r="J805" t="s">
        <v>708</v>
      </c>
      <c r="K805" t="s">
        <v>1946</v>
      </c>
      <c r="L805" s="25">
        <v>46.517939339999998</v>
      </c>
      <c r="M805" s="25">
        <v>8.5677105349999998</v>
      </c>
      <c r="N805" t="s">
        <v>16</v>
      </c>
      <c r="O805">
        <v>18</v>
      </c>
      <c r="P805">
        <v>10</v>
      </c>
      <c r="Q805">
        <v>2016</v>
      </c>
      <c r="R805" s="9">
        <v>42661</v>
      </c>
      <c r="S805">
        <v>305</v>
      </c>
      <c r="T805">
        <v>1</v>
      </c>
      <c r="U805">
        <v>0</v>
      </c>
      <c r="V805">
        <v>0</v>
      </c>
      <c r="W805">
        <v>0</v>
      </c>
      <c r="X805" s="57">
        <f t="shared" si="94"/>
        <v>-59.093944999999998</v>
      </c>
      <c r="Y805">
        <v>-23.89</v>
      </c>
      <c r="Z805">
        <v>9.51</v>
      </c>
      <c r="AA805" s="3">
        <f t="shared" si="96"/>
        <v>6</v>
      </c>
      <c r="AB805" s="3">
        <f t="shared" si="99"/>
        <v>10</v>
      </c>
      <c r="AD805" s="3" t="s">
        <v>2754</v>
      </c>
      <c r="AE805" s="22">
        <v>-71.495155999999994</v>
      </c>
      <c r="AF805" s="22">
        <f t="shared" si="97"/>
        <v>-71.495155999999994</v>
      </c>
      <c r="AG805" s="60" t="s">
        <v>16</v>
      </c>
      <c r="AH805" s="61" t="s">
        <v>16</v>
      </c>
      <c r="AJ805" s="3">
        <f t="shared" si="98"/>
        <v>7</v>
      </c>
      <c r="AK805" s="3" t="s">
        <v>2706</v>
      </c>
      <c r="AL805">
        <v>7</v>
      </c>
      <c r="AM805" t="s">
        <v>15</v>
      </c>
    </row>
    <row r="806" spans="1:39" x14ac:dyDescent="0.3">
      <c r="A806" s="51" t="s">
        <v>2537</v>
      </c>
      <c r="B806" s="54" t="s">
        <v>577</v>
      </c>
      <c r="C806" s="51" t="s">
        <v>2765</v>
      </c>
      <c r="D806" s="53">
        <v>0</v>
      </c>
      <c r="E806" s="53">
        <v>1</v>
      </c>
      <c r="F806" s="51" t="s">
        <v>2715</v>
      </c>
      <c r="G806" s="51" t="s">
        <v>2695</v>
      </c>
      <c r="H806" s="25" t="str">
        <f t="shared" si="93"/>
        <v>jgd</v>
      </c>
      <c r="I806" t="s">
        <v>72</v>
      </c>
      <c r="J806" t="s">
        <v>2538</v>
      </c>
      <c r="K806" t="s">
        <v>2539</v>
      </c>
      <c r="L806" s="25">
        <v>46.074550549999998</v>
      </c>
      <c r="M806" s="25">
        <v>9.0569879869999994</v>
      </c>
      <c r="N806">
        <v>5</v>
      </c>
      <c r="O806">
        <v>26</v>
      </c>
      <c r="P806">
        <v>10</v>
      </c>
      <c r="Q806">
        <v>2017</v>
      </c>
      <c r="R806" s="9">
        <v>43034</v>
      </c>
      <c r="S806">
        <v>360</v>
      </c>
      <c r="T806">
        <v>1</v>
      </c>
      <c r="U806">
        <v>0</v>
      </c>
      <c r="V806">
        <v>0</v>
      </c>
      <c r="W806">
        <v>0</v>
      </c>
      <c r="X806" s="57">
        <f t="shared" si="94"/>
        <v>-59.05641275</v>
      </c>
      <c r="Y806" t="s">
        <v>16</v>
      </c>
      <c r="Z806">
        <v>1.9317109560000001</v>
      </c>
      <c r="AA806" s="3">
        <f t="shared" si="96"/>
        <v>6</v>
      </c>
      <c r="AB806" s="3">
        <f t="shared" si="99"/>
        <v>2</v>
      </c>
      <c r="AD806" s="3" t="s">
        <v>2754</v>
      </c>
      <c r="AE806" s="22">
        <v>-71.465130200000004</v>
      </c>
      <c r="AF806" s="22">
        <f t="shared" si="97"/>
        <v>-71.465130200000004</v>
      </c>
      <c r="AG806" s="60" t="s">
        <v>16</v>
      </c>
      <c r="AH806" s="61" t="s">
        <v>16</v>
      </c>
      <c r="AJ806" s="3">
        <f t="shared" si="98"/>
        <v>7</v>
      </c>
      <c r="AK806" s="3" t="s">
        <v>2706</v>
      </c>
      <c r="AL806">
        <v>7</v>
      </c>
      <c r="AM806" t="s">
        <v>15</v>
      </c>
    </row>
    <row r="807" spans="1:39" x14ac:dyDescent="0.3">
      <c r="A807" s="51" t="s">
        <v>1622</v>
      </c>
      <c r="B807" s="54" t="s">
        <v>1623</v>
      </c>
      <c r="C807" s="51" t="s">
        <v>2765</v>
      </c>
      <c r="D807" s="53">
        <v>0</v>
      </c>
      <c r="E807" s="53">
        <v>1</v>
      </c>
      <c r="F807" s="51" t="s">
        <v>2715</v>
      </c>
      <c r="G807" s="51" t="s">
        <v>2695</v>
      </c>
      <c r="H807" s="25" t="str">
        <f t="shared" si="93"/>
        <v>jgd</v>
      </c>
      <c r="I807" t="s">
        <v>72</v>
      </c>
      <c r="J807" t="s">
        <v>848</v>
      </c>
      <c r="K807" t="s">
        <v>16</v>
      </c>
      <c r="L807" s="25">
        <v>46.18447132</v>
      </c>
      <c r="M807" s="25">
        <v>8.6496318100000007</v>
      </c>
      <c r="N807">
        <v>3</v>
      </c>
      <c r="O807">
        <v>2</v>
      </c>
      <c r="P807">
        <v>11</v>
      </c>
      <c r="Q807">
        <v>2016</v>
      </c>
      <c r="R807" s="9">
        <v>42676</v>
      </c>
      <c r="S807">
        <v>405</v>
      </c>
      <c r="T807">
        <v>1</v>
      </c>
      <c r="U807">
        <v>0</v>
      </c>
      <c r="V807">
        <v>0</v>
      </c>
      <c r="W807">
        <v>0</v>
      </c>
      <c r="X807" s="57">
        <f t="shared" si="94"/>
        <v>-59.000780999999996</v>
      </c>
      <c r="Y807">
        <v>-23.37</v>
      </c>
      <c r="Z807">
        <v>8.1999999999999993</v>
      </c>
      <c r="AA807" s="3">
        <f t="shared" si="96"/>
        <v>6</v>
      </c>
      <c r="AB807" s="3">
        <f t="shared" si="99"/>
        <v>8</v>
      </c>
      <c r="AD807" s="3" t="s">
        <v>2754</v>
      </c>
      <c r="AE807" s="22">
        <v>-71.420624799999999</v>
      </c>
      <c r="AF807" s="22">
        <f t="shared" si="97"/>
        <v>-71.420624799999999</v>
      </c>
      <c r="AG807" s="60" t="s">
        <v>16</v>
      </c>
      <c r="AH807" s="61" t="s">
        <v>16</v>
      </c>
      <c r="AJ807" s="3">
        <f t="shared" si="98"/>
        <v>7</v>
      </c>
      <c r="AK807" s="3" t="s">
        <v>2706</v>
      </c>
      <c r="AL807">
        <v>7</v>
      </c>
      <c r="AM807" t="s">
        <v>15</v>
      </c>
    </row>
    <row r="808" spans="1:39" x14ac:dyDescent="0.3">
      <c r="A808" s="51" t="s">
        <v>1700</v>
      </c>
      <c r="B808" s="54" t="s">
        <v>433</v>
      </c>
      <c r="C808" s="51" t="s">
        <v>2765</v>
      </c>
      <c r="D808" s="53">
        <v>0</v>
      </c>
      <c r="E808" s="53">
        <v>1</v>
      </c>
      <c r="F808" s="51" t="s">
        <v>2715</v>
      </c>
      <c r="G808" s="51" t="s">
        <v>2695</v>
      </c>
      <c r="H808" s="25" t="str">
        <f t="shared" si="93"/>
        <v>jgd</v>
      </c>
      <c r="I808" t="s">
        <v>72</v>
      </c>
      <c r="J808" t="s">
        <v>155</v>
      </c>
      <c r="K808" t="s">
        <v>1682</v>
      </c>
      <c r="L808" s="25">
        <v>46.112984140000002</v>
      </c>
      <c r="M808" s="25">
        <v>8.840792746</v>
      </c>
      <c r="N808">
        <v>4</v>
      </c>
      <c r="O808">
        <v>2</v>
      </c>
      <c r="P808">
        <v>11</v>
      </c>
      <c r="Q808">
        <v>2016</v>
      </c>
      <c r="R808" s="9">
        <v>42676</v>
      </c>
      <c r="S808">
        <v>313</v>
      </c>
      <c r="T808">
        <v>1</v>
      </c>
      <c r="U808">
        <v>0</v>
      </c>
      <c r="V808">
        <v>0</v>
      </c>
      <c r="W808">
        <v>0</v>
      </c>
      <c r="X808" s="57">
        <f t="shared" si="94"/>
        <v>-58.884559250000002</v>
      </c>
      <c r="Y808">
        <v>-23.62</v>
      </c>
      <c r="Z808">
        <v>1.26</v>
      </c>
      <c r="AA808" s="3">
        <f t="shared" si="96"/>
        <v>6</v>
      </c>
      <c r="AB808" s="3">
        <f t="shared" si="99"/>
        <v>1</v>
      </c>
      <c r="AD808" s="3" t="s">
        <v>2754</v>
      </c>
      <c r="AE808" s="22">
        <v>-71.327647400000004</v>
      </c>
      <c r="AF808" s="22">
        <f t="shared" si="97"/>
        <v>-71.327647400000004</v>
      </c>
      <c r="AG808" s="60" t="s">
        <v>16</v>
      </c>
      <c r="AH808" s="61" t="s">
        <v>16</v>
      </c>
      <c r="AJ808" s="3">
        <f t="shared" si="98"/>
        <v>7</v>
      </c>
      <c r="AK808" s="3" t="s">
        <v>2706</v>
      </c>
      <c r="AL808">
        <v>7</v>
      </c>
      <c r="AM808" t="s">
        <v>15</v>
      </c>
    </row>
    <row r="809" spans="1:39" x14ac:dyDescent="0.3">
      <c r="A809" s="51" t="s">
        <v>1237</v>
      </c>
      <c r="B809" s="54" t="s">
        <v>1238</v>
      </c>
      <c r="C809" s="51" t="s">
        <v>2765</v>
      </c>
      <c r="D809" s="53">
        <v>0</v>
      </c>
      <c r="E809" s="53">
        <v>1</v>
      </c>
      <c r="F809" s="51" t="s">
        <v>2715</v>
      </c>
      <c r="G809" s="51" t="s">
        <v>2695</v>
      </c>
      <c r="H809" s="25" t="str">
        <f t="shared" si="93"/>
        <v>jgd</v>
      </c>
      <c r="I809" t="s">
        <v>72</v>
      </c>
      <c r="J809" t="s">
        <v>716</v>
      </c>
      <c r="K809" t="s">
        <v>717</v>
      </c>
      <c r="L809" s="25">
        <v>45.880200389999999</v>
      </c>
      <c r="M809" s="25">
        <v>9.0682536739999993</v>
      </c>
      <c r="N809">
        <v>5</v>
      </c>
      <c r="O809">
        <v>3</v>
      </c>
      <c r="P809">
        <v>11</v>
      </c>
      <c r="Q809">
        <v>2015</v>
      </c>
      <c r="R809" s="9">
        <v>42311</v>
      </c>
      <c r="S809">
        <v>295</v>
      </c>
      <c r="T809">
        <v>1</v>
      </c>
      <c r="U809">
        <v>0</v>
      </c>
      <c r="V809">
        <v>0</v>
      </c>
      <c r="W809">
        <v>0</v>
      </c>
      <c r="X809">
        <f t="shared" si="94"/>
        <v>-58.824999999999996</v>
      </c>
      <c r="Y809">
        <v>-23.8584</v>
      </c>
      <c r="Z809">
        <v>2.5315689880000001</v>
      </c>
      <c r="AA809" s="3">
        <f t="shared" si="96"/>
        <v>6</v>
      </c>
      <c r="AB809" s="3">
        <f t="shared" si="99"/>
        <v>3</v>
      </c>
      <c r="AD809" s="3" t="s">
        <v>2754</v>
      </c>
      <c r="AE809" s="22">
        <v>-71.28</v>
      </c>
      <c r="AF809" s="22">
        <f t="shared" si="97"/>
        <v>-71.28</v>
      </c>
      <c r="AG809" s="1">
        <v>-93.9</v>
      </c>
      <c r="AH809" s="2" t="s">
        <v>16</v>
      </c>
      <c r="AI809"/>
      <c r="AJ809" s="3">
        <f t="shared" si="98"/>
        <v>7</v>
      </c>
      <c r="AK809" s="3" t="s">
        <v>2706</v>
      </c>
      <c r="AL809">
        <v>7</v>
      </c>
      <c r="AM809" t="s">
        <v>15</v>
      </c>
    </row>
    <row r="810" spans="1:39" hidden="1" x14ac:dyDescent="0.3">
      <c r="A810" s="51" t="s">
        <v>2146</v>
      </c>
      <c r="B810" s="54" t="s">
        <v>2147</v>
      </c>
      <c r="C810" s="51" t="s">
        <v>2765</v>
      </c>
      <c r="D810" s="53">
        <v>0</v>
      </c>
      <c r="E810" s="53">
        <v>1</v>
      </c>
      <c r="F810" s="51" t="s">
        <v>2715</v>
      </c>
      <c r="G810" s="51" t="s">
        <v>2695</v>
      </c>
      <c r="H810" s="25" t="str">
        <f t="shared" si="93"/>
        <v>jgd</v>
      </c>
      <c r="I810" t="s">
        <v>13</v>
      </c>
      <c r="J810" t="s">
        <v>21</v>
      </c>
      <c r="K810" t="s">
        <v>16</v>
      </c>
      <c r="L810" s="25">
        <v>46.952249729999998</v>
      </c>
      <c r="M810" s="25">
        <v>6.5650516659999996</v>
      </c>
      <c r="N810">
        <v>3</v>
      </c>
      <c r="O810">
        <v>30</v>
      </c>
      <c r="P810">
        <v>10</v>
      </c>
      <c r="Q810">
        <v>2017</v>
      </c>
      <c r="R810" s="9">
        <v>43038</v>
      </c>
      <c r="S810">
        <v>325</v>
      </c>
      <c r="T810">
        <v>1</v>
      </c>
      <c r="U810">
        <v>0</v>
      </c>
      <c r="V810">
        <v>0</v>
      </c>
      <c r="W810">
        <v>0</v>
      </c>
      <c r="X810" s="57">
        <f t="shared" si="94"/>
        <v>-58.64961125</v>
      </c>
      <c r="Y810" t="s">
        <v>16</v>
      </c>
      <c r="Z810">
        <v>2.2027457859999999</v>
      </c>
      <c r="AA810" s="3">
        <f t="shared" si="96"/>
        <v>6</v>
      </c>
      <c r="AB810" s="3">
        <f t="shared" si="99"/>
        <v>2</v>
      </c>
      <c r="AD810" s="3" t="s">
        <v>2750</v>
      </c>
      <c r="AE810" s="22">
        <v>-71.139689000000004</v>
      </c>
      <c r="AF810" s="22">
        <f t="shared" si="97"/>
        <v>-71.139689000000004</v>
      </c>
      <c r="AG810" s="60" t="s">
        <v>16</v>
      </c>
      <c r="AH810" s="61" t="s">
        <v>16</v>
      </c>
      <c r="AJ810" s="3">
        <f t="shared" si="98"/>
        <v>7</v>
      </c>
      <c r="AK810" s="3" t="s">
        <v>2706</v>
      </c>
      <c r="AL810">
        <v>7</v>
      </c>
      <c r="AM810" t="s">
        <v>15</v>
      </c>
    </row>
    <row r="811" spans="1:39" x14ac:dyDescent="0.3">
      <c r="A811" s="51" t="s">
        <v>1049</v>
      </c>
      <c r="B811" s="54" t="s">
        <v>1050</v>
      </c>
      <c r="C811" s="51" t="s">
        <v>2765</v>
      </c>
      <c r="D811" s="53">
        <v>0</v>
      </c>
      <c r="E811" s="53">
        <v>1</v>
      </c>
      <c r="F811" s="51" t="s">
        <v>2715</v>
      </c>
      <c r="G811" s="51" t="s">
        <v>2695</v>
      </c>
      <c r="H811" s="25" t="str">
        <f t="shared" si="93"/>
        <v>jgd</v>
      </c>
      <c r="I811" t="s">
        <v>72</v>
      </c>
      <c r="J811" t="s">
        <v>708</v>
      </c>
      <c r="K811" t="s">
        <v>1051</v>
      </c>
      <c r="L811" s="25">
        <v>46.51950549</v>
      </c>
      <c r="M811" s="25">
        <v>8.5748590609999997</v>
      </c>
      <c r="N811">
        <v>6</v>
      </c>
      <c r="O811">
        <v>7</v>
      </c>
      <c r="P811">
        <v>11</v>
      </c>
      <c r="Q811">
        <v>2015</v>
      </c>
      <c r="R811" s="9">
        <v>42315</v>
      </c>
      <c r="S811">
        <v>280</v>
      </c>
      <c r="T811">
        <v>1</v>
      </c>
      <c r="U811">
        <v>0</v>
      </c>
      <c r="V811">
        <v>0</v>
      </c>
      <c r="W811">
        <v>0</v>
      </c>
      <c r="X811">
        <f t="shared" si="94"/>
        <v>-58.42499999999999</v>
      </c>
      <c r="Y811">
        <v>-23.932400000000001</v>
      </c>
      <c r="Z811">
        <v>10.89504812</v>
      </c>
      <c r="AA811" s="3">
        <f t="shared" si="96"/>
        <v>6</v>
      </c>
      <c r="AB811" s="3">
        <f t="shared" si="99"/>
        <v>11</v>
      </c>
      <c r="AD811" s="3" t="s">
        <v>2754</v>
      </c>
      <c r="AE811" s="22">
        <v>-70.959999999999994</v>
      </c>
      <c r="AF811" s="22">
        <f t="shared" si="97"/>
        <v>-70.959999999999994</v>
      </c>
      <c r="AG811" s="1">
        <v>-93.6</v>
      </c>
      <c r="AH811" s="2" t="s">
        <v>16</v>
      </c>
      <c r="AI811"/>
      <c r="AJ811" s="3">
        <f t="shared" si="98"/>
        <v>7</v>
      </c>
      <c r="AK811" s="3" t="s">
        <v>2706</v>
      </c>
      <c r="AL811">
        <v>7</v>
      </c>
      <c r="AM811" t="s">
        <v>15</v>
      </c>
    </row>
    <row r="812" spans="1:39" x14ac:dyDescent="0.3">
      <c r="A812" s="51" t="s">
        <v>2522</v>
      </c>
      <c r="B812" s="54" t="s">
        <v>1172</v>
      </c>
      <c r="C812" s="51" t="s">
        <v>2765</v>
      </c>
      <c r="D812" s="53">
        <v>0</v>
      </c>
      <c r="E812" s="53">
        <v>1</v>
      </c>
      <c r="F812" s="51" t="s">
        <v>2715</v>
      </c>
      <c r="G812" s="51" t="s">
        <v>2695</v>
      </c>
      <c r="H812" s="25" t="str">
        <f t="shared" si="93"/>
        <v>jgd</v>
      </c>
      <c r="I812" t="s">
        <v>72</v>
      </c>
      <c r="J812" t="s">
        <v>298</v>
      </c>
      <c r="K812" t="s">
        <v>2515</v>
      </c>
      <c r="L812" s="25">
        <v>46.137569239999998</v>
      </c>
      <c r="M812" s="25">
        <v>8.9691911940000004</v>
      </c>
      <c r="N812">
        <v>5</v>
      </c>
      <c r="O812">
        <v>17</v>
      </c>
      <c r="P812">
        <v>10</v>
      </c>
      <c r="Q812">
        <v>2017</v>
      </c>
      <c r="R812" s="9">
        <v>43025</v>
      </c>
      <c r="S812">
        <v>380</v>
      </c>
      <c r="T812">
        <v>1</v>
      </c>
      <c r="U812">
        <v>0</v>
      </c>
      <c r="V812">
        <v>0</v>
      </c>
      <c r="W812">
        <v>0</v>
      </c>
      <c r="X812" s="57">
        <f t="shared" si="94"/>
        <v>-58.384092500000001</v>
      </c>
      <c r="Y812" t="s">
        <v>16</v>
      </c>
      <c r="Z812">
        <v>5.6689400120000002</v>
      </c>
      <c r="AA812" s="3">
        <f t="shared" si="96"/>
        <v>6</v>
      </c>
      <c r="AB812" s="3">
        <f t="shared" si="99"/>
        <v>6</v>
      </c>
      <c r="AD812" s="3" t="s">
        <v>2754</v>
      </c>
      <c r="AE812" s="22">
        <v>-70.927273999999997</v>
      </c>
      <c r="AF812" s="22">
        <f t="shared" si="97"/>
        <v>-70.927273999999997</v>
      </c>
      <c r="AG812" s="60" t="s">
        <v>16</v>
      </c>
      <c r="AH812" s="61" t="s">
        <v>16</v>
      </c>
      <c r="AJ812" s="3">
        <f t="shared" si="98"/>
        <v>7</v>
      </c>
      <c r="AK812" s="3" t="s">
        <v>2706</v>
      </c>
      <c r="AL812">
        <v>7</v>
      </c>
      <c r="AM812" t="s">
        <v>15</v>
      </c>
    </row>
    <row r="813" spans="1:39" x14ac:dyDescent="0.3">
      <c r="A813" s="51" t="s">
        <v>1096</v>
      </c>
      <c r="B813" s="54" t="s">
        <v>1097</v>
      </c>
      <c r="C813" s="51" t="s">
        <v>2765</v>
      </c>
      <c r="D813" s="53">
        <v>0</v>
      </c>
      <c r="E813" s="53">
        <v>1</v>
      </c>
      <c r="F813" s="51" t="s">
        <v>2715</v>
      </c>
      <c r="G813" s="51" t="s">
        <v>2695</v>
      </c>
      <c r="H813" s="25" t="str">
        <f t="shared" si="93"/>
        <v>jgd</v>
      </c>
      <c r="I813" t="s">
        <v>72</v>
      </c>
      <c r="J813" t="s">
        <v>1098</v>
      </c>
      <c r="K813" t="s">
        <v>1099</v>
      </c>
      <c r="L813" s="25">
        <v>46.027456399999998</v>
      </c>
      <c r="M813" s="25">
        <v>8.8236163510000001</v>
      </c>
      <c r="N813">
        <v>5</v>
      </c>
      <c r="O813">
        <v>16</v>
      </c>
      <c r="P813">
        <v>10</v>
      </c>
      <c r="Q813">
        <v>2015</v>
      </c>
      <c r="R813" s="9">
        <v>42293</v>
      </c>
      <c r="S813" t="s">
        <v>16</v>
      </c>
      <c r="T813">
        <v>1</v>
      </c>
      <c r="U813">
        <v>0</v>
      </c>
      <c r="V813">
        <v>0</v>
      </c>
      <c r="W813">
        <v>0</v>
      </c>
      <c r="X813">
        <f t="shared" si="94"/>
        <v>-58.375000000000007</v>
      </c>
      <c r="Y813">
        <v>-24.288399999999999</v>
      </c>
      <c r="Z813">
        <v>6.1634281870000001</v>
      </c>
      <c r="AA813" s="3">
        <f t="shared" si="96"/>
        <v>6</v>
      </c>
      <c r="AB813" s="3">
        <f t="shared" si="99"/>
        <v>6</v>
      </c>
      <c r="AD813" s="3" t="s">
        <v>2754</v>
      </c>
      <c r="AE813" s="22">
        <v>-70.92</v>
      </c>
      <c r="AF813" s="22">
        <f t="shared" si="97"/>
        <v>-70.92</v>
      </c>
      <c r="AG813" s="1">
        <v>-93.6</v>
      </c>
      <c r="AH813" s="2" t="s">
        <v>16</v>
      </c>
      <c r="AI813"/>
      <c r="AJ813" s="3">
        <f t="shared" si="98"/>
        <v>7</v>
      </c>
      <c r="AK813" s="3" t="s">
        <v>2706</v>
      </c>
      <c r="AL813">
        <v>7</v>
      </c>
      <c r="AM813" t="s">
        <v>15</v>
      </c>
    </row>
    <row r="814" spans="1:39" hidden="1" x14ac:dyDescent="0.3">
      <c r="A814" s="51" t="s">
        <v>1887</v>
      </c>
      <c r="B814" s="54" t="s">
        <v>1074</v>
      </c>
      <c r="C814" s="51" t="s">
        <v>2765</v>
      </c>
      <c r="D814" s="53">
        <v>0</v>
      </c>
      <c r="E814" s="53">
        <v>1</v>
      </c>
      <c r="F814" s="51" t="s">
        <v>2715</v>
      </c>
      <c r="G814" s="51" t="s">
        <v>2695</v>
      </c>
      <c r="H814" s="25" t="str">
        <f t="shared" si="93"/>
        <v>jgd</v>
      </c>
      <c r="I814" t="s">
        <v>13</v>
      </c>
      <c r="J814" t="s">
        <v>48</v>
      </c>
      <c r="K814" t="s">
        <v>49</v>
      </c>
      <c r="L814" s="25">
        <v>46.947765400000002</v>
      </c>
      <c r="M814" s="25">
        <v>6.605531043</v>
      </c>
      <c r="N814">
        <v>6</v>
      </c>
      <c r="O814">
        <v>21</v>
      </c>
      <c r="P814">
        <v>10</v>
      </c>
      <c r="Q814">
        <v>2016</v>
      </c>
      <c r="R814" s="9">
        <v>42664</v>
      </c>
      <c r="S814">
        <v>369</v>
      </c>
      <c r="T814">
        <v>1</v>
      </c>
      <c r="U814">
        <v>0</v>
      </c>
      <c r="V814">
        <v>0</v>
      </c>
      <c r="W814">
        <v>0</v>
      </c>
      <c r="X814" s="57">
        <f t="shared" si="94"/>
        <v>-58.085190749999988</v>
      </c>
      <c r="Y814">
        <v>-23.53</v>
      </c>
      <c r="Z814">
        <v>2.78</v>
      </c>
      <c r="AA814" s="3">
        <f t="shared" si="96"/>
        <v>6</v>
      </c>
      <c r="AB814" s="3">
        <f t="shared" si="99"/>
        <v>3</v>
      </c>
      <c r="AD814" s="3" t="s">
        <v>2750</v>
      </c>
      <c r="AE814" s="22">
        <v>-70.688152599999995</v>
      </c>
      <c r="AF814" s="22">
        <f t="shared" si="97"/>
        <v>-70.688152599999995</v>
      </c>
      <c r="AG814" s="60" t="s">
        <v>16</v>
      </c>
      <c r="AH814" s="61" t="s">
        <v>16</v>
      </c>
      <c r="AJ814" s="3">
        <f t="shared" si="98"/>
        <v>7</v>
      </c>
      <c r="AK814" s="3" t="s">
        <v>2706</v>
      </c>
      <c r="AL814">
        <v>7</v>
      </c>
      <c r="AM814" t="s">
        <v>15</v>
      </c>
    </row>
    <row r="815" spans="1:39" x14ac:dyDescent="0.3">
      <c r="A815" s="51" t="s">
        <v>1205</v>
      </c>
      <c r="B815" s="54" t="s">
        <v>1206</v>
      </c>
      <c r="C815" s="51" t="s">
        <v>2765</v>
      </c>
      <c r="D815" s="53">
        <v>0</v>
      </c>
      <c r="E815" s="53">
        <v>1</v>
      </c>
      <c r="F815" s="51" t="s">
        <v>2715</v>
      </c>
      <c r="G815" s="51" t="s">
        <v>2695</v>
      </c>
      <c r="H815" s="25" t="str">
        <f t="shared" si="93"/>
        <v>jgd</v>
      </c>
      <c r="I815" t="s">
        <v>72</v>
      </c>
      <c r="J815" t="s">
        <v>716</v>
      </c>
      <c r="K815" t="s">
        <v>1207</v>
      </c>
      <c r="L815" s="25">
        <v>45.888725209999997</v>
      </c>
      <c r="M815" s="25">
        <v>9.0790720290000007</v>
      </c>
      <c r="N815">
        <v>5</v>
      </c>
      <c r="O815">
        <v>8</v>
      </c>
      <c r="P815">
        <v>11</v>
      </c>
      <c r="Q815">
        <v>2015</v>
      </c>
      <c r="R815" s="9">
        <v>42316</v>
      </c>
      <c r="S815">
        <v>325</v>
      </c>
      <c r="T815">
        <v>1</v>
      </c>
      <c r="U815">
        <v>0</v>
      </c>
      <c r="V815">
        <v>0</v>
      </c>
      <c r="W815">
        <v>0</v>
      </c>
      <c r="X815">
        <f t="shared" si="94"/>
        <v>-57.900000000000013</v>
      </c>
      <c r="Y815">
        <v>-23.520800000000001</v>
      </c>
      <c r="Z815">
        <v>-1.258331195</v>
      </c>
      <c r="AA815" s="3">
        <f t="shared" si="96"/>
        <v>6</v>
      </c>
      <c r="AB815" s="3">
        <f t="shared" si="99"/>
        <v>-1</v>
      </c>
      <c r="AD815" s="3" t="s">
        <v>2754</v>
      </c>
      <c r="AE815" s="22">
        <v>-70.540000000000006</v>
      </c>
      <c r="AF815" s="22">
        <f t="shared" si="97"/>
        <v>-70.540000000000006</v>
      </c>
      <c r="AG815" s="1">
        <v>-93.2</v>
      </c>
      <c r="AH815" s="2" t="s">
        <v>16</v>
      </c>
      <c r="AI815"/>
      <c r="AJ815" s="3">
        <f t="shared" si="98"/>
        <v>7</v>
      </c>
      <c r="AK815" s="3" t="s">
        <v>2706</v>
      </c>
      <c r="AL815">
        <v>7</v>
      </c>
      <c r="AM815" t="s">
        <v>15</v>
      </c>
    </row>
    <row r="816" spans="1:39" hidden="1" x14ac:dyDescent="0.3">
      <c r="A816" s="51" t="s">
        <v>2444</v>
      </c>
      <c r="B816" s="54" t="s">
        <v>1063</v>
      </c>
      <c r="C816" s="51" t="s">
        <v>2765</v>
      </c>
      <c r="D816" s="53">
        <v>0</v>
      </c>
      <c r="E816" s="53">
        <v>1</v>
      </c>
      <c r="F816" s="51" t="s">
        <v>2715</v>
      </c>
      <c r="G816" s="51" t="s">
        <v>2695</v>
      </c>
      <c r="H816" s="25" t="str">
        <f t="shared" si="93"/>
        <v>jgd</v>
      </c>
      <c r="I816" t="s">
        <v>13</v>
      </c>
      <c r="J816" t="s">
        <v>2440</v>
      </c>
      <c r="K816" t="s">
        <v>2445</v>
      </c>
      <c r="L816" s="25">
        <v>46.954978670000003</v>
      </c>
      <c r="M816" s="25">
        <v>6.6178212519999997</v>
      </c>
      <c r="N816">
        <v>6</v>
      </c>
      <c r="O816" t="s">
        <v>16</v>
      </c>
      <c r="P816" t="s">
        <v>16</v>
      </c>
      <c r="Q816">
        <v>2017</v>
      </c>
      <c r="R816" s="9" t="s">
        <v>16</v>
      </c>
      <c r="S816">
        <v>357</v>
      </c>
      <c r="T816">
        <v>1</v>
      </c>
      <c r="U816">
        <v>0</v>
      </c>
      <c r="V816">
        <v>0</v>
      </c>
      <c r="W816">
        <v>0</v>
      </c>
      <c r="X816" s="57">
        <f t="shared" si="94"/>
        <v>-57.789373875000003</v>
      </c>
      <c r="Y816" t="s">
        <v>16</v>
      </c>
      <c r="Z816">
        <v>10.35901451</v>
      </c>
      <c r="AA816" s="3">
        <f t="shared" si="96"/>
        <v>6</v>
      </c>
      <c r="AB816" s="3">
        <f t="shared" si="99"/>
        <v>10</v>
      </c>
      <c r="AD816" s="3" t="s">
        <v>2750</v>
      </c>
      <c r="AE816" s="22">
        <v>-70.451499100000007</v>
      </c>
      <c r="AF816" s="22">
        <f t="shared" si="97"/>
        <v>-70.451499100000007</v>
      </c>
      <c r="AG816" s="60" t="s">
        <v>16</v>
      </c>
      <c r="AH816" s="61" t="s">
        <v>16</v>
      </c>
      <c r="AJ816" s="3">
        <f t="shared" si="98"/>
        <v>7</v>
      </c>
      <c r="AK816" s="3" t="s">
        <v>2706</v>
      </c>
      <c r="AL816">
        <v>7</v>
      </c>
      <c r="AM816" t="s">
        <v>15</v>
      </c>
    </row>
    <row r="817" spans="1:39" x14ac:dyDescent="0.3">
      <c r="A817" s="51" t="s">
        <v>1862</v>
      </c>
      <c r="B817" s="54" t="s">
        <v>1863</v>
      </c>
      <c r="C817" s="51" t="s">
        <v>2765</v>
      </c>
      <c r="D817" s="53">
        <v>0</v>
      </c>
      <c r="E817" s="53">
        <v>1</v>
      </c>
      <c r="F817" s="51" t="s">
        <v>2715</v>
      </c>
      <c r="G817" s="51" t="s">
        <v>2695</v>
      </c>
      <c r="H817" s="25" t="str">
        <f t="shared" si="93"/>
        <v>jgd</v>
      </c>
      <c r="I817" t="s">
        <v>72</v>
      </c>
      <c r="J817" t="s">
        <v>1189</v>
      </c>
      <c r="K817" t="s">
        <v>1293</v>
      </c>
      <c r="L817" s="25">
        <v>46.079552579999998</v>
      </c>
      <c r="M817" s="25">
        <v>9.0532575370000004</v>
      </c>
      <c r="N817">
        <v>5</v>
      </c>
      <c r="O817">
        <v>15</v>
      </c>
      <c r="P817">
        <v>11</v>
      </c>
      <c r="Q817">
        <v>2016</v>
      </c>
      <c r="R817" s="9">
        <v>42689</v>
      </c>
      <c r="S817">
        <v>315</v>
      </c>
      <c r="T817">
        <v>1</v>
      </c>
      <c r="U817">
        <v>0</v>
      </c>
      <c r="V817">
        <v>0</v>
      </c>
      <c r="W817">
        <v>0</v>
      </c>
      <c r="X817" s="57">
        <f t="shared" si="94"/>
        <v>-57.750929499999991</v>
      </c>
      <c r="Y817">
        <v>-23.27</v>
      </c>
      <c r="Z817">
        <v>3.24</v>
      </c>
      <c r="AA817" s="3">
        <f t="shared" si="96"/>
        <v>6</v>
      </c>
      <c r="AB817" s="3">
        <f t="shared" si="99"/>
        <v>3</v>
      </c>
      <c r="AD817" s="3" t="s">
        <v>2754</v>
      </c>
      <c r="AE817" s="22">
        <v>-70.420743599999994</v>
      </c>
      <c r="AF817" s="22">
        <f t="shared" si="97"/>
        <v>-70.420743599999994</v>
      </c>
      <c r="AG817" s="60" t="s">
        <v>16</v>
      </c>
      <c r="AH817" s="61" t="s">
        <v>16</v>
      </c>
      <c r="AJ817" s="3">
        <f t="shared" si="98"/>
        <v>7</v>
      </c>
      <c r="AK817" s="3" t="s">
        <v>2706</v>
      </c>
      <c r="AL817">
        <v>7</v>
      </c>
      <c r="AM817" t="s">
        <v>15</v>
      </c>
    </row>
    <row r="818" spans="1:39" x14ac:dyDescent="0.3">
      <c r="A818" s="51" t="s">
        <v>2037</v>
      </c>
      <c r="B818" s="54" t="s">
        <v>2038</v>
      </c>
      <c r="C818" s="51" t="s">
        <v>2765</v>
      </c>
      <c r="D818" s="53">
        <v>0</v>
      </c>
      <c r="E818" s="53">
        <v>1</v>
      </c>
      <c r="F818" s="51" t="s">
        <v>2715</v>
      </c>
      <c r="G818" s="51" t="s">
        <v>2695</v>
      </c>
      <c r="H818" s="25" t="str">
        <f t="shared" si="93"/>
        <v>jgd</v>
      </c>
      <c r="I818" t="s">
        <v>72</v>
      </c>
      <c r="J818" t="s">
        <v>213</v>
      </c>
      <c r="K818" t="s">
        <v>2039</v>
      </c>
      <c r="L818" s="25">
        <v>45.955836779999998</v>
      </c>
      <c r="M818" s="25">
        <v>9.0154236599999997</v>
      </c>
      <c r="N818">
        <v>6</v>
      </c>
      <c r="O818">
        <v>28</v>
      </c>
      <c r="P818">
        <v>10</v>
      </c>
      <c r="Q818">
        <v>2016</v>
      </c>
      <c r="R818" s="9">
        <v>42671</v>
      </c>
      <c r="S818">
        <v>350</v>
      </c>
      <c r="T818">
        <v>1</v>
      </c>
      <c r="U818">
        <v>0</v>
      </c>
      <c r="V818">
        <v>0</v>
      </c>
      <c r="W818">
        <v>0</v>
      </c>
      <c r="X818" s="57">
        <f t="shared" si="94"/>
        <v>-57.698336999999988</v>
      </c>
      <c r="Y818">
        <v>-23.16</v>
      </c>
      <c r="Z818">
        <v>4.9000000000000004</v>
      </c>
      <c r="AA818" s="3">
        <f t="shared" si="96"/>
        <v>6</v>
      </c>
      <c r="AB818" s="3">
        <f t="shared" si="99"/>
        <v>5</v>
      </c>
      <c r="AD818" s="3" t="s">
        <v>2754</v>
      </c>
      <c r="AE818" s="22">
        <v>-70.378669599999995</v>
      </c>
      <c r="AF818" s="22">
        <f t="shared" si="97"/>
        <v>-70.378669599999995</v>
      </c>
      <c r="AG818" s="60" t="s">
        <v>16</v>
      </c>
      <c r="AH818" s="61" t="s">
        <v>16</v>
      </c>
      <c r="AJ818" s="3">
        <f t="shared" si="98"/>
        <v>7</v>
      </c>
      <c r="AK818" s="3" t="s">
        <v>2706</v>
      </c>
      <c r="AL818">
        <v>7</v>
      </c>
      <c r="AM818" t="s">
        <v>15</v>
      </c>
    </row>
    <row r="819" spans="1:39" x14ac:dyDescent="0.3">
      <c r="A819" s="51" t="s">
        <v>1525</v>
      </c>
      <c r="B819" s="54" t="s">
        <v>360</v>
      </c>
      <c r="C819" s="51" t="s">
        <v>2765</v>
      </c>
      <c r="D819" s="53">
        <v>0</v>
      </c>
      <c r="E819" s="53">
        <v>1</v>
      </c>
      <c r="F819" s="51" t="s">
        <v>2715</v>
      </c>
      <c r="G819" s="51" t="s">
        <v>2695</v>
      </c>
      <c r="H819" s="25" t="str">
        <f t="shared" si="93"/>
        <v>jgd</v>
      </c>
      <c r="I819" t="s">
        <v>72</v>
      </c>
      <c r="J819" t="s">
        <v>234</v>
      </c>
      <c r="K819" t="s">
        <v>1526</v>
      </c>
      <c r="L819" s="25">
        <v>46.22531729</v>
      </c>
      <c r="M819" s="25">
        <v>8.6842944559999999</v>
      </c>
      <c r="N819">
        <v>6</v>
      </c>
      <c r="O819">
        <v>8</v>
      </c>
      <c r="P819">
        <v>11</v>
      </c>
      <c r="Q819">
        <v>2016</v>
      </c>
      <c r="R819" s="9">
        <v>42682</v>
      </c>
      <c r="S819">
        <v>371</v>
      </c>
      <c r="T819">
        <v>1</v>
      </c>
      <c r="U819">
        <v>0</v>
      </c>
      <c r="V819">
        <v>0</v>
      </c>
      <c r="W819">
        <v>0</v>
      </c>
      <c r="X819" s="57">
        <f t="shared" si="94"/>
        <v>-57.605494875000012</v>
      </c>
      <c r="Y819">
        <v>-22.91</v>
      </c>
      <c r="Z819">
        <v>1.06</v>
      </c>
      <c r="AA819" s="3">
        <f t="shared" si="96"/>
        <v>6</v>
      </c>
      <c r="AB819" s="3">
        <f t="shared" si="99"/>
        <v>1</v>
      </c>
      <c r="AD819" s="3" t="s">
        <v>2754</v>
      </c>
      <c r="AE819" s="22">
        <v>-70.304395900000003</v>
      </c>
      <c r="AF819" s="22">
        <f t="shared" si="97"/>
        <v>-70.304395900000003</v>
      </c>
      <c r="AG819" s="60" t="s">
        <v>16</v>
      </c>
      <c r="AH819" s="61" t="s">
        <v>16</v>
      </c>
      <c r="AJ819" s="3">
        <f t="shared" si="98"/>
        <v>7</v>
      </c>
      <c r="AK819" s="3" t="s">
        <v>2706</v>
      </c>
      <c r="AL819">
        <v>7</v>
      </c>
      <c r="AM819" t="s">
        <v>15</v>
      </c>
    </row>
    <row r="820" spans="1:39" hidden="1" x14ac:dyDescent="0.3">
      <c r="A820" s="51" t="s">
        <v>782</v>
      </c>
      <c r="B820" s="54" t="s">
        <v>136</v>
      </c>
      <c r="C820" s="51" t="s">
        <v>2765</v>
      </c>
      <c r="D820" s="53">
        <v>0</v>
      </c>
      <c r="E820" s="53">
        <v>1</v>
      </c>
      <c r="F820" s="51" t="s">
        <v>2715</v>
      </c>
      <c r="G820" s="51" t="s">
        <v>2695</v>
      </c>
      <c r="H820" s="25" t="str">
        <f t="shared" si="93"/>
        <v>jgd</v>
      </c>
      <c r="I820" t="s">
        <v>30</v>
      </c>
      <c r="J820" t="s">
        <v>39</v>
      </c>
      <c r="K820" t="s">
        <v>783</v>
      </c>
      <c r="L820" s="25">
        <v>46.594819719999997</v>
      </c>
      <c r="M820" s="25">
        <v>6.9753753170000001</v>
      </c>
      <c r="N820">
        <v>3</v>
      </c>
      <c r="O820">
        <v>14</v>
      </c>
      <c r="P820">
        <v>11</v>
      </c>
      <c r="Q820">
        <v>2015</v>
      </c>
      <c r="R820" s="9">
        <v>42322</v>
      </c>
      <c r="S820">
        <v>326</v>
      </c>
      <c r="T820">
        <v>1</v>
      </c>
      <c r="U820">
        <v>0</v>
      </c>
      <c r="V820">
        <v>0</v>
      </c>
      <c r="W820">
        <v>0</v>
      </c>
      <c r="X820">
        <f t="shared" si="94"/>
        <v>-57.524999999999999</v>
      </c>
      <c r="Y820">
        <v>-23.603291559999999</v>
      </c>
      <c r="Z820">
        <v>1.322790006</v>
      </c>
      <c r="AA820" s="3">
        <f t="shared" si="96"/>
        <v>6</v>
      </c>
      <c r="AB820" s="3">
        <f t="shared" si="99"/>
        <v>1</v>
      </c>
      <c r="AD820" s="3" t="s">
        <v>2752</v>
      </c>
      <c r="AE820" s="22">
        <v>-70.239999999999995</v>
      </c>
      <c r="AF820" s="22">
        <f t="shared" si="97"/>
        <v>-70.239999999999995</v>
      </c>
      <c r="AG820" s="1">
        <v>-92.9</v>
      </c>
      <c r="AH820" s="2" t="s">
        <v>16</v>
      </c>
      <c r="AI820"/>
      <c r="AJ820" s="3">
        <f t="shared" si="98"/>
        <v>7</v>
      </c>
      <c r="AK820" s="3" t="s">
        <v>2706</v>
      </c>
      <c r="AL820">
        <v>7</v>
      </c>
      <c r="AM820" t="s">
        <v>15</v>
      </c>
    </row>
    <row r="821" spans="1:39" hidden="1" x14ac:dyDescent="0.3">
      <c r="A821" s="51" t="s">
        <v>135</v>
      </c>
      <c r="B821" s="54" t="s">
        <v>136</v>
      </c>
      <c r="C821" s="51" t="s">
        <v>2765</v>
      </c>
      <c r="D821" s="53">
        <v>0</v>
      </c>
      <c r="E821" s="53">
        <v>1</v>
      </c>
      <c r="F821" s="51" t="s">
        <v>2715</v>
      </c>
      <c r="G821" s="51" t="s">
        <v>2695</v>
      </c>
      <c r="H821" s="25" t="str">
        <f t="shared" ref="H821:H884" si="100">IF(T821=1,"jgd",IF(W821=1,"Captures automne","Captures printemps-été"))</f>
        <v>jgd</v>
      </c>
      <c r="I821" t="s">
        <v>30</v>
      </c>
      <c r="J821" t="s">
        <v>31</v>
      </c>
      <c r="K821" t="s">
        <v>16</v>
      </c>
      <c r="L821" s="25">
        <v>46.646485480000003</v>
      </c>
      <c r="M821" s="25">
        <v>7.0155690760000002</v>
      </c>
      <c r="N821">
        <v>6</v>
      </c>
      <c r="O821">
        <v>16</v>
      </c>
      <c r="P821">
        <v>11</v>
      </c>
      <c r="Q821">
        <v>2013</v>
      </c>
      <c r="R821" s="9">
        <v>41594</v>
      </c>
      <c r="S821">
        <v>318</v>
      </c>
      <c r="T821">
        <v>1</v>
      </c>
      <c r="U821">
        <v>0</v>
      </c>
      <c r="V821">
        <v>0</v>
      </c>
      <c r="W821">
        <v>0</v>
      </c>
      <c r="X821">
        <f t="shared" ref="X821:X884" si="101">1.25*AF821+30.275</f>
        <v>-57.42499999999999</v>
      </c>
      <c r="Y821">
        <v>-22.983325730000001</v>
      </c>
      <c r="Z821">
        <v>5.7995827579999997</v>
      </c>
      <c r="AA821" s="3">
        <f t="shared" si="96"/>
        <v>6</v>
      </c>
      <c r="AB821" s="3">
        <f t="shared" si="99"/>
        <v>6</v>
      </c>
      <c r="AD821" s="3" t="s">
        <v>2751</v>
      </c>
      <c r="AE821" s="22">
        <v>-70.16</v>
      </c>
      <c r="AF821" s="22">
        <f t="shared" si="97"/>
        <v>-70.16</v>
      </c>
      <c r="AG821" s="1">
        <v>-92.8</v>
      </c>
      <c r="AH821" s="2" t="s">
        <v>16</v>
      </c>
      <c r="AI821"/>
      <c r="AJ821" s="3">
        <f t="shared" si="98"/>
        <v>7</v>
      </c>
      <c r="AK821" s="3" t="s">
        <v>2706</v>
      </c>
      <c r="AL821">
        <v>7</v>
      </c>
      <c r="AM821" t="s">
        <v>15</v>
      </c>
    </row>
    <row r="822" spans="1:39" hidden="1" x14ac:dyDescent="0.3">
      <c r="A822" s="51" t="s">
        <v>317</v>
      </c>
      <c r="B822" s="54" t="s">
        <v>18</v>
      </c>
      <c r="C822" s="51" t="s">
        <v>2765</v>
      </c>
      <c r="D822" s="53">
        <v>0</v>
      </c>
      <c r="E822" s="53">
        <v>1</v>
      </c>
      <c r="F822" s="51" t="s">
        <v>2715</v>
      </c>
      <c r="G822" s="51" t="s">
        <v>2695</v>
      </c>
      <c r="H822" s="25" t="str">
        <f t="shared" si="100"/>
        <v>jgd</v>
      </c>
      <c r="I822" t="s">
        <v>13</v>
      </c>
      <c r="J822" t="s">
        <v>14</v>
      </c>
      <c r="K822" t="s">
        <v>318</v>
      </c>
      <c r="L822" s="25">
        <v>46.8937539</v>
      </c>
      <c r="M822" s="25">
        <v>6.4963449610000001</v>
      </c>
      <c r="N822">
        <v>6</v>
      </c>
      <c r="O822">
        <v>29</v>
      </c>
      <c r="P822">
        <v>10</v>
      </c>
      <c r="Q822">
        <v>2014</v>
      </c>
      <c r="R822" s="9">
        <v>41941</v>
      </c>
      <c r="S822">
        <v>300</v>
      </c>
      <c r="T822">
        <v>1</v>
      </c>
      <c r="U822">
        <v>0</v>
      </c>
      <c r="V822">
        <v>0</v>
      </c>
      <c r="W822">
        <v>0</v>
      </c>
      <c r="X822">
        <f t="shared" si="101"/>
        <v>-57.312499999999993</v>
      </c>
      <c r="Y822">
        <v>-22.73028571</v>
      </c>
      <c r="Z822">
        <v>1.168013886</v>
      </c>
      <c r="AA822" s="3">
        <f t="shared" si="96"/>
        <v>6</v>
      </c>
      <c r="AB822" s="3">
        <f t="shared" si="99"/>
        <v>1</v>
      </c>
      <c r="AD822" s="3" t="s">
        <v>2750</v>
      </c>
      <c r="AE822" s="22">
        <v>-70.069999999999993</v>
      </c>
      <c r="AF822" s="22">
        <f t="shared" si="97"/>
        <v>-70.069999999999993</v>
      </c>
      <c r="AG822" s="1">
        <v>-92.7</v>
      </c>
      <c r="AH822" s="2" t="s">
        <v>16</v>
      </c>
      <c r="AI822"/>
      <c r="AJ822" s="3">
        <f t="shared" si="98"/>
        <v>7</v>
      </c>
      <c r="AK822" s="3" t="s">
        <v>2706</v>
      </c>
      <c r="AL822">
        <v>7</v>
      </c>
      <c r="AM822" t="s">
        <v>15</v>
      </c>
    </row>
    <row r="823" spans="1:39" x14ac:dyDescent="0.3">
      <c r="A823" s="51" t="s">
        <v>1595</v>
      </c>
      <c r="B823" s="54" t="s">
        <v>1596</v>
      </c>
      <c r="C823" s="51" t="s">
        <v>2765</v>
      </c>
      <c r="D823" s="53">
        <v>0</v>
      </c>
      <c r="E823" s="53">
        <v>1</v>
      </c>
      <c r="F823" s="51" t="s">
        <v>2715</v>
      </c>
      <c r="G823" s="51" t="s">
        <v>2695</v>
      </c>
      <c r="H823" s="25" t="str">
        <f t="shared" si="100"/>
        <v>jgd</v>
      </c>
      <c r="I823" t="s">
        <v>72</v>
      </c>
      <c r="J823" t="s">
        <v>804</v>
      </c>
      <c r="K823" t="s">
        <v>804</v>
      </c>
      <c r="L823" s="25">
        <v>46.060655939999997</v>
      </c>
      <c r="M823" s="25">
        <v>8.8976851000000003</v>
      </c>
      <c r="N823">
        <v>5</v>
      </c>
      <c r="O823">
        <v>22</v>
      </c>
      <c r="P823">
        <v>10</v>
      </c>
      <c r="Q823">
        <v>2016</v>
      </c>
      <c r="R823" s="9">
        <v>42665</v>
      </c>
      <c r="S823">
        <v>280</v>
      </c>
      <c r="T823">
        <v>1</v>
      </c>
      <c r="U823">
        <v>0</v>
      </c>
      <c r="V823">
        <v>0</v>
      </c>
      <c r="W823">
        <v>0</v>
      </c>
      <c r="X823" s="57">
        <f t="shared" si="101"/>
        <v>-57.09048087499999</v>
      </c>
      <c r="Y823">
        <v>-22.63</v>
      </c>
      <c r="Z823">
        <v>4.58</v>
      </c>
      <c r="AA823" s="3">
        <f t="shared" si="96"/>
        <v>6</v>
      </c>
      <c r="AB823" s="3">
        <f t="shared" si="99"/>
        <v>5</v>
      </c>
      <c r="AD823" s="3" t="s">
        <v>2754</v>
      </c>
      <c r="AE823" s="22">
        <v>-69.892384699999994</v>
      </c>
      <c r="AF823" s="22">
        <f t="shared" si="97"/>
        <v>-69.892384699999994</v>
      </c>
      <c r="AG823" s="60" t="s">
        <v>16</v>
      </c>
      <c r="AH823" s="61" t="s">
        <v>16</v>
      </c>
      <c r="AJ823" s="3">
        <f t="shared" si="98"/>
        <v>7</v>
      </c>
      <c r="AK823" s="3" t="s">
        <v>2706</v>
      </c>
      <c r="AL823">
        <v>7</v>
      </c>
      <c r="AM823" t="s">
        <v>15</v>
      </c>
    </row>
    <row r="824" spans="1:39" x14ac:dyDescent="0.3">
      <c r="A824" s="51" t="s">
        <v>1294</v>
      </c>
      <c r="B824" s="54" t="s">
        <v>1295</v>
      </c>
      <c r="C824" s="51" t="s">
        <v>2765</v>
      </c>
      <c r="D824" s="53">
        <v>0</v>
      </c>
      <c r="E824" s="53">
        <v>1</v>
      </c>
      <c r="F824" s="51" t="s">
        <v>2715</v>
      </c>
      <c r="G824" s="51" t="s">
        <v>2695</v>
      </c>
      <c r="H824" s="25" t="str">
        <f t="shared" si="100"/>
        <v>jgd</v>
      </c>
      <c r="I824" t="s">
        <v>72</v>
      </c>
      <c r="J824" t="s">
        <v>574</v>
      </c>
      <c r="K824" t="s">
        <v>1293</v>
      </c>
      <c r="L824" s="25">
        <v>46.077772369999998</v>
      </c>
      <c r="M824" s="25">
        <v>9.0519120409999996</v>
      </c>
      <c r="N824">
        <v>5</v>
      </c>
      <c r="O824">
        <v>31</v>
      </c>
      <c r="P824">
        <v>10</v>
      </c>
      <c r="Q824">
        <v>2015</v>
      </c>
      <c r="R824" s="9">
        <v>42308</v>
      </c>
      <c r="S824">
        <v>340</v>
      </c>
      <c r="T824">
        <v>1</v>
      </c>
      <c r="U824">
        <v>0</v>
      </c>
      <c r="V824">
        <v>0</v>
      </c>
      <c r="W824">
        <v>0</v>
      </c>
      <c r="X824">
        <f t="shared" si="101"/>
        <v>-56.949999999999996</v>
      </c>
      <c r="Y824">
        <v>-24.5258</v>
      </c>
      <c r="Z824">
        <v>4.4847655980000001</v>
      </c>
      <c r="AA824" s="3">
        <f t="shared" si="96"/>
        <v>6</v>
      </c>
      <c r="AB824" s="3">
        <f t="shared" si="99"/>
        <v>4</v>
      </c>
      <c r="AD824" s="3" t="s">
        <v>2754</v>
      </c>
      <c r="AE824" s="22">
        <v>-69.78</v>
      </c>
      <c r="AF824" s="22">
        <f t="shared" si="97"/>
        <v>-69.78</v>
      </c>
      <c r="AG824" s="1">
        <v>-92.4</v>
      </c>
      <c r="AH824" s="2" t="s">
        <v>16</v>
      </c>
      <c r="AI824"/>
      <c r="AJ824" s="3">
        <f t="shared" si="98"/>
        <v>7</v>
      </c>
      <c r="AK824" s="3" t="s">
        <v>2706</v>
      </c>
      <c r="AL824">
        <v>7</v>
      </c>
      <c r="AM824" t="s">
        <v>15</v>
      </c>
    </row>
    <row r="825" spans="1:39" x14ac:dyDescent="0.3">
      <c r="A825" s="51" t="s">
        <v>1597</v>
      </c>
      <c r="B825" s="54" t="s">
        <v>1598</v>
      </c>
      <c r="C825" s="51" t="s">
        <v>2765</v>
      </c>
      <c r="D825" s="53">
        <v>0</v>
      </c>
      <c r="E825" s="53">
        <v>1</v>
      </c>
      <c r="F825" s="51" t="s">
        <v>2715</v>
      </c>
      <c r="G825" s="51" t="s">
        <v>2695</v>
      </c>
      <c r="H825" s="25" t="str">
        <f t="shared" si="100"/>
        <v>jgd</v>
      </c>
      <c r="I825" t="s">
        <v>72</v>
      </c>
      <c r="J825" t="s">
        <v>804</v>
      </c>
      <c r="K825" t="s">
        <v>1599</v>
      </c>
      <c r="L825" s="25">
        <v>46.061627979999997</v>
      </c>
      <c r="M825" s="25">
        <v>8.8969614529999994</v>
      </c>
      <c r="N825">
        <v>5</v>
      </c>
      <c r="O825">
        <v>2</v>
      </c>
      <c r="P825">
        <v>11</v>
      </c>
      <c r="Q825">
        <v>2016</v>
      </c>
      <c r="R825" s="9">
        <v>42676</v>
      </c>
      <c r="S825">
        <v>265</v>
      </c>
      <c r="T825">
        <v>1</v>
      </c>
      <c r="U825">
        <v>0</v>
      </c>
      <c r="V825">
        <v>0</v>
      </c>
      <c r="W825">
        <v>0</v>
      </c>
      <c r="X825" s="57">
        <f t="shared" si="101"/>
        <v>-56.943091999999986</v>
      </c>
      <c r="Y825">
        <v>-24.1</v>
      </c>
      <c r="Z825">
        <v>7.31</v>
      </c>
      <c r="AA825" s="3">
        <f t="shared" si="96"/>
        <v>6</v>
      </c>
      <c r="AB825" s="3">
        <f t="shared" si="99"/>
        <v>7</v>
      </c>
      <c r="AD825" s="3" t="s">
        <v>2754</v>
      </c>
      <c r="AE825" s="22">
        <v>-69.774473599999993</v>
      </c>
      <c r="AF825" s="22">
        <f t="shared" si="97"/>
        <v>-69.774473599999993</v>
      </c>
      <c r="AG825" s="60" t="s">
        <v>16</v>
      </c>
      <c r="AH825" s="61" t="s">
        <v>16</v>
      </c>
      <c r="AJ825" s="3">
        <f t="shared" si="98"/>
        <v>7</v>
      </c>
      <c r="AK825" s="3" t="s">
        <v>2706</v>
      </c>
      <c r="AL825">
        <v>7</v>
      </c>
      <c r="AM825" t="s">
        <v>15</v>
      </c>
    </row>
    <row r="826" spans="1:39" hidden="1" x14ac:dyDescent="0.3">
      <c r="A826" s="51" t="s">
        <v>1078</v>
      </c>
      <c r="B826" s="54" t="s">
        <v>1079</v>
      </c>
      <c r="C826" s="51" t="s">
        <v>2765</v>
      </c>
      <c r="D826" s="53">
        <v>0</v>
      </c>
      <c r="E826" s="53">
        <v>1</v>
      </c>
      <c r="F826" s="51" t="s">
        <v>2715</v>
      </c>
      <c r="G826" s="51" t="s">
        <v>2695</v>
      </c>
      <c r="H826" s="25" t="str">
        <f t="shared" si="100"/>
        <v>jgd</v>
      </c>
      <c r="I826" t="s">
        <v>13</v>
      </c>
      <c r="J826" t="s">
        <v>519</v>
      </c>
      <c r="K826" t="s">
        <v>1075</v>
      </c>
      <c r="L826" s="25">
        <v>47.023072839999998</v>
      </c>
      <c r="M826" s="25">
        <v>6.8162509440000001</v>
      </c>
      <c r="N826">
        <v>6</v>
      </c>
      <c r="O826">
        <v>27</v>
      </c>
      <c r="P826">
        <v>10</v>
      </c>
      <c r="Q826">
        <v>2015</v>
      </c>
      <c r="R826" s="9">
        <v>42304</v>
      </c>
      <c r="S826">
        <v>296</v>
      </c>
      <c r="T826">
        <v>1</v>
      </c>
      <c r="U826">
        <v>0</v>
      </c>
      <c r="V826">
        <v>0</v>
      </c>
      <c r="W826">
        <v>0</v>
      </c>
      <c r="X826">
        <f t="shared" si="101"/>
        <v>-56.837499999999999</v>
      </c>
      <c r="Y826">
        <v>-24.17625</v>
      </c>
      <c r="Z826">
        <v>6.0756205960000003</v>
      </c>
      <c r="AA826" s="3">
        <f t="shared" si="96"/>
        <v>6</v>
      </c>
      <c r="AB826" s="3">
        <f t="shared" si="99"/>
        <v>6</v>
      </c>
      <c r="AD826" s="3" t="s">
        <v>2750</v>
      </c>
      <c r="AE826" s="22">
        <v>-69.69</v>
      </c>
      <c r="AF826" s="22">
        <f t="shared" si="97"/>
        <v>-69.69</v>
      </c>
      <c r="AG826" s="1">
        <v>-92.3</v>
      </c>
      <c r="AH826" s="2" t="s">
        <v>16</v>
      </c>
      <c r="AI826"/>
      <c r="AJ826" s="3">
        <f t="shared" si="98"/>
        <v>7</v>
      </c>
      <c r="AK826" s="3" t="s">
        <v>2706</v>
      </c>
      <c r="AL826">
        <v>7</v>
      </c>
      <c r="AM826" t="s">
        <v>15</v>
      </c>
    </row>
    <row r="827" spans="1:39" hidden="1" x14ac:dyDescent="0.3">
      <c r="A827" s="51" t="s">
        <v>686</v>
      </c>
      <c r="B827" s="54" t="s">
        <v>687</v>
      </c>
      <c r="C827" s="51" t="s">
        <v>2765</v>
      </c>
      <c r="D827" s="53">
        <v>0</v>
      </c>
      <c r="E827" s="53">
        <v>1</v>
      </c>
      <c r="F827" s="51" t="s">
        <v>2715</v>
      </c>
      <c r="G827" s="51" t="s">
        <v>2695</v>
      </c>
      <c r="H827" s="25" t="str">
        <f t="shared" si="100"/>
        <v>jgd</v>
      </c>
      <c r="I827" t="s">
        <v>13</v>
      </c>
      <c r="J827" t="s">
        <v>519</v>
      </c>
      <c r="K827" t="s">
        <v>27</v>
      </c>
      <c r="L827" s="25">
        <v>47.034746910000003</v>
      </c>
      <c r="M827" s="25">
        <v>6.8344168639999996</v>
      </c>
      <c r="N827">
        <v>5</v>
      </c>
      <c r="O827">
        <v>14</v>
      </c>
      <c r="P827">
        <v>11</v>
      </c>
      <c r="Q827">
        <v>2015</v>
      </c>
      <c r="R827" s="9">
        <v>42322</v>
      </c>
      <c r="S827">
        <v>324</v>
      </c>
      <c r="T827">
        <v>1</v>
      </c>
      <c r="U827">
        <v>0</v>
      </c>
      <c r="V827">
        <v>0</v>
      </c>
      <c r="W827">
        <v>0</v>
      </c>
      <c r="X827">
        <f t="shared" si="101"/>
        <v>-56.79999999999999</v>
      </c>
      <c r="Y827">
        <v>-24.222999999999999</v>
      </c>
      <c r="Z827">
        <v>5.8003834210000003</v>
      </c>
      <c r="AA827" s="3">
        <f t="shared" si="96"/>
        <v>6</v>
      </c>
      <c r="AB827" s="3">
        <f t="shared" si="99"/>
        <v>6</v>
      </c>
      <c r="AD827" s="3" t="s">
        <v>2750</v>
      </c>
      <c r="AE827" s="22">
        <v>-69.66</v>
      </c>
      <c r="AF827" s="22">
        <f t="shared" si="97"/>
        <v>-69.66</v>
      </c>
      <c r="AG827" s="1">
        <v>-92.3</v>
      </c>
      <c r="AH827" s="2" t="s">
        <v>16</v>
      </c>
      <c r="AI827"/>
      <c r="AJ827" s="3">
        <f t="shared" si="98"/>
        <v>7</v>
      </c>
      <c r="AK827" s="3" t="s">
        <v>2706</v>
      </c>
      <c r="AL827">
        <v>7</v>
      </c>
      <c r="AM827" t="s">
        <v>15</v>
      </c>
    </row>
    <row r="828" spans="1:39" x14ac:dyDescent="0.3">
      <c r="A828" s="51" t="s">
        <v>1389</v>
      </c>
      <c r="B828" s="54" t="s">
        <v>1390</v>
      </c>
      <c r="C828" s="51" t="s">
        <v>2765</v>
      </c>
      <c r="D828" s="53">
        <v>0</v>
      </c>
      <c r="E828" s="53">
        <v>1</v>
      </c>
      <c r="F828" s="51" t="s">
        <v>2715</v>
      </c>
      <c r="G828" s="51" t="s">
        <v>2695</v>
      </c>
      <c r="H828" s="25" t="str">
        <f t="shared" si="100"/>
        <v>jgd</v>
      </c>
      <c r="I828" t="s">
        <v>72</v>
      </c>
      <c r="J828" t="s">
        <v>1387</v>
      </c>
      <c r="K828" t="s">
        <v>1388</v>
      </c>
      <c r="L828" s="25">
        <v>46.08142969</v>
      </c>
      <c r="M828" s="25">
        <v>8.9834946379999998</v>
      </c>
      <c r="N828">
        <v>3</v>
      </c>
      <c r="O828">
        <v>29</v>
      </c>
      <c r="P828">
        <v>10</v>
      </c>
      <c r="Q828">
        <v>2015</v>
      </c>
      <c r="R828" s="9">
        <v>42306</v>
      </c>
      <c r="S828">
        <v>327</v>
      </c>
      <c r="T828">
        <v>1</v>
      </c>
      <c r="U828">
        <v>0</v>
      </c>
      <c r="V828">
        <v>0</v>
      </c>
      <c r="W828">
        <v>0</v>
      </c>
      <c r="X828">
        <f t="shared" si="101"/>
        <v>-56.79999999999999</v>
      </c>
      <c r="Y828">
        <v>-24.842400000000001</v>
      </c>
      <c r="Z828">
        <v>3.9561567200000001</v>
      </c>
      <c r="AA828" s="3">
        <f t="shared" si="96"/>
        <v>6</v>
      </c>
      <c r="AB828" s="3">
        <f t="shared" si="99"/>
        <v>4</v>
      </c>
      <c r="AD828" s="3" t="s">
        <v>2754</v>
      </c>
      <c r="AE828" s="22">
        <v>-69.66</v>
      </c>
      <c r="AF828" s="22">
        <f t="shared" si="97"/>
        <v>-69.66</v>
      </c>
      <c r="AG828" s="1">
        <v>-92.3</v>
      </c>
      <c r="AH828" s="2" t="s">
        <v>16</v>
      </c>
      <c r="AI828"/>
      <c r="AJ828" s="3">
        <f t="shared" si="98"/>
        <v>7</v>
      </c>
      <c r="AK828" s="3" t="s">
        <v>2706</v>
      </c>
      <c r="AL828">
        <v>7</v>
      </c>
      <c r="AM828" t="s">
        <v>15</v>
      </c>
    </row>
    <row r="829" spans="1:39" x14ac:dyDescent="0.3">
      <c r="A829" s="51" t="s">
        <v>1466</v>
      </c>
      <c r="B829" s="54" t="s">
        <v>1467</v>
      </c>
      <c r="C829" s="51" t="s">
        <v>2765</v>
      </c>
      <c r="D829" s="53">
        <v>0</v>
      </c>
      <c r="E829" s="53">
        <v>1</v>
      </c>
      <c r="F829" s="51" t="s">
        <v>2715</v>
      </c>
      <c r="G829" s="51" t="s">
        <v>2695</v>
      </c>
      <c r="H829" s="25" t="str">
        <f t="shared" si="100"/>
        <v>jgd</v>
      </c>
      <c r="I829" t="s">
        <v>72</v>
      </c>
      <c r="J829" t="s">
        <v>708</v>
      </c>
      <c r="K829" t="s">
        <v>1465</v>
      </c>
      <c r="L829" s="25">
        <v>46.519153690000003</v>
      </c>
      <c r="M829" s="25">
        <v>8.6007606830000007</v>
      </c>
      <c r="N829">
        <v>5</v>
      </c>
      <c r="O829">
        <v>1</v>
      </c>
      <c r="P829">
        <v>11</v>
      </c>
      <c r="Q829">
        <v>2016</v>
      </c>
      <c r="R829" s="9">
        <v>42675</v>
      </c>
      <c r="S829">
        <v>310</v>
      </c>
      <c r="T829">
        <v>1</v>
      </c>
      <c r="U829">
        <v>0</v>
      </c>
      <c r="V829">
        <v>0</v>
      </c>
      <c r="W829">
        <v>0</v>
      </c>
      <c r="X829" s="57">
        <f t="shared" si="101"/>
        <v>-56.758666124999998</v>
      </c>
      <c r="Y829">
        <v>-24.31</v>
      </c>
      <c r="Z829">
        <v>5.24</v>
      </c>
      <c r="AA829" s="3">
        <f t="shared" si="96"/>
        <v>6</v>
      </c>
      <c r="AB829" s="3">
        <f t="shared" si="99"/>
        <v>5</v>
      </c>
      <c r="AD829" s="3" t="s">
        <v>2754</v>
      </c>
      <c r="AE829" s="22">
        <v>-69.6269329</v>
      </c>
      <c r="AF829" s="22">
        <f t="shared" si="97"/>
        <v>-69.6269329</v>
      </c>
      <c r="AG829" s="60" t="s">
        <v>16</v>
      </c>
      <c r="AH829" s="61" t="s">
        <v>16</v>
      </c>
      <c r="AJ829" s="3">
        <f t="shared" si="98"/>
        <v>7</v>
      </c>
      <c r="AK829" s="3" t="s">
        <v>2706</v>
      </c>
      <c r="AL829">
        <v>7</v>
      </c>
      <c r="AM829" t="s">
        <v>15</v>
      </c>
    </row>
    <row r="830" spans="1:39" x14ac:dyDescent="0.3">
      <c r="A830" s="51" t="s">
        <v>1257</v>
      </c>
      <c r="B830" s="54" t="s">
        <v>1258</v>
      </c>
      <c r="C830" s="51" t="s">
        <v>2765</v>
      </c>
      <c r="D830" s="53">
        <v>0</v>
      </c>
      <c r="E830" s="53">
        <v>1</v>
      </c>
      <c r="F830" s="51" t="s">
        <v>2715</v>
      </c>
      <c r="G830" s="51" t="s">
        <v>2695</v>
      </c>
      <c r="H830" s="25" t="str">
        <f t="shared" si="100"/>
        <v>jgd</v>
      </c>
      <c r="I830" t="s">
        <v>72</v>
      </c>
      <c r="J830" t="s">
        <v>694</v>
      </c>
      <c r="K830" t="s">
        <v>1259</v>
      </c>
      <c r="L830" s="25">
        <v>46.122505070000003</v>
      </c>
      <c r="M830" s="25">
        <v>8.9057306310000008</v>
      </c>
      <c r="N830">
        <v>4</v>
      </c>
      <c r="O830">
        <v>24</v>
      </c>
      <c r="P830">
        <v>10</v>
      </c>
      <c r="Q830">
        <v>2015</v>
      </c>
      <c r="R830" s="9">
        <v>42301</v>
      </c>
      <c r="S830">
        <v>320</v>
      </c>
      <c r="T830">
        <v>1</v>
      </c>
      <c r="U830">
        <v>0</v>
      </c>
      <c r="V830">
        <v>0</v>
      </c>
      <c r="W830">
        <v>0</v>
      </c>
      <c r="X830">
        <f t="shared" si="101"/>
        <v>-56.54999999999999</v>
      </c>
      <c r="Y830">
        <v>-24.058488010000001</v>
      </c>
      <c r="Z830">
        <v>6.4380572340000004</v>
      </c>
      <c r="AA830" s="3">
        <f t="shared" si="96"/>
        <v>6</v>
      </c>
      <c r="AB830" s="3">
        <f t="shared" si="99"/>
        <v>6</v>
      </c>
      <c r="AD830" s="3" t="s">
        <v>2754</v>
      </c>
      <c r="AE830" s="22">
        <v>-69.459999999999994</v>
      </c>
      <c r="AF830" s="22">
        <f t="shared" si="97"/>
        <v>-69.459999999999994</v>
      </c>
      <c r="AG830" s="1">
        <v>-92.1</v>
      </c>
      <c r="AH830" s="2" t="s">
        <v>16</v>
      </c>
      <c r="AI830"/>
      <c r="AJ830" s="3">
        <f t="shared" si="98"/>
        <v>7</v>
      </c>
      <c r="AK830" s="3" t="s">
        <v>2706</v>
      </c>
      <c r="AL830">
        <v>7</v>
      </c>
      <c r="AM830" t="s">
        <v>15</v>
      </c>
    </row>
    <row r="831" spans="1:39" hidden="1" x14ac:dyDescent="0.3">
      <c r="A831" s="51" t="s">
        <v>1336</v>
      </c>
      <c r="B831" s="54" t="s">
        <v>1337</v>
      </c>
      <c r="C831" s="51" t="s">
        <v>2765</v>
      </c>
      <c r="D831" s="53">
        <v>0</v>
      </c>
      <c r="E831" s="53">
        <v>1</v>
      </c>
      <c r="F831" s="51" t="s">
        <v>2715</v>
      </c>
      <c r="G831" s="51" t="s">
        <v>2695</v>
      </c>
      <c r="H831" s="25" t="str">
        <f t="shared" si="100"/>
        <v>jgd</v>
      </c>
      <c r="I831" t="s">
        <v>385</v>
      </c>
      <c r="J831" t="s">
        <v>543</v>
      </c>
      <c r="K831" t="s">
        <v>1338</v>
      </c>
      <c r="L831" s="25">
        <v>46.560136589999999</v>
      </c>
      <c r="M831" s="25">
        <v>6.2759728360000002</v>
      </c>
      <c r="N831">
        <v>4</v>
      </c>
      <c r="O831">
        <v>1</v>
      </c>
      <c r="P831">
        <v>12</v>
      </c>
      <c r="Q831">
        <v>2015</v>
      </c>
      <c r="R831" s="9">
        <v>42339</v>
      </c>
      <c r="S831">
        <v>325</v>
      </c>
      <c r="T831">
        <v>1</v>
      </c>
      <c r="U831">
        <v>0</v>
      </c>
      <c r="V831">
        <v>0</v>
      </c>
      <c r="W831">
        <v>0</v>
      </c>
      <c r="X831">
        <f t="shared" si="101"/>
        <v>-56.400000000000013</v>
      </c>
      <c r="Y831">
        <v>-23.076000000000001</v>
      </c>
      <c r="Z831">
        <v>3.1352992230000001</v>
      </c>
      <c r="AA831" s="3">
        <f t="shared" si="96"/>
        <v>6</v>
      </c>
      <c r="AB831" s="3">
        <f t="shared" si="99"/>
        <v>3</v>
      </c>
      <c r="AD831" s="3" t="s">
        <v>2750</v>
      </c>
      <c r="AE831" s="22">
        <v>-69.34</v>
      </c>
      <c r="AF831" s="22">
        <f t="shared" si="97"/>
        <v>-69.34</v>
      </c>
      <c r="AG831" s="1">
        <v>-92</v>
      </c>
      <c r="AH831" s="2" t="s">
        <v>16</v>
      </c>
      <c r="AI831"/>
      <c r="AJ831" s="3">
        <f t="shared" si="98"/>
        <v>7</v>
      </c>
      <c r="AK831" s="3" t="s">
        <v>2706</v>
      </c>
      <c r="AL831">
        <v>7</v>
      </c>
      <c r="AM831" t="s">
        <v>15</v>
      </c>
    </row>
    <row r="832" spans="1:39" x14ac:dyDescent="0.3">
      <c r="A832" s="51" t="s">
        <v>754</v>
      </c>
      <c r="B832" s="54" t="s">
        <v>755</v>
      </c>
      <c r="C832" s="51" t="s">
        <v>2765</v>
      </c>
      <c r="D832" s="53">
        <v>0</v>
      </c>
      <c r="E832" s="53">
        <v>1</v>
      </c>
      <c r="F832" s="51" t="s">
        <v>2715</v>
      </c>
      <c r="G832" s="51" t="s">
        <v>2695</v>
      </c>
      <c r="H832" s="25" t="str">
        <f t="shared" si="100"/>
        <v>jgd</v>
      </c>
      <c r="I832" t="s">
        <v>72</v>
      </c>
      <c r="J832" t="s">
        <v>750</v>
      </c>
      <c r="K832" t="s">
        <v>753</v>
      </c>
      <c r="L832" s="25">
        <v>46.237111349999999</v>
      </c>
      <c r="M832" s="25">
        <v>8.6933029479999995</v>
      </c>
      <c r="N832">
        <v>6</v>
      </c>
      <c r="O832">
        <v>4</v>
      </c>
      <c r="P832">
        <v>11</v>
      </c>
      <c r="Q832">
        <v>2015</v>
      </c>
      <c r="R832" s="9">
        <v>42312</v>
      </c>
      <c r="S832">
        <v>303</v>
      </c>
      <c r="T832">
        <v>1</v>
      </c>
      <c r="U832">
        <v>0</v>
      </c>
      <c r="V832">
        <v>0</v>
      </c>
      <c r="W832">
        <v>0</v>
      </c>
      <c r="X832">
        <f t="shared" si="101"/>
        <v>-56.35</v>
      </c>
      <c r="Y832">
        <v>-24.201209259999999</v>
      </c>
      <c r="Z832">
        <v>4.764547254</v>
      </c>
      <c r="AA832" s="3">
        <f t="shared" si="96"/>
        <v>6</v>
      </c>
      <c r="AB832" s="3">
        <f t="shared" si="99"/>
        <v>5</v>
      </c>
      <c r="AD832" s="3" t="s">
        <v>2754</v>
      </c>
      <c r="AE832" s="22">
        <v>-69.3</v>
      </c>
      <c r="AF832" s="22">
        <f t="shared" si="97"/>
        <v>-69.3</v>
      </c>
      <c r="AG832" s="1">
        <v>-91.9</v>
      </c>
      <c r="AH832" s="2" t="s">
        <v>16</v>
      </c>
      <c r="AI832"/>
      <c r="AJ832" s="3">
        <f t="shared" si="98"/>
        <v>7</v>
      </c>
      <c r="AK832" s="3" t="s">
        <v>2706</v>
      </c>
      <c r="AL832">
        <v>7</v>
      </c>
      <c r="AM832" t="s">
        <v>15</v>
      </c>
    </row>
    <row r="833" spans="1:39" x14ac:dyDescent="0.3">
      <c r="A833" s="51" t="s">
        <v>663</v>
      </c>
      <c r="B833" s="54" t="s">
        <v>664</v>
      </c>
      <c r="C833" s="51" t="s">
        <v>2765</v>
      </c>
      <c r="D833" s="53">
        <v>0</v>
      </c>
      <c r="E833" s="53">
        <v>1</v>
      </c>
      <c r="F833" s="51" t="s">
        <v>2715</v>
      </c>
      <c r="G833" s="51" t="s">
        <v>2695</v>
      </c>
      <c r="H833" s="25" t="str">
        <f t="shared" si="100"/>
        <v>jgd</v>
      </c>
      <c r="I833" t="s">
        <v>72</v>
      </c>
      <c r="J833" t="s">
        <v>73</v>
      </c>
      <c r="K833" t="s">
        <v>665</v>
      </c>
      <c r="L833" s="25">
        <v>46.07559526</v>
      </c>
      <c r="M833" s="25">
        <v>9.0150029269999994</v>
      </c>
      <c r="N833">
        <v>5</v>
      </c>
      <c r="O833">
        <v>8</v>
      </c>
      <c r="P833">
        <v>11</v>
      </c>
      <c r="Q833">
        <v>2015</v>
      </c>
      <c r="R833" s="9">
        <v>42316</v>
      </c>
      <c r="S833">
        <v>310</v>
      </c>
      <c r="T833">
        <v>1</v>
      </c>
      <c r="U833">
        <v>0</v>
      </c>
      <c r="V833">
        <v>0</v>
      </c>
      <c r="W833">
        <v>0</v>
      </c>
      <c r="X833">
        <f t="shared" si="101"/>
        <v>-55.95000000000001</v>
      </c>
      <c r="Y833">
        <v>-23.969000000000001</v>
      </c>
      <c r="Z833">
        <v>0.37729802800000001</v>
      </c>
      <c r="AA833" s="3">
        <f t="shared" si="96"/>
        <v>6</v>
      </c>
      <c r="AB833" s="3">
        <f t="shared" si="99"/>
        <v>0</v>
      </c>
      <c r="AD833" s="3" t="s">
        <v>2754</v>
      </c>
      <c r="AE833" s="22">
        <v>-68.98</v>
      </c>
      <c r="AF833" s="22">
        <f t="shared" si="97"/>
        <v>-68.98</v>
      </c>
      <c r="AG833" s="1">
        <v>-91.6</v>
      </c>
      <c r="AH833" s="2" t="s">
        <v>16</v>
      </c>
      <c r="AI833"/>
      <c r="AJ833" s="3">
        <f t="shared" si="98"/>
        <v>7</v>
      </c>
      <c r="AK833" s="3" t="s">
        <v>2706</v>
      </c>
      <c r="AL833">
        <v>7</v>
      </c>
      <c r="AM833" t="s">
        <v>15</v>
      </c>
    </row>
    <row r="834" spans="1:39" hidden="1" x14ac:dyDescent="0.3">
      <c r="A834" s="51" t="s">
        <v>690</v>
      </c>
      <c r="B834" s="54" t="s">
        <v>691</v>
      </c>
      <c r="C834" s="51" t="s">
        <v>2765</v>
      </c>
      <c r="D834" s="53">
        <v>0</v>
      </c>
      <c r="E834" s="53">
        <v>1</v>
      </c>
      <c r="F834" s="51" t="s">
        <v>2715</v>
      </c>
      <c r="G834" s="51" t="s">
        <v>2695</v>
      </c>
      <c r="H834" s="25" t="str">
        <f t="shared" si="100"/>
        <v>jgd</v>
      </c>
      <c r="I834" t="s">
        <v>13</v>
      </c>
      <c r="J834" t="s">
        <v>519</v>
      </c>
      <c r="K834" t="s">
        <v>27</v>
      </c>
      <c r="L834" s="25">
        <v>47.013666839999999</v>
      </c>
      <c r="M834" s="25">
        <v>6.8285648669999999</v>
      </c>
      <c r="N834">
        <v>5</v>
      </c>
      <c r="O834">
        <v>21</v>
      </c>
      <c r="P834">
        <v>11</v>
      </c>
      <c r="Q834">
        <v>2015</v>
      </c>
      <c r="R834" s="9">
        <v>42329</v>
      </c>
      <c r="S834">
        <v>304</v>
      </c>
      <c r="T834">
        <v>1</v>
      </c>
      <c r="U834">
        <v>0</v>
      </c>
      <c r="V834">
        <v>0</v>
      </c>
      <c r="W834">
        <v>0</v>
      </c>
      <c r="X834">
        <f t="shared" si="101"/>
        <v>-55.837499999999999</v>
      </c>
      <c r="Y834">
        <v>-23.734999999999999</v>
      </c>
      <c r="Z834">
        <v>0.61832394099999999</v>
      </c>
      <c r="AA834" s="3">
        <f t="shared" si="96"/>
        <v>6</v>
      </c>
      <c r="AB834" s="3">
        <f t="shared" si="99"/>
        <v>1</v>
      </c>
      <c r="AD834" s="3" t="s">
        <v>2750</v>
      </c>
      <c r="AE834" s="22">
        <v>-68.89</v>
      </c>
      <c r="AF834" s="22">
        <f t="shared" si="97"/>
        <v>-68.89</v>
      </c>
      <c r="AG834" s="1">
        <v>-91.5</v>
      </c>
      <c r="AH834" s="2" t="s">
        <v>16</v>
      </c>
      <c r="AI834"/>
      <c r="AJ834" s="3">
        <f t="shared" si="98"/>
        <v>7</v>
      </c>
      <c r="AK834" s="3" t="s">
        <v>2706</v>
      </c>
      <c r="AL834">
        <v>7</v>
      </c>
      <c r="AM834" t="s">
        <v>15</v>
      </c>
    </row>
    <row r="835" spans="1:39" hidden="1" x14ac:dyDescent="0.3">
      <c r="A835" s="51" t="s">
        <v>1070</v>
      </c>
      <c r="B835" s="54" t="s">
        <v>1071</v>
      </c>
      <c r="C835" s="51" t="s">
        <v>2765</v>
      </c>
      <c r="D835" s="53">
        <v>0</v>
      </c>
      <c r="E835" s="53">
        <v>1</v>
      </c>
      <c r="F835" s="51" t="s">
        <v>2715</v>
      </c>
      <c r="G835" s="51" t="s">
        <v>2695</v>
      </c>
      <c r="H835" s="25" t="str">
        <f t="shared" si="100"/>
        <v>jgd</v>
      </c>
      <c r="I835" t="s">
        <v>13</v>
      </c>
      <c r="J835" t="s">
        <v>21</v>
      </c>
      <c r="K835" t="s">
        <v>1072</v>
      </c>
      <c r="L835" s="25">
        <v>46.95502123</v>
      </c>
      <c r="M835" s="25">
        <v>6.5806406419999997</v>
      </c>
      <c r="N835">
        <v>6</v>
      </c>
      <c r="O835">
        <v>16</v>
      </c>
      <c r="P835">
        <v>10</v>
      </c>
      <c r="Q835">
        <v>2015</v>
      </c>
      <c r="R835" s="9">
        <v>42293</v>
      </c>
      <c r="S835">
        <v>275</v>
      </c>
      <c r="T835">
        <v>1</v>
      </c>
      <c r="U835">
        <v>0</v>
      </c>
      <c r="V835">
        <v>0</v>
      </c>
      <c r="W835">
        <v>0</v>
      </c>
      <c r="X835">
        <f t="shared" si="101"/>
        <v>-55.787500000000001</v>
      </c>
      <c r="Y835">
        <v>-24.41225</v>
      </c>
      <c r="Z835">
        <v>5.1072790489999997</v>
      </c>
      <c r="AA835" s="3">
        <f t="shared" si="96"/>
        <v>6</v>
      </c>
      <c r="AB835" s="3">
        <f t="shared" si="99"/>
        <v>5</v>
      </c>
      <c r="AD835" s="3" t="s">
        <v>2750</v>
      </c>
      <c r="AE835" s="22">
        <v>-68.849999999999994</v>
      </c>
      <c r="AF835" s="22">
        <f t="shared" si="97"/>
        <v>-68.849999999999994</v>
      </c>
      <c r="AG835" s="1">
        <v>-91.5</v>
      </c>
      <c r="AH835" s="2" t="s">
        <v>16</v>
      </c>
      <c r="AI835"/>
      <c r="AJ835" s="3">
        <f t="shared" si="98"/>
        <v>7</v>
      </c>
      <c r="AK835" s="3" t="s">
        <v>2706</v>
      </c>
      <c r="AL835">
        <v>7</v>
      </c>
      <c r="AM835" t="s">
        <v>15</v>
      </c>
    </row>
    <row r="836" spans="1:39" hidden="1" x14ac:dyDescent="0.3">
      <c r="A836" s="51" t="s">
        <v>1055</v>
      </c>
      <c r="B836" s="54" t="s">
        <v>1056</v>
      </c>
      <c r="C836" s="51" t="s">
        <v>2765</v>
      </c>
      <c r="D836" s="53">
        <v>0</v>
      </c>
      <c r="E836" s="53">
        <v>1</v>
      </c>
      <c r="F836" s="51" t="s">
        <v>2715</v>
      </c>
      <c r="G836" s="51" t="s">
        <v>2695</v>
      </c>
      <c r="H836" s="25" t="str">
        <f t="shared" si="100"/>
        <v>jgd</v>
      </c>
      <c r="I836" t="s">
        <v>13</v>
      </c>
      <c r="J836" t="s">
        <v>1057</v>
      </c>
      <c r="K836" t="s">
        <v>1058</v>
      </c>
      <c r="L836" s="25">
        <v>46.933648570000003</v>
      </c>
      <c r="M836" s="25">
        <v>6.5736275219999998</v>
      </c>
      <c r="N836">
        <v>6</v>
      </c>
      <c r="O836">
        <v>16</v>
      </c>
      <c r="P836">
        <v>11</v>
      </c>
      <c r="Q836">
        <v>2015</v>
      </c>
      <c r="R836" s="9">
        <v>42324</v>
      </c>
      <c r="S836">
        <v>372</v>
      </c>
      <c r="T836">
        <v>1</v>
      </c>
      <c r="U836">
        <v>0</v>
      </c>
      <c r="V836">
        <v>0</v>
      </c>
      <c r="W836">
        <v>0</v>
      </c>
      <c r="X836">
        <f t="shared" si="101"/>
        <v>-55.749999999999993</v>
      </c>
      <c r="Y836">
        <v>-22.707249999999998</v>
      </c>
      <c r="Z836">
        <v>3.2442603160000001</v>
      </c>
      <c r="AA836" s="3">
        <f t="shared" si="96"/>
        <v>6</v>
      </c>
      <c r="AB836" s="3">
        <f t="shared" si="99"/>
        <v>3</v>
      </c>
      <c r="AD836" s="3" t="s">
        <v>2750</v>
      </c>
      <c r="AE836" s="22">
        <v>-68.819999999999993</v>
      </c>
      <c r="AF836" s="22">
        <f t="shared" si="97"/>
        <v>-68.819999999999993</v>
      </c>
      <c r="AG836" s="1">
        <v>-91.4</v>
      </c>
      <c r="AH836" s="2" t="s">
        <v>16</v>
      </c>
      <c r="AI836"/>
      <c r="AJ836" s="3">
        <f t="shared" si="98"/>
        <v>7</v>
      </c>
      <c r="AK836" s="3" t="s">
        <v>2706</v>
      </c>
      <c r="AL836">
        <v>7</v>
      </c>
      <c r="AM836" t="s">
        <v>15</v>
      </c>
    </row>
    <row r="837" spans="1:39" hidden="1" x14ac:dyDescent="0.3">
      <c r="A837" s="51" t="s">
        <v>2560</v>
      </c>
      <c r="B837" s="54" t="s">
        <v>1372</v>
      </c>
      <c r="C837" s="51" t="s">
        <v>2765</v>
      </c>
      <c r="D837" s="53">
        <v>0</v>
      </c>
      <c r="E837" s="53">
        <v>1</v>
      </c>
      <c r="F837" s="51" t="s">
        <v>2715</v>
      </c>
      <c r="G837" s="51" t="s">
        <v>2695</v>
      </c>
      <c r="H837" s="25" t="str">
        <f t="shared" si="100"/>
        <v>jgd</v>
      </c>
      <c r="I837" t="s">
        <v>30</v>
      </c>
      <c r="J837" t="s">
        <v>271</v>
      </c>
      <c r="K837" t="s">
        <v>2561</v>
      </c>
      <c r="L837" s="25">
        <v>46.644213030000003</v>
      </c>
      <c r="M837" s="25">
        <v>7.0092780760000002</v>
      </c>
      <c r="N837">
        <v>5</v>
      </c>
      <c r="O837">
        <v>7</v>
      </c>
      <c r="P837">
        <v>11</v>
      </c>
      <c r="Q837">
        <v>2017</v>
      </c>
      <c r="R837" s="9">
        <v>43046</v>
      </c>
      <c r="S837">
        <v>353</v>
      </c>
      <c r="T837">
        <v>1</v>
      </c>
      <c r="U837">
        <v>0</v>
      </c>
      <c r="V837">
        <v>0</v>
      </c>
      <c r="W837">
        <v>0</v>
      </c>
      <c r="X837" s="57">
        <f t="shared" si="101"/>
        <v>-55.724462999999993</v>
      </c>
      <c r="Y837" t="s">
        <v>16</v>
      </c>
      <c r="Z837">
        <v>1.9911728580000001</v>
      </c>
      <c r="AA837" s="3">
        <f t="shared" si="96"/>
        <v>6</v>
      </c>
      <c r="AB837" s="3">
        <f t="shared" si="99"/>
        <v>2</v>
      </c>
      <c r="AD837" s="3" t="s">
        <v>2751</v>
      </c>
      <c r="AE837" s="22">
        <v>-68.799570399999993</v>
      </c>
      <c r="AF837" s="22">
        <f t="shared" si="97"/>
        <v>-68.799570399999993</v>
      </c>
      <c r="AG837" s="60" t="s">
        <v>16</v>
      </c>
      <c r="AH837" s="61" t="s">
        <v>16</v>
      </c>
      <c r="AJ837" s="3">
        <f t="shared" si="98"/>
        <v>7</v>
      </c>
      <c r="AK837" s="3" t="s">
        <v>2706</v>
      </c>
      <c r="AL837">
        <v>7</v>
      </c>
      <c r="AM837" t="s">
        <v>2680</v>
      </c>
    </row>
    <row r="838" spans="1:39" x14ac:dyDescent="0.3">
      <c r="A838" s="51" t="s">
        <v>929</v>
      </c>
      <c r="B838" s="54" t="s">
        <v>930</v>
      </c>
      <c r="C838" s="51" t="s">
        <v>2765</v>
      </c>
      <c r="D838" s="53">
        <v>0</v>
      </c>
      <c r="E838" s="53">
        <v>1</v>
      </c>
      <c r="F838" s="51" t="s">
        <v>2715</v>
      </c>
      <c r="G838" s="51" t="s">
        <v>2695</v>
      </c>
      <c r="H838" s="25" t="str">
        <f t="shared" si="100"/>
        <v>jgd</v>
      </c>
      <c r="I838" t="s">
        <v>72</v>
      </c>
      <c r="J838" t="s">
        <v>931</v>
      </c>
      <c r="K838" t="s">
        <v>932</v>
      </c>
      <c r="L838" s="25">
        <v>46.044158199999998</v>
      </c>
      <c r="M838" s="25">
        <v>8.8708229830000001</v>
      </c>
      <c r="N838">
        <v>5</v>
      </c>
      <c r="O838">
        <v>16</v>
      </c>
      <c r="P838">
        <v>10</v>
      </c>
      <c r="Q838">
        <v>2015</v>
      </c>
      <c r="R838" s="9">
        <v>42293</v>
      </c>
      <c r="S838">
        <v>271</v>
      </c>
      <c r="T838">
        <v>1</v>
      </c>
      <c r="U838">
        <v>0</v>
      </c>
      <c r="V838">
        <v>0</v>
      </c>
      <c r="W838">
        <v>0</v>
      </c>
      <c r="X838">
        <f t="shared" si="101"/>
        <v>-55.587499999999999</v>
      </c>
      <c r="Y838">
        <v>-24.873200000000001</v>
      </c>
      <c r="Z838">
        <v>5.1687043819999996</v>
      </c>
      <c r="AA838" s="3">
        <f t="shared" si="96"/>
        <v>6</v>
      </c>
      <c r="AB838" s="3">
        <f t="shared" si="99"/>
        <v>5</v>
      </c>
      <c r="AD838" s="3" t="s">
        <v>2754</v>
      </c>
      <c r="AE838" s="22">
        <v>-68.69</v>
      </c>
      <c r="AF838" s="22">
        <f t="shared" si="97"/>
        <v>-68.69</v>
      </c>
      <c r="AG838" s="1">
        <v>-91.3</v>
      </c>
      <c r="AH838" s="2" t="s">
        <v>16</v>
      </c>
      <c r="AI838"/>
      <c r="AJ838" s="3">
        <f t="shared" si="98"/>
        <v>7</v>
      </c>
      <c r="AK838" s="3" t="s">
        <v>2706</v>
      </c>
      <c r="AL838">
        <v>7</v>
      </c>
      <c r="AM838" t="s">
        <v>15</v>
      </c>
    </row>
    <row r="839" spans="1:39" hidden="1" x14ac:dyDescent="0.3">
      <c r="A839" s="51" t="s">
        <v>2507</v>
      </c>
      <c r="B839" s="54" t="s">
        <v>1909</v>
      </c>
      <c r="C839" s="51" t="s">
        <v>2765</v>
      </c>
      <c r="D839" s="53">
        <v>0</v>
      </c>
      <c r="E839" s="53">
        <v>1</v>
      </c>
      <c r="F839" s="51" t="s">
        <v>2715</v>
      </c>
      <c r="G839" s="51" t="s">
        <v>2695</v>
      </c>
      <c r="H839" s="25" t="str">
        <f t="shared" si="100"/>
        <v>jgd</v>
      </c>
      <c r="I839" t="s">
        <v>13</v>
      </c>
      <c r="J839" t="s">
        <v>1146</v>
      </c>
      <c r="K839" t="s">
        <v>2508</v>
      </c>
      <c r="L839" s="25">
        <v>46.961999290000001</v>
      </c>
      <c r="M839" s="25">
        <v>6.5754967579999999</v>
      </c>
      <c r="N839">
        <v>5</v>
      </c>
      <c r="O839">
        <v>28</v>
      </c>
      <c r="P839">
        <v>10</v>
      </c>
      <c r="Q839">
        <v>2017</v>
      </c>
      <c r="R839" s="9">
        <v>43036</v>
      </c>
      <c r="S839">
        <v>288</v>
      </c>
      <c r="T839">
        <v>1</v>
      </c>
      <c r="U839">
        <v>0</v>
      </c>
      <c r="V839">
        <v>0</v>
      </c>
      <c r="W839">
        <v>0</v>
      </c>
      <c r="X839" s="57">
        <f t="shared" si="101"/>
        <v>-55.556027750000005</v>
      </c>
      <c r="Y839" t="s">
        <v>16</v>
      </c>
      <c r="Z839">
        <v>6.0310133510000004</v>
      </c>
      <c r="AA839" s="3">
        <f t="shared" si="96"/>
        <v>6</v>
      </c>
      <c r="AB839" s="3">
        <f t="shared" si="99"/>
        <v>6</v>
      </c>
      <c r="AD839" s="3" t="s">
        <v>2750</v>
      </c>
      <c r="AE839" s="22">
        <v>-68.664822200000003</v>
      </c>
      <c r="AF839" s="22">
        <f t="shared" si="97"/>
        <v>-68.664822200000003</v>
      </c>
      <c r="AG839" s="60" t="s">
        <v>16</v>
      </c>
      <c r="AH839" s="61" t="s">
        <v>16</v>
      </c>
      <c r="AJ839" s="3">
        <f t="shared" si="98"/>
        <v>7</v>
      </c>
      <c r="AK839" s="3" t="s">
        <v>2706</v>
      </c>
      <c r="AL839">
        <v>7</v>
      </c>
      <c r="AM839" t="s">
        <v>15</v>
      </c>
    </row>
    <row r="840" spans="1:39" hidden="1" x14ac:dyDescent="0.3">
      <c r="A840" s="51" t="s">
        <v>924</v>
      </c>
      <c r="B840" s="54" t="s">
        <v>925</v>
      </c>
      <c r="C840" s="51" t="s">
        <v>2765</v>
      </c>
      <c r="D840" s="53">
        <v>0</v>
      </c>
      <c r="E840" s="53">
        <v>1</v>
      </c>
      <c r="F840" s="51" t="s">
        <v>2715</v>
      </c>
      <c r="G840" s="51" t="s">
        <v>2695</v>
      </c>
      <c r="H840" s="25" t="str">
        <f t="shared" si="100"/>
        <v>jgd</v>
      </c>
      <c r="I840" t="s">
        <v>13</v>
      </c>
      <c r="J840" t="s">
        <v>915</v>
      </c>
      <c r="K840" t="s">
        <v>916</v>
      </c>
      <c r="L840" s="25">
        <v>46.903182569999998</v>
      </c>
      <c r="M840" s="25">
        <v>6.547013969</v>
      </c>
      <c r="N840">
        <v>5</v>
      </c>
      <c r="O840">
        <v>30</v>
      </c>
      <c r="P840">
        <v>10</v>
      </c>
      <c r="Q840">
        <v>2015</v>
      </c>
      <c r="R840" s="9">
        <v>42307</v>
      </c>
      <c r="S840">
        <v>280</v>
      </c>
      <c r="T840">
        <v>1</v>
      </c>
      <c r="U840">
        <v>0</v>
      </c>
      <c r="V840">
        <v>0</v>
      </c>
      <c r="W840">
        <v>0</v>
      </c>
      <c r="X840">
        <f t="shared" si="101"/>
        <v>-55.387499999999996</v>
      </c>
      <c r="Y840">
        <v>-22.975999999999999</v>
      </c>
      <c r="Z840">
        <v>6.0800078160000002</v>
      </c>
      <c r="AA840" s="3">
        <f t="shared" si="96"/>
        <v>6</v>
      </c>
      <c r="AB840" s="3">
        <f t="shared" si="99"/>
        <v>6</v>
      </c>
      <c r="AD840" s="3" t="s">
        <v>2750</v>
      </c>
      <c r="AE840" s="22">
        <v>-68.53</v>
      </c>
      <c r="AF840" s="22">
        <f t="shared" si="97"/>
        <v>-68.53</v>
      </c>
      <c r="AG840" s="1">
        <v>-91.1</v>
      </c>
      <c r="AH840" s="2" t="s">
        <v>16</v>
      </c>
      <c r="AI840"/>
      <c r="AJ840" s="3">
        <f t="shared" si="98"/>
        <v>7</v>
      </c>
      <c r="AK840" s="3" t="s">
        <v>2706</v>
      </c>
      <c r="AL840">
        <v>7</v>
      </c>
      <c r="AM840" t="s">
        <v>15</v>
      </c>
    </row>
    <row r="841" spans="1:39" hidden="1" x14ac:dyDescent="0.3">
      <c r="A841" s="51" t="s">
        <v>474</v>
      </c>
      <c r="B841" s="54" t="s">
        <v>475</v>
      </c>
      <c r="C841" s="51" t="s">
        <v>2765</v>
      </c>
      <c r="D841" s="53">
        <v>0</v>
      </c>
      <c r="E841" s="53">
        <v>1</v>
      </c>
      <c r="F841" s="51" t="s">
        <v>2715</v>
      </c>
      <c r="G841" s="51" t="s">
        <v>2695</v>
      </c>
      <c r="H841" s="25" t="str">
        <f t="shared" si="100"/>
        <v>jgd</v>
      </c>
      <c r="I841" t="s">
        <v>13</v>
      </c>
      <c r="J841" t="s">
        <v>25</v>
      </c>
      <c r="K841" t="s">
        <v>476</v>
      </c>
      <c r="L841" s="25">
        <v>47.088041410000002</v>
      </c>
      <c r="M841" s="25">
        <v>6.8838621389999997</v>
      </c>
      <c r="N841">
        <v>6</v>
      </c>
      <c r="O841">
        <v>10</v>
      </c>
      <c r="P841">
        <v>10</v>
      </c>
      <c r="Q841">
        <v>2014</v>
      </c>
      <c r="R841" s="9">
        <v>41922</v>
      </c>
      <c r="S841">
        <v>321</v>
      </c>
      <c r="T841">
        <v>1</v>
      </c>
      <c r="U841">
        <v>0</v>
      </c>
      <c r="V841">
        <v>0</v>
      </c>
      <c r="W841">
        <v>0</v>
      </c>
      <c r="X841">
        <f t="shared" si="101"/>
        <v>-55.29999999999999</v>
      </c>
      <c r="Y841">
        <v>-24.16328571</v>
      </c>
      <c r="Z841">
        <v>0.111754046</v>
      </c>
      <c r="AA841" s="3">
        <f t="shared" si="96"/>
        <v>6</v>
      </c>
      <c r="AB841" s="3">
        <f t="shared" si="99"/>
        <v>0</v>
      </c>
      <c r="AD841" s="3" t="s">
        <v>2750</v>
      </c>
      <c r="AE841" s="22">
        <v>-68.459999999999994</v>
      </c>
      <c r="AF841" s="22">
        <f t="shared" si="97"/>
        <v>-68.459999999999994</v>
      </c>
      <c r="AG841" s="1">
        <v>-91.1</v>
      </c>
      <c r="AH841" s="2" t="s">
        <v>16</v>
      </c>
      <c r="AI841"/>
      <c r="AJ841" s="3">
        <f t="shared" si="98"/>
        <v>7</v>
      </c>
      <c r="AK841" s="3" t="s">
        <v>2706</v>
      </c>
      <c r="AL841">
        <v>7</v>
      </c>
      <c r="AM841" t="s">
        <v>15</v>
      </c>
    </row>
    <row r="842" spans="1:39" hidden="1" x14ac:dyDescent="0.3">
      <c r="A842" s="51" t="s">
        <v>1004</v>
      </c>
      <c r="B842" s="54" t="s">
        <v>1005</v>
      </c>
      <c r="C842" s="51" t="s">
        <v>2765</v>
      </c>
      <c r="D842" s="53">
        <v>0</v>
      </c>
      <c r="E842" s="53">
        <v>1</v>
      </c>
      <c r="F842" s="51" t="s">
        <v>2715</v>
      </c>
      <c r="G842" s="51" t="s">
        <v>2695</v>
      </c>
      <c r="H842" s="25" t="str">
        <f t="shared" si="100"/>
        <v>jgd</v>
      </c>
      <c r="I842" t="s">
        <v>385</v>
      </c>
      <c r="J842" t="s">
        <v>466</v>
      </c>
      <c r="K842" t="s">
        <v>1006</v>
      </c>
      <c r="L842" s="25">
        <v>46.803213309999997</v>
      </c>
      <c r="M842" s="25">
        <v>6.4427206510000001</v>
      </c>
      <c r="N842">
        <v>5</v>
      </c>
      <c r="O842">
        <v>30</v>
      </c>
      <c r="P842">
        <v>10</v>
      </c>
      <c r="Q842">
        <v>2015</v>
      </c>
      <c r="R842" s="9">
        <v>42307</v>
      </c>
      <c r="S842">
        <v>365</v>
      </c>
      <c r="T842">
        <v>1</v>
      </c>
      <c r="U842">
        <v>0</v>
      </c>
      <c r="V842">
        <v>0</v>
      </c>
      <c r="W842">
        <v>0</v>
      </c>
      <c r="X842">
        <f t="shared" si="101"/>
        <v>-55.037500000000001</v>
      </c>
      <c r="Y842">
        <v>-23.827000000000002</v>
      </c>
      <c r="Z842">
        <v>1.7512861669999999</v>
      </c>
      <c r="AA842" s="3">
        <f t="shared" si="96"/>
        <v>6</v>
      </c>
      <c r="AB842" s="3">
        <f t="shared" si="99"/>
        <v>2</v>
      </c>
      <c r="AD842" s="3" t="s">
        <v>2750</v>
      </c>
      <c r="AE842" s="22">
        <v>-68.25</v>
      </c>
      <c r="AF842" s="22">
        <f t="shared" si="97"/>
        <v>-68.25</v>
      </c>
      <c r="AG842" s="1">
        <v>-90.9</v>
      </c>
      <c r="AH842" s="2" t="s">
        <v>16</v>
      </c>
      <c r="AI842"/>
      <c r="AJ842" s="3">
        <f t="shared" si="98"/>
        <v>7</v>
      </c>
      <c r="AK842" s="3" t="s">
        <v>2706</v>
      </c>
      <c r="AL842">
        <v>7</v>
      </c>
      <c r="AM842" t="s">
        <v>15</v>
      </c>
    </row>
    <row r="843" spans="1:39" hidden="1" x14ac:dyDescent="0.3">
      <c r="A843" s="51" t="s">
        <v>1366</v>
      </c>
      <c r="B843" s="54" t="s">
        <v>610</v>
      </c>
      <c r="C843" s="51" t="s">
        <v>2765</v>
      </c>
      <c r="D843" s="53">
        <v>0</v>
      </c>
      <c r="E843" s="53">
        <v>1</v>
      </c>
      <c r="F843" s="51" t="s">
        <v>2715</v>
      </c>
      <c r="G843" s="51" t="s">
        <v>2695</v>
      </c>
      <c r="H843" s="25" t="str">
        <f t="shared" si="100"/>
        <v>jgd</v>
      </c>
      <c r="I843" t="s">
        <v>30</v>
      </c>
      <c r="J843" t="s">
        <v>611</v>
      </c>
      <c r="K843" t="s">
        <v>1367</v>
      </c>
      <c r="L843" s="25">
        <v>46.662139660000001</v>
      </c>
      <c r="M843" s="25">
        <v>7.0160344710000002</v>
      </c>
      <c r="N843">
        <v>5</v>
      </c>
      <c r="O843">
        <v>24</v>
      </c>
      <c r="P843">
        <v>10</v>
      </c>
      <c r="Q843">
        <v>2015</v>
      </c>
      <c r="R843" s="9">
        <v>42301</v>
      </c>
      <c r="S843">
        <v>330</v>
      </c>
      <c r="T843">
        <v>1</v>
      </c>
      <c r="U843">
        <v>0</v>
      </c>
      <c r="V843">
        <v>0</v>
      </c>
      <c r="W843">
        <v>0</v>
      </c>
      <c r="X843">
        <f t="shared" si="101"/>
        <v>-55.01250000000001</v>
      </c>
      <c r="Y843">
        <v>-23.681120969999998</v>
      </c>
      <c r="Z843">
        <v>4.5743700990000002</v>
      </c>
      <c r="AA843" s="3">
        <f t="shared" si="96"/>
        <v>6</v>
      </c>
      <c r="AB843" s="3">
        <f t="shared" si="99"/>
        <v>5</v>
      </c>
      <c r="AD843" s="3" t="s">
        <v>2751</v>
      </c>
      <c r="AE843" s="22">
        <v>-68.23</v>
      </c>
      <c r="AF843" s="22">
        <f t="shared" si="97"/>
        <v>-68.23</v>
      </c>
      <c r="AG843" s="1">
        <v>-90.8</v>
      </c>
      <c r="AH843" s="2" t="s">
        <v>16</v>
      </c>
      <c r="AI843"/>
      <c r="AJ843" s="3">
        <f t="shared" si="98"/>
        <v>7</v>
      </c>
      <c r="AK843" s="3" t="s">
        <v>2706</v>
      </c>
      <c r="AL843">
        <v>7</v>
      </c>
      <c r="AM843" t="s">
        <v>15</v>
      </c>
    </row>
    <row r="844" spans="1:39" x14ac:dyDescent="0.3">
      <c r="A844" s="51" t="s">
        <v>1707</v>
      </c>
      <c r="B844" s="54" t="s">
        <v>444</v>
      </c>
      <c r="C844" s="51" t="s">
        <v>2765</v>
      </c>
      <c r="D844" s="53">
        <v>0</v>
      </c>
      <c r="E844" s="53">
        <v>1</v>
      </c>
      <c r="F844" s="51" t="s">
        <v>2715</v>
      </c>
      <c r="G844" s="51" t="s">
        <v>2695</v>
      </c>
      <c r="H844" s="25" t="str">
        <f t="shared" si="100"/>
        <v>jgd</v>
      </c>
      <c r="I844" t="s">
        <v>72</v>
      </c>
      <c r="J844" t="s">
        <v>1708</v>
      </c>
      <c r="K844" t="s">
        <v>1709</v>
      </c>
      <c r="L844" s="25">
        <v>46.09717449</v>
      </c>
      <c r="M844" s="25">
        <v>8.9503146529999995</v>
      </c>
      <c r="N844">
        <v>5</v>
      </c>
      <c r="O844">
        <v>29</v>
      </c>
      <c r="P844">
        <v>10</v>
      </c>
      <c r="Q844">
        <v>2016</v>
      </c>
      <c r="R844" s="9">
        <v>42672</v>
      </c>
      <c r="S844">
        <v>285</v>
      </c>
      <c r="T844">
        <v>1</v>
      </c>
      <c r="U844">
        <v>0</v>
      </c>
      <c r="V844">
        <v>0</v>
      </c>
      <c r="W844">
        <v>0</v>
      </c>
      <c r="X844" s="57">
        <f t="shared" si="101"/>
        <v>-54.465232125000007</v>
      </c>
      <c r="Y844">
        <v>-24.9</v>
      </c>
      <c r="Z844">
        <v>8.2100000000000009</v>
      </c>
      <c r="AA844" s="3">
        <f t="shared" si="96"/>
        <v>5</v>
      </c>
      <c r="AB844" s="3">
        <f t="shared" si="99"/>
        <v>8</v>
      </c>
      <c r="AD844" s="3" t="s">
        <v>2754</v>
      </c>
      <c r="AE844" s="22">
        <v>-67.792185700000005</v>
      </c>
      <c r="AF844" s="22">
        <f t="shared" si="97"/>
        <v>-67.792185700000005</v>
      </c>
      <c r="AG844" s="60" t="s">
        <v>16</v>
      </c>
      <c r="AH844" s="61" t="s">
        <v>16</v>
      </c>
      <c r="AJ844" s="3">
        <f t="shared" si="98"/>
        <v>7</v>
      </c>
      <c r="AK844" s="3" t="s">
        <v>2706</v>
      </c>
      <c r="AL844">
        <v>7</v>
      </c>
      <c r="AM844" t="s">
        <v>15</v>
      </c>
    </row>
    <row r="845" spans="1:39" x14ac:dyDescent="0.3">
      <c r="A845" s="51" t="s">
        <v>988</v>
      </c>
      <c r="B845" s="54" t="s">
        <v>185</v>
      </c>
      <c r="C845" s="51" t="s">
        <v>2765</v>
      </c>
      <c r="D845" s="53">
        <v>0</v>
      </c>
      <c r="E845" s="53">
        <v>1</v>
      </c>
      <c r="F845" s="51" t="s">
        <v>2715</v>
      </c>
      <c r="G845" s="51" t="s">
        <v>2695</v>
      </c>
      <c r="H845" s="25" t="str">
        <f t="shared" si="100"/>
        <v>jgd</v>
      </c>
      <c r="I845" t="s">
        <v>72</v>
      </c>
      <c r="J845" t="s">
        <v>984</v>
      </c>
      <c r="K845" t="s">
        <v>180</v>
      </c>
      <c r="L845" s="25">
        <v>46.103261140000001</v>
      </c>
      <c r="M845" s="25">
        <v>8.9660044170000006</v>
      </c>
      <c r="N845">
        <v>5</v>
      </c>
      <c r="O845">
        <v>3</v>
      </c>
      <c r="P845">
        <v>11</v>
      </c>
      <c r="Q845">
        <v>2015</v>
      </c>
      <c r="R845" s="9">
        <v>42311</v>
      </c>
      <c r="S845">
        <v>283</v>
      </c>
      <c r="T845">
        <v>1</v>
      </c>
      <c r="U845">
        <v>0</v>
      </c>
      <c r="V845">
        <v>0</v>
      </c>
      <c r="W845">
        <v>0</v>
      </c>
      <c r="X845">
        <f t="shared" si="101"/>
        <v>-54.32500000000001</v>
      </c>
      <c r="Y845">
        <v>-24.010676589999999</v>
      </c>
      <c r="Z845">
        <v>7.5041806329999998</v>
      </c>
      <c r="AA845" s="3">
        <f t="shared" si="96"/>
        <v>5</v>
      </c>
      <c r="AB845" s="3">
        <f t="shared" si="99"/>
        <v>8</v>
      </c>
      <c r="AD845" s="3" t="s">
        <v>2754</v>
      </c>
      <c r="AE845" s="22">
        <v>-67.680000000000007</v>
      </c>
      <c r="AF845" s="22">
        <f t="shared" si="97"/>
        <v>-67.680000000000007</v>
      </c>
      <c r="AG845" s="1">
        <v>-90.3</v>
      </c>
      <c r="AH845" s="2" t="s">
        <v>16</v>
      </c>
      <c r="AI845"/>
      <c r="AJ845" s="3">
        <f t="shared" si="98"/>
        <v>7</v>
      </c>
      <c r="AK845" s="3" t="s">
        <v>2706</v>
      </c>
      <c r="AL845">
        <v>7</v>
      </c>
      <c r="AM845" t="s">
        <v>15</v>
      </c>
    </row>
    <row r="846" spans="1:39" x14ac:dyDescent="0.3">
      <c r="A846" s="51" t="s">
        <v>1995</v>
      </c>
      <c r="B846" s="54" t="s">
        <v>1996</v>
      </c>
      <c r="C846" s="51" t="s">
        <v>2765</v>
      </c>
      <c r="D846" s="53">
        <v>0</v>
      </c>
      <c r="E846" s="53">
        <v>1</v>
      </c>
      <c r="F846" s="51" t="s">
        <v>2715</v>
      </c>
      <c r="G846" s="51" t="s">
        <v>2695</v>
      </c>
      <c r="H846" s="25" t="str">
        <f t="shared" si="100"/>
        <v>jgd</v>
      </c>
      <c r="I846" t="s">
        <v>72</v>
      </c>
      <c r="J846" t="s">
        <v>694</v>
      </c>
      <c r="K846" t="s">
        <v>1997</v>
      </c>
      <c r="L846" s="25">
        <v>46.075766190000003</v>
      </c>
      <c r="M846" s="25">
        <v>8.9022126969999995</v>
      </c>
      <c r="N846">
        <v>4</v>
      </c>
      <c r="O846">
        <v>8</v>
      </c>
      <c r="P846">
        <v>11</v>
      </c>
      <c r="Q846">
        <v>2016</v>
      </c>
      <c r="R846" s="9">
        <v>42682</v>
      </c>
      <c r="S846">
        <v>300</v>
      </c>
      <c r="T846">
        <v>1</v>
      </c>
      <c r="U846">
        <v>0</v>
      </c>
      <c r="V846">
        <v>0</v>
      </c>
      <c r="W846">
        <v>0</v>
      </c>
      <c r="X846" s="57">
        <f t="shared" si="101"/>
        <v>-54.304196250000011</v>
      </c>
      <c r="Y846">
        <v>-23.48</v>
      </c>
      <c r="Z846">
        <v>6.89</v>
      </c>
      <c r="AA846" s="3">
        <f t="shared" si="96"/>
        <v>5</v>
      </c>
      <c r="AB846" s="3">
        <f t="shared" si="99"/>
        <v>7</v>
      </c>
      <c r="AD846" s="3" t="s">
        <v>2754</v>
      </c>
      <c r="AE846" s="22">
        <v>-67.663357000000005</v>
      </c>
      <c r="AF846" s="22">
        <f t="shared" si="97"/>
        <v>-67.663357000000005</v>
      </c>
      <c r="AG846" s="60" t="s">
        <v>16</v>
      </c>
      <c r="AH846" s="61" t="s">
        <v>16</v>
      </c>
      <c r="AJ846" s="3">
        <f t="shared" si="98"/>
        <v>7</v>
      </c>
      <c r="AK846" s="3" t="s">
        <v>2706</v>
      </c>
      <c r="AL846">
        <v>7</v>
      </c>
      <c r="AM846" t="s">
        <v>15</v>
      </c>
    </row>
    <row r="847" spans="1:39" hidden="1" x14ac:dyDescent="0.3">
      <c r="A847" s="51" t="s">
        <v>1128</v>
      </c>
      <c r="B847" s="54" t="s">
        <v>1129</v>
      </c>
      <c r="C847" s="51" t="s">
        <v>2765</v>
      </c>
      <c r="D847" s="53">
        <v>0</v>
      </c>
      <c r="E847" s="53">
        <v>1</v>
      </c>
      <c r="F847" s="51" t="s">
        <v>2715</v>
      </c>
      <c r="G847" s="51" t="s">
        <v>2695</v>
      </c>
      <c r="H847" s="25" t="str">
        <f t="shared" si="100"/>
        <v>jgd</v>
      </c>
      <c r="I847" t="s">
        <v>13</v>
      </c>
      <c r="J847" t="s">
        <v>519</v>
      </c>
      <c r="K847" t="s">
        <v>1130</v>
      </c>
      <c r="L847" s="25">
        <v>47.007701769999997</v>
      </c>
      <c r="M847" s="25">
        <v>6.8166263999999996</v>
      </c>
      <c r="N847">
        <v>6</v>
      </c>
      <c r="O847">
        <v>10</v>
      </c>
      <c r="P847">
        <v>11</v>
      </c>
      <c r="Q847">
        <v>2015</v>
      </c>
      <c r="R847" s="9">
        <v>42318</v>
      </c>
      <c r="S847">
        <v>330</v>
      </c>
      <c r="T847">
        <v>1</v>
      </c>
      <c r="U847">
        <v>0</v>
      </c>
      <c r="V847">
        <v>0</v>
      </c>
      <c r="W847">
        <v>0</v>
      </c>
      <c r="X847">
        <f t="shared" si="101"/>
        <v>-54.225000000000001</v>
      </c>
      <c r="Y847">
        <v>-22.550999999999998</v>
      </c>
      <c r="Z847">
        <v>1.949211655</v>
      </c>
      <c r="AA847" s="3">
        <f t="shared" si="96"/>
        <v>5</v>
      </c>
      <c r="AB847" s="3">
        <f t="shared" si="99"/>
        <v>2</v>
      </c>
      <c r="AD847" s="3" t="s">
        <v>2750</v>
      </c>
      <c r="AE847" s="22">
        <v>-67.599999999999994</v>
      </c>
      <c r="AF847" s="22">
        <f t="shared" si="97"/>
        <v>-67.599999999999994</v>
      </c>
      <c r="AG847" s="1">
        <v>-90.2</v>
      </c>
      <c r="AH847" s="2" t="s">
        <v>16</v>
      </c>
      <c r="AI847"/>
      <c r="AJ847" s="3">
        <f t="shared" si="98"/>
        <v>7</v>
      </c>
      <c r="AK847" s="3" t="s">
        <v>2706</v>
      </c>
      <c r="AL847">
        <v>7</v>
      </c>
      <c r="AM847" t="s">
        <v>15</v>
      </c>
    </row>
    <row r="848" spans="1:39" hidden="1" x14ac:dyDescent="0.3">
      <c r="A848" s="51" t="s">
        <v>550</v>
      </c>
      <c r="B848" s="54" t="s">
        <v>551</v>
      </c>
      <c r="C848" s="51" t="s">
        <v>2765</v>
      </c>
      <c r="D848" s="53">
        <v>0</v>
      </c>
      <c r="E848" s="53">
        <v>1</v>
      </c>
      <c r="F848" s="51" t="s">
        <v>2715</v>
      </c>
      <c r="G848" s="51" t="s">
        <v>2695</v>
      </c>
      <c r="H848" s="25" t="str">
        <f t="shared" si="100"/>
        <v>jgd</v>
      </c>
      <c r="I848" t="s">
        <v>13</v>
      </c>
      <c r="J848" t="s">
        <v>552</v>
      </c>
      <c r="K848" t="s">
        <v>553</v>
      </c>
      <c r="L848" s="25">
        <v>47.073500430000003</v>
      </c>
      <c r="M848" s="25">
        <v>6.8718336610000001</v>
      </c>
      <c r="N848">
        <v>6</v>
      </c>
      <c r="O848">
        <v>16</v>
      </c>
      <c r="P848">
        <v>10</v>
      </c>
      <c r="Q848">
        <v>2014</v>
      </c>
      <c r="R848" s="9">
        <v>41928</v>
      </c>
      <c r="S848">
        <v>310</v>
      </c>
      <c r="T848">
        <v>1</v>
      </c>
      <c r="U848">
        <v>0</v>
      </c>
      <c r="V848">
        <v>0</v>
      </c>
      <c r="W848">
        <v>0</v>
      </c>
      <c r="X848">
        <f t="shared" si="101"/>
        <v>-53.962499999999999</v>
      </c>
      <c r="Y848">
        <v>-24.164285710000001</v>
      </c>
      <c r="Z848">
        <v>4.7742457500000004</v>
      </c>
      <c r="AA848" s="3">
        <f t="shared" si="96"/>
        <v>5</v>
      </c>
      <c r="AB848" s="3">
        <f t="shared" si="99"/>
        <v>5</v>
      </c>
      <c r="AD848" s="3" t="s">
        <v>2750</v>
      </c>
      <c r="AE848" s="22">
        <v>-67.39</v>
      </c>
      <c r="AF848" s="22">
        <f t="shared" si="97"/>
        <v>-67.39</v>
      </c>
      <c r="AG848" s="1">
        <v>-90</v>
      </c>
      <c r="AH848" s="2" t="s">
        <v>16</v>
      </c>
      <c r="AI848"/>
      <c r="AJ848" s="3">
        <f t="shared" si="98"/>
        <v>7</v>
      </c>
      <c r="AK848" s="3" t="s">
        <v>2706</v>
      </c>
      <c r="AL848">
        <v>7</v>
      </c>
      <c r="AM848" t="s">
        <v>15</v>
      </c>
    </row>
    <row r="849" spans="1:39" x14ac:dyDescent="0.3">
      <c r="A849" s="51" t="s">
        <v>1917</v>
      </c>
      <c r="B849" s="54" t="s">
        <v>1918</v>
      </c>
      <c r="C849" s="51" t="s">
        <v>2765</v>
      </c>
      <c r="D849" s="53">
        <v>0</v>
      </c>
      <c r="E849" s="53">
        <v>1</v>
      </c>
      <c r="F849" s="51" t="s">
        <v>2715</v>
      </c>
      <c r="G849" s="51" t="s">
        <v>2695</v>
      </c>
      <c r="H849" s="25" t="str">
        <f t="shared" si="100"/>
        <v>jgd</v>
      </c>
      <c r="I849" t="s">
        <v>72</v>
      </c>
      <c r="J849" t="s">
        <v>694</v>
      </c>
      <c r="K849" t="s">
        <v>1916</v>
      </c>
      <c r="L849" s="25">
        <v>46.133699729999996</v>
      </c>
      <c r="M849" s="25">
        <v>8.9438207300000006</v>
      </c>
      <c r="N849">
        <v>5</v>
      </c>
      <c r="O849">
        <v>8</v>
      </c>
      <c r="P849">
        <v>11</v>
      </c>
      <c r="Q849">
        <v>2016</v>
      </c>
      <c r="R849" s="9">
        <v>42682</v>
      </c>
      <c r="S849">
        <v>315</v>
      </c>
      <c r="T849">
        <v>1</v>
      </c>
      <c r="U849">
        <v>0</v>
      </c>
      <c r="V849">
        <v>0</v>
      </c>
      <c r="W849">
        <v>0</v>
      </c>
      <c r="X849" s="57">
        <f t="shared" si="101"/>
        <v>-53.694579000000012</v>
      </c>
      <c r="Y849">
        <v>-23.97</v>
      </c>
      <c r="Z849">
        <v>7.13</v>
      </c>
      <c r="AA849" s="3">
        <f t="shared" si="96"/>
        <v>5</v>
      </c>
      <c r="AB849" s="3">
        <f t="shared" si="99"/>
        <v>7</v>
      </c>
      <c r="AD849" s="3" t="s">
        <v>2754</v>
      </c>
      <c r="AE849" s="22">
        <v>-67.175663200000002</v>
      </c>
      <c r="AF849" s="22">
        <f t="shared" si="97"/>
        <v>-67.175663200000002</v>
      </c>
      <c r="AG849" s="60" t="s">
        <v>16</v>
      </c>
      <c r="AH849" s="61" t="s">
        <v>16</v>
      </c>
      <c r="AJ849" s="3">
        <f t="shared" si="98"/>
        <v>7</v>
      </c>
      <c r="AK849" s="3" t="s">
        <v>2706</v>
      </c>
      <c r="AL849">
        <v>7</v>
      </c>
      <c r="AM849" t="s">
        <v>15</v>
      </c>
    </row>
    <row r="850" spans="1:39" x14ac:dyDescent="0.3">
      <c r="A850" s="51" t="s">
        <v>1921</v>
      </c>
      <c r="B850" s="54" t="s">
        <v>1922</v>
      </c>
      <c r="C850" s="51" t="s">
        <v>2765</v>
      </c>
      <c r="D850" s="53">
        <v>0</v>
      </c>
      <c r="E850" s="53">
        <v>1</v>
      </c>
      <c r="F850" s="51" t="s">
        <v>2715</v>
      </c>
      <c r="G850" s="51" t="s">
        <v>2695</v>
      </c>
      <c r="H850" s="25" t="str">
        <f t="shared" si="100"/>
        <v>jgd</v>
      </c>
      <c r="I850" t="s">
        <v>72</v>
      </c>
      <c r="J850" t="s">
        <v>694</v>
      </c>
      <c r="K850" t="s">
        <v>1916</v>
      </c>
      <c r="L850" s="25">
        <v>46.134298219999998</v>
      </c>
      <c r="M850" s="25">
        <v>8.9461667410000008</v>
      </c>
      <c r="N850">
        <v>5</v>
      </c>
      <c r="O850">
        <v>10</v>
      </c>
      <c r="P850">
        <v>11</v>
      </c>
      <c r="Q850">
        <v>2016</v>
      </c>
      <c r="R850" s="9">
        <v>42684</v>
      </c>
      <c r="S850">
        <v>275</v>
      </c>
      <c r="T850">
        <v>1</v>
      </c>
      <c r="U850">
        <v>0</v>
      </c>
      <c r="V850">
        <v>0</v>
      </c>
      <c r="W850">
        <v>0</v>
      </c>
      <c r="X850" s="57">
        <f t="shared" si="101"/>
        <v>-53.66215549999999</v>
      </c>
      <c r="Y850">
        <v>-23.25</v>
      </c>
      <c r="Z850">
        <v>-1.53</v>
      </c>
      <c r="AA850" s="3">
        <f t="shared" si="96"/>
        <v>5</v>
      </c>
      <c r="AB850" s="3">
        <f t="shared" si="99"/>
        <v>-2</v>
      </c>
      <c r="AD850" s="3" t="s">
        <v>2754</v>
      </c>
      <c r="AE850" s="22">
        <v>-67.149724399999997</v>
      </c>
      <c r="AF850" s="22">
        <f t="shared" si="97"/>
        <v>-67.149724399999997</v>
      </c>
      <c r="AG850" s="60" t="s">
        <v>16</v>
      </c>
      <c r="AH850" s="61" t="s">
        <v>16</v>
      </c>
      <c r="AJ850" s="3">
        <f t="shared" si="98"/>
        <v>7</v>
      </c>
      <c r="AK850" s="3" t="s">
        <v>2706</v>
      </c>
      <c r="AL850">
        <v>7</v>
      </c>
      <c r="AM850" t="s">
        <v>15</v>
      </c>
    </row>
    <row r="851" spans="1:39" hidden="1" x14ac:dyDescent="0.3">
      <c r="A851" s="51" t="s">
        <v>270</v>
      </c>
      <c r="B851" s="54" t="s">
        <v>61</v>
      </c>
      <c r="C851" s="51" t="s">
        <v>2765</v>
      </c>
      <c r="D851" s="53">
        <v>0</v>
      </c>
      <c r="E851" s="53">
        <v>1</v>
      </c>
      <c r="F851" s="51" t="s">
        <v>2715</v>
      </c>
      <c r="G851" s="51" t="s">
        <v>2695</v>
      </c>
      <c r="H851" s="25" t="str">
        <f t="shared" si="100"/>
        <v>jgd</v>
      </c>
      <c r="I851" t="s">
        <v>30</v>
      </c>
      <c r="J851" t="s">
        <v>271</v>
      </c>
      <c r="K851" t="s">
        <v>272</v>
      </c>
      <c r="L851" s="25">
        <v>46.652036270000004</v>
      </c>
      <c r="M851" s="25">
        <v>6.9990524609999998</v>
      </c>
      <c r="N851">
        <v>6</v>
      </c>
      <c r="O851">
        <v>2</v>
      </c>
      <c r="P851">
        <v>11</v>
      </c>
      <c r="Q851">
        <v>2013</v>
      </c>
      <c r="R851" s="9">
        <v>41580</v>
      </c>
      <c r="S851">
        <v>277</v>
      </c>
      <c r="T851">
        <v>1</v>
      </c>
      <c r="U851">
        <v>0</v>
      </c>
      <c r="V851">
        <v>0</v>
      </c>
      <c r="W851">
        <v>0</v>
      </c>
      <c r="X851">
        <f t="shared" si="101"/>
        <v>-53.612500000000004</v>
      </c>
      <c r="Y851">
        <v>-58.64548585</v>
      </c>
      <c r="Z851">
        <v>0.467414779</v>
      </c>
      <c r="AA851" s="3">
        <f t="shared" si="96"/>
        <v>5</v>
      </c>
      <c r="AB851" s="3">
        <f t="shared" si="99"/>
        <v>0</v>
      </c>
      <c r="AD851" s="3" t="s">
        <v>2751</v>
      </c>
      <c r="AE851" s="22">
        <v>-67.11</v>
      </c>
      <c r="AF851" s="22">
        <f t="shared" si="97"/>
        <v>-67.11</v>
      </c>
      <c r="AG851" s="1">
        <v>-89.7</v>
      </c>
      <c r="AH851" s="2" t="s">
        <v>16</v>
      </c>
      <c r="AI851"/>
      <c r="AJ851" s="3">
        <f t="shared" si="98"/>
        <v>7</v>
      </c>
      <c r="AK851" s="3" t="s">
        <v>2706</v>
      </c>
      <c r="AL851">
        <v>7</v>
      </c>
      <c r="AM851" t="s">
        <v>15</v>
      </c>
    </row>
    <row r="852" spans="1:39" hidden="1" x14ac:dyDescent="0.3">
      <c r="A852" s="51" t="s">
        <v>2084</v>
      </c>
      <c r="B852" s="54" t="s">
        <v>2085</v>
      </c>
      <c r="C852" s="51" t="s">
        <v>2765</v>
      </c>
      <c r="D852" s="53">
        <v>0</v>
      </c>
      <c r="E852" s="53">
        <v>1</v>
      </c>
      <c r="F852" s="51" t="s">
        <v>2715</v>
      </c>
      <c r="G852" s="51" t="s">
        <v>2695</v>
      </c>
      <c r="H852" s="25" t="str">
        <f t="shared" si="100"/>
        <v>jgd</v>
      </c>
      <c r="I852" t="s">
        <v>385</v>
      </c>
      <c r="J852" t="s">
        <v>767</v>
      </c>
      <c r="K852" t="s">
        <v>16</v>
      </c>
      <c r="L852" s="25">
        <v>46.570953029999998</v>
      </c>
      <c r="M852" s="25">
        <v>6.1929026729999999</v>
      </c>
      <c r="N852">
        <v>3</v>
      </c>
      <c r="O852">
        <v>28</v>
      </c>
      <c r="P852">
        <v>10</v>
      </c>
      <c r="Q852">
        <v>2017</v>
      </c>
      <c r="R852" s="9">
        <v>43036</v>
      </c>
      <c r="S852">
        <v>304</v>
      </c>
      <c r="T852">
        <v>1</v>
      </c>
      <c r="U852">
        <v>0</v>
      </c>
      <c r="V852">
        <v>0</v>
      </c>
      <c r="W852">
        <v>0</v>
      </c>
      <c r="X852" s="57">
        <f t="shared" si="101"/>
        <v>-53.143600250000013</v>
      </c>
      <c r="Y852" t="s">
        <v>16</v>
      </c>
      <c r="Z852">
        <v>3.5387406850000001</v>
      </c>
      <c r="AA852" s="3">
        <f t="shared" si="96"/>
        <v>5</v>
      </c>
      <c r="AB852" s="3">
        <f t="shared" si="99"/>
        <v>4</v>
      </c>
      <c r="AD852" s="3" t="s">
        <v>2750</v>
      </c>
      <c r="AE852" s="22">
        <v>-66.734880200000006</v>
      </c>
      <c r="AF852" s="22">
        <f t="shared" si="97"/>
        <v>-66.734880200000006</v>
      </c>
      <c r="AG852" s="60" t="s">
        <v>16</v>
      </c>
      <c r="AH852" s="61" t="s">
        <v>16</v>
      </c>
      <c r="AJ852" s="3">
        <f t="shared" si="98"/>
        <v>7</v>
      </c>
      <c r="AK852" s="3" t="s">
        <v>2706</v>
      </c>
      <c r="AL852">
        <v>7</v>
      </c>
      <c r="AM852" t="s">
        <v>15</v>
      </c>
    </row>
    <row r="853" spans="1:39" x14ac:dyDescent="0.3">
      <c r="A853" s="51" t="s">
        <v>1552</v>
      </c>
      <c r="B853" s="54" t="s">
        <v>1553</v>
      </c>
      <c r="C853" s="51" t="s">
        <v>2765</v>
      </c>
      <c r="D853" s="53">
        <v>0</v>
      </c>
      <c r="E853" s="53">
        <v>1</v>
      </c>
      <c r="F853" s="51" t="s">
        <v>2715</v>
      </c>
      <c r="G853" s="51" t="s">
        <v>2695</v>
      </c>
      <c r="H853" s="25" t="str">
        <f t="shared" si="100"/>
        <v>jgd</v>
      </c>
      <c r="I853" t="s">
        <v>72</v>
      </c>
      <c r="J853" t="s">
        <v>1554</v>
      </c>
      <c r="K853" t="s">
        <v>1555</v>
      </c>
      <c r="L853" s="25">
        <v>46.220154299999997</v>
      </c>
      <c r="M853" s="25">
        <v>8.6776438630000001</v>
      </c>
      <c r="N853">
        <v>4</v>
      </c>
      <c r="O853">
        <v>9</v>
      </c>
      <c r="P853">
        <v>11</v>
      </c>
      <c r="Q853">
        <v>2016</v>
      </c>
      <c r="R853" s="9">
        <v>42683</v>
      </c>
      <c r="S853">
        <v>354</v>
      </c>
      <c r="T853">
        <v>1</v>
      </c>
      <c r="U853">
        <v>0</v>
      </c>
      <c r="V853">
        <v>0</v>
      </c>
      <c r="W853">
        <v>0</v>
      </c>
      <c r="X853" s="57">
        <f t="shared" si="101"/>
        <v>-52.927428000000013</v>
      </c>
      <c r="Y853">
        <v>-23.12</v>
      </c>
      <c r="Z853">
        <v>7.96</v>
      </c>
      <c r="AA853" s="3">
        <f t="shared" si="96"/>
        <v>5</v>
      </c>
      <c r="AB853" s="3">
        <f t="shared" si="99"/>
        <v>8</v>
      </c>
      <c r="AD853" s="3" t="s">
        <v>2754</v>
      </c>
      <c r="AE853" s="22">
        <v>-66.561942400000007</v>
      </c>
      <c r="AF853" s="22">
        <f t="shared" si="97"/>
        <v>-66.561942400000007</v>
      </c>
      <c r="AG853" s="60" t="s">
        <v>16</v>
      </c>
      <c r="AH853" s="61" t="s">
        <v>16</v>
      </c>
      <c r="AJ853" s="3">
        <f t="shared" si="98"/>
        <v>7</v>
      </c>
      <c r="AK853" s="3" t="s">
        <v>2706</v>
      </c>
      <c r="AL853">
        <v>7</v>
      </c>
      <c r="AM853" t="s">
        <v>15</v>
      </c>
    </row>
    <row r="854" spans="1:39" hidden="1" x14ac:dyDescent="0.3">
      <c r="A854" s="51" t="s">
        <v>905</v>
      </c>
      <c r="B854" s="54" t="s">
        <v>906</v>
      </c>
      <c r="C854" s="51" t="s">
        <v>2765</v>
      </c>
      <c r="D854" s="53">
        <v>0</v>
      </c>
      <c r="E854" s="53">
        <v>1</v>
      </c>
      <c r="F854" s="51" t="s">
        <v>2715</v>
      </c>
      <c r="G854" s="51" t="s">
        <v>2695</v>
      </c>
      <c r="H854" s="25" t="str">
        <f t="shared" si="100"/>
        <v>jgd</v>
      </c>
      <c r="I854" t="s">
        <v>385</v>
      </c>
      <c r="J854" t="s">
        <v>903</v>
      </c>
      <c r="K854" t="s">
        <v>904</v>
      </c>
      <c r="L854" s="25">
        <v>46.593044030000001</v>
      </c>
      <c r="M854" s="25">
        <v>6.4244311559999998</v>
      </c>
      <c r="N854">
        <v>4</v>
      </c>
      <c r="O854">
        <v>14</v>
      </c>
      <c r="P854">
        <v>12</v>
      </c>
      <c r="Q854">
        <v>2015</v>
      </c>
      <c r="R854" s="9">
        <v>42352</v>
      </c>
      <c r="S854">
        <v>327</v>
      </c>
      <c r="T854">
        <v>1</v>
      </c>
      <c r="U854">
        <v>0</v>
      </c>
      <c r="V854">
        <v>0</v>
      </c>
      <c r="W854">
        <v>0</v>
      </c>
      <c r="X854">
        <f t="shared" si="101"/>
        <v>-52.687500000000007</v>
      </c>
      <c r="Y854">
        <v>-24.276</v>
      </c>
      <c r="Z854">
        <v>1.796711046</v>
      </c>
      <c r="AA854" s="3">
        <f t="shared" ref="AA854:AA917" si="102">-ROUND(X854/10,0)</f>
        <v>5</v>
      </c>
      <c r="AB854" s="3">
        <f t="shared" si="99"/>
        <v>2</v>
      </c>
      <c r="AD854" s="3" t="s">
        <v>2751</v>
      </c>
      <c r="AE854" s="22">
        <v>-66.37</v>
      </c>
      <c r="AF854" s="22">
        <f t="shared" ref="AF854:AF917" si="103">IF(AI854&lt;0,AI854,AE854)</f>
        <v>-66.37</v>
      </c>
      <c r="AG854" s="1">
        <v>-88.9</v>
      </c>
      <c r="AH854" s="2" t="s">
        <v>16</v>
      </c>
      <c r="AI854"/>
      <c r="AJ854" s="3">
        <f t="shared" ref="AJ854:AJ917" si="104">-ROUND(AF854/10,0)</f>
        <v>7</v>
      </c>
      <c r="AK854" s="3" t="s">
        <v>2706</v>
      </c>
      <c r="AL854">
        <v>7</v>
      </c>
      <c r="AM854" t="s">
        <v>15</v>
      </c>
    </row>
    <row r="855" spans="1:39" hidden="1" x14ac:dyDescent="0.3">
      <c r="A855" s="51" t="s">
        <v>534</v>
      </c>
      <c r="B855" s="54" t="s">
        <v>535</v>
      </c>
      <c r="C855" s="51" t="s">
        <v>2765</v>
      </c>
      <c r="D855" s="53">
        <v>0</v>
      </c>
      <c r="E855" s="53">
        <v>1</v>
      </c>
      <c r="F855" s="51" t="s">
        <v>2715</v>
      </c>
      <c r="G855" s="51" t="s">
        <v>2695</v>
      </c>
      <c r="H855" s="25" t="str">
        <f t="shared" si="100"/>
        <v>jgd</v>
      </c>
      <c r="I855" t="s">
        <v>13</v>
      </c>
      <c r="J855" t="s">
        <v>26</v>
      </c>
      <c r="K855" t="s">
        <v>536</v>
      </c>
      <c r="L855" s="25">
        <v>47.024224029999999</v>
      </c>
      <c r="M855" s="25">
        <v>6.8145538319999996</v>
      </c>
      <c r="N855">
        <v>6</v>
      </c>
      <c r="O855">
        <v>25</v>
      </c>
      <c r="P855">
        <v>10</v>
      </c>
      <c r="Q855">
        <v>2014</v>
      </c>
      <c r="R855" s="9">
        <v>41937</v>
      </c>
      <c r="S855">
        <v>300</v>
      </c>
      <c r="T855">
        <v>1</v>
      </c>
      <c r="U855">
        <v>0</v>
      </c>
      <c r="V855">
        <v>0</v>
      </c>
      <c r="W855">
        <v>0</v>
      </c>
      <c r="X855">
        <f t="shared" si="101"/>
        <v>-52.675000000000004</v>
      </c>
      <c r="Y855">
        <v>-24.006</v>
      </c>
      <c r="Z855">
        <v>6.0893230389999999</v>
      </c>
      <c r="AA855" s="3">
        <f t="shared" si="102"/>
        <v>5</v>
      </c>
      <c r="AB855" s="3">
        <f t="shared" si="99"/>
        <v>6</v>
      </c>
      <c r="AD855" s="3" t="s">
        <v>2750</v>
      </c>
      <c r="AE855" s="22">
        <v>-66.36</v>
      </c>
      <c r="AF855" s="22">
        <f t="shared" si="103"/>
        <v>-66.36</v>
      </c>
      <c r="AG855" s="1">
        <v>-88.9</v>
      </c>
      <c r="AH855" s="2" t="s">
        <v>16</v>
      </c>
      <c r="AI855"/>
      <c r="AJ855" s="3">
        <f t="shared" si="104"/>
        <v>7</v>
      </c>
      <c r="AK855" s="3" t="s">
        <v>2706</v>
      </c>
      <c r="AL855">
        <v>7</v>
      </c>
      <c r="AM855" t="s">
        <v>15</v>
      </c>
    </row>
    <row r="856" spans="1:39" x14ac:dyDescent="0.3">
      <c r="A856" s="51" t="s">
        <v>1247</v>
      </c>
      <c r="B856" s="54" t="s">
        <v>1248</v>
      </c>
      <c r="C856" s="51" t="s">
        <v>2765</v>
      </c>
      <c r="D856" s="53">
        <v>0</v>
      </c>
      <c r="E856" s="53">
        <v>1</v>
      </c>
      <c r="F856" s="51" t="s">
        <v>2715</v>
      </c>
      <c r="G856" s="51" t="s">
        <v>2695</v>
      </c>
      <c r="H856" s="25" t="str">
        <f t="shared" si="100"/>
        <v>jgd</v>
      </c>
      <c r="I856" t="s">
        <v>72</v>
      </c>
      <c r="J856" t="s">
        <v>1249</v>
      </c>
      <c r="K856" t="s">
        <v>1250</v>
      </c>
      <c r="L856" s="25">
        <v>46.149148029999999</v>
      </c>
      <c r="M856" s="25">
        <v>9.0469035919999996</v>
      </c>
      <c r="N856">
        <v>4</v>
      </c>
      <c r="O856">
        <v>22</v>
      </c>
      <c r="P856">
        <v>10</v>
      </c>
      <c r="Q856">
        <v>2015</v>
      </c>
      <c r="R856" s="9">
        <v>42299</v>
      </c>
      <c r="S856">
        <v>300</v>
      </c>
      <c r="T856">
        <v>1</v>
      </c>
      <c r="U856">
        <v>0</v>
      </c>
      <c r="V856">
        <v>0</v>
      </c>
      <c r="W856">
        <v>0</v>
      </c>
      <c r="X856">
        <f t="shared" si="101"/>
        <v>-52.574999999999996</v>
      </c>
      <c r="Y856">
        <v>-23.986599999999999</v>
      </c>
      <c r="Z856">
        <v>2.5792410480000001</v>
      </c>
      <c r="AA856" s="3">
        <f t="shared" si="102"/>
        <v>5</v>
      </c>
      <c r="AB856" s="3">
        <f t="shared" si="99"/>
        <v>3</v>
      </c>
      <c r="AD856" s="3" t="s">
        <v>2754</v>
      </c>
      <c r="AE856" s="22">
        <v>-66.28</v>
      </c>
      <c r="AF856" s="22">
        <f t="shared" si="103"/>
        <v>-66.28</v>
      </c>
      <c r="AG856" s="1">
        <v>-88.8</v>
      </c>
      <c r="AH856" s="2" t="s">
        <v>16</v>
      </c>
      <c r="AI856"/>
      <c r="AJ856" s="3">
        <f t="shared" si="104"/>
        <v>7</v>
      </c>
      <c r="AK856" s="3" t="s">
        <v>2706</v>
      </c>
      <c r="AL856">
        <v>7</v>
      </c>
      <c r="AM856" t="s">
        <v>15</v>
      </c>
    </row>
    <row r="857" spans="1:39" hidden="1" x14ac:dyDescent="0.3">
      <c r="A857" s="51" t="s">
        <v>202</v>
      </c>
      <c r="B857" s="54" t="s">
        <v>57</v>
      </c>
      <c r="C857" s="51" t="s">
        <v>2765</v>
      </c>
      <c r="D857" s="53">
        <v>0</v>
      </c>
      <c r="E857" s="53">
        <v>1</v>
      </c>
      <c r="F857" s="51" t="s">
        <v>2715</v>
      </c>
      <c r="G857" s="51" t="s">
        <v>2695</v>
      </c>
      <c r="H857" s="25" t="str">
        <f t="shared" si="100"/>
        <v>jgd</v>
      </c>
      <c r="I857" t="s">
        <v>13</v>
      </c>
      <c r="J857" t="s">
        <v>16</v>
      </c>
      <c r="K857" t="s">
        <v>203</v>
      </c>
      <c r="L857" s="25">
        <v>46.965379609999999</v>
      </c>
      <c r="M857" s="25">
        <v>6.6488310540000004</v>
      </c>
      <c r="N857">
        <v>6</v>
      </c>
      <c r="O857">
        <v>5</v>
      </c>
      <c r="P857">
        <v>11</v>
      </c>
      <c r="Q857">
        <v>2013</v>
      </c>
      <c r="R857" s="9">
        <v>41583</v>
      </c>
      <c r="S857">
        <v>351</v>
      </c>
      <c r="T857">
        <v>1</v>
      </c>
      <c r="U857">
        <v>0</v>
      </c>
      <c r="V857">
        <v>0</v>
      </c>
      <c r="W857">
        <v>0</v>
      </c>
      <c r="X857">
        <f t="shared" si="101"/>
        <v>-52.550000000000004</v>
      </c>
      <c r="Y857">
        <v>-21.467312459999999</v>
      </c>
      <c r="Z857">
        <v>6.6044703440000001</v>
      </c>
      <c r="AA857" s="3">
        <f t="shared" si="102"/>
        <v>5</v>
      </c>
      <c r="AB857" s="3">
        <f t="shared" si="99"/>
        <v>7</v>
      </c>
      <c r="AD857" s="3" t="s">
        <v>2750</v>
      </c>
      <c r="AE857" s="22">
        <v>-66.260000000000005</v>
      </c>
      <c r="AF857" s="22">
        <f t="shared" si="103"/>
        <v>-66.260000000000005</v>
      </c>
      <c r="AG857" s="1">
        <v>-88.8</v>
      </c>
      <c r="AH857" s="2" t="s">
        <v>16</v>
      </c>
      <c r="AI857"/>
      <c r="AJ857" s="3">
        <f t="shared" si="104"/>
        <v>7</v>
      </c>
      <c r="AK857" s="3" t="s">
        <v>2706</v>
      </c>
      <c r="AL857">
        <v>7</v>
      </c>
      <c r="AM857" t="s">
        <v>15</v>
      </c>
    </row>
    <row r="858" spans="1:39" x14ac:dyDescent="0.3">
      <c r="A858" s="51" t="s">
        <v>821</v>
      </c>
      <c r="B858" s="54" t="s">
        <v>822</v>
      </c>
      <c r="C858" s="51" t="s">
        <v>2765</v>
      </c>
      <c r="D858" s="53">
        <v>0</v>
      </c>
      <c r="E858" s="53">
        <v>1</v>
      </c>
      <c r="F858" s="51" t="s">
        <v>2715</v>
      </c>
      <c r="G858" s="51" t="s">
        <v>2695</v>
      </c>
      <c r="H858" s="25" t="str">
        <f t="shared" si="100"/>
        <v>jgd</v>
      </c>
      <c r="I858" t="s">
        <v>72</v>
      </c>
      <c r="J858" t="s">
        <v>804</v>
      </c>
      <c r="K858" t="s">
        <v>805</v>
      </c>
      <c r="L858" s="25">
        <v>46.055162799999998</v>
      </c>
      <c r="M858" s="25">
        <v>8.8945920170000008</v>
      </c>
      <c r="N858">
        <v>6</v>
      </c>
      <c r="O858">
        <v>1</v>
      </c>
      <c r="P858">
        <v>11</v>
      </c>
      <c r="Q858">
        <v>2015</v>
      </c>
      <c r="R858" s="9">
        <v>42309</v>
      </c>
      <c r="S858">
        <v>308</v>
      </c>
      <c r="T858">
        <v>1</v>
      </c>
      <c r="U858">
        <v>0</v>
      </c>
      <c r="V858">
        <v>0</v>
      </c>
      <c r="W858">
        <v>0</v>
      </c>
      <c r="X858">
        <f t="shared" si="101"/>
        <v>-52.524999999999999</v>
      </c>
      <c r="Y858">
        <v>-22.514399999999998</v>
      </c>
      <c r="Z858">
        <v>7.9635402119999998</v>
      </c>
      <c r="AA858" s="3">
        <f t="shared" si="102"/>
        <v>5</v>
      </c>
      <c r="AB858" s="3">
        <f t="shared" si="99"/>
        <v>8</v>
      </c>
      <c r="AD858" s="3" t="s">
        <v>2754</v>
      </c>
      <c r="AE858" s="22">
        <v>-66.239999999999995</v>
      </c>
      <c r="AF858" s="22">
        <f t="shared" si="103"/>
        <v>-66.239999999999995</v>
      </c>
      <c r="AG858" s="1">
        <v>-88.8</v>
      </c>
      <c r="AH858" s="2" t="s">
        <v>16</v>
      </c>
      <c r="AI858"/>
      <c r="AJ858" s="3">
        <f t="shared" si="104"/>
        <v>7</v>
      </c>
      <c r="AK858" s="3" t="s">
        <v>2706</v>
      </c>
      <c r="AL858">
        <v>7</v>
      </c>
      <c r="AM858" t="s">
        <v>15</v>
      </c>
    </row>
    <row r="859" spans="1:39" x14ac:dyDescent="0.3">
      <c r="A859" s="51" t="s">
        <v>1454</v>
      </c>
      <c r="B859" s="54" t="s">
        <v>1455</v>
      </c>
      <c r="C859" s="51" t="s">
        <v>2765</v>
      </c>
      <c r="D859" s="53">
        <v>0</v>
      </c>
      <c r="E859" s="53">
        <v>1</v>
      </c>
      <c r="F859" s="51" t="s">
        <v>2715</v>
      </c>
      <c r="G859" s="51" t="s">
        <v>2695</v>
      </c>
      <c r="H859" s="25" t="str">
        <f t="shared" si="100"/>
        <v>jgd</v>
      </c>
      <c r="I859" t="s">
        <v>72</v>
      </c>
      <c r="J859" t="s">
        <v>708</v>
      </c>
      <c r="K859" t="s">
        <v>709</v>
      </c>
      <c r="L859" s="25">
        <v>46.527364929999997</v>
      </c>
      <c r="M859" s="25">
        <v>8.5797034029999999</v>
      </c>
      <c r="N859" t="s">
        <v>16</v>
      </c>
      <c r="O859">
        <v>18</v>
      </c>
      <c r="P859">
        <v>10</v>
      </c>
      <c r="Q859">
        <v>2016</v>
      </c>
      <c r="R859" s="9">
        <v>42661</v>
      </c>
      <c r="S859">
        <v>325</v>
      </c>
      <c r="T859">
        <v>1</v>
      </c>
      <c r="U859">
        <v>0</v>
      </c>
      <c r="V859">
        <v>0</v>
      </c>
      <c r="W859">
        <v>0</v>
      </c>
      <c r="X859" s="57">
        <f t="shared" si="101"/>
        <v>-52.250365750000007</v>
      </c>
      <c r="Y859">
        <v>-22.7</v>
      </c>
      <c r="Z859">
        <v>2.25</v>
      </c>
      <c r="AA859" s="3">
        <f t="shared" si="102"/>
        <v>5</v>
      </c>
      <c r="AB859" s="3">
        <f t="shared" si="99"/>
        <v>2</v>
      </c>
      <c r="AD859" s="3" t="s">
        <v>2754</v>
      </c>
      <c r="AE859" s="22">
        <v>-66.020292600000005</v>
      </c>
      <c r="AF859" s="22">
        <f t="shared" si="103"/>
        <v>-66.020292600000005</v>
      </c>
      <c r="AG859" s="60" t="s">
        <v>16</v>
      </c>
      <c r="AH859" s="61" t="s">
        <v>16</v>
      </c>
      <c r="AJ859" s="3">
        <f t="shared" si="104"/>
        <v>7</v>
      </c>
      <c r="AK859" s="3" t="s">
        <v>2706</v>
      </c>
      <c r="AL859">
        <v>7</v>
      </c>
      <c r="AM859" t="s">
        <v>15</v>
      </c>
    </row>
    <row r="860" spans="1:39" x14ac:dyDescent="0.3">
      <c r="A860" s="51" t="s">
        <v>1958</v>
      </c>
      <c r="B860" s="54" t="s">
        <v>1959</v>
      </c>
      <c r="C860" s="51" t="s">
        <v>2765</v>
      </c>
      <c r="D860" s="53">
        <v>0</v>
      </c>
      <c r="E860" s="53">
        <v>1</v>
      </c>
      <c r="F860" s="51" t="s">
        <v>2715</v>
      </c>
      <c r="G860" s="51" t="s">
        <v>2695</v>
      </c>
      <c r="H860" s="25" t="str">
        <f t="shared" si="100"/>
        <v>jgd</v>
      </c>
      <c r="I860" t="s">
        <v>72</v>
      </c>
      <c r="J860" t="s">
        <v>1960</v>
      </c>
      <c r="K860" t="s">
        <v>78</v>
      </c>
      <c r="L860" s="25">
        <v>45.90766232</v>
      </c>
      <c r="M860" s="25">
        <v>9.0662092659999995</v>
      </c>
      <c r="N860">
        <v>5</v>
      </c>
      <c r="O860">
        <v>25</v>
      </c>
      <c r="P860">
        <v>10</v>
      </c>
      <c r="Q860">
        <v>2016</v>
      </c>
      <c r="R860" s="9">
        <v>42668</v>
      </c>
      <c r="S860">
        <v>330</v>
      </c>
      <c r="T860">
        <v>1</v>
      </c>
      <c r="U860">
        <v>0</v>
      </c>
      <c r="V860">
        <v>0</v>
      </c>
      <c r="W860">
        <v>0</v>
      </c>
      <c r="X860" s="57">
        <f t="shared" si="101"/>
        <v>-52.223576000000001</v>
      </c>
      <c r="Y860">
        <v>-23.27</v>
      </c>
      <c r="Z860">
        <v>-0.2</v>
      </c>
      <c r="AA860" s="3">
        <f t="shared" si="102"/>
        <v>5</v>
      </c>
      <c r="AB860" s="3">
        <f t="shared" si="99"/>
        <v>0</v>
      </c>
      <c r="AD860" s="3" t="s">
        <v>2754</v>
      </c>
      <c r="AE860" s="22">
        <v>-65.998860800000003</v>
      </c>
      <c r="AF860" s="22">
        <f t="shared" si="103"/>
        <v>-65.998860800000003</v>
      </c>
      <c r="AG860" s="60" t="s">
        <v>16</v>
      </c>
      <c r="AH860" s="61" t="s">
        <v>16</v>
      </c>
      <c r="AJ860" s="3">
        <f t="shared" si="104"/>
        <v>7</v>
      </c>
      <c r="AK860" s="3" t="s">
        <v>2706</v>
      </c>
      <c r="AL860">
        <v>7</v>
      </c>
      <c r="AM860" t="s">
        <v>15</v>
      </c>
    </row>
    <row r="861" spans="1:39" x14ac:dyDescent="0.3">
      <c r="A861" s="51" t="s">
        <v>1556</v>
      </c>
      <c r="B861" s="54" t="s">
        <v>1557</v>
      </c>
      <c r="C861" s="51" t="s">
        <v>2765</v>
      </c>
      <c r="D861" s="53">
        <v>0</v>
      </c>
      <c r="E861" s="53">
        <v>1</v>
      </c>
      <c r="F861" s="51" t="s">
        <v>2715</v>
      </c>
      <c r="G861" s="51" t="s">
        <v>2695</v>
      </c>
      <c r="H861" s="25" t="str">
        <f t="shared" si="100"/>
        <v>jgd</v>
      </c>
      <c r="I861" t="s">
        <v>72</v>
      </c>
      <c r="J861" t="s">
        <v>750</v>
      </c>
      <c r="K861" t="s">
        <v>114</v>
      </c>
      <c r="L861" s="25">
        <v>46.231518880000003</v>
      </c>
      <c r="M861" s="25">
        <v>8.6832176919999995</v>
      </c>
      <c r="N861">
        <v>6</v>
      </c>
      <c r="O861">
        <v>10</v>
      </c>
      <c r="P861">
        <v>11</v>
      </c>
      <c r="Q861">
        <v>2016</v>
      </c>
      <c r="R861" s="9">
        <v>42684</v>
      </c>
      <c r="S861">
        <v>307</v>
      </c>
      <c r="T861">
        <v>1</v>
      </c>
      <c r="U861">
        <v>0</v>
      </c>
      <c r="V861">
        <v>0</v>
      </c>
      <c r="W861">
        <v>0</v>
      </c>
      <c r="X861" s="57">
        <f t="shared" si="101"/>
        <v>-51.936438000000003</v>
      </c>
      <c r="Y861">
        <v>-23.75</v>
      </c>
      <c r="Z861">
        <v>5.7</v>
      </c>
      <c r="AA861" s="3">
        <f t="shared" si="102"/>
        <v>5</v>
      </c>
      <c r="AB861" s="3">
        <f t="shared" si="99"/>
        <v>6</v>
      </c>
      <c r="AD861" s="3" t="s">
        <v>2754</v>
      </c>
      <c r="AE861" s="22">
        <v>-65.769150400000001</v>
      </c>
      <c r="AF861" s="22">
        <f t="shared" si="103"/>
        <v>-65.769150400000001</v>
      </c>
      <c r="AG861" s="60" t="s">
        <v>16</v>
      </c>
      <c r="AH861" s="61" t="s">
        <v>16</v>
      </c>
      <c r="AJ861" s="3">
        <f t="shared" si="104"/>
        <v>7</v>
      </c>
      <c r="AK861" s="3" t="s">
        <v>2706</v>
      </c>
      <c r="AL861">
        <v>7</v>
      </c>
      <c r="AM861" t="s">
        <v>15</v>
      </c>
    </row>
    <row r="862" spans="1:39" hidden="1" x14ac:dyDescent="0.3">
      <c r="A862" s="51" t="s">
        <v>2442</v>
      </c>
      <c r="B862" s="54" t="s">
        <v>1060</v>
      </c>
      <c r="C862" s="51" t="s">
        <v>2765</v>
      </c>
      <c r="D862" s="53">
        <v>0</v>
      </c>
      <c r="E862" s="53">
        <v>1</v>
      </c>
      <c r="F862" s="51" t="s">
        <v>2715</v>
      </c>
      <c r="G862" s="51" t="s">
        <v>2695</v>
      </c>
      <c r="H862" s="25" t="str">
        <f t="shared" si="100"/>
        <v>jgd</v>
      </c>
      <c r="I862" t="s">
        <v>13</v>
      </c>
      <c r="J862" t="s">
        <v>2437</v>
      </c>
      <c r="K862" t="s">
        <v>2443</v>
      </c>
      <c r="L862" s="25">
        <v>47.000410809999998</v>
      </c>
      <c r="M862" s="25">
        <v>6.8394052429999999</v>
      </c>
      <c r="N862">
        <v>6</v>
      </c>
      <c r="O862">
        <v>7</v>
      </c>
      <c r="P862">
        <v>11</v>
      </c>
      <c r="Q862">
        <v>2017</v>
      </c>
      <c r="R862" s="9">
        <v>43046</v>
      </c>
      <c r="S862">
        <v>372</v>
      </c>
      <c r="T862">
        <v>1</v>
      </c>
      <c r="U862">
        <v>0</v>
      </c>
      <c r="V862">
        <v>0</v>
      </c>
      <c r="W862">
        <v>0</v>
      </c>
      <c r="X862" s="57">
        <f t="shared" si="101"/>
        <v>-51.81850475000001</v>
      </c>
      <c r="Y862" t="s">
        <v>16</v>
      </c>
      <c r="Z862">
        <v>4.3163154549999998</v>
      </c>
      <c r="AA862" s="3">
        <f t="shared" si="102"/>
        <v>5</v>
      </c>
      <c r="AB862" s="3">
        <f t="shared" si="99"/>
        <v>4</v>
      </c>
      <c r="AD862" s="3" t="s">
        <v>2750</v>
      </c>
      <c r="AE862" s="22">
        <v>-65.674803800000007</v>
      </c>
      <c r="AF862" s="22">
        <f t="shared" si="103"/>
        <v>-65.674803800000007</v>
      </c>
      <c r="AG862" s="60" t="s">
        <v>16</v>
      </c>
      <c r="AH862" s="61" t="s">
        <v>16</v>
      </c>
      <c r="AJ862" s="3">
        <f t="shared" si="104"/>
        <v>7</v>
      </c>
      <c r="AK862" s="3" t="s">
        <v>2706</v>
      </c>
      <c r="AL862">
        <v>7</v>
      </c>
      <c r="AM862" t="s">
        <v>15</v>
      </c>
    </row>
    <row r="863" spans="1:39" hidden="1" x14ac:dyDescent="0.3">
      <c r="A863" s="51" t="s">
        <v>2086</v>
      </c>
      <c r="B863" s="54" t="s">
        <v>766</v>
      </c>
      <c r="C863" s="51" t="s">
        <v>2765</v>
      </c>
      <c r="D863" s="53">
        <v>0</v>
      </c>
      <c r="E863" s="53">
        <v>1</v>
      </c>
      <c r="F863" s="51" t="s">
        <v>2715</v>
      </c>
      <c r="G863" s="51" t="s">
        <v>2695</v>
      </c>
      <c r="H863" s="25" t="str">
        <f t="shared" si="100"/>
        <v>jgd</v>
      </c>
      <c r="I863" t="s">
        <v>385</v>
      </c>
      <c r="J863" t="s">
        <v>771</v>
      </c>
      <c r="K863" t="s">
        <v>16</v>
      </c>
      <c r="L863" s="25">
        <v>46.671747500000002</v>
      </c>
      <c r="M863" s="25">
        <v>6.373551387</v>
      </c>
      <c r="N863">
        <v>3</v>
      </c>
      <c r="O863">
        <v>26</v>
      </c>
      <c r="P863">
        <v>10</v>
      </c>
      <c r="Q863">
        <v>2017</v>
      </c>
      <c r="R863" s="9">
        <v>43034</v>
      </c>
      <c r="S863">
        <v>304</v>
      </c>
      <c r="T863">
        <v>1</v>
      </c>
      <c r="U863">
        <v>0</v>
      </c>
      <c r="V863">
        <v>0</v>
      </c>
      <c r="W863">
        <v>0</v>
      </c>
      <c r="X863" s="57">
        <f t="shared" si="101"/>
        <v>-51.664608750000006</v>
      </c>
      <c r="Y863" t="s">
        <v>16</v>
      </c>
      <c r="Z863">
        <v>-0.46485831999999999</v>
      </c>
      <c r="AA863" s="3">
        <f t="shared" si="102"/>
        <v>5</v>
      </c>
      <c r="AB863" s="3">
        <f t="shared" si="99"/>
        <v>0</v>
      </c>
      <c r="AD863" s="3" t="s">
        <v>2750</v>
      </c>
      <c r="AE863" s="22">
        <v>-65.551687000000001</v>
      </c>
      <c r="AF863" s="22">
        <f t="shared" si="103"/>
        <v>-65.551687000000001</v>
      </c>
      <c r="AG863" s="60" t="s">
        <v>16</v>
      </c>
      <c r="AH863" s="61" t="s">
        <v>16</v>
      </c>
      <c r="AJ863" s="3">
        <f t="shared" si="104"/>
        <v>7</v>
      </c>
      <c r="AK863" s="3" t="s">
        <v>2706</v>
      </c>
      <c r="AL863">
        <v>7</v>
      </c>
      <c r="AM863" t="s">
        <v>15</v>
      </c>
    </row>
    <row r="864" spans="1:39" hidden="1" x14ac:dyDescent="0.3">
      <c r="A864" s="51" t="s">
        <v>2684</v>
      </c>
      <c r="B864" s="54" t="s">
        <v>1585</v>
      </c>
      <c r="C864" s="51" t="s">
        <v>2765</v>
      </c>
      <c r="D864" s="53">
        <v>0</v>
      </c>
      <c r="E864" s="53">
        <v>1</v>
      </c>
      <c r="F864" s="51" t="s">
        <v>2715</v>
      </c>
      <c r="G864" s="51" t="s">
        <v>2695</v>
      </c>
      <c r="H864" s="25" t="str">
        <f t="shared" si="100"/>
        <v>jgd</v>
      </c>
      <c r="I864" t="s">
        <v>30</v>
      </c>
      <c r="J864" t="s">
        <v>37</v>
      </c>
      <c r="K864" t="s">
        <v>1586</v>
      </c>
      <c r="L864" s="25">
        <v>46.653367860000003</v>
      </c>
      <c r="M864" s="25">
        <v>6.9944692640000001</v>
      </c>
      <c r="N864">
        <v>3</v>
      </c>
      <c r="O864">
        <v>21</v>
      </c>
      <c r="P864">
        <v>11</v>
      </c>
      <c r="Q864">
        <v>2016</v>
      </c>
      <c r="R864" s="9">
        <v>42695</v>
      </c>
      <c r="S864">
        <v>348</v>
      </c>
      <c r="T864">
        <v>1</v>
      </c>
      <c r="U864">
        <v>0</v>
      </c>
      <c r="V864">
        <v>0</v>
      </c>
      <c r="W864">
        <v>0</v>
      </c>
      <c r="X864" s="57">
        <f t="shared" si="101"/>
        <v>-51.4437055</v>
      </c>
      <c r="Y864">
        <v>-23.77</v>
      </c>
      <c r="Z864">
        <v>5.16</v>
      </c>
      <c r="AA864" s="3">
        <f t="shared" si="102"/>
        <v>5</v>
      </c>
      <c r="AB864" s="3">
        <f t="shared" ref="AB864:AB927" si="105">ROUND(Z864,0)</f>
        <v>5</v>
      </c>
      <c r="AD864" s="3" t="s">
        <v>2751</v>
      </c>
      <c r="AE864" s="22">
        <v>-65.374964399999996</v>
      </c>
      <c r="AF864" s="22">
        <f t="shared" si="103"/>
        <v>-65.374964399999996</v>
      </c>
      <c r="AG864" s="60" t="s">
        <v>16</v>
      </c>
      <c r="AH864" s="61" t="s">
        <v>16</v>
      </c>
      <c r="AJ864" s="3">
        <f t="shared" si="104"/>
        <v>7</v>
      </c>
      <c r="AK864" s="3" t="s">
        <v>2706</v>
      </c>
      <c r="AL864">
        <v>7</v>
      </c>
      <c r="AM864" t="s">
        <v>15</v>
      </c>
    </row>
    <row r="865" spans="1:39" hidden="1" x14ac:dyDescent="0.3">
      <c r="A865" s="51" t="s">
        <v>145</v>
      </c>
      <c r="B865" s="54" t="s">
        <v>146</v>
      </c>
      <c r="C865" s="51" t="s">
        <v>2765</v>
      </c>
      <c r="D865" s="53">
        <v>0</v>
      </c>
      <c r="E865" s="53">
        <v>1</v>
      </c>
      <c r="F865" s="51" t="s">
        <v>2715</v>
      </c>
      <c r="G865" s="51" t="s">
        <v>2695</v>
      </c>
      <c r="H865" s="25" t="str">
        <f t="shared" si="100"/>
        <v>jgd</v>
      </c>
      <c r="I865" t="s">
        <v>13</v>
      </c>
      <c r="J865" t="s">
        <v>147</v>
      </c>
      <c r="K865" t="s">
        <v>148</v>
      </c>
      <c r="L865" s="25">
        <v>46.878063949999998</v>
      </c>
      <c r="M865" s="25">
        <v>6.5665840559999999</v>
      </c>
      <c r="N865">
        <v>6</v>
      </c>
      <c r="O865">
        <v>25</v>
      </c>
      <c r="P865">
        <v>9</v>
      </c>
      <c r="Q865">
        <v>2013</v>
      </c>
      <c r="R865" s="9">
        <v>41542</v>
      </c>
      <c r="S865">
        <v>326</v>
      </c>
      <c r="T865">
        <v>1</v>
      </c>
      <c r="U865">
        <v>0</v>
      </c>
      <c r="V865">
        <v>0</v>
      </c>
      <c r="W865">
        <v>0</v>
      </c>
      <c r="X865">
        <f t="shared" si="101"/>
        <v>-51.387499999999996</v>
      </c>
      <c r="Y865">
        <v>-19.858719350000001</v>
      </c>
      <c r="Z865">
        <v>-0.81580938400000003</v>
      </c>
      <c r="AA865" s="3">
        <f t="shared" si="102"/>
        <v>5</v>
      </c>
      <c r="AB865" s="3">
        <f t="shared" si="105"/>
        <v>-1</v>
      </c>
      <c r="AD865" s="3" t="s">
        <v>2750</v>
      </c>
      <c r="AE865" s="22">
        <v>-65.33</v>
      </c>
      <c r="AF865" s="22">
        <f t="shared" si="103"/>
        <v>-65.33</v>
      </c>
      <c r="AG865" s="1">
        <v>-87.9</v>
      </c>
      <c r="AH865" s="2" t="s">
        <v>16</v>
      </c>
      <c r="AI865"/>
      <c r="AJ865" s="3">
        <f t="shared" si="104"/>
        <v>7</v>
      </c>
      <c r="AK865" s="3" t="s">
        <v>2706</v>
      </c>
      <c r="AL865">
        <v>7</v>
      </c>
      <c r="AM865" t="s">
        <v>15</v>
      </c>
    </row>
    <row r="866" spans="1:39" hidden="1" x14ac:dyDescent="0.3">
      <c r="A866" s="51" t="s">
        <v>1086</v>
      </c>
      <c r="B866" s="54" t="s">
        <v>1087</v>
      </c>
      <c r="C866" s="51" t="s">
        <v>2765</v>
      </c>
      <c r="D866" s="53">
        <v>0</v>
      </c>
      <c r="E866" s="53">
        <v>1</v>
      </c>
      <c r="F866" s="51" t="s">
        <v>2715</v>
      </c>
      <c r="G866" s="51" t="s">
        <v>2695</v>
      </c>
      <c r="H866" s="25" t="str">
        <f t="shared" si="100"/>
        <v>jgd</v>
      </c>
      <c r="I866" t="s">
        <v>13</v>
      </c>
      <c r="J866" t="s">
        <v>519</v>
      </c>
      <c r="K866" t="s">
        <v>1088</v>
      </c>
      <c r="L866" s="25">
        <v>47.033170009999999</v>
      </c>
      <c r="M866" s="25">
        <v>6.8254223730000003</v>
      </c>
      <c r="N866">
        <v>6</v>
      </c>
      <c r="O866">
        <v>7</v>
      </c>
      <c r="P866">
        <v>11</v>
      </c>
      <c r="Q866">
        <v>2015</v>
      </c>
      <c r="R866" s="9">
        <v>42315</v>
      </c>
      <c r="S866">
        <v>305</v>
      </c>
      <c r="T866">
        <v>1</v>
      </c>
      <c r="U866">
        <v>0</v>
      </c>
      <c r="V866">
        <v>0</v>
      </c>
      <c r="W866">
        <v>0</v>
      </c>
      <c r="X866">
        <f t="shared" si="101"/>
        <v>-50.88750000000001</v>
      </c>
      <c r="Y866">
        <v>-22.41825</v>
      </c>
      <c r="Z866">
        <v>3.2468357640000001</v>
      </c>
      <c r="AA866" s="3">
        <f t="shared" si="102"/>
        <v>5</v>
      </c>
      <c r="AB866" s="3">
        <f t="shared" si="105"/>
        <v>3</v>
      </c>
      <c r="AD866" s="3" t="s">
        <v>2750</v>
      </c>
      <c r="AE866" s="22">
        <v>-64.930000000000007</v>
      </c>
      <c r="AF866" s="22">
        <f t="shared" si="103"/>
        <v>-64.930000000000007</v>
      </c>
      <c r="AG866" s="1">
        <v>-87.5</v>
      </c>
      <c r="AH866" s="2" t="s">
        <v>16</v>
      </c>
      <c r="AI866"/>
      <c r="AJ866" s="3">
        <f t="shared" si="104"/>
        <v>6</v>
      </c>
      <c r="AK866" s="3" t="s">
        <v>2708</v>
      </c>
      <c r="AL866">
        <v>6</v>
      </c>
      <c r="AM866" t="s">
        <v>15</v>
      </c>
    </row>
    <row r="867" spans="1:39" x14ac:dyDescent="0.3">
      <c r="A867" s="51" t="s">
        <v>1658</v>
      </c>
      <c r="B867" s="54" t="s">
        <v>1659</v>
      </c>
      <c r="C867" s="51" t="s">
        <v>2765</v>
      </c>
      <c r="D867" s="53">
        <v>0</v>
      </c>
      <c r="E867" s="53">
        <v>1</v>
      </c>
      <c r="F867" s="51" t="s">
        <v>2715</v>
      </c>
      <c r="G867" s="51" t="s">
        <v>2695</v>
      </c>
      <c r="H867" s="25" t="str">
        <f t="shared" si="100"/>
        <v>jgd</v>
      </c>
      <c r="I867" t="s">
        <v>72</v>
      </c>
      <c r="J867" t="s">
        <v>931</v>
      </c>
      <c r="K867" t="s">
        <v>16</v>
      </c>
      <c r="L867" s="25">
        <v>46.049990649999998</v>
      </c>
      <c r="M867" s="25">
        <v>8.8663758159999997</v>
      </c>
      <c r="N867">
        <v>5</v>
      </c>
      <c r="O867">
        <v>13</v>
      </c>
      <c r="P867">
        <v>11</v>
      </c>
      <c r="Q867">
        <v>2016</v>
      </c>
      <c r="R867" s="9">
        <v>42687</v>
      </c>
      <c r="S867">
        <v>310</v>
      </c>
      <c r="T867">
        <v>1</v>
      </c>
      <c r="U867">
        <v>0</v>
      </c>
      <c r="V867">
        <v>0</v>
      </c>
      <c r="W867">
        <v>0</v>
      </c>
      <c r="X867" s="57">
        <f t="shared" si="101"/>
        <v>-50.554360875000008</v>
      </c>
      <c r="Y867">
        <v>-23.34</v>
      </c>
      <c r="Z867">
        <v>1.75</v>
      </c>
      <c r="AA867" s="3">
        <f t="shared" si="102"/>
        <v>5</v>
      </c>
      <c r="AB867" s="3">
        <f t="shared" si="105"/>
        <v>2</v>
      </c>
      <c r="AD867" s="3" t="s">
        <v>2754</v>
      </c>
      <c r="AE867" s="22">
        <v>-64.663488700000002</v>
      </c>
      <c r="AF867" s="22">
        <f t="shared" si="103"/>
        <v>-64.663488700000002</v>
      </c>
      <c r="AG867" s="60" t="s">
        <v>16</v>
      </c>
      <c r="AH867" s="61" t="s">
        <v>16</v>
      </c>
      <c r="AJ867" s="3">
        <f t="shared" si="104"/>
        <v>6</v>
      </c>
      <c r="AK867" s="3" t="s">
        <v>2708</v>
      </c>
      <c r="AL867">
        <v>6</v>
      </c>
      <c r="AM867" t="s">
        <v>15</v>
      </c>
    </row>
    <row r="868" spans="1:39" x14ac:dyDescent="0.3">
      <c r="A868" s="51" t="s">
        <v>1425</v>
      </c>
      <c r="B868" s="54" t="s">
        <v>71</v>
      </c>
      <c r="C868" s="51" t="s">
        <v>2765</v>
      </c>
      <c r="D868" s="53">
        <v>0</v>
      </c>
      <c r="E868" s="53">
        <v>1</v>
      </c>
      <c r="F868" s="51" t="s">
        <v>2715</v>
      </c>
      <c r="G868" s="51" t="s">
        <v>2695</v>
      </c>
      <c r="H868" s="25" t="str">
        <f t="shared" si="100"/>
        <v>jgd</v>
      </c>
      <c r="I868" t="s">
        <v>72</v>
      </c>
      <c r="J868" t="s">
        <v>1189</v>
      </c>
      <c r="K868" t="s">
        <v>668</v>
      </c>
      <c r="L868" s="25">
        <v>46.07526764</v>
      </c>
      <c r="M868" s="25">
        <v>9.0382636890000008</v>
      </c>
      <c r="N868">
        <v>5</v>
      </c>
      <c r="O868">
        <v>6</v>
      </c>
      <c r="P868">
        <v>11</v>
      </c>
      <c r="Q868">
        <v>2016</v>
      </c>
      <c r="R868" s="9">
        <v>42680</v>
      </c>
      <c r="S868">
        <v>310</v>
      </c>
      <c r="T868">
        <v>1</v>
      </c>
      <c r="U868">
        <v>0</v>
      </c>
      <c r="V868">
        <v>0</v>
      </c>
      <c r="W868">
        <v>0</v>
      </c>
      <c r="X868" s="57">
        <f t="shared" si="101"/>
        <v>-49.844715000000001</v>
      </c>
      <c r="Y868">
        <v>-23.29</v>
      </c>
      <c r="Z868">
        <v>8.09</v>
      </c>
      <c r="AA868" s="3">
        <f t="shared" si="102"/>
        <v>5</v>
      </c>
      <c r="AB868" s="3">
        <f t="shared" si="105"/>
        <v>8</v>
      </c>
      <c r="AD868" s="3" t="s">
        <v>2754</v>
      </c>
      <c r="AE868" s="22">
        <v>-64.095771999999997</v>
      </c>
      <c r="AF868" s="22">
        <f t="shared" si="103"/>
        <v>-64.095771999999997</v>
      </c>
      <c r="AG868" s="60" t="s">
        <v>16</v>
      </c>
      <c r="AH868" s="61" t="s">
        <v>16</v>
      </c>
      <c r="AJ868" s="3">
        <f t="shared" si="104"/>
        <v>6</v>
      </c>
      <c r="AK868" s="3" t="s">
        <v>2708</v>
      </c>
      <c r="AL868">
        <v>6</v>
      </c>
      <c r="AM868" t="s">
        <v>15</v>
      </c>
    </row>
    <row r="869" spans="1:39" x14ac:dyDescent="0.3">
      <c r="A869" s="51" t="s">
        <v>1536</v>
      </c>
      <c r="B869" s="54" t="s">
        <v>1537</v>
      </c>
      <c r="C869" s="51" t="s">
        <v>2765</v>
      </c>
      <c r="D869" s="53">
        <v>0</v>
      </c>
      <c r="E869" s="53">
        <v>1</v>
      </c>
      <c r="F869" s="51" t="s">
        <v>2715</v>
      </c>
      <c r="G869" s="51" t="s">
        <v>2695</v>
      </c>
      <c r="H869" s="25" t="str">
        <f t="shared" si="100"/>
        <v>jgd</v>
      </c>
      <c r="I869" t="s">
        <v>72</v>
      </c>
      <c r="J869" t="s">
        <v>1310</v>
      </c>
      <c r="K869" t="s">
        <v>740</v>
      </c>
      <c r="L869" s="25">
        <v>46.215557160000003</v>
      </c>
      <c r="M869" s="25">
        <v>8.6906939619999992</v>
      </c>
      <c r="N869">
        <v>6</v>
      </c>
      <c r="O869">
        <v>29</v>
      </c>
      <c r="P869">
        <v>10</v>
      </c>
      <c r="Q869">
        <v>2016</v>
      </c>
      <c r="R869" s="9">
        <v>42672</v>
      </c>
      <c r="S869">
        <v>330</v>
      </c>
      <c r="T869">
        <v>1</v>
      </c>
      <c r="U869">
        <v>0</v>
      </c>
      <c r="V869">
        <v>0</v>
      </c>
      <c r="W869">
        <v>0</v>
      </c>
      <c r="X869" s="57">
        <f t="shared" si="101"/>
        <v>-49.682072250000012</v>
      </c>
      <c r="Y869">
        <v>-23.67</v>
      </c>
      <c r="Z869">
        <v>5.21</v>
      </c>
      <c r="AA869" s="3">
        <f t="shared" si="102"/>
        <v>5</v>
      </c>
      <c r="AB869" s="3">
        <f t="shared" si="105"/>
        <v>5</v>
      </c>
      <c r="AD869" s="3" t="s">
        <v>2754</v>
      </c>
      <c r="AE869" s="22">
        <v>-63.965657800000002</v>
      </c>
      <c r="AF869" s="22">
        <f t="shared" si="103"/>
        <v>-63.965657800000002</v>
      </c>
      <c r="AG869" s="60" t="s">
        <v>16</v>
      </c>
      <c r="AH869" s="61" t="s">
        <v>16</v>
      </c>
      <c r="AJ869" s="3">
        <f t="shared" si="104"/>
        <v>6</v>
      </c>
      <c r="AK869" s="3" t="s">
        <v>2708</v>
      </c>
      <c r="AL869">
        <v>6</v>
      </c>
      <c r="AM869" t="s">
        <v>15</v>
      </c>
    </row>
    <row r="870" spans="1:39" x14ac:dyDescent="0.3">
      <c r="A870" s="51" t="s">
        <v>1191</v>
      </c>
      <c r="B870" s="54" t="s">
        <v>1192</v>
      </c>
      <c r="C870" s="51" t="s">
        <v>2765</v>
      </c>
      <c r="D870" s="53">
        <v>0</v>
      </c>
      <c r="E870" s="53">
        <v>1</v>
      </c>
      <c r="F870" s="51" t="s">
        <v>2715</v>
      </c>
      <c r="G870" s="51" t="s">
        <v>2695</v>
      </c>
      <c r="H870" s="25" t="str">
        <f t="shared" si="100"/>
        <v>jgd</v>
      </c>
      <c r="I870" t="s">
        <v>72</v>
      </c>
      <c r="J870" t="s">
        <v>712</v>
      </c>
      <c r="K870" t="s">
        <v>1193</v>
      </c>
      <c r="L870" s="25">
        <v>46.497211870000001</v>
      </c>
      <c r="M870" s="25">
        <v>8.7665490239999997</v>
      </c>
      <c r="N870">
        <v>5</v>
      </c>
      <c r="O870">
        <v>24</v>
      </c>
      <c r="P870">
        <v>10</v>
      </c>
      <c r="Q870">
        <v>2015</v>
      </c>
      <c r="R870" s="9">
        <v>42301</v>
      </c>
      <c r="S870">
        <v>340</v>
      </c>
      <c r="T870">
        <v>1</v>
      </c>
      <c r="U870">
        <v>0</v>
      </c>
      <c r="V870">
        <v>0</v>
      </c>
      <c r="W870">
        <v>0</v>
      </c>
      <c r="X870">
        <f t="shared" si="101"/>
        <v>-49.537500000000001</v>
      </c>
      <c r="Y870">
        <v>-24.221399999999999</v>
      </c>
      <c r="Z870">
        <v>5.401063486</v>
      </c>
      <c r="AA870" s="3">
        <f t="shared" si="102"/>
        <v>5</v>
      </c>
      <c r="AB870" s="3">
        <f t="shared" si="105"/>
        <v>5</v>
      </c>
      <c r="AD870" s="3" t="s">
        <v>2754</v>
      </c>
      <c r="AE870" s="22">
        <v>-63.85</v>
      </c>
      <c r="AF870" s="22">
        <f t="shared" si="103"/>
        <v>-63.85</v>
      </c>
      <c r="AG870" s="1">
        <v>-86.4</v>
      </c>
      <c r="AH870" s="2" t="s">
        <v>16</v>
      </c>
      <c r="AI870"/>
      <c r="AJ870" s="3">
        <f t="shared" si="104"/>
        <v>6</v>
      </c>
      <c r="AK870" s="3" t="s">
        <v>2708</v>
      </c>
      <c r="AL870">
        <v>6</v>
      </c>
      <c r="AM870" t="s">
        <v>15</v>
      </c>
    </row>
    <row r="871" spans="1:39" x14ac:dyDescent="0.3">
      <c r="A871" s="51" t="s">
        <v>662</v>
      </c>
      <c r="B871" s="54" t="s">
        <v>310</v>
      </c>
      <c r="C871" s="51" t="s">
        <v>2765</v>
      </c>
      <c r="D871" s="53">
        <v>0</v>
      </c>
      <c r="E871" s="53">
        <v>1</v>
      </c>
      <c r="F871" s="51" t="s">
        <v>2715</v>
      </c>
      <c r="G871" s="51" t="s">
        <v>2695</v>
      </c>
      <c r="H871" s="25" t="str">
        <f t="shared" si="100"/>
        <v>jgd</v>
      </c>
      <c r="I871" t="s">
        <v>72</v>
      </c>
      <c r="J871" t="s">
        <v>73</v>
      </c>
      <c r="K871" t="s">
        <v>661</v>
      </c>
      <c r="L871" s="25">
        <v>46.078048070000001</v>
      </c>
      <c r="M871" s="25">
        <v>9.0325272759999997</v>
      </c>
      <c r="N871">
        <v>5</v>
      </c>
      <c r="O871">
        <v>7</v>
      </c>
      <c r="P871">
        <v>11</v>
      </c>
      <c r="Q871">
        <v>2015</v>
      </c>
      <c r="R871" s="9">
        <v>42315</v>
      </c>
      <c r="S871">
        <v>320</v>
      </c>
      <c r="T871">
        <v>1</v>
      </c>
      <c r="U871">
        <v>0</v>
      </c>
      <c r="V871">
        <v>0</v>
      </c>
      <c r="W871">
        <v>0</v>
      </c>
      <c r="X871">
        <f t="shared" si="101"/>
        <v>-49.449999999999996</v>
      </c>
      <c r="Y871">
        <v>-23.185400000000001</v>
      </c>
      <c r="Z871">
        <v>2.897333508</v>
      </c>
      <c r="AA871" s="3">
        <f t="shared" si="102"/>
        <v>5</v>
      </c>
      <c r="AB871" s="3">
        <f t="shared" si="105"/>
        <v>3</v>
      </c>
      <c r="AD871" s="3" t="s">
        <v>2754</v>
      </c>
      <c r="AE871" s="22">
        <v>-63.78</v>
      </c>
      <c r="AF871" s="22">
        <f t="shared" si="103"/>
        <v>-63.78</v>
      </c>
      <c r="AG871" s="1">
        <v>-86.3</v>
      </c>
      <c r="AH871" s="2" t="s">
        <v>16</v>
      </c>
      <c r="AI871"/>
      <c r="AJ871" s="3">
        <f t="shared" si="104"/>
        <v>6</v>
      </c>
      <c r="AK871" s="3" t="s">
        <v>2708</v>
      </c>
      <c r="AL871">
        <v>6</v>
      </c>
      <c r="AM871" t="s">
        <v>15</v>
      </c>
    </row>
    <row r="872" spans="1:39" hidden="1" x14ac:dyDescent="0.3">
      <c r="A872" s="51" t="s">
        <v>2730</v>
      </c>
      <c r="B872" s="54" t="s">
        <v>500</v>
      </c>
      <c r="C872" s="51" t="s">
        <v>2765</v>
      </c>
      <c r="D872" s="53">
        <v>0</v>
      </c>
      <c r="E872" s="53">
        <v>1</v>
      </c>
      <c r="F872" s="51" t="s">
        <v>2715</v>
      </c>
      <c r="G872" s="51" t="s">
        <v>2695</v>
      </c>
      <c r="H872" s="25" t="str">
        <f t="shared" si="100"/>
        <v>jgd</v>
      </c>
      <c r="I872" t="s">
        <v>13</v>
      </c>
      <c r="J872" t="s">
        <v>21</v>
      </c>
      <c r="K872" t="s">
        <v>22</v>
      </c>
      <c r="L872" s="25">
        <v>46.967609510000003</v>
      </c>
      <c r="M872" s="25">
        <v>6.647379065</v>
      </c>
      <c r="N872">
        <v>5</v>
      </c>
      <c r="O872">
        <v>11</v>
      </c>
      <c r="P872">
        <v>11</v>
      </c>
      <c r="Q872">
        <v>2014</v>
      </c>
      <c r="R872" s="9">
        <v>41954</v>
      </c>
      <c r="S872">
        <v>315</v>
      </c>
      <c r="T872">
        <v>1</v>
      </c>
      <c r="U872">
        <v>0</v>
      </c>
      <c r="V872">
        <v>0</v>
      </c>
      <c r="W872">
        <v>0</v>
      </c>
      <c r="X872">
        <f t="shared" si="101"/>
        <v>-49.425000000000004</v>
      </c>
      <c r="Y872">
        <v>-24.998285710000001</v>
      </c>
      <c r="Z872">
        <v>5.072076161</v>
      </c>
      <c r="AA872" s="3">
        <f t="shared" si="102"/>
        <v>5</v>
      </c>
      <c r="AB872" s="3">
        <f t="shared" si="105"/>
        <v>5</v>
      </c>
      <c r="AD872" s="3" t="s">
        <v>2750</v>
      </c>
      <c r="AE872" s="22">
        <v>-63.76</v>
      </c>
      <c r="AF872" s="22">
        <f t="shared" si="103"/>
        <v>-63.76</v>
      </c>
      <c r="AG872" s="1">
        <v>-86.3</v>
      </c>
      <c r="AH872" s="2" t="s">
        <v>16</v>
      </c>
      <c r="AI872"/>
      <c r="AJ872" s="3">
        <f t="shared" si="104"/>
        <v>6</v>
      </c>
      <c r="AK872" s="3" t="s">
        <v>2708</v>
      </c>
      <c r="AL872">
        <v>6</v>
      </c>
      <c r="AM872" t="s">
        <v>15</v>
      </c>
    </row>
    <row r="873" spans="1:39" x14ac:dyDescent="0.3">
      <c r="A873" s="51" t="s">
        <v>2540</v>
      </c>
      <c r="B873" s="54" t="s">
        <v>1292</v>
      </c>
      <c r="C873" s="51" t="s">
        <v>2765</v>
      </c>
      <c r="D873" s="53">
        <v>0</v>
      </c>
      <c r="E873" s="53">
        <v>1</v>
      </c>
      <c r="F873" s="51" t="s">
        <v>2715</v>
      </c>
      <c r="G873" s="51" t="s">
        <v>2695</v>
      </c>
      <c r="H873" s="25" t="str">
        <f t="shared" si="100"/>
        <v>jgd</v>
      </c>
      <c r="I873" t="s">
        <v>72</v>
      </c>
      <c r="J873" t="s">
        <v>2538</v>
      </c>
      <c r="K873" t="s">
        <v>2541</v>
      </c>
      <c r="L873" s="25">
        <v>46.082250639999998</v>
      </c>
      <c r="M873" s="25">
        <v>9.0533373220000009</v>
      </c>
      <c r="N873">
        <v>5</v>
      </c>
      <c r="O873">
        <v>28</v>
      </c>
      <c r="P873">
        <v>10</v>
      </c>
      <c r="Q873">
        <v>2017</v>
      </c>
      <c r="R873" s="9">
        <v>43036</v>
      </c>
      <c r="S873">
        <v>320</v>
      </c>
      <c r="T873">
        <v>1</v>
      </c>
      <c r="U873">
        <v>0</v>
      </c>
      <c r="V873">
        <v>0</v>
      </c>
      <c r="W873">
        <v>0</v>
      </c>
      <c r="X873" s="57">
        <f t="shared" si="101"/>
        <v>-48.714509499999998</v>
      </c>
      <c r="Y873" t="s">
        <v>16</v>
      </c>
      <c r="Z873">
        <v>7.6493825000000001E-2</v>
      </c>
      <c r="AA873" s="3">
        <f t="shared" si="102"/>
        <v>5</v>
      </c>
      <c r="AB873" s="3">
        <f t="shared" si="105"/>
        <v>0</v>
      </c>
      <c r="AD873" s="3" t="s">
        <v>2754</v>
      </c>
      <c r="AE873" s="22">
        <v>-63.191607599999998</v>
      </c>
      <c r="AF873" s="22">
        <f t="shared" si="103"/>
        <v>-63.191607599999998</v>
      </c>
      <c r="AG873" s="60" t="s">
        <v>16</v>
      </c>
      <c r="AH873" s="61" t="s">
        <v>16</v>
      </c>
      <c r="AJ873" s="3">
        <f t="shared" si="104"/>
        <v>6</v>
      </c>
      <c r="AK873" s="3" t="s">
        <v>2708</v>
      </c>
      <c r="AL873">
        <v>6</v>
      </c>
      <c r="AM873" t="s">
        <v>15</v>
      </c>
    </row>
    <row r="874" spans="1:39" x14ac:dyDescent="0.3">
      <c r="A874" s="51" t="s">
        <v>696</v>
      </c>
      <c r="B874" s="54" t="s">
        <v>697</v>
      </c>
      <c r="C874" s="51" t="s">
        <v>2765</v>
      </c>
      <c r="D874" s="53">
        <v>0</v>
      </c>
      <c r="E874" s="53">
        <v>1</v>
      </c>
      <c r="F874" s="51" t="s">
        <v>2715</v>
      </c>
      <c r="G874" s="51" t="s">
        <v>2695</v>
      </c>
      <c r="H874" s="25" t="str">
        <f t="shared" si="100"/>
        <v>jgd</v>
      </c>
      <c r="I874" t="s">
        <v>72</v>
      </c>
      <c r="J874" t="s">
        <v>694</v>
      </c>
      <c r="K874" t="s">
        <v>698</v>
      </c>
      <c r="L874" s="25">
        <v>46.128451750000004</v>
      </c>
      <c r="M874" s="25">
        <v>8.8981264580000001</v>
      </c>
      <c r="N874">
        <v>5</v>
      </c>
      <c r="O874">
        <v>5</v>
      </c>
      <c r="P874">
        <v>11</v>
      </c>
      <c r="Q874">
        <v>2015</v>
      </c>
      <c r="R874" s="9">
        <v>42313</v>
      </c>
      <c r="S874">
        <v>230</v>
      </c>
      <c r="T874">
        <v>1</v>
      </c>
      <c r="U874">
        <v>0</v>
      </c>
      <c r="V874">
        <v>0</v>
      </c>
      <c r="W874">
        <v>0</v>
      </c>
      <c r="X874">
        <f t="shared" si="101"/>
        <v>-48.512499999999996</v>
      </c>
      <c r="Y874">
        <v>-23.327324229999999</v>
      </c>
      <c r="Z874">
        <v>7.1451345750000002</v>
      </c>
      <c r="AA874" s="3">
        <f t="shared" si="102"/>
        <v>5</v>
      </c>
      <c r="AB874" s="3">
        <f t="shared" si="105"/>
        <v>7</v>
      </c>
      <c r="AD874" s="3" t="s">
        <v>2754</v>
      </c>
      <c r="AE874" s="22">
        <v>-63.03</v>
      </c>
      <c r="AF874" s="22">
        <f t="shared" si="103"/>
        <v>-63.03</v>
      </c>
      <c r="AG874" s="1">
        <v>-85.5</v>
      </c>
      <c r="AH874" s="2" t="s">
        <v>16</v>
      </c>
      <c r="AI874"/>
      <c r="AJ874" s="3">
        <f t="shared" si="104"/>
        <v>6</v>
      </c>
      <c r="AK874" s="3" t="s">
        <v>2708</v>
      </c>
      <c r="AL874">
        <v>6</v>
      </c>
      <c r="AM874" t="s">
        <v>15</v>
      </c>
    </row>
    <row r="875" spans="1:39" x14ac:dyDescent="0.3">
      <c r="A875" s="51" t="s">
        <v>1111</v>
      </c>
      <c r="B875" s="54" t="s">
        <v>1112</v>
      </c>
      <c r="C875" s="51" t="s">
        <v>2765</v>
      </c>
      <c r="D875" s="53">
        <v>0</v>
      </c>
      <c r="E875" s="53">
        <v>1</v>
      </c>
      <c r="F875" s="51" t="s">
        <v>2715</v>
      </c>
      <c r="G875" s="51" t="s">
        <v>2695</v>
      </c>
      <c r="H875" s="25" t="str">
        <f t="shared" si="100"/>
        <v>jgd</v>
      </c>
      <c r="I875" t="s">
        <v>72</v>
      </c>
      <c r="J875" t="s">
        <v>1109</v>
      </c>
      <c r="K875" t="s">
        <v>1110</v>
      </c>
      <c r="L875" s="25">
        <v>46.05008686</v>
      </c>
      <c r="M875" s="25">
        <v>8.8371759050000005</v>
      </c>
      <c r="N875">
        <v>5</v>
      </c>
      <c r="O875">
        <v>27</v>
      </c>
      <c r="P875">
        <v>10</v>
      </c>
      <c r="Q875">
        <v>2015</v>
      </c>
      <c r="R875" s="9">
        <v>42304</v>
      </c>
      <c r="S875" t="s">
        <v>16</v>
      </c>
      <c r="T875">
        <v>1</v>
      </c>
      <c r="U875">
        <v>0</v>
      </c>
      <c r="V875">
        <v>0</v>
      </c>
      <c r="W875">
        <v>0</v>
      </c>
      <c r="X875">
        <f t="shared" si="101"/>
        <v>-48.437500000000007</v>
      </c>
      <c r="Y875">
        <v>-24.308138960000001</v>
      </c>
      <c r="Z875">
        <v>6.106018154</v>
      </c>
      <c r="AA875" s="3">
        <f t="shared" si="102"/>
        <v>5</v>
      </c>
      <c r="AB875" s="3">
        <f t="shared" si="105"/>
        <v>6</v>
      </c>
      <c r="AD875" s="3" t="s">
        <v>2754</v>
      </c>
      <c r="AE875" s="22">
        <v>-62.97</v>
      </c>
      <c r="AF875" s="22">
        <f t="shared" si="103"/>
        <v>-62.97</v>
      </c>
      <c r="AG875" s="1">
        <v>-85.5</v>
      </c>
      <c r="AH875" s="2" t="s">
        <v>16</v>
      </c>
      <c r="AI875"/>
      <c r="AJ875" s="3">
        <f t="shared" si="104"/>
        <v>6</v>
      </c>
      <c r="AK875" s="3" t="s">
        <v>2708</v>
      </c>
      <c r="AL875">
        <v>6</v>
      </c>
      <c r="AM875" t="s">
        <v>15</v>
      </c>
    </row>
    <row r="876" spans="1:39" hidden="1" x14ac:dyDescent="0.3">
      <c r="A876" s="51" t="s">
        <v>554</v>
      </c>
      <c r="B876" s="54" t="s">
        <v>555</v>
      </c>
      <c r="C876" s="51" t="s">
        <v>2765</v>
      </c>
      <c r="D876" s="53">
        <v>0</v>
      </c>
      <c r="E876" s="53">
        <v>1</v>
      </c>
      <c r="F876" s="51" t="s">
        <v>2715</v>
      </c>
      <c r="G876" s="51" t="s">
        <v>2695</v>
      </c>
      <c r="H876" s="25" t="str">
        <f t="shared" si="100"/>
        <v>jgd</v>
      </c>
      <c r="I876" t="s">
        <v>13</v>
      </c>
      <c r="J876" t="s">
        <v>552</v>
      </c>
      <c r="K876" t="s">
        <v>553</v>
      </c>
      <c r="L876" s="25">
        <v>47.073641840000001</v>
      </c>
      <c r="M876" s="25">
        <v>6.8731488110000001</v>
      </c>
      <c r="N876">
        <v>6</v>
      </c>
      <c r="O876">
        <v>27</v>
      </c>
      <c r="P876">
        <v>10</v>
      </c>
      <c r="Q876">
        <v>2014</v>
      </c>
      <c r="R876" s="9">
        <v>41939</v>
      </c>
      <c r="S876">
        <v>305</v>
      </c>
      <c r="T876">
        <v>1</v>
      </c>
      <c r="U876">
        <v>0</v>
      </c>
      <c r="V876">
        <v>0</v>
      </c>
      <c r="W876">
        <v>0</v>
      </c>
      <c r="X876">
        <f t="shared" si="101"/>
        <v>-48.262499999999996</v>
      </c>
      <c r="Y876">
        <v>-24.06428571</v>
      </c>
      <c r="Z876">
        <v>6.4322336260000004</v>
      </c>
      <c r="AA876" s="3">
        <f t="shared" si="102"/>
        <v>5</v>
      </c>
      <c r="AB876" s="3">
        <f t="shared" si="105"/>
        <v>6</v>
      </c>
      <c r="AD876" s="3" t="s">
        <v>2750</v>
      </c>
      <c r="AE876" s="22">
        <v>-62.83</v>
      </c>
      <c r="AF876" s="22">
        <f t="shared" si="103"/>
        <v>-62.83</v>
      </c>
      <c r="AG876" s="1">
        <v>-85.3</v>
      </c>
      <c r="AH876" s="2" t="s">
        <v>16</v>
      </c>
      <c r="AI876"/>
      <c r="AJ876" s="3">
        <f t="shared" si="104"/>
        <v>6</v>
      </c>
      <c r="AK876" s="3" t="s">
        <v>2708</v>
      </c>
      <c r="AL876">
        <v>6</v>
      </c>
      <c r="AM876" t="s">
        <v>15</v>
      </c>
    </row>
    <row r="877" spans="1:39" hidden="1" x14ac:dyDescent="0.3">
      <c r="A877" s="51" t="s">
        <v>2091</v>
      </c>
      <c r="B877" s="54" t="s">
        <v>2092</v>
      </c>
      <c r="C877" s="51" t="s">
        <v>2765</v>
      </c>
      <c r="D877" s="53">
        <v>0</v>
      </c>
      <c r="E877" s="53">
        <v>1</v>
      </c>
      <c r="F877" s="51" t="s">
        <v>2715</v>
      </c>
      <c r="G877" s="51" t="s">
        <v>2695</v>
      </c>
      <c r="H877" s="25" t="str">
        <f t="shared" si="100"/>
        <v>jgd</v>
      </c>
      <c r="I877" t="s">
        <v>778</v>
      </c>
      <c r="J877" t="s">
        <v>1560</v>
      </c>
      <c r="K877" t="s">
        <v>2093</v>
      </c>
      <c r="L877" s="25">
        <v>46.172967270000001</v>
      </c>
      <c r="M877" s="25">
        <v>7.4192143230000003</v>
      </c>
      <c r="N877">
        <v>3</v>
      </c>
      <c r="O877">
        <v>26</v>
      </c>
      <c r="P877">
        <v>10</v>
      </c>
      <c r="Q877">
        <v>2017</v>
      </c>
      <c r="R877" s="9">
        <v>43034</v>
      </c>
      <c r="S877">
        <v>248</v>
      </c>
      <c r="T877">
        <v>1</v>
      </c>
      <c r="U877">
        <v>0</v>
      </c>
      <c r="V877">
        <v>0</v>
      </c>
      <c r="W877">
        <v>0</v>
      </c>
      <c r="X877" s="57">
        <f t="shared" si="101"/>
        <v>-48.221211375000003</v>
      </c>
      <c r="Y877" t="s">
        <v>16</v>
      </c>
      <c r="Z877">
        <v>1.4538079669999999</v>
      </c>
      <c r="AA877" s="3">
        <f t="shared" si="102"/>
        <v>5</v>
      </c>
      <c r="AB877" s="3">
        <f t="shared" si="105"/>
        <v>1</v>
      </c>
      <c r="AD877" s="3" t="s">
        <v>2753</v>
      </c>
      <c r="AE877" s="22">
        <v>-62.796969099999998</v>
      </c>
      <c r="AF877" s="22">
        <f t="shared" si="103"/>
        <v>-62.796969099999998</v>
      </c>
      <c r="AG877" s="60" t="s">
        <v>16</v>
      </c>
      <c r="AH877" s="61" t="s">
        <v>16</v>
      </c>
      <c r="AJ877" s="3">
        <f t="shared" si="104"/>
        <v>6</v>
      </c>
      <c r="AK877" s="3" t="s">
        <v>2708</v>
      </c>
      <c r="AL877">
        <v>6</v>
      </c>
      <c r="AM877" t="s">
        <v>15</v>
      </c>
    </row>
    <row r="878" spans="1:39" x14ac:dyDescent="0.3">
      <c r="A878" s="51" t="s">
        <v>2482</v>
      </c>
      <c r="B878" s="54" t="s">
        <v>2483</v>
      </c>
      <c r="C878" s="51" t="s">
        <v>2765</v>
      </c>
      <c r="D878" s="53">
        <v>0</v>
      </c>
      <c r="E878" s="53">
        <v>1</v>
      </c>
      <c r="F878" s="51" t="s">
        <v>2715</v>
      </c>
      <c r="G878" s="51" t="s">
        <v>2695</v>
      </c>
      <c r="H878" s="25" t="str">
        <f t="shared" si="100"/>
        <v>jgd</v>
      </c>
      <c r="I878" t="s">
        <v>72</v>
      </c>
      <c r="J878" t="s">
        <v>2484</v>
      </c>
      <c r="K878" t="s">
        <v>2005</v>
      </c>
      <c r="L878" s="25">
        <v>46.166625529999997</v>
      </c>
      <c r="M878" s="25">
        <v>9.1073635880000001</v>
      </c>
      <c r="N878">
        <v>6</v>
      </c>
      <c r="O878">
        <v>28</v>
      </c>
      <c r="P878">
        <v>10</v>
      </c>
      <c r="Q878">
        <v>2017</v>
      </c>
      <c r="R878" s="9">
        <v>43036</v>
      </c>
      <c r="S878">
        <v>260</v>
      </c>
      <c r="T878">
        <v>1</v>
      </c>
      <c r="U878">
        <v>0</v>
      </c>
      <c r="V878">
        <v>0</v>
      </c>
      <c r="W878">
        <v>0</v>
      </c>
      <c r="X878" s="57">
        <f t="shared" si="101"/>
        <v>-48.175260999999999</v>
      </c>
      <c r="Y878" t="s">
        <v>16</v>
      </c>
      <c r="Z878">
        <v>3.752539466</v>
      </c>
      <c r="AA878" s="3">
        <f t="shared" si="102"/>
        <v>5</v>
      </c>
      <c r="AB878" s="3">
        <f t="shared" si="105"/>
        <v>4</v>
      </c>
      <c r="AD878" s="3" t="s">
        <v>2754</v>
      </c>
      <c r="AE878" s="22">
        <v>-62.760208800000001</v>
      </c>
      <c r="AF878" s="22">
        <f t="shared" si="103"/>
        <v>-62.760208800000001</v>
      </c>
      <c r="AG878" s="60" t="s">
        <v>16</v>
      </c>
      <c r="AH878" s="61" t="s">
        <v>16</v>
      </c>
      <c r="AJ878" s="3">
        <f t="shared" si="104"/>
        <v>6</v>
      </c>
      <c r="AK878" s="3" t="s">
        <v>2708</v>
      </c>
      <c r="AL878">
        <v>6</v>
      </c>
      <c r="AM878" t="s">
        <v>15</v>
      </c>
    </row>
    <row r="879" spans="1:39" x14ac:dyDescent="0.3">
      <c r="A879" s="51" t="s">
        <v>2064</v>
      </c>
      <c r="B879" s="54" t="s">
        <v>310</v>
      </c>
      <c r="C879" s="51" t="s">
        <v>2765</v>
      </c>
      <c r="D879" s="53">
        <v>0</v>
      </c>
      <c r="E879" s="53">
        <v>1</v>
      </c>
      <c r="F879" s="51" t="s">
        <v>2715</v>
      </c>
      <c r="G879" s="51" t="s">
        <v>2695</v>
      </c>
      <c r="H879" s="25" t="str">
        <f t="shared" si="100"/>
        <v>jgd</v>
      </c>
      <c r="I879" t="s">
        <v>72</v>
      </c>
      <c r="J879" t="s">
        <v>73</v>
      </c>
      <c r="K879" t="s">
        <v>2065</v>
      </c>
      <c r="L879" s="25">
        <v>46.079093100000001</v>
      </c>
      <c r="M879" s="25">
        <v>9.0222147330000002</v>
      </c>
      <c r="N879">
        <v>5</v>
      </c>
      <c r="O879">
        <v>16</v>
      </c>
      <c r="P879">
        <v>11</v>
      </c>
      <c r="Q879">
        <v>2017</v>
      </c>
      <c r="R879" s="9">
        <v>43055</v>
      </c>
      <c r="S879">
        <v>320</v>
      </c>
      <c r="T879">
        <v>1</v>
      </c>
      <c r="U879">
        <v>0</v>
      </c>
      <c r="V879">
        <v>0</v>
      </c>
      <c r="W879">
        <v>0</v>
      </c>
      <c r="X879" s="57">
        <f t="shared" si="101"/>
        <v>-48.085386249999992</v>
      </c>
      <c r="Y879" t="s">
        <v>16</v>
      </c>
      <c r="Z879">
        <v>7.2953639150000003</v>
      </c>
      <c r="AA879" s="3">
        <f t="shared" si="102"/>
        <v>5</v>
      </c>
      <c r="AB879" s="3">
        <f t="shared" si="105"/>
        <v>7</v>
      </c>
      <c r="AD879" s="3" t="s">
        <v>2754</v>
      </c>
      <c r="AE879" s="22">
        <v>-62.688308999999997</v>
      </c>
      <c r="AF879" s="22">
        <f t="shared" si="103"/>
        <v>-62.688308999999997</v>
      </c>
      <c r="AG879" s="60" t="s">
        <v>16</v>
      </c>
      <c r="AH879" s="61" t="s">
        <v>16</v>
      </c>
      <c r="AJ879" s="3">
        <f t="shared" si="104"/>
        <v>6</v>
      </c>
      <c r="AK879" s="3" t="s">
        <v>2708</v>
      </c>
      <c r="AL879">
        <v>6</v>
      </c>
      <c r="AM879" t="s">
        <v>15</v>
      </c>
    </row>
    <row r="880" spans="1:39" hidden="1" x14ac:dyDescent="0.3">
      <c r="A880" s="51" t="s">
        <v>2160</v>
      </c>
      <c r="B880" s="54" t="s">
        <v>465</v>
      </c>
      <c r="C880" s="51" t="s">
        <v>2765</v>
      </c>
      <c r="D880" s="53">
        <v>0</v>
      </c>
      <c r="E880" s="53">
        <v>1</v>
      </c>
      <c r="F880" s="51" t="s">
        <v>2715</v>
      </c>
      <c r="G880" s="51" t="s">
        <v>2695</v>
      </c>
      <c r="H880" s="25" t="str">
        <f t="shared" si="100"/>
        <v>jgd</v>
      </c>
      <c r="I880" t="s">
        <v>385</v>
      </c>
      <c r="J880" t="s">
        <v>392</v>
      </c>
      <c r="K880" t="s">
        <v>16</v>
      </c>
      <c r="L880" s="25">
        <v>46.798820970000001</v>
      </c>
      <c r="M880" s="25">
        <v>6.5020398190000002</v>
      </c>
      <c r="N880">
        <v>3</v>
      </c>
      <c r="O880">
        <v>16</v>
      </c>
      <c r="P880">
        <v>10</v>
      </c>
      <c r="Q880">
        <v>2017</v>
      </c>
      <c r="R880" s="9">
        <v>43024</v>
      </c>
      <c r="S880">
        <v>320</v>
      </c>
      <c r="T880">
        <v>1</v>
      </c>
      <c r="U880">
        <v>0</v>
      </c>
      <c r="V880">
        <v>0</v>
      </c>
      <c r="W880">
        <v>0</v>
      </c>
      <c r="X880" s="57">
        <f t="shared" si="101"/>
        <v>-47.855180749999995</v>
      </c>
      <c r="Y880" t="s">
        <v>16</v>
      </c>
      <c r="Z880">
        <v>-0.91725109500000002</v>
      </c>
      <c r="AA880" s="3">
        <f t="shared" si="102"/>
        <v>5</v>
      </c>
      <c r="AB880" s="3">
        <f t="shared" si="105"/>
        <v>-1</v>
      </c>
      <c r="AD880" s="3" t="s">
        <v>2750</v>
      </c>
      <c r="AE880" s="22">
        <v>-62.504144599999997</v>
      </c>
      <c r="AF880" s="22">
        <f t="shared" si="103"/>
        <v>-62.504144599999997</v>
      </c>
      <c r="AG880" s="60" t="s">
        <v>16</v>
      </c>
      <c r="AH880" s="61" t="s">
        <v>16</v>
      </c>
      <c r="AJ880" s="3">
        <f t="shared" si="104"/>
        <v>6</v>
      </c>
      <c r="AK880" s="3" t="s">
        <v>2708</v>
      </c>
      <c r="AL880">
        <v>6</v>
      </c>
      <c r="AM880" t="s">
        <v>15</v>
      </c>
    </row>
    <row r="881" spans="1:39" x14ac:dyDescent="0.3">
      <c r="A881" s="51" t="s">
        <v>1460</v>
      </c>
      <c r="B881" s="54" t="s">
        <v>1461</v>
      </c>
      <c r="C881" s="51" t="s">
        <v>2765</v>
      </c>
      <c r="D881" s="53">
        <v>0</v>
      </c>
      <c r="E881" s="53">
        <v>1</v>
      </c>
      <c r="F881" s="51" t="s">
        <v>2715</v>
      </c>
      <c r="G881" s="51" t="s">
        <v>2695</v>
      </c>
      <c r="H881" s="25" t="str">
        <f t="shared" si="100"/>
        <v>jgd</v>
      </c>
      <c r="I881" t="s">
        <v>72</v>
      </c>
      <c r="J881" t="s">
        <v>704</v>
      </c>
      <c r="K881" t="s">
        <v>1462</v>
      </c>
      <c r="L881" s="25">
        <v>46.476257879999999</v>
      </c>
      <c r="M881" s="25">
        <v>8.7603967619999992</v>
      </c>
      <c r="N881">
        <v>5</v>
      </c>
      <c r="O881">
        <v>29</v>
      </c>
      <c r="P881">
        <v>10</v>
      </c>
      <c r="Q881">
        <v>2016</v>
      </c>
      <c r="R881" s="9">
        <v>42672</v>
      </c>
      <c r="S881">
        <v>290</v>
      </c>
      <c r="T881">
        <v>1</v>
      </c>
      <c r="U881">
        <v>0</v>
      </c>
      <c r="V881">
        <v>0</v>
      </c>
      <c r="W881">
        <v>0</v>
      </c>
      <c r="X881" s="57">
        <f t="shared" si="101"/>
        <v>-47.725357874999993</v>
      </c>
      <c r="Y881">
        <v>-22.97</v>
      </c>
      <c r="Z881">
        <v>5.41</v>
      </c>
      <c r="AA881" s="3">
        <f t="shared" si="102"/>
        <v>5</v>
      </c>
      <c r="AB881" s="3">
        <f t="shared" si="105"/>
        <v>5</v>
      </c>
      <c r="AD881" s="3" t="s">
        <v>2754</v>
      </c>
      <c r="AE881" s="22">
        <v>-62.400286299999998</v>
      </c>
      <c r="AF881" s="22">
        <f t="shared" si="103"/>
        <v>-62.400286299999998</v>
      </c>
      <c r="AG881" s="60" t="s">
        <v>16</v>
      </c>
      <c r="AH881" s="61" t="s">
        <v>16</v>
      </c>
      <c r="AJ881" s="3">
        <f t="shared" si="104"/>
        <v>6</v>
      </c>
      <c r="AK881" s="3" t="s">
        <v>2708</v>
      </c>
      <c r="AL881">
        <v>6</v>
      </c>
      <c r="AM881" t="s">
        <v>15</v>
      </c>
    </row>
    <row r="882" spans="1:39" hidden="1" x14ac:dyDescent="0.3">
      <c r="A882" s="51" t="s">
        <v>2449</v>
      </c>
      <c r="B882" s="54" t="s">
        <v>1071</v>
      </c>
      <c r="C882" s="51" t="s">
        <v>2765</v>
      </c>
      <c r="D882" s="53">
        <v>0</v>
      </c>
      <c r="E882" s="53">
        <v>1</v>
      </c>
      <c r="F882" s="51" t="s">
        <v>2715</v>
      </c>
      <c r="G882" s="51" t="s">
        <v>2695</v>
      </c>
      <c r="H882" s="25" t="str">
        <f t="shared" si="100"/>
        <v>jgd</v>
      </c>
      <c r="I882" t="s">
        <v>13</v>
      </c>
      <c r="J882" t="s">
        <v>209</v>
      </c>
      <c r="K882" t="s">
        <v>2450</v>
      </c>
      <c r="L882" s="25">
        <v>46.934799679999998</v>
      </c>
      <c r="M882" s="25">
        <v>6.7500474160000001</v>
      </c>
      <c r="N882">
        <v>6</v>
      </c>
      <c r="O882">
        <v>20</v>
      </c>
      <c r="P882">
        <v>10</v>
      </c>
      <c r="Q882">
        <v>2017</v>
      </c>
      <c r="R882" s="9">
        <v>43028</v>
      </c>
      <c r="S882">
        <v>327</v>
      </c>
      <c r="T882">
        <v>1</v>
      </c>
      <c r="U882">
        <v>0</v>
      </c>
      <c r="V882">
        <v>0</v>
      </c>
      <c r="W882">
        <v>0</v>
      </c>
      <c r="X882" s="57">
        <f t="shared" si="101"/>
        <v>-47.660550625000006</v>
      </c>
      <c r="Y882" t="s">
        <v>16</v>
      </c>
      <c r="Z882">
        <v>-1.3268812729999999</v>
      </c>
      <c r="AA882" s="3">
        <f t="shared" si="102"/>
        <v>5</v>
      </c>
      <c r="AB882" s="3">
        <f t="shared" si="105"/>
        <v>-1</v>
      </c>
      <c r="AD882" s="3" t="s">
        <v>2750</v>
      </c>
      <c r="AE882" s="22">
        <v>-62.348440500000002</v>
      </c>
      <c r="AF882" s="22">
        <f t="shared" si="103"/>
        <v>-62.348440500000002</v>
      </c>
      <c r="AG882" s="60" t="s">
        <v>16</v>
      </c>
      <c r="AH882" s="61" t="s">
        <v>16</v>
      </c>
      <c r="AJ882" s="3">
        <f t="shared" si="104"/>
        <v>6</v>
      </c>
      <c r="AK882" s="3" t="s">
        <v>2708</v>
      </c>
      <c r="AL882">
        <v>6</v>
      </c>
      <c r="AM882" t="s">
        <v>15</v>
      </c>
    </row>
    <row r="883" spans="1:39" x14ac:dyDescent="0.3">
      <c r="A883" s="51" t="s">
        <v>2563</v>
      </c>
      <c r="B883" s="54" t="s">
        <v>1390</v>
      </c>
      <c r="C883" s="51" t="s">
        <v>2765</v>
      </c>
      <c r="D883" s="53">
        <v>0</v>
      </c>
      <c r="E883" s="53">
        <v>1</v>
      </c>
      <c r="F883" s="51" t="s">
        <v>2715</v>
      </c>
      <c r="G883" s="51" t="s">
        <v>2695</v>
      </c>
      <c r="H883" s="25" t="str">
        <f t="shared" si="100"/>
        <v>jgd</v>
      </c>
      <c r="I883" t="s">
        <v>72</v>
      </c>
      <c r="J883" t="s">
        <v>1387</v>
      </c>
      <c r="K883" t="s">
        <v>2564</v>
      </c>
      <c r="L883" s="25">
        <v>46.10308534</v>
      </c>
      <c r="M883" s="25">
        <v>8.9789338250000004</v>
      </c>
      <c r="N883">
        <v>5</v>
      </c>
      <c r="O883">
        <v>7</v>
      </c>
      <c r="P883">
        <v>11</v>
      </c>
      <c r="Q883">
        <v>2017</v>
      </c>
      <c r="R883" s="9">
        <v>43046</v>
      </c>
      <c r="S883">
        <v>302</v>
      </c>
      <c r="T883">
        <v>1</v>
      </c>
      <c r="U883">
        <v>0</v>
      </c>
      <c r="V883">
        <v>0</v>
      </c>
      <c r="W883">
        <v>0</v>
      </c>
      <c r="X883" s="57">
        <f t="shared" si="101"/>
        <v>-47.5397745</v>
      </c>
      <c r="Y883" t="s">
        <v>16</v>
      </c>
      <c r="Z883">
        <v>0.56348616100000004</v>
      </c>
      <c r="AA883" s="3">
        <f t="shared" si="102"/>
        <v>5</v>
      </c>
      <c r="AB883" s="3">
        <f t="shared" si="105"/>
        <v>1</v>
      </c>
      <c r="AD883" s="3" t="s">
        <v>2754</v>
      </c>
      <c r="AE883" s="22">
        <v>-62.251819599999997</v>
      </c>
      <c r="AF883" s="22">
        <f t="shared" si="103"/>
        <v>-62.251819599999997</v>
      </c>
      <c r="AG883" s="60" t="s">
        <v>16</v>
      </c>
      <c r="AH883" s="61" t="s">
        <v>16</v>
      </c>
      <c r="AJ883" s="3">
        <f t="shared" si="104"/>
        <v>6</v>
      </c>
      <c r="AK883" s="3" t="s">
        <v>2708</v>
      </c>
      <c r="AL883">
        <v>6</v>
      </c>
      <c r="AM883" t="s">
        <v>15</v>
      </c>
    </row>
    <row r="884" spans="1:39" hidden="1" x14ac:dyDescent="0.3">
      <c r="A884" s="51" t="s">
        <v>1076</v>
      </c>
      <c r="B884" s="54" t="s">
        <v>1077</v>
      </c>
      <c r="C884" s="51" t="s">
        <v>2765</v>
      </c>
      <c r="D884" s="53">
        <v>0</v>
      </c>
      <c r="E884" s="53">
        <v>1</v>
      </c>
      <c r="F884" s="51" t="s">
        <v>2715</v>
      </c>
      <c r="G884" s="51" t="s">
        <v>2695</v>
      </c>
      <c r="H884" s="25" t="str">
        <f t="shared" si="100"/>
        <v>jgd</v>
      </c>
      <c r="I884" t="s">
        <v>13</v>
      </c>
      <c r="J884" t="s">
        <v>519</v>
      </c>
      <c r="K884" t="s">
        <v>219</v>
      </c>
      <c r="L884" s="25">
        <v>47.07826669</v>
      </c>
      <c r="M884" s="25">
        <v>6.8807767269999998</v>
      </c>
      <c r="N884">
        <v>6</v>
      </c>
      <c r="O884" t="s">
        <v>16</v>
      </c>
      <c r="P884" t="s">
        <v>16</v>
      </c>
      <c r="Q884">
        <v>2015</v>
      </c>
      <c r="R884" s="9" t="s">
        <v>16</v>
      </c>
      <c r="S884">
        <v>326</v>
      </c>
      <c r="T884">
        <v>1</v>
      </c>
      <c r="U884">
        <v>0</v>
      </c>
      <c r="V884">
        <v>0</v>
      </c>
      <c r="W884">
        <v>0</v>
      </c>
      <c r="X884">
        <f t="shared" si="101"/>
        <v>-47.512499999999996</v>
      </c>
      <c r="Y884">
        <v>-24.261450369999999</v>
      </c>
      <c r="Z884">
        <v>-0.16115733600000001</v>
      </c>
      <c r="AA884" s="3">
        <f t="shared" si="102"/>
        <v>5</v>
      </c>
      <c r="AB884" s="3">
        <f t="shared" si="105"/>
        <v>0</v>
      </c>
      <c r="AD884" s="3" t="s">
        <v>2750</v>
      </c>
      <c r="AE884" s="22">
        <v>-62.23</v>
      </c>
      <c r="AF884" s="22">
        <f t="shared" si="103"/>
        <v>-62.23</v>
      </c>
      <c r="AG884" s="1">
        <v>-84.7</v>
      </c>
      <c r="AH884" s="2" t="s">
        <v>16</v>
      </c>
      <c r="AI884"/>
      <c r="AJ884" s="3">
        <f t="shared" si="104"/>
        <v>6</v>
      </c>
      <c r="AK884" s="3" t="s">
        <v>2708</v>
      </c>
      <c r="AL884">
        <v>6</v>
      </c>
      <c r="AM884" t="s">
        <v>15</v>
      </c>
    </row>
    <row r="885" spans="1:39" hidden="1" x14ac:dyDescent="0.3">
      <c r="A885" s="51" t="s">
        <v>288</v>
      </c>
      <c r="B885" s="54" t="s">
        <v>289</v>
      </c>
      <c r="C885" s="51" t="s">
        <v>2765</v>
      </c>
      <c r="D885" s="53">
        <v>0</v>
      </c>
      <c r="E885" s="53">
        <v>1</v>
      </c>
      <c r="F885" s="51" t="s">
        <v>2715</v>
      </c>
      <c r="G885" s="51" t="s">
        <v>2695</v>
      </c>
      <c r="H885" s="25" t="str">
        <f t="shared" ref="H885:H953" si="106">IF(T885=1,"jgd",IF(W885=1,"Captures automne","Captures printemps-été"))</f>
        <v>jgd</v>
      </c>
      <c r="I885" t="s">
        <v>30</v>
      </c>
      <c r="J885" t="s">
        <v>286</v>
      </c>
      <c r="K885" t="s">
        <v>287</v>
      </c>
      <c r="L885" s="25">
        <v>46.759853980000003</v>
      </c>
      <c r="M885" s="25">
        <v>6.9797433660000001</v>
      </c>
      <c r="N885">
        <v>3</v>
      </c>
      <c r="O885">
        <v>19</v>
      </c>
      <c r="P885">
        <v>11</v>
      </c>
      <c r="Q885">
        <v>2013</v>
      </c>
      <c r="R885" s="9">
        <v>41597</v>
      </c>
      <c r="S885">
        <v>363</v>
      </c>
      <c r="T885">
        <v>1</v>
      </c>
      <c r="U885">
        <v>0</v>
      </c>
      <c r="V885">
        <v>0</v>
      </c>
      <c r="W885">
        <v>0</v>
      </c>
      <c r="X885">
        <f t="shared" ref="X885:X943" si="107">1.25*AF885+30.275</f>
        <v>-47.462499999999999</v>
      </c>
      <c r="Y885">
        <v>92.172688669999999</v>
      </c>
      <c r="Z885">
        <v>-2.895262486</v>
      </c>
      <c r="AA885" s="3">
        <f t="shared" si="102"/>
        <v>5</v>
      </c>
      <c r="AB885" s="3">
        <f t="shared" si="105"/>
        <v>-3</v>
      </c>
      <c r="AD885" s="3" t="s">
        <v>2751</v>
      </c>
      <c r="AE885" s="22">
        <v>-62.19</v>
      </c>
      <c r="AF885" s="22">
        <f t="shared" si="103"/>
        <v>-62.19</v>
      </c>
      <c r="AG885" s="1">
        <v>-84.7</v>
      </c>
      <c r="AH885" s="2" t="s">
        <v>16</v>
      </c>
      <c r="AI885"/>
      <c r="AJ885" s="3">
        <f t="shared" si="104"/>
        <v>6</v>
      </c>
      <c r="AK885" s="3" t="s">
        <v>2708</v>
      </c>
      <c r="AL885">
        <v>6</v>
      </c>
      <c r="AM885" t="s">
        <v>15</v>
      </c>
    </row>
    <row r="886" spans="1:39" x14ac:dyDescent="0.3">
      <c r="A886" s="51" t="s">
        <v>1325</v>
      </c>
      <c r="B886" s="54" t="s">
        <v>1326</v>
      </c>
      <c r="C886" s="51" t="s">
        <v>2765</v>
      </c>
      <c r="D886" s="53">
        <v>0</v>
      </c>
      <c r="E886" s="53">
        <v>1</v>
      </c>
      <c r="F886" s="51" t="s">
        <v>2715</v>
      </c>
      <c r="G886" s="51" t="s">
        <v>2695</v>
      </c>
      <c r="H886" s="25" t="str">
        <f t="shared" si="106"/>
        <v>jgd</v>
      </c>
      <c r="I886" t="s">
        <v>72</v>
      </c>
      <c r="J886" t="s">
        <v>1310</v>
      </c>
      <c r="K886" t="s">
        <v>580</v>
      </c>
      <c r="L886" s="25">
        <v>46.215443919999998</v>
      </c>
      <c r="M886" s="25">
        <v>8.6132285209999999</v>
      </c>
      <c r="N886">
        <v>6</v>
      </c>
      <c r="O886">
        <v>24</v>
      </c>
      <c r="P886">
        <v>11</v>
      </c>
      <c r="Q886">
        <v>2015</v>
      </c>
      <c r="R886" s="9">
        <v>42332</v>
      </c>
      <c r="S886">
        <v>318</v>
      </c>
      <c r="T886">
        <v>1</v>
      </c>
      <c r="U886">
        <v>0</v>
      </c>
      <c r="V886">
        <v>0</v>
      </c>
      <c r="W886">
        <v>0</v>
      </c>
      <c r="X886">
        <f t="shared" si="107"/>
        <v>-47.449999999999996</v>
      </c>
      <c r="Y886">
        <v>-23.9724</v>
      </c>
      <c r="Z886">
        <v>1.547400069</v>
      </c>
      <c r="AA886" s="3">
        <f t="shared" si="102"/>
        <v>5</v>
      </c>
      <c r="AB886" s="3">
        <f t="shared" si="105"/>
        <v>2</v>
      </c>
      <c r="AD886" s="3" t="s">
        <v>2754</v>
      </c>
      <c r="AE886" s="22">
        <v>-62.18</v>
      </c>
      <c r="AF886" s="22">
        <f t="shared" si="103"/>
        <v>-62.18</v>
      </c>
      <c r="AG886" s="1">
        <v>-84.7</v>
      </c>
      <c r="AH886" s="2" t="s">
        <v>16</v>
      </c>
      <c r="AI886"/>
      <c r="AJ886" s="3">
        <f t="shared" si="104"/>
        <v>6</v>
      </c>
      <c r="AK886" s="3" t="s">
        <v>2708</v>
      </c>
      <c r="AL886">
        <v>6</v>
      </c>
      <c r="AM886" t="s">
        <v>15</v>
      </c>
    </row>
    <row r="887" spans="1:39" hidden="1" x14ac:dyDescent="0.3">
      <c r="A887" s="51" t="s">
        <v>1333</v>
      </c>
      <c r="B887" s="54" t="s">
        <v>1334</v>
      </c>
      <c r="C887" s="51" t="s">
        <v>2765</v>
      </c>
      <c r="D887" s="53">
        <v>0</v>
      </c>
      <c r="E887" s="53">
        <v>1</v>
      </c>
      <c r="F887" s="51" t="s">
        <v>2715</v>
      </c>
      <c r="G887" s="51" t="s">
        <v>2695</v>
      </c>
      <c r="H887" s="25" t="str">
        <f t="shared" si="106"/>
        <v>jgd</v>
      </c>
      <c r="I887" t="s">
        <v>385</v>
      </c>
      <c r="J887" t="s">
        <v>558</v>
      </c>
      <c r="K887" t="s">
        <v>1335</v>
      </c>
      <c r="L887" s="25">
        <v>46.639911609999999</v>
      </c>
      <c r="M887" s="25">
        <v>6.2474795600000004</v>
      </c>
      <c r="N887">
        <v>4</v>
      </c>
      <c r="O887">
        <v>16</v>
      </c>
      <c r="P887">
        <v>11</v>
      </c>
      <c r="Q887">
        <v>2015</v>
      </c>
      <c r="R887" s="9">
        <v>42324</v>
      </c>
      <c r="S887">
        <v>310</v>
      </c>
      <c r="T887">
        <v>1</v>
      </c>
      <c r="U887">
        <v>0</v>
      </c>
      <c r="V887">
        <v>0</v>
      </c>
      <c r="W887">
        <v>0</v>
      </c>
      <c r="X887">
        <f t="shared" si="107"/>
        <v>-47.087499999999999</v>
      </c>
      <c r="Y887">
        <v>-24.295999999999999</v>
      </c>
      <c r="Z887">
        <v>1.433289115</v>
      </c>
      <c r="AA887" s="3">
        <f t="shared" si="102"/>
        <v>5</v>
      </c>
      <c r="AB887" s="3">
        <f t="shared" si="105"/>
        <v>1</v>
      </c>
      <c r="AD887" s="3" t="s">
        <v>2750</v>
      </c>
      <c r="AE887" s="22">
        <v>-61.89</v>
      </c>
      <c r="AF887" s="22">
        <f t="shared" si="103"/>
        <v>-61.89</v>
      </c>
      <c r="AG887" s="1">
        <v>-84.4</v>
      </c>
      <c r="AH887" s="2" t="s">
        <v>16</v>
      </c>
      <c r="AI887"/>
      <c r="AJ887" s="3">
        <f t="shared" si="104"/>
        <v>6</v>
      </c>
      <c r="AK887" s="3" t="s">
        <v>2708</v>
      </c>
      <c r="AL887">
        <v>6</v>
      </c>
      <c r="AM887" t="s">
        <v>15</v>
      </c>
    </row>
    <row r="888" spans="1:39" x14ac:dyDescent="0.3">
      <c r="A888" s="51" t="s">
        <v>861</v>
      </c>
      <c r="B888" s="54" t="s">
        <v>862</v>
      </c>
      <c r="C888" s="51" t="s">
        <v>2765</v>
      </c>
      <c r="D888" s="53">
        <v>0</v>
      </c>
      <c r="E888" s="53">
        <v>1</v>
      </c>
      <c r="F888" s="51" t="s">
        <v>2715</v>
      </c>
      <c r="G888" s="51" t="s">
        <v>2695</v>
      </c>
      <c r="H888" s="25" t="str">
        <f t="shared" si="106"/>
        <v>jgd</v>
      </c>
      <c r="I888" t="s">
        <v>72</v>
      </c>
      <c r="J888" t="s">
        <v>848</v>
      </c>
      <c r="K888" t="s">
        <v>16</v>
      </c>
      <c r="L888" s="25">
        <v>46.16351418</v>
      </c>
      <c r="M888" s="25">
        <v>8.6245785670000004</v>
      </c>
      <c r="N888">
        <v>6</v>
      </c>
      <c r="O888">
        <v>7</v>
      </c>
      <c r="P888">
        <v>11</v>
      </c>
      <c r="Q888">
        <v>2015</v>
      </c>
      <c r="R888" s="9">
        <v>42315</v>
      </c>
      <c r="S888">
        <v>332</v>
      </c>
      <c r="T888">
        <v>1</v>
      </c>
      <c r="U888">
        <v>0</v>
      </c>
      <c r="V888">
        <v>0</v>
      </c>
      <c r="W888">
        <v>0</v>
      </c>
      <c r="X888">
        <f t="shared" si="107"/>
        <v>-46.949999999999996</v>
      </c>
      <c r="Y888">
        <v>-23.422599999999999</v>
      </c>
      <c r="Z888">
        <v>-0.34689896599999998</v>
      </c>
      <c r="AA888" s="3">
        <f t="shared" si="102"/>
        <v>5</v>
      </c>
      <c r="AB888" s="3">
        <f t="shared" si="105"/>
        <v>0</v>
      </c>
      <c r="AD888" s="3" t="s">
        <v>2754</v>
      </c>
      <c r="AE888" s="22">
        <v>-61.78</v>
      </c>
      <c r="AF888" s="22">
        <f t="shared" si="103"/>
        <v>-61.78</v>
      </c>
      <c r="AG888" s="1">
        <v>-84.3</v>
      </c>
      <c r="AH888" s="2" t="s">
        <v>16</v>
      </c>
      <c r="AI888"/>
      <c r="AJ888" s="3">
        <f t="shared" si="104"/>
        <v>6</v>
      </c>
      <c r="AK888" s="3" t="s">
        <v>2708</v>
      </c>
      <c r="AL888">
        <v>6</v>
      </c>
      <c r="AM888" t="s">
        <v>15</v>
      </c>
    </row>
    <row r="889" spans="1:39" x14ac:dyDescent="0.3">
      <c r="A889" s="51" t="s">
        <v>1516</v>
      </c>
      <c r="B889" s="54" t="s">
        <v>347</v>
      </c>
      <c r="C889" s="51" t="s">
        <v>2765</v>
      </c>
      <c r="D889" s="53">
        <v>0</v>
      </c>
      <c r="E889" s="53">
        <v>1</v>
      </c>
      <c r="F889" s="51" t="s">
        <v>2715</v>
      </c>
      <c r="G889" s="51" t="s">
        <v>2695</v>
      </c>
      <c r="H889" s="25" t="str">
        <f t="shared" si="106"/>
        <v>jgd</v>
      </c>
      <c r="I889" t="s">
        <v>72</v>
      </c>
      <c r="J889" t="s">
        <v>234</v>
      </c>
      <c r="K889" t="s">
        <v>1517</v>
      </c>
      <c r="L889" s="25">
        <v>46.226036839999999</v>
      </c>
      <c r="M889" s="25">
        <v>8.6851275670000003</v>
      </c>
      <c r="N889">
        <v>6</v>
      </c>
      <c r="O889">
        <v>22</v>
      </c>
      <c r="P889">
        <v>10</v>
      </c>
      <c r="Q889">
        <v>2016</v>
      </c>
      <c r="R889" s="9">
        <v>42665</v>
      </c>
      <c r="S889">
        <v>285</v>
      </c>
      <c r="T889">
        <v>1</v>
      </c>
      <c r="U889">
        <v>0</v>
      </c>
      <c r="V889">
        <v>0</v>
      </c>
      <c r="W889">
        <v>0</v>
      </c>
      <c r="X889" s="57">
        <f t="shared" si="107"/>
        <v>-46.871518875</v>
      </c>
      <c r="Y889">
        <v>-24.67</v>
      </c>
      <c r="Z889">
        <v>5.64</v>
      </c>
      <c r="AA889" s="3">
        <f t="shared" si="102"/>
        <v>5</v>
      </c>
      <c r="AB889" s="3">
        <f t="shared" si="105"/>
        <v>6</v>
      </c>
      <c r="AD889" s="3" t="s">
        <v>2754</v>
      </c>
      <c r="AE889" s="22">
        <v>-61.717215099999997</v>
      </c>
      <c r="AF889" s="22">
        <f t="shared" si="103"/>
        <v>-61.717215099999997</v>
      </c>
      <c r="AG889" s="60" t="s">
        <v>16</v>
      </c>
      <c r="AH889" s="61" t="s">
        <v>16</v>
      </c>
      <c r="AJ889" s="3">
        <f t="shared" si="104"/>
        <v>6</v>
      </c>
      <c r="AK889" s="3" t="s">
        <v>2708</v>
      </c>
      <c r="AL889">
        <v>6</v>
      </c>
      <c r="AM889" t="s">
        <v>15</v>
      </c>
    </row>
    <row r="890" spans="1:39" x14ac:dyDescent="0.3">
      <c r="A890" s="51" t="s">
        <v>1102</v>
      </c>
      <c r="B890" s="54" t="s">
        <v>1103</v>
      </c>
      <c r="C890" s="51" t="s">
        <v>2765</v>
      </c>
      <c r="D890" s="53">
        <v>0</v>
      </c>
      <c r="E890" s="53">
        <v>1</v>
      </c>
      <c r="F890" s="51" t="s">
        <v>2715</v>
      </c>
      <c r="G890" s="51" t="s">
        <v>2695</v>
      </c>
      <c r="H890" s="25" t="str">
        <f t="shared" si="106"/>
        <v>jgd</v>
      </c>
      <c r="I890" t="s">
        <v>72</v>
      </c>
      <c r="J890" t="s">
        <v>1098</v>
      </c>
      <c r="K890" t="s">
        <v>1099</v>
      </c>
      <c r="L890" s="25">
        <v>46.027456399999998</v>
      </c>
      <c r="M890" s="25">
        <v>8.8236163510000001</v>
      </c>
      <c r="N890">
        <v>5</v>
      </c>
      <c r="O890">
        <v>16</v>
      </c>
      <c r="P890">
        <v>10</v>
      </c>
      <c r="Q890">
        <v>2015</v>
      </c>
      <c r="R890" s="9">
        <v>42293</v>
      </c>
      <c r="S890" t="s">
        <v>16</v>
      </c>
      <c r="T890">
        <v>1</v>
      </c>
      <c r="U890">
        <v>0</v>
      </c>
      <c r="V890">
        <v>0</v>
      </c>
      <c r="W890">
        <v>0</v>
      </c>
      <c r="X890">
        <f t="shared" si="107"/>
        <v>-46.65</v>
      </c>
      <c r="Y890">
        <v>-23.388400000000001</v>
      </c>
      <c r="Z890">
        <v>4.8262735890000004</v>
      </c>
      <c r="AA890" s="3">
        <f t="shared" si="102"/>
        <v>5</v>
      </c>
      <c r="AB890" s="3">
        <f t="shared" si="105"/>
        <v>5</v>
      </c>
      <c r="AD890" s="3" t="s">
        <v>2754</v>
      </c>
      <c r="AE890" s="22">
        <v>-61.54</v>
      </c>
      <c r="AF890" s="22">
        <f t="shared" si="103"/>
        <v>-61.54</v>
      </c>
      <c r="AG890" s="1">
        <v>-84</v>
      </c>
      <c r="AH890" s="2" t="s">
        <v>16</v>
      </c>
      <c r="AI890"/>
      <c r="AJ890" s="3">
        <f t="shared" si="104"/>
        <v>6</v>
      </c>
      <c r="AK890" s="3" t="s">
        <v>2708</v>
      </c>
      <c r="AL890">
        <v>6</v>
      </c>
      <c r="AM890" t="s">
        <v>15</v>
      </c>
    </row>
    <row r="891" spans="1:39" x14ac:dyDescent="0.3">
      <c r="A891" s="51" t="s">
        <v>1614</v>
      </c>
      <c r="B891" s="54" t="s">
        <v>1615</v>
      </c>
      <c r="C891" s="51" t="s">
        <v>2765</v>
      </c>
      <c r="D891" s="53">
        <v>0</v>
      </c>
      <c r="E891" s="53">
        <v>1</v>
      </c>
      <c r="F891" s="51" t="s">
        <v>2715</v>
      </c>
      <c r="G891" s="51" t="s">
        <v>2695</v>
      </c>
      <c r="H891" s="25" t="str">
        <f t="shared" si="106"/>
        <v>jgd</v>
      </c>
      <c r="I891" t="s">
        <v>72</v>
      </c>
      <c r="J891" t="s">
        <v>1310</v>
      </c>
      <c r="K891" t="s">
        <v>16</v>
      </c>
      <c r="L891" s="25">
        <v>46.210037870000001</v>
      </c>
      <c r="M891" s="25">
        <v>8.6870163599999994</v>
      </c>
      <c r="N891">
        <v>5</v>
      </c>
      <c r="O891">
        <v>1</v>
      </c>
      <c r="P891">
        <v>11</v>
      </c>
      <c r="Q891">
        <v>2016</v>
      </c>
      <c r="R891" s="9">
        <v>42675</v>
      </c>
      <c r="S891">
        <v>335</v>
      </c>
      <c r="T891">
        <v>1</v>
      </c>
      <c r="U891">
        <v>0</v>
      </c>
      <c r="V891">
        <v>0</v>
      </c>
      <c r="W891">
        <v>0</v>
      </c>
      <c r="X891" s="57">
        <f t="shared" si="107"/>
        <v>-46.489532250000003</v>
      </c>
      <c r="Y891">
        <v>-22.44</v>
      </c>
      <c r="Z891">
        <v>2.21</v>
      </c>
      <c r="AA891" s="3">
        <f t="shared" si="102"/>
        <v>5</v>
      </c>
      <c r="AB891" s="3">
        <f t="shared" si="105"/>
        <v>2</v>
      </c>
      <c r="AD891" s="3" t="s">
        <v>2754</v>
      </c>
      <c r="AE891" s="22">
        <v>-61.411625800000003</v>
      </c>
      <c r="AF891" s="22">
        <f t="shared" si="103"/>
        <v>-61.411625800000003</v>
      </c>
      <c r="AG891" s="60" t="s">
        <v>16</v>
      </c>
      <c r="AH891" s="61" t="s">
        <v>16</v>
      </c>
      <c r="AJ891" s="3">
        <f t="shared" si="104"/>
        <v>6</v>
      </c>
      <c r="AK891" s="3" t="s">
        <v>2708</v>
      </c>
      <c r="AL891">
        <v>6</v>
      </c>
      <c r="AM891" t="s">
        <v>15</v>
      </c>
    </row>
    <row r="892" spans="1:39" hidden="1" x14ac:dyDescent="0.3">
      <c r="A892" s="51" t="s">
        <v>505</v>
      </c>
      <c r="B892" s="54" t="s">
        <v>506</v>
      </c>
      <c r="C892" s="51" t="s">
        <v>2765</v>
      </c>
      <c r="D892" s="53">
        <v>0</v>
      </c>
      <c r="E892" s="53">
        <v>1</v>
      </c>
      <c r="F892" s="51" t="s">
        <v>2715</v>
      </c>
      <c r="G892" s="51" t="s">
        <v>2695</v>
      </c>
      <c r="H892" s="25" t="str">
        <f t="shared" si="106"/>
        <v>jgd</v>
      </c>
      <c r="I892" t="s">
        <v>385</v>
      </c>
      <c r="J892" t="s">
        <v>503</v>
      </c>
      <c r="K892" t="s">
        <v>504</v>
      </c>
      <c r="L892" s="25">
        <v>46.516327140000001</v>
      </c>
      <c r="M892" s="25">
        <v>6.2163138780000002</v>
      </c>
      <c r="N892">
        <v>4</v>
      </c>
      <c r="O892">
        <v>11</v>
      </c>
      <c r="P892">
        <v>11</v>
      </c>
      <c r="Q892">
        <v>2014</v>
      </c>
      <c r="R892" s="9">
        <v>41954</v>
      </c>
      <c r="S892">
        <v>336</v>
      </c>
      <c r="T892">
        <v>1</v>
      </c>
      <c r="U892">
        <v>0</v>
      </c>
      <c r="V892">
        <v>0</v>
      </c>
      <c r="W892">
        <v>0</v>
      </c>
      <c r="X892">
        <f t="shared" si="107"/>
        <v>-46.375000000000007</v>
      </c>
      <c r="Y892">
        <v>-23.720800000000001</v>
      </c>
      <c r="Z892">
        <v>6.5694843069999997</v>
      </c>
      <c r="AA892" s="3">
        <f t="shared" si="102"/>
        <v>5</v>
      </c>
      <c r="AB892" s="3">
        <f t="shared" si="105"/>
        <v>7</v>
      </c>
      <c r="AD892" s="3" t="s">
        <v>2750</v>
      </c>
      <c r="AE892" s="22">
        <v>-61.32</v>
      </c>
      <c r="AF892" s="22">
        <f t="shared" si="103"/>
        <v>-61.32</v>
      </c>
      <c r="AG892" s="1">
        <v>-83.8</v>
      </c>
      <c r="AH892" s="2" t="s">
        <v>16</v>
      </c>
      <c r="AI892"/>
      <c r="AJ892" s="3">
        <f t="shared" si="104"/>
        <v>6</v>
      </c>
      <c r="AK892" s="3" t="s">
        <v>2708</v>
      </c>
      <c r="AL892">
        <v>6</v>
      </c>
      <c r="AM892" t="s">
        <v>15</v>
      </c>
    </row>
    <row r="893" spans="1:39" x14ac:dyDescent="0.3">
      <c r="A893" s="51" t="s">
        <v>1919</v>
      </c>
      <c r="B893" s="54" t="s">
        <v>1168</v>
      </c>
      <c r="C893" s="51" t="s">
        <v>2765</v>
      </c>
      <c r="D893" s="53">
        <v>0</v>
      </c>
      <c r="E893" s="53">
        <v>1</v>
      </c>
      <c r="F893" s="51" t="s">
        <v>2715</v>
      </c>
      <c r="G893" s="51" t="s">
        <v>2695</v>
      </c>
      <c r="H893" s="25" t="str">
        <f t="shared" si="106"/>
        <v>jgd</v>
      </c>
      <c r="I893" t="s">
        <v>72</v>
      </c>
      <c r="J893" t="s">
        <v>694</v>
      </c>
      <c r="K893" t="s">
        <v>1916</v>
      </c>
      <c r="L893" s="25">
        <v>46.13288446</v>
      </c>
      <c r="M893" s="25">
        <v>8.9170097990000006</v>
      </c>
      <c r="N893">
        <v>5</v>
      </c>
      <c r="O893">
        <v>9</v>
      </c>
      <c r="P893">
        <v>11</v>
      </c>
      <c r="Q893">
        <v>2016</v>
      </c>
      <c r="R893" s="9">
        <v>42683</v>
      </c>
      <c r="S893">
        <v>320</v>
      </c>
      <c r="T893">
        <v>1</v>
      </c>
      <c r="U893">
        <v>0</v>
      </c>
      <c r="V893">
        <v>0</v>
      </c>
      <c r="W893">
        <v>0</v>
      </c>
      <c r="X893" s="57">
        <f t="shared" si="107"/>
        <v>-45.773006000000002</v>
      </c>
      <c r="Y893">
        <v>-23.17</v>
      </c>
      <c r="Z893">
        <v>3.52</v>
      </c>
      <c r="AA893" s="3">
        <f t="shared" si="102"/>
        <v>5</v>
      </c>
      <c r="AB893" s="3">
        <f t="shared" si="105"/>
        <v>4</v>
      </c>
      <c r="AD893" s="3" t="s">
        <v>2754</v>
      </c>
      <c r="AE893" s="22">
        <v>-60.838404799999999</v>
      </c>
      <c r="AF893" s="22">
        <f t="shared" si="103"/>
        <v>-60.838404799999999</v>
      </c>
      <c r="AG893" s="60" t="s">
        <v>16</v>
      </c>
      <c r="AH893" s="61" t="s">
        <v>16</v>
      </c>
      <c r="AJ893" s="3">
        <f t="shared" si="104"/>
        <v>6</v>
      </c>
      <c r="AK893" s="3" t="s">
        <v>2708</v>
      </c>
      <c r="AL893">
        <v>6</v>
      </c>
      <c r="AM893" t="s">
        <v>15</v>
      </c>
    </row>
    <row r="894" spans="1:39" x14ac:dyDescent="0.3">
      <c r="A894" s="51" t="s">
        <v>966</v>
      </c>
      <c r="B894" s="54" t="s">
        <v>158</v>
      </c>
      <c r="C894" s="51" t="s">
        <v>2765</v>
      </c>
      <c r="D894" s="53">
        <v>0</v>
      </c>
      <c r="E894" s="53">
        <v>1</v>
      </c>
      <c r="F894" s="51" t="s">
        <v>2715</v>
      </c>
      <c r="G894" s="51" t="s">
        <v>2695</v>
      </c>
      <c r="H894" s="25" t="str">
        <f t="shared" si="106"/>
        <v>jgd</v>
      </c>
      <c r="I894" t="s">
        <v>72</v>
      </c>
      <c r="J894" t="s">
        <v>958</v>
      </c>
      <c r="K894" t="s">
        <v>400</v>
      </c>
      <c r="L894" s="25">
        <v>46.122122240000003</v>
      </c>
      <c r="M894" s="25">
        <v>8.829382957</v>
      </c>
      <c r="N894">
        <v>5</v>
      </c>
      <c r="O894">
        <v>27</v>
      </c>
      <c r="P894">
        <v>10</v>
      </c>
      <c r="Q894">
        <v>2015</v>
      </c>
      <c r="R894" s="9">
        <v>42304</v>
      </c>
      <c r="S894">
        <v>283</v>
      </c>
      <c r="T894">
        <v>1</v>
      </c>
      <c r="U894">
        <v>0</v>
      </c>
      <c r="V894">
        <v>0</v>
      </c>
      <c r="W894">
        <v>0</v>
      </c>
      <c r="X894">
        <f t="shared" si="107"/>
        <v>-45.65</v>
      </c>
      <c r="Y894">
        <v>-22.5518</v>
      </c>
      <c r="Z894">
        <v>-2.4557819830000001</v>
      </c>
      <c r="AA894" s="3">
        <f t="shared" si="102"/>
        <v>5</v>
      </c>
      <c r="AB894" s="3">
        <f t="shared" si="105"/>
        <v>-2</v>
      </c>
      <c r="AD894" s="3" t="s">
        <v>2754</v>
      </c>
      <c r="AE894" s="22">
        <v>-60.74</v>
      </c>
      <c r="AF894" s="22">
        <f t="shared" si="103"/>
        <v>-60.74</v>
      </c>
      <c r="AG894" s="1">
        <v>-83.2</v>
      </c>
      <c r="AH894" s="2" t="s">
        <v>16</v>
      </c>
      <c r="AI894"/>
      <c r="AJ894" s="3">
        <f t="shared" si="104"/>
        <v>6</v>
      </c>
      <c r="AK894" s="3" t="s">
        <v>2708</v>
      </c>
      <c r="AL894">
        <v>6</v>
      </c>
      <c r="AM894" t="s">
        <v>15</v>
      </c>
    </row>
    <row r="895" spans="1:39" hidden="1" x14ac:dyDescent="0.3">
      <c r="A895" s="51" t="s">
        <v>2162</v>
      </c>
      <c r="B895" s="54" t="s">
        <v>2163</v>
      </c>
      <c r="C895" s="51" t="s">
        <v>2765</v>
      </c>
      <c r="D895" s="53">
        <v>0</v>
      </c>
      <c r="E895" s="53">
        <v>1</v>
      </c>
      <c r="F895" s="51" t="s">
        <v>2715</v>
      </c>
      <c r="G895" s="51" t="s">
        <v>2695</v>
      </c>
      <c r="H895" s="25" t="str">
        <f t="shared" si="106"/>
        <v>jgd</v>
      </c>
      <c r="I895" t="s">
        <v>385</v>
      </c>
      <c r="J895" t="s">
        <v>392</v>
      </c>
      <c r="K895" t="s">
        <v>16</v>
      </c>
      <c r="L895" s="25">
        <v>46.798820970000001</v>
      </c>
      <c r="M895" s="25">
        <v>6.5020398190000002</v>
      </c>
      <c r="N895">
        <v>3</v>
      </c>
      <c r="O895">
        <v>23</v>
      </c>
      <c r="P895">
        <v>10</v>
      </c>
      <c r="Q895">
        <v>2017</v>
      </c>
      <c r="R895" s="9">
        <v>43031</v>
      </c>
      <c r="S895">
        <v>312</v>
      </c>
      <c r="T895">
        <v>1</v>
      </c>
      <c r="U895">
        <v>0</v>
      </c>
      <c r="V895">
        <v>0</v>
      </c>
      <c r="W895">
        <v>0</v>
      </c>
      <c r="X895" s="57">
        <f t="shared" si="107"/>
        <v>-45.529474499999999</v>
      </c>
      <c r="Y895" t="s">
        <v>16</v>
      </c>
      <c r="Z895">
        <v>-0.92919099999999999</v>
      </c>
      <c r="AA895" s="3">
        <f t="shared" si="102"/>
        <v>5</v>
      </c>
      <c r="AB895" s="3">
        <f t="shared" si="105"/>
        <v>-1</v>
      </c>
      <c r="AD895" s="3" t="s">
        <v>2750</v>
      </c>
      <c r="AE895" s="22">
        <v>-60.643579600000002</v>
      </c>
      <c r="AF895" s="22">
        <f t="shared" si="103"/>
        <v>-60.643579600000002</v>
      </c>
      <c r="AG895" s="60" t="s">
        <v>16</v>
      </c>
      <c r="AH895" s="61" t="s">
        <v>16</v>
      </c>
      <c r="AJ895" s="3">
        <f t="shared" si="104"/>
        <v>6</v>
      </c>
      <c r="AK895" s="3" t="s">
        <v>2708</v>
      </c>
      <c r="AL895">
        <v>6</v>
      </c>
      <c r="AM895" t="s">
        <v>15</v>
      </c>
    </row>
    <row r="896" spans="1:39" x14ac:dyDescent="0.3">
      <c r="A896" s="51" t="s">
        <v>741</v>
      </c>
      <c r="B896" s="54" t="s">
        <v>742</v>
      </c>
      <c r="C896" s="51" t="s">
        <v>2765</v>
      </c>
      <c r="D896" s="53">
        <v>0</v>
      </c>
      <c r="E896" s="53">
        <v>1</v>
      </c>
      <c r="F896" s="51" t="s">
        <v>2715</v>
      </c>
      <c r="G896" s="51" t="s">
        <v>2695</v>
      </c>
      <c r="H896" s="25" t="str">
        <f t="shared" si="106"/>
        <v>jgd</v>
      </c>
      <c r="I896" t="s">
        <v>72</v>
      </c>
      <c r="J896" t="s">
        <v>130</v>
      </c>
      <c r="K896" t="s">
        <v>16</v>
      </c>
      <c r="L896" s="25">
        <v>46.255628260000002</v>
      </c>
      <c r="M896" s="25">
        <v>8.6833798610000006</v>
      </c>
      <c r="N896">
        <v>5</v>
      </c>
      <c r="O896">
        <v>14</v>
      </c>
      <c r="P896">
        <v>11</v>
      </c>
      <c r="Q896">
        <v>2015</v>
      </c>
      <c r="R896" s="9">
        <v>42322</v>
      </c>
      <c r="S896">
        <v>284</v>
      </c>
      <c r="T896">
        <v>1</v>
      </c>
      <c r="U896">
        <v>0</v>
      </c>
      <c r="V896">
        <v>0</v>
      </c>
      <c r="W896">
        <v>0</v>
      </c>
      <c r="X896">
        <f t="shared" si="107"/>
        <v>-45.487500000000004</v>
      </c>
      <c r="Y896">
        <v>-23.295892890000001</v>
      </c>
      <c r="Z896">
        <v>3.2952063969999998</v>
      </c>
      <c r="AA896" s="3">
        <f t="shared" si="102"/>
        <v>5</v>
      </c>
      <c r="AB896" s="3">
        <f t="shared" si="105"/>
        <v>3</v>
      </c>
      <c r="AD896" s="3" t="s">
        <v>2754</v>
      </c>
      <c r="AE896" s="22">
        <v>-60.61</v>
      </c>
      <c r="AF896" s="22">
        <f t="shared" si="103"/>
        <v>-60.61</v>
      </c>
      <c r="AG896" s="1">
        <v>-83.1</v>
      </c>
      <c r="AH896" s="2" t="s">
        <v>16</v>
      </c>
      <c r="AI896"/>
      <c r="AJ896" s="3">
        <f t="shared" si="104"/>
        <v>6</v>
      </c>
      <c r="AK896" s="3" t="s">
        <v>2708</v>
      </c>
      <c r="AL896">
        <v>6</v>
      </c>
      <c r="AM896" t="s">
        <v>15</v>
      </c>
    </row>
    <row r="897" spans="1:39" hidden="1" x14ac:dyDescent="0.3">
      <c r="A897" s="51" t="s">
        <v>1349</v>
      </c>
      <c r="B897" s="54" t="s">
        <v>1350</v>
      </c>
      <c r="C897" s="51" t="s">
        <v>2765</v>
      </c>
      <c r="D897" s="53">
        <v>0</v>
      </c>
      <c r="E897" s="53">
        <v>1</v>
      </c>
      <c r="F897" s="51" t="s">
        <v>2715</v>
      </c>
      <c r="G897" s="51" t="s">
        <v>2695</v>
      </c>
      <c r="H897" s="25" t="str">
        <f t="shared" si="106"/>
        <v>jgd</v>
      </c>
      <c r="I897" t="s">
        <v>385</v>
      </c>
      <c r="J897" t="s">
        <v>1156</v>
      </c>
      <c r="K897" t="s">
        <v>1338</v>
      </c>
      <c r="L897" s="25">
        <v>46.565597490000002</v>
      </c>
      <c r="M897" s="25">
        <v>6.3743362210000001</v>
      </c>
      <c r="N897">
        <v>4</v>
      </c>
      <c r="O897">
        <v>14</v>
      </c>
      <c r="P897">
        <v>12</v>
      </c>
      <c r="Q897">
        <v>2015</v>
      </c>
      <c r="R897" s="9">
        <v>42352</v>
      </c>
      <c r="S897">
        <v>348</v>
      </c>
      <c r="T897">
        <v>1</v>
      </c>
      <c r="U897">
        <v>0</v>
      </c>
      <c r="V897">
        <v>0</v>
      </c>
      <c r="W897">
        <v>0</v>
      </c>
      <c r="X897">
        <f t="shared" si="107"/>
        <v>-44.92499999999999</v>
      </c>
      <c r="Y897">
        <v>-22.847000000000001</v>
      </c>
      <c r="Z897">
        <v>0.40681997800000003</v>
      </c>
      <c r="AA897" s="3">
        <f t="shared" si="102"/>
        <v>4</v>
      </c>
      <c r="AB897" s="3">
        <f t="shared" si="105"/>
        <v>0</v>
      </c>
      <c r="AD897" s="3" t="s">
        <v>2750</v>
      </c>
      <c r="AE897" s="22">
        <v>-60.16</v>
      </c>
      <c r="AF897" s="22">
        <f t="shared" si="103"/>
        <v>-60.16</v>
      </c>
      <c r="AG897" s="1">
        <v>-82.6</v>
      </c>
      <c r="AH897" s="2" t="s">
        <v>16</v>
      </c>
      <c r="AI897"/>
      <c r="AJ897" s="3">
        <f t="shared" si="104"/>
        <v>6</v>
      </c>
      <c r="AK897" s="3" t="s">
        <v>2708</v>
      </c>
      <c r="AL897">
        <v>6</v>
      </c>
      <c r="AM897" t="s">
        <v>15</v>
      </c>
    </row>
    <row r="898" spans="1:39" hidden="1" x14ac:dyDescent="0.3">
      <c r="A898" s="51" t="s">
        <v>679</v>
      </c>
      <c r="B898" s="54" t="s">
        <v>17</v>
      </c>
      <c r="C898" s="51" t="s">
        <v>2765</v>
      </c>
      <c r="D898" s="53">
        <v>0</v>
      </c>
      <c r="E898" s="53">
        <v>1</v>
      </c>
      <c r="F898" s="51" t="s">
        <v>2715</v>
      </c>
      <c r="G898" s="51" t="s">
        <v>2695</v>
      </c>
      <c r="H898" s="25" t="str">
        <f t="shared" si="106"/>
        <v>jgd</v>
      </c>
      <c r="I898" t="s">
        <v>13</v>
      </c>
      <c r="J898" t="s">
        <v>14</v>
      </c>
      <c r="K898" t="s">
        <v>680</v>
      </c>
      <c r="L898" s="25">
        <v>46.88840897</v>
      </c>
      <c r="M898" s="25">
        <v>6.5016610269999999</v>
      </c>
      <c r="N898">
        <v>6</v>
      </c>
      <c r="O898">
        <v>3</v>
      </c>
      <c r="P898">
        <v>11</v>
      </c>
      <c r="Q898">
        <v>2015</v>
      </c>
      <c r="R898" s="9">
        <v>42311</v>
      </c>
      <c r="S898">
        <v>300</v>
      </c>
      <c r="T898">
        <v>1</v>
      </c>
      <c r="U898">
        <v>0</v>
      </c>
      <c r="V898">
        <v>0</v>
      </c>
      <c r="W898">
        <v>0</v>
      </c>
      <c r="X898">
        <f t="shared" si="107"/>
        <v>-44.912500000000001</v>
      </c>
      <c r="Y898">
        <v>-23.869</v>
      </c>
      <c r="Z898">
        <v>-5.6964437999999999E-2</v>
      </c>
      <c r="AA898" s="3">
        <f t="shared" si="102"/>
        <v>4</v>
      </c>
      <c r="AB898" s="3">
        <f t="shared" si="105"/>
        <v>0</v>
      </c>
      <c r="AD898" s="3" t="s">
        <v>2750</v>
      </c>
      <c r="AE898" s="22">
        <v>-60.15</v>
      </c>
      <c r="AF898" s="22">
        <f t="shared" si="103"/>
        <v>-60.15</v>
      </c>
      <c r="AG898" s="1">
        <v>-82.6</v>
      </c>
      <c r="AH898" s="2" t="s">
        <v>16</v>
      </c>
      <c r="AI898"/>
      <c r="AJ898" s="3">
        <f t="shared" si="104"/>
        <v>6</v>
      </c>
      <c r="AK898" s="3" t="s">
        <v>2708</v>
      </c>
      <c r="AL898">
        <v>6</v>
      </c>
      <c r="AM898" t="s">
        <v>15</v>
      </c>
    </row>
    <row r="899" spans="1:39" x14ac:dyDescent="0.3">
      <c r="A899" s="51" t="s">
        <v>961</v>
      </c>
      <c r="B899" s="54" t="s">
        <v>402</v>
      </c>
      <c r="C899" s="51" t="s">
        <v>2765</v>
      </c>
      <c r="D899" s="53">
        <v>0</v>
      </c>
      <c r="E899" s="53">
        <v>1</v>
      </c>
      <c r="F899" s="51" t="s">
        <v>2715</v>
      </c>
      <c r="G899" s="51" t="s">
        <v>2695</v>
      </c>
      <c r="H899" s="25" t="str">
        <f t="shared" si="106"/>
        <v>jgd</v>
      </c>
      <c r="I899" t="s">
        <v>72</v>
      </c>
      <c r="J899" t="s">
        <v>958</v>
      </c>
      <c r="K899" t="s">
        <v>156</v>
      </c>
      <c r="L899" s="25">
        <v>46.07779464</v>
      </c>
      <c r="M899" s="25">
        <v>8.8489388420000008</v>
      </c>
      <c r="N899">
        <v>4</v>
      </c>
      <c r="O899">
        <v>15</v>
      </c>
      <c r="P899">
        <v>11</v>
      </c>
      <c r="Q899">
        <v>2015</v>
      </c>
      <c r="R899" s="9">
        <v>42323</v>
      </c>
      <c r="S899">
        <v>354</v>
      </c>
      <c r="T899">
        <v>1</v>
      </c>
      <c r="U899">
        <v>0</v>
      </c>
      <c r="V899">
        <v>0</v>
      </c>
      <c r="W899">
        <v>0</v>
      </c>
      <c r="X899">
        <f t="shared" si="107"/>
        <v>-44.525000000000013</v>
      </c>
      <c r="Y899">
        <v>-22.6098</v>
      </c>
      <c r="Z899">
        <v>0.91960012700000004</v>
      </c>
      <c r="AA899" s="3">
        <f t="shared" si="102"/>
        <v>4</v>
      </c>
      <c r="AB899" s="3">
        <f t="shared" si="105"/>
        <v>1</v>
      </c>
      <c r="AD899" s="3" t="s">
        <v>2754</v>
      </c>
      <c r="AE899" s="22">
        <v>-59.84</v>
      </c>
      <c r="AF899" s="22">
        <f t="shared" si="103"/>
        <v>-59.84</v>
      </c>
      <c r="AG899" s="1">
        <v>-82.3</v>
      </c>
      <c r="AH899" s="2" t="s">
        <v>16</v>
      </c>
      <c r="AI899"/>
      <c r="AJ899" s="3">
        <f t="shared" si="104"/>
        <v>6</v>
      </c>
      <c r="AK899" s="3" t="s">
        <v>2708</v>
      </c>
      <c r="AL899">
        <v>6</v>
      </c>
      <c r="AM899" t="s">
        <v>15</v>
      </c>
    </row>
    <row r="900" spans="1:39" x14ac:dyDescent="0.3">
      <c r="A900" s="51" t="s">
        <v>669</v>
      </c>
      <c r="B900" s="54" t="s">
        <v>670</v>
      </c>
      <c r="C900" s="51" t="s">
        <v>2765</v>
      </c>
      <c r="D900" s="53">
        <v>0</v>
      </c>
      <c r="E900" s="53">
        <v>1</v>
      </c>
      <c r="F900" s="51" t="s">
        <v>2715</v>
      </c>
      <c r="G900" s="51" t="s">
        <v>2695</v>
      </c>
      <c r="H900" s="25" t="str">
        <f t="shared" si="106"/>
        <v>jgd</v>
      </c>
      <c r="I900" t="s">
        <v>72</v>
      </c>
      <c r="J900" t="s">
        <v>73</v>
      </c>
      <c r="K900" t="s">
        <v>668</v>
      </c>
      <c r="L900" s="25">
        <v>46.07529512</v>
      </c>
      <c r="M900" s="25">
        <v>9.0363253029999999</v>
      </c>
      <c r="N900">
        <v>4</v>
      </c>
      <c r="O900">
        <v>8</v>
      </c>
      <c r="P900">
        <v>11</v>
      </c>
      <c r="Q900">
        <v>2015</v>
      </c>
      <c r="R900" s="9">
        <v>42316</v>
      </c>
      <c r="S900">
        <v>320</v>
      </c>
      <c r="T900">
        <v>1</v>
      </c>
      <c r="U900">
        <v>0</v>
      </c>
      <c r="V900">
        <v>0</v>
      </c>
      <c r="W900">
        <v>0</v>
      </c>
      <c r="X900">
        <f t="shared" si="107"/>
        <v>-44.525000000000013</v>
      </c>
      <c r="Y900">
        <v>-23.196000000000002</v>
      </c>
      <c r="Z900">
        <v>0.90360723799999998</v>
      </c>
      <c r="AA900" s="3">
        <f t="shared" si="102"/>
        <v>4</v>
      </c>
      <c r="AB900" s="3">
        <f t="shared" si="105"/>
        <v>1</v>
      </c>
      <c r="AD900" s="3" t="s">
        <v>2754</v>
      </c>
      <c r="AE900" s="22">
        <v>-59.84</v>
      </c>
      <c r="AF900" s="22">
        <f t="shared" si="103"/>
        <v>-59.84</v>
      </c>
      <c r="AG900" s="1">
        <v>-82.3</v>
      </c>
      <c r="AH900" s="2" t="s">
        <v>16</v>
      </c>
      <c r="AI900"/>
      <c r="AJ900" s="3">
        <f t="shared" si="104"/>
        <v>6</v>
      </c>
      <c r="AK900" s="3" t="s">
        <v>2708</v>
      </c>
      <c r="AL900">
        <v>6</v>
      </c>
      <c r="AM900" t="s">
        <v>15</v>
      </c>
    </row>
    <row r="901" spans="1:39" x14ac:dyDescent="0.3">
      <c r="A901" s="51" t="s">
        <v>972</v>
      </c>
      <c r="B901" s="54" t="s">
        <v>169</v>
      </c>
      <c r="C901" s="51" t="s">
        <v>2765</v>
      </c>
      <c r="D901" s="53">
        <v>0</v>
      </c>
      <c r="E901" s="53">
        <v>1</v>
      </c>
      <c r="F901" s="51" t="s">
        <v>2715</v>
      </c>
      <c r="G901" s="51" t="s">
        <v>2695</v>
      </c>
      <c r="H901" s="25" t="str">
        <f t="shared" si="106"/>
        <v>jgd</v>
      </c>
      <c r="I901" t="s">
        <v>72</v>
      </c>
      <c r="J901" t="s">
        <v>958</v>
      </c>
      <c r="K901" t="s">
        <v>971</v>
      </c>
      <c r="L901" s="25">
        <v>46.088522650000002</v>
      </c>
      <c r="M901" s="25">
        <v>8.8543881439999996</v>
      </c>
      <c r="N901">
        <v>4</v>
      </c>
      <c r="O901">
        <v>1</v>
      </c>
      <c r="P901">
        <v>11</v>
      </c>
      <c r="Q901">
        <v>2015</v>
      </c>
      <c r="R901" s="9">
        <v>42309</v>
      </c>
      <c r="S901">
        <v>298</v>
      </c>
      <c r="T901">
        <v>1</v>
      </c>
      <c r="U901">
        <v>0</v>
      </c>
      <c r="V901">
        <v>0</v>
      </c>
      <c r="W901">
        <v>0</v>
      </c>
      <c r="X901">
        <f t="shared" si="107"/>
        <v>-44.500000000000007</v>
      </c>
      <c r="Y901">
        <v>-24.526800000000001</v>
      </c>
      <c r="Z901">
        <v>2.7737799769999998</v>
      </c>
      <c r="AA901" s="3">
        <f t="shared" si="102"/>
        <v>4</v>
      </c>
      <c r="AB901" s="3">
        <f t="shared" si="105"/>
        <v>3</v>
      </c>
      <c r="AD901" s="3" t="s">
        <v>2754</v>
      </c>
      <c r="AE901" s="22">
        <v>-59.82</v>
      </c>
      <c r="AF901" s="22">
        <f t="shared" si="103"/>
        <v>-59.82</v>
      </c>
      <c r="AG901" s="1">
        <v>-82.2</v>
      </c>
      <c r="AH901" s="2" t="s">
        <v>16</v>
      </c>
      <c r="AI901"/>
      <c r="AJ901" s="3">
        <f t="shared" si="104"/>
        <v>6</v>
      </c>
      <c r="AK901" s="3" t="s">
        <v>2708</v>
      </c>
      <c r="AL901">
        <v>6</v>
      </c>
      <c r="AM901" t="s">
        <v>15</v>
      </c>
    </row>
    <row r="902" spans="1:39" hidden="1" x14ac:dyDescent="0.3">
      <c r="A902" s="51" t="s">
        <v>2107</v>
      </c>
      <c r="B902" s="54" t="s">
        <v>2108</v>
      </c>
      <c r="C902" s="51" t="s">
        <v>2765</v>
      </c>
      <c r="D902" s="53">
        <v>0</v>
      </c>
      <c r="E902" s="53">
        <v>1</v>
      </c>
      <c r="F902" s="51" t="s">
        <v>2715</v>
      </c>
      <c r="G902" s="51" t="s">
        <v>2695</v>
      </c>
      <c r="H902" s="25" t="str">
        <f t="shared" si="106"/>
        <v>jgd</v>
      </c>
      <c r="I902" t="s">
        <v>30</v>
      </c>
      <c r="J902" t="s">
        <v>31</v>
      </c>
      <c r="K902" t="s">
        <v>1576</v>
      </c>
      <c r="L902" s="25">
        <v>46.64903915</v>
      </c>
      <c r="M902" s="25">
        <v>7.0402247630000003</v>
      </c>
      <c r="N902">
        <v>3</v>
      </c>
      <c r="O902">
        <v>14</v>
      </c>
      <c r="P902">
        <v>11</v>
      </c>
      <c r="Q902">
        <v>2017</v>
      </c>
      <c r="R902" s="9">
        <v>43053</v>
      </c>
      <c r="S902">
        <v>318</v>
      </c>
      <c r="T902">
        <v>1</v>
      </c>
      <c r="U902">
        <v>0</v>
      </c>
      <c r="V902">
        <v>0</v>
      </c>
      <c r="W902">
        <v>0</v>
      </c>
      <c r="X902" s="57">
        <f t="shared" si="107"/>
        <v>-44.203600999999999</v>
      </c>
      <c r="Y902" t="s">
        <v>16</v>
      </c>
      <c r="Z902">
        <v>4.9877749109999998</v>
      </c>
      <c r="AA902" s="3">
        <f t="shared" si="102"/>
        <v>4</v>
      </c>
      <c r="AB902" s="3">
        <f t="shared" si="105"/>
        <v>5</v>
      </c>
      <c r="AD902" s="3" t="s">
        <v>2751</v>
      </c>
      <c r="AE902" s="22">
        <v>-59.582880799999998</v>
      </c>
      <c r="AF902" s="22">
        <f t="shared" si="103"/>
        <v>-59.582880799999998</v>
      </c>
      <c r="AG902" s="60" t="s">
        <v>16</v>
      </c>
      <c r="AH902" s="61" t="s">
        <v>16</v>
      </c>
      <c r="AJ902" s="3">
        <f t="shared" si="104"/>
        <v>6</v>
      </c>
      <c r="AK902" s="3" t="s">
        <v>2708</v>
      </c>
      <c r="AL902">
        <v>6</v>
      </c>
      <c r="AM902" t="s">
        <v>15</v>
      </c>
    </row>
    <row r="903" spans="1:39" x14ac:dyDescent="0.3">
      <c r="A903" s="51" t="s">
        <v>1893</v>
      </c>
      <c r="B903" s="54" t="s">
        <v>1103</v>
      </c>
      <c r="C903" s="51" t="s">
        <v>2765</v>
      </c>
      <c r="D903" s="53">
        <v>0</v>
      </c>
      <c r="E903" s="53">
        <v>1</v>
      </c>
      <c r="F903" s="51" t="s">
        <v>2715</v>
      </c>
      <c r="G903" s="51" t="s">
        <v>2695</v>
      </c>
      <c r="H903" s="25" t="str">
        <f t="shared" si="106"/>
        <v>jgd</v>
      </c>
      <c r="I903" t="s">
        <v>72</v>
      </c>
      <c r="J903" t="s">
        <v>1098</v>
      </c>
      <c r="K903" t="s">
        <v>1894</v>
      </c>
      <c r="L903" s="25">
        <v>46.025250970000002</v>
      </c>
      <c r="M903" s="25">
        <v>8.8368246920000004</v>
      </c>
      <c r="N903">
        <v>6</v>
      </c>
      <c r="O903">
        <v>18</v>
      </c>
      <c r="P903">
        <v>10</v>
      </c>
      <c r="Q903">
        <v>2016</v>
      </c>
      <c r="R903" s="9">
        <v>42661</v>
      </c>
      <c r="S903">
        <v>310</v>
      </c>
      <c r="T903">
        <v>1</v>
      </c>
      <c r="U903">
        <v>0</v>
      </c>
      <c r="V903">
        <v>0</v>
      </c>
      <c r="W903">
        <v>0</v>
      </c>
      <c r="X903" s="57">
        <f t="shared" si="107"/>
        <v>-43.886470625000008</v>
      </c>
      <c r="Y903">
        <v>-23.73</v>
      </c>
      <c r="Z903">
        <v>-0.73</v>
      </c>
      <c r="AA903" s="3">
        <f t="shared" si="102"/>
        <v>4</v>
      </c>
      <c r="AB903" s="3">
        <f t="shared" si="105"/>
        <v>-1</v>
      </c>
      <c r="AD903" s="3" t="s">
        <v>2754</v>
      </c>
      <c r="AE903" s="22">
        <v>-59.329176500000003</v>
      </c>
      <c r="AF903" s="22">
        <f t="shared" si="103"/>
        <v>-59.329176500000003</v>
      </c>
      <c r="AG903" s="60" t="s">
        <v>16</v>
      </c>
      <c r="AH903" s="61" t="s">
        <v>16</v>
      </c>
      <c r="AJ903" s="3">
        <f t="shared" si="104"/>
        <v>6</v>
      </c>
      <c r="AK903" s="3" t="s">
        <v>2708</v>
      </c>
      <c r="AL903">
        <v>6</v>
      </c>
      <c r="AM903" t="s">
        <v>15</v>
      </c>
    </row>
    <row r="904" spans="1:39" hidden="1" x14ac:dyDescent="0.3">
      <c r="A904" s="51" t="s">
        <v>2528</v>
      </c>
      <c r="B904" s="54" t="s">
        <v>2529</v>
      </c>
      <c r="C904" s="51" t="s">
        <v>2765</v>
      </c>
      <c r="D904" s="53">
        <v>0</v>
      </c>
      <c r="E904" s="53">
        <v>1</v>
      </c>
      <c r="F904" s="51" t="s">
        <v>2715</v>
      </c>
      <c r="G904" s="51" t="s">
        <v>2695</v>
      </c>
      <c r="H904" s="25" t="str">
        <f t="shared" si="106"/>
        <v>jgd</v>
      </c>
      <c r="I904" t="s">
        <v>385</v>
      </c>
      <c r="J904" t="s">
        <v>558</v>
      </c>
      <c r="K904" t="s">
        <v>16</v>
      </c>
      <c r="L904" s="25">
        <v>46.661927810000002</v>
      </c>
      <c r="M904" s="25">
        <v>6.2888091279999996</v>
      </c>
      <c r="N904">
        <v>4</v>
      </c>
      <c r="O904">
        <v>24</v>
      </c>
      <c r="P904">
        <v>10</v>
      </c>
      <c r="Q904">
        <v>2017</v>
      </c>
      <c r="R904" s="9">
        <v>43032</v>
      </c>
      <c r="S904">
        <v>360</v>
      </c>
      <c r="T904">
        <v>1</v>
      </c>
      <c r="U904">
        <v>0</v>
      </c>
      <c r="V904">
        <v>0</v>
      </c>
      <c r="W904">
        <v>0</v>
      </c>
      <c r="X904" s="57">
        <f t="shared" si="107"/>
        <v>-43.776128500000006</v>
      </c>
      <c r="Y904" t="s">
        <v>16</v>
      </c>
      <c r="Z904">
        <v>-0.122695718</v>
      </c>
      <c r="AA904" s="3">
        <f t="shared" si="102"/>
        <v>4</v>
      </c>
      <c r="AB904" s="3">
        <f t="shared" si="105"/>
        <v>0</v>
      </c>
      <c r="AD904" s="3" t="s">
        <v>2750</v>
      </c>
      <c r="AE904" s="22">
        <v>-59.240902800000001</v>
      </c>
      <c r="AF904" s="22">
        <f t="shared" si="103"/>
        <v>-59.240902800000001</v>
      </c>
      <c r="AG904" s="60" t="s">
        <v>16</v>
      </c>
      <c r="AH904" s="61" t="s">
        <v>16</v>
      </c>
      <c r="AJ904" s="3">
        <f t="shared" si="104"/>
        <v>6</v>
      </c>
      <c r="AK904" s="3" t="s">
        <v>2708</v>
      </c>
      <c r="AL904">
        <v>6</v>
      </c>
      <c r="AM904" t="s">
        <v>15</v>
      </c>
    </row>
    <row r="905" spans="1:39" x14ac:dyDescent="0.3">
      <c r="A905" s="51" t="s">
        <v>655</v>
      </c>
      <c r="B905" s="54" t="s">
        <v>656</v>
      </c>
      <c r="C905" s="51" t="s">
        <v>2765</v>
      </c>
      <c r="D905" s="53">
        <v>0</v>
      </c>
      <c r="E905" s="53">
        <v>1</v>
      </c>
      <c r="F905" s="51" t="s">
        <v>2715</v>
      </c>
      <c r="G905" s="51" t="s">
        <v>2695</v>
      </c>
      <c r="H905" s="25" t="str">
        <f t="shared" si="106"/>
        <v>jgd</v>
      </c>
      <c r="I905" t="s">
        <v>72</v>
      </c>
      <c r="J905" t="s">
        <v>657</v>
      </c>
      <c r="K905" t="s">
        <v>658</v>
      </c>
      <c r="L905" s="25">
        <v>46.098512960000001</v>
      </c>
      <c r="M905" s="25">
        <v>9.0486449990000004</v>
      </c>
      <c r="N905">
        <v>5</v>
      </c>
      <c r="O905">
        <v>26</v>
      </c>
      <c r="P905">
        <v>11</v>
      </c>
      <c r="Q905">
        <v>2015</v>
      </c>
      <c r="R905" s="9">
        <v>42334</v>
      </c>
      <c r="S905">
        <v>300</v>
      </c>
      <c r="T905">
        <v>1</v>
      </c>
      <c r="U905">
        <v>0</v>
      </c>
      <c r="V905">
        <v>0</v>
      </c>
      <c r="W905">
        <v>0</v>
      </c>
      <c r="X905">
        <f t="shared" si="107"/>
        <v>-43.687500000000007</v>
      </c>
      <c r="Y905">
        <v>-24.234000000000002</v>
      </c>
      <c r="Z905">
        <v>5.0049874790000004</v>
      </c>
      <c r="AA905" s="3">
        <f t="shared" si="102"/>
        <v>4</v>
      </c>
      <c r="AB905" s="3">
        <f t="shared" si="105"/>
        <v>5</v>
      </c>
      <c r="AD905" s="3" t="s">
        <v>2754</v>
      </c>
      <c r="AE905" s="22">
        <v>-59.17</v>
      </c>
      <c r="AF905" s="22">
        <f t="shared" si="103"/>
        <v>-59.17</v>
      </c>
      <c r="AG905" s="1">
        <v>-81.599999999999994</v>
      </c>
      <c r="AH905" s="2" t="s">
        <v>16</v>
      </c>
      <c r="AI905"/>
      <c r="AJ905" s="3">
        <f t="shared" si="104"/>
        <v>6</v>
      </c>
      <c r="AK905" s="3" t="s">
        <v>2708</v>
      </c>
      <c r="AL905">
        <v>6</v>
      </c>
      <c r="AM905" t="s">
        <v>15</v>
      </c>
    </row>
    <row r="906" spans="1:39" x14ac:dyDescent="0.3">
      <c r="A906" s="51" t="s">
        <v>659</v>
      </c>
      <c r="B906" s="54" t="s">
        <v>305</v>
      </c>
      <c r="C906" s="51" t="s">
        <v>2765</v>
      </c>
      <c r="D906" s="53">
        <v>0</v>
      </c>
      <c r="E906" s="53">
        <v>1</v>
      </c>
      <c r="F906" s="51" t="s">
        <v>2715</v>
      </c>
      <c r="G906" s="51" t="s">
        <v>2695</v>
      </c>
      <c r="H906" s="25" t="str">
        <f t="shared" si="106"/>
        <v>jgd</v>
      </c>
      <c r="I906" t="s">
        <v>72</v>
      </c>
      <c r="J906" t="s">
        <v>140</v>
      </c>
      <c r="K906" t="s">
        <v>141</v>
      </c>
      <c r="L906" s="25">
        <v>46.089934030000002</v>
      </c>
      <c r="M906" s="25">
        <v>9.0820138850000003</v>
      </c>
      <c r="N906">
        <v>5</v>
      </c>
      <c r="O906">
        <v>5</v>
      </c>
      <c r="P906">
        <v>11</v>
      </c>
      <c r="Q906">
        <v>2015</v>
      </c>
      <c r="R906" s="9">
        <v>42313</v>
      </c>
      <c r="S906">
        <v>320</v>
      </c>
      <c r="T906">
        <v>1</v>
      </c>
      <c r="U906">
        <v>0</v>
      </c>
      <c r="V906">
        <v>0</v>
      </c>
      <c r="W906">
        <v>0</v>
      </c>
      <c r="X906">
        <f t="shared" si="107"/>
        <v>-43.63750000000001</v>
      </c>
      <c r="Y906">
        <v>-22.746400000000001</v>
      </c>
      <c r="Z906">
        <v>0.81650156399999996</v>
      </c>
      <c r="AA906" s="3">
        <f t="shared" si="102"/>
        <v>4</v>
      </c>
      <c r="AB906" s="3">
        <f t="shared" si="105"/>
        <v>1</v>
      </c>
      <c r="AD906" s="3" t="s">
        <v>2754</v>
      </c>
      <c r="AE906" s="22">
        <v>-59.13</v>
      </c>
      <c r="AF906" s="22">
        <f t="shared" si="103"/>
        <v>-59.13</v>
      </c>
      <c r="AG906" s="1">
        <v>-81.5</v>
      </c>
      <c r="AH906" s="2" t="s">
        <v>16</v>
      </c>
      <c r="AI906"/>
      <c r="AJ906" s="3">
        <f t="shared" si="104"/>
        <v>6</v>
      </c>
      <c r="AK906" s="3" t="s">
        <v>2708</v>
      </c>
      <c r="AL906">
        <v>6</v>
      </c>
      <c r="AM906" t="s">
        <v>15</v>
      </c>
    </row>
    <row r="907" spans="1:39" x14ac:dyDescent="0.3">
      <c r="A907" s="51" t="s">
        <v>1972</v>
      </c>
      <c r="B907" s="54" t="s">
        <v>1973</v>
      </c>
      <c r="C907" s="51" t="s">
        <v>2765</v>
      </c>
      <c r="D907" s="53">
        <v>0</v>
      </c>
      <c r="E907" s="53">
        <v>1</v>
      </c>
      <c r="F907" s="51" t="s">
        <v>2715</v>
      </c>
      <c r="G907" s="51" t="s">
        <v>2695</v>
      </c>
      <c r="H907" s="25" t="str">
        <f t="shared" si="106"/>
        <v>jgd</v>
      </c>
      <c r="I907" t="s">
        <v>72</v>
      </c>
      <c r="J907" t="s">
        <v>1473</v>
      </c>
      <c r="K907" t="s">
        <v>1974</v>
      </c>
      <c r="L907" s="25">
        <v>45.892289099999999</v>
      </c>
      <c r="M907" s="25">
        <v>9.0715895310000008</v>
      </c>
      <c r="N907">
        <v>5</v>
      </c>
      <c r="O907">
        <v>8</v>
      </c>
      <c r="P907">
        <v>11</v>
      </c>
      <c r="Q907">
        <v>2016</v>
      </c>
      <c r="R907" s="9">
        <v>42682</v>
      </c>
      <c r="S907">
        <v>310</v>
      </c>
      <c r="T907">
        <v>1</v>
      </c>
      <c r="U907">
        <v>0</v>
      </c>
      <c r="V907">
        <v>0</v>
      </c>
      <c r="W907">
        <v>0</v>
      </c>
      <c r="X907" s="57">
        <f t="shared" si="107"/>
        <v>-43.631587875000001</v>
      </c>
      <c r="Y907">
        <v>-24.88</v>
      </c>
      <c r="Z907">
        <v>5.27</v>
      </c>
      <c r="AA907" s="3">
        <f t="shared" si="102"/>
        <v>4</v>
      </c>
      <c r="AB907" s="3">
        <f t="shared" si="105"/>
        <v>5</v>
      </c>
      <c r="AD907" s="3" t="s">
        <v>2754</v>
      </c>
      <c r="AE907" s="22">
        <v>-59.125270299999997</v>
      </c>
      <c r="AF907" s="22">
        <f t="shared" si="103"/>
        <v>-59.125270299999997</v>
      </c>
      <c r="AG907" s="60" t="s">
        <v>16</v>
      </c>
      <c r="AH907" s="61" t="s">
        <v>16</v>
      </c>
      <c r="AJ907" s="3">
        <f t="shared" si="104"/>
        <v>6</v>
      </c>
      <c r="AK907" s="3" t="s">
        <v>2708</v>
      </c>
      <c r="AL907">
        <v>6</v>
      </c>
      <c r="AM907" t="s">
        <v>15</v>
      </c>
    </row>
    <row r="908" spans="1:39" x14ac:dyDescent="0.3">
      <c r="A908" s="51" t="s">
        <v>702</v>
      </c>
      <c r="B908" s="54" t="s">
        <v>703</v>
      </c>
      <c r="C908" s="51" t="s">
        <v>2765</v>
      </c>
      <c r="D908" s="53">
        <v>0</v>
      </c>
      <c r="E908" s="53">
        <v>1</v>
      </c>
      <c r="F908" s="51" t="s">
        <v>2715</v>
      </c>
      <c r="G908" s="51" t="s">
        <v>2695</v>
      </c>
      <c r="H908" s="25" t="str">
        <f t="shared" si="106"/>
        <v>jgd</v>
      </c>
      <c r="I908" t="s">
        <v>72</v>
      </c>
      <c r="J908" t="s">
        <v>704</v>
      </c>
      <c r="K908" t="s">
        <v>705</v>
      </c>
      <c r="L908" s="25">
        <v>46.474849679999998</v>
      </c>
      <c r="M908" s="25">
        <v>8.7654281689999998</v>
      </c>
      <c r="N908">
        <v>5</v>
      </c>
      <c r="O908">
        <v>17</v>
      </c>
      <c r="P908">
        <v>10</v>
      </c>
      <c r="Q908">
        <v>2015</v>
      </c>
      <c r="R908" s="9">
        <v>42294</v>
      </c>
      <c r="S908">
        <v>280</v>
      </c>
      <c r="T908">
        <v>1</v>
      </c>
      <c r="U908">
        <v>0</v>
      </c>
      <c r="V908">
        <v>0</v>
      </c>
      <c r="W908">
        <v>0</v>
      </c>
      <c r="X908">
        <f t="shared" si="107"/>
        <v>-43.437500000000007</v>
      </c>
      <c r="Y908">
        <v>-22.955400000000001</v>
      </c>
      <c r="Z908">
        <v>5.7892292049999998</v>
      </c>
      <c r="AA908" s="3">
        <f t="shared" si="102"/>
        <v>4</v>
      </c>
      <c r="AB908" s="3">
        <f t="shared" si="105"/>
        <v>6</v>
      </c>
      <c r="AD908" s="3" t="s">
        <v>2754</v>
      </c>
      <c r="AE908" s="22">
        <v>-58.97</v>
      </c>
      <c r="AF908" s="22">
        <f t="shared" si="103"/>
        <v>-58.97</v>
      </c>
      <c r="AG908" s="1">
        <v>-81.400000000000006</v>
      </c>
      <c r="AH908" s="2" t="s">
        <v>16</v>
      </c>
      <c r="AI908"/>
      <c r="AJ908" s="3">
        <f t="shared" si="104"/>
        <v>6</v>
      </c>
      <c r="AK908" s="3" t="s">
        <v>2708</v>
      </c>
      <c r="AL908">
        <v>6</v>
      </c>
      <c r="AM908" t="s">
        <v>15</v>
      </c>
    </row>
    <row r="909" spans="1:39" hidden="1" x14ac:dyDescent="0.3">
      <c r="A909" s="51" t="s">
        <v>471</v>
      </c>
      <c r="B909" s="54" t="s">
        <v>472</v>
      </c>
      <c r="C909" s="51" t="s">
        <v>2765</v>
      </c>
      <c r="D909" s="53">
        <v>0</v>
      </c>
      <c r="E909" s="53">
        <v>1</v>
      </c>
      <c r="F909" s="51" t="s">
        <v>2715</v>
      </c>
      <c r="G909" s="51" t="s">
        <v>2695</v>
      </c>
      <c r="H909" s="25" t="str">
        <f t="shared" si="106"/>
        <v>jgd</v>
      </c>
      <c r="I909" t="s">
        <v>385</v>
      </c>
      <c r="J909" t="s">
        <v>392</v>
      </c>
      <c r="K909" t="s">
        <v>473</v>
      </c>
      <c r="L909" s="25">
        <v>46.847574979999997</v>
      </c>
      <c r="M909" s="25">
        <v>6.4596141170000001</v>
      </c>
      <c r="N909">
        <v>6</v>
      </c>
      <c r="O909">
        <v>17</v>
      </c>
      <c r="P909">
        <v>11</v>
      </c>
      <c r="Q909">
        <v>2014</v>
      </c>
      <c r="R909" s="9">
        <v>41960</v>
      </c>
      <c r="S909">
        <v>335</v>
      </c>
      <c r="T909">
        <v>1</v>
      </c>
      <c r="U909">
        <v>0</v>
      </c>
      <c r="V909">
        <v>0</v>
      </c>
      <c r="W909">
        <v>0</v>
      </c>
      <c r="X909">
        <f t="shared" si="107"/>
        <v>-42.925000000000004</v>
      </c>
      <c r="Y909">
        <v>-24.093</v>
      </c>
      <c r="Z909">
        <v>4.0697583960000001</v>
      </c>
      <c r="AA909" s="3">
        <f t="shared" si="102"/>
        <v>4</v>
      </c>
      <c r="AB909" s="3">
        <f t="shared" si="105"/>
        <v>4</v>
      </c>
      <c r="AD909" s="3" t="s">
        <v>2750</v>
      </c>
      <c r="AE909" s="22">
        <v>-58.56</v>
      </c>
      <c r="AF909" s="22">
        <f t="shared" si="103"/>
        <v>-58.56</v>
      </c>
      <c r="AG909" s="1">
        <v>-81</v>
      </c>
      <c r="AH909" s="2" t="s">
        <v>16</v>
      </c>
      <c r="AI909"/>
      <c r="AJ909" s="3">
        <f t="shared" si="104"/>
        <v>6</v>
      </c>
      <c r="AK909" s="3" t="s">
        <v>2708</v>
      </c>
      <c r="AL909">
        <v>6</v>
      </c>
      <c r="AM909" t="s">
        <v>15</v>
      </c>
    </row>
    <row r="910" spans="1:39" x14ac:dyDescent="0.3">
      <c r="A910" s="51" t="s">
        <v>2526</v>
      </c>
      <c r="B910" s="54" t="s">
        <v>1180</v>
      </c>
      <c r="C910" s="51" t="s">
        <v>2765</v>
      </c>
      <c r="D910" s="53">
        <v>0</v>
      </c>
      <c r="E910" s="53">
        <v>1</v>
      </c>
      <c r="F910" s="51" t="s">
        <v>2715</v>
      </c>
      <c r="G910" s="51" t="s">
        <v>2695</v>
      </c>
      <c r="H910" s="25" t="str">
        <f t="shared" si="106"/>
        <v>jgd</v>
      </c>
      <c r="I910" t="s">
        <v>72</v>
      </c>
      <c r="J910" t="s">
        <v>298</v>
      </c>
      <c r="K910" t="s">
        <v>2515</v>
      </c>
      <c r="L910" s="25">
        <v>46.134191629999997</v>
      </c>
      <c r="M910" s="25">
        <v>8.8995353490000007</v>
      </c>
      <c r="N910">
        <v>5</v>
      </c>
      <c r="O910">
        <v>22</v>
      </c>
      <c r="P910">
        <v>10</v>
      </c>
      <c r="Q910">
        <v>2017</v>
      </c>
      <c r="R910" s="9">
        <v>43030</v>
      </c>
      <c r="S910">
        <v>335</v>
      </c>
      <c r="T910">
        <v>1</v>
      </c>
      <c r="U910">
        <v>0</v>
      </c>
      <c r="V910">
        <v>0</v>
      </c>
      <c r="W910">
        <v>0</v>
      </c>
      <c r="X910" s="57">
        <f t="shared" si="107"/>
        <v>-42.366652875000007</v>
      </c>
      <c r="Y910" t="s">
        <v>16</v>
      </c>
      <c r="Z910">
        <v>5.846348087</v>
      </c>
      <c r="AA910" s="3">
        <f t="shared" si="102"/>
        <v>4</v>
      </c>
      <c r="AB910" s="3">
        <f t="shared" si="105"/>
        <v>6</v>
      </c>
      <c r="AD910" s="3" t="s">
        <v>2754</v>
      </c>
      <c r="AE910" s="22">
        <v>-58.1133223</v>
      </c>
      <c r="AF910" s="22">
        <f t="shared" si="103"/>
        <v>-58.1133223</v>
      </c>
      <c r="AG910" s="60" t="s">
        <v>16</v>
      </c>
      <c r="AH910" s="61" t="s">
        <v>16</v>
      </c>
      <c r="AJ910" s="3">
        <f t="shared" si="104"/>
        <v>6</v>
      </c>
      <c r="AK910" s="3" t="s">
        <v>2708</v>
      </c>
      <c r="AL910">
        <v>6</v>
      </c>
      <c r="AM910" t="s">
        <v>15</v>
      </c>
    </row>
    <row r="911" spans="1:39" hidden="1" x14ac:dyDescent="0.3">
      <c r="A911" s="51" t="s">
        <v>2161</v>
      </c>
      <c r="B911" s="54" t="s">
        <v>469</v>
      </c>
      <c r="C911" s="51" t="s">
        <v>2765</v>
      </c>
      <c r="D911" s="53">
        <v>0</v>
      </c>
      <c r="E911" s="53">
        <v>1</v>
      </c>
      <c r="F911" s="51" t="s">
        <v>2715</v>
      </c>
      <c r="G911" s="51" t="s">
        <v>2695</v>
      </c>
      <c r="H911" s="25" t="str">
        <f t="shared" si="106"/>
        <v>jgd</v>
      </c>
      <c r="I911" t="s">
        <v>385</v>
      </c>
      <c r="J911" t="s">
        <v>392</v>
      </c>
      <c r="K911" t="s">
        <v>16</v>
      </c>
      <c r="L911" s="25">
        <v>46.798820970000001</v>
      </c>
      <c r="M911" s="25">
        <v>6.5020398190000002</v>
      </c>
      <c r="N911">
        <v>3</v>
      </c>
      <c r="O911">
        <v>19</v>
      </c>
      <c r="P911">
        <v>10</v>
      </c>
      <c r="Q911">
        <v>2017</v>
      </c>
      <c r="R911" s="9">
        <v>43027</v>
      </c>
      <c r="S911">
        <v>340</v>
      </c>
      <c r="T911">
        <v>1</v>
      </c>
      <c r="U911">
        <v>0</v>
      </c>
      <c r="V911">
        <v>0</v>
      </c>
      <c r="W911">
        <v>0</v>
      </c>
      <c r="X911" s="57">
        <f t="shared" si="107"/>
        <v>-41.329012499999997</v>
      </c>
      <c r="Y911" t="s">
        <v>16</v>
      </c>
      <c r="Z911">
        <v>1.733371789</v>
      </c>
      <c r="AA911" s="3">
        <f t="shared" si="102"/>
        <v>4</v>
      </c>
      <c r="AB911" s="3">
        <f t="shared" si="105"/>
        <v>2</v>
      </c>
      <c r="AD911" s="3" t="s">
        <v>2750</v>
      </c>
      <c r="AE911" s="22">
        <v>-57.283209999999997</v>
      </c>
      <c r="AF911" s="22">
        <f t="shared" si="103"/>
        <v>-57.283209999999997</v>
      </c>
      <c r="AG911" s="60" t="s">
        <v>16</v>
      </c>
      <c r="AH911" s="61" t="s">
        <v>16</v>
      </c>
      <c r="AJ911" s="3">
        <f t="shared" si="104"/>
        <v>6</v>
      </c>
      <c r="AK911" s="3" t="s">
        <v>2708</v>
      </c>
      <c r="AL911">
        <v>6</v>
      </c>
      <c r="AM911" t="s">
        <v>15</v>
      </c>
    </row>
    <row r="912" spans="1:39" x14ac:dyDescent="0.3">
      <c r="A912" s="51" t="s">
        <v>2525</v>
      </c>
      <c r="B912" s="54" t="s">
        <v>1178</v>
      </c>
      <c r="C912" s="51" t="s">
        <v>2765</v>
      </c>
      <c r="D912" s="53">
        <v>0</v>
      </c>
      <c r="E912" s="53">
        <v>1</v>
      </c>
      <c r="F912" s="51" t="s">
        <v>2715</v>
      </c>
      <c r="G912" s="51" t="s">
        <v>2695</v>
      </c>
      <c r="H912" s="25" t="str">
        <f t="shared" si="106"/>
        <v>jgd</v>
      </c>
      <c r="I912" t="s">
        <v>72</v>
      </c>
      <c r="J912" t="s">
        <v>298</v>
      </c>
      <c r="K912" t="s">
        <v>2515</v>
      </c>
      <c r="L912" s="25">
        <v>46.14840178</v>
      </c>
      <c r="M912" s="25">
        <v>9.0059228139999998</v>
      </c>
      <c r="N912">
        <v>5</v>
      </c>
      <c r="O912">
        <v>21</v>
      </c>
      <c r="P912">
        <v>10</v>
      </c>
      <c r="Q912">
        <v>2017</v>
      </c>
      <c r="R912" s="9">
        <v>43029</v>
      </c>
      <c r="S912">
        <v>300</v>
      </c>
      <c r="T912">
        <v>1</v>
      </c>
      <c r="U912">
        <v>0</v>
      </c>
      <c r="V912">
        <v>0</v>
      </c>
      <c r="W912">
        <v>0</v>
      </c>
      <c r="X912" s="57">
        <f t="shared" si="107"/>
        <v>-40.842344250000004</v>
      </c>
      <c r="Y912" t="s">
        <v>16</v>
      </c>
      <c r="Z912">
        <v>3.9924647470000001</v>
      </c>
      <c r="AA912" s="3">
        <f t="shared" si="102"/>
        <v>4</v>
      </c>
      <c r="AB912" s="3">
        <f t="shared" si="105"/>
        <v>4</v>
      </c>
      <c r="AD912" s="3" t="s">
        <v>2754</v>
      </c>
      <c r="AE912" s="22">
        <v>-56.893875399999999</v>
      </c>
      <c r="AF912" s="22">
        <f t="shared" si="103"/>
        <v>-56.893875399999999</v>
      </c>
      <c r="AG912" s="60" t="s">
        <v>16</v>
      </c>
      <c r="AH912" s="61" t="s">
        <v>16</v>
      </c>
      <c r="AJ912" s="3">
        <f t="shared" si="104"/>
        <v>6</v>
      </c>
      <c r="AK912" s="3" t="s">
        <v>2708</v>
      </c>
      <c r="AL912">
        <v>6</v>
      </c>
      <c r="AM912" t="s">
        <v>15</v>
      </c>
    </row>
    <row r="913" spans="1:39" hidden="1" x14ac:dyDescent="0.3">
      <c r="A913" s="51" t="s">
        <v>1579</v>
      </c>
      <c r="B913" s="54" t="s">
        <v>1580</v>
      </c>
      <c r="C913" s="51" t="s">
        <v>2765</v>
      </c>
      <c r="D913" s="53">
        <v>0</v>
      </c>
      <c r="E913" s="53">
        <v>1</v>
      </c>
      <c r="F913" s="51" t="s">
        <v>2715</v>
      </c>
      <c r="G913" s="51" t="s">
        <v>2695</v>
      </c>
      <c r="H913" s="25" t="str">
        <f t="shared" si="106"/>
        <v>jgd</v>
      </c>
      <c r="I913" t="s">
        <v>30</v>
      </c>
      <c r="J913" t="s">
        <v>374</v>
      </c>
      <c r="K913" t="s">
        <v>1581</v>
      </c>
      <c r="L913" s="25">
        <v>46.662311580000001</v>
      </c>
      <c r="M913" s="25">
        <v>6.981329669</v>
      </c>
      <c r="N913">
        <v>3</v>
      </c>
      <c r="O913">
        <v>7</v>
      </c>
      <c r="P913">
        <v>12</v>
      </c>
      <c r="Q913">
        <v>2016</v>
      </c>
      <c r="R913" s="9">
        <v>42711</v>
      </c>
      <c r="S913">
        <v>351</v>
      </c>
      <c r="T913">
        <v>1</v>
      </c>
      <c r="U913">
        <v>0</v>
      </c>
      <c r="V913">
        <v>0</v>
      </c>
      <c r="W913">
        <v>0</v>
      </c>
      <c r="X913" s="57">
        <f t="shared" si="107"/>
        <v>-40.583539499999993</v>
      </c>
      <c r="Y913">
        <v>-22.19</v>
      </c>
      <c r="Z913">
        <v>6.63</v>
      </c>
      <c r="AA913" s="3">
        <f t="shared" si="102"/>
        <v>4</v>
      </c>
      <c r="AB913" s="3">
        <f t="shared" si="105"/>
        <v>7</v>
      </c>
      <c r="AD913" s="3" t="s">
        <v>2751</v>
      </c>
      <c r="AE913" s="22">
        <v>-56.686831599999998</v>
      </c>
      <c r="AF913" s="22">
        <f t="shared" si="103"/>
        <v>-56.686831599999998</v>
      </c>
      <c r="AG913" s="60" t="s">
        <v>16</v>
      </c>
      <c r="AH913" s="61" t="s">
        <v>16</v>
      </c>
      <c r="AJ913" s="3">
        <f t="shared" si="104"/>
        <v>6</v>
      </c>
      <c r="AK913" s="3" t="s">
        <v>2708</v>
      </c>
      <c r="AL913">
        <v>6</v>
      </c>
      <c r="AM913" t="s">
        <v>15</v>
      </c>
    </row>
    <row r="914" spans="1:39" hidden="1" x14ac:dyDescent="0.3">
      <c r="A914" s="51" t="s">
        <v>149</v>
      </c>
      <c r="B914" s="54" t="s">
        <v>150</v>
      </c>
      <c r="C914" s="51" t="s">
        <v>2765</v>
      </c>
      <c r="D914" s="53">
        <v>0</v>
      </c>
      <c r="E914" s="53">
        <v>1</v>
      </c>
      <c r="F914" s="51" t="s">
        <v>2715</v>
      </c>
      <c r="G914" s="51" t="s">
        <v>2695</v>
      </c>
      <c r="H914" s="25" t="str">
        <f t="shared" si="106"/>
        <v>jgd</v>
      </c>
      <c r="I914" t="s">
        <v>13</v>
      </c>
      <c r="J914" t="s">
        <v>151</v>
      </c>
      <c r="K914" t="s">
        <v>152</v>
      </c>
      <c r="L914" s="25">
        <v>46.860306350000002</v>
      </c>
      <c r="M914" s="25">
        <v>6.5083666789999999</v>
      </c>
      <c r="N914">
        <v>6</v>
      </c>
      <c r="O914">
        <v>16</v>
      </c>
      <c r="P914">
        <v>10</v>
      </c>
      <c r="Q914">
        <v>2013</v>
      </c>
      <c r="R914" s="9">
        <v>41563</v>
      </c>
      <c r="S914">
        <v>287</v>
      </c>
      <c r="T914">
        <v>1</v>
      </c>
      <c r="U914">
        <v>0</v>
      </c>
      <c r="V914">
        <v>0</v>
      </c>
      <c r="W914">
        <v>0</v>
      </c>
      <c r="X914">
        <f t="shared" si="107"/>
        <v>-40.300000000000004</v>
      </c>
      <c r="Y914">
        <v>-18.15111709</v>
      </c>
      <c r="Z914">
        <v>3.5513198770000001</v>
      </c>
      <c r="AA914" s="3">
        <f t="shared" si="102"/>
        <v>4</v>
      </c>
      <c r="AB914" s="3">
        <f t="shared" si="105"/>
        <v>4</v>
      </c>
      <c r="AD914" s="3" t="s">
        <v>2750</v>
      </c>
      <c r="AE914" s="22">
        <v>-56.46</v>
      </c>
      <c r="AF914" s="22">
        <f t="shared" si="103"/>
        <v>-56.46</v>
      </c>
      <c r="AG914" s="1">
        <v>-78.8</v>
      </c>
      <c r="AH914" s="2" t="s">
        <v>16</v>
      </c>
      <c r="AI914"/>
      <c r="AJ914" s="3">
        <f t="shared" si="104"/>
        <v>6</v>
      </c>
      <c r="AK914" s="3" t="s">
        <v>2708</v>
      </c>
      <c r="AL914">
        <v>6</v>
      </c>
      <c r="AM914" t="s">
        <v>15</v>
      </c>
    </row>
    <row r="915" spans="1:39" hidden="1" x14ac:dyDescent="0.3">
      <c r="A915" s="51" t="s">
        <v>897</v>
      </c>
      <c r="B915" s="54" t="s">
        <v>898</v>
      </c>
      <c r="C915" s="51" t="s">
        <v>2765</v>
      </c>
      <c r="D915" s="53">
        <v>0</v>
      </c>
      <c r="E915" s="53">
        <v>1</v>
      </c>
      <c r="F915" s="51" t="s">
        <v>2715</v>
      </c>
      <c r="G915" s="51" t="s">
        <v>2695</v>
      </c>
      <c r="H915" s="25" t="str">
        <f t="shared" si="106"/>
        <v>jgd</v>
      </c>
      <c r="I915" t="s">
        <v>385</v>
      </c>
      <c r="J915" t="s">
        <v>899</v>
      </c>
      <c r="K915" t="s">
        <v>900</v>
      </c>
      <c r="L915" s="25">
        <v>46.651010759999998</v>
      </c>
      <c r="M915" s="25">
        <v>6.3687344389999998</v>
      </c>
      <c r="N915">
        <v>4</v>
      </c>
      <c r="O915">
        <v>9</v>
      </c>
      <c r="P915">
        <v>11</v>
      </c>
      <c r="Q915">
        <v>2015</v>
      </c>
      <c r="R915" s="9">
        <v>42317</v>
      </c>
      <c r="S915">
        <v>360</v>
      </c>
      <c r="T915">
        <v>1</v>
      </c>
      <c r="U915">
        <v>0</v>
      </c>
      <c r="V915">
        <v>0</v>
      </c>
      <c r="W915">
        <v>0</v>
      </c>
      <c r="X915">
        <f t="shared" si="107"/>
        <v>-40.250000000000007</v>
      </c>
      <c r="Y915">
        <v>-23.498999999999999</v>
      </c>
      <c r="Z915">
        <v>1.5997057779999999</v>
      </c>
      <c r="AA915" s="3">
        <f t="shared" si="102"/>
        <v>4</v>
      </c>
      <c r="AB915" s="3">
        <f t="shared" si="105"/>
        <v>2</v>
      </c>
      <c r="AD915" s="3" t="s">
        <v>2750</v>
      </c>
      <c r="AE915" s="22">
        <v>-56.42</v>
      </c>
      <c r="AF915" s="22">
        <f t="shared" si="103"/>
        <v>-56.42</v>
      </c>
      <c r="AG915" s="1">
        <v>-78.8</v>
      </c>
      <c r="AH915" s="2" t="s">
        <v>16</v>
      </c>
      <c r="AI915"/>
      <c r="AJ915" s="3">
        <f t="shared" si="104"/>
        <v>6</v>
      </c>
      <c r="AK915" s="3" t="s">
        <v>2708</v>
      </c>
      <c r="AL915">
        <v>6</v>
      </c>
      <c r="AM915" t="s">
        <v>15</v>
      </c>
    </row>
    <row r="916" spans="1:39" hidden="1" x14ac:dyDescent="0.3">
      <c r="A916" s="51" t="s">
        <v>566</v>
      </c>
      <c r="B916" s="54" t="s">
        <v>567</v>
      </c>
      <c r="C916" s="51" t="s">
        <v>2765</v>
      </c>
      <c r="D916" s="53">
        <v>0</v>
      </c>
      <c r="E916" s="53">
        <v>1</v>
      </c>
      <c r="F916" s="51" t="s">
        <v>2715</v>
      </c>
      <c r="G916" s="51" t="s">
        <v>2695</v>
      </c>
      <c r="H916" s="25" t="str">
        <f t="shared" si="106"/>
        <v>jgd</v>
      </c>
      <c r="I916" t="s">
        <v>385</v>
      </c>
      <c r="J916" t="s">
        <v>558</v>
      </c>
      <c r="K916" t="s">
        <v>565</v>
      </c>
      <c r="L916" s="25">
        <v>46.671582139999998</v>
      </c>
      <c r="M916" s="25">
        <v>6.265078441</v>
      </c>
      <c r="N916">
        <v>5</v>
      </c>
      <c r="O916">
        <v>14</v>
      </c>
      <c r="P916">
        <v>11</v>
      </c>
      <c r="Q916">
        <v>2014</v>
      </c>
      <c r="R916" s="9">
        <v>41957</v>
      </c>
      <c r="S916">
        <v>332</v>
      </c>
      <c r="T916">
        <v>1</v>
      </c>
      <c r="U916">
        <v>0</v>
      </c>
      <c r="V916">
        <v>0</v>
      </c>
      <c r="W916">
        <v>0</v>
      </c>
      <c r="X916">
        <f t="shared" si="107"/>
        <v>-40.212499999999999</v>
      </c>
      <c r="Y916">
        <v>-23.434000000000001</v>
      </c>
      <c r="Z916">
        <v>5.067095804</v>
      </c>
      <c r="AA916" s="3">
        <f t="shared" si="102"/>
        <v>4</v>
      </c>
      <c r="AB916" s="3">
        <f t="shared" si="105"/>
        <v>5</v>
      </c>
      <c r="AD916" s="3" t="s">
        <v>2750</v>
      </c>
      <c r="AE916" s="22">
        <v>-56.39</v>
      </c>
      <c r="AF916" s="22">
        <f t="shared" si="103"/>
        <v>-56.39</v>
      </c>
      <c r="AG916" s="1">
        <v>-78.7</v>
      </c>
      <c r="AH916" s="2" t="s">
        <v>16</v>
      </c>
      <c r="AI916"/>
      <c r="AJ916" s="3">
        <f t="shared" si="104"/>
        <v>6</v>
      </c>
      <c r="AK916" s="3" t="s">
        <v>2708</v>
      </c>
      <c r="AL916">
        <v>6</v>
      </c>
      <c r="AM916" t="s">
        <v>15</v>
      </c>
    </row>
    <row r="917" spans="1:39" hidden="1" x14ac:dyDescent="0.3">
      <c r="A917" s="51" t="s">
        <v>769</v>
      </c>
      <c r="B917" s="54" t="s">
        <v>770</v>
      </c>
      <c r="C917" s="51" t="s">
        <v>2765</v>
      </c>
      <c r="D917" s="53">
        <v>0</v>
      </c>
      <c r="E917" s="53">
        <v>1</v>
      </c>
      <c r="F917" s="51" t="s">
        <v>2715</v>
      </c>
      <c r="G917" s="51" t="s">
        <v>2695</v>
      </c>
      <c r="H917" s="25" t="str">
        <f t="shared" si="106"/>
        <v>jgd</v>
      </c>
      <c r="I917" t="s">
        <v>385</v>
      </c>
      <c r="J917" t="s">
        <v>771</v>
      </c>
      <c r="K917" t="s">
        <v>772</v>
      </c>
      <c r="L917" s="25">
        <v>46.66263</v>
      </c>
      <c r="M917" s="25">
        <v>6.3606640140000001</v>
      </c>
      <c r="N917">
        <v>4</v>
      </c>
      <c r="O917">
        <v>18</v>
      </c>
      <c r="P917">
        <v>10</v>
      </c>
      <c r="Q917">
        <v>2015</v>
      </c>
      <c r="R917" s="9">
        <v>42295</v>
      </c>
      <c r="S917">
        <v>304</v>
      </c>
      <c r="T917">
        <v>1</v>
      </c>
      <c r="U917">
        <v>0</v>
      </c>
      <c r="V917">
        <v>0</v>
      </c>
      <c r="W917">
        <v>0</v>
      </c>
      <c r="X917">
        <f t="shared" si="107"/>
        <v>-39.024999999999999</v>
      </c>
      <c r="Y917">
        <v>-22.71</v>
      </c>
      <c r="Z917">
        <v>0.53595062599999999</v>
      </c>
      <c r="AA917" s="3">
        <f t="shared" si="102"/>
        <v>4</v>
      </c>
      <c r="AB917" s="3">
        <f t="shared" si="105"/>
        <v>1</v>
      </c>
      <c r="AD917" s="3" t="s">
        <v>2750</v>
      </c>
      <c r="AE917" s="22">
        <v>-55.44</v>
      </c>
      <c r="AF917" s="22">
        <f t="shared" si="103"/>
        <v>-55.44</v>
      </c>
      <c r="AG917" s="1">
        <v>-77.8</v>
      </c>
      <c r="AH917" s="2" t="s">
        <v>16</v>
      </c>
      <c r="AI917"/>
      <c r="AJ917" s="3">
        <f t="shared" si="104"/>
        <v>6</v>
      </c>
      <c r="AK917" s="3" t="s">
        <v>2708</v>
      </c>
      <c r="AL917">
        <v>6</v>
      </c>
      <c r="AM917" t="s">
        <v>15</v>
      </c>
    </row>
    <row r="918" spans="1:39" hidden="1" x14ac:dyDescent="0.3">
      <c r="A918" s="51" t="s">
        <v>1904</v>
      </c>
      <c r="B918" s="54" t="s">
        <v>1145</v>
      </c>
      <c r="C918" s="51" t="s">
        <v>2765</v>
      </c>
      <c r="D918" s="53">
        <v>0</v>
      </c>
      <c r="E918" s="53">
        <v>1</v>
      </c>
      <c r="F918" s="51" t="s">
        <v>2715</v>
      </c>
      <c r="G918" s="51" t="s">
        <v>2695</v>
      </c>
      <c r="H918" s="25" t="str">
        <f t="shared" si="106"/>
        <v>jgd</v>
      </c>
      <c r="I918" t="s">
        <v>13</v>
      </c>
      <c r="J918" t="s">
        <v>1146</v>
      </c>
      <c r="K918" t="s">
        <v>1905</v>
      </c>
      <c r="L918" s="25">
        <v>47.039021740000003</v>
      </c>
      <c r="M918" s="25">
        <v>6.7456176379999997</v>
      </c>
      <c r="N918" t="s">
        <v>16</v>
      </c>
      <c r="O918">
        <v>6</v>
      </c>
      <c r="P918">
        <v>10</v>
      </c>
      <c r="Q918">
        <v>2016</v>
      </c>
      <c r="R918" s="9">
        <v>42649</v>
      </c>
      <c r="S918">
        <v>330</v>
      </c>
      <c r="T918">
        <v>1</v>
      </c>
      <c r="U918">
        <v>0</v>
      </c>
      <c r="V918">
        <v>0</v>
      </c>
      <c r="W918">
        <v>0</v>
      </c>
      <c r="X918" s="57">
        <f t="shared" si="107"/>
        <v>-38.863387499999995</v>
      </c>
      <c r="Y918">
        <v>-23.41</v>
      </c>
      <c r="Z918">
        <v>-0.84</v>
      </c>
      <c r="AA918" s="3">
        <f t="shared" ref="AA918:AA953" si="108">-ROUND(X918/10,0)</f>
        <v>4</v>
      </c>
      <c r="AB918" s="3">
        <f t="shared" si="105"/>
        <v>-1</v>
      </c>
      <c r="AD918" s="3" t="s">
        <v>2750</v>
      </c>
      <c r="AE918" s="22">
        <v>-55.31071</v>
      </c>
      <c r="AF918" s="22">
        <f t="shared" ref="AF918:AF981" si="109">IF(AI918&lt;0,AI918,AE918)</f>
        <v>-55.31071</v>
      </c>
      <c r="AG918" s="60" t="s">
        <v>16</v>
      </c>
      <c r="AH918" s="61" t="s">
        <v>16</v>
      </c>
      <c r="AJ918" s="3">
        <f t="shared" ref="AJ918:AJ964" si="110">-ROUND(AF918/10,0)</f>
        <v>6</v>
      </c>
      <c r="AK918" s="3" t="s">
        <v>2708</v>
      </c>
      <c r="AL918">
        <v>6</v>
      </c>
      <c r="AM918" t="s">
        <v>15</v>
      </c>
    </row>
    <row r="919" spans="1:39" hidden="1" x14ac:dyDescent="0.3">
      <c r="A919" s="51" t="s">
        <v>1339</v>
      </c>
      <c r="B919" s="54" t="s">
        <v>1340</v>
      </c>
      <c r="C919" s="51" t="s">
        <v>2765</v>
      </c>
      <c r="D919" s="53">
        <v>0</v>
      </c>
      <c r="E919" s="53">
        <v>1</v>
      </c>
      <c r="F919" s="51" t="s">
        <v>2715</v>
      </c>
      <c r="G919" s="51" t="s">
        <v>2695</v>
      </c>
      <c r="H919" s="25" t="str">
        <f t="shared" si="106"/>
        <v>jgd</v>
      </c>
      <c r="I919" t="s">
        <v>385</v>
      </c>
      <c r="J919" t="s">
        <v>1341</v>
      </c>
      <c r="K919" t="s">
        <v>1342</v>
      </c>
      <c r="L919" s="25">
        <v>46.566124279999997</v>
      </c>
      <c r="M919" s="25">
        <v>6.3351942760000002</v>
      </c>
      <c r="N919">
        <v>4</v>
      </c>
      <c r="O919">
        <v>9</v>
      </c>
      <c r="P919">
        <v>11</v>
      </c>
      <c r="Q919">
        <v>2015</v>
      </c>
      <c r="R919" s="9">
        <v>42317</v>
      </c>
      <c r="S919">
        <v>340</v>
      </c>
      <c r="T919">
        <v>1</v>
      </c>
      <c r="U919">
        <v>0</v>
      </c>
      <c r="V919">
        <v>0</v>
      </c>
      <c r="W919">
        <v>0</v>
      </c>
      <c r="X919">
        <f t="shared" si="107"/>
        <v>-38.800000000000004</v>
      </c>
      <c r="Y919">
        <v>-23.268000000000001</v>
      </c>
      <c r="Z919">
        <v>6.6429678399999998</v>
      </c>
      <c r="AA919" s="3">
        <f t="shared" si="108"/>
        <v>4</v>
      </c>
      <c r="AB919" s="3">
        <f t="shared" si="105"/>
        <v>7</v>
      </c>
      <c r="AD919" s="3" t="s">
        <v>2750</v>
      </c>
      <c r="AE919" s="22">
        <v>-55.26</v>
      </c>
      <c r="AF919" s="22">
        <f t="shared" si="109"/>
        <v>-55.26</v>
      </c>
      <c r="AG919" s="1">
        <v>-77.599999999999994</v>
      </c>
      <c r="AH919" s="2" t="s">
        <v>16</v>
      </c>
      <c r="AI919"/>
      <c r="AJ919" s="3">
        <f t="shared" si="110"/>
        <v>6</v>
      </c>
      <c r="AK919" s="3" t="s">
        <v>2708</v>
      </c>
      <c r="AL919">
        <v>6</v>
      </c>
      <c r="AM919" t="s">
        <v>15</v>
      </c>
    </row>
    <row r="920" spans="1:39" hidden="1" x14ac:dyDescent="0.3">
      <c r="A920" s="51" t="s">
        <v>514</v>
      </c>
      <c r="B920" s="54" t="s">
        <v>515</v>
      </c>
      <c r="C920" s="51" t="s">
        <v>2765</v>
      </c>
      <c r="D920" s="53">
        <v>0</v>
      </c>
      <c r="E920" s="53">
        <v>1</v>
      </c>
      <c r="F920" s="51" t="s">
        <v>2715</v>
      </c>
      <c r="G920" s="51" t="s">
        <v>2695</v>
      </c>
      <c r="H920" s="25" t="str">
        <f t="shared" si="106"/>
        <v>jgd</v>
      </c>
      <c r="I920" t="s">
        <v>13</v>
      </c>
      <c r="J920" t="s">
        <v>25</v>
      </c>
      <c r="K920" t="s">
        <v>516</v>
      </c>
      <c r="L920" s="25">
        <v>47.086339289999998</v>
      </c>
      <c r="M920" s="25">
        <v>6.8760438710000003</v>
      </c>
      <c r="N920">
        <v>6</v>
      </c>
      <c r="O920">
        <v>29</v>
      </c>
      <c r="P920">
        <v>10</v>
      </c>
      <c r="Q920">
        <v>2014</v>
      </c>
      <c r="R920" s="9">
        <v>41941</v>
      </c>
      <c r="S920">
        <v>366</v>
      </c>
      <c r="T920">
        <v>1</v>
      </c>
      <c r="U920">
        <v>0</v>
      </c>
      <c r="V920">
        <v>0</v>
      </c>
      <c r="W920">
        <v>0</v>
      </c>
      <c r="X920">
        <f t="shared" si="107"/>
        <v>-38.387499999999996</v>
      </c>
      <c r="Y920">
        <v>-24.74128571</v>
      </c>
      <c r="Z920">
        <v>6.8856542919999999</v>
      </c>
      <c r="AA920" s="3">
        <f t="shared" si="108"/>
        <v>4</v>
      </c>
      <c r="AB920" s="3">
        <f t="shared" si="105"/>
        <v>7</v>
      </c>
      <c r="AD920" s="3" t="s">
        <v>2750</v>
      </c>
      <c r="AE920" s="22">
        <v>-54.93</v>
      </c>
      <c r="AF920" s="22">
        <f t="shared" si="109"/>
        <v>-54.93</v>
      </c>
      <c r="AG920" s="1">
        <v>-77.2</v>
      </c>
      <c r="AH920" s="2" t="s">
        <v>16</v>
      </c>
      <c r="AI920"/>
      <c r="AJ920" s="3">
        <f t="shared" si="110"/>
        <v>5</v>
      </c>
      <c r="AK920" s="3" t="s">
        <v>2708</v>
      </c>
      <c r="AL920">
        <v>5</v>
      </c>
      <c r="AM920" t="s">
        <v>15</v>
      </c>
    </row>
    <row r="921" spans="1:39" hidden="1" x14ac:dyDescent="0.3">
      <c r="A921" s="51" t="s">
        <v>1073</v>
      </c>
      <c r="B921" s="54" t="s">
        <v>1074</v>
      </c>
      <c r="C921" s="51" t="s">
        <v>2765</v>
      </c>
      <c r="D921" s="53">
        <v>0</v>
      </c>
      <c r="E921" s="53">
        <v>1</v>
      </c>
      <c r="F921" s="51" t="s">
        <v>2715</v>
      </c>
      <c r="G921" s="51" t="s">
        <v>2695</v>
      </c>
      <c r="H921" s="25" t="str">
        <f t="shared" si="106"/>
        <v>jgd</v>
      </c>
      <c r="I921" t="s">
        <v>13</v>
      </c>
      <c r="J921" t="s">
        <v>519</v>
      </c>
      <c r="K921" t="s">
        <v>1075</v>
      </c>
      <c r="L921" s="25">
        <v>47.023107959999997</v>
      </c>
      <c r="M921" s="25">
        <v>6.8160926880000003</v>
      </c>
      <c r="N921">
        <v>6</v>
      </c>
      <c r="O921">
        <v>20</v>
      </c>
      <c r="P921">
        <v>10</v>
      </c>
      <c r="Q921">
        <v>2015</v>
      </c>
      <c r="R921" s="9">
        <v>42297</v>
      </c>
      <c r="S921">
        <v>326</v>
      </c>
      <c r="T921">
        <v>1</v>
      </c>
      <c r="U921">
        <v>0</v>
      </c>
      <c r="V921">
        <v>0</v>
      </c>
      <c r="W921">
        <v>0</v>
      </c>
      <c r="X921">
        <f t="shared" si="107"/>
        <v>-37.712499999999999</v>
      </c>
      <c r="Y921">
        <v>-23.6662225</v>
      </c>
      <c r="Z921">
        <v>6.1196805550000004</v>
      </c>
      <c r="AA921" s="3">
        <f t="shared" si="108"/>
        <v>4</v>
      </c>
      <c r="AB921" s="3">
        <f t="shared" si="105"/>
        <v>6</v>
      </c>
      <c r="AD921" s="3" t="s">
        <v>2750</v>
      </c>
      <c r="AE921" s="22">
        <v>-54.39</v>
      </c>
      <c r="AF921" s="22">
        <f t="shared" si="109"/>
        <v>-54.39</v>
      </c>
      <c r="AG921" s="1">
        <v>-76.7</v>
      </c>
      <c r="AH921" s="2" t="s">
        <v>16</v>
      </c>
      <c r="AI921"/>
      <c r="AJ921" s="3">
        <f t="shared" si="110"/>
        <v>5</v>
      </c>
      <c r="AK921" s="3" t="s">
        <v>2708</v>
      </c>
      <c r="AL921">
        <v>5</v>
      </c>
      <c r="AM921" t="s">
        <v>15</v>
      </c>
    </row>
    <row r="922" spans="1:39" x14ac:dyDescent="0.3">
      <c r="A922" s="51" t="s">
        <v>865</v>
      </c>
      <c r="B922" s="54" t="s">
        <v>866</v>
      </c>
      <c r="C922" s="51" t="s">
        <v>2765</v>
      </c>
      <c r="D922" s="53">
        <v>0</v>
      </c>
      <c r="E922" s="53">
        <v>1</v>
      </c>
      <c r="F922" s="51" t="s">
        <v>2715</v>
      </c>
      <c r="G922" s="51" t="s">
        <v>2695</v>
      </c>
      <c r="H922" s="25" t="str">
        <f t="shared" si="106"/>
        <v>jgd</v>
      </c>
      <c r="I922" t="s">
        <v>72</v>
      </c>
      <c r="J922" t="s">
        <v>848</v>
      </c>
      <c r="K922" t="s">
        <v>657</v>
      </c>
      <c r="L922" s="25">
        <v>46.190236159999998</v>
      </c>
      <c r="M922" s="25">
        <v>8.6606802629999997</v>
      </c>
      <c r="N922">
        <v>6</v>
      </c>
      <c r="O922">
        <v>10</v>
      </c>
      <c r="P922">
        <v>11</v>
      </c>
      <c r="Q922">
        <v>2015</v>
      </c>
      <c r="R922" s="9">
        <v>42318</v>
      </c>
      <c r="S922">
        <v>280</v>
      </c>
      <c r="T922">
        <v>1</v>
      </c>
      <c r="U922">
        <v>0</v>
      </c>
      <c r="V922">
        <v>0</v>
      </c>
      <c r="W922">
        <v>0</v>
      </c>
      <c r="X922">
        <f t="shared" si="107"/>
        <v>-37.287500000000001</v>
      </c>
      <c r="Y922">
        <v>-24.8796</v>
      </c>
      <c r="Z922">
        <v>6.6186021530000003</v>
      </c>
      <c r="AA922" s="3">
        <f t="shared" si="108"/>
        <v>4</v>
      </c>
      <c r="AB922" s="3">
        <f t="shared" si="105"/>
        <v>7</v>
      </c>
      <c r="AD922" s="3" t="s">
        <v>2754</v>
      </c>
      <c r="AE922" s="22">
        <v>-54.05</v>
      </c>
      <c r="AF922" s="22">
        <f t="shared" si="109"/>
        <v>-54.05</v>
      </c>
      <c r="AG922" s="1">
        <v>-76.3</v>
      </c>
      <c r="AH922" s="2" t="s">
        <v>16</v>
      </c>
      <c r="AI922"/>
      <c r="AJ922" s="3">
        <f t="shared" si="110"/>
        <v>5</v>
      </c>
      <c r="AK922" s="3" t="s">
        <v>2708</v>
      </c>
      <c r="AL922">
        <v>5</v>
      </c>
      <c r="AM922" t="s">
        <v>15</v>
      </c>
    </row>
    <row r="923" spans="1:39" x14ac:dyDescent="0.3">
      <c r="A923" s="51" t="s">
        <v>2068</v>
      </c>
      <c r="B923" s="54" t="s">
        <v>2069</v>
      </c>
      <c r="C923" s="51" t="s">
        <v>2765</v>
      </c>
      <c r="D923" s="53">
        <v>0</v>
      </c>
      <c r="E923" s="53">
        <v>1</v>
      </c>
      <c r="F923" s="51" t="s">
        <v>2715</v>
      </c>
      <c r="G923" s="51" t="s">
        <v>2695</v>
      </c>
      <c r="H923" s="25" t="str">
        <f t="shared" si="106"/>
        <v>jgd</v>
      </c>
      <c r="I923" t="s">
        <v>72</v>
      </c>
      <c r="J923" t="s">
        <v>2070</v>
      </c>
      <c r="K923" t="s">
        <v>2071</v>
      </c>
      <c r="L923" s="25">
        <v>46.057939480000002</v>
      </c>
      <c r="M923" s="25">
        <v>8.8716882590000008</v>
      </c>
      <c r="N923">
        <v>5</v>
      </c>
      <c r="O923">
        <v>26</v>
      </c>
      <c r="P923">
        <v>10</v>
      </c>
      <c r="Q923">
        <v>2017</v>
      </c>
      <c r="R923" s="9">
        <v>43034</v>
      </c>
      <c r="S923">
        <v>274</v>
      </c>
      <c r="T923">
        <v>1</v>
      </c>
      <c r="U923">
        <v>0</v>
      </c>
      <c r="V923">
        <v>0</v>
      </c>
      <c r="W923">
        <v>0</v>
      </c>
      <c r="X923" s="57">
        <f t="shared" si="107"/>
        <v>-37.009187500000003</v>
      </c>
      <c r="Y923" t="s">
        <v>16</v>
      </c>
      <c r="Z923">
        <v>5.5599126349999999</v>
      </c>
      <c r="AA923" s="3">
        <f t="shared" si="108"/>
        <v>4</v>
      </c>
      <c r="AB923" s="3">
        <f t="shared" si="105"/>
        <v>6</v>
      </c>
      <c r="AD923" s="3" t="s">
        <v>2754</v>
      </c>
      <c r="AE923" s="22">
        <v>-53.827350000000003</v>
      </c>
      <c r="AF923" s="22">
        <f t="shared" si="109"/>
        <v>-53.827350000000003</v>
      </c>
      <c r="AG923" s="60" t="s">
        <v>16</v>
      </c>
      <c r="AH923" s="61" t="s">
        <v>16</v>
      </c>
      <c r="AJ923" s="3">
        <f t="shared" si="110"/>
        <v>5</v>
      </c>
      <c r="AK923" s="3" t="s">
        <v>2708</v>
      </c>
      <c r="AL923">
        <v>5</v>
      </c>
      <c r="AM923" t="s">
        <v>15</v>
      </c>
    </row>
    <row r="924" spans="1:39" hidden="1" x14ac:dyDescent="0.3">
      <c r="A924" s="51" t="s">
        <v>2729</v>
      </c>
      <c r="B924" s="54" t="s">
        <v>499</v>
      </c>
      <c r="C924" s="51" t="s">
        <v>2765</v>
      </c>
      <c r="D924" s="53">
        <v>0</v>
      </c>
      <c r="E924" s="53">
        <v>1</v>
      </c>
      <c r="F924" s="51" t="s">
        <v>2715</v>
      </c>
      <c r="G924" s="51" t="s">
        <v>2695</v>
      </c>
      <c r="H924" s="25" t="str">
        <f t="shared" si="106"/>
        <v>jgd</v>
      </c>
      <c r="I924" t="s">
        <v>13</v>
      </c>
      <c r="J924" t="s">
        <v>21</v>
      </c>
      <c r="K924" t="s">
        <v>22</v>
      </c>
      <c r="L924" s="25">
        <v>46.967714430000001</v>
      </c>
      <c r="M924" s="25">
        <v>6.6430410499999999</v>
      </c>
      <c r="N924">
        <v>6</v>
      </c>
      <c r="O924">
        <v>11</v>
      </c>
      <c r="P924">
        <v>11</v>
      </c>
      <c r="Q924">
        <v>2014</v>
      </c>
      <c r="R924" s="9">
        <v>41954</v>
      </c>
      <c r="S924">
        <v>302</v>
      </c>
      <c r="T924">
        <v>1</v>
      </c>
      <c r="U924">
        <v>0</v>
      </c>
      <c r="V924">
        <v>0</v>
      </c>
      <c r="W924">
        <v>0</v>
      </c>
      <c r="X924">
        <f t="shared" si="107"/>
        <v>-36.550000000000004</v>
      </c>
      <c r="Y924">
        <v>-24.312285710000001</v>
      </c>
      <c r="Z924">
        <v>4.1106608509999996</v>
      </c>
      <c r="AA924" s="3">
        <f t="shared" si="108"/>
        <v>4</v>
      </c>
      <c r="AB924" s="3">
        <f t="shared" si="105"/>
        <v>4</v>
      </c>
      <c r="AD924" s="3" t="s">
        <v>2750</v>
      </c>
      <c r="AE924" s="22">
        <v>-53.46</v>
      </c>
      <c r="AF924" s="22">
        <f t="shared" si="109"/>
        <v>-53.46</v>
      </c>
      <c r="AG924" s="1">
        <v>-75.7</v>
      </c>
      <c r="AH924" s="2" t="s">
        <v>16</v>
      </c>
      <c r="AI924"/>
      <c r="AJ924" s="3">
        <f t="shared" si="110"/>
        <v>5</v>
      </c>
      <c r="AK924" s="3" t="s">
        <v>2708</v>
      </c>
      <c r="AL924">
        <v>5</v>
      </c>
      <c r="AM924" t="s">
        <v>15</v>
      </c>
    </row>
    <row r="925" spans="1:39" x14ac:dyDescent="0.3">
      <c r="A925" s="51" t="s">
        <v>1546</v>
      </c>
      <c r="B925" s="54" t="s">
        <v>1547</v>
      </c>
      <c r="C925" s="51" t="s">
        <v>2765</v>
      </c>
      <c r="D925" s="53">
        <v>0</v>
      </c>
      <c r="E925" s="53">
        <v>1</v>
      </c>
      <c r="F925" s="51" t="s">
        <v>2715</v>
      </c>
      <c r="G925" s="51" t="s">
        <v>2695</v>
      </c>
      <c r="H925" s="25" t="str">
        <f t="shared" si="106"/>
        <v>jgd</v>
      </c>
      <c r="I925" t="s">
        <v>72</v>
      </c>
      <c r="J925" t="s">
        <v>234</v>
      </c>
      <c r="K925" t="s">
        <v>1548</v>
      </c>
      <c r="L925" s="25">
        <v>46.259093880000002</v>
      </c>
      <c r="M925" s="25">
        <v>8.7010732619999995</v>
      </c>
      <c r="N925">
        <v>6</v>
      </c>
      <c r="O925">
        <v>6</v>
      </c>
      <c r="P925">
        <v>11</v>
      </c>
      <c r="Q925">
        <v>2016</v>
      </c>
      <c r="R925" s="9">
        <v>42680</v>
      </c>
      <c r="S925">
        <v>301</v>
      </c>
      <c r="T925">
        <v>1</v>
      </c>
      <c r="U925">
        <v>0</v>
      </c>
      <c r="V925">
        <v>0</v>
      </c>
      <c r="W925">
        <v>0</v>
      </c>
      <c r="X925" s="57">
        <f t="shared" si="107"/>
        <v>-36.087676499999993</v>
      </c>
      <c r="Y925">
        <v>-23.53</v>
      </c>
      <c r="Z925">
        <v>2.79</v>
      </c>
      <c r="AA925" s="3">
        <f t="shared" si="108"/>
        <v>4</v>
      </c>
      <c r="AB925" s="3">
        <f t="shared" si="105"/>
        <v>3</v>
      </c>
      <c r="AD925" s="3" t="s">
        <v>2754</v>
      </c>
      <c r="AE925" s="22">
        <v>-53.090141199999998</v>
      </c>
      <c r="AF925" s="22">
        <f t="shared" si="109"/>
        <v>-53.090141199999998</v>
      </c>
      <c r="AG925" s="60" t="s">
        <v>16</v>
      </c>
      <c r="AH925" s="61" t="s">
        <v>16</v>
      </c>
      <c r="AJ925" s="3">
        <f t="shared" si="110"/>
        <v>5</v>
      </c>
      <c r="AK925" s="3" t="s">
        <v>2708</v>
      </c>
      <c r="AL925">
        <v>5</v>
      </c>
      <c r="AM925" t="s">
        <v>15</v>
      </c>
    </row>
    <row r="926" spans="1:39" hidden="1" x14ac:dyDescent="0.3">
      <c r="A926" s="51" t="s">
        <v>2138</v>
      </c>
      <c r="B926" s="54" t="s">
        <v>2139</v>
      </c>
      <c r="C926" s="51" t="s">
        <v>2765</v>
      </c>
      <c r="D926" s="53">
        <v>0</v>
      </c>
      <c r="E926" s="53">
        <v>1</v>
      </c>
      <c r="F926" s="51" t="s">
        <v>2715</v>
      </c>
      <c r="G926" s="51" t="s">
        <v>2695</v>
      </c>
      <c r="H926" s="25" t="str">
        <f t="shared" si="106"/>
        <v>jgd</v>
      </c>
      <c r="I926" t="s">
        <v>385</v>
      </c>
      <c r="J926" t="s">
        <v>624</v>
      </c>
      <c r="K926" t="s">
        <v>16</v>
      </c>
      <c r="L926" s="25">
        <v>46.844606059999997</v>
      </c>
      <c r="M926" s="25">
        <v>6.6061308089999997</v>
      </c>
      <c r="N926">
        <v>3</v>
      </c>
      <c r="O926">
        <v>3</v>
      </c>
      <c r="P926">
        <v>11</v>
      </c>
      <c r="Q926">
        <v>2017</v>
      </c>
      <c r="R926" s="9">
        <v>43042</v>
      </c>
      <c r="S926">
        <v>368</v>
      </c>
      <c r="T926">
        <v>1</v>
      </c>
      <c r="U926">
        <v>0</v>
      </c>
      <c r="V926">
        <v>0</v>
      </c>
      <c r="W926">
        <v>0</v>
      </c>
      <c r="X926" s="57">
        <f t="shared" si="107"/>
        <v>-35.687401000000001</v>
      </c>
      <c r="Y926" t="s">
        <v>16</v>
      </c>
      <c r="Z926">
        <v>8.1565766830000008</v>
      </c>
      <c r="AA926" s="3">
        <f t="shared" si="108"/>
        <v>4</v>
      </c>
      <c r="AB926" s="3">
        <f t="shared" si="105"/>
        <v>8</v>
      </c>
      <c r="AD926" s="3" t="s">
        <v>2750</v>
      </c>
      <c r="AE926" s="22">
        <v>-52.769920800000001</v>
      </c>
      <c r="AF926" s="22">
        <f t="shared" si="109"/>
        <v>-52.769920800000001</v>
      </c>
      <c r="AG926" s="60" t="s">
        <v>16</v>
      </c>
      <c r="AH926" s="61" t="s">
        <v>16</v>
      </c>
      <c r="AJ926" s="3">
        <f t="shared" si="110"/>
        <v>5</v>
      </c>
      <c r="AK926" s="3" t="s">
        <v>2708</v>
      </c>
      <c r="AL926">
        <v>5</v>
      </c>
      <c r="AM926" t="s">
        <v>15</v>
      </c>
    </row>
    <row r="927" spans="1:39" x14ac:dyDescent="0.3">
      <c r="A927" s="51" t="s">
        <v>1451</v>
      </c>
      <c r="B927" s="54" t="s">
        <v>1452</v>
      </c>
      <c r="C927" s="51" t="s">
        <v>2765</v>
      </c>
      <c r="D927" s="53">
        <v>0</v>
      </c>
      <c r="E927" s="53">
        <v>1</v>
      </c>
      <c r="F927" s="51" t="s">
        <v>2715</v>
      </c>
      <c r="G927" s="51" t="s">
        <v>2695</v>
      </c>
      <c r="H927" s="25" t="str">
        <f t="shared" si="106"/>
        <v>jgd</v>
      </c>
      <c r="I927" t="s">
        <v>72</v>
      </c>
      <c r="J927" t="s">
        <v>708</v>
      </c>
      <c r="K927" t="s">
        <v>1453</v>
      </c>
      <c r="L927" s="25">
        <v>46.521588199999997</v>
      </c>
      <c r="M927" s="25">
        <v>8.586945493</v>
      </c>
      <c r="N927" t="s">
        <v>16</v>
      </c>
      <c r="O927">
        <v>16</v>
      </c>
      <c r="P927">
        <v>10</v>
      </c>
      <c r="Q927">
        <v>2016</v>
      </c>
      <c r="R927" s="9">
        <v>42659</v>
      </c>
      <c r="S927">
        <v>310</v>
      </c>
      <c r="T927">
        <v>1</v>
      </c>
      <c r="U927">
        <v>0</v>
      </c>
      <c r="V927">
        <v>0</v>
      </c>
      <c r="W927">
        <v>0</v>
      </c>
      <c r="X927" s="57">
        <f t="shared" si="107"/>
        <v>-35.448034</v>
      </c>
      <c r="Y927">
        <v>-23.4</v>
      </c>
      <c r="Z927">
        <v>5.67</v>
      </c>
      <c r="AA927" s="3">
        <f t="shared" si="108"/>
        <v>4</v>
      </c>
      <c r="AB927" s="3">
        <f t="shared" si="105"/>
        <v>6</v>
      </c>
      <c r="AD927" s="3" t="s">
        <v>2754</v>
      </c>
      <c r="AE927" s="22">
        <v>-52.5784272</v>
      </c>
      <c r="AF927" s="22">
        <f t="shared" si="109"/>
        <v>-52.5784272</v>
      </c>
      <c r="AG927" s="60" t="s">
        <v>16</v>
      </c>
      <c r="AH927" s="61" t="s">
        <v>16</v>
      </c>
      <c r="AJ927" s="3">
        <f t="shared" si="110"/>
        <v>5</v>
      </c>
      <c r="AK927" s="3" t="s">
        <v>2708</v>
      </c>
      <c r="AL927">
        <v>5</v>
      </c>
      <c r="AM927" t="s">
        <v>15</v>
      </c>
    </row>
    <row r="928" spans="1:39" x14ac:dyDescent="0.3">
      <c r="A928" s="51" t="s">
        <v>692</v>
      </c>
      <c r="B928" s="54" t="s">
        <v>693</v>
      </c>
      <c r="C928" s="51" t="s">
        <v>2765</v>
      </c>
      <c r="D928" s="53">
        <v>0</v>
      </c>
      <c r="E928" s="53">
        <v>1</v>
      </c>
      <c r="F928" s="51" t="s">
        <v>2715</v>
      </c>
      <c r="G928" s="51" t="s">
        <v>2695</v>
      </c>
      <c r="H928" s="25" t="str">
        <f t="shared" si="106"/>
        <v>jgd</v>
      </c>
      <c r="I928" t="s">
        <v>72</v>
      </c>
      <c r="J928" t="s">
        <v>694</v>
      </c>
      <c r="K928" t="s">
        <v>695</v>
      </c>
      <c r="L928" s="25">
        <v>46.121323390000001</v>
      </c>
      <c r="M928" s="25">
        <v>8.8927604200000001</v>
      </c>
      <c r="N928">
        <v>5</v>
      </c>
      <c r="O928">
        <v>17</v>
      </c>
      <c r="P928">
        <v>10</v>
      </c>
      <c r="Q928">
        <v>2015</v>
      </c>
      <c r="R928" s="9">
        <v>42294</v>
      </c>
      <c r="S928">
        <v>320</v>
      </c>
      <c r="T928">
        <v>1</v>
      </c>
      <c r="U928">
        <v>0</v>
      </c>
      <c r="V928">
        <v>0</v>
      </c>
      <c r="W928">
        <v>0</v>
      </c>
      <c r="X928">
        <f t="shared" si="107"/>
        <v>-35.162500000000001</v>
      </c>
      <c r="Y928">
        <v>-25.395049629999999</v>
      </c>
      <c r="Z928">
        <v>6.509839586</v>
      </c>
      <c r="AA928" s="3">
        <f t="shared" si="108"/>
        <v>4</v>
      </c>
      <c r="AB928" s="3">
        <f t="shared" ref="AB928:AB991" si="111">ROUND(Z928,0)</f>
        <v>7</v>
      </c>
      <c r="AD928" s="3" t="s">
        <v>2754</v>
      </c>
      <c r="AE928" s="22">
        <v>-52.35</v>
      </c>
      <c r="AF928" s="22">
        <f t="shared" si="109"/>
        <v>-52.35</v>
      </c>
      <c r="AG928" s="1">
        <v>-74.599999999999994</v>
      </c>
      <c r="AH928" s="2" t="s">
        <v>16</v>
      </c>
      <c r="AI928"/>
      <c r="AJ928" s="3">
        <f t="shared" si="110"/>
        <v>5</v>
      </c>
      <c r="AK928" s="3" t="s">
        <v>2708</v>
      </c>
      <c r="AL928">
        <v>5</v>
      </c>
      <c r="AM928" t="s">
        <v>15</v>
      </c>
    </row>
    <row r="929" spans="1:39" x14ac:dyDescent="0.3">
      <c r="A929" s="51" t="s">
        <v>2739</v>
      </c>
      <c r="B929" s="54" t="s">
        <v>1309</v>
      </c>
      <c r="C929" s="51" t="s">
        <v>2765</v>
      </c>
      <c r="D929" s="53">
        <v>0</v>
      </c>
      <c r="E929" s="53">
        <v>1</v>
      </c>
      <c r="F929" s="51" t="s">
        <v>2715</v>
      </c>
      <c r="G929" s="51" t="s">
        <v>2695</v>
      </c>
      <c r="H929" s="25" t="str">
        <f t="shared" si="106"/>
        <v>jgd</v>
      </c>
      <c r="I929" t="s">
        <v>72</v>
      </c>
      <c r="J929" t="s">
        <v>1310</v>
      </c>
      <c r="K929" t="s">
        <v>1311</v>
      </c>
      <c r="L929" s="25">
        <v>46.206206180000002</v>
      </c>
      <c r="M929" s="25">
        <v>8.6173832150000003</v>
      </c>
      <c r="N929">
        <v>6</v>
      </c>
      <c r="O929">
        <v>7</v>
      </c>
      <c r="P929">
        <v>11</v>
      </c>
      <c r="Q929">
        <v>2015</v>
      </c>
      <c r="R929" s="9">
        <v>42315</v>
      </c>
      <c r="S929">
        <v>325</v>
      </c>
      <c r="T929">
        <v>1</v>
      </c>
      <c r="U929">
        <v>0</v>
      </c>
      <c r="V929">
        <v>0</v>
      </c>
      <c r="W929">
        <v>0</v>
      </c>
      <c r="X929">
        <f t="shared" si="107"/>
        <v>-34.88750000000001</v>
      </c>
      <c r="Y929">
        <v>-24.412400000000002</v>
      </c>
      <c r="Z929">
        <v>6.6481148829999999</v>
      </c>
      <c r="AA929" s="3">
        <f t="shared" si="108"/>
        <v>3</v>
      </c>
      <c r="AB929" s="3">
        <f t="shared" si="111"/>
        <v>7</v>
      </c>
      <c r="AD929" s="3" t="s">
        <v>2754</v>
      </c>
      <c r="AE929" s="22">
        <v>-52.13</v>
      </c>
      <c r="AF929" s="22">
        <f t="shared" si="109"/>
        <v>-52.13</v>
      </c>
      <c r="AG929" s="1">
        <v>-74.400000000000006</v>
      </c>
      <c r="AH929" s="2" t="s">
        <v>16</v>
      </c>
      <c r="AI929"/>
      <c r="AJ929" s="3">
        <f t="shared" si="110"/>
        <v>5</v>
      </c>
      <c r="AK929" s="3" t="s">
        <v>2708</v>
      </c>
      <c r="AL929">
        <v>5</v>
      </c>
      <c r="AM929" t="s">
        <v>15</v>
      </c>
    </row>
    <row r="930" spans="1:39" hidden="1" x14ac:dyDescent="0.3">
      <c r="A930" s="51" t="s">
        <v>568</v>
      </c>
      <c r="B930" s="54" t="s">
        <v>569</v>
      </c>
      <c r="C930" s="51" t="s">
        <v>2765</v>
      </c>
      <c r="D930" s="53">
        <v>0</v>
      </c>
      <c r="E930" s="53">
        <v>1</v>
      </c>
      <c r="F930" s="51" t="s">
        <v>2715</v>
      </c>
      <c r="G930" s="51" t="s">
        <v>2695</v>
      </c>
      <c r="H930" s="25" t="str">
        <f t="shared" si="106"/>
        <v>jgd</v>
      </c>
      <c r="I930" t="s">
        <v>385</v>
      </c>
      <c r="J930" t="s">
        <v>558</v>
      </c>
      <c r="K930" t="s">
        <v>565</v>
      </c>
      <c r="L930" s="25">
        <v>46.67060171</v>
      </c>
      <c r="M930" s="25">
        <v>6.2572581510000003</v>
      </c>
      <c r="N930">
        <v>5</v>
      </c>
      <c r="O930">
        <v>18</v>
      </c>
      <c r="P930">
        <v>11</v>
      </c>
      <c r="Q930">
        <v>2014</v>
      </c>
      <c r="R930" s="9">
        <v>41961</v>
      </c>
      <c r="S930">
        <v>304</v>
      </c>
      <c r="T930">
        <v>1</v>
      </c>
      <c r="U930">
        <v>0</v>
      </c>
      <c r="V930">
        <v>0</v>
      </c>
      <c r="W930">
        <v>0</v>
      </c>
      <c r="X930">
        <f t="shared" si="107"/>
        <v>-34.874999999999993</v>
      </c>
      <c r="Y930">
        <v>-23.876799999999999</v>
      </c>
      <c r="Z930">
        <v>3.7017147690000001</v>
      </c>
      <c r="AA930" s="3">
        <f t="shared" si="108"/>
        <v>3</v>
      </c>
      <c r="AB930" s="3">
        <f t="shared" si="111"/>
        <v>4</v>
      </c>
      <c r="AD930" s="3" t="s">
        <v>2750</v>
      </c>
      <c r="AE930" s="22">
        <v>-52.12</v>
      </c>
      <c r="AF930" s="22">
        <f t="shared" si="109"/>
        <v>-52.12</v>
      </c>
      <c r="AG930" s="1">
        <v>-74.400000000000006</v>
      </c>
      <c r="AH930" s="2" t="s">
        <v>16</v>
      </c>
      <c r="AI930"/>
      <c r="AJ930" s="3">
        <f t="shared" si="110"/>
        <v>5</v>
      </c>
      <c r="AK930" s="3" t="s">
        <v>2708</v>
      </c>
      <c r="AL930">
        <v>5</v>
      </c>
      <c r="AM930" t="s">
        <v>15</v>
      </c>
    </row>
    <row r="931" spans="1:39" hidden="1" x14ac:dyDescent="0.3">
      <c r="A931" s="51" t="s">
        <v>491</v>
      </c>
      <c r="B931" s="54" t="s">
        <v>492</v>
      </c>
      <c r="C931" s="51" t="s">
        <v>2765</v>
      </c>
      <c r="D931" s="53">
        <v>0</v>
      </c>
      <c r="E931" s="53">
        <v>1</v>
      </c>
      <c r="F931" s="51" t="s">
        <v>2715</v>
      </c>
      <c r="G931" s="51" t="s">
        <v>2695</v>
      </c>
      <c r="H931" s="25" t="str">
        <f t="shared" si="106"/>
        <v>jgd</v>
      </c>
      <c r="I931" t="s">
        <v>13</v>
      </c>
      <c r="J931" t="s">
        <v>21</v>
      </c>
      <c r="K931" t="s">
        <v>493</v>
      </c>
      <c r="L931" s="25">
        <v>46.985160919999998</v>
      </c>
      <c r="M931" s="25">
        <v>6.6700060250000002</v>
      </c>
      <c r="N931">
        <v>6</v>
      </c>
      <c r="O931">
        <v>28</v>
      </c>
      <c r="P931">
        <v>10</v>
      </c>
      <c r="Q931">
        <v>2014</v>
      </c>
      <c r="R931" s="9">
        <v>41940</v>
      </c>
      <c r="S931">
        <v>300</v>
      </c>
      <c r="T931">
        <v>1</v>
      </c>
      <c r="U931">
        <v>0</v>
      </c>
      <c r="V931">
        <v>0</v>
      </c>
      <c r="W931">
        <v>0</v>
      </c>
      <c r="X931">
        <f t="shared" si="107"/>
        <v>-34.537500000000001</v>
      </c>
      <c r="Y931">
        <v>-22.62528571</v>
      </c>
      <c r="Z931">
        <v>6.9645427370000004</v>
      </c>
      <c r="AA931" s="3">
        <f t="shared" si="108"/>
        <v>3</v>
      </c>
      <c r="AB931" s="3">
        <f t="shared" si="111"/>
        <v>7</v>
      </c>
      <c r="AD931" s="3" t="s">
        <v>2750</v>
      </c>
      <c r="AE931" s="22">
        <v>-51.85</v>
      </c>
      <c r="AF931" s="22">
        <f t="shared" si="109"/>
        <v>-51.85</v>
      </c>
      <c r="AG931" s="1">
        <v>-74.099999999999994</v>
      </c>
      <c r="AH931" s="2" t="s">
        <v>16</v>
      </c>
      <c r="AI931"/>
      <c r="AJ931" s="3">
        <f t="shared" si="110"/>
        <v>5</v>
      </c>
      <c r="AK931" s="3" t="s">
        <v>2708</v>
      </c>
      <c r="AL931">
        <v>5</v>
      </c>
      <c r="AM931" t="s">
        <v>15</v>
      </c>
    </row>
    <row r="932" spans="1:39" hidden="1" x14ac:dyDescent="0.3">
      <c r="A932" s="51" t="s">
        <v>277</v>
      </c>
      <c r="B932" s="54" t="s">
        <v>278</v>
      </c>
      <c r="C932" s="51" t="s">
        <v>2765</v>
      </c>
      <c r="D932" s="53">
        <v>0</v>
      </c>
      <c r="E932" s="53">
        <v>1</v>
      </c>
      <c r="F932" s="51" t="s">
        <v>2715</v>
      </c>
      <c r="G932" s="51" t="s">
        <v>2695</v>
      </c>
      <c r="H932" s="25" t="str">
        <f t="shared" si="106"/>
        <v>jgd</v>
      </c>
      <c r="I932" t="s">
        <v>13</v>
      </c>
      <c r="J932" t="s">
        <v>279</v>
      </c>
      <c r="K932" t="s">
        <v>280</v>
      </c>
      <c r="L932" s="25">
        <v>47.005340769999997</v>
      </c>
      <c r="M932" s="25">
        <v>6.7527588410000003</v>
      </c>
      <c r="N932">
        <v>5</v>
      </c>
      <c r="O932">
        <v>29</v>
      </c>
      <c r="P932">
        <v>10</v>
      </c>
      <c r="Q932">
        <v>2013</v>
      </c>
      <c r="R932" s="9">
        <v>41576</v>
      </c>
      <c r="S932">
        <v>334</v>
      </c>
      <c r="T932">
        <v>1</v>
      </c>
      <c r="U932">
        <v>0</v>
      </c>
      <c r="V932">
        <v>0</v>
      </c>
      <c r="W932">
        <v>0</v>
      </c>
      <c r="X932">
        <f t="shared" si="107"/>
        <v>-34.500000000000007</v>
      </c>
      <c r="Y932">
        <v>-23.98030528</v>
      </c>
      <c r="Z932">
        <v>5.344649457</v>
      </c>
      <c r="AA932" s="3">
        <f t="shared" si="108"/>
        <v>3</v>
      </c>
      <c r="AB932" s="3">
        <f t="shared" si="111"/>
        <v>5</v>
      </c>
      <c r="AD932" s="3" t="s">
        <v>2750</v>
      </c>
      <c r="AE932" s="22">
        <v>-51.82</v>
      </c>
      <c r="AF932" s="22">
        <f t="shared" si="109"/>
        <v>-51.82</v>
      </c>
      <c r="AG932" s="1">
        <v>-74.099999999999994</v>
      </c>
      <c r="AH932" s="2" t="s">
        <v>16</v>
      </c>
      <c r="AI932"/>
      <c r="AJ932" s="3">
        <f t="shared" si="110"/>
        <v>5</v>
      </c>
      <c r="AK932" s="3" t="s">
        <v>2708</v>
      </c>
      <c r="AL932">
        <v>5</v>
      </c>
      <c r="AM932" t="s">
        <v>15</v>
      </c>
    </row>
    <row r="933" spans="1:39" hidden="1" x14ac:dyDescent="0.3">
      <c r="A933" s="51" t="s">
        <v>2532</v>
      </c>
      <c r="B933" s="54" t="s">
        <v>2533</v>
      </c>
      <c r="C933" s="51" t="s">
        <v>2765</v>
      </c>
      <c r="D933" s="53">
        <v>0</v>
      </c>
      <c r="E933" s="53">
        <v>1</v>
      </c>
      <c r="F933" s="51" t="s">
        <v>2715</v>
      </c>
      <c r="G933" s="51" t="s">
        <v>2695</v>
      </c>
      <c r="H933" s="25" t="str">
        <f t="shared" si="106"/>
        <v>jgd</v>
      </c>
      <c r="I933" t="s">
        <v>385</v>
      </c>
      <c r="J933" t="s">
        <v>558</v>
      </c>
      <c r="K933" t="s">
        <v>16</v>
      </c>
      <c r="L933" s="25">
        <v>46.67998266</v>
      </c>
      <c r="M933" s="25">
        <v>6.2949604360000002</v>
      </c>
      <c r="N933">
        <v>3</v>
      </c>
      <c r="O933">
        <v>20</v>
      </c>
      <c r="P933">
        <v>10</v>
      </c>
      <c r="Q933">
        <v>2017</v>
      </c>
      <c r="R933" s="9">
        <v>43028</v>
      </c>
      <c r="S933">
        <v>310</v>
      </c>
      <c r="T933">
        <v>1</v>
      </c>
      <c r="U933">
        <v>0</v>
      </c>
      <c r="V933">
        <v>0</v>
      </c>
      <c r="W933">
        <v>0</v>
      </c>
      <c r="X933" s="57">
        <f t="shared" si="107"/>
        <v>-34.061771749999998</v>
      </c>
      <c r="Y933" t="s">
        <v>16</v>
      </c>
      <c r="Z933">
        <v>1.0004153469999999</v>
      </c>
      <c r="AA933" s="3">
        <f t="shared" si="108"/>
        <v>3</v>
      </c>
      <c r="AB933" s="3">
        <f t="shared" si="111"/>
        <v>1</v>
      </c>
      <c r="AD933" s="3" t="s">
        <v>2750</v>
      </c>
      <c r="AE933" s="22">
        <v>-51.469417399999998</v>
      </c>
      <c r="AF933" s="22">
        <f t="shared" si="109"/>
        <v>-51.469417399999998</v>
      </c>
      <c r="AG933" s="60" t="s">
        <v>16</v>
      </c>
      <c r="AH933" s="61" t="s">
        <v>16</v>
      </c>
      <c r="AJ933" s="3">
        <f t="shared" si="110"/>
        <v>5</v>
      </c>
      <c r="AK933" s="3" t="s">
        <v>2708</v>
      </c>
      <c r="AL933">
        <v>5</v>
      </c>
      <c r="AM933" t="s">
        <v>15</v>
      </c>
    </row>
    <row r="934" spans="1:39" hidden="1" x14ac:dyDescent="0.3">
      <c r="A934" s="51" t="s">
        <v>2728</v>
      </c>
      <c r="B934" s="54" t="s">
        <v>497</v>
      </c>
      <c r="C934" s="51" t="s">
        <v>2765</v>
      </c>
      <c r="D934" s="53">
        <v>0</v>
      </c>
      <c r="E934" s="53">
        <v>1</v>
      </c>
      <c r="F934" s="51" t="s">
        <v>2715</v>
      </c>
      <c r="G934" s="51" t="s">
        <v>2695</v>
      </c>
      <c r="H934" s="25" t="str">
        <f t="shared" si="106"/>
        <v>jgd</v>
      </c>
      <c r="I934" t="s">
        <v>13</v>
      </c>
      <c r="J934" t="s">
        <v>21</v>
      </c>
      <c r="K934" t="s">
        <v>498</v>
      </c>
      <c r="L934" s="25">
        <v>46.959452949999999</v>
      </c>
      <c r="M934" s="25">
        <v>6.6021176559999999</v>
      </c>
      <c r="N934">
        <v>6</v>
      </c>
      <c r="O934">
        <v>3</v>
      </c>
      <c r="P934">
        <v>11</v>
      </c>
      <c r="Q934">
        <v>2014</v>
      </c>
      <c r="R934" s="9">
        <v>41946</v>
      </c>
      <c r="S934">
        <v>291</v>
      </c>
      <c r="T934">
        <v>1</v>
      </c>
      <c r="U934">
        <v>0</v>
      </c>
      <c r="V934">
        <v>0</v>
      </c>
      <c r="W934">
        <v>0</v>
      </c>
      <c r="X934">
        <f t="shared" si="107"/>
        <v>-33.824999999999996</v>
      </c>
      <c r="Y934">
        <v>-23.269285709999998</v>
      </c>
      <c r="Z934">
        <v>5.8582856139999997</v>
      </c>
      <c r="AA934" s="3">
        <f t="shared" si="108"/>
        <v>3</v>
      </c>
      <c r="AB934" s="3">
        <f t="shared" si="111"/>
        <v>6</v>
      </c>
      <c r="AD934" s="3" t="s">
        <v>2750</v>
      </c>
      <c r="AE934" s="22">
        <v>-51.28</v>
      </c>
      <c r="AF934" s="22">
        <f t="shared" si="109"/>
        <v>-51.28</v>
      </c>
      <c r="AG934" s="1">
        <v>-73.5</v>
      </c>
      <c r="AH934" s="2" t="s">
        <v>16</v>
      </c>
      <c r="AI934"/>
      <c r="AJ934" s="3">
        <f t="shared" si="110"/>
        <v>5</v>
      </c>
      <c r="AK934" s="3" t="s">
        <v>2708</v>
      </c>
      <c r="AL934">
        <v>5</v>
      </c>
      <c r="AM934" t="s">
        <v>15</v>
      </c>
    </row>
    <row r="935" spans="1:39" x14ac:dyDescent="0.3">
      <c r="A935" s="51" t="s">
        <v>936</v>
      </c>
      <c r="B935" s="54" t="s">
        <v>937</v>
      </c>
      <c r="C935" s="51" t="s">
        <v>2765</v>
      </c>
      <c r="D935" s="53">
        <v>0</v>
      </c>
      <c r="E935" s="53">
        <v>1</v>
      </c>
      <c r="F935" s="51" t="s">
        <v>2715</v>
      </c>
      <c r="G935" s="51" t="s">
        <v>2695</v>
      </c>
      <c r="H935" s="25" t="str">
        <f t="shared" si="106"/>
        <v>jgd</v>
      </c>
      <c r="I935" t="s">
        <v>72</v>
      </c>
      <c r="J935" t="s">
        <v>931</v>
      </c>
      <c r="K935" t="s">
        <v>938</v>
      </c>
      <c r="L935" s="25">
        <v>46.055826209999999</v>
      </c>
      <c r="M935" s="25">
        <v>8.8744370860000004</v>
      </c>
      <c r="N935">
        <v>5</v>
      </c>
      <c r="O935">
        <v>17</v>
      </c>
      <c r="P935">
        <v>10</v>
      </c>
      <c r="Q935">
        <v>2015</v>
      </c>
      <c r="R935" s="9">
        <v>42294</v>
      </c>
      <c r="S935">
        <v>303</v>
      </c>
      <c r="T935">
        <v>1</v>
      </c>
      <c r="U935">
        <v>0</v>
      </c>
      <c r="V935">
        <v>0</v>
      </c>
      <c r="W935">
        <v>0</v>
      </c>
      <c r="X935">
        <f t="shared" si="107"/>
        <v>-33.125</v>
      </c>
      <c r="Y935">
        <v>-23.741199999999999</v>
      </c>
      <c r="Z935">
        <v>5.5379307840000003</v>
      </c>
      <c r="AA935" s="3">
        <f t="shared" si="108"/>
        <v>3</v>
      </c>
      <c r="AB935" s="3">
        <f t="shared" si="111"/>
        <v>6</v>
      </c>
      <c r="AD935" s="3" t="s">
        <v>2754</v>
      </c>
      <c r="AE935" s="22">
        <v>-50.72</v>
      </c>
      <c r="AF935" s="22">
        <f t="shared" si="109"/>
        <v>-50.72</v>
      </c>
      <c r="AG935" s="1">
        <v>-73</v>
      </c>
      <c r="AH935" s="2" t="s">
        <v>16</v>
      </c>
      <c r="AI935"/>
      <c r="AJ935" s="3">
        <f t="shared" si="110"/>
        <v>5</v>
      </c>
      <c r="AK935" s="3" t="s">
        <v>2708</v>
      </c>
      <c r="AL935">
        <v>5</v>
      </c>
      <c r="AM935" t="s">
        <v>15</v>
      </c>
    </row>
    <row r="936" spans="1:39" x14ac:dyDescent="0.3">
      <c r="A936" s="51" t="s">
        <v>1650</v>
      </c>
      <c r="B936" s="54" t="s">
        <v>1651</v>
      </c>
      <c r="C936" s="51" t="s">
        <v>2765</v>
      </c>
      <c r="D936" s="53">
        <v>0</v>
      </c>
      <c r="E936" s="53">
        <v>1</v>
      </c>
      <c r="F936" s="51" t="s">
        <v>2715</v>
      </c>
      <c r="G936" s="51" t="s">
        <v>2695</v>
      </c>
      <c r="H936" s="25" t="str">
        <f t="shared" si="106"/>
        <v>jgd</v>
      </c>
      <c r="I936" t="s">
        <v>72</v>
      </c>
      <c r="J936" t="s">
        <v>931</v>
      </c>
      <c r="K936" t="s">
        <v>16</v>
      </c>
      <c r="L936" s="25">
        <v>46.059992080000001</v>
      </c>
      <c r="M936" s="25">
        <v>8.8758260320000009</v>
      </c>
      <c r="N936">
        <v>5</v>
      </c>
      <c r="O936">
        <v>2</v>
      </c>
      <c r="P936">
        <v>11</v>
      </c>
      <c r="Q936">
        <v>2016</v>
      </c>
      <c r="R936" s="9">
        <v>42676</v>
      </c>
      <c r="S936">
        <v>320</v>
      </c>
      <c r="T936">
        <v>1</v>
      </c>
      <c r="U936">
        <v>0</v>
      </c>
      <c r="V936">
        <v>0</v>
      </c>
      <c r="W936">
        <v>0</v>
      </c>
      <c r="X936" s="57">
        <f t="shared" si="107"/>
        <v>-32.574970874999998</v>
      </c>
      <c r="Y936">
        <v>-23.57</v>
      </c>
      <c r="Z936">
        <v>6.34</v>
      </c>
      <c r="AA936" s="3">
        <f t="shared" si="108"/>
        <v>3</v>
      </c>
      <c r="AB936" s="3">
        <f t="shared" si="111"/>
        <v>6</v>
      </c>
      <c r="AD936" s="3" t="s">
        <v>2754</v>
      </c>
      <c r="AE936" s="22">
        <v>-50.279976699999999</v>
      </c>
      <c r="AF936" s="22">
        <f t="shared" si="109"/>
        <v>-50.279976699999999</v>
      </c>
      <c r="AG936" s="60" t="s">
        <v>16</v>
      </c>
      <c r="AH936" s="61" t="s">
        <v>16</v>
      </c>
      <c r="AJ936" s="3">
        <f t="shared" si="110"/>
        <v>5</v>
      </c>
      <c r="AK936" s="3" t="s">
        <v>2708</v>
      </c>
      <c r="AL936">
        <v>5</v>
      </c>
      <c r="AM936" t="s">
        <v>15</v>
      </c>
    </row>
    <row r="937" spans="1:39" hidden="1" x14ac:dyDescent="0.3">
      <c r="A937" s="51" t="s">
        <v>2021</v>
      </c>
      <c r="B937" s="54" t="s">
        <v>2022</v>
      </c>
      <c r="C937" s="51" t="s">
        <v>2765</v>
      </c>
      <c r="D937" s="53">
        <v>0</v>
      </c>
      <c r="E937" s="53">
        <v>1</v>
      </c>
      <c r="F937" s="51" t="s">
        <v>2715</v>
      </c>
      <c r="G937" s="51" t="s">
        <v>2695</v>
      </c>
      <c r="H937" s="25" t="str">
        <f t="shared" si="106"/>
        <v>jgd</v>
      </c>
      <c r="I937" t="s">
        <v>30</v>
      </c>
      <c r="J937" t="s">
        <v>34</v>
      </c>
      <c r="K937" t="s">
        <v>16</v>
      </c>
      <c r="L937" s="25">
        <v>46.74744827</v>
      </c>
      <c r="M937" s="25">
        <v>7.0578192499999997</v>
      </c>
      <c r="N937">
        <v>5</v>
      </c>
      <c r="O937">
        <v>3</v>
      </c>
      <c r="P937">
        <v>11</v>
      </c>
      <c r="Q937">
        <v>2016</v>
      </c>
      <c r="R937" s="9">
        <v>42677</v>
      </c>
      <c r="S937">
        <v>342</v>
      </c>
      <c r="T937">
        <v>1</v>
      </c>
      <c r="U937">
        <v>0</v>
      </c>
      <c r="V937">
        <v>0</v>
      </c>
      <c r="W937">
        <v>0</v>
      </c>
      <c r="X937" s="57">
        <f t="shared" si="107"/>
        <v>-31.472535999999998</v>
      </c>
      <c r="Y937">
        <v>-24.36</v>
      </c>
      <c r="Z937">
        <v>6.23</v>
      </c>
      <c r="AA937" s="3">
        <f t="shared" si="108"/>
        <v>3</v>
      </c>
      <c r="AB937" s="3">
        <f t="shared" si="111"/>
        <v>6</v>
      </c>
      <c r="AD937" s="3" t="s">
        <v>2751</v>
      </c>
      <c r="AE937" s="22">
        <v>-49.398028799999999</v>
      </c>
      <c r="AF937" s="22">
        <f t="shared" si="109"/>
        <v>-49.398028799999999</v>
      </c>
      <c r="AG937" s="60" t="s">
        <v>16</v>
      </c>
      <c r="AH937" s="61" t="s">
        <v>16</v>
      </c>
      <c r="AJ937" s="3">
        <f t="shared" si="110"/>
        <v>5</v>
      </c>
      <c r="AK937" s="3" t="s">
        <v>2708</v>
      </c>
      <c r="AL937">
        <v>5</v>
      </c>
      <c r="AM937" t="s">
        <v>15</v>
      </c>
    </row>
    <row r="938" spans="1:39" hidden="1" x14ac:dyDescent="0.3">
      <c r="A938" s="51" t="s">
        <v>464</v>
      </c>
      <c r="B938" s="54" t="s">
        <v>465</v>
      </c>
      <c r="C938" s="51" t="s">
        <v>2765</v>
      </c>
      <c r="D938" s="53">
        <v>0</v>
      </c>
      <c r="E938" s="53">
        <v>1</v>
      </c>
      <c r="F938" s="51" t="s">
        <v>2715</v>
      </c>
      <c r="G938" s="51" t="s">
        <v>2695</v>
      </c>
      <c r="H938" s="25" t="str">
        <f t="shared" si="106"/>
        <v>jgd</v>
      </c>
      <c r="I938" t="s">
        <v>385</v>
      </c>
      <c r="J938" t="s">
        <v>466</v>
      </c>
      <c r="K938" t="s">
        <v>467</v>
      </c>
      <c r="L938" s="25">
        <v>46.79997942</v>
      </c>
      <c r="M938" s="25">
        <v>6.4391385400000001</v>
      </c>
      <c r="N938">
        <v>6</v>
      </c>
      <c r="O938">
        <v>25</v>
      </c>
      <c r="P938">
        <v>11</v>
      </c>
      <c r="Q938">
        <v>2014</v>
      </c>
      <c r="R938" s="9">
        <v>41968</v>
      </c>
      <c r="S938">
        <v>322</v>
      </c>
      <c r="T938">
        <v>1</v>
      </c>
      <c r="U938">
        <v>0</v>
      </c>
      <c r="V938">
        <v>0</v>
      </c>
      <c r="W938">
        <v>0</v>
      </c>
      <c r="X938">
        <f t="shared" si="107"/>
        <v>-31.15</v>
      </c>
      <c r="Y938">
        <v>-23.954799999999999</v>
      </c>
      <c r="Z938">
        <v>6.4770186030000003</v>
      </c>
      <c r="AA938" s="3">
        <f t="shared" si="108"/>
        <v>3</v>
      </c>
      <c r="AB938" s="3">
        <f t="shared" si="111"/>
        <v>6</v>
      </c>
      <c r="AD938" s="3" t="s">
        <v>2750</v>
      </c>
      <c r="AE938" s="22">
        <v>-49.14</v>
      </c>
      <c r="AF938" s="22">
        <f t="shared" si="109"/>
        <v>-49.14</v>
      </c>
      <c r="AG938" s="1">
        <v>-71.3</v>
      </c>
      <c r="AH938" s="2" t="s">
        <v>16</v>
      </c>
      <c r="AI938"/>
      <c r="AJ938" s="3">
        <f t="shared" si="110"/>
        <v>5</v>
      </c>
      <c r="AK938" s="3" t="s">
        <v>2708</v>
      </c>
      <c r="AL938">
        <v>5</v>
      </c>
      <c r="AM938" t="s">
        <v>15</v>
      </c>
    </row>
    <row r="939" spans="1:39" x14ac:dyDescent="0.3">
      <c r="A939" s="51" t="s">
        <v>1664</v>
      </c>
      <c r="B939" s="54" t="s">
        <v>1665</v>
      </c>
      <c r="C939" s="51" t="s">
        <v>2765</v>
      </c>
      <c r="D939" s="53">
        <v>0</v>
      </c>
      <c r="E939" s="53">
        <v>1</v>
      </c>
      <c r="F939" s="51" t="s">
        <v>2715</v>
      </c>
      <c r="G939" s="51" t="s">
        <v>2695</v>
      </c>
      <c r="H939" s="25" t="str">
        <f t="shared" si="106"/>
        <v>jgd</v>
      </c>
      <c r="I939" t="s">
        <v>72</v>
      </c>
      <c r="J939" t="s">
        <v>931</v>
      </c>
      <c r="K939" t="s">
        <v>16</v>
      </c>
      <c r="L939" s="25">
        <v>46.02610069</v>
      </c>
      <c r="M939" s="25">
        <v>8.8758262079999994</v>
      </c>
      <c r="N939">
        <v>5</v>
      </c>
      <c r="O939">
        <v>19</v>
      </c>
      <c r="P939">
        <v>11</v>
      </c>
      <c r="Q939">
        <v>2016</v>
      </c>
      <c r="R939" s="9">
        <v>42693</v>
      </c>
      <c r="S939" t="s">
        <v>1666</v>
      </c>
      <c r="T939">
        <v>1</v>
      </c>
      <c r="U939">
        <v>0</v>
      </c>
      <c r="V939">
        <v>0</v>
      </c>
      <c r="W939">
        <v>0</v>
      </c>
      <c r="X939" s="57">
        <f t="shared" si="107"/>
        <v>-31.051323750000002</v>
      </c>
      <c r="Y939">
        <v>-23.32</v>
      </c>
      <c r="Z939">
        <v>3.73</v>
      </c>
      <c r="AA939" s="3">
        <f t="shared" si="108"/>
        <v>3</v>
      </c>
      <c r="AB939" s="3">
        <f t="shared" si="111"/>
        <v>4</v>
      </c>
      <c r="AD939" s="3" t="s">
        <v>2754</v>
      </c>
      <c r="AE939" s="22">
        <v>-49.061059</v>
      </c>
      <c r="AF939" s="22">
        <f t="shared" si="109"/>
        <v>-49.061059</v>
      </c>
      <c r="AG939" s="60" t="s">
        <v>16</v>
      </c>
      <c r="AH939" s="61" t="s">
        <v>16</v>
      </c>
      <c r="AJ939" s="3">
        <f t="shared" si="110"/>
        <v>5</v>
      </c>
      <c r="AK939" s="3" t="s">
        <v>2708</v>
      </c>
      <c r="AL939">
        <v>5</v>
      </c>
      <c r="AM939" t="s">
        <v>15</v>
      </c>
    </row>
    <row r="940" spans="1:39" x14ac:dyDescent="0.3">
      <c r="A940" s="51" t="s">
        <v>872</v>
      </c>
      <c r="B940" s="54" t="s">
        <v>873</v>
      </c>
      <c r="C940" s="51" t="s">
        <v>2765</v>
      </c>
      <c r="D940" s="53">
        <v>0</v>
      </c>
      <c r="E940" s="53">
        <v>1</v>
      </c>
      <c r="F940" s="51" t="s">
        <v>2715</v>
      </c>
      <c r="G940" s="51" t="s">
        <v>2695</v>
      </c>
      <c r="H940" s="25" t="str">
        <f t="shared" si="106"/>
        <v>jgd</v>
      </c>
      <c r="I940" t="s">
        <v>72</v>
      </c>
      <c r="J940" t="s">
        <v>848</v>
      </c>
      <c r="K940" t="s">
        <v>849</v>
      </c>
      <c r="L940" s="25">
        <v>46.164360070000001</v>
      </c>
      <c r="M940" s="25">
        <v>8.6003196269999993</v>
      </c>
      <c r="N940">
        <v>6</v>
      </c>
      <c r="O940">
        <v>16</v>
      </c>
      <c r="P940">
        <v>10</v>
      </c>
      <c r="Q940">
        <v>2015</v>
      </c>
      <c r="R940" s="9">
        <v>42293</v>
      </c>
      <c r="S940">
        <v>320</v>
      </c>
      <c r="T940">
        <v>1</v>
      </c>
      <c r="U940">
        <v>0</v>
      </c>
      <c r="V940">
        <v>0</v>
      </c>
      <c r="W940">
        <v>0</v>
      </c>
      <c r="X940">
        <f t="shared" si="107"/>
        <v>-30.912500000000001</v>
      </c>
      <c r="Y940">
        <v>-22.678599999999999</v>
      </c>
      <c r="Z940">
        <v>-0.47793729800000001</v>
      </c>
      <c r="AA940" s="3">
        <f t="shared" si="108"/>
        <v>3</v>
      </c>
      <c r="AB940" s="3">
        <f t="shared" si="111"/>
        <v>0</v>
      </c>
      <c r="AD940" s="3" t="s">
        <v>2754</v>
      </c>
      <c r="AE940" s="22">
        <v>-48.95</v>
      </c>
      <c r="AF940" s="22">
        <f t="shared" si="109"/>
        <v>-48.95</v>
      </c>
      <c r="AG940" s="1">
        <v>-71.099999999999994</v>
      </c>
      <c r="AH940" s="2" t="s">
        <v>16</v>
      </c>
      <c r="AI940"/>
      <c r="AJ940" s="3">
        <f t="shared" si="110"/>
        <v>5</v>
      </c>
      <c r="AK940" s="3" t="s">
        <v>2708</v>
      </c>
      <c r="AL940">
        <v>5</v>
      </c>
      <c r="AM940" t="s">
        <v>15</v>
      </c>
    </row>
    <row r="941" spans="1:39" hidden="1" x14ac:dyDescent="0.3">
      <c r="A941" s="51" t="s">
        <v>531</v>
      </c>
      <c r="B941" s="54" t="s">
        <v>532</v>
      </c>
      <c r="C941" s="51" t="s">
        <v>2765</v>
      </c>
      <c r="D941" s="53">
        <v>0</v>
      </c>
      <c r="E941" s="53">
        <v>1</v>
      </c>
      <c r="F941" s="51" t="s">
        <v>2715</v>
      </c>
      <c r="G941" s="51" t="s">
        <v>2695</v>
      </c>
      <c r="H941" s="25" t="str">
        <f t="shared" si="106"/>
        <v>jgd</v>
      </c>
      <c r="I941" t="s">
        <v>13</v>
      </c>
      <c r="J941" t="s">
        <v>25</v>
      </c>
      <c r="K941" t="s">
        <v>533</v>
      </c>
      <c r="L941" s="25">
        <v>47.080945829999997</v>
      </c>
      <c r="M941" s="25">
        <v>6.8954972510000001</v>
      </c>
      <c r="N941">
        <v>6</v>
      </c>
      <c r="O941">
        <v>23</v>
      </c>
      <c r="P941">
        <v>10</v>
      </c>
      <c r="Q941">
        <v>2014</v>
      </c>
      <c r="R941" s="9">
        <v>41935</v>
      </c>
      <c r="S941">
        <v>260</v>
      </c>
      <c r="T941">
        <v>1</v>
      </c>
      <c r="U941">
        <v>0</v>
      </c>
      <c r="V941">
        <v>0</v>
      </c>
      <c r="W941">
        <v>0</v>
      </c>
      <c r="X941">
        <f t="shared" si="107"/>
        <v>-30.825000000000003</v>
      </c>
      <c r="Y941">
        <v>-23.40728571</v>
      </c>
      <c r="Z941">
        <v>4.464710288</v>
      </c>
      <c r="AA941" s="3">
        <f t="shared" si="108"/>
        <v>3</v>
      </c>
      <c r="AB941" s="3">
        <f t="shared" si="111"/>
        <v>4</v>
      </c>
      <c r="AD941" s="3" t="s">
        <v>2750</v>
      </c>
      <c r="AE941" s="22">
        <v>-48.88</v>
      </c>
      <c r="AF941" s="22">
        <f t="shared" si="109"/>
        <v>-48.88</v>
      </c>
      <c r="AG941" s="1">
        <v>-71.099999999999994</v>
      </c>
      <c r="AH941" s="2" t="s">
        <v>16</v>
      </c>
      <c r="AI941"/>
      <c r="AJ941" s="3">
        <f t="shared" si="110"/>
        <v>5</v>
      </c>
      <c r="AK941" s="3" t="s">
        <v>2708</v>
      </c>
      <c r="AL941">
        <v>5</v>
      </c>
      <c r="AM941" t="s">
        <v>15</v>
      </c>
    </row>
    <row r="942" spans="1:39" hidden="1" x14ac:dyDescent="0.3">
      <c r="A942" s="51" t="s">
        <v>86</v>
      </c>
      <c r="B942" s="54" t="s">
        <v>18</v>
      </c>
      <c r="C942" s="51" t="s">
        <v>2765</v>
      </c>
      <c r="D942" s="53">
        <v>0</v>
      </c>
      <c r="E942" s="53">
        <v>1</v>
      </c>
      <c r="F942" s="51" t="s">
        <v>2715</v>
      </c>
      <c r="G942" s="51" t="s">
        <v>2695</v>
      </c>
      <c r="H942" s="25" t="str">
        <f t="shared" si="106"/>
        <v>jgd</v>
      </c>
      <c r="I942" t="s">
        <v>13</v>
      </c>
      <c r="J942" t="s">
        <v>29</v>
      </c>
      <c r="K942" t="s">
        <v>87</v>
      </c>
      <c r="L942" s="25">
        <v>46.990201499999998</v>
      </c>
      <c r="M942" s="25">
        <v>6.6840135289999996</v>
      </c>
      <c r="N942">
        <v>5</v>
      </c>
      <c r="O942">
        <v>8</v>
      </c>
      <c r="P942">
        <v>11</v>
      </c>
      <c r="Q942">
        <v>2013</v>
      </c>
      <c r="R942" s="9">
        <v>41586</v>
      </c>
      <c r="S942">
        <v>300</v>
      </c>
      <c r="T942">
        <v>1</v>
      </c>
      <c r="U942">
        <v>0</v>
      </c>
      <c r="V942">
        <v>0</v>
      </c>
      <c r="W942">
        <v>0</v>
      </c>
      <c r="X942">
        <f t="shared" si="107"/>
        <v>-28.300000000000004</v>
      </c>
      <c r="Y942">
        <v>-2.4190676080000002</v>
      </c>
      <c r="Z942">
        <v>4.9823085220000003</v>
      </c>
      <c r="AA942" s="3">
        <f t="shared" si="108"/>
        <v>3</v>
      </c>
      <c r="AB942" s="3">
        <f t="shared" si="111"/>
        <v>5</v>
      </c>
      <c r="AD942" s="3" t="s">
        <v>2750</v>
      </c>
      <c r="AE942" s="22">
        <v>-46.86</v>
      </c>
      <c r="AF942" s="22">
        <f t="shared" si="109"/>
        <v>-46.86</v>
      </c>
      <c r="AG942" s="1">
        <v>-69</v>
      </c>
      <c r="AH942" s="2" t="s">
        <v>16</v>
      </c>
      <c r="AI942"/>
      <c r="AJ942" s="3">
        <f t="shared" si="110"/>
        <v>5</v>
      </c>
      <c r="AK942" s="3" t="s">
        <v>2708</v>
      </c>
      <c r="AL942">
        <v>5</v>
      </c>
      <c r="AM942" t="s">
        <v>15</v>
      </c>
    </row>
    <row r="943" spans="1:39" hidden="1" x14ac:dyDescent="0.3">
      <c r="A943" s="51" t="s">
        <v>2025</v>
      </c>
      <c r="B943" s="54" t="s">
        <v>2026</v>
      </c>
      <c r="C943" s="51" t="s">
        <v>2765</v>
      </c>
      <c r="D943" s="53">
        <v>0</v>
      </c>
      <c r="E943" s="53">
        <v>1</v>
      </c>
      <c r="F943" s="51" t="s">
        <v>2715</v>
      </c>
      <c r="G943" s="51" t="s">
        <v>2695</v>
      </c>
      <c r="H943" s="25" t="str">
        <f t="shared" si="106"/>
        <v>jgd</v>
      </c>
      <c r="I943" t="s">
        <v>30</v>
      </c>
      <c r="J943" t="s">
        <v>34</v>
      </c>
      <c r="K943" t="s">
        <v>16</v>
      </c>
      <c r="L943" s="25">
        <v>46.749948670000002</v>
      </c>
      <c r="M943" s="25">
        <v>7.057709987</v>
      </c>
      <c r="N943">
        <v>5</v>
      </c>
      <c r="O943">
        <v>9</v>
      </c>
      <c r="P943">
        <v>11</v>
      </c>
      <c r="Q943">
        <v>2016</v>
      </c>
      <c r="R943" s="9">
        <v>42683</v>
      </c>
      <c r="S943">
        <v>304</v>
      </c>
      <c r="T943">
        <v>1</v>
      </c>
      <c r="U943">
        <v>0</v>
      </c>
      <c r="V943">
        <v>0</v>
      </c>
      <c r="W943">
        <v>0</v>
      </c>
      <c r="X943" s="57">
        <f t="shared" si="107"/>
        <v>-26.769421999999999</v>
      </c>
      <c r="Y943">
        <v>-23.17</v>
      </c>
      <c r="Z943">
        <v>5.18</v>
      </c>
      <c r="AA943" s="3">
        <f t="shared" si="108"/>
        <v>3</v>
      </c>
      <c r="AB943" s="3">
        <f t="shared" si="111"/>
        <v>5</v>
      </c>
      <c r="AD943" s="3" t="s">
        <v>2751</v>
      </c>
      <c r="AE943" s="22">
        <v>-45.635537599999999</v>
      </c>
      <c r="AF943" s="22">
        <f t="shared" si="109"/>
        <v>-45.635537599999999</v>
      </c>
      <c r="AG943" s="60" t="s">
        <v>16</v>
      </c>
      <c r="AH943" s="61" t="s">
        <v>16</v>
      </c>
      <c r="AJ943" s="3">
        <f t="shared" si="110"/>
        <v>5</v>
      </c>
      <c r="AK943" s="3" t="s">
        <v>2708</v>
      </c>
      <c r="AL943">
        <v>5</v>
      </c>
      <c r="AM943" t="s">
        <v>15</v>
      </c>
    </row>
    <row r="944" spans="1:39" x14ac:dyDescent="0.3">
      <c r="A944" s="51" t="s">
        <v>2492</v>
      </c>
      <c r="B944" s="54" t="s">
        <v>2493</v>
      </c>
      <c r="C944" s="51" t="s">
        <v>2765</v>
      </c>
      <c r="D944" s="53">
        <v>0</v>
      </c>
      <c r="E944" s="53">
        <v>1</v>
      </c>
      <c r="F944" s="51" t="s">
        <v>2715</v>
      </c>
      <c r="G944" s="51" t="s">
        <v>2695</v>
      </c>
      <c r="H944" s="25" t="str">
        <f t="shared" si="106"/>
        <v>jgd</v>
      </c>
      <c r="I944" t="s">
        <v>72</v>
      </c>
      <c r="J944" t="s">
        <v>2494</v>
      </c>
      <c r="K944" t="s">
        <v>2495</v>
      </c>
      <c r="L944" s="25">
        <v>46.064208839999999</v>
      </c>
      <c r="M944" s="25">
        <v>8.9463003249999993</v>
      </c>
      <c r="N944">
        <v>6</v>
      </c>
      <c r="O944">
        <v>25</v>
      </c>
      <c r="P944">
        <v>11</v>
      </c>
      <c r="Q944">
        <v>2017</v>
      </c>
      <c r="R944" s="9">
        <v>43064</v>
      </c>
      <c r="S944">
        <v>270</v>
      </c>
      <c r="T944">
        <v>1</v>
      </c>
      <c r="U944">
        <v>0</v>
      </c>
      <c r="V944">
        <v>0</v>
      </c>
      <c r="W944">
        <v>0</v>
      </c>
      <c r="X944" s="57">
        <f>1.25 * AF944 - 5.6375</f>
        <v>-25.792159999999999</v>
      </c>
      <c r="Y944" t="s">
        <v>16</v>
      </c>
      <c r="Z944">
        <v>6.977617306</v>
      </c>
      <c r="AA944" s="3">
        <f t="shared" si="108"/>
        <v>3</v>
      </c>
      <c r="AB944" s="3">
        <f t="shared" si="111"/>
        <v>7</v>
      </c>
      <c r="AD944" s="3" t="s">
        <v>2754</v>
      </c>
      <c r="AE944" s="22">
        <v>-16.123728</v>
      </c>
      <c r="AF944" s="22">
        <f t="shared" si="109"/>
        <v>-16.123728</v>
      </c>
      <c r="AG944" s="60" t="s">
        <v>16</v>
      </c>
      <c r="AH944" s="61" t="s">
        <v>16</v>
      </c>
      <c r="AJ944" s="3">
        <f t="shared" si="110"/>
        <v>2</v>
      </c>
      <c r="AK944" s="3" t="s">
        <v>2708</v>
      </c>
      <c r="AL944">
        <v>2</v>
      </c>
      <c r="AM944" t="s">
        <v>15</v>
      </c>
    </row>
    <row r="945" spans="1:39" hidden="1" x14ac:dyDescent="0.3">
      <c r="A945" s="51" t="s">
        <v>677</v>
      </c>
      <c r="B945" s="54" t="s">
        <v>12</v>
      </c>
      <c r="C945" s="51" t="s">
        <v>2765</v>
      </c>
      <c r="D945" s="53">
        <v>0</v>
      </c>
      <c r="E945" s="53">
        <v>1</v>
      </c>
      <c r="F945" s="51" t="s">
        <v>2715</v>
      </c>
      <c r="G945" s="51" t="s">
        <v>2695</v>
      </c>
      <c r="H945" s="25" t="str">
        <f t="shared" si="106"/>
        <v>jgd</v>
      </c>
      <c r="I945" t="s">
        <v>13</v>
      </c>
      <c r="J945" t="s">
        <v>14</v>
      </c>
      <c r="K945" t="s">
        <v>678</v>
      </c>
      <c r="L945" s="25">
        <v>46.901632169999999</v>
      </c>
      <c r="M945" s="25">
        <v>6.5260661280000001</v>
      </c>
      <c r="N945">
        <v>5</v>
      </c>
      <c r="O945">
        <v>2</v>
      </c>
      <c r="P945">
        <v>11</v>
      </c>
      <c r="Q945">
        <v>2015</v>
      </c>
      <c r="R945" s="9">
        <v>42310</v>
      </c>
      <c r="S945">
        <v>280</v>
      </c>
      <c r="T945">
        <v>1</v>
      </c>
      <c r="U945">
        <v>0</v>
      </c>
      <c r="V945">
        <v>0</v>
      </c>
      <c r="W945">
        <v>0</v>
      </c>
      <c r="X945">
        <f t="shared" ref="X945:X953" si="112">1.25*AF945+30.275</f>
        <v>-25.212499999999999</v>
      </c>
      <c r="Y945">
        <v>-24.001000000000001</v>
      </c>
      <c r="Z945">
        <v>5.1503156480000003</v>
      </c>
      <c r="AA945" s="3">
        <f t="shared" si="108"/>
        <v>3</v>
      </c>
      <c r="AB945" s="3">
        <f t="shared" si="111"/>
        <v>5</v>
      </c>
      <c r="AD945" s="3" t="s">
        <v>2750</v>
      </c>
      <c r="AE945" s="22">
        <v>-44.39</v>
      </c>
      <c r="AF945" s="22">
        <f t="shared" si="109"/>
        <v>-44.39</v>
      </c>
      <c r="AG945" s="1">
        <v>-66.5</v>
      </c>
      <c r="AH945" s="2" t="s">
        <v>16</v>
      </c>
      <c r="AI945"/>
      <c r="AJ945" s="3">
        <f t="shared" si="110"/>
        <v>4</v>
      </c>
      <c r="AK945" s="3" t="s">
        <v>2708</v>
      </c>
      <c r="AL945">
        <v>4</v>
      </c>
      <c r="AM945" t="s">
        <v>15</v>
      </c>
    </row>
    <row r="946" spans="1:39" hidden="1" x14ac:dyDescent="0.3">
      <c r="A946" s="51" t="s">
        <v>1280</v>
      </c>
      <c r="B946" s="54" t="s">
        <v>1281</v>
      </c>
      <c r="C946" s="51" t="s">
        <v>2765</v>
      </c>
      <c r="D946" s="53">
        <v>0</v>
      </c>
      <c r="E946" s="53">
        <v>1</v>
      </c>
      <c r="F946" s="51" t="s">
        <v>2715</v>
      </c>
      <c r="G946" s="51" t="s">
        <v>2695</v>
      </c>
      <c r="H946" s="25" t="str">
        <f t="shared" si="106"/>
        <v>jgd</v>
      </c>
      <c r="I946" t="s">
        <v>385</v>
      </c>
      <c r="J946" t="s">
        <v>558</v>
      </c>
      <c r="K946" t="s">
        <v>16</v>
      </c>
      <c r="L946" s="25">
        <v>46.643468390000002</v>
      </c>
      <c r="M946" s="25">
        <v>6.2434823130000003</v>
      </c>
      <c r="N946">
        <v>4</v>
      </c>
      <c r="O946">
        <v>8</v>
      </c>
      <c r="P946">
        <v>11</v>
      </c>
      <c r="Q946">
        <v>2015</v>
      </c>
      <c r="R946" s="9">
        <v>42316</v>
      </c>
      <c r="S946">
        <v>322</v>
      </c>
      <c r="T946">
        <v>1</v>
      </c>
      <c r="U946">
        <v>0</v>
      </c>
      <c r="V946">
        <v>0</v>
      </c>
      <c r="W946">
        <v>0</v>
      </c>
      <c r="X946">
        <f t="shared" si="112"/>
        <v>-24.550000000000004</v>
      </c>
      <c r="Y946">
        <v>-22.922799009999999</v>
      </c>
      <c r="Z946">
        <v>3.393167032</v>
      </c>
      <c r="AA946" s="3">
        <f t="shared" si="108"/>
        <v>2</v>
      </c>
      <c r="AB946" s="3">
        <f t="shared" si="111"/>
        <v>3</v>
      </c>
      <c r="AD946" s="3" t="s">
        <v>2750</v>
      </c>
      <c r="AE946" s="22">
        <v>-43.86</v>
      </c>
      <c r="AF946" s="22">
        <f t="shared" si="109"/>
        <v>-43.86</v>
      </c>
      <c r="AG946" s="1">
        <v>-65.900000000000006</v>
      </c>
      <c r="AH946" s="2" t="s">
        <v>16</v>
      </c>
      <c r="AI946"/>
      <c r="AJ946" s="3">
        <f t="shared" si="110"/>
        <v>4</v>
      </c>
      <c r="AK946" s="3" t="s">
        <v>2708</v>
      </c>
      <c r="AL946">
        <v>4</v>
      </c>
      <c r="AM946" t="s">
        <v>15</v>
      </c>
    </row>
    <row r="947" spans="1:39" hidden="1" x14ac:dyDescent="0.3">
      <c r="A947" s="51" t="s">
        <v>688</v>
      </c>
      <c r="B947" s="54" t="s">
        <v>689</v>
      </c>
      <c r="C947" s="51" t="s">
        <v>2765</v>
      </c>
      <c r="D947" s="53">
        <v>0</v>
      </c>
      <c r="E947" s="53">
        <v>1</v>
      </c>
      <c r="F947" s="51" t="s">
        <v>2715</v>
      </c>
      <c r="G947" s="51" t="s">
        <v>2695</v>
      </c>
      <c r="H947" s="25" t="str">
        <f t="shared" si="106"/>
        <v>jgd</v>
      </c>
      <c r="I947" t="s">
        <v>13</v>
      </c>
      <c r="J947" t="s">
        <v>519</v>
      </c>
      <c r="K947" t="s">
        <v>27</v>
      </c>
      <c r="L947" s="25">
        <v>47.064600179999999</v>
      </c>
      <c r="M947" s="25">
        <v>6.8655957330000001</v>
      </c>
      <c r="N947">
        <v>5</v>
      </c>
      <c r="O947">
        <v>14</v>
      </c>
      <c r="P947">
        <v>11</v>
      </c>
      <c r="Q947">
        <v>2015</v>
      </c>
      <c r="R947" s="9">
        <v>42322</v>
      </c>
      <c r="S947">
        <v>298</v>
      </c>
      <c r="T947">
        <v>1</v>
      </c>
      <c r="U947">
        <v>0</v>
      </c>
      <c r="V947">
        <v>0</v>
      </c>
      <c r="W947">
        <v>0</v>
      </c>
      <c r="X947">
        <f t="shared" si="112"/>
        <v>-23.35</v>
      </c>
      <c r="Y947">
        <v>-24.530999999999999</v>
      </c>
      <c r="Z947">
        <v>4.9566857960000004</v>
      </c>
      <c r="AA947" s="3">
        <f t="shared" si="108"/>
        <v>2</v>
      </c>
      <c r="AB947" s="3">
        <f t="shared" si="111"/>
        <v>5</v>
      </c>
      <c r="AD947" s="3" t="s">
        <v>2750</v>
      </c>
      <c r="AE947" s="22">
        <v>-42.9</v>
      </c>
      <c r="AF947" s="22">
        <f t="shared" si="109"/>
        <v>-42.9</v>
      </c>
      <c r="AG947" s="1">
        <v>-65</v>
      </c>
      <c r="AH947" s="2" t="s">
        <v>16</v>
      </c>
      <c r="AI947"/>
      <c r="AJ947" s="3">
        <f t="shared" si="110"/>
        <v>4</v>
      </c>
      <c r="AK947" s="3" t="s">
        <v>2708</v>
      </c>
      <c r="AL947">
        <v>4</v>
      </c>
      <c r="AM947" t="s">
        <v>15</v>
      </c>
    </row>
    <row r="948" spans="1:39" x14ac:dyDescent="0.3">
      <c r="A948" s="51" t="s">
        <v>1674</v>
      </c>
      <c r="B948" s="54" t="s">
        <v>947</v>
      </c>
      <c r="C948" s="51" t="s">
        <v>2765</v>
      </c>
      <c r="D948" s="53">
        <v>0</v>
      </c>
      <c r="E948" s="53">
        <v>1</v>
      </c>
      <c r="F948" s="51" t="s">
        <v>2715</v>
      </c>
      <c r="G948" s="51" t="s">
        <v>2695</v>
      </c>
      <c r="H948" s="25" t="str">
        <f t="shared" si="106"/>
        <v>jgd</v>
      </c>
      <c r="I948" t="s">
        <v>72</v>
      </c>
      <c r="J948" t="s">
        <v>708</v>
      </c>
      <c r="K948" t="s">
        <v>16</v>
      </c>
      <c r="L948" s="25">
        <v>46.539085540000002</v>
      </c>
      <c r="M948" s="25">
        <v>8.5923751530000008</v>
      </c>
      <c r="N948">
        <v>2</v>
      </c>
      <c r="O948">
        <v>27</v>
      </c>
      <c r="P948">
        <v>10</v>
      </c>
      <c r="Q948">
        <v>2016</v>
      </c>
      <c r="R948" s="9">
        <v>42670</v>
      </c>
      <c r="S948">
        <v>300</v>
      </c>
      <c r="T948">
        <v>1</v>
      </c>
      <c r="U948">
        <v>0</v>
      </c>
      <c r="V948">
        <v>0</v>
      </c>
      <c r="W948">
        <v>0</v>
      </c>
      <c r="X948" s="57">
        <f t="shared" si="112"/>
        <v>-18.947088749999999</v>
      </c>
      <c r="Y948">
        <v>-23.54</v>
      </c>
      <c r="Z948">
        <v>6.19</v>
      </c>
      <c r="AA948" s="3">
        <f t="shared" si="108"/>
        <v>2</v>
      </c>
      <c r="AB948" s="3">
        <f t="shared" si="111"/>
        <v>6</v>
      </c>
      <c r="AD948" s="3" t="s">
        <v>2754</v>
      </c>
      <c r="AE948" s="22">
        <v>-39.377670999999999</v>
      </c>
      <c r="AF948" s="22">
        <f t="shared" si="109"/>
        <v>-39.377670999999999</v>
      </c>
      <c r="AG948" s="60" t="s">
        <v>16</v>
      </c>
      <c r="AH948" s="61" t="s">
        <v>16</v>
      </c>
      <c r="AJ948" s="3">
        <f t="shared" si="110"/>
        <v>4</v>
      </c>
      <c r="AK948" s="3" t="s">
        <v>2708</v>
      </c>
      <c r="AL948">
        <v>4</v>
      </c>
      <c r="AM948" t="s">
        <v>15</v>
      </c>
    </row>
    <row r="949" spans="1:39" hidden="1" x14ac:dyDescent="0.3">
      <c r="A949" s="51" t="s">
        <v>681</v>
      </c>
      <c r="B949" s="54" t="s">
        <v>18</v>
      </c>
      <c r="C949" s="51" t="s">
        <v>2765</v>
      </c>
      <c r="D949" s="53">
        <v>0</v>
      </c>
      <c r="E949" s="53">
        <v>1</v>
      </c>
      <c r="F949" s="51" t="s">
        <v>2715</v>
      </c>
      <c r="G949" s="51" t="s">
        <v>2695</v>
      </c>
      <c r="H949" s="25" t="str">
        <f t="shared" si="106"/>
        <v>jgd</v>
      </c>
      <c r="I949" t="s">
        <v>13</v>
      </c>
      <c r="J949" t="s">
        <v>14</v>
      </c>
      <c r="K949" t="s">
        <v>680</v>
      </c>
      <c r="L949" s="25">
        <v>46.880820489999998</v>
      </c>
      <c r="M949" s="25">
        <v>6.4955874800000002</v>
      </c>
      <c r="N949">
        <v>6</v>
      </c>
      <c r="O949">
        <v>12</v>
      </c>
      <c r="P949">
        <v>11</v>
      </c>
      <c r="Q949">
        <v>2015</v>
      </c>
      <c r="R949" s="9">
        <v>42320</v>
      </c>
      <c r="S949">
        <v>300</v>
      </c>
      <c r="T949">
        <v>1</v>
      </c>
      <c r="U949">
        <v>0</v>
      </c>
      <c r="V949">
        <v>0</v>
      </c>
      <c r="W949">
        <v>0</v>
      </c>
      <c r="X949">
        <f t="shared" si="112"/>
        <v>-17.0625</v>
      </c>
      <c r="Y949">
        <v>-23.672999999999998</v>
      </c>
      <c r="Z949">
        <v>5.5760675280000003</v>
      </c>
      <c r="AA949" s="3">
        <f t="shared" si="108"/>
        <v>2</v>
      </c>
      <c r="AB949" s="3">
        <f t="shared" si="111"/>
        <v>6</v>
      </c>
      <c r="AD949" s="3" t="s">
        <v>2750</v>
      </c>
      <c r="AE949" s="22">
        <v>-37.869999999999997</v>
      </c>
      <c r="AF949" s="22">
        <f t="shared" si="109"/>
        <v>-37.869999999999997</v>
      </c>
      <c r="AG949" s="1">
        <v>-59.8</v>
      </c>
      <c r="AH949" s="2" t="s">
        <v>16</v>
      </c>
      <c r="AI949"/>
      <c r="AJ949" s="3">
        <f t="shared" si="110"/>
        <v>4</v>
      </c>
      <c r="AK949" s="3" t="s">
        <v>2708</v>
      </c>
      <c r="AL949">
        <v>4</v>
      </c>
      <c r="AM949" t="s">
        <v>15</v>
      </c>
    </row>
    <row r="950" spans="1:39" x14ac:dyDescent="0.3">
      <c r="A950" s="51" t="s">
        <v>1316</v>
      </c>
      <c r="B950" s="54" t="s">
        <v>1317</v>
      </c>
      <c r="C950" s="51" t="s">
        <v>2765</v>
      </c>
      <c r="D950" s="53">
        <v>0</v>
      </c>
      <c r="E950" s="53">
        <v>1</v>
      </c>
      <c r="F950" s="51" t="s">
        <v>2715</v>
      </c>
      <c r="G950" s="51" t="s">
        <v>2695</v>
      </c>
      <c r="H950" s="25" t="str">
        <f t="shared" si="106"/>
        <v>jgd</v>
      </c>
      <c r="I950" t="s">
        <v>72</v>
      </c>
      <c r="J950" t="s">
        <v>1310</v>
      </c>
      <c r="K950" t="s">
        <v>1318</v>
      </c>
      <c r="L950" s="25">
        <v>46.197171859999997</v>
      </c>
      <c r="M950" s="25">
        <v>8.6080281070000009</v>
      </c>
      <c r="N950">
        <v>6</v>
      </c>
      <c r="O950">
        <v>10</v>
      </c>
      <c r="P950">
        <v>11</v>
      </c>
      <c r="Q950">
        <v>2015</v>
      </c>
      <c r="R950" s="9">
        <v>42318</v>
      </c>
      <c r="S950">
        <v>335</v>
      </c>
      <c r="T950">
        <v>1</v>
      </c>
      <c r="U950">
        <v>0</v>
      </c>
      <c r="V950">
        <v>0</v>
      </c>
      <c r="W950">
        <v>0</v>
      </c>
      <c r="X950">
        <f t="shared" si="112"/>
        <v>-16.799999999999997</v>
      </c>
      <c r="Y950">
        <v>-22.514399999999998</v>
      </c>
      <c r="Z950">
        <v>3.800112435</v>
      </c>
      <c r="AA950" s="3">
        <f t="shared" si="108"/>
        <v>2</v>
      </c>
      <c r="AB950" s="3">
        <f t="shared" si="111"/>
        <v>4</v>
      </c>
      <c r="AD950" s="3" t="s">
        <v>2754</v>
      </c>
      <c r="AE950" s="22">
        <v>-37.659999999999997</v>
      </c>
      <c r="AF950" s="22">
        <f t="shared" si="109"/>
        <v>-37.659999999999997</v>
      </c>
      <c r="AG950" s="1">
        <v>-59.6</v>
      </c>
      <c r="AH950" s="2" t="s">
        <v>16</v>
      </c>
      <c r="AI950"/>
      <c r="AJ950" s="3">
        <f t="shared" si="110"/>
        <v>4</v>
      </c>
      <c r="AK950" s="3" t="s">
        <v>2708</v>
      </c>
      <c r="AL950">
        <v>4</v>
      </c>
      <c r="AM950" t="s">
        <v>15</v>
      </c>
    </row>
    <row r="951" spans="1:39" x14ac:dyDescent="0.3">
      <c r="A951" s="51" t="s">
        <v>850</v>
      </c>
      <c r="B951" s="54" t="s">
        <v>851</v>
      </c>
      <c r="C951" s="51" t="s">
        <v>2765</v>
      </c>
      <c r="D951" s="53">
        <v>0</v>
      </c>
      <c r="E951" s="53">
        <v>1</v>
      </c>
      <c r="F951" s="51" t="s">
        <v>2715</v>
      </c>
      <c r="G951" s="51" t="s">
        <v>2695</v>
      </c>
      <c r="H951" s="25" t="str">
        <f t="shared" si="106"/>
        <v>jgd</v>
      </c>
      <c r="I951" t="s">
        <v>72</v>
      </c>
      <c r="J951" t="s">
        <v>848</v>
      </c>
      <c r="K951" t="s">
        <v>16</v>
      </c>
      <c r="L951" s="25">
        <v>46.177372349999999</v>
      </c>
      <c r="M951" s="25">
        <v>8.6429597149999999</v>
      </c>
      <c r="N951">
        <v>3</v>
      </c>
      <c r="O951">
        <v>4</v>
      </c>
      <c r="P951">
        <v>11</v>
      </c>
      <c r="Q951">
        <v>2015</v>
      </c>
      <c r="R951" s="9">
        <v>42312</v>
      </c>
      <c r="S951">
        <v>268</v>
      </c>
      <c r="T951">
        <v>1</v>
      </c>
      <c r="U951">
        <v>0</v>
      </c>
      <c r="V951">
        <v>0</v>
      </c>
      <c r="W951">
        <v>0</v>
      </c>
      <c r="X951">
        <f t="shared" si="112"/>
        <v>-16.174999999999997</v>
      </c>
      <c r="Y951">
        <v>-23.899249999999999</v>
      </c>
      <c r="Z951">
        <v>2.1625607549999999</v>
      </c>
      <c r="AA951" s="3">
        <f t="shared" si="108"/>
        <v>2</v>
      </c>
      <c r="AB951" s="3">
        <f t="shared" si="111"/>
        <v>2</v>
      </c>
      <c r="AD951" s="3" t="s">
        <v>2754</v>
      </c>
      <c r="AE951" s="22">
        <v>-37.159999999999997</v>
      </c>
      <c r="AF951" s="22">
        <f t="shared" si="109"/>
        <v>-37.159999999999997</v>
      </c>
      <c r="AG951" s="1">
        <v>-59.1</v>
      </c>
      <c r="AH951" s="2" t="s">
        <v>16</v>
      </c>
      <c r="AI951"/>
      <c r="AJ951" s="3">
        <f t="shared" si="110"/>
        <v>4</v>
      </c>
      <c r="AK951" s="3" t="s">
        <v>2708</v>
      </c>
      <c r="AL951">
        <v>4</v>
      </c>
      <c r="AM951" t="s">
        <v>15</v>
      </c>
    </row>
    <row r="952" spans="1:39" x14ac:dyDescent="0.3">
      <c r="A952" s="51" t="s">
        <v>1042</v>
      </c>
      <c r="B952" s="54" t="s">
        <v>1043</v>
      </c>
      <c r="C952" s="51" t="s">
        <v>2765</v>
      </c>
      <c r="D952" s="53">
        <v>0</v>
      </c>
      <c r="E952" s="53">
        <v>1</v>
      </c>
      <c r="F952" s="51" t="s">
        <v>2715</v>
      </c>
      <c r="G952" s="51" t="s">
        <v>2695</v>
      </c>
      <c r="H952" s="25" t="str">
        <f t="shared" si="106"/>
        <v>jgd</v>
      </c>
      <c r="I952" t="s">
        <v>72</v>
      </c>
      <c r="J952" t="s">
        <v>708</v>
      </c>
      <c r="K952" t="s">
        <v>1044</v>
      </c>
      <c r="L952" s="25">
        <v>46.522638579999999</v>
      </c>
      <c r="M952" s="25">
        <v>8.5907214239999998</v>
      </c>
      <c r="N952">
        <v>6</v>
      </c>
      <c r="O952">
        <v>27</v>
      </c>
      <c r="P952">
        <v>10</v>
      </c>
      <c r="Q952">
        <v>2015</v>
      </c>
      <c r="R952" s="9">
        <v>42304</v>
      </c>
      <c r="S952">
        <v>340</v>
      </c>
      <c r="T952">
        <v>1</v>
      </c>
      <c r="U952">
        <v>0</v>
      </c>
      <c r="V952">
        <v>0</v>
      </c>
      <c r="W952">
        <v>0</v>
      </c>
      <c r="X952">
        <f t="shared" si="112"/>
        <v>-15.612500000000004</v>
      </c>
      <c r="Y952">
        <v>-23.314399999999999</v>
      </c>
      <c r="Z952">
        <v>6.3810811520000001</v>
      </c>
      <c r="AA952" s="3">
        <f t="shared" si="108"/>
        <v>2</v>
      </c>
      <c r="AB952" s="3">
        <f t="shared" si="111"/>
        <v>6</v>
      </c>
      <c r="AD952" s="3" t="s">
        <v>2754</v>
      </c>
      <c r="AE952" s="22">
        <v>-36.71</v>
      </c>
      <c r="AF952" s="22">
        <f t="shared" si="109"/>
        <v>-36.71</v>
      </c>
      <c r="AG952" s="1">
        <v>-58.6</v>
      </c>
      <c r="AH952" s="2" t="s">
        <v>16</v>
      </c>
      <c r="AI952"/>
      <c r="AJ952" s="3">
        <f t="shared" si="110"/>
        <v>4</v>
      </c>
      <c r="AK952" s="3" t="s">
        <v>2708</v>
      </c>
      <c r="AL952">
        <v>4</v>
      </c>
      <c r="AM952" t="s">
        <v>15</v>
      </c>
    </row>
    <row r="953" spans="1:39" x14ac:dyDescent="0.3">
      <c r="A953" s="51" t="s">
        <v>944</v>
      </c>
      <c r="B953" s="54" t="s">
        <v>945</v>
      </c>
      <c r="C953" s="51" t="s">
        <v>2765</v>
      </c>
      <c r="D953" s="53">
        <v>0</v>
      </c>
      <c r="E953" s="53">
        <v>1</v>
      </c>
      <c r="F953" s="51" t="s">
        <v>2715</v>
      </c>
      <c r="G953" s="51" t="s">
        <v>2695</v>
      </c>
      <c r="H953" s="25" t="str">
        <f t="shared" si="106"/>
        <v>jgd</v>
      </c>
      <c r="I953" t="s">
        <v>72</v>
      </c>
      <c r="J953" t="s">
        <v>931</v>
      </c>
      <c r="K953" t="s">
        <v>935</v>
      </c>
      <c r="L953" s="25">
        <v>46.049987739999999</v>
      </c>
      <c r="M953" s="25">
        <v>8.8772168439999994</v>
      </c>
      <c r="N953">
        <v>5</v>
      </c>
      <c r="O953">
        <v>1</v>
      </c>
      <c r="P953">
        <v>11</v>
      </c>
      <c r="Q953">
        <v>2015</v>
      </c>
      <c r="R953" s="9">
        <v>42309</v>
      </c>
      <c r="S953">
        <v>310</v>
      </c>
      <c r="T953">
        <v>1</v>
      </c>
      <c r="U953">
        <v>0</v>
      </c>
      <c r="V953">
        <v>0</v>
      </c>
      <c r="W953">
        <v>0</v>
      </c>
      <c r="X953">
        <f t="shared" si="112"/>
        <v>-12.487500000000004</v>
      </c>
      <c r="Y953">
        <v>-25.308199999999999</v>
      </c>
      <c r="Z953">
        <v>10.207648839999999</v>
      </c>
      <c r="AA953" s="3">
        <f t="shared" si="108"/>
        <v>1</v>
      </c>
      <c r="AB953" s="3">
        <f t="shared" si="111"/>
        <v>10</v>
      </c>
      <c r="AD953" s="3" t="s">
        <v>2754</v>
      </c>
      <c r="AE953" s="22">
        <v>-34.21</v>
      </c>
      <c r="AF953" s="22">
        <f t="shared" si="109"/>
        <v>-34.21</v>
      </c>
      <c r="AG953" s="1">
        <v>-56.1</v>
      </c>
      <c r="AH953" s="2" t="s">
        <v>16</v>
      </c>
      <c r="AI953"/>
      <c r="AJ953" s="3">
        <f t="shared" si="110"/>
        <v>3</v>
      </c>
      <c r="AK953" s="3" t="s">
        <v>2708</v>
      </c>
      <c r="AL953">
        <v>3</v>
      </c>
      <c r="AM953" t="s">
        <v>15</v>
      </c>
    </row>
    <row r="954" spans="1:39" hidden="1" x14ac:dyDescent="0.3">
      <c r="A954" s="51" t="s">
        <v>507</v>
      </c>
      <c r="B954" s="54" t="s">
        <v>508</v>
      </c>
      <c r="C954" s="51" t="s">
        <v>2765</v>
      </c>
      <c r="D954" s="53">
        <v>0</v>
      </c>
      <c r="E954" s="53">
        <v>1</v>
      </c>
      <c r="F954" s="51" t="s">
        <v>2715</v>
      </c>
      <c r="G954" s="51" t="s">
        <v>2695</v>
      </c>
      <c r="H954" s="25" t="s">
        <v>2761</v>
      </c>
      <c r="I954" t="s">
        <v>385</v>
      </c>
      <c r="J954" t="s">
        <v>509</v>
      </c>
      <c r="K954" t="s">
        <v>510</v>
      </c>
      <c r="L954" s="25">
        <v>46.459439230000001</v>
      </c>
      <c r="M954" s="25">
        <v>6.1173527969999997</v>
      </c>
      <c r="N954">
        <v>4</v>
      </c>
      <c r="O954">
        <v>18</v>
      </c>
      <c r="P954">
        <v>11</v>
      </c>
      <c r="Q954">
        <v>2014</v>
      </c>
      <c r="R954" s="9">
        <v>41961</v>
      </c>
      <c r="S954">
        <v>334</v>
      </c>
      <c r="T954">
        <v>1</v>
      </c>
      <c r="U954">
        <v>0</v>
      </c>
      <c r="V954">
        <v>0</v>
      </c>
      <c r="W954">
        <v>0</v>
      </c>
      <c r="X954" t="s">
        <v>16</v>
      </c>
      <c r="Y954">
        <v>-24.782800000000002</v>
      </c>
      <c r="Z954">
        <v>7.0540299370000001</v>
      </c>
      <c r="AB954" s="3">
        <f t="shared" si="111"/>
        <v>7</v>
      </c>
      <c r="AD954" s="3" t="s">
        <v>2750</v>
      </c>
      <c r="AE954" s="4">
        <v>-26.29</v>
      </c>
      <c r="AF954" s="4">
        <f t="shared" si="109"/>
        <v>-26.29</v>
      </c>
      <c r="AG954" s="1">
        <v>-48</v>
      </c>
      <c r="AH954" s="2" t="s">
        <v>16</v>
      </c>
      <c r="AI954"/>
      <c r="AJ954" s="3">
        <f t="shared" si="110"/>
        <v>3</v>
      </c>
      <c r="AK954" s="3" t="s">
        <v>2708</v>
      </c>
      <c r="AL954">
        <v>3</v>
      </c>
      <c r="AM954" t="s">
        <v>15</v>
      </c>
    </row>
    <row r="955" spans="1:39" hidden="1" x14ac:dyDescent="0.3">
      <c r="A955" s="51" t="s">
        <v>2446</v>
      </c>
      <c r="B955" s="54" t="s">
        <v>1065</v>
      </c>
      <c r="C955" s="51" t="s">
        <v>2765</v>
      </c>
      <c r="D955" s="53">
        <v>0</v>
      </c>
      <c r="E955" s="53">
        <v>1</v>
      </c>
      <c r="F955" s="51" t="s">
        <v>2715</v>
      </c>
      <c r="G955" s="51" t="s">
        <v>2695</v>
      </c>
      <c r="H955" s="25" t="str">
        <f>IF(T955=1,"jgd",IF(W955=1,"Captures automne","Captures printemps-été"))</f>
        <v>jgd</v>
      </c>
      <c r="I955" t="s">
        <v>13</v>
      </c>
      <c r="J955" t="s">
        <v>2440</v>
      </c>
      <c r="K955" t="s">
        <v>56</v>
      </c>
      <c r="L955" s="25">
        <v>46.94029905</v>
      </c>
      <c r="M955" s="25">
        <v>6.548131948</v>
      </c>
      <c r="N955">
        <v>6</v>
      </c>
      <c r="O955">
        <v>10</v>
      </c>
      <c r="P955">
        <v>11</v>
      </c>
      <c r="Q955">
        <v>2017</v>
      </c>
      <c r="R955" s="9">
        <v>43049</v>
      </c>
      <c r="S955">
        <v>336</v>
      </c>
      <c r="T955">
        <v>1</v>
      </c>
      <c r="U955">
        <v>0</v>
      </c>
      <c r="V955">
        <v>0</v>
      </c>
      <c r="W955">
        <v>0</v>
      </c>
      <c r="X955" s="57" t="s">
        <v>16</v>
      </c>
      <c r="Y955" t="s">
        <v>16</v>
      </c>
      <c r="Z955">
        <v>1.172703692</v>
      </c>
      <c r="AB955" s="3">
        <f t="shared" si="111"/>
        <v>1</v>
      </c>
      <c r="AD955" s="3" t="s">
        <v>2750</v>
      </c>
      <c r="AE955" s="4">
        <v>-29.754914599999999</v>
      </c>
      <c r="AF955" s="4">
        <f t="shared" si="109"/>
        <v>-29.754914599999999</v>
      </c>
      <c r="AG955" s="60" t="s">
        <v>16</v>
      </c>
      <c r="AH955" s="61" t="s">
        <v>16</v>
      </c>
      <c r="AJ955" s="3">
        <f t="shared" si="110"/>
        <v>3</v>
      </c>
      <c r="AK955" s="3" t="s">
        <v>2708</v>
      </c>
      <c r="AL955">
        <v>3</v>
      </c>
      <c r="AM955" t="s">
        <v>15</v>
      </c>
    </row>
    <row r="956" spans="1:39" hidden="1" x14ac:dyDescent="0.3">
      <c r="A956" s="51" t="s">
        <v>274</v>
      </c>
      <c r="B956" s="54" t="s">
        <v>275</v>
      </c>
      <c r="C956" s="51" t="s">
        <v>2765</v>
      </c>
      <c r="D956" s="53">
        <v>0</v>
      </c>
      <c r="E956" s="53">
        <v>1</v>
      </c>
      <c r="F956" s="51" t="s">
        <v>2715</v>
      </c>
      <c r="G956" s="51" t="s">
        <v>2695</v>
      </c>
      <c r="H956" s="25" t="str">
        <f>IF(T956=1,"jgd",IF(W956=1,"Captures automne","Captures printemps-été"))</f>
        <v>jgd</v>
      </c>
      <c r="I956" t="s">
        <v>13</v>
      </c>
      <c r="J956" t="s">
        <v>29</v>
      </c>
      <c r="K956" t="s">
        <v>276</v>
      </c>
      <c r="L956" s="25">
        <v>47.024089529999998</v>
      </c>
      <c r="M956" s="25">
        <v>6.7531374890000002</v>
      </c>
      <c r="N956">
        <v>5</v>
      </c>
      <c r="O956">
        <v>24</v>
      </c>
      <c r="P956">
        <v>10</v>
      </c>
      <c r="Q956">
        <v>2013</v>
      </c>
      <c r="R956" s="9">
        <v>41571</v>
      </c>
      <c r="S956">
        <v>335</v>
      </c>
      <c r="T956">
        <v>1</v>
      </c>
      <c r="U956">
        <v>0</v>
      </c>
      <c r="V956">
        <v>0</v>
      </c>
      <c r="W956">
        <v>0</v>
      </c>
      <c r="X956" t="s">
        <v>16</v>
      </c>
      <c r="Y956">
        <v>-37.013562630000003</v>
      </c>
      <c r="Z956">
        <v>3.3866399129999998</v>
      </c>
      <c r="AB956" s="3">
        <f t="shared" si="111"/>
        <v>3</v>
      </c>
      <c r="AD956" s="3" t="s">
        <v>2750</v>
      </c>
      <c r="AE956" s="4">
        <v>-22.13</v>
      </c>
      <c r="AF956" s="4">
        <f t="shared" si="109"/>
        <v>-22.13</v>
      </c>
      <c r="AG956" s="1">
        <v>-43.7</v>
      </c>
      <c r="AH956" s="2" t="s">
        <v>16</v>
      </c>
      <c r="AI956"/>
      <c r="AJ956" s="3">
        <f t="shared" si="110"/>
        <v>2</v>
      </c>
      <c r="AK956" s="3" t="s">
        <v>2708</v>
      </c>
      <c r="AL956">
        <v>2</v>
      </c>
      <c r="AM956" t="s">
        <v>15</v>
      </c>
    </row>
    <row r="957" spans="1:39" x14ac:dyDescent="0.3">
      <c r="A957" s="51" t="s">
        <v>1668</v>
      </c>
      <c r="B957" s="54" t="s">
        <v>1669</v>
      </c>
      <c r="C957" s="51" t="s">
        <v>2765</v>
      </c>
      <c r="D957" s="53">
        <v>0</v>
      </c>
      <c r="E957" s="53">
        <v>1</v>
      </c>
      <c r="F957" s="51" t="s">
        <v>2715</v>
      </c>
      <c r="G957" s="51" t="s">
        <v>2695</v>
      </c>
      <c r="H957" s="25" t="str">
        <f>IF(T957=1,"jgd",IF(W957=1,"Captures automne","Captures printemps-été"))</f>
        <v>jgd</v>
      </c>
      <c r="I957" t="s">
        <v>72</v>
      </c>
      <c r="J957" t="s">
        <v>1670</v>
      </c>
      <c r="K957" t="s">
        <v>16</v>
      </c>
      <c r="L957" s="25">
        <v>46.002282049999998</v>
      </c>
      <c r="M957" s="25">
        <v>8.8633874949999996</v>
      </c>
      <c r="N957">
        <v>2</v>
      </c>
      <c r="O957">
        <v>26</v>
      </c>
      <c r="P957">
        <v>11</v>
      </c>
      <c r="Q957">
        <v>2016</v>
      </c>
      <c r="R957" s="9">
        <v>42700</v>
      </c>
      <c r="S957" t="s">
        <v>1666</v>
      </c>
      <c r="T957">
        <v>1</v>
      </c>
      <c r="U957">
        <v>0</v>
      </c>
      <c r="V957">
        <v>0</v>
      </c>
      <c r="W957">
        <v>0</v>
      </c>
      <c r="X957" s="57" t="s">
        <v>16</v>
      </c>
      <c r="Y957">
        <v>-22.53</v>
      </c>
      <c r="Z957">
        <v>5.22</v>
      </c>
      <c r="AB957" s="3">
        <f t="shared" si="111"/>
        <v>5</v>
      </c>
      <c r="AD957" s="3" t="s">
        <v>2754</v>
      </c>
      <c r="AE957" s="4">
        <v>-26.438172999999999</v>
      </c>
      <c r="AF957" s="4">
        <f t="shared" si="109"/>
        <v>-26.438172999999999</v>
      </c>
      <c r="AG957" s="60" t="s">
        <v>16</v>
      </c>
      <c r="AH957" s="61" t="s">
        <v>16</v>
      </c>
      <c r="AJ957" s="3">
        <f t="shared" si="110"/>
        <v>3</v>
      </c>
      <c r="AK957" s="3" t="s">
        <v>2708</v>
      </c>
      <c r="AL957">
        <v>3</v>
      </c>
      <c r="AM957" t="s">
        <v>15</v>
      </c>
    </row>
    <row r="958" spans="1:39" x14ac:dyDescent="0.3">
      <c r="A958" s="51" t="s">
        <v>1678</v>
      </c>
      <c r="B958" s="54" t="s">
        <v>1679</v>
      </c>
      <c r="C958" s="51" t="s">
        <v>2765</v>
      </c>
      <c r="D958" s="53">
        <v>0</v>
      </c>
      <c r="E958" s="53">
        <v>1</v>
      </c>
      <c r="F958" s="51" t="s">
        <v>2715</v>
      </c>
      <c r="G958" s="51" t="s">
        <v>2695</v>
      </c>
      <c r="H958" s="25" t="str">
        <f>IF(T958=1,"jgd",IF(W958=1,"Captures automne","Captures printemps-été"))</f>
        <v>jgd</v>
      </c>
      <c r="I958" t="s">
        <v>72</v>
      </c>
      <c r="J958" t="s">
        <v>931</v>
      </c>
      <c r="K958" t="s">
        <v>16</v>
      </c>
      <c r="L958" s="25">
        <v>46.057766989999998</v>
      </c>
      <c r="M958" s="25">
        <v>8.8711021859999999</v>
      </c>
      <c r="N958">
        <v>5</v>
      </c>
      <c r="O958">
        <v>29</v>
      </c>
      <c r="P958">
        <v>10</v>
      </c>
      <c r="Q958">
        <v>2016</v>
      </c>
      <c r="R958" s="9">
        <v>42672</v>
      </c>
      <c r="S958">
        <v>330</v>
      </c>
      <c r="T958">
        <v>1</v>
      </c>
      <c r="U958">
        <v>0</v>
      </c>
      <c r="V958">
        <v>0</v>
      </c>
      <c r="W958">
        <v>0</v>
      </c>
      <c r="X958" s="57" t="s">
        <v>16</v>
      </c>
      <c r="Y958">
        <v>-23.35</v>
      </c>
      <c r="Z958">
        <v>6.8</v>
      </c>
      <c r="AB958" s="3">
        <f t="shared" si="111"/>
        <v>7</v>
      </c>
      <c r="AD958" s="3" t="s">
        <v>2754</v>
      </c>
      <c r="AE958" s="4">
        <v>-29.3431894</v>
      </c>
      <c r="AF958" s="4">
        <f t="shared" si="109"/>
        <v>-29.3431894</v>
      </c>
      <c r="AG958" s="60" t="s">
        <v>16</v>
      </c>
      <c r="AH958" s="61" t="s">
        <v>16</v>
      </c>
      <c r="AJ958" s="3">
        <f t="shared" si="110"/>
        <v>3</v>
      </c>
      <c r="AK958" s="3" t="s">
        <v>2708</v>
      </c>
      <c r="AL958">
        <v>3</v>
      </c>
      <c r="AM958" t="s">
        <v>15</v>
      </c>
    </row>
    <row r="959" spans="1:39" hidden="1" x14ac:dyDescent="0.3">
      <c r="A959" s="51" t="s">
        <v>1020</v>
      </c>
      <c r="B959" s="54" t="s">
        <v>1021</v>
      </c>
      <c r="C959" s="51" t="s">
        <v>2765</v>
      </c>
      <c r="D959" s="53">
        <v>0</v>
      </c>
      <c r="E959" s="53">
        <v>1</v>
      </c>
      <c r="F959" s="51" t="s">
        <v>2715</v>
      </c>
      <c r="G959" s="51" t="s">
        <v>2696</v>
      </c>
      <c r="H959" s="25" t="s">
        <v>2763</v>
      </c>
      <c r="I959" t="s">
        <v>13</v>
      </c>
      <c r="J959" t="s">
        <v>209</v>
      </c>
      <c r="K959" t="s">
        <v>1017</v>
      </c>
      <c r="L959" s="25">
        <v>46.939315999999998</v>
      </c>
      <c r="M959" s="25">
        <v>6.7455800000000004</v>
      </c>
      <c r="N959">
        <v>6</v>
      </c>
      <c r="O959">
        <v>20</v>
      </c>
      <c r="P959">
        <v>6</v>
      </c>
      <c r="Q959">
        <v>2015</v>
      </c>
      <c r="R959" s="9">
        <v>42175</v>
      </c>
      <c r="S959">
        <v>120</v>
      </c>
      <c r="T959">
        <v>0</v>
      </c>
      <c r="U959">
        <v>0</v>
      </c>
      <c r="V959">
        <v>1</v>
      </c>
      <c r="W959">
        <v>0</v>
      </c>
      <c r="X959">
        <f>1.25*AI959+30.275</f>
        <v>-74.114874999999984</v>
      </c>
      <c r="Y959">
        <v>-22.34277419</v>
      </c>
      <c r="Z959">
        <v>0.176476419</v>
      </c>
      <c r="AA959" s="3">
        <f t="shared" ref="AA959:AA968" si="113">-ROUNDDOWN(X959/10,0)</f>
        <v>7</v>
      </c>
      <c r="AB959" s="3">
        <f t="shared" si="111"/>
        <v>0</v>
      </c>
      <c r="AD959" s="3" t="s">
        <v>2750</v>
      </c>
      <c r="AE959" s="4">
        <v>-75.09</v>
      </c>
      <c r="AF959" s="4">
        <f t="shared" si="109"/>
        <v>-83.511899999999997</v>
      </c>
      <c r="AG959" s="1">
        <v>-97.8</v>
      </c>
      <c r="AH959" s="2" t="s">
        <v>16</v>
      </c>
      <c r="AI959">
        <f>(-15.18) + 0.91*AE959</f>
        <v>-83.511899999999997</v>
      </c>
      <c r="AJ959" s="3">
        <f t="shared" si="110"/>
        <v>8</v>
      </c>
      <c r="AK959" s="3" t="s">
        <v>2710</v>
      </c>
      <c r="AL959">
        <v>8</v>
      </c>
      <c r="AM959" t="s">
        <v>2683</v>
      </c>
    </row>
    <row r="960" spans="1:39" hidden="1" x14ac:dyDescent="0.3">
      <c r="A960" s="51" t="s">
        <v>1024</v>
      </c>
      <c r="B960" s="54" t="s">
        <v>1025</v>
      </c>
      <c r="C960" s="51" t="s">
        <v>2765</v>
      </c>
      <c r="D960" s="53">
        <v>0</v>
      </c>
      <c r="E960" s="53">
        <v>1</v>
      </c>
      <c r="F960" s="51" t="s">
        <v>2715</v>
      </c>
      <c r="G960" s="51" t="s">
        <v>2696</v>
      </c>
      <c r="H960" s="25" t="s">
        <v>2763</v>
      </c>
      <c r="I960" t="s">
        <v>13</v>
      </c>
      <c r="J960" t="s">
        <v>209</v>
      </c>
      <c r="K960" t="s">
        <v>1017</v>
      </c>
      <c r="L960" s="25">
        <v>46.939315999999998</v>
      </c>
      <c r="M960" s="25">
        <v>6.7455800000000004</v>
      </c>
      <c r="N960">
        <v>6</v>
      </c>
      <c r="O960">
        <v>20</v>
      </c>
      <c r="P960">
        <v>6</v>
      </c>
      <c r="Q960">
        <v>2015</v>
      </c>
      <c r="R960" s="9">
        <v>42175</v>
      </c>
      <c r="S960">
        <v>122</v>
      </c>
      <c r="T960">
        <v>0</v>
      </c>
      <c r="U960">
        <v>0</v>
      </c>
      <c r="V960">
        <v>1</v>
      </c>
      <c r="W960">
        <v>0</v>
      </c>
      <c r="X960">
        <f>1.25*AI960+30.275</f>
        <v>-69.633125000000007</v>
      </c>
      <c r="Y960">
        <v>-22.324580650000001</v>
      </c>
      <c r="Z960">
        <v>0.51143717899999996</v>
      </c>
      <c r="AA960" s="3">
        <f t="shared" si="113"/>
        <v>6</v>
      </c>
      <c r="AB960" s="3">
        <f t="shared" si="111"/>
        <v>1</v>
      </c>
      <c r="AD960" s="3" t="s">
        <v>2750</v>
      </c>
      <c r="AE960" s="4">
        <v>-71.150000000000006</v>
      </c>
      <c r="AF960" s="4">
        <f t="shared" si="109"/>
        <v>-79.926500000000004</v>
      </c>
      <c r="AG960" s="1">
        <v>-93.8</v>
      </c>
      <c r="AH960" s="2" t="s">
        <v>16</v>
      </c>
      <c r="AI960">
        <f t="shared" ref="AI960:AI968" si="114">(-15.18) + 0.91*AE960</f>
        <v>-79.926500000000004</v>
      </c>
      <c r="AJ960" s="3">
        <f t="shared" si="110"/>
        <v>8</v>
      </c>
      <c r="AK960" s="3" t="s">
        <v>2710</v>
      </c>
      <c r="AL960">
        <v>7</v>
      </c>
      <c r="AM960" t="s">
        <v>2683</v>
      </c>
    </row>
    <row r="961" spans="1:39" hidden="1" x14ac:dyDescent="0.3">
      <c r="A961" s="51" t="s">
        <v>1015</v>
      </c>
      <c r="B961" s="54" t="s">
        <v>1016</v>
      </c>
      <c r="C961" s="51" t="s">
        <v>2765</v>
      </c>
      <c r="D961" s="53">
        <v>0</v>
      </c>
      <c r="E961" s="53">
        <v>1</v>
      </c>
      <c r="F961" s="51" t="s">
        <v>2715</v>
      </c>
      <c r="G961" s="51" t="s">
        <v>2696</v>
      </c>
      <c r="H961" s="25" t="s">
        <v>2763</v>
      </c>
      <c r="I961" t="s">
        <v>13</v>
      </c>
      <c r="J961" t="s">
        <v>209</v>
      </c>
      <c r="K961" t="s">
        <v>1017</v>
      </c>
      <c r="L961" s="25">
        <v>46.939315999999998</v>
      </c>
      <c r="M961" s="25">
        <v>6.7455800000000004</v>
      </c>
      <c r="N961">
        <v>6</v>
      </c>
      <c r="O961">
        <v>19</v>
      </c>
      <c r="P961">
        <v>6</v>
      </c>
      <c r="Q961">
        <v>2015</v>
      </c>
      <c r="R961" s="9">
        <v>42174</v>
      </c>
      <c r="S961">
        <v>255</v>
      </c>
      <c r="T961">
        <v>0</v>
      </c>
      <c r="U961">
        <v>0</v>
      </c>
      <c r="V961">
        <v>1</v>
      </c>
      <c r="W961">
        <v>0</v>
      </c>
      <c r="X961">
        <f>1.25*AF961+30.275</f>
        <v>-63.888749999999995</v>
      </c>
      <c r="Y961">
        <v>-22.199451610000001</v>
      </c>
      <c r="Z961">
        <v>1.854481058</v>
      </c>
      <c r="AA961" s="3">
        <f t="shared" si="113"/>
        <v>6</v>
      </c>
      <c r="AB961" s="3">
        <f t="shared" si="111"/>
        <v>2</v>
      </c>
      <c r="AD961" s="3" t="s">
        <v>2750</v>
      </c>
      <c r="AE961" s="4">
        <v>-66.099999999999994</v>
      </c>
      <c r="AF961" s="4">
        <f t="shared" si="109"/>
        <v>-75.330999999999989</v>
      </c>
      <c r="AG961" s="1">
        <v>-88.7</v>
      </c>
      <c r="AH961" s="2" t="s">
        <v>16</v>
      </c>
      <c r="AI961">
        <f t="shared" si="114"/>
        <v>-75.330999999999989</v>
      </c>
      <c r="AJ961" s="3">
        <f t="shared" si="110"/>
        <v>8</v>
      </c>
      <c r="AK961" s="3" t="s">
        <v>2710</v>
      </c>
      <c r="AL961">
        <v>7</v>
      </c>
      <c r="AM961" t="s">
        <v>980</v>
      </c>
    </row>
    <row r="962" spans="1:39" hidden="1" x14ac:dyDescent="0.3">
      <c r="A962" s="51" t="s">
        <v>1030</v>
      </c>
      <c r="B962" s="54" t="s">
        <v>1031</v>
      </c>
      <c r="C962" s="51" t="s">
        <v>2765</v>
      </c>
      <c r="D962" s="53">
        <v>0</v>
      </c>
      <c r="E962" s="53">
        <v>1</v>
      </c>
      <c r="F962" s="51" t="s">
        <v>2715</v>
      </c>
      <c r="G962" s="51" t="s">
        <v>2696</v>
      </c>
      <c r="H962" s="25" t="s">
        <v>2763</v>
      </c>
      <c r="I962" t="s">
        <v>13</v>
      </c>
      <c r="J962" t="s">
        <v>209</v>
      </c>
      <c r="K962" t="s">
        <v>1017</v>
      </c>
      <c r="L962" s="25">
        <v>46.939315999999998</v>
      </c>
      <c r="M962" s="25">
        <v>6.7455800000000004</v>
      </c>
      <c r="N962">
        <v>6</v>
      </c>
      <c r="O962">
        <v>27</v>
      </c>
      <c r="P962">
        <v>6</v>
      </c>
      <c r="Q962">
        <v>2015</v>
      </c>
      <c r="R962" s="9">
        <v>42182</v>
      </c>
      <c r="S962">
        <v>277</v>
      </c>
      <c r="T962">
        <v>0</v>
      </c>
      <c r="U962">
        <v>0</v>
      </c>
      <c r="V962">
        <v>1</v>
      </c>
      <c r="W962">
        <v>0</v>
      </c>
      <c r="X962">
        <f>1.25*AF962+30.275</f>
        <v>-62.000500000000009</v>
      </c>
      <c r="Y962">
        <v>-23.20719355</v>
      </c>
      <c r="Z962">
        <v>2.2954539820000002</v>
      </c>
      <c r="AA962" s="3">
        <f t="shared" si="113"/>
        <v>6</v>
      </c>
      <c r="AB962" s="3">
        <f t="shared" si="111"/>
        <v>2</v>
      </c>
      <c r="AD962" s="3" t="s">
        <v>2750</v>
      </c>
      <c r="AE962" s="4">
        <v>-64.44</v>
      </c>
      <c r="AF962" s="4">
        <f t="shared" si="109"/>
        <v>-73.820400000000006</v>
      </c>
      <c r="AG962" s="1">
        <v>-87</v>
      </c>
      <c r="AH962" s="2" t="s">
        <v>16</v>
      </c>
      <c r="AI962">
        <f t="shared" si="114"/>
        <v>-73.820400000000006</v>
      </c>
      <c r="AJ962" s="3">
        <f t="shared" si="110"/>
        <v>7</v>
      </c>
      <c r="AK962" s="3" t="s">
        <v>2710</v>
      </c>
      <c r="AL962">
        <v>6</v>
      </c>
      <c r="AM962" t="s">
        <v>980</v>
      </c>
    </row>
    <row r="963" spans="1:39" hidden="1" x14ac:dyDescent="0.3">
      <c r="A963" s="51" t="s">
        <v>1022</v>
      </c>
      <c r="B963" s="54" t="s">
        <v>1023</v>
      </c>
      <c r="C963" s="51" t="s">
        <v>2765</v>
      </c>
      <c r="D963" s="53">
        <v>0</v>
      </c>
      <c r="E963" s="53">
        <v>1</v>
      </c>
      <c r="F963" s="51" t="s">
        <v>2715</v>
      </c>
      <c r="G963" s="51" t="s">
        <v>2696</v>
      </c>
      <c r="H963" s="25" t="s">
        <v>2763</v>
      </c>
      <c r="I963" t="s">
        <v>13</v>
      </c>
      <c r="J963" t="s">
        <v>209</v>
      </c>
      <c r="K963" t="s">
        <v>1017</v>
      </c>
      <c r="L963" s="25">
        <v>46.939315999999998</v>
      </c>
      <c r="M963" s="25">
        <v>6.7455800000000004</v>
      </c>
      <c r="N963">
        <v>6</v>
      </c>
      <c r="O963">
        <v>20</v>
      </c>
      <c r="P963">
        <v>6</v>
      </c>
      <c r="Q963">
        <v>2015</v>
      </c>
      <c r="R963" s="9">
        <v>42175</v>
      </c>
      <c r="S963">
        <v>127</v>
      </c>
      <c r="T963">
        <v>0</v>
      </c>
      <c r="U963">
        <v>0</v>
      </c>
      <c r="V963">
        <v>1</v>
      </c>
      <c r="W963">
        <v>0</v>
      </c>
      <c r="X963">
        <f>1.25*AI963+30.275</f>
        <v>-61.238374999999998</v>
      </c>
      <c r="Y963">
        <v>-22.852677419999999</v>
      </c>
      <c r="Z963">
        <v>0.38490365300000001</v>
      </c>
      <c r="AA963" s="3">
        <f t="shared" si="113"/>
        <v>6</v>
      </c>
      <c r="AB963" s="3">
        <f t="shared" si="111"/>
        <v>0</v>
      </c>
      <c r="AD963" s="3" t="s">
        <v>2750</v>
      </c>
      <c r="AE963" s="4">
        <v>-63.77</v>
      </c>
      <c r="AF963" s="4">
        <f t="shared" si="109"/>
        <v>-73.210700000000003</v>
      </c>
      <c r="AG963" s="1">
        <v>-86.3</v>
      </c>
      <c r="AH963" s="2" t="s">
        <v>16</v>
      </c>
      <c r="AI963">
        <f t="shared" si="114"/>
        <v>-73.210700000000003</v>
      </c>
      <c r="AJ963" s="3">
        <f t="shared" si="110"/>
        <v>7</v>
      </c>
      <c r="AK963" s="3" t="s">
        <v>2710</v>
      </c>
      <c r="AL963">
        <v>6</v>
      </c>
      <c r="AM963" t="s">
        <v>2683</v>
      </c>
    </row>
    <row r="964" spans="1:39" hidden="1" x14ac:dyDescent="0.3">
      <c r="A964" s="51" t="s">
        <v>1018</v>
      </c>
      <c r="B964" s="54" t="s">
        <v>1019</v>
      </c>
      <c r="C964" s="51" t="s">
        <v>2765</v>
      </c>
      <c r="D964" s="53">
        <v>0</v>
      </c>
      <c r="E964" s="53">
        <v>1</v>
      </c>
      <c r="F964" s="51" t="s">
        <v>2715</v>
      </c>
      <c r="G964" s="51" t="s">
        <v>2696</v>
      </c>
      <c r="H964" s="25" t="s">
        <v>2763</v>
      </c>
      <c r="I964" t="s">
        <v>13</v>
      </c>
      <c r="J964" t="s">
        <v>209</v>
      </c>
      <c r="K964" t="s">
        <v>1017</v>
      </c>
      <c r="L964" s="25">
        <v>46.939315999999998</v>
      </c>
      <c r="M964" s="25">
        <v>6.7455800000000004</v>
      </c>
      <c r="N964">
        <v>6</v>
      </c>
      <c r="O964">
        <v>20</v>
      </c>
      <c r="P964">
        <v>6</v>
      </c>
      <c r="Q964">
        <v>2015</v>
      </c>
      <c r="R964" s="9">
        <v>42175</v>
      </c>
      <c r="S964">
        <v>140</v>
      </c>
      <c r="T964">
        <v>0</v>
      </c>
      <c r="U964">
        <v>0</v>
      </c>
      <c r="V964">
        <v>1</v>
      </c>
      <c r="W964">
        <v>0</v>
      </c>
      <c r="X964">
        <f>1.25*AI964+30.275</f>
        <v>-55.562250000000013</v>
      </c>
      <c r="Y964">
        <v>-22.229354839999999</v>
      </c>
      <c r="Z964">
        <v>0.33502243999999998</v>
      </c>
      <c r="AA964" s="3">
        <f t="shared" si="113"/>
        <v>5</v>
      </c>
      <c r="AB964" s="3">
        <f t="shared" si="111"/>
        <v>0</v>
      </c>
      <c r="AD964" s="3" t="s">
        <v>2750</v>
      </c>
      <c r="AE964" s="4">
        <v>-58.78</v>
      </c>
      <c r="AF964" s="4">
        <f t="shared" si="109"/>
        <v>-68.669800000000009</v>
      </c>
      <c r="AG964" s="1">
        <v>-81.2</v>
      </c>
      <c r="AH964" s="2" t="s">
        <v>16</v>
      </c>
      <c r="AI964">
        <f t="shared" si="114"/>
        <v>-68.669800000000009</v>
      </c>
      <c r="AJ964" s="3">
        <f t="shared" si="110"/>
        <v>7</v>
      </c>
      <c r="AK964" s="3" t="s">
        <v>2710</v>
      </c>
      <c r="AL964">
        <v>6</v>
      </c>
      <c r="AM964" t="s">
        <v>2683</v>
      </c>
    </row>
    <row r="965" spans="1:39" hidden="1" x14ac:dyDescent="0.3">
      <c r="A965" s="51" t="s">
        <v>2630</v>
      </c>
      <c r="B965" s="54" t="s">
        <v>2600</v>
      </c>
      <c r="C965" s="51" t="s">
        <v>2765</v>
      </c>
      <c r="D965" s="53">
        <v>0</v>
      </c>
      <c r="E965" s="53">
        <v>1</v>
      </c>
      <c r="F965" s="51" t="s">
        <v>2715</v>
      </c>
      <c r="G965" s="51" t="s">
        <v>2696</v>
      </c>
      <c r="H965" s="25" t="s">
        <v>2763</v>
      </c>
      <c r="I965" t="s">
        <v>13</v>
      </c>
      <c r="J965" t="s">
        <v>1732</v>
      </c>
      <c r="K965" t="s">
        <v>1733</v>
      </c>
      <c r="L965" s="55">
        <v>46.989126734801346</v>
      </c>
      <c r="M965" s="55">
        <v>6.6765617046630359</v>
      </c>
      <c r="N965">
        <v>6</v>
      </c>
      <c r="O965">
        <v>7</v>
      </c>
      <c r="P965">
        <v>7</v>
      </c>
      <c r="Q965">
        <v>2018</v>
      </c>
      <c r="R965" s="9">
        <v>43288</v>
      </c>
      <c r="S965" t="s">
        <v>16</v>
      </c>
      <c r="T965">
        <v>0</v>
      </c>
      <c r="U965">
        <v>0</v>
      </c>
      <c r="V965">
        <v>1</v>
      </c>
      <c r="W965">
        <v>0</v>
      </c>
      <c r="X965" s="57">
        <f>1.25*AF965+30.275</f>
        <v>-52.512242243750002</v>
      </c>
      <c r="Y965">
        <v>-22.799428571428574</v>
      </c>
      <c r="Z965">
        <v>1.1908353991891509</v>
      </c>
      <c r="AA965" s="3">
        <f t="shared" si="113"/>
        <v>5</v>
      </c>
      <c r="AB965" s="3">
        <f t="shared" si="111"/>
        <v>1</v>
      </c>
      <c r="AD965" s="3" t="s">
        <v>2750</v>
      </c>
      <c r="AE965" s="4">
        <v>-56.098674500000001</v>
      </c>
      <c r="AF965" s="4">
        <f t="shared" si="109"/>
        <v>-66.229793795000006</v>
      </c>
      <c r="AG965" s="60" t="s">
        <v>16</v>
      </c>
      <c r="AH965" s="61" t="s">
        <v>16</v>
      </c>
      <c r="AI965" s="57">
        <f t="shared" si="114"/>
        <v>-66.229793795000006</v>
      </c>
      <c r="AJ965" s="3">
        <f>-ROUNDDOWN(AF965/10,0)</f>
        <v>6</v>
      </c>
      <c r="AK965" s="3" t="s">
        <v>2710</v>
      </c>
      <c r="AM965" t="s">
        <v>980</v>
      </c>
    </row>
    <row r="966" spans="1:39" hidden="1" x14ac:dyDescent="0.3">
      <c r="A966" s="51" t="s">
        <v>1009</v>
      </c>
      <c r="B966" s="54" t="s">
        <v>1010</v>
      </c>
      <c r="C966" s="51" t="s">
        <v>2765</v>
      </c>
      <c r="D966" s="53">
        <v>0</v>
      </c>
      <c r="E966" s="53">
        <v>1</v>
      </c>
      <c r="F966" s="51" t="s">
        <v>2715</v>
      </c>
      <c r="G966" s="51" t="s">
        <v>2696</v>
      </c>
      <c r="H966" s="25" t="s">
        <v>2763</v>
      </c>
      <c r="I966" t="s">
        <v>13</v>
      </c>
      <c r="J966" t="s">
        <v>209</v>
      </c>
      <c r="K966" t="s">
        <v>1011</v>
      </c>
      <c r="L966" s="25">
        <v>46.935204280000001</v>
      </c>
      <c r="M966" s="25">
        <v>6.751513095</v>
      </c>
      <c r="N966">
        <v>6</v>
      </c>
      <c r="O966">
        <v>13</v>
      </c>
      <c r="P966">
        <v>6</v>
      </c>
      <c r="Q966">
        <v>2015</v>
      </c>
      <c r="R966" s="9">
        <v>42168</v>
      </c>
      <c r="S966">
        <v>260</v>
      </c>
      <c r="T966">
        <v>0</v>
      </c>
      <c r="U966">
        <v>0</v>
      </c>
      <c r="V966">
        <v>1</v>
      </c>
      <c r="W966">
        <v>0</v>
      </c>
      <c r="X966">
        <f>1.25*AF966+30.275</f>
        <v>-52.218000000000025</v>
      </c>
      <c r="Y966">
        <v>-22.181645159999999</v>
      </c>
      <c r="Z966">
        <v>1.827059424</v>
      </c>
      <c r="AA966" s="3">
        <f t="shared" si="113"/>
        <v>5</v>
      </c>
      <c r="AB966" s="3">
        <f t="shared" si="111"/>
        <v>2</v>
      </c>
      <c r="AD966" s="3" t="s">
        <v>2750</v>
      </c>
      <c r="AE966" s="4">
        <v>-55.84</v>
      </c>
      <c r="AF966" s="4">
        <f t="shared" si="109"/>
        <v>-65.994400000000013</v>
      </c>
      <c r="AG966" s="1">
        <v>-78.2</v>
      </c>
      <c r="AH966" s="2" t="s">
        <v>16</v>
      </c>
      <c r="AI966">
        <f t="shared" si="114"/>
        <v>-65.994400000000013</v>
      </c>
      <c r="AJ966" s="3">
        <f>-ROUND(AF966/10,0)</f>
        <v>7</v>
      </c>
      <c r="AK966" s="3" t="s">
        <v>2710</v>
      </c>
      <c r="AL966">
        <v>6</v>
      </c>
      <c r="AM966" t="s">
        <v>980</v>
      </c>
    </row>
    <row r="967" spans="1:39" hidden="1" x14ac:dyDescent="0.3">
      <c r="A967" s="51" t="s">
        <v>1032</v>
      </c>
      <c r="B967" s="54" t="s">
        <v>1033</v>
      </c>
      <c r="C967" s="51" t="s">
        <v>2765</v>
      </c>
      <c r="D967" s="53">
        <v>0</v>
      </c>
      <c r="E967" s="53">
        <v>1</v>
      </c>
      <c r="F967" s="51" t="s">
        <v>2715</v>
      </c>
      <c r="G967" s="51" t="s">
        <v>2696</v>
      </c>
      <c r="H967" s="25" t="s">
        <v>2763</v>
      </c>
      <c r="I967" t="s">
        <v>13</v>
      </c>
      <c r="J967" t="s">
        <v>209</v>
      </c>
      <c r="K967" t="s">
        <v>1011</v>
      </c>
      <c r="L967" s="25">
        <v>46.932186309999999</v>
      </c>
      <c r="M967" s="25">
        <v>6.7567913199999996</v>
      </c>
      <c r="N967">
        <v>6</v>
      </c>
      <c r="O967">
        <v>13</v>
      </c>
      <c r="P967">
        <v>8</v>
      </c>
      <c r="Q967">
        <v>2015</v>
      </c>
      <c r="R967" s="9">
        <v>42229</v>
      </c>
      <c r="S967">
        <v>320</v>
      </c>
      <c r="T967">
        <v>0</v>
      </c>
      <c r="U967">
        <v>0</v>
      </c>
      <c r="V967">
        <v>1</v>
      </c>
      <c r="W967">
        <v>0</v>
      </c>
      <c r="X967">
        <f>1.25*AF967+30.275</f>
        <v>-50.932625000000009</v>
      </c>
      <c r="Y967">
        <v>-23.07229032</v>
      </c>
      <c r="Z967">
        <v>1.4804567340000001</v>
      </c>
      <c r="AA967" s="3">
        <f t="shared" si="113"/>
        <v>5</v>
      </c>
      <c r="AB967" s="3">
        <f t="shared" si="111"/>
        <v>1</v>
      </c>
      <c r="AD967" s="3" t="s">
        <v>2750</v>
      </c>
      <c r="AE967" s="4">
        <v>-54.71</v>
      </c>
      <c r="AF967" s="4">
        <f t="shared" si="109"/>
        <v>-64.966100000000012</v>
      </c>
      <c r="AG967" s="1">
        <v>-77</v>
      </c>
      <c r="AH967" s="2" t="s">
        <v>16</v>
      </c>
      <c r="AI967">
        <f t="shared" si="114"/>
        <v>-64.966100000000012</v>
      </c>
      <c r="AJ967" s="3">
        <f>-ROUND(AF967/10,0)</f>
        <v>6</v>
      </c>
      <c r="AK967" s="3" t="s">
        <v>2710</v>
      </c>
      <c r="AL967">
        <v>5</v>
      </c>
      <c r="AM967" t="s">
        <v>980</v>
      </c>
    </row>
    <row r="968" spans="1:39" hidden="1" x14ac:dyDescent="0.3">
      <c r="A968" s="51" t="s">
        <v>2631</v>
      </c>
      <c r="B968" s="54" t="s">
        <v>2601</v>
      </c>
      <c r="C968" s="51" t="s">
        <v>2765</v>
      </c>
      <c r="D968" s="53">
        <v>0</v>
      </c>
      <c r="E968" s="53">
        <v>1</v>
      </c>
      <c r="F968" s="51" t="s">
        <v>2715</v>
      </c>
      <c r="G968" s="51" t="s">
        <v>2696</v>
      </c>
      <c r="H968" s="25" t="s">
        <v>2763</v>
      </c>
      <c r="I968" t="s">
        <v>13</v>
      </c>
      <c r="J968" t="s">
        <v>1732</v>
      </c>
      <c r="K968" t="s">
        <v>1733</v>
      </c>
      <c r="L968" s="55">
        <v>46.988923520627239</v>
      </c>
      <c r="M968" s="55">
        <v>6.6757626852027796</v>
      </c>
      <c r="N968">
        <v>6</v>
      </c>
      <c r="O968">
        <v>6</v>
      </c>
      <c r="P968">
        <v>7</v>
      </c>
      <c r="Q968">
        <v>2018</v>
      </c>
      <c r="R968" s="9">
        <v>43287</v>
      </c>
      <c r="S968" t="s">
        <v>16</v>
      </c>
      <c r="T968">
        <v>0</v>
      </c>
      <c r="U968">
        <v>0</v>
      </c>
      <c r="V968">
        <v>1</v>
      </c>
      <c r="W968">
        <v>0</v>
      </c>
      <c r="X968" s="57">
        <f>1.25*AF968+30.275</f>
        <v>-38.98277458750001</v>
      </c>
      <c r="Y968">
        <v>-21.918428571428574</v>
      </c>
      <c r="Z968">
        <v>1.6787719117740334</v>
      </c>
      <c r="AA968" s="3">
        <f t="shared" si="113"/>
        <v>3</v>
      </c>
      <c r="AB968" s="3">
        <f t="shared" si="111"/>
        <v>2</v>
      </c>
      <c r="AD968" s="3" t="s">
        <v>2750</v>
      </c>
      <c r="AE968" s="4">
        <v>-44.204637000000005</v>
      </c>
      <c r="AF968" s="4">
        <f t="shared" si="109"/>
        <v>-55.406219670000006</v>
      </c>
      <c r="AG968" s="60" t="s">
        <v>16</v>
      </c>
      <c r="AH968" s="61" t="s">
        <v>16</v>
      </c>
      <c r="AI968" s="57">
        <f t="shared" si="114"/>
        <v>-55.406219670000006</v>
      </c>
      <c r="AJ968" s="3">
        <f>-ROUNDDOWN(AF968/10,0)</f>
        <v>5</v>
      </c>
      <c r="AK968" s="3" t="s">
        <v>2710</v>
      </c>
      <c r="AM968" t="s">
        <v>980</v>
      </c>
    </row>
    <row r="969" spans="1:39" hidden="1" x14ac:dyDescent="0.3">
      <c r="A969" s="51" t="s">
        <v>2632</v>
      </c>
      <c r="B969" s="54" t="s">
        <v>2602</v>
      </c>
      <c r="C969" s="51" t="s">
        <v>2765</v>
      </c>
      <c r="D969" s="53">
        <v>0</v>
      </c>
      <c r="E969" s="53">
        <v>1</v>
      </c>
      <c r="F969" s="51" t="s">
        <v>2715</v>
      </c>
      <c r="G969" s="51" t="s">
        <v>2696</v>
      </c>
      <c r="H969" s="25" t="s">
        <v>2763</v>
      </c>
      <c r="I969" t="s">
        <v>13</v>
      </c>
      <c r="J969" t="s">
        <v>209</v>
      </c>
      <c r="K969" t="s">
        <v>2665</v>
      </c>
      <c r="L969" s="55">
        <v>46.937716984073262</v>
      </c>
      <c r="M969" s="55">
        <v>6.7475147141248577</v>
      </c>
      <c r="N969">
        <v>6</v>
      </c>
      <c r="O969">
        <v>4</v>
      </c>
      <c r="P969">
        <v>7</v>
      </c>
      <c r="Q969">
        <v>2018</v>
      </c>
      <c r="R969" s="9">
        <v>43285</v>
      </c>
      <c r="S969" t="s">
        <v>16</v>
      </c>
      <c r="T969">
        <v>0</v>
      </c>
      <c r="U969">
        <v>0</v>
      </c>
      <c r="V969">
        <v>1</v>
      </c>
      <c r="W969">
        <v>0</v>
      </c>
      <c r="X969" s="57" t="s">
        <v>16</v>
      </c>
      <c r="Y969">
        <v>-22.066428571428574</v>
      </c>
      <c r="Z969">
        <v>-0.17834451207978974</v>
      </c>
      <c r="AB969" s="3">
        <f t="shared" si="111"/>
        <v>0</v>
      </c>
      <c r="AD969" s="3" t="s">
        <v>2750</v>
      </c>
      <c r="AE969" s="4" t="s">
        <v>16</v>
      </c>
      <c r="AF969" s="4" t="str">
        <f t="shared" si="109"/>
        <v>NA</v>
      </c>
      <c r="AG969" s="60" t="s">
        <v>16</v>
      </c>
      <c r="AH969" s="61" t="s">
        <v>16</v>
      </c>
      <c r="AI969" s="57" t="s">
        <v>16</v>
      </c>
      <c r="AK969" s="3" t="s">
        <v>2710</v>
      </c>
      <c r="AM969" t="s">
        <v>2683</v>
      </c>
    </row>
    <row r="970" spans="1:39" hidden="1" x14ac:dyDescent="0.3">
      <c r="A970" s="51" t="s">
        <v>2217</v>
      </c>
      <c r="B970" s="54" t="s">
        <v>2218</v>
      </c>
      <c r="C970" s="51" t="s">
        <v>2765</v>
      </c>
      <c r="D970" s="53">
        <v>0</v>
      </c>
      <c r="E970" s="53">
        <v>1</v>
      </c>
      <c r="F970" s="51" t="s">
        <v>2715</v>
      </c>
      <c r="G970" s="51" t="s">
        <v>2695</v>
      </c>
      <c r="H970" s="25" t="s">
        <v>2762</v>
      </c>
      <c r="I970" t="s">
        <v>13</v>
      </c>
      <c r="J970" t="s">
        <v>1057</v>
      </c>
      <c r="K970" t="s">
        <v>1738</v>
      </c>
      <c r="L970" s="25">
        <v>46.930569390000002</v>
      </c>
      <c r="M970" s="25">
        <v>6.5864806270000003</v>
      </c>
      <c r="N970">
        <v>6</v>
      </c>
      <c r="O970">
        <v>30</v>
      </c>
      <c r="P970">
        <v>10</v>
      </c>
      <c r="Q970">
        <v>2016</v>
      </c>
      <c r="R970" s="9">
        <v>42673</v>
      </c>
      <c r="S970">
        <v>285</v>
      </c>
      <c r="T970">
        <v>0</v>
      </c>
      <c r="U970">
        <v>0</v>
      </c>
      <c r="V970">
        <v>0</v>
      </c>
      <c r="W970">
        <v>1</v>
      </c>
      <c r="X970" s="57">
        <f t="shared" ref="X970:X1001" si="115">1.25*AF970+30.275</f>
        <v>-89.220725305000002</v>
      </c>
      <c r="Y970">
        <v>-23.18</v>
      </c>
      <c r="Z970">
        <v>8.5299999999999994</v>
      </c>
      <c r="AA970" s="3">
        <f t="shared" ref="AA970:AA1001" si="116">-ROUNDDOWN(X970/10,0)</f>
        <v>8</v>
      </c>
      <c r="AB970" s="3">
        <f t="shared" si="111"/>
        <v>9</v>
      </c>
      <c r="AD970" s="3" t="s">
        <v>2750</v>
      </c>
      <c r="AE970" s="4">
        <v>-88.369868400000001</v>
      </c>
      <c r="AF970" s="4">
        <f t="shared" si="109"/>
        <v>-95.596580243999995</v>
      </c>
      <c r="AG970" s="60" t="s">
        <v>16</v>
      </c>
      <c r="AH970" s="61" t="s">
        <v>16</v>
      </c>
      <c r="AI970" s="57">
        <f t="shared" ref="AI970:AI1001" si="117">(-15.18) + 0.91*AE970</f>
        <v>-95.596580243999995</v>
      </c>
      <c r="AJ970" s="3">
        <f t="shared" ref="AJ970:AJ1001" si="118">-ROUND(AF970/10,0)</f>
        <v>10</v>
      </c>
      <c r="AK970" s="3" t="s">
        <v>2709</v>
      </c>
      <c r="AL970">
        <v>9</v>
      </c>
      <c r="AM970" t="s">
        <v>980</v>
      </c>
    </row>
    <row r="971" spans="1:39" hidden="1" x14ac:dyDescent="0.3">
      <c r="A971" s="51" t="s">
        <v>2279</v>
      </c>
      <c r="B971" s="54" t="s">
        <v>2280</v>
      </c>
      <c r="C971" s="51" t="s">
        <v>2765</v>
      </c>
      <c r="D971" s="53">
        <v>0</v>
      </c>
      <c r="E971" s="53">
        <v>1</v>
      </c>
      <c r="F971" s="51" t="s">
        <v>2715</v>
      </c>
      <c r="G971" s="51" t="s">
        <v>2695</v>
      </c>
      <c r="H971" s="25" t="s">
        <v>2762</v>
      </c>
      <c r="I971" t="s">
        <v>13</v>
      </c>
      <c r="J971" t="s">
        <v>1743</v>
      </c>
      <c r="K971" t="s">
        <v>1744</v>
      </c>
      <c r="L971" s="25">
        <v>46.994148090000003</v>
      </c>
      <c r="M971" s="25">
        <v>6.6974339560000002</v>
      </c>
      <c r="N971">
        <v>6</v>
      </c>
      <c r="O971">
        <v>5</v>
      </c>
      <c r="P971">
        <v>11</v>
      </c>
      <c r="Q971">
        <v>2016</v>
      </c>
      <c r="R971" s="9">
        <v>42679</v>
      </c>
      <c r="S971" t="s">
        <v>16</v>
      </c>
      <c r="T971">
        <v>0</v>
      </c>
      <c r="U971">
        <v>0</v>
      </c>
      <c r="V971">
        <v>0</v>
      </c>
      <c r="W971">
        <v>1</v>
      </c>
      <c r="X971" s="57">
        <f t="shared" si="115"/>
        <v>-86.386325327499975</v>
      </c>
      <c r="Y971">
        <v>-25.08</v>
      </c>
      <c r="Z971">
        <v>7.73</v>
      </c>
      <c r="AA971" s="3">
        <f t="shared" si="116"/>
        <v>8</v>
      </c>
      <c r="AB971" s="3">
        <f t="shared" si="111"/>
        <v>8</v>
      </c>
      <c r="AD971" s="3" t="s">
        <v>2750</v>
      </c>
      <c r="AE971" s="4">
        <v>-85.878088199999993</v>
      </c>
      <c r="AF971" s="4">
        <f t="shared" si="109"/>
        <v>-93.329060261999985</v>
      </c>
      <c r="AG971" s="60" t="s">
        <v>16</v>
      </c>
      <c r="AH971" s="61" t="s">
        <v>16</v>
      </c>
      <c r="AI971" s="57">
        <f t="shared" si="117"/>
        <v>-93.329060261999985</v>
      </c>
      <c r="AJ971" s="3">
        <f t="shared" si="118"/>
        <v>9</v>
      </c>
      <c r="AK971" s="3" t="s">
        <v>2707</v>
      </c>
      <c r="AL971">
        <v>9</v>
      </c>
      <c r="AM971" t="s">
        <v>980</v>
      </c>
    </row>
    <row r="972" spans="1:39" hidden="1" x14ac:dyDescent="0.3">
      <c r="A972" s="51" t="s">
        <v>2403</v>
      </c>
      <c r="B972" s="54" t="s">
        <v>2404</v>
      </c>
      <c r="C972" s="51" t="s">
        <v>2765</v>
      </c>
      <c r="D972" s="53">
        <v>0</v>
      </c>
      <c r="E972" s="53">
        <v>1</v>
      </c>
      <c r="F972" s="51" t="s">
        <v>2715</v>
      </c>
      <c r="G972" s="51" t="s">
        <v>2695</v>
      </c>
      <c r="H972" s="25" t="s">
        <v>2762</v>
      </c>
      <c r="I972" t="s">
        <v>385</v>
      </c>
      <c r="J972" t="s">
        <v>539</v>
      </c>
      <c r="K972" t="s">
        <v>2325</v>
      </c>
      <c r="L972" s="25">
        <v>46.901191339999997</v>
      </c>
      <c r="M972" s="25">
        <v>6.6774532239999997</v>
      </c>
      <c r="N972">
        <v>6</v>
      </c>
      <c r="O972">
        <v>2</v>
      </c>
      <c r="P972">
        <v>11</v>
      </c>
      <c r="Q972">
        <v>2017</v>
      </c>
      <c r="R972" s="9">
        <v>43041</v>
      </c>
      <c r="S972" t="s">
        <v>16</v>
      </c>
      <c r="T972">
        <v>0</v>
      </c>
      <c r="U972">
        <v>0</v>
      </c>
      <c r="V972">
        <v>0</v>
      </c>
      <c r="W972">
        <v>1</v>
      </c>
      <c r="X972" s="57">
        <f t="shared" si="115"/>
        <v>-86.109934212500008</v>
      </c>
      <c r="Y972" t="s">
        <v>16</v>
      </c>
      <c r="Z972">
        <v>5.2105283419999999</v>
      </c>
      <c r="AA972" s="3">
        <f t="shared" si="116"/>
        <v>8</v>
      </c>
      <c r="AB972" s="3">
        <f t="shared" si="111"/>
        <v>5</v>
      </c>
      <c r="AD972" s="3" t="s">
        <v>2750</v>
      </c>
      <c r="AE972" s="4">
        <v>-85.635107000000005</v>
      </c>
      <c r="AF972" s="4">
        <f t="shared" si="109"/>
        <v>-93.107947370000005</v>
      </c>
      <c r="AG972" s="60" t="s">
        <v>16</v>
      </c>
      <c r="AH972" s="61" t="s">
        <v>16</v>
      </c>
      <c r="AI972" s="57">
        <f t="shared" si="117"/>
        <v>-93.107947370000005</v>
      </c>
      <c r="AJ972" s="3">
        <f t="shared" si="118"/>
        <v>9</v>
      </c>
      <c r="AK972" s="3" t="s">
        <v>2707</v>
      </c>
      <c r="AL972">
        <v>9</v>
      </c>
      <c r="AM972" t="s">
        <v>980</v>
      </c>
    </row>
    <row r="973" spans="1:39" hidden="1" x14ac:dyDescent="0.3">
      <c r="A973" s="51" t="s">
        <v>2379</v>
      </c>
      <c r="B973" s="54" t="s">
        <v>2380</v>
      </c>
      <c r="C973" s="51" t="s">
        <v>2765</v>
      </c>
      <c r="D973" s="53">
        <v>0</v>
      </c>
      <c r="E973" s="53">
        <v>1</v>
      </c>
      <c r="F973" s="51" t="s">
        <v>2715</v>
      </c>
      <c r="G973" s="51" t="s">
        <v>2695</v>
      </c>
      <c r="H973" s="25" t="s">
        <v>2762</v>
      </c>
      <c r="I973" t="s">
        <v>385</v>
      </c>
      <c r="J973" t="s">
        <v>539</v>
      </c>
      <c r="K973" t="s">
        <v>2381</v>
      </c>
      <c r="L973" s="25">
        <v>46.903223359999998</v>
      </c>
      <c r="M973" s="25">
        <v>6.6732524240000002</v>
      </c>
      <c r="N973">
        <v>6</v>
      </c>
      <c r="O973">
        <v>28</v>
      </c>
      <c r="P973">
        <v>10</v>
      </c>
      <c r="Q973">
        <v>2017</v>
      </c>
      <c r="R973" s="9">
        <v>43036</v>
      </c>
      <c r="S973" t="s">
        <v>16</v>
      </c>
      <c r="T973">
        <v>0</v>
      </c>
      <c r="U973">
        <v>0</v>
      </c>
      <c r="V973">
        <v>0</v>
      </c>
      <c r="W973">
        <v>1</v>
      </c>
      <c r="X973" s="57">
        <f t="shared" si="115"/>
        <v>-84.461972215000003</v>
      </c>
      <c r="Y973" t="s">
        <v>16</v>
      </c>
      <c r="Z973">
        <v>5.3668877330000004</v>
      </c>
      <c r="AA973" s="3">
        <f t="shared" si="116"/>
        <v>8</v>
      </c>
      <c r="AB973" s="3">
        <f t="shared" si="111"/>
        <v>5</v>
      </c>
      <c r="AD973" s="3" t="s">
        <v>2750</v>
      </c>
      <c r="AE973" s="4">
        <v>-84.186349199999995</v>
      </c>
      <c r="AF973" s="4">
        <f t="shared" si="109"/>
        <v>-91.789577772000001</v>
      </c>
      <c r="AG973" s="60" t="s">
        <v>16</v>
      </c>
      <c r="AH973" s="61" t="s">
        <v>16</v>
      </c>
      <c r="AI973" s="57">
        <f t="shared" si="117"/>
        <v>-91.789577772000001</v>
      </c>
      <c r="AJ973" s="3">
        <f t="shared" si="118"/>
        <v>9</v>
      </c>
      <c r="AK973" s="3" t="s">
        <v>2707</v>
      </c>
      <c r="AL973">
        <v>8</v>
      </c>
      <c r="AM973" t="s">
        <v>980</v>
      </c>
    </row>
    <row r="974" spans="1:39" hidden="1" x14ac:dyDescent="0.3">
      <c r="A974" s="51" t="s">
        <v>2377</v>
      </c>
      <c r="B974" s="54" t="s">
        <v>2378</v>
      </c>
      <c r="C974" s="51" t="s">
        <v>2765</v>
      </c>
      <c r="D974" s="53">
        <v>0</v>
      </c>
      <c r="E974" s="53">
        <v>1</v>
      </c>
      <c r="F974" s="51" t="s">
        <v>2715</v>
      </c>
      <c r="G974" s="51" t="s">
        <v>2695</v>
      </c>
      <c r="H974" s="25" t="s">
        <v>2762</v>
      </c>
      <c r="I974" t="s">
        <v>385</v>
      </c>
      <c r="J974" t="s">
        <v>539</v>
      </c>
      <c r="K974" t="s">
        <v>1819</v>
      </c>
      <c r="L974" s="25">
        <v>46.905451319999997</v>
      </c>
      <c r="M974" s="25">
        <v>6.6768547859999998</v>
      </c>
      <c r="N974">
        <v>6</v>
      </c>
      <c r="O974">
        <v>28</v>
      </c>
      <c r="P974">
        <v>10</v>
      </c>
      <c r="Q974">
        <v>2017</v>
      </c>
      <c r="R974" s="9">
        <v>43036</v>
      </c>
      <c r="S974" t="s">
        <v>16</v>
      </c>
      <c r="T974">
        <v>0</v>
      </c>
      <c r="U974">
        <v>0</v>
      </c>
      <c r="V974">
        <v>0</v>
      </c>
      <c r="W974">
        <v>1</v>
      </c>
      <c r="X974" s="57">
        <f t="shared" si="115"/>
        <v>-81.579373632499994</v>
      </c>
      <c r="Y974" t="s">
        <v>16</v>
      </c>
      <c r="Z974">
        <v>6.751118806</v>
      </c>
      <c r="AA974" s="3">
        <f t="shared" si="116"/>
        <v>8</v>
      </c>
      <c r="AB974" s="3">
        <f t="shared" si="111"/>
        <v>7</v>
      </c>
      <c r="AD974" s="3" t="s">
        <v>2750</v>
      </c>
      <c r="AE974" s="4">
        <v>-81.652196599999996</v>
      </c>
      <c r="AF974" s="4">
        <f t="shared" si="109"/>
        <v>-89.483498905999994</v>
      </c>
      <c r="AG974" s="60" t="s">
        <v>16</v>
      </c>
      <c r="AH974" s="61" t="s">
        <v>16</v>
      </c>
      <c r="AI974" s="57">
        <f t="shared" si="117"/>
        <v>-89.483498905999994</v>
      </c>
      <c r="AJ974" s="3">
        <f t="shared" si="118"/>
        <v>9</v>
      </c>
      <c r="AK974" s="3" t="s">
        <v>2707</v>
      </c>
      <c r="AL974">
        <v>8</v>
      </c>
      <c r="AM974" t="s">
        <v>980</v>
      </c>
    </row>
    <row r="975" spans="1:39" hidden="1" x14ac:dyDescent="0.3">
      <c r="A975" s="51" t="s">
        <v>2361</v>
      </c>
      <c r="B975" s="54" t="s">
        <v>2362</v>
      </c>
      <c r="C975" s="51" t="s">
        <v>2765</v>
      </c>
      <c r="D975" s="53">
        <v>0</v>
      </c>
      <c r="E975" s="53">
        <v>1</v>
      </c>
      <c r="F975" s="51" t="s">
        <v>2715</v>
      </c>
      <c r="G975" s="51" t="s">
        <v>2695</v>
      </c>
      <c r="H975" s="25" t="s">
        <v>2762</v>
      </c>
      <c r="I975" t="s">
        <v>13</v>
      </c>
      <c r="J975" t="s">
        <v>1732</v>
      </c>
      <c r="K975" t="s">
        <v>1822</v>
      </c>
      <c r="L975" s="25">
        <v>46.994971069999998</v>
      </c>
      <c r="M975" s="25">
        <v>6.6967201559999996</v>
      </c>
      <c r="N975">
        <v>6</v>
      </c>
      <c r="O975">
        <v>27</v>
      </c>
      <c r="P975">
        <v>10</v>
      </c>
      <c r="Q975">
        <v>2017</v>
      </c>
      <c r="R975" s="9">
        <v>43035</v>
      </c>
      <c r="S975" t="s">
        <v>16</v>
      </c>
      <c r="T975">
        <v>0</v>
      </c>
      <c r="U975">
        <v>0</v>
      </c>
      <c r="V975">
        <v>0</v>
      </c>
      <c r="W975">
        <v>1</v>
      </c>
      <c r="X975" s="57">
        <f t="shared" si="115"/>
        <v>-80.893518917499989</v>
      </c>
      <c r="Y975" t="s">
        <v>16</v>
      </c>
      <c r="Z975">
        <v>7.638830596</v>
      </c>
      <c r="AA975" s="3">
        <f t="shared" si="116"/>
        <v>8</v>
      </c>
      <c r="AB975" s="3">
        <f t="shared" si="111"/>
        <v>8</v>
      </c>
      <c r="AD975" s="3" t="s">
        <v>2750</v>
      </c>
      <c r="AE975" s="4">
        <v>-81.049247399999999</v>
      </c>
      <c r="AF975" s="4">
        <f t="shared" si="109"/>
        <v>-88.93481513399999</v>
      </c>
      <c r="AG975" s="60" t="s">
        <v>16</v>
      </c>
      <c r="AH975" s="61" t="s">
        <v>16</v>
      </c>
      <c r="AI975" s="57">
        <f t="shared" si="117"/>
        <v>-88.93481513399999</v>
      </c>
      <c r="AJ975" s="3">
        <f t="shared" si="118"/>
        <v>9</v>
      </c>
      <c r="AK975" s="3" t="s">
        <v>2707</v>
      </c>
      <c r="AL975">
        <v>8</v>
      </c>
      <c r="AM975" t="s">
        <v>980</v>
      </c>
    </row>
    <row r="976" spans="1:39" hidden="1" x14ac:dyDescent="0.3">
      <c r="A976" s="51" t="s">
        <v>2357</v>
      </c>
      <c r="B976" s="54" t="s">
        <v>2358</v>
      </c>
      <c r="C976" s="51" t="s">
        <v>2765</v>
      </c>
      <c r="D976" s="53">
        <v>0</v>
      </c>
      <c r="E976" s="53">
        <v>1</v>
      </c>
      <c r="F976" s="51" t="s">
        <v>2715</v>
      </c>
      <c r="G976" s="51" t="s">
        <v>2695</v>
      </c>
      <c r="H976" s="25" t="s">
        <v>2762</v>
      </c>
      <c r="I976" t="s">
        <v>13</v>
      </c>
      <c r="J976" t="s">
        <v>1732</v>
      </c>
      <c r="K976" t="s">
        <v>1822</v>
      </c>
      <c r="L976" s="25">
        <v>46.996222250000002</v>
      </c>
      <c r="M976" s="25">
        <v>6.6982371450000002</v>
      </c>
      <c r="N976">
        <v>6</v>
      </c>
      <c r="O976">
        <v>27</v>
      </c>
      <c r="P976">
        <v>10</v>
      </c>
      <c r="Q976">
        <v>2017</v>
      </c>
      <c r="R976" s="9">
        <v>43035</v>
      </c>
      <c r="S976" t="s">
        <v>16</v>
      </c>
      <c r="T976">
        <v>0</v>
      </c>
      <c r="U976">
        <v>0</v>
      </c>
      <c r="V976">
        <v>0</v>
      </c>
      <c r="W976">
        <v>1</v>
      </c>
      <c r="X976" s="57">
        <f t="shared" si="115"/>
        <v>-80.404422127499998</v>
      </c>
      <c r="Y976" t="s">
        <v>16</v>
      </c>
      <c r="Z976">
        <v>7.5561050859999996</v>
      </c>
      <c r="AA976" s="3">
        <f t="shared" si="116"/>
        <v>8</v>
      </c>
      <c r="AB976" s="3">
        <f t="shared" si="111"/>
        <v>8</v>
      </c>
      <c r="AD976" s="3" t="s">
        <v>2750</v>
      </c>
      <c r="AE976" s="4">
        <v>-80.619272199999997</v>
      </c>
      <c r="AF976" s="4">
        <f t="shared" si="109"/>
        <v>-88.543537702000009</v>
      </c>
      <c r="AG976" s="60" t="s">
        <v>16</v>
      </c>
      <c r="AH976" s="61" t="s">
        <v>16</v>
      </c>
      <c r="AI976" s="57">
        <f t="shared" si="117"/>
        <v>-88.543537702000009</v>
      </c>
      <c r="AJ976" s="3">
        <f t="shared" si="118"/>
        <v>9</v>
      </c>
      <c r="AK976" s="3" t="s">
        <v>2707</v>
      </c>
      <c r="AL976">
        <v>8</v>
      </c>
      <c r="AM976" t="s">
        <v>980</v>
      </c>
    </row>
    <row r="977" spans="1:39" hidden="1" x14ac:dyDescent="0.3">
      <c r="A977" s="51" t="s">
        <v>2297</v>
      </c>
      <c r="B977" s="54" t="s">
        <v>2298</v>
      </c>
      <c r="C977" s="51" t="s">
        <v>2765</v>
      </c>
      <c r="D977" s="53">
        <v>0</v>
      </c>
      <c r="E977" s="53">
        <v>1</v>
      </c>
      <c r="F977" s="51" t="s">
        <v>2715</v>
      </c>
      <c r="G977" s="51" t="s">
        <v>2695</v>
      </c>
      <c r="H977" s="25" t="s">
        <v>2762</v>
      </c>
      <c r="I977" t="s">
        <v>13</v>
      </c>
      <c r="J977" t="s">
        <v>19</v>
      </c>
      <c r="K977" t="s">
        <v>1837</v>
      </c>
      <c r="L977" s="25">
        <v>46.934127160000003</v>
      </c>
      <c r="M977" s="25">
        <v>6.4640393789999999</v>
      </c>
      <c r="N977">
        <v>6</v>
      </c>
      <c r="O977">
        <v>22</v>
      </c>
      <c r="P977">
        <v>10</v>
      </c>
      <c r="Q977">
        <v>2017</v>
      </c>
      <c r="R977" s="9">
        <v>43030</v>
      </c>
      <c r="S977" t="s">
        <v>16</v>
      </c>
      <c r="T977">
        <v>0</v>
      </c>
      <c r="U977">
        <v>0</v>
      </c>
      <c r="V977">
        <v>0</v>
      </c>
      <c r="W977">
        <v>1</v>
      </c>
      <c r="X977" s="57">
        <f t="shared" si="115"/>
        <v>-77.120460082499989</v>
      </c>
      <c r="Y977" t="s">
        <v>16</v>
      </c>
      <c r="Z977">
        <v>6.5984784019999996</v>
      </c>
      <c r="AA977" s="3">
        <f t="shared" si="116"/>
        <v>7</v>
      </c>
      <c r="AB977" s="3">
        <f t="shared" si="111"/>
        <v>7</v>
      </c>
      <c r="AD977" s="3" t="s">
        <v>2750</v>
      </c>
      <c r="AE977" s="4">
        <v>-77.732272600000002</v>
      </c>
      <c r="AF977" s="4">
        <f t="shared" si="109"/>
        <v>-85.91636806599999</v>
      </c>
      <c r="AG977" s="60" t="s">
        <v>16</v>
      </c>
      <c r="AH977" s="61" t="s">
        <v>16</v>
      </c>
      <c r="AI977" s="57">
        <f t="shared" si="117"/>
        <v>-85.91636806599999</v>
      </c>
      <c r="AJ977" s="3">
        <f t="shared" si="118"/>
        <v>9</v>
      </c>
      <c r="AK977" s="3" t="s">
        <v>2707</v>
      </c>
      <c r="AL977">
        <v>8</v>
      </c>
      <c r="AM977" t="s">
        <v>980</v>
      </c>
    </row>
    <row r="978" spans="1:39" hidden="1" x14ac:dyDescent="0.3">
      <c r="A978" s="51" t="s">
        <v>2190</v>
      </c>
      <c r="B978" s="54" t="s">
        <v>2191</v>
      </c>
      <c r="C978" s="51" t="s">
        <v>2765</v>
      </c>
      <c r="D978" s="53">
        <v>0</v>
      </c>
      <c r="E978" s="53">
        <v>1</v>
      </c>
      <c r="F978" s="51" t="s">
        <v>2715</v>
      </c>
      <c r="G978" s="51" t="s">
        <v>2695</v>
      </c>
      <c r="H978" s="25" t="s">
        <v>2762</v>
      </c>
      <c r="I978" t="s">
        <v>13</v>
      </c>
      <c r="J978" t="s">
        <v>1715</v>
      </c>
      <c r="K978" t="s">
        <v>2192</v>
      </c>
      <c r="L978" s="25">
        <v>46.937621049999997</v>
      </c>
      <c r="M978" s="25">
        <v>6.4644488410000003</v>
      </c>
      <c r="N978">
        <v>6</v>
      </c>
      <c r="O978">
        <v>24</v>
      </c>
      <c r="P978">
        <v>10</v>
      </c>
      <c r="Q978">
        <v>2016</v>
      </c>
      <c r="R978" s="9">
        <v>42667</v>
      </c>
      <c r="S978">
        <v>344</v>
      </c>
      <c r="T978">
        <v>0</v>
      </c>
      <c r="U978">
        <v>0</v>
      </c>
      <c r="V978">
        <v>0</v>
      </c>
      <c r="W978">
        <v>1</v>
      </c>
      <c r="X978" s="57">
        <f t="shared" si="115"/>
        <v>-76.925954862499992</v>
      </c>
      <c r="Y978">
        <v>-24.77</v>
      </c>
      <c r="Z978">
        <v>7.07</v>
      </c>
      <c r="AA978" s="3">
        <f t="shared" si="116"/>
        <v>7</v>
      </c>
      <c r="AB978" s="3">
        <f t="shared" si="111"/>
        <v>7</v>
      </c>
      <c r="AD978" s="3" t="s">
        <v>2750</v>
      </c>
      <c r="AE978" s="4">
        <v>-77.561278999999999</v>
      </c>
      <c r="AF978" s="4">
        <f t="shared" si="109"/>
        <v>-85.760763889999993</v>
      </c>
      <c r="AG978" s="60" t="s">
        <v>16</v>
      </c>
      <c r="AH978" s="61" t="s">
        <v>16</v>
      </c>
      <c r="AI978" s="57">
        <f t="shared" si="117"/>
        <v>-85.760763889999993</v>
      </c>
      <c r="AJ978" s="3">
        <f t="shared" si="118"/>
        <v>9</v>
      </c>
      <c r="AK978" s="3" t="s">
        <v>2707</v>
      </c>
      <c r="AL978">
        <v>8</v>
      </c>
      <c r="AM978" t="s">
        <v>980</v>
      </c>
    </row>
    <row r="979" spans="1:39" hidden="1" x14ac:dyDescent="0.3">
      <c r="A979" s="51" t="s">
        <v>2271</v>
      </c>
      <c r="B979" s="54" t="s">
        <v>2272</v>
      </c>
      <c r="C979" s="51" t="s">
        <v>2765</v>
      </c>
      <c r="D979" s="53">
        <v>0</v>
      </c>
      <c r="E979" s="53">
        <v>1</v>
      </c>
      <c r="F979" s="51" t="s">
        <v>2715</v>
      </c>
      <c r="G979" s="51" t="s">
        <v>2695</v>
      </c>
      <c r="H979" s="25" t="s">
        <v>2762</v>
      </c>
      <c r="I979" t="s">
        <v>13</v>
      </c>
      <c r="J979" t="s">
        <v>1715</v>
      </c>
      <c r="K979" t="s">
        <v>1764</v>
      </c>
      <c r="L979" s="25">
        <v>46.933214569999997</v>
      </c>
      <c r="M979" s="25">
        <v>6.4635700140000001</v>
      </c>
      <c r="N979">
        <v>6</v>
      </c>
      <c r="O979">
        <v>5</v>
      </c>
      <c r="P979">
        <v>11</v>
      </c>
      <c r="Q979">
        <v>2016</v>
      </c>
      <c r="R979" s="9">
        <v>42679</v>
      </c>
      <c r="S979">
        <v>330</v>
      </c>
      <c r="T979">
        <v>0</v>
      </c>
      <c r="U979">
        <v>0</v>
      </c>
      <c r="V979">
        <v>0</v>
      </c>
      <c r="W979">
        <v>1</v>
      </c>
      <c r="X979" s="57">
        <f t="shared" si="115"/>
        <v>-75.858995787500021</v>
      </c>
      <c r="Y979">
        <v>-24.33</v>
      </c>
      <c r="Z979">
        <v>5.39</v>
      </c>
      <c r="AA979" s="3">
        <f t="shared" si="116"/>
        <v>7</v>
      </c>
      <c r="AB979" s="3">
        <f t="shared" si="111"/>
        <v>5</v>
      </c>
      <c r="AD979" s="3" t="s">
        <v>2750</v>
      </c>
      <c r="AE979" s="4">
        <v>-76.623293000000004</v>
      </c>
      <c r="AF979" s="4">
        <f t="shared" si="109"/>
        <v>-84.907196630000016</v>
      </c>
      <c r="AG979" s="60" t="s">
        <v>16</v>
      </c>
      <c r="AH979" s="61" t="s">
        <v>16</v>
      </c>
      <c r="AI979" s="57">
        <f t="shared" si="117"/>
        <v>-84.907196630000016</v>
      </c>
      <c r="AJ979" s="3">
        <f t="shared" si="118"/>
        <v>8</v>
      </c>
      <c r="AK979" s="3" t="s">
        <v>2706</v>
      </c>
      <c r="AL979">
        <v>8</v>
      </c>
      <c r="AM979" t="s">
        <v>980</v>
      </c>
    </row>
    <row r="980" spans="1:39" hidden="1" x14ac:dyDescent="0.3">
      <c r="A980" s="51" t="s">
        <v>2236</v>
      </c>
      <c r="B980" s="54" t="s">
        <v>2237</v>
      </c>
      <c r="C980" s="51" t="s">
        <v>2765</v>
      </c>
      <c r="D980" s="53">
        <v>0</v>
      </c>
      <c r="E980" s="53">
        <v>1</v>
      </c>
      <c r="F980" s="51" t="s">
        <v>2715</v>
      </c>
      <c r="G980" s="51" t="s">
        <v>2695</v>
      </c>
      <c r="H980" s="25" t="s">
        <v>2762</v>
      </c>
      <c r="I980" t="s">
        <v>385</v>
      </c>
      <c r="J980" t="s">
        <v>539</v>
      </c>
      <c r="K980" t="s">
        <v>2195</v>
      </c>
      <c r="L980" s="25">
        <v>46.904830850000003</v>
      </c>
      <c r="M980" s="25">
        <v>6.675537909</v>
      </c>
      <c r="N980">
        <v>6</v>
      </c>
      <c r="O980">
        <v>1</v>
      </c>
      <c r="P980">
        <v>11</v>
      </c>
      <c r="Q980">
        <v>2016</v>
      </c>
      <c r="R980" s="9">
        <v>42675</v>
      </c>
      <c r="S980">
        <v>387</v>
      </c>
      <c r="T980">
        <v>0</v>
      </c>
      <c r="U980">
        <v>0</v>
      </c>
      <c r="V980">
        <v>0</v>
      </c>
      <c r="W980">
        <v>1</v>
      </c>
      <c r="X980" s="57">
        <f t="shared" si="115"/>
        <v>-75.293043582500019</v>
      </c>
      <c r="Y980">
        <v>-24.54</v>
      </c>
      <c r="Z980">
        <v>9.56</v>
      </c>
      <c r="AA980" s="3">
        <f t="shared" si="116"/>
        <v>7</v>
      </c>
      <c r="AB980" s="3">
        <f t="shared" si="111"/>
        <v>10</v>
      </c>
      <c r="AD980" s="3" t="s">
        <v>2750</v>
      </c>
      <c r="AE980" s="4">
        <v>-76.125752599999998</v>
      </c>
      <c r="AF980" s="4">
        <f t="shared" si="109"/>
        <v>-84.454434866000014</v>
      </c>
      <c r="AG980" s="60" t="s">
        <v>16</v>
      </c>
      <c r="AH980" s="61" t="s">
        <v>16</v>
      </c>
      <c r="AI980" s="57">
        <f t="shared" si="117"/>
        <v>-84.454434866000014</v>
      </c>
      <c r="AJ980" s="3">
        <f t="shared" si="118"/>
        <v>8</v>
      </c>
      <c r="AK980" s="3" t="s">
        <v>2706</v>
      </c>
      <c r="AL980">
        <v>8</v>
      </c>
      <c r="AM980" t="s">
        <v>980</v>
      </c>
    </row>
    <row r="981" spans="1:39" hidden="1" x14ac:dyDescent="0.3">
      <c r="A981" s="51" t="s">
        <v>1840</v>
      </c>
      <c r="B981" s="54" t="s">
        <v>1841</v>
      </c>
      <c r="C981" s="51" t="s">
        <v>2765</v>
      </c>
      <c r="D981" s="53">
        <v>0</v>
      </c>
      <c r="E981" s="53">
        <v>1</v>
      </c>
      <c r="F981" s="51" t="s">
        <v>2715</v>
      </c>
      <c r="G981" s="51" t="s">
        <v>2695</v>
      </c>
      <c r="H981" s="25" t="s">
        <v>2762</v>
      </c>
      <c r="I981" t="s">
        <v>13</v>
      </c>
      <c r="J981" t="s">
        <v>19</v>
      </c>
      <c r="K981" t="s">
        <v>1837</v>
      </c>
      <c r="L981" s="25">
        <v>46.933822739999997</v>
      </c>
      <c r="M981" s="25">
        <v>6.4631518620000001</v>
      </c>
      <c r="N981">
        <v>6</v>
      </c>
      <c r="O981">
        <v>16</v>
      </c>
      <c r="P981">
        <v>10</v>
      </c>
      <c r="Q981">
        <v>2017</v>
      </c>
      <c r="R981" s="9">
        <v>43024</v>
      </c>
      <c r="S981" t="s">
        <v>16</v>
      </c>
      <c r="T981">
        <v>0</v>
      </c>
      <c r="U981">
        <v>0</v>
      </c>
      <c r="V981">
        <v>0</v>
      </c>
      <c r="W981">
        <v>1</v>
      </c>
      <c r="X981" s="57">
        <f t="shared" si="115"/>
        <v>-74.16830747000003</v>
      </c>
      <c r="Y981" t="s">
        <v>16</v>
      </c>
      <c r="Z981">
        <v>7.2065769839999998</v>
      </c>
      <c r="AA981" s="3">
        <f t="shared" si="116"/>
        <v>7</v>
      </c>
      <c r="AB981" s="3">
        <f t="shared" si="111"/>
        <v>7</v>
      </c>
      <c r="AD981" s="3" t="s">
        <v>2750</v>
      </c>
      <c r="AE981" s="4">
        <v>-75.136973600000005</v>
      </c>
      <c r="AF981" s="4">
        <f t="shared" si="109"/>
        <v>-83.554645976000018</v>
      </c>
      <c r="AG981" s="60" t="s">
        <v>16</v>
      </c>
      <c r="AH981" s="61" t="s">
        <v>16</v>
      </c>
      <c r="AI981" s="57">
        <f t="shared" si="117"/>
        <v>-83.554645976000018</v>
      </c>
      <c r="AJ981" s="3">
        <f t="shared" si="118"/>
        <v>8</v>
      </c>
      <c r="AK981" s="3" t="s">
        <v>2706</v>
      </c>
      <c r="AL981">
        <v>8</v>
      </c>
      <c r="AM981" t="s">
        <v>980</v>
      </c>
    </row>
    <row r="982" spans="1:39" hidden="1" x14ac:dyDescent="0.3">
      <c r="A982" s="51" t="s">
        <v>2293</v>
      </c>
      <c r="B982" s="54" t="s">
        <v>2294</v>
      </c>
      <c r="C982" s="51" t="s">
        <v>2765</v>
      </c>
      <c r="D982" s="53">
        <v>0</v>
      </c>
      <c r="E982" s="53">
        <v>1</v>
      </c>
      <c r="F982" s="51" t="s">
        <v>2715</v>
      </c>
      <c r="G982" s="51" t="s">
        <v>2695</v>
      </c>
      <c r="H982" s="25" t="s">
        <v>2762</v>
      </c>
      <c r="I982" t="s">
        <v>13</v>
      </c>
      <c r="J982" t="s">
        <v>1732</v>
      </c>
      <c r="K982" t="s">
        <v>1822</v>
      </c>
      <c r="L982" s="25">
        <v>46.99371524</v>
      </c>
      <c r="M982" s="25">
        <v>6.6972690180000001</v>
      </c>
      <c r="N982">
        <v>6</v>
      </c>
      <c r="O982">
        <v>22</v>
      </c>
      <c r="P982">
        <v>10</v>
      </c>
      <c r="Q982">
        <v>2017</v>
      </c>
      <c r="R982" s="9">
        <v>43030</v>
      </c>
      <c r="S982" t="s">
        <v>16</v>
      </c>
      <c r="T982">
        <v>0</v>
      </c>
      <c r="U982">
        <v>0</v>
      </c>
      <c r="V982">
        <v>0</v>
      </c>
      <c r="W982">
        <v>1</v>
      </c>
      <c r="X982" s="57">
        <f t="shared" si="115"/>
        <v>-74.13535113750001</v>
      </c>
      <c r="Y982" t="s">
        <v>16</v>
      </c>
      <c r="Z982">
        <v>4.3391124400000001</v>
      </c>
      <c r="AA982" s="3">
        <f t="shared" si="116"/>
        <v>7</v>
      </c>
      <c r="AB982" s="3">
        <f t="shared" si="111"/>
        <v>4</v>
      </c>
      <c r="AD982" s="3" t="s">
        <v>2750</v>
      </c>
      <c r="AE982" s="4">
        <v>-75.108001000000002</v>
      </c>
      <c r="AF982" s="4">
        <f t="shared" ref="AF982:AF1045" si="119">IF(AI982&lt;0,AI982,AE982)</f>
        <v>-83.528280910000007</v>
      </c>
      <c r="AG982" s="60" t="s">
        <v>16</v>
      </c>
      <c r="AH982" s="61" t="s">
        <v>16</v>
      </c>
      <c r="AI982" s="57">
        <f t="shared" si="117"/>
        <v>-83.528280910000007</v>
      </c>
      <c r="AJ982" s="3">
        <f t="shared" si="118"/>
        <v>8</v>
      </c>
      <c r="AK982" s="3" t="s">
        <v>2706</v>
      </c>
      <c r="AL982">
        <v>8</v>
      </c>
      <c r="AM982" t="s">
        <v>980</v>
      </c>
    </row>
    <row r="983" spans="1:39" hidden="1" x14ac:dyDescent="0.3">
      <c r="A983" s="51" t="s">
        <v>2349</v>
      </c>
      <c r="B983" s="54" t="s">
        <v>2350</v>
      </c>
      <c r="C983" s="51" t="s">
        <v>2765</v>
      </c>
      <c r="D983" s="53">
        <v>0</v>
      </c>
      <c r="E983" s="53">
        <v>1</v>
      </c>
      <c r="F983" s="51" t="s">
        <v>2715</v>
      </c>
      <c r="G983" s="51" t="s">
        <v>2695</v>
      </c>
      <c r="H983" s="25" t="s">
        <v>2762</v>
      </c>
      <c r="I983" t="s">
        <v>13</v>
      </c>
      <c r="J983" t="s">
        <v>1057</v>
      </c>
      <c r="K983" t="s">
        <v>2348</v>
      </c>
      <c r="L983" s="25">
        <v>46.934857880000003</v>
      </c>
      <c r="M983" s="25">
        <v>6.584938567</v>
      </c>
      <c r="N983">
        <v>6</v>
      </c>
      <c r="O983">
        <v>27</v>
      </c>
      <c r="P983">
        <v>10</v>
      </c>
      <c r="Q983">
        <v>2017</v>
      </c>
      <c r="R983" s="9">
        <v>43035</v>
      </c>
      <c r="S983" t="s">
        <v>16</v>
      </c>
      <c r="T983">
        <v>0</v>
      </c>
      <c r="U983">
        <v>0</v>
      </c>
      <c r="V983">
        <v>0</v>
      </c>
      <c r="W983">
        <v>1</v>
      </c>
      <c r="X983" s="57">
        <f t="shared" si="115"/>
        <v>-72.759417260000021</v>
      </c>
      <c r="Y983" t="s">
        <v>16</v>
      </c>
      <c r="Z983">
        <v>2.9108217700000001</v>
      </c>
      <c r="AA983" s="3">
        <f t="shared" si="116"/>
        <v>7</v>
      </c>
      <c r="AB983" s="3">
        <f t="shared" si="111"/>
        <v>3</v>
      </c>
      <c r="AD983" s="3" t="s">
        <v>2750</v>
      </c>
      <c r="AE983" s="4">
        <v>-73.898388800000006</v>
      </c>
      <c r="AF983" s="4">
        <f t="shared" si="119"/>
        <v>-82.427533808000021</v>
      </c>
      <c r="AG983" s="60" t="s">
        <v>16</v>
      </c>
      <c r="AH983" s="61" t="s">
        <v>16</v>
      </c>
      <c r="AI983" s="57">
        <f t="shared" si="117"/>
        <v>-82.427533808000021</v>
      </c>
      <c r="AJ983" s="3">
        <f t="shared" si="118"/>
        <v>8</v>
      </c>
      <c r="AK983" s="3" t="s">
        <v>2706</v>
      </c>
      <c r="AL983">
        <v>7</v>
      </c>
      <c r="AM983" t="s">
        <v>980</v>
      </c>
    </row>
    <row r="984" spans="1:39" hidden="1" x14ac:dyDescent="0.3">
      <c r="A984" s="51" t="s">
        <v>2259</v>
      </c>
      <c r="B984" s="54" t="s">
        <v>2260</v>
      </c>
      <c r="C984" s="51" t="s">
        <v>2765</v>
      </c>
      <c r="D984" s="53">
        <v>0</v>
      </c>
      <c r="E984" s="53">
        <v>1</v>
      </c>
      <c r="F984" s="51" t="s">
        <v>2715</v>
      </c>
      <c r="G984" s="51" t="s">
        <v>2695</v>
      </c>
      <c r="H984" s="25" t="s">
        <v>2762</v>
      </c>
      <c r="I984" t="s">
        <v>13</v>
      </c>
      <c r="J984" t="s">
        <v>1715</v>
      </c>
      <c r="K984" t="s">
        <v>1764</v>
      </c>
      <c r="L984" s="25">
        <v>46.935451739999998</v>
      </c>
      <c r="M984" s="25">
        <v>6.4653549549999996</v>
      </c>
      <c r="N984">
        <v>6</v>
      </c>
      <c r="O984">
        <v>5</v>
      </c>
      <c r="P984">
        <v>11</v>
      </c>
      <c r="Q984">
        <v>2016</v>
      </c>
      <c r="R984" s="9">
        <v>42679</v>
      </c>
      <c r="S984">
        <v>342</v>
      </c>
      <c r="T984">
        <v>0</v>
      </c>
      <c r="U984">
        <v>0</v>
      </c>
      <c r="V984">
        <v>0</v>
      </c>
      <c r="W984">
        <v>1</v>
      </c>
      <c r="X984" s="57">
        <f t="shared" si="115"/>
        <v>-72.195769630000001</v>
      </c>
      <c r="Y984">
        <v>-22.11</v>
      </c>
      <c r="Z984">
        <v>6.92</v>
      </c>
      <c r="AA984" s="3">
        <f t="shared" si="116"/>
        <v>7</v>
      </c>
      <c r="AB984" s="3">
        <f t="shared" si="111"/>
        <v>7</v>
      </c>
      <c r="AD984" s="3" t="s">
        <v>2750</v>
      </c>
      <c r="AE984" s="4">
        <v>-73.402874400000002</v>
      </c>
      <c r="AF984" s="4">
        <f t="shared" si="119"/>
        <v>-81.976615704000011</v>
      </c>
      <c r="AG984" s="60" t="s">
        <v>16</v>
      </c>
      <c r="AH984" s="61" t="s">
        <v>16</v>
      </c>
      <c r="AI984" s="57">
        <f t="shared" si="117"/>
        <v>-81.976615704000011</v>
      </c>
      <c r="AJ984" s="3">
        <f t="shared" si="118"/>
        <v>8</v>
      </c>
      <c r="AK984" s="3" t="s">
        <v>2706</v>
      </c>
      <c r="AL984">
        <v>7</v>
      </c>
      <c r="AM984" t="s">
        <v>980</v>
      </c>
    </row>
    <row r="985" spans="1:39" hidden="1" x14ac:dyDescent="0.3">
      <c r="A985" s="51" t="s">
        <v>2263</v>
      </c>
      <c r="B985" s="54" t="s">
        <v>2264</v>
      </c>
      <c r="C985" s="51" t="s">
        <v>2765</v>
      </c>
      <c r="D985" s="53">
        <v>0</v>
      </c>
      <c r="E985" s="53">
        <v>1</v>
      </c>
      <c r="F985" s="51" t="s">
        <v>2715</v>
      </c>
      <c r="G985" s="51" t="s">
        <v>2695</v>
      </c>
      <c r="H985" s="25" t="s">
        <v>2762</v>
      </c>
      <c r="I985" t="s">
        <v>13</v>
      </c>
      <c r="J985" t="s">
        <v>1715</v>
      </c>
      <c r="K985" t="s">
        <v>1764</v>
      </c>
      <c r="L985" s="25">
        <v>46.934999230000003</v>
      </c>
      <c r="M985" s="25">
        <v>6.4650348199999996</v>
      </c>
      <c r="N985">
        <v>6</v>
      </c>
      <c r="O985">
        <v>5</v>
      </c>
      <c r="P985">
        <v>11</v>
      </c>
      <c r="Q985">
        <v>2016</v>
      </c>
      <c r="R985" s="9">
        <v>42679</v>
      </c>
      <c r="S985">
        <v>310</v>
      </c>
      <c r="T985">
        <v>0</v>
      </c>
      <c r="U985">
        <v>0</v>
      </c>
      <c r="V985">
        <v>0</v>
      </c>
      <c r="W985">
        <v>1</v>
      </c>
      <c r="X985" s="57">
        <f t="shared" si="115"/>
        <v>-72.041137880000008</v>
      </c>
      <c r="Y985">
        <v>-24.11</v>
      </c>
      <c r="Z985">
        <v>5.13</v>
      </c>
      <c r="AA985" s="3">
        <f t="shared" si="116"/>
        <v>7</v>
      </c>
      <c r="AB985" s="3">
        <f t="shared" si="111"/>
        <v>5</v>
      </c>
      <c r="AD985" s="3" t="s">
        <v>2750</v>
      </c>
      <c r="AE985" s="4">
        <v>-73.266934399999997</v>
      </c>
      <c r="AF985" s="4">
        <f t="shared" si="119"/>
        <v>-81.852910304000005</v>
      </c>
      <c r="AG985" s="60" t="s">
        <v>16</v>
      </c>
      <c r="AH985" s="61" t="s">
        <v>16</v>
      </c>
      <c r="AI985" s="57">
        <f t="shared" si="117"/>
        <v>-81.852910304000005</v>
      </c>
      <c r="AJ985" s="3">
        <f t="shared" si="118"/>
        <v>8</v>
      </c>
      <c r="AK985" s="3" t="s">
        <v>2706</v>
      </c>
      <c r="AL985">
        <v>7</v>
      </c>
      <c r="AM985" t="s">
        <v>980</v>
      </c>
    </row>
    <row r="986" spans="1:39" hidden="1" x14ac:dyDescent="0.3">
      <c r="A986" s="51" t="s">
        <v>2223</v>
      </c>
      <c r="B986" s="54" t="s">
        <v>2224</v>
      </c>
      <c r="C986" s="51" t="s">
        <v>2765</v>
      </c>
      <c r="D986" s="53">
        <v>0</v>
      </c>
      <c r="E986" s="53">
        <v>1</v>
      </c>
      <c r="F986" s="51" t="s">
        <v>2715</v>
      </c>
      <c r="G986" s="51" t="s">
        <v>2695</v>
      </c>
      <c r="H986" s="25" t="s">
        <v>2762</v>
      </c>
      <c r="I986" t="s">
        <v>13</v>
      </c>
      <c r="J986" t="s">
        <v>1715</v>
      </c>
      <c r="K986" t="s">
        <v>1764</v>
      </c>
      <c r="L986" s="25">
        <v>46.937310969999999</v>
      </c>
      <c r="M986" s="25">
        <v>6.4660699099999999</v>
      </c>
      <c r="N986">
        <v>6</v>
      </c>
      <c r="O986">
        <v>31</v>
      </c>
      <c r="P986">
        <v>10</v>
      </c>
      <c r="Q986">
        <v>2016</v>
      </c>
      <c r="R986" s="9">
        <v>42674</v>
      </c>
      <c r="S986">
        <v>315</v>
      </c>
      <c r="T986">
        <v>0</v>
      </c>
      <c r="U986">
        <v>0</v>
      </c>
      <c r="V986">
        <v>0</v>
      </c>
      <c r="W986">
        <v>1</v>
      </c>
      <c r="X986" s="57">
        <f t="shared" si="115"/>
        <v>-71.622085837500009</v>
      </c>
      <c r="Y986">
        <v>-24.13</v>
      </c>
      <c r="Z986">
        <v>7.76</v>
      </c>
      <c r="AA986" s="3">
        <f t="shared" si="116"/>
        <v>7</v>
      </c>
      <c r="AB986" s="3">
        <f t="shared" si="111"/>
        <v>8</v>
      </c>
      <c r="AD986" s="3" t="s">
        <v>2750</v>
      </c>
      <c r="AE986" s="4">
        <v>-72.898537000000005</v>
      </c>
      <c r="AF986" s="4">
        <f t="shared" si="119"/>
        <v>-81.517668670000006</v>
      </c>
      <c r="AG986" s="60" t="s">
        <v>16</v>
      </c>
      <c r="AH986" s="61" t="s">
        <v>16</v>
      </c>
      <c r="AI986" s="57">
        <f t="shared" si="117"/>
        <v>-81.517668670000006</v>
      </c>
      <c r="AJ986" s="3">
        <f t="shared" si="118"/>
        <v>8</v>
      </c>
      <c r="AK986" s="3" t="s">
        <v>2706</v>
      </c>
      <c r="AL986">
        <v>7</v>
      </c>
      <c r="AM986" t="s">
        <v>980</v>
      </c>
    </row>
    <row r="987" spans="1:39" hidden="1" x14ac:dyDescent="0.3">
      <c r="A987" s="51" t="s">
        <v>2170</v>
      </c>
      <c r="B987" s="54" t="s">
        <v>2171</v>
      </c>
      <c r="C987" s="51" t="s">
        <v>2765</v>
      </c>
      <c r="D987" s="53">
        <v>0</v>
      </c>
      <c r="E987" s="53">
        <v>1</v>
      </c>
      <c r="F987" s="51" t="s">
        <v>2715</v>
      </c>
      <c r="G987" s="51" t="s">
        <v>2695</v>
      </c>
      <c r="H987" s="25" t="s">
        <v>2762</v>
      </c>
      <c r="I987" t="s">
        <v>385</v>
      </c>
      <c r="J987" t="s">
        <v>539</v>
      </c>
      <c r="K987" t="s">
        <v>1819</v>
      </c>
      <c r="L987" s="25">
        <v>46.906777839999997</v>
      </c>
      <c r="M987" s="25">
        <v>6.6774791640000002</v>
      </c>
      <c r="N987">
        <v>6</v>
      </c>
      <c r="O987">
        <v>20</v>
      </c>
      <c r="P987">
        <v>10</v>
      </c>
      <c r="Q987">
        <v>2017</v>
      </c>
      <c r="R987" s="9">
        <v>43028</v>
      </c>
      <c r="S987" t="s">
        <v>16</v>
      </c>
      <c r="T987">
        <v>0</v>
      </c>
      <c r="U987">
        <v>0</v>
      </c>
      <c r="V987">
        <v>0</v>
      </c>
      <c r="W987">
        <v>1</v>
      </c>
      <c r="X987" s="57">
        <f t="shared" si="115"/>
        <v>-71.561463912500017</v>
      </c>
      <c r="Y987" t="s">
        <v>16</v>
      </c>
      <c r="Z987">
        <v>6.3888282790000002</v>
      </c>
      <c r="AA987" s="3">
        <f t="shared" si="116"/>
        <v>7</v>
      </c>
      <c r="AB987" s="3">
        <f t="shared" si="111"/>
        <v>6</v>
      </c>
      <c r="AD987" s="3" t="s">
        <v>2750</v>
      </c>
      <c r="AE987" s="4">
        <v>-72.845242999999996</v>
      </c>
      <c r="AF987" s="4">
        <f t="shared" si="119"/>
        <v>-81.469171130000007</v>
      </c>
      <c r="AG987" s="60" t="s">
        <v>16</v>
      </c>
      <c r="AH987" s="61" t="s">
        <v>16</v>
      </c>
      <c r="AI987" s="57">
        <f t="shared" si="117"/>
        <v>-81.469171130000007</v>
      </c>
      <c r="AJ987" s="3">
        <f t="shared" si="118"/>
        <v>8</v>
      </c>
      <c r="AK987" s="3" t="s">
        <v>2706</v>
      </c>
      <c r="AL987">
        <v>7</v>
      </c>
      <c r="AM987" t="s">
        <v>980</v>
      </c>
    </row>
    <row r="988" spans="1:39" hidden="1" x14ac:dyDescent="0.3">
      <c r="A988" s="51" t="s">
        <v>2395</v>
      </c>
      <c r="B988" s="54" t="s">
        <v>2396</v>
      </c>
      <c r="C988" s="51" t="s">
        <v>2765</v>
      </c>
      <c r="D988" s="53">
        <v>0</v>
      </c>
      <c r="E988" s="53">
        <v>1</v>
      </c>
      <c r="F988" s="51" t="s">
        <v>2715</v>
      </c>
      <c r="G988" s="51" t="s">
        <v>2695</v>
      </c>
      <c r="H988" s="25" t="s">
        <v>2762</v>
      </c>
      <c r="I988" t="s">
        <v>385</v>
      </c>
      <c r="J988" t="s">
        <v>539</v>
      </c>
      <c r="K988" t="s">
        <v>1819</v>
      </c>
      <c r="L988" s="25">
        <v>46.908891179999998</v>
      </c>
      <c r="M988" s="25">
        <v>6.6814528009999998</v>
      </c>
      <c r="N988">
        <v>6</v>
      </c>
      <c r="O988">
        <v>2</v>
      </c>
      <c r="P988">
        <v>11</v>
      </c>
      <c r="Q988">
        <v>2017</v>
      </c>
      <c r="R988" s="9">
        <v>43041</v>
      </c>
      <c r="S988" t="s">
        <v>16</v>
      </c>
      <c r="T988">
        <v>0</v>
      </c>
      <c r="U988">
        <v>0</v>
      </c>
      <c r="V988">
        <v>0</v>
      </c>
      <c r="W988">
        <v>1</v>
      </c>
      <c r="X988" s="57">
        <f t="shared" si="115"/>
        <v>-68.952759632500005</v>
      </c>
      <c r="Y988" t="s">
        <v>16</v>
      </c>
      <c r="Z988">
        <v>6.4573177370000003</v>
      </c>
      <c r="AA988" s="3">
        <f t="shared" si="116"/>
        <v>6</v>
      </c>
      <c r="AB988" s="3">
        <f t="shared" si="111"/>
        <v>6</v>
      </c>
      <c r="AD988" s="3" t="s">
        <v>2750</v>
      </c>
      <c r="AE988" s="4">
        <v>-70.5518766</v>
      </c>
      <c r="AF988" s="4">
        <f t="shared" si="119"/>
        <v>-79.382207706000003</v>
      </c>
      <c r="AG988" s="60" t="s">
        <v>16</v>
      </c>
      <c r="AH988" s="61" t="s">
        <v>16</v>
      </c>
      <c r="AI988" s="57">
        <f t="shared" si="117"/>
        <v>-79.382207706000003</v>
      </c>
      <c r="AJ988" s="3">
        <f t="shared" si="118"/>
        <v>8</v>
      </c>
      <c r="AK988" s="3" t="s">
        <v>2706</v>
      </c>
      <c r="AL988">
        <v>7</v>
      </c>
      <c r="AM988" t="s">
        <v>980</v>
      </c>
    </row>
    <row r="989" spans="1:39" hidden="1" x14ac:dyDescent="0.3">
      <c r="A989" s="51" t="s">
        <v>2178</v>
      </c>
      <c r="B989" s="54" t="s">
        <v>2179</v>
      </c>
      <c r="C989" s="51" t="s">
        <v>2765</v>
      </c>
      <c r="D989" s="53">
        <v>0</v>
      </c>
      <c r="E989" s="53">
        <v>1</v>
      </c>
      <c r="F989" s="51" t="s">
        <v>2715</v>
      </c>
      <c r="G989" s="51" t="s">
        <v>2695</v>
      </c>
      <c r="H989" s="25" t="s">
        <v>2762</v>
      </c>
      <c r="I989" t="s">
        <v>13</v>
      </c>
      <c r="J989" t="s">
        <v>1732</v>
      </c>
      <c r="K989" t="s">
        <v>1822</v>
      </c>
      <c r="L989" s="25">
        <v>46.996376920000003</v>
      </c>
      <c r="M989" s="25">
        <v>6.7027017280000001</v>
      </c>
      <c r="N989">
        <v>6</v>
      </c>
      <c r="O989">
        <v>21</v>
      </c>
      <c r="P989">
        <v>10</v>
      </c>
      <c r="Q989">
        <v>2017</v>
      </c>
      <c r="R989" s="9">
        <v>43029</v>
      </c>
      <c r="S989" t="s">
        <v>16</v>
      </c>
      <c r="T989">
        <v>0</v>
      </c>
      <c r="U989">
        <v>0</v>
      </c>
      <c r="V989">
        <v>0</v>
      </c>
      <c r="W989">
        <v>1</v>
      </c>
      <c r="X989" s="57">
        <f t="shared" si="115"/>
        <v>-68.091799646249996</v>
      </c>
      <c r="Y989" t="s">
        <v>16</v>
      </c>
      <c r="Z989">
        <v>6.2189635689999996</v>
      </c>
      <c r="AA989" s="3">
        <f t="shared" si="116"/>
        <v>6</v>
      </c>
      <c r="AB989" s="3">
        <f t="shared" si="111"/>
        <v>6</v>
      </c>
      <c r="AD989" s="3" t="s">
        <v>2750</v>
      </c>
      <c r="AE989" s="4">
        <v>-69.794988700000005</v>
      </c>
      <c r="AF989" s="4">
        <f t="shared" si="119"/>
        <v>-78.693439717000004</v>
      </c>
      <c r="AG989" s="60" t="s">
        <v>16</v>
      </c>
      <c r="AH989" s="61" t="s">
        <v>16</v>
      </c>
      <c r="AI989" s="57">
        <f t="shared" si="117"/>
        <v>-78.693439717000004</v>
      </c>
      <c r="AJ989" s="3">
        <f t="shared" si="118"/>
        <v>8</v>
      </c>
      <c r="AK989" s="3" t="s">
        <v>2706</v>
      </c>
      <c r="AL989">
        <v>7</v>
      </c>
      <c r="AM989" t="s">
        <v>980</v>
      </c>
    </row>
    <row r="990" spans="1:39" hidden="1" x14ac:dyDescent="0.3">
      <c r="A990" s="51" t="s">
        <v>1760</v>
      </c>
      <c r="B990" s="54" t="s">
        <v>1761</v>
      </c>
      <c r="C990" s="51" t="s">
        <v>2765</v>
      </c>
      <c r="D990" s="53">
        <v>0</v>
      </c>
      <c r="E990" s="53">
        <v>1</v>
      </c>
      <c r="F990" s="51" t="s">
        <v>2715</v>
      </c>
      <c r="G990" s="51" t="s">
        <v>2695</v>
      </c>
      <c r="H990" s="25" t="s">
        <v>2762</v>
      </c>
      <c r="I990" t="s">
        <v>13</v>
      </c>
      <c r="J990" t="s">
        <v>1715</v>
      </c>
      <c r="K990" t="s">
        <v>1716</v>
      </c>
      <c r="L990" s="25">
        <v>46.92860323</v>
      </c>
      <c r="M990" s="25">
        <v>6.4576656430000003</v>
      </c>
      <c r="N990">
        <v>6</v>
      </c>
      <c r="O990">
        <v>23</v>
      </c>
      <c r="P990">
        <v>10</v>
      </c>
      <c r="Q990">
        <v>2016</v>
      </c>
      <c r="R990" s="9">
        <v>42666</v>
      </c>
      <c r="S990">
        <v>343</v>
      </c>
      <c r="T990">
        <v>0</v>
      </c>
      <c r="U990">
        <v>0</v>
      </c>
      <c r="V990">
        <v>0</v>
      </c>
      <c r="W990">
        <v>1</v>
      </c>
      <c r="X990" s="57">
        <f t="shared" si="115"/>
        <v>-67.450121222500002</v>
      </c>
      <c r="Y990">
        <v>-24.3</v>
      </c>
      <c r="Z990">
        <v>5.25</v>
      </c>
      <c r="AA990" s="3">
        <f t="shared" si="116"/>
        <v>6</v>
      </c>
      <c r="AB990" s="3">
        <f t="shared" si="111"/>
        <v>5</v>
      </c>
      <c r="AD990" s="3" t="s">
        <v>2750</v>
      </c>
      <c r="AE990" s="4">
        <v>-69.230875800000007</v>
      </c>
      <c r="AF990" s="4">
        <f t="shared" si="119"/>
        <v>-78.180096978000009</v>
      </c>
      <c r="AG990" s="60" t="s">
        <v>16</v>
      </c>
      <c r="AH990" s="61" t="s">
        <v>16</v>
      </c>
      <c r="AI990" s="57">
        <f t="shared" si="117"/>
        <v>-78.180096978000009</v>
      </c>
      <c r="AJ990" s="3">
        <f t="shared" si="118"/>
        <v>8</v>
      </c>
      <c r="AK990" s="3" t="s">
        <v>2706</v>
      </c>
      <c r="AL990">
        <v>7</v>
      </c>
      <c r="AM990" t="s">
        <v>980</v>
      </c>
    </row>
    <row r="991" spans="1:39" hidden="1" x14ac:dyDescent="0.3">
      <c r="A991" s="51" t="s">
        <v>1741</v>
      </c>
      <c r="B991" s="54" t="s">
        <v>1742</v>
      </c>
      <c r="C991" s="51" t="s">
        <v>2765</v>
      </c>
      <c r="D991" s="53">
        <v>0</v>
      </c>
      <c r="E991" s="53">
        <v>1</v>
      </c>
      <c r="F991" s="51" t="s">
        <v>2715</v>
      </c>
      <c r="G991" s="51" t="s">
        <v>2695</v>
      </c>
      <c r="H991" s="25" t="s">
        <v>2762</v>
      </c>
      <c r="I991" t="s">
        <v>13</v>
      </c>
      <c r="J991" t="s">
        <v>1743</v>
      </c>
      <c r="K991" t="s">
        <v>1744</v>
      </c>
      <c r="L991" s="25">
        <v>46.95926463</v>
      </c>
      <c r="M991" s="25">
        <v>6.6976392520000001</v>
      </c>
      <c r="N991">
        <v>6</v>
      </c>
      <c r="O991">
        <v>18</v>
      </c>
      <c r="P991">
        <v>10</v>
      </c>
      <c r="Q991">
        <v>2016</v>
      </c>
      <c r="R991" s="9">
        <v>42661</v>
      </c>
      <c r="S991">
        <v>342</v>
      </c>
      <c r="T991">
        <v>0</v>
      </c>
      <c r="U991">
        <v>0</v>
      </c>
      <c r="V991">
        <v>0</v>
      </c>
      <c r="W991">
        <v>1</v>
      </c>
      <c r="X991" s="57">
        <f t="shared" si="115"/>
        <v>-66.445014847500005</v>
      </c>
      <c r="Y991">
        <v>-23.41</v>
      </c>
      <c r="Z991">
        <v>5.68</v>
      </c>
      <c r="AA991" s="3">
        <f t="shared" si="116"/>
        <v>6</v>
      </c>
      <c r="AB991" s="3">
        <f t="shared" si="111"/>
        <v>6</v>
      </c>
      <c r="AD991" s="3" t="s">
        <v>2750</v>
      </c>
      <c r="AE991" s="4">
        <v>-68.347265800000002</v>
      </c>
      <c r="AF991" s="4">
        <f t="shared" si="119"/>
        <v>-77.376011878000014</v>
      </c>
      <c r="AG991" s="60" t="s">
        <v>16</v>
      </c>
      <c r="AH991" s="61" t="s">
        <v>16</v>
      </c>
      <c r="AI991" s="57">
        <f t="shared" si="117"/>
        <v>-77.376011878000014</v>
      </c>
      <c r="AJ991" s="3">
        <f t="shared" si="118"/>
        <v>8</v>
      </c>
      <c r="AK991" s="3" t="s">
        <v>2706</v>
      </c>
      <c r="AL991">
        <v>7</v>
      </c>
      <c r="AM991" t="s">
        <v>980</v>
      </c>
    </row>
    <row r="992" spans="1:39" hidden="1" x14ac:dyDescent="0.3">
      <c r="A992" s="51" t="s">
        <v>2249</v>
      </c>
      <c r="B992" s="54" t="s">
        <v>2250</v>
      </c>
      <c r="C992" s="51" t="s">
        <v>2765</v>
      </c>
      <c r="D992" s="53">
        <v>0</v>
      </c>
      <c r="E992" s="53">
        <v>1</v>
      </c>
      <c r="F992" s="51" t="s">
        <v>2715</v>
      </c>
      <c r="G992" s="51" t="s">
        <v>2695</v>
      </c>
      <c r="H992" s="25" t="s">
        <v>2762</v>
      </c>
      <c r="I992" t="s">
        <v>13</v>
      </c>
      <c r="J992" t="s">
        <v>209</v>
      </c>
      <c r="K992" t="s">
        <v>2214</v>
      </c>
      <c r="L992" s="25">
        <v>46.930448990000002</v>
      </c>
      <c r="M992" s="25">
        <v>6.7284623420000003</v>
      </c>
      <c r="N992">
        <v>6</v>
      </c>
      <c r="O992">
        <v>4</v>
      </c>
      <c r="P992">
        <v>11</v>
      </c>
      <c r="Q992">
        <v>2016</v>
      </c>
      <c r="R992" s="9">
        <v>42678</v>
      </c>
      <c r="S992">
        <v>330</v>
      </c>
      <c r="T992">
        <v>0</v>
      </c>
      <c r="U992">
        <v>0</v>
      </c>
      <c r="V992">
        <v>0</v>
      </c>
      <c r="W992">
        <v>1</v>
      </c>
      <c r="X992" s="57">
        <f t="shared" si="115"/>
        <v>-65.945554294999994</v>
      </c>
      <c r="Y992">
        <v>-23.41</v>
      </c>
      <c r="Z992">
        <v>4.3600000000000003</v>
      </c>
      <c r="AA992" s="3">
        <f t="shared" si="116"/>
        <v>6</v>
      </c>
      <c r="AB992" s="3">
        <f t="shared" ref="AB992:AB1055" si="120">ROUND(Z992,0)</f>
        <v>4</v>
      </c>
      <c r="AD992" s="3" t="s">
        <v>2750</v>
      </c>
      <c r="AE992" s="4">
        <v>-67.908179599999997</v>
      </c>
      <c r="AF992" s="4">
        <f t="shared" si="119"/>
        <v>-76.976443435999997</v>
      </c>
      <c r="AG992" s="60" t="s">
        <v>16</v>
      </c>
      <c r="AH992" s="61" t="s">
        <v>16</v>
      </c>
      <c r="AI992" s="57">
        <f t="shared" si="117"/>
        <v>-76.976443435999997</v>
      </c>
      <c r="AJ992" s="3">
        <f t="shared" si="118"/>
        <v>8</v>
      </c>
      <c r="AK992" s="3" t="s">
        <v>2706</v>
      </c>
      <c r="AL992">
        <v>7</v>
      </c>
      <c r="AM992" t="s">
        <v>980</v>
      </c>
    </row>
    <row r="993" spans="1:39" hidden="1" x14ac:dyDescent="0.3">
      <c r="A993" s="51" t="s">
        <v>1762</v>
      </c>
      <c r="B993" s="54" t="s">
        <v>1763</v>
      </c>
      <c r="C993" s="51" t="s">
        <v>2765</v>
      </c>
      <c r="D993" s="53">
        <v>0</v>
      </c>
      <c r="E993" s="53">
        <v>1</v>
      </c>
      <c r="F993" s="51" t="s">
        <v>2715</v>
      </c>
      <c r="G993" s="51" t="s">
        <v>2695</v>
      </c>
      <c r="H993" s="25" t="s">
        <v>2762</v>
      </c>
      <c r="I993" t="s">
        <v>13</v>
      </c>
      <c r="J993" t="s">
        <v>1715</v>
      </c>
      <c r="K993" t="s">
        <v>1764</v>
      </c>
      <c r="L993" s="25">
        <v>46.930218619999998</v>
      </c>
      <c r="M993" s="25">
        <v>6.4603676219999997</v>
      </c>
      <c r="N993">
        <v>6</v>
      </c>
      <c r="O993">
        <v>23</v>
      </c>
      <c r="P993">
        <v>10</v>
      </c>
      <c r="Q993">
        <v>2016</v>
      </c>
      <c r="R993" s="9">
        <v>42666</v>
      </c>
      <c r="S993">
        <v>315</v>
      </c>
      <c r="T993">
        <v>0</v>
      </c>
      <c r="U993">
        <v>0</v>
      </c>
      <c r="V993">
        <v>0</v>
      </c>
      <c r="W993">
        <v>1</v>
      </c>
      <c r="X993" s="57">
        <f t="shared" si="115"/>
        <v>-65.926998485000013</v>
      </c>
      <c r="Y993">
        <v>-23.71</v>
      </c>
      <c r="Z993">
        <v>5.89</v>
      </c>
      <c r="AA993" s="3">
        <f t="shared" si="116"/>
        <v>6</v>
      </c>
      <c r="AB993" s="3">
        <f t="shared" si="120"/>
        <v>6</v>
      </c>
      <c r="AD993" s="3" t="s">
        <v>2750</v>
      </c>
      <c r="AE993" s="4">
        <v>-67.891866800000003</v>
      </c>
      <c r="AF993" s="4">
        <f t="shared" si="119"/>
        <v>-76.961598788000003</v>
      </c>
      <c r="AG993" s="60" t="s">
        <v>16</v>
      </c>
      <c r="AH993" s="61" t="s">
        <v>16</v>
      </c>
      <c r="AI993" s="57">
        <f t="shared" si="117"/>
        <v>-76.961598788000003</v>
      </c>
      <c r="AJ993" s="3">
        <f t="shared" si="118"/>
        <v>8</v>
      </c>
      <c r="AK993" s="3" t="s">
        <v>2706</v>
      </c>
      <c r="AL993">
        <v>7</v>
      </c>
      <c r="AM993" t="s">
        <v>980</v>
      </c>
    </row>
    <row r="994" spans="1:39" hidden="1" x14ac:dyDescent="0.3">
      <c r="A994" s="51" t="s">
        <v>2363</v>
      </c>
      <c r="B994" s="54" t="s">
        <v>2364</v>
      </c>
      <c r="C994" s="51" t="s">
        <v>2765</v>
      </c>
      <c r="D994" s="53">
        <v>0</v>
      </c>
      <c r="E994" s="53">
        <v>1</v>
      </c>
      <c r="F994" s="51" t="s">
        <v>2715</v>
      </c>
      <c r="G994" s="51" t="s">
        <v>2695</v>
      </c>
      <c r="H994" s="25" t="s">
        <v>2762</v>
      </c>
      <c r="I994" t="s">
        <v>13</v>
      </c>
      <c r="J994" t="s">
        <v>1732</v>
      </c>
      <c r="K994" t="s">
        <v>1822</v>
      </c>
      <c r="L994" s="25">
        <v>46.992987149999998</v>
      </c>
      <c r="M994" s="25">
        <v>6.6959631509999999</v>
      </c>
      <c r="N994">
        <v>6</v>
      </c>
      <c r="O994">
        <v>27</v>
      </c>
      <c r="P994">
        <v>10</v>
      </c>
      <c r="Q994">
        <v>2017</v>
      </c>
      <c r="R994" s="9">
        <v>43035</v>
      </c>
      <c r="S994" t="s">
        <v>16</v>
      </c>
      <c r="T994">
        <v>0</v>
      </c>
      <c r="U994">
        <v>0</v>
      </c>
      <c r="V994">
        <v>0</v>
      </c>
      <c r="W994">
        <v>1</v>
      </c>
      <c r="X994" s="57">
        <f t="shared" si="115"/>
        <v>-65.877892154999984</v>
      </c>
      <c r="Y994" t="s">
        <v>16</v>
      </c>
      <c r="Z994">
        <v>6.4167942839999998</v>
      </c>
      <c r="AA994" s="3">
        <f t="shared" si="116"/>
        <v>6</v>
      </c>
      <c r="AB994" s="3">
        <f t="shared" si="120"/>
        <v>6</v>
      </c>
      <c r="AD994" s="3" t="s">
        <v>2750</v>
      </c>
      <c r="AE994" s="4">
        <v>-67.848696399999994</v>
      </c>
      <c r="AF994" s="4">
        <f t="shared" si="119"/>
        <v>-76.922313723999991</v>
      </c>
      <c r="AG994" s="60" t="s">
        <v>16</v>
      </c>
      <c r="AH994" s="61" t="s">
        <v>16</v>
      </c>
      <c r="AI994" s="57">
        <f t="shared" si="117"/>
        <v>-76.922313723999991</v>
      </c>
      <c r="AJ994" s="3">
        <f t="shared" si="118"/>
        <v>8</v>
      </c>
      <c r="AK994" s="3" t="s">
        <v>2706</v>
      </c>
      <c r="AL994">
        <v>7</v>
      </c>
      <c r="AM994" t="s">
        <v>980</v>
      </c>
    </row>
    <row r="995" spans="1:39" hidden="1" x14ac:dyDescent="0.3">
      <c r="A995" s="51" t="s">
        <v>2255</v>
      </c>
      <c r="B995" s="54" t="s">
        <v>2256</v>
      </c>
      <c r="C995" s="51" t="s">
        <v>2765</v>
      </c>
      <c r="D995" s="53">
        <v>0</v>
      </c>
      <c r="E995" s="53">
        <v>1</v>
      </c>
      <c r="F995" s="51" t="s">
        <v>2715</v>
      </c>
      <c r="G995" s="51" t="s">
        <v>2695</v>
      </c>
      <c r="H995" s="25" t="s">
        <v>2762</v>
      </c>
      <c r="I995" t="s">
        <v>13</v>
      </c>
      <c r="J995" t="s">
        <v>209</v>
      </c>
      <c r="K995" t="s">
        <v>2214</v>
      </c>
      <c r="L995" s="25">
        <v>46.930464809999997</v>
      </c>
      <c r="M995" s="25">
        <v>6.7295651850000002</v>
      </c>
      <c r="N995">
        <v>6</v>
      </c>
      <c r="O995">
        <v>4</v>
      </c>
      <c r="P995">
        <v>11</v>
      </c>
      <c r="Q995">
        <v>2016</v>
      </c>
      <c r="R995" s="9">
        <v>42678</v>
      </c>
      <c r="S995">
        <v>295</v>
      </c>
      <c r="T995">
        <v>0</v>
      </c>
      <c r="U995">
        <v>0</v>
      </c>
      <c r="V995">
        <v>0</v>
      </c>
      <c r="W995">
        <v>1</v>
      </c>
      <c r="X995" s="57">
        <f t="shared" si="115"/>
        <v>-63.995647927499995</v>
      </c>
      <c r="Y995">
        <v>-23.98</v>
      </c>
      <c r="Z995">
        <v>8.42</v>
      </c>
      <c r="AA995" s="3">
        <f t="shared" si="116"/>
        <v>6</v>
      </c>
      <c r="AB995" s="3">
        <f t="shared" si="120"/>
        <v>8</v>
      </c>
      <c r="AD995" s="3" t="s">
        <v>2750</v>
      </c>
      <c r="AE995" s="4">
        <v>-66.193976199999994</v>
      </c>
      <c r="AF995" s="4">
        <f t="shared" si="119"/>
        <v>-75.416518341999989</v>
      </c>
      <c r="AG995" s="60" t="s">
        <v>16</v>
      </c>
      <c r="AH995" s="61" t="s">
        <v>16</v>
      </c>
      <c r="AI995" s="57">
        <f t="shared" si="117"/>
        <v>-75.416518341999989</v>
      </c>
      <c r="AJ995" s="3">
        <f t="shared" si="118"/>
        <v>8</v>
      </c>
      <c r="AK995" s="3" t="s">
        <v>2706</v>
      </c>
      <c r="AL995">
        <v>7</v>
      </c>
      <c r="AM995" t="s">
        <v>980</v>
      </c>
    </row>
    <row r="996" spans="1:39" hidden="1" x14ac:dyDescent="0.3">
      <c r="A996" s="51" t="s">
        <v>2251</v>
      </c>
      <c r="B996" s="54" t="s">
        <v>2252</v>
      </c>
      <c r="C996" s="51" t="s">
        <v>2765</v>
      </c>
      <c r="D996" s="53">
        <v>0</v>
      </c>
      <c r="E996" s="53">
        <v>1</v>
      </c>
      <c r="F996" s="51" t="s">
        <v>2715</v>
      </c>
      <c r="G996" s="51" t="s">
        <v>2695</v>
      </c>
      <c r="H996" s="25" t="s">
        <v>2762</v>
      </c>
      <c r="I996" t="s">
        <v>13</v>
      </c>
      <c r="J996" t="s">
        <v>209</v>
      </c>
      <c r="K996" t="s">
        <v>2214</v>
      </c>
      <c r="L996" s="25">
        <v>46.930448990000002</v>
      </c>
      <c r="M996" s="25">
        <v>6.7284623420000003</v>
      </c>
      <c r="N996">
        <v>6</v>
      </c>
      <c r="O996">
        <v>4</v>
      </c>
      <c r="P996">
        <v>11</v>
      </c>
      <c r="Q996">
        <v>2016</v>
      </c>
      <c r="R996" s="9">
        <v>42678</v>
      </c>
      <c r="S996">
        <v>325</v>
      </c>
      <c r="T996">
        <v>0</v>
      </c>
      <c r="U996">
        <v>0</v>
      </c>
      <c r="V996">
        <v>0</v>
      </c>
      <c r="W996">
        <v>1</v>
      </c>
      <c r="X996" s="57">
        <f t="shared" si="115"/>
        <v>-63.973999482500012</v>
      </c>
      <c r="Y996">
        <v>-24.79</v>
      </c>
      <c r="Z996">
        <v>6.02</v>
      </c>
      <c r="AA996" s="3">
        <f t="shared" si="116"/>
        <v>6</v>
      </c>
      <c r="AB996" s="3">
        <f t="shared" si="120"/>
        <v>6</v>
      </c>
      <c r="AD996" s="3" t="s">
        <v>2750</v>
      </c>
      <c r="AE996" s="4">
        <v>-66.174944600000003</v>
      </c>
      <c r="AF996" s="4">
        <f t="shared" si="119"/>
        <v>-75.399199586000009</v>
      </c>
      <c r="AG996" s="60" t="s">
        <v>16</v>
      </c>
      <c r="AH996" s="61" t="s">
        <v>16</v>
      </c>
      <c r="AI996" s="57">
        <f t="shared" si="117"/>
        <v>-75.399199586000009</v>
      </c>
      <c r="AJ996" s="3">
        <f t="shared" si="118"/>
        <v>8</v>
      </c>
      <c r="AK996" s="3" t="s">
        <v>2706</v>
      </c>
      <c r="AL996">
        <v>7</v>
      </c>
      <c r="AM996" t="s">
        <v>980</v>
      </c>
    </row>
    <row r="997" spans="1:39" hidden="1" x14ac:dyDescent="0.3">
      <c r="A997" s="51" t="s">
        <v>2277</v>
      </c>
      <c r="B997" s="54" t="s">
        <v>2278</v>
      </c>
      <c r="C997" s="51" t="s">
        <v>2765</v>
      </c>
      <c r="D997" s="53">
        <v>0</v>
      </c>
      <c r="E997" s="53">
        <v>1</v>
      </c>
      <c r="F997" s="51" t="s">
        <v>2715</v>
      </c>
      <c r="G997" s="51" t="s">
        <v>2695</v>
      </c>
      <c r="H997" s="25" t="s">
        <v>2762</v>
      </c>
      <c r="I997" t="s">
        <v>13</v>
      </c>
      <c r="J997" t="s">
        <v>1743</v>
      </c>
      <c r="K997" t="s">
        <v>1744</v>
      </c>
      <c r="L997" s="25">
        <v>46.993183960000003</v>
      </c>
      <c r="M997" s="25">
        <v>6.6971843250000003</v>
      </c>
      <c r="N997">
        <v>6</v>
      </c>
      <c r="O997">
        <v>5</v>
      </c>
      <c r="P997">
        <v>11</v>
      </c>
      <c r="Q997">
        <v>2016</v>
      </c>
      <c r="R997" s="9">
        <v>42679</v>
      </c>
      <c r="S997" t="s">
        <v>16</v>
      </c>
      <c r="T997">
        <v>0</v>
      </c>
      <c r="U997">
        <v>0</v>
      </c>
      <c r="V997">
        <v>0</v>
      </c>
      <c r="W997">
        <v>1</v>
      </c>
      <c r="X997" s="57">
        <f t="shared" si="115"/>
        <v>-62.916318312500017</v>
      </c>
      <c r="Y997">
        <v>-23.37</v>
      </c>
      <c r="Z997">
        <v>5.0599999999999996</v>
      </c>
      <c r="AA997" s="3">
        <f t="shared" si="116"/>
        <v>6</v>
      </c>
      <c r="AB997" s="3">
        <f t="shared" si="120"/>
        <v>5</v>
      </c>
      <c r="AD997" s="3" t="s">
        <v>2750</v>
      </c>
      <c r="AE997" s="4">
        <v>-65.245114999999998</v>
      </c>
      <c r="AF997" s="4">
        <f t="shared" si="119"/>
        <v>-74.553054650000007</v>
      </c>
      <c r="AG997" s="60" t="s">
        <v>16</v>
      </c>
      <c r="AH997" s="61" t="s">
        <v>16</v>
      </c>
      <c r="AI997" s="57">
        <f t="shared" si="117"/>
        <v>-74.553054650000007</v>
      </c>
      <c r="AJ997" s="3">
        <f t="shared" si="118"/>
        <v>7</v>
      </c>
      <c r="AK997" s="3" t="s">
        <v>2706</v>
      </c>
      <c r="AL997">
        <v>7</v>
      </c>
      <c r="AM997" t="s">
        <v>980</v>
      </c>
    </row>
    <row r="998" spans="1:39" hidden="1" x14ac:dyDescent="0.3">
      <c r="A998" s="51" t="s">
        <v>2421</v>
      </c>
      <c r="B998" s="54" t="s">
        <v>2422</v>
      </c>
      <c r="C998" s="51" t="s">
        <v>2765</v>
      </c>
      <c r="D998" s="53">
        <v>0</v>
      </c>
      <c r="E998" s="53">
        <v>1</v>
      </c>
      <c r="F998" s="51" t="s">
        <v>2715</v>
      </c>
      <c r="G998" s="51" t="s">
        <v>2695</v>
      </c>
      <c r="H998" s="25" t="s">
        <v>2762</v>
      </c>
      <c r="I998" t="s">
        <v>13</v>
      </c>
      <c r="J998" t="s">
        <v>1732</v>
      </c>
      <c r="K998" t="s">
        <v>1822</v>
      </c>
      <c r="L998" s="25">
        <v>46.992996320000003</v>
      </c>
      <c r="M998" s="25">
        <v>6.695990546</v>
      </c>
      <c r="N998">
        <v>6</v>
      </c>
      <c r="O998">
        <v>10</v>
      </c>
      <c r="P998">
        <v>11</v>
      </c>
      <c r="Q998">
        <v>2017</v>
      </c>
      <c r="R998" s="9">
        <v>43049</v>
      </c>
      <c r="S998" t="s">
        <v>16</v>
      </c>
      <c r="T998">
        <v>0</v>
      </c>
      <c r="U998">
        <v>0</v>
      </c>
      <c r="V998">
        <v>0</v>
      </c>
      <c r="W998">
        <v>1</v>
      </c>
      <c r="X998" s="57">
        <f t="shared" si="115"/>
        <v>-61.191635124999998</v>
      </c>
      <c r="Y998" t="s">
        <v>16</v>
      </c>
      <c r="Z998">
        <v>6.7974347110000002</v>
      </c>
      <c r="AA998" s="3">
        <f t="shared" si="116"/>
        <v>6</v>
      </c>
      <c r="AB998" s="3">
        <f t="shared" si="120"/>
        <v>7</v>
      </c>
      <c r="AD998" s="3" t="s">
        <v>2750</v>
      </c>
      <c r="AE998" s="4">
        <v>-63.728909999999999</v>
      </c>
      <c r="AF998" s="4">
        <f t="shared" si="119"/>
        <v>-73.1733081</v>
      </c>
      <c r="AG998" s="60" t="s">
        <v>16</v>
      </c>
      <c r="AH998" s="61" t="s">
        <v>16</v>
      </c>
      <c r="AI998" s="57">
        <f t="shared" si="117"/>
        <v>-73.1733081</v>
      </c>
      <c r="AJ998" s="3">
        <f t="shared" si="118"/>
        <v>7</v>
      </c>
      <c r="AK998" s="3" t="s">
        <v>2706</v>
      </c>
      <c r="AL998">
        <v>6</v>
      </c>
      <c r="AM998" t="s">
        <v>980</v>
      </c>
    </row>
    <row r="999" spans="1:39" hidden="1" x14ac:dyDescent="0.3">
      <c r="A999" s="51" t="s">
        <v>2243</v>
      </c>
      <c r="B999" s="54" t="s">
        <v>2244</v>
      </c>
      <c r="C999" s="51" t="s">
        <v>2765</v>
      </c>
      <c r="D999" s="53">
        <v>0</v>
      </c>
      <c r="E999" s="53">
        <v>1</v>
      </c>
      <c r="F999" s="51" t="s">
        <v>2715</v>
      </c>
      <c r="G999" s="51" t="s">
        <v>2695</v>
      </c>
      <c r="H999" s="25" t="s">
        <v>2762</v>
      </c>
      <c r="I999" t="s">
        <v>13</v>
      </c>
      <c r="J999" t="s">
        <v>209</v>
      </c>
      <c r="K999" t="s">
        <v>2211</v>
      </c>
      <c r="L999" s="25">
        <v>46.925020480000001</v>
      </c>
      <c r="M999" s="25">
        <v>6.7292430799999998</v>
      </c>
      <c r="N999">
        <v>6</v>
      </c>
      <c r="O999">
        <v>4</v>
      </c>
      <c r="P999">
        <v>11</v>
      </c>
      <c r="Q999">
        <v>2016</v>
      </c>
      <c r="R999" s="9">
        <v>42678</v>
      </c>
      <c r="S999">
        <v>348</v>
      </c>
      <c r="T999">
        <v>0</v>
      </c>
      <c r="U999">
        <v>0</v>
      </c>
      <c r="V999">
        <v>0</v>
      </c>
      <c r="W999">
        <v>1</v>
      </c>
      <c r="X999" s="57">
        <f t="shared" si="115"/>
        <v>-61.037542550000005</v>
      </c>
      <c r="Y999">
        <v>-24.87</v>
      </c>
      <c r="Z999">
        <v>7.1</v>
      </c>
      <c r="AA999" s="3">
        <f t="shared" si="116"/>
        <v>6</v>
      </c>
      <c r="AB999" s="3">
        <f t="shared" si="120"/>
        <v>7</v>
      </c>
      <c r="AD999" s="3" t="s">
        <v>2750</v>
      </c>
      <c r="AE999" s="4">
        <v>-63.593443999999998</v>
      </c>
      <c r="AF999" s="4">
        <f t="shared" si="119"/>
        <v>-73.05003404</v>
      </c>
      <c r="AG999" s="60" t="s">
        <v>16</v>
      </c>
      <c r="AH999" s="61" t="s">
        <v>16</v>
      </c>
      <c r="AI999" s="57">
        <f t="shared" si="117"/>
        <v>-73.05003404</v>
      </c>
      <c r="AJ999" s="3">
        <f t="shared" si="118"/>
        <v>7</v>
      </c>
      <c r="AK999" s="3" t="s">
        <v>2706</v>
      </c>
      <c r="AL999">
        <v>6</v>
      </c>
      <c r="AM999" t="s">
        <v>980</v>
      </c>
    </row>
    <row r="1000" spans="1:39" hidden="1" x14ac:dyDescent="0.3">
      <c r="A1000" s="51" t="s">
        <v>2230</v>
      </c>
      <c r="B1000" s="54" t="s">
        <v>2231</v>
      </c>
      <c r="C1000" s="51" t="s">
        <v>2765</v>
      </c>
      <c r="D1000" s="53">
        <v>0</v>
      </c>
      <c r="E1000" s="53">
        <v>1</v>
      </c>
      <c r="F1000" s="51" t="s">
        <v>2715</v>
      </c>
      <c r="G1000" s="51" t="s">
        <v>2695</v>
      </c>
      <c r="H1000" s="25" t="s">
        <v>2762</v>
      </c>
      <c r="I1000" t="s">
        <v>385</v>
      </c>
      <c r="J1000" t="s">
        <v>539</v>
      </c>
      <c r="K1000" t="s">
        <v>2229</v>
      </c>
      <c r="L1000" s="25">
        <v>46.898973419999997</v>
      </c>
      <c r="M1000" s="25">
        <v>6.6713163440000001</v>
      </c>
      <c r="N1000">
        <v>6</v>
      </c>
      <c r="O1000">
        <v>1</v>
      </c>
      <c r="P1000">
        <v>11</v>
      </c>
      <c r="Q1000">
        <v>2016</v>
      </c>
      <c r="R1000" s="9">
        <v>42675</v>
      </c>
      <c r="S1000">
        <v>295</v>
      </c>
      <c r="T1000">
        <v>0</v>
      </c>
      <c r="U1000">
        <v>0</v>
      </c>
      <c r="V1000">
        <v>0</v>
      </c>
      <c r="W1000">
        <v>1</v>
      </c>
      <c r="X1000" s="57">
        <f t="shared" si="115"/>
        <v>-60.969504579999999</v>
      </c>
      <c r="Y1000">
        <v>-22.96</v>
      </c>
      <c r="Z1000">
        <v>5.14</v>
      </c>
      <c r="AA1000" s="3">
        <f t="shared" si="116"/>
        <v>6</v>
      </c>
      <c r="AB1000" s="3">
        <f t="shared" si="120"/>
        <v>5</v>
      </c>
      <c r="AD1000" s="3" t="s">
        <v>2750</v>
      </c>
      <c r="AE1000" s="4">
        <v>-63.5336304</v>
      </c>
      <c r="AF1000" s="4">
        <f t="shared" si="119"/>
        <v>-72.995603664000001</v>
      </c>
      <c r="AG1000" s="60" t="s">
        <v>16</v>
      </c>
      <c r="AH1000" s="61" t="s">
        <v>16</v>
      </c>
      <c r="AI1000" s="57">
        <f t="shared" si="117"/>
        <v>-72.995603664000001</v>
      </c>
      <c r="AJ1000" s="3">
        <f t="shared" si="118"/>
        <v>7</v>
      </c>
      <c r="AK1000" s="3" t="s">
        <v>2706</v>
      </c>
      <c r="AL1000">
        <v>6</v>
      </c>
      <c r="AM1000" t="s">
        <v>980</v>
      </c>
    </row>
    <row r="1001" spans="1:39" hidden="1" x14ac:dyDescent="0.3">
      <c r="A1001" s="51" t="s">
        <v>2337</v>
      </c>
      <c r="B1001" s="54" t="s">
        <v>2338</v>
      </c>
      <c r="C1001" s="51" t="s">
        <v>2765</v>
      </c>
      <c r="D1001" s="53">
        <v>0</v>
      </c>
      <c r="E1001" s="53">
        <v>1</v>
      </c>
      <c r="F1001" s="51" t="s">
        <v>2715</v>
      </c>
      <c r="G1001" s="51" t="s">
        <v>2695</v>
      </c>
      <c r="H1001" s="25" t="s">
        <v>2762</v>
      </c>
      <c r="I1001" t="s">
        <v>13</v>
      </c>
      <c r="J1001" t="s">
        <v>19</v>
      </c>
      <c r="K1001" t="s">
        <v>1837</v>
      </c>
      <c r="L1001" s="25">
        <v>46.932677079999998</v>
      </c>
      <c r="M1001" s="25">
        <v>6.4638358150000004</v>
      </c>
      <c r="N1001">
        <v>6</v>
      </c>
      <c r="O1001">
        <v>26</v>
      </c>
      <c r="P1001">
        <v>10</v>
      </c>
      <c r="Q1001">
        <v>2017</v>
      </c>
      <c r="R1001" s="9">
        <v>43034</v>
      </c>
      <c r="S1001" t="s">
        <v>16</v>
      </c>
      <c r="T1001">
        <v>0</v>
      </c>
      <c r="U1001">
        <v>0</v>
      </c>
      <c r="V1001">
        <v>0</v>
      </c>
      <c r="W1001">
        <v>1</v>
      </c>
      <c r="X1001" s="57">
        <f t="shared" si="115"/>
        <v>-60.96903775000002</v>
      </c>
      <c r="Y1001" t="s">
        <v>16</v>
      </c>
      <c r="Z1001">
        <v>6.5312558430000003</v>
      </c>
      <c r="AA1001" s="3">
        <f t="shared" si="116"/>
        <v>6</v>
      </c>
      <c r="AB1001" s="3">
        <f t="shared" si="120"/>
        <v>7</v>
      </c>
      <c r="AD1001" s="3" t="s">
        <v>2750</v>
      </c>
      <c r="AE1001" s="4">
        <v>-63.53322</v>
      </c>
      <c r="AF1001" s="4">
        <f t="shared" si="119"/>
        <v>-72.995230200000009</v>
      </c>
      <c r="AG1001" s="60" t="s">
        <v>16</v>
      </c>
      <c r="AH1001" s="61" t="s">
        <v>16</v>
      </c>
      <c r="AI1001" s="57">
        <f t="shared" si="117"/>
        <v>-72.995230200000009</v>
      </c>
      <c r="AJ1001" s="3">
        <f t="shared" si="118"/>
        <v>7</v>
      </c>
      <c r="AK1001" s="3" t="s">
        <v>2706</v>
      </c>
      <c r="AL1001">
        <v>6</v>
      </c>
      <c r="AM1001" t="s">
        <v>980</v>
      </c>
    </row>
    <row r="1002" spans="1:39" hidden="1" x14ac:dyDescent="0.3">
      <c r="A1002" s="51" t="s">
        <v>1754</v>
      </c>
      <c r="B1002" s="54" t="s">
        <v>1755</v>
      </c>
      <c r="C1002" s="51" t="s">
        <v>2765</v>
      </c>
      <c r="D1002" s="53">
        <v>0</v>
      </c>
      <c r="E1002" s="53">
        <v>1</v>
      </c>
      <c r="F1002" s="51" t="s">
        <v>2715</v>
      </c>
      <c r="G1002" s="51" t="s">
        <v>2695</v>
      </c>
      <c r="H1002" s="25" t="s">
        <v>2762</v>
      </c>
      <c r="I1002" t="s">
        <v>385</v>
      </c>
      <c r="J1002" t="s">
        <v>539</v>
      </c>
      <c r="K1002" t="s">
        <v>1753</v>
      </c>
      <c r="L1002" s="25">
        <v>46.885110930000003</v>
      </c>
      <c r="M1002" s="25">
        <v>6.6244240879999996</v>
      </c>
      <c r="N1002">
        <v>6</v>
      </c>
      <c r="O1002">
        <v>20</v>
      </c>
      <c r="P1002">
        <v>10</v>
      </c>
      <c r="Q1002">
        <v>2016</v>
      </c>
      <c r="R1002" s="9">
        <v>42663</v>
      </c>
      <c r="S1002">
        <v>328</v>
      </c>
      <c r="T1002">
        <v>0</v>
      </c>
      <c r="U1002">
        <v>0</v>
      </c>
      <c r="V1002">
        <v>0</v>
      </c>
      <c r="W1002">
        <v>1</v>
      </c>
      <c r="X1002" s="57">
        <f t="shared" ref="X1002:X1033" si="121">1.25*AF1002+30.275</f>
        <v>-60.725186415000003</v>
      </c>
      <c r="Y1002">
        <v>-22.29</v>
      </c>
      <c r="Z1002">
        <v>2.75</v>
      </c>
      <c r="AA1002" s="3">
        <f t="shared" ref="AA1002:AA1033" si="122">-ROUNDDOWN(X1002/10,0)</f>
        <v>6</v>
      </c>
      <c r="AB1002" s="3">
        <f t="shared" si="120"/>
        <v>3</v>
      </c>
      <c r="AD1002" s="3" t="s">
        <v>2750</v>
      </c>
      <c r="AE1002" s="4">
        <v>-63.318845199999998</v>
      </c>
      <c r="AF1002" s="4">
        <f t="shared" si="119"/>
        <v>-72.800149132000001</v>
      </c>
      <c r="AG1002" s="60" t="s">
        <v>16</v>
      </c>
      <c r="AH1002" s="61" t="s">
        <v>16</v>
      </c>
      <c r="AI1002" s="57">
        <f t="shared" ref="AI1002:AI1033" si="123">(-15.18) + 0.91*AE1002</f>
        <v>-72.800149132000001</v>
      </c>
      <c r="AJ1002" s="3">
        <f t="shared" ref="AJ1002:AJ1033" si="124">-ROUND(AF1002/10,0)</f>
        <v>7</v>
      </c>
      <c r="AK1002" s="3" t="s">
        <v>2706</v>
      </c>
      <c r="AL1002">
        <v>6</v>
      </c>
      <c r="AM1002" t="s">
        <v>980</v>
      </c>
    </row>
    <row r="1003" spans="1:39" hidden="1" x14ac:dyDescent="0.3">
      <c r="A1003" s="51" t="s">
        <v>2399</v>
      </c>
      <c r="B1003" s="54" t="s">
        <v>2400</v>
      </c>
      <c r="C1003" s="51" t="s">
        <v>2765</v>
      </c>
      <c r="D1003" s="53">
        <v>0</v>
      </c>
      <c r="E1003" s="53">
        <v>1</v>
      </c>
      <c r="F1003" s="51" t="s">
        <v>2715</v>
      </c>
      <c r="G1003" s="51" t="s">
        <v>2695</v>
      </c>
      <c r="H1003" s="25" t="s">
        <v>2762</v>
      </c>
      <c r="I1003" t="s">
        <v>385</v>
      </c>
      <c r="J1003" t="s">
        <v>539</v>
      </c>
      <c r="K1003" t="s">
        <v>2325</v>
      </c>
      <c r="L1003" s="25">
        <v>46.901511579999998</v>
      </c>
      <c r="M1003" s="25">
        <v>6.6769105839999998</v>
      </c>
      <c r="N1003">
        <v>6</v>
      </c>
      <c r="O1003">
        <v>2</v>
      </c>
      <c r="P1003">
        <v>11</v>
      </c>
      <c r="Q1003">
        <v>2017</v>
      </c>
      <c r="R1003" s="9">
        <v>43041</v>
      </c>
      <c r="S1003" t="s">
        <v>16</v>
      </c>
      <c r="T1003">
        <v>0</v>
      </c>
      <c r="U1003">
        <v>0</v>
      </c>
      <c r="V1003">
        <v>0</v>
      </c>
      <c r="W1003">
        <v>1</v>
      </c>
      <c r="X1003" s="57">
        <f t="shared" si="121"/>
        <v>-60.112101215000003</v>
      </c>
      <c r="Y1003" t="s">
        <v>16</v>
      </c>
      <c r="Z1003">
        <v>5.5919840189999999</v>
      </c>
      <c r="AA1003" s="3">
        <f t="shared" si="122"/>
        <v>6</v>
      </c>
      <c r="AB1003" s="3">
        <f t="shared" si="120"/>
        <v>6</v>
      </c>
      <c r="AD1003" s="3" t="s">
        <v>2750</v>
      </c>
      <c r="AE1003" s="4">
        <v>-62.7798692</v>
      </c>
      <c r="AF1003" s="4">
        <f t="shared" si="119"/>
        <v>-72.309680971999995</v>
      </c>
      <c r="AG1003" s="60" t="s">
        <v>16</v>
      </c>
      <c r="AH1003" s="61" t="s">
        <v>16</v>
      </c>
      <c r="AI1003" s="57">
        <f t="shared" si="123"/>
        <v>-72.309680971999995</v>
      </c>
      <c r="AJ1003" s="3">
        <f t="shared" si="124"/>
        <v>7</v>
      </c>
      <c r="AK1003" s="3" t="s">
        <v>2706</v>
      </c>
      <c r="AL1003">
        <v>6</v>
      </c>
      <c r="AM1003" t="s">
        <v>980</v>
      </c>
    </row>
    <row r="1004" spans="1:39" hidden="1" x14ac:dyDescent="0.3">
      <c r="A1004" s="51" t="s">
        <v>1749</v>
      </c>
      <c r="B1004" s="54" t="s">
        <v>1750</v>
      </c>
      <c r="C1004" s="51" t="s">
        <v>2765</v>
      </c>
      <c r="D1004" s="53">
        <v>0</v>
      </c>
      <c r="E1004" s="53">
        <v>1</v>
      </c>
      <c r="F1004" s="51" t="s">
        <v>2715</v>
      </c>
      <c r="G1004" s="51" t="s">
        <v>2695</v>
      </c>
      <c r="H1004" s="25" t="s">
        <v>2762</v>
      </c>
      <c r="I1004" t="s">
        <v>13</v>
      </c>
      <c r="J1004" t="s">
        <v>1743</v>
      </c>
      <c r="K1004" t="s">
        <v>1744</v>
      </c>
      <c r="L1004" s="25">
        <v>46.994028620000002</v>
      </c>
      <c r="M1004" s="25">
        <v>6.6984347900000003</v>
      </c>
      <c r="N1004">
        <v>6</v>
      </c>
      <c r="O1004">
        <v>18</v>
      </c>
      <c r="P1004">
        <v>10</v>
      </c>
      <c r="Q1004">
        <v>2016</v>
      </c>
      <c r="R1004" s="9">
        <v>42661</v>
      </c>
      <c r="S1004">
        <v>340</v>
      </c>
      <c r="T1004">
        <v>0</v>
      </c>
      <c r="U1004">
        <v>0</v>
      </c>
      <c r="V1004">
        <v>0</v>
      </c>
      <c r="W1004">
        <v>1</v>
      </c>
      <c r="X1004" s="57">
        <f t="shared" si="121"/>
        <v>-60.015426682499999</v>
      </c>
      <c r="Y1004">
        <v>-23.62</v>
      </c>
      <c r="Z1004">
        <v>8.77</v>
      </c>
      <c r="AA1004" s="3">
        <f t="shared" si="122"/>
        <v>6</v>
      </c>
      <c r="AB1004" s="3">
        <f t="shared" si="120"/>
        <v>9</v>
      </c>
      <c r="AD1004" s="3" t="s">
        <v>2750</v>
      </c>
      <c r="AE1004" s="4">
        <v>-62.694880599999998</v>
      </c>
      <c r="AF1004" s="4">
        <f t="shared" si="119"/>
        <v>-72.232341345999998</v>
      </c>
      <c r="AG1004" s="60" t="s">
        <v>16</v>
      </c>
      <c r="AH1004" s="61" t="s">
        <v>16</v>
      </c>
      <c r="AI1004" s="57">
        <f t="shared" si="123"/>
        <v>-72.232341345999998</v>
      </c>
      <c r="AJ1004" s="3">
        <f t="shared" si="124"/>
        <v>7</v>
      </c>
      <c r="AK1004" s="3" t="s">
        <v>2706</v>
      </c>
      <c r="AL1004">
        <v>6</v>
      </c>
      <c r="AM1004" t="s">
        <v>980</v>
      </c>
    </row>
    <row r="1005" spans="1:39" hidden="1" x14ac:dyDescent="0.3">
      <c r="A1005" s="51" t="s">
        <v>1833</v>
      </c>
      <c r="B1005" s="54" t="s">
        <v>1834</v>
      </c>
      <c r="C1005" s="51" t="s">
        <v>2765</v>
      </c>
      <c r="D1005" s="53">
        <v>0</v>
      </c>
      <c r="E1005" s="53">
        <v>1</v>
      </c>
      <c r="F1005" s="51" t="s">
        <v>2715</v>
      </c>
      <c r="G1005" s="51" t="s">
        <v>2695</v>
      </c>
      <c r="H1005" s="25" t="s">
        <v>2762</v>
      </c>
      <c r="I1005" t="s">
        <v>13</v>
      </c>
      <c r="J1005" t="s">
        <v>1732</v>
      </c>
      <c r="K1005" t="s">
        <v>1822</v>
      </c>
      <c r="L1005" s="25">
        <v>46.996325820000003</v>
      </c>
      <c r="M1005" s="25">
        <v>6.7003489859999998</v>
      </c>
      <c r="N1005">
        <v>6</v>
      </c>
      <c r="O1005">
        <v>5</v>
      </c>
      <c r="P1005">
        <v>10</v>
      </c>
      <c r="Q1005">
        <v>2017</v>
      </c>
      <c r="R1005" s="9">
        <v>43013</v>
      </c>
      <c r="S1005" t="s">
        <v>16</v>
      </c>
      <c r="T1005">
        <v>0</v>
      </c>
      <c r="U1005">
        <v>0</v>
      </c>
      <c r="V1005">
        <v>0</v>
      </c>
      <c r="W1005">
        <v>1</v>
      </c>
      <c r="X1005" s="57">
        <f t="shared" si="121"/>
        <v>-59.985828250000004</v>
      </c>
      <c r="Y1005" t="s">
        <v>16</v>
      </c>
      <c r="Z1005">
        <v>5.4664398790000002</v>
      </c>
      <c r="AA1005" s="3">
        <f t="shared" si="122"/>
        <v>5</v>
      </c>
      <c r="AB1005" s="3">
        <f t="shared" si="120"/>
        <v>5</v>
      </c>
      <c r="AD1005" s="3" t="s">
        <v>2750</v>
      </c>
      <c r="AE1005" s="4">
        <v>-62.668860000000002</v>
      </c>
      <c r="AF1005" s="4">
        <f t="shared" si="119"/>
        <v>-72.208662599999997</v>
      </c>
      <c r="AG1005" s="60" t="s">
        <v>16</v>
      </c>
      <c r="AH1005" s="61" t="s">
        <v>16</v>
      </c>
      <c r="AI1005" s="57">
        <f t="shared" si="123"/>
        <v>-72.208662599999997</v>
      </c>
      <c r="AJ1005" s="3">
        <f t="shared" si="124"/>
        <v>7</v>
      </c>
      <c r="AK1005" s="3" t="s">
        <v>2706</v>
      </c>
      <c r="AL1005">
        <v>6</v>
      </c>
      <c r="AM1005" t="s">
        <v>980</v>
      </c>
    </row>
    <row r="1006" spans="1:39" hidden="1" x14ac:dyDescent="0.3">
      <c r="A1006" s="51" t="s">
        <v>2257</v>
      </c>
      <c r="B1006" s="54" t="s">
        <v>2258</v>
      </c>
      <c r="C1006" s="51" t="s">
        <v>2765</v>
      </c>
      <c r="D1006" s="53">
        <v>0</v>
      </c>
      <c r="E1006" s="53">
        <v>1</v>
      </c>
      <c r="F1006" s="51" t="s">
        <v>2715</v>
      </c>
      <c r="G1006" s="51" t="s">
        <v>2695</v>
      </c>
      <c r="H1006" s="25" t="s">
        <v>2762</v>
      </c>
      <c r="I1006" t="s">
        <v>13</v>
      </c>
      <c r="J1006" t="s">
        <v>1715</v>
      </c>
      <c r="K1006" t="s">
        <v>1764</v>
      </c>
      <c r="L1006" s="25">
        <v>46.936774159999999</v>
      </c>
      <c r="M1006" s="25">
        <v>6.4653572759999998</v>
      </c>
      <c r="N1006">
        <v>6</v>
      </c>
      <c r="O1006">
        <v>5</v>
      </c>
      <c r="P1006">
        <v>11</v>
      </c>
      <c r="Q1006">
        <v>2016</v>
      </c>
      <c r="R1006" s="9">
        <v>42679</v>
      </c>
      <c r="S1006">
        <v>370</v>
      </c>
      <c r="T1006">
        <v>0</v>
      </c>
      <c r="U1006">
        <v>0</v>
      </c>
      <c r="V1006">
        <v>0</v>
      </c>
      <c r="W1006">
        <v>1</v>
      </c>
      <c r="X1006" s="57">
        <f t="shared" si="121"/>
        <v>-59.695338960000022</v>
      </c>
      <c r="Y1006">
        <v>-23.83</v>
      </c>
      <c r="Z1006">
        <v>4.59</v>
      </c>
      <c r="AA1006" s="3">
        <f t="shared" si="122"/>
        <v>5</v>
      </c>
      <c r="AB1006" s="3">
        <f t="shared" si="120"/>
        <v>5</v>
      </c>
      <c r="AD1006" s="3" t="s">
        <v>2750</v>
      </c>
      <c r="AE1006" s="4">
        <v>-62.413484799999999</v>
      </c>
      <c r="AF1006" s="4">
        <f t="shared" si="119"/>
        <v>-71.976271168000011</v>
      </c>
      <c r="AG1006" s="60" t="s">
        <v>16</v>
      </c>
      <c r="AH1006" s="61" t="s">
        <v>16</v>
      </c>
      <c r="AI1006" s="57">
        <f t="shared" si="123"/>
        <v>-71.976271168000011</v>
      </c>
      <c r="AJ1006" s="3">
        <f t="shared" si="124"/>
        <v>7</v>
      </c>
      <c r="AK1006" s="3" t="s">
        <v>2706</v>
      </c>
      <c r="AL1006">
        <v>6</v>
      </c>
      <c r="AM1006" t="s">
        <v>980</v>
      </c>
    </row>
    <row r="1007" spans="1:39" hidden="1" x14ac:dyDescent="0.3">
      <c r="A1007" s="51" t="s">
        <v>1817</v>
      </c>
      <c r="B1007" s="54" t="s">
        <v>1818</v>
      </c>
      <c r="C1007" s="51" t="s">
        <v>2765</v>
      </c>
      <c r="D1007" s="53">
        <v>0</v>
      </c>
      <c r="E1007" s="53">
        <v>1</v>
      </c>
      <c r="F1007" s="51" t="s">
        <v>2715</v>
      </c>
      <c r="G1007" s="51" t="s">
        <v>2695</v>
      </c>
      <c r="H1007" s="25" t="s">
        <v>2762</v>
      </c>
      <c r="I1007" t="s">
        <v>385</v>
      </c>
      <c r="J1007" t="s">
        <v>539</v>
      </c>
      <c r="K1007" t="s">
        <v>1819</v>
      </c>
      <c r="L1007" s="25">
        <v>46.903656150000003</v>
      </c>
      <c r="M1007" s="25">
        <v>6.6734020569999997</v>
      </c>
      <c r="N1007">
        <v>6</v>
      </c>
      <c r="O1007">
        <v>20</v>
      </c>
      <c r="P1007">
        <v>9</v>
      </c>
      <c r="Q1007">
        <v>2017</v>
      </c>
      <c r="R1007" s="9">
        <v>42998</v>
      </c>
      <c r="S1007" t="s">
        <v>16</v>
      </c>
      <c r="T1007">
        <v>0</v>
      </c>
      <c r="U1007">
        <v>0</v>
      </c>
      <c r="V1007">
        <v>0</v>
      </c>
      <c r="W1007">
        <v>1</v>
      </c>
      <c r="X1007" s="57">
        <f t="shared" si="121"/>
        <v>-59.660208410000003</v>
      </c>
      <c r="Y1007" t="s">
        <v>16</v>
      </c>
      <c r="Z1007">
        <v>-2.0447229469999999</v>
      </c>
      <c r="AA1007" s="3">
        <f t="shared" si="122"/>
        <v>5</v>
      </c>
      <c r="AB1007" s="3">
        <f t="shared" si="120"/>
        <v>-2</v>
      </c>
      <c r="AD1007" s="3" t="s">
        <v>2750</v>
      </c>
      <c r="AE1007" s="4">
        <v>-62.382600799999999</v>
      </c>
      <c r="AF1007" s="4">
        <f t="shared" si="119"/>
        <v>-71.948166728000004</v>
      </c>
      <c r="AG1007" s="60" t="s">
        <v>16</v>
      </c>
      <c r="AH1007" s="61" t="s">
        <v>16</v>
      </c>
      <c r="AI1007" s="57">
        <f t="shared" si="123"/>
        <v>-71.948166728000004</v>
      </c>
      <c r="AJ1007" s="3">
        <f t="shared" si="124"/>
        <v>7</v>
      </c>
      <c r="AK1007" s="3" t="s">
        <v>2706</v>
      </c>
      <c r="AL1007">
        <v>6</v>
      </c>
      <c r="AM1007" t="s">
        <v>980</v>
      </c>
    </row>
    <row r="1008" spans="1:39" hidden="1" x14ac:dyDescent="0.3">
      <c r="A1008" s="51" t="s">
        <v>2227</v>
      </c>
      <c r="B1008" s="54" t="s">
        <v>2228</v>
      </c>
      <c r="C1008" s="51" t="s">
        <v>2765</v>
      </c>
      <c r="D1008" s="53">
        <v>0</v>
      </c>
      <c r="E1008" s="53">
        <v>1</v>
      </c>
      <c r="F1008" s="51" t="s">
        <v>2715</v>
      </c>
      <c r="G1008" s="51" t="s">
        <v>2695</v>
      </c>
      <c r="H1008" s="25" t="s">
        <v>2762</v>
      </c>
      <c r="I1008" t="s">
        <v>385</v>
      </c>
      <c r="J1008" t="s">
        <v>539</v>
      </c>
      <c r="K1008" t="s">
        <v>2229</v>
      </c>
      <c r="L1008" s="25">
        <v>46.8994401</v>
      </c>
      <c r="M1008" s="25">
        <v>6.6711521969999996</v>
      </c>
      <c r="N1008">
        <v>6</v>
      </c>
      <c r="O1008">
        <v>1</v>
      </c>
      <c r="P1008">
        <v>11</v>
      </c>
      <c r="Q1008">
        <v>2016</v>
      </c>
      <c r="R1008" s="9">
        <v>42675</v>
      </c>
      <c r="S1008">
        <v>340</v>
      </c>
      <c r="T1008">
        <v>0</v>
      </c>
      <c r="U1008">
        <v>0</v>
      </c>
      <c r="V1008">
        <v>0</v>
      </c>
      <c r="W1008">
        <v>1</v>
      </c>
      <c r="X1008" s="57">
        <f t="shared" si="121"/>
        <v>-58.320662702499995</v>
      </c>
      <c r="Y1008">
        <v>-24.32</v>
      </c>
      <c r="Z1008">
        <v>6.65</v>
      </c>
      <c r="AA1008" s="3">
        <f t="shared" si="122"/>
        <v>5</v>
      </c>
      <c r="AB1008" s="3">
        <f t="shared" si="120"/>
        <v>7</v>
      </c>
      <c r="AD1008" s="3" t="s">
        <v>2750</v>
      </c>
      <c r="AE1008" s="4">
        <v>-61.204978199999999</v>
      </c>
      <c r="AF1008" s="4">
        <f t="shared" si="119"/>
        <v>-70.876530161999995</v>
      </c>
      <c r="AG1008" s="60" t="s">
        <v>16</v>
      </c>
      <c r="AH1008" s="61" t="s">
        <v>16</v>
      </c>
      <c r="AI1008" s="57">
        <f t="shared" si="123"/>
        <v>-70.876530161999995</v>
      </c>
      <c r="AJ1008" s="3">
        <f t="shared" si="124"/>
        <v>7</v>
      </c>
      <c r="AK1008" s="3" t="s">
        <v>2706</v>
      </c>
      <c r="AL1008">
        <v>6</v>
      </c>
      <c r="AM1008" t="s">
        <v>980</v>
      </c>
    </row>
    <row r="1009" spans="1:39" hidden="1" x14ac:dyDescent="0.3">
      <c r="A1009" s="51" t="s">
        <v>2245</v>
      </c>
      <c r="B1009" s="54" t="s">
        <v>2246</v>
      </c>
      <c r="C1009" s="51" t="s">
        <v>2765</v>
      </c>
      <c r="D1009" s="53">
        <v>0</v>
      </c>
      <c r="E1009" s="53">
        <v>1</v>
      </c>
      <c r="F1009" s="51" t="s">
        <v>2715</v>
      </c>
      <c r="G1009" s="51" t="s">
        <v>2695</v>
      </c>
      <c r="H1009" s="25" t="s">
        <v>2762</v>
      </c>
      <c r="I1009" t="s">
        <v>13</v>
      </c>
      <c r="J1009" t="s">
        <v>209</v>
      </c>
      <c r="K1009" t="s">
        <v>2211</v>
      </c>
      <c r="L1009" s="25">
        <v>46.924604879999997</v>
      </c>
      <c r="M1009" s="25">
        <v>6.7275022550000001</v>
      </c>
      <c r="N1009">
        <v>6</v>
      </c>
      <c r="O1009">
        <v>4</v>
      </c>
      <c r="P1009">
        <v>11</v>
      </c>
      <c r="Q1009">
        <v>2016</v>
      </c>
      <c r="R1009" s="9">
        <v>42678</v>
      </c>
      <c r="S1009">
        <v>320</v>
      </c>
      <c r="T1009">
        <v>0</v>
      </c>
      <c r="U1009">
        <v>0</v>
      </c>
      <c r="V1009">
        <v>0</v>
      </c>
      <c r="W1009">
        <v>1</v>
      </c>
      <c r="X1009" s="57">
        <f t="shared" si="121"/>
        <v>-58.042402220000007</v>
      </c>
      <c r="Y1009">
        <v>-24.94</v>
      </c>
      <c r="Z1009">
        <v>7.21</v>
      </c>
      <c r="AA1009" s="3">
        <f t="shared" si="122"/>
        <v>5</v>
      </c>
      <c r="AB1009" s="3">
        <f t="shared" si="120"/>
        <v>7</v>
      </c>
      <c r="AD1009" s="3" t="s">
        <v>2750</v>
      </c>
      <c r="AE1009" s="4">
        <v>-60.960353599999998</v>
      </c>
      <c r="AF1009" s="4">
        <f t="shared" si="119"/>
        <v>-70.653921776000004</v>
      </c>
      <c r="AG1009" s="60" t="s">
        <v>16</v>
      </c>
      <c r="AH1009" s="61" t="s">
        <v>16</v>
      </c>
      <c r="AI1009" s="57">
        <f t="shared" si="123"/>
        <v>-70.653921776000004</v>
      </c>
      <c r="AJ1009" s="3">
        <f t="shared" si="124"/>
        <v>7</v>
      </c>
      <c r="AK1009" s="3" t="s">
        <v>2706</v>
      </c>
      <c r="AL1009">
        <v>6</v>
      </c>
      <c r="AM1009" t="s">
        <v>980</v>
      </c>
    </row>
    <row r="1010" spans="1:39" hidden="1" x14ac:dyDescent="0.3">
      <c r="A1010" s="51" t="s">
        <v>2241</v>
      </c>
      <c r="B1010" s="54" t="s">
        <v>2242</v>
      </c>
      <c r="C1010" s="51" t="s">
        <v>2765</v>
      </c>
      <c r="D1010" s="53">
        <v>0</v>
      </c>
      <c r="E1010" s="53">
        <v>1</v>
      </c>
      <c r="F1010" s="51" t="s">
        <v>2715</v>
      </c>
      <c r="G1010" s="51" t="s">
        <v>2695</v>
      </c>
      <c r="H1010" s="25" t="s">
        <v>2762</v>
      </c>
      <c r="I1010" t="s">
        <v>13</v>
      </c>
      <c r="J1010" t="s">
        <v>209</v>
      </c>
      <c r="K1010" t="s">
        <v>2211</v>
      </c>
      <c r="L1010" s="25">
        <v>46.926711760000003</v>
      </c>
      <c r="M1010" s="25">
        <v>6.7336326629999999</v>
      </c>
      <c r="N1010">
        <v>6</v>
      </c>
      <c r="O1010">
        <v>4</v>
      </c>
      <c r="P1010">
        <v>11</v>
      </c>
      <c r="Q1010">
        <v>2016</v>
      </c>
      <c r="R1010" s="9">
        <v>42678</v>
      </c>
      <c r="S1010">
        <v>315</v>
      </c>
      <c r="T1010">
        <v>0</v>
      </c>
      <c r="U1010">
        <v>0</v>
      </c>
      <c r="V1010">
        <v>0</v>
      </c>
      <c r="W1010">
        <v>1</v>
      </c>
      <c r="X1010" s="57">
        <f t="shared" si="121"/>
        <v>-57.694404115000005</v>
      </c>
      <c r="Y1010">
        <v>-24.18</v>
      </c>
      <c r="Z1010">
        <v>6.27</v>
      </c>
      <c r="AA1010" s="3">
        <f t="shared" si="122"/>
        <v>5</v>
      </c>
      <c r="AB1010" s="3">
        <f t="shared" si="120"/>
        <v>6</v>
      </c>
      <c r="AD1010" s="3" t="s">
        <v>2750</v>
      </c>
      <c r="AE1010" s="4">
        <v>-60.654421200000002</v>
      </c>
      <c r="AF1010" s="4">
        <f t="shared" si="119"/>
        <v>-70.375523291999997</v>
      </c>
      <c r="AG1010" s="60" t="s">
        <v>16</v>
      </c>
      <c r="AH1010" s="61" t="s">
        <v>16</v>
      </c>
      <c r="AI1010" s="57">
        <f t="shared" si="123"/>
        <v>-70.375523291999997</v>
      </c>
      <c r="AJ1010" s="3">
        <f t="shared" si="124"/>
        <v>7</v>
      </c>
      <c r="AK1010" s="3" t="s">
        <v>2706</v>
      </c>
      <c r="AL1010">
        <v>6</v>
      </c>
      <c r="AM1010" t="s">
        <v>980</v>
      </c>
    </row>
    <row r="1011" spans="1:39" hidden="1" x14ac:dyDescent="0.3">
      <c r="A1011" s="51" t="s">
        <v>2410</v>
      </c>
      <c r="B1011" s="54" t="s">
        <v>2411</v>
      </c>
      <c r="C1011" s="51" t="s">
        <v>2765</v>
      </c>
      <c r="D1011" s="53">
        <v>0</v>
      </c>
      <c r="E1011" s="53">
        <v>1</v>
      </c>
      <c r="F1011" s="51" t="s">
        <v>2715</v>
      </c>
      <c r="G1011" s="51" t="s">
        <v>2695</v>
      </c>
      <c r="H1011" s="25" t="s">
        <v>2762</v>
      </c>
      <c r="I1011" t="s">
        <v>385</v>
      </c>
      <c r="J1011" t="s">
        <v>386</v>
      </c>
      <c r="K1011" t="s">
        <v>2407</v>
      </c>
      <c r="L1011" s="25">
        <v>46.867533379999998</v>
      </c>
      <c r="M1011" s="25">
        <v>6.5801466179999997</v>
      </c>
      <c r="N1011">
        <v>6</v>
      </c>
      <c r="O1011">
        <v>3</v>
      </c>
      <c r="P1011">
        <v>11</v>
      </c>
      <c r="Q1011">
        <v>2017</v>
      </c>
      <c r="R1011" s="9">
        <v>43042</v>
      </c>
      <c r="S1011" t="s">
        <v>16</v>
      </c>
      <c r="T1011">
        <v>0</v>
      </c>
      <c r="U1011">
        <v>0</v>
      </c>
      <c r="V1011">
        <v>0</v>
      </c>
      <c r="W1011">
        <v>1</v>
      </c>
      <c r="X1011" s="57">
        <f t="shared" si="121"/>
        <v>-57.601195772500013</v>
      </c>
      <c r="Y1011" t="s">
        <v>16</v>
      </c>
      <c r="Z1011">
        <v>9.4985162150000004</v>
      </c>
      <c r="AA1011" s="3">
        <f t="shared" si="122"/>
        <v>5</v>
      </c>
      <c r="AB1011" s="3">
        <f t="shared" si="120"/>
        <v>9</v>
      </c>
      <c r="AD1011" s="3" t="s">
        <v>2750</v>
      </c>
      <c r="AE1011" s="4">
        <v>-60.572479800000004</v>
      </c>
      <c r="AF1011" s="4">
        <f t="shared" si="119"/>
        <v>-70.300956618000015</v>
      </c>
      <c r="AG1011" s="60" t="s">
        <v>16</v>
      </c>
      <c r="AH1011" s="61" t="s">
        <v>16</v>
      </c>
      <c r="AI1011" s="57">
        <f t="shared" si="123"/>
        <v>-70.300956618000015</v>
      </c>
      <c r="AJ1011" s="3">
        <f t="shared" si="124"/>
        <v>7</v>
      </c>
      <c r="AK1011" s="3" t="s">
        <v>2706</v>
      </c>
      <c r="AL1011">
        <v>6</v>
      </c>
      <c r="AM1011" t="s">
        <v>980</v>
      </c>
    </row>
    <row r="1012" spans="1:39" hidden="1" x14ac:dyDescent="0.3">
      <c r="A1012" s="51" t="s">
        <v>2285</v>
      </c>
      <c r="B1012" s="54" t="s">
        <v>2286</v>
      </c>
      <c r="C1012" s="51" t="s">
        <v>2765</v>
      </c>
      <c r="D1012" s="53">
        <v>0</v>
      </c>
      <c r="E1012" s="53">
        <v>1</v>
      </c>
      <c r="F1012" s="51" t="s">
        <v>2715</v>
      </c>
      <c r="G1012" s="51" t="s">
        <v>2695</v>
      </c>
      <c r="H1012" s="25" t="s">
        <v>2762</v>
      </c>
      <c r="I1012" t="s">
        <v>13</v>
      </c>
      <c r="J1012" t="s">
        <v>2283</v>
      </c>
      <c r="K1012" t="s">
        <v>2284</v>
      </c>
      <c r="L1012" s="25">
        <v>46.974319010000002</v>
      </c>
      <c r="M1012" s="25">
        <v>6.6683343730000004</v>
      </c>
      <c r="N1012">
        <v>6</v>
      </c>
      <c r="O1012">
        <v>5</v>
      </c>
      <c r="P1012">
        <v>11</v>
      </c>
      <c r="Q1012">
        <v>2016</v>
      </c>
      <c r="R1012" s="9">
        <v>42679</v>
      </c>
      <c r="S1012" t="s">
        <v>16</v>
      </c>
      <c r="T1012">
        <v>0</v>
      </c>
      <c r="U1012">
        <v>0</v>
      </c>
      <c r="V1012">
        <v>0</v>
      </c>
      <c r="W1012">
        <v>1</v>
      </c>
      <c r="X1012" s="57">
        <f t="shared" si="121"/>
        <v>-56.737233582500018</v>
      </c>
      <c r="Y1012">
        <v>-24.38</v>
      </c>
      <c r="Z1012">
        <v>6.86</v>
      </c>
      <c r="AA1012" s="3">
        <f t="shared" si="122"/>
        <v>5</v>
      </c>
      <c r="AB1012" s="3">
        <f t="shared" si="120"/>
        <v>7</v>
      </c>
      <c r="AD1012" s="3" t="s">
        <v>2750</v>
      </c>
      <c r="AE1012" s="4">
        <v>-59.812952600000003</v>
      </c>
      <c r="AF1012" s="4">
        <f t="shared" si="119"/>
        <v>-69.609786866000007</v>
      </c>
      <c r="AG1012" s="60" t="s">
        <v>16</v>
      </c>
      <c r="AH1012" s="61" t="s">
        <v>16</v>
      </c>
      <c r="AI1012" s="57">
        <f t="shared" si="123"/>
        <v>-69.609786866000007</v>
      </c>
      <c r="AJ1012" s="3">
        <f t="shared" si="124"/>
        <v>7</v>
      </c>
      <c r="AK1012" s="3" t="s">
        <v>2706</v>
      </c>
      <c r="AL1012">
        <v>6</v>
      </c>
      <c r="AM1012" t="s">
        <v>980</v>
      </c>
    </row>
    <row r="1013" spans="1:39" hidden="1" x14ac:dyDescent="0.3">
      <c r="A1013" s="51" t="s">
        <v>1844</v>
      </c>
      <c r="B1013" s="54" t="s">
        <v>1845</v>
      </c>
      <c r="C1013" s="51" t="s">
        <v>2765</v>
      </c>
      <c r="D1013" s="53">
        <v>0</v>
      </c>
      <c r="E1013" s="53">
        <v>1</v>
      </c>
      <c r="F1013" s="51" t="s">
        <v>2715</v>
      </c>
      <c r="G1013" s="51" t="s">
        <v>2695</v>
      </c>
      <c r="H1013" s="25" t="s">
        <v>2762</v>
      </c>
      <c r="I1013" t="s">
        <v>13</v>
      </c>
      <c r="J1013" t="s">
        <v>386</v>
      </c>
      <c r="K1013" t="s">
        <v>1832</v>
      </c>
      <c r="L1013" s="25">
        <v>46.847447529999997</v>
      </c>
      <c r="M1013" s="25">
        <v>6.5382737249999998</v>
      </c>
      <c r="N1013">
        <v>6</v>
      </c>
      <c r="O1013">
        <v>18</v>
      </c>
      <c r="P1013">
        <v>10</v>
      </c>
      <c r="Q1013">
        <v>2017</v>
      </c>
      <c r="R1013" s="9">
        <v>43026</v>
      </c>
      <c r="S1013" t="s">
        <v>16</v>
      </c>
      <c r="T1013">
        <v>0</v>
      </c>
      <c r="U1013">
        <v>0</v>
      </c>
      <c r="V1013">
        <v>0</v>
      </c>
      <c r="W1013">
        <v>1</v>
      </c>
      <c r="X1013" s="57">
        <f t="shared" si="121"/>
        <v>-56.098479330000011</v>
      </c>
      <c r="Y1013" t="s">
        <v>16</v>
      </c>
      <c r="Z1013">
        <v>3.3765352310000001</v>
      </c>
      <c r="AA1013" s="3">
        <f t="shared" si="122"/>
        <v>5</v>
      </c>
      <c r="AB1013" s="3">
        <f t="shared" si="120"/>
        <v>3</v>
      </c>
      <c r="AD1013" s="3" t="s">
        <v>2750</v>
      </c>
      <c r="AE1013" s="4">
        <v>-59.251410399999997</v>
      </c>
      <c r="AF1013" s="4">
        <f t="shared" si="119"/>
        <v>-69.098783464000007</v>
      </c>
      <c r="AG1013" s="60" t="s">
        <v>16</v>
      </c>
      <c r="AH1013" s="61" t="s">
        <v>16</v>
      </c>
      <c r="AI1013" s="57">
        <f t="shared" si="123"/>
        <v>-69.098783464000007</v>
      </c>
      <c r="AJ1013" s="3">
        <f t="shared" si="124"/>
        <v>7</v>
      </c>
      <c r="AK1013" s="3" t="s">
        <v>2706</v>
      </c>
      <c r="AL1013">
        <v>6</v>
      </c>
      <c r="AM1013" t="s">
        <v>980</v>
      </c>
    </row>
    <row r="1014" spans="1:39" hidden="1" x14ac:dyDescent="0.3">
      <c r="A1014" s="51" t="s">
        <v>2430</v>
      </c>
      <c r="B1014" s="54" t="s">
        <v>2431</v>
      </c>
      <c r="C1014" s="51" t="s">
        <v>2765</v>
      </c>
      <c r="D1014" s="53">
        <v>0</v>
      </c>
      <c r="E1014" s="53">
        <v>1</v>
      </c>
      <c r="F1014" s="51" t="s">
        <v>2715</v>
      </c>
      <c r="G1014" s="51" t="s">
        <v>2695</v>
      </c>
      <c r="H1014" s="25" t="s">
        <v>2762</v>
      </c>
      <c r="I1014" t="s">
        <v>13</v>
      </c>
      <c r="J1014" t="s">
        <v>1057</v>
      </c>
      <c r="K1014" t="s">
        <v>1859</v>
      </c>
      <c r="L1014" s="25">
        <v>46.975000000000001</v>
      </c>
      <c r="M1014" s="25">
        <v>6.6706399999999997</v>
      </c>
      <c r="N1014">
        <v>6</v>
      </c>
      <c r="O1014">
        <v>24</v>
      </c>
      <c r="P1014">
        <v>11</v>
      </c>
      <c r="Q1014">
        <v>2017</v>
      </c>
      <c r="R1014" s="9">
        <v>43063</v>
      </c>
      <c r="S1014" t="s">
        <v>16</v>
      </c>
      <c r="T1014">
        <v>0</v>
      </c>
      <c r="U1014">
        <v>0</v>
      </c>
      <c r="V1014">
        <v>0</v>
      </c>
      <c r="W1014">
        <v>1</v>
      </c>
      <c r="X1014" s="57">
        <f t="shared" si="121"/>
        <v>-54.811928837500012</v>
      </c>
      <c r="Y1014" t="s">
        <v>16</v>
      </c>
      <c r="Z1014">
        <v>6.3167777620000001</v>
      </c>
      <c r="AA1014" s="3">
        <f t="shared" si="122"/>
        <v>5</v>
      </c>
      <c r="AB1014" s="3">
        <f t="shared" si="120"/>
        <v>6</v>
      </c>
      <c r="AD1014" s="3" t="s">
        <v>2750</v>
      </c>
      <c r="AE1014" s="4">
        <v>-58.120376999999998</v>
      </c>
      <c r="AF1014" s="4">
        <f t="shared" si="119"/>
        <v>-68.069543070000009</v>
      </c>
      <c r="AG1014" s="60" t="s">
        <v>16</v>
      </c>
      <c r="AH1014" s="61" t="s">
        <v>16</v>
      </c>
      <c r="AI1014" s="57">
        <f t="shared" si="123"/>
        <v>-68.069543070000009</v>
      </c>
      <c r="AJ1014" s="3">
        <f t="shared" si="124"/>
        <v>7</v>
      </c>
      <c r="AK1014" s="3" t="s">
        <v>2706</v>
      </c>
      <c r="AL1014">
        <v>6</v>
      </c>
      <c r="AM1014" t="s">
        <v>980</v>
      </c>
    </row>
    <row r="1015" spans="1:39" hidden="1" x14ac:dyDescent="0.3">
      <c r="A1015" s="51" t="s">
        <v>2225</v>
      </c>
      <c r="B1015" s="54" t="s">
        <v>2226</v>
      </c>
      <c r="C1015" s="51" t="s">
        <v>2765</v>
      </c>
      <c r="D1015" s="53">
        <v>0</v>
      </c>
      <c r="E1015" s="53">
        <v>1</v>
      </c>
      <c r="F1015" s="51" t="s">
        <v>2715</v>
      </c>
      <c r="G1015" s="51" t="s">
        <v>2695</v>
      </c>
      <c r="H1015" s="25" t="s">
        <v>2762</v>
      </c>
      <c r="I1015" t="s">
        <v>13</v>
      </c>
      <c r="J1015" t="s">
        <v>1715</v>
      </c>
      <c r="K1015" t="s">
        <v>1764</v>
      </c>
      <c r="L1015" s="25">
        <v>46.93537603</v>
      </c>
      <c r="M1015" s="25">
        <v>6.4659735889999999</v>
      </c>
      <c r="N1015">
        <v>6</v>
      </c>
      <c r="O1015">
        <v>31</v>
      </c>
      <c r="P1015">
        <v>10</v>
      </c>
      <c r="Q1015">
        <v>2016</v>
      </c>
      <c r="R1015" s="9">
        <v>42674</v>
      </c>
      <c r="S1015">
        <v>370</v>
      </c>
      <c r="T1015">
        <v>0</v>
      </c>
      <c r="U1015">
        <v>0</v>
      </c>
      <c r="V1015">
        <v>0</v>
      </c>
      <c r="W1015">
        <v>1</v>
      </c>
      <c r="X1015" s="57">
        <f t="shared" si="121"/>
        <v>-54.485795302500016</v>
      </c>
      <c r="Y1015">
        <v>-24.04</v>
      </c>
      <c r="Z1015">
        <v>9.16</v>
      </c>
      <c r="AA1015" s="3">
        <f t="shared" si="122"/>
        <v>5</v>
      </c>
      <c r="AB1015" s="3">
        <f t="shared" si="120"/>
        <v>9</v>
      </c>
      <c r="AD1015" s="3" t="s">
        <v>2750</v>
      </c>
      <c r="AE1015" s="4">
        <v>-57.833666200000003</v>
      </c>
      <c r="AF1015" s="4">
        <f t="shared" si="119"/>
        <v>-67.808636242000006</v>
      </c>
      <c r="AG1015" s="60" t="s">
        <v>16</v>
      </c>
      <c r="AH1015" s="61" t="s">
        <v>16</v>
      </c>
      <c r="AI1015" s="57">
        <f t="shared" si="123"/>
        <v>-67.808636242000006</v>
      </c>
      <c r="AJ1015" s="3">
        <f t="shared" si="124"/>
        <v>7</v>
      </c>
      <c r="AK1015" s="3" t="s">
        <v>2706</v>
      </c>
      <c r="AL1015">
        <v>6</v>
      </c>
      <c r="AM1015" t="s">
        <v>980</v>
      </c>
    </row>
    <row r="1016" spans="1:39" hidden="1" x14ac:dyDescent="0.3">
      <c r="A1016" s="51" t="s">
        <v>2408</v>
      </c>
      <c r="B1016" s="54" t="s">
        <v>2409</v>
      </c>
      <c r="C1016" s="51" t="s">
        <v>2765</v>
      </c>
      <c r="D1016" s="53">
        <v>0</v>
      </c>
      <c r="E1016" s="53">
        <v>1</v>
      </c>
      <c r="F1016" s="51" t="s">
        <v>2715</v>
      </c>
      <c r="G1016" s="51" t="s">
        <v>2695</v>
      </c>
      <c r="H1016" s="25" t="s">
        <v>2762</v>
      </c>
      <c r="I1016" t="s">
        <v>385</v>
      </c>
      <c r="J1016" t="s">
        <v>386</v>
      </c>
      <c r="K1016" t="s">
        <v>2407</v>
      </c>
      <c r="L1016" s="25">
        <v>46.867620080000002</v>
      </c>
      <c r="M1016" s="25">
        <v>6.5797123910000002</v>
      </c>
      <c r="N1016">
        <v>6</v>
      </c>
      <c r="O1016">
        <v>3</v>
      </c>
      <c r="P1016">
        <v>11</v>
      </c>
      <c r="Q1016">
        <v>2017</v>
      </c>
      <c r="R1016" s="9">
        <v>43042</v>
      </c>
      <c r="S1016" t="s">
        <v>16</v>
      </c>
      <c r="T1016">
        <v>0</v>
      </c>
      <c r="U1016">
        <v>0</v>
      </c>
      <c r="V1016">
        <v>0</v>
      </c>
      <c r="W1016">
        <v>1</v>
      </c>
      <c r="X1016" s="57">
        <f t="shared" si="121"/>
        <v>-54.417701139999998</v>
      </c>
      <c r="Y1016" t="s">
        <v>16</v>
      </c>
      <c r="Z1016">
        <v>3.2054728350000001</v>
      </c>
      <c r="AA1016" s="3">
        <f t="shared" si="122"/>
        <v>5</v>
      </c>
      <c r="AB1016" s="3">
        <f t="shared" si="120"/>
        <v>3</v>
      </c>
      <c r="AD1016" s="3" t="s">
        <v>2750</v>
      </c>
      <c r="AE1016" s="4">
        <v>-57.773803200000003</v>
      </c>
      <c r="AF1016" s="4">
        <f t="shared" si="119"/>
        <v>-67.754160912000003</v>
      </c>
      <c r="AG1016" s="60" t="s">
        <v>16</v>
      </c>
      <c r="AH1016" s="61" t="s">
        <v>16</v>
      </c>
      <c r="AI1016" s="57">
        <f t="shared" si="123"/>
        <v>-67.754160912000003</v>
      </c>
      <c r="AJ1016" s="3">
        <f t="shared" si="124"/>
        <v>7</v>
      </c>
      <c r="AK1016" s="3" t="s">
        <v>2706</v>
      </c>
      <c r="AL1016">
        <v>6</v>
      </c>
      <c r="AM1016" t="s">
        <v>980</v>
      </c>
    </row>
    <row r="1017" spans="1:39" hidden="1" x14ac:dyDescent="0.3">
      <c r="A1017" s="51" t="s">
        <v>2281</v>
      </c>
      <c r="B1017" s="54" t="s">
        <v>2282</v>
      </c>
      <c r="C1017" s="51" t="s">
        <v>2765</v>
      </c>
      <c r="D1017" s="53">
        <v>0</v>
      </c>
      <c r="E1017" s="53">
        <v>1</v>
      </c>
      <c r="F1017" s="51" t="s">
        <v>2715</v>
      </c>
      <c r="G1017" s="51" t="s">
        <v>2695</v>
      </c>
      <c r="H1017" s="25" t="s">
        <v>2762</v>
      </c>
      <c r="I1017" t="s">
        <v>13</v>
      </c>
      <c r="J1017" t="s">
        <v>2283</v>
      </c>
      <c r="K1017" t="s">
        <v>2284</v>
      </c>
      <c r="L1017" s="25">
        <v>46.973163360000001</v>
      </c>
      <c r="M1017" s="25">
        <v>6.6703879720000003</v>
      </c>
      <c r="N1017">
        <v>6</v>
      </c>
      <c r="O1017">
        <v>5</v>
      </c>
      <c r="P1017">
        <v>11</v>
      </c>
      <c r="Q1017">
        <v>2016</v>
      </c>
      <c r="R1017" s="9">
        <v>42679</v>
      </c>
      <c r="S1017" t="s">
        <v>16</v>
      </c>
      <c r="T1017">
        <v>0</v>
      </c>
      <c r="U1017">
        <v>0</v>
      </c>
      <c r="V1017">
        <v>0</v>
      </c>
      <c r="W1017">
        <v>1</v>
      </c>
      <c r="X1017" s="57">
        <f t="shared" si="121"/>
        <v>-54.349719362500004</v>
      </c>
      <c r="Y1017">
        <v>-24.34</v>
      </c>
      <c r="Z1017">
        <v>3.92</v>
      </c>
      <c r="AA1017" s="3">
        <f t="shared" si="122"/>
        <v>5</v>
      </c>
      <c r="AB1017" s="3">
        <f t="shared" si="120"/>
        <v>4</v>
      </c>
      <c r="AD1017" s="3" t="s">
        <v>2750</v>
      </c>
      <c r="AE1017" s="4">
        <v>-57.714039</v>
      </c>
      <c r="AF1017" s="4">
        <f t="shared" si="119"/>
        <v>-67.699775490000007</v>
      </c>
      <c r="AG1017" s="60" t="s">
        <v>16</v>
      </c>
      <c r="AH1017" s="61" t="s">
        <v>16</v>
      </c>
      <c r="AI1017" s="57">
        <f t="shared" si="123"/>
        <v>-67.699775490000007</v>
      </c>
      <c r="AJ1017" s="3">
        <f t="shared" si="124"/>
        <v>7</v>
      </c>
      <c r="AK1017" s="3" t="s">
        <v>2706</v>
      </c>
      <c r="AL1017">
        <v>6</v>
      </c>
      <c r="AM1017" t="s">
        <v>980</v>
      </c>
    </row>
    <row r="1018" spans="1:39" hidden="1" x14ac:dyDescent="0.3">
      <c r="A1018" s="51" t="s">
        <v>2412</v>
      </c>
      <c r="B1018" s="54" t="s">
        <v>2413</v>
      </c>
      <c r="C1018" s="51" t="s">
        <v>2765</v>
      </c>
      <c r="D1018" s="53">
        <v>0</v>
      </c>
      <c r="E1018" s="53">
        <v>1</v>
      </c>
      <c r="F1018" s="51" t="s">
        <v>2715</v>
      </c>
      <c r="G1018" s="51" t="s">
        <v>2695</v>
      </c>
      <c r="H1018" s="25" t="s">
        <v>2762</v>
      </c>
      <c r="I1018" t="s">
        <v>385</v>
      </c>
      <c r="J1018" t="s">
        <v>386</v>
      </c>
      <c r="K1018" t="s">
        <v>2414</v>
      </c>
      <c r="L1018" s="25">
        <v>46.861130889999998</v>
      </c>
      <c r="M1018" s="25">
        <v>6.5685764569999998</v>
      </c>
      <c r="N1018">
        <v>6</v>
      </c>
      <c r="O1018">
        <v>3</v>
      </c>
      <c r="P1018">
        <v>11</v>
      </c>
      <c r="Q1018">
        <v>2017</v>
      </c>
      <c r="R1018" s="9">
        <v>43042</v>
      </c>
      <c r="S1018" t="s">
        <v>16</v>
      </c>
      <c r="T1018">
        <v>0</v>
      </c>
      <c r="U1018">
        <v>0</v>
      </c>
      <c r="V1018">
        <v>0</v>
      </c>
      <c r="W1018">
        <v>1</v>
      </c>
      <c r="X1018" s="57">
        <f t="shared" si="121"/>
        <v>-54.280639897500016</v>
      </c>
      <c r="Y1018" t="s">
        <v>16</v>
      </c>
      <c r="Z1018">
        <v>4.4177687639999998</v>
      </c>
      <c r="AA1018" s="3">
        <f t="shared" si="122"/>
        <v>5</v>
      </c>
      <c r="AB1018" s="3">
        <f t="shared" si="120"/>
        <v>4</v>
      </c>
      <c r="AD1018" s="3" t="s">
        <v>2750</v>
      </c>
      <c r="AE1018" s="4">
        <v>-57.653309800000002</v>
      </c>
      <c r="AF1018" s="4">
        <f t="shared" si="119"/>
        <v>-67.644511918000006</v>
      </c>
      <c r="AG1018" s="60" t="s">
        <v>16</v>
      </c>
      <c r="AH1018" s="61" t="s">
        <v>16</v>
      </c>
      <c r="AI1018" s="57">
        <f t="shared" si="123"/>
        <v>-67.644511918000006</v>
      </c>
      <c r="AJ1018" s="3">
        <f t="shared" si="124"/>
        <v>7</v>
      </c>
      <c r="AK1018" s="3" t="s">
        <v>2706</v>
      </c>
      <c r="AL1018">
        <v>6</v>
      </c>
      <c r="AM1018" t="s">
        <v>980</v>
      </c>
    </row>
    <row r="1019" spans="1:39" hidden="1" x14ac:dyDescent="0.3">
      <c r="A1019" s="51" t="s">
        <v>2184</v>
      </c>
      <c r="B1019" s="54" t="s">
        <v>2185</v>
      </c>
      <c r="C1019" s="51" t="s">
        <v>2765</v>
      </c>
      <c r="D1019" s="53">
        <v>0</v>
      </c>
      <c r="E1019" s="53">
        <v>1</v>
      </c>
      <c r="F1019" s="51" t="s">
        <v>2715</v>
      </c>
      <c r="G1019" s="51" t="s">
        <v>2695</v>
      </c>
      <c r="H1019" s="25" t="s">
        <v>2762</v>
      </c>
      <c r="I1019" t="s">
        <v>13</v>
      </c>
      <c r="J1019" t="s">
        <v>1732</v>
      </c>
      <c r="K1019" t="s">
        <v>1822</v>
      </c>
      <c r="L1019" s="25">
        <v>46.99609495</v>
      </c>
      <c r="M1019" s="25">
        <v>6.6980250220000004</v>
      </c>
      <c r="N1019">
        <v>6</v>
      </c>
      <c r="O1019">
        <v>21</v>
      </c>
      <c r="P1019">
        <v>10</v>
      </c>
      <c r="Q1019">
        <v>2017</v>
      </c>
      <c r="R1019" s="9">
        <v>43029</v>
      </c>
      <c r="S1019" t="s">
        <v>16</v>
      </c>
      <c r="T1019">
        <v>0</v>
      </c>
      <c r="U1019">
        <v>0</v>
      </c>
      <c r="V1019">
        <v>0</v>
      </c>
      <c r="W1019">
        <v>1</v>
      </c>
      <c r="X1019" s="57">
        <f t="shared" si="121"/>
        <v>-54.179984115000003</v>
      </c>
      <c r="Y1019" t="s">
        <v>16</v>
      </c>
      <c r="Z1019">
        <v>5.0156221590000003</v>
      </c>
      <c r="AA1019" s="3">
        <f t="shared" si="122"/>
        <v>5</v>
      </c>
      <c r="AB1019" s="3">
        <f t="shared" si="120"/>
        <v>5</v>
      </c>
      <c r="AD1019" s="3" t="s">
        <v>2750</v>
      </c>
      <c r="AE1019" s="4">
        <v>-57.564821199999997</v>
      </c>
      <c r="AF1019" s="4">
        <f t="shared" si="119"/>
        <v>-67.563987292000007</v>
      </c>
      <c r="AG1019" s="60" t="s">
        <v>16</v>
      </c>
      <c r="AH1019" s="61" t="s">
        <v>16</v>
      </c>
      <c r="AI1019" s="57">
        <f t="shared" si="123"/>
        <v>-67.563987292000007</v>
      </c>
      <c r="AJ1019" s="3">
        <f t="shared" si="124"/>
        <v>7</v>
      </c>
      <c r="AK1019" s="3" t="s">
        <v>2706</v>
      </c>
      <c r="AL1019">
        <v>6</v>
      </c>
      <c r="AM1019" t="s">
        <v>980</v>
      </c>
    </row>
    <row r="1020" spans="1:39" hidden="1" x14ac:dyDescent="0.3">
      <c r="A1020" s="51" t="s">
        <v>2265</v>
      </c>
      <c r="B1020" s="54" t="s">
        <v>2266</v>
      </c>
      <c r="C1020" s="51" t="s">
        <v>2765</v>
      </c>
      <c r="D1020" s="53">
        <v>0</v>
      </c>
      <c r="E1020" s="53">
        <v>1</v>
      </c>
      <c r="F1020" s="51" t="s">
        <v>2715</v>
      </c>
      <c r="G1020" s="51" t="s">
        <v>2695</v>
      </c>
      <c r="H1020" s="25" t="s">
        <v>2762</v>
      </c>
      <c r="I1020" t="s">
        <v>13</v>
      </c>
      <c r="J1020" t="s">
        <v>1715</v>
      </c>
      <c r="K1020" t="s">
        <v>1764</v>
      </c>
      <c r="L1020" s="25">
        <v>46.934728049999997</v>
      </c>
      <c r="M1020" s="25">
        <v>6.4648821349999999</v>
      </c>
      <c r="N1020">
        <v>6</v>
      </c>
      <c r="O1020">
        <v>5</v>
      </c>
      <c r="P1020">
        <v>11</v>
      </c>
      <c r="Q1020">
        <v>2016</v>
      </c>
      <c r="R1020" s="9">
        <v>42679</v>
      </c>
      <c r="S1020">
        <v>315</v>
      </c>
      <c r="T1020">
        <v>0</v>
      </c>
      <c r="U1020">
        <v>0</v>
      </c>
      <c r="V1020">
        <v>0</v>
      </c>
      <c r="W1020">
        <v>1</v>
      </c>
      <c r="X1020" s="57">
        <f t="shared" si="121"/>
        <v>-54.106947514999995</v>
      </c>
      <c r="Y1020">
        <v>-23.92</v>
      </c>
      <c r="Z1020">
        <v>8</v>
      </c>
      <c r="AA1020" s="3">
        <f t="shared" si="122"/>
        <v>5</v>
      </c>
      <c r="AB1020" s="3">
        <f t="shared" si="120"/>
        <v>8</v>
      </c>
      <c r="AD1020" s="3" t="s">
        <v>2750</v>
      </c>
      <c r="AE1020" s="4">
        <v>-57.500613199999997</v>
      </c>
      <c r="AF1020" s="4">
        <f t="shared" si="119"/>
        <v>-67.505558011999995</v>
      </c>
      <c r="AG1020" s="60" t="s">
        <v>16</v>
      </c>
      <c r="AH1020" s="61" t="s">
        <v>16</v>
      </c>
      <c r="AI1020" s="57">
        <f t="shared" si="123"/>
        <v>-67.505558011999995</v>
      </c>
      <c r="AJ1020" s="3">
        <f t="shared" si="124"/>
        <v>7</v>
      </c>
      <c r="AK1020" s="3" t="s">
        <v>2706</v>
      </c>
      <c r="AL1020">
        <v>6</v>
      </c>
      <c r="AM1020" t="s">
        <v>980</v>
      </c>
    </row>
    <row r="1021" spans="1:39" hidden="1" x14ac:dyDescent="0.3">
      <c r="A1021" s="51" t="s">
        <v>1850</v>
      </c>
      <c r="B1021" s="54" t="s">
        <v>1851</v>
      </c>
      <c r="C1021" s="51" t="s">
        <v>2765</v>
      </c>
      <c r="D1021" s="53">
        <v>0</v>
      </c>
      <c r="E1021" s="53">
        <v>1</v>
      </c>
      <c r="F1021" s="51" t="s">
        <v>2715</v>
      </c>
      <c r="G1021" s="51" t="s">
        <v>2695</v>
      </c>
      <c r="H1021" s="25" t="s">
        <v>2762</v>
      </c>
      <c r="I1021" t="s">
        <v>385</v>
      </c>
      <c r="J1021" t="s">
        <v>386</v>
      </c>
      <c r="K1021" t="s">
        <v>1829</v>
      </c>
      <c r="L1021" s="25">
        <v>46.86553266</v>
      </c>
      <c r="M1021" s="25">
        <v>6.5760732280000003</v>
      </c>
      <c r="N1021">
        <v>6</v>
      </c>
      <c r="O1021">
        <v>19</v>
      </c>
      <c r="P1021">
        <v>10</v>
      </c>
      <c r="Q1021">
        <v>2017</v>
      </c>
      <c r="R1021" s="9">
        <v>43027</v>
      </c>
      <c r="S1021" t="s">
        <v>16</v>
      </c>
      <c r="T1021">
        <v>0</v>
      </c>
      <c r="U1021">
        <v>0</v>
      </c>
      <c r="V1021">
        <v>0</v>
      </c>
      <c r="W1021">
        <v>1</v>
      </c>
      <c r="X1021" s="57">
        <f t="shared" si="121"/>
        <v>-53.494416960000002</v>
      </c>
      <c r="Y1021" t="s">
        <v>16</v>
      </c>
      <c r="Z1021">
        <v>3.9466699350000001</v>
      </c>
      <c r="AA1021" s="3">
        <f t="shared" si="122"/>
        <v>5</v>
      </c>
      <c r="AB1021" s="3">
        <f t="shared" si="120"/>
        <v>4</v>
      </c>
      <c r="AD1021" s="3" t="s">
        <v>2750</v>
      </c>
      <c r="AE1021" s="4">
        <v>-56.962124799999998</v>
      </c>
      <c r="AF1021" s="4">
        <f t="shared" si="119"/>
        <v>-67.015533567999995</v>
      </c>
      <c r="AG1021" s="60" t="s">
        <v>16</v>
      </c>
      <c r="AH1021" s="61" t="s">
        <v>16</v>
      </c>
      <c r="AI1021" s="57">
        <f t="shared" si="123"/>
        <v>-67.015533567999995</v>
      </c>
      <c r="AJ1021" s="3">
        <f t="shared" si="124"/>
        <v>7</v>
      </c>
      <c r="AK1021" s="3" t="s">
        <v>2706</v>
      </c>
      <c r="AL1021">
        <v>6</v>
      </c>
      <c r="AM1021" t="s">
        <v>980</v>
      </c>
    </row>
    <row r="1022" spans="1:39" hidden="1" x14ac:dyDescent="0.3">
      <c r="A1022" s="51" t="s">
        <v>2253</v>
      </c>
      <c r="B1022" s="54" t="s">
        <v>2254</v>
      </c>
      <c r="C1022" s="51" t="s">
        <v>2765</v>
      </c>
      <c r="D1022" s="53">
        <v>0</v>
      </c>
      <c r="E1022" s="53">
        <v>1</v>
      </c>
      <c r="F1022" s="51" t="s">
        <v>2715</v>
      </c>
      <c r="G1022" s="51" t="s">
        <v>2695</v>
      </c>
      <c r="H1022" s="25" t="s">
        <v>2762</v>
      </c>
      <c r="I1022" t="s">
        <v>13</v>
      </c>
      <c r="J1022" t="s">
        <v>209</v>
      </c>
      <c r="K1022" t="s">
        <v>2214</v>
      </c>
      <c r="L1022" s="25">
        <v>46.930111859999997</v>
      </c>
      <c r="M1022" s="25">
        <v>6.7277708269999996</v>
      </c>
      <c r="N1022">
        <v>6</v>
      </c>
      <c r="O1022">
        <v>4</v>
      </c>
      <c r="P1022">
        <v>11</v>
      </c>
      <c r="Q1022">
        <v>2016</v>
      </c>
      <c r="R1022" s="9">
        <v>42678</v>
      </c>
      <c r="S1022">
        <v>312</v>
      </c>
      <c r="T1022">
        <v>0</v>
      </c>
      <c r="U1022">
        <v>0</v>
      </c>
      <c r="V1022">
        <v>0</v>
      </c>
      <c r="W1022">
        <v>1</v>
      </c>
      <c r="X1022" s="57">
        <f t="shared" si="121"/>
        <v>-53.457494165000007</v>
      </c>
      <c r="Y1022">
        <v>-23.65</v>
      </c>
      <c r="Z1022">
        <v>9.19</v>
      </c>
      <c r="AA1022" s="3">
        <f t="shared" si="122"/>
        <v>5</v>
      </c>
      <c r="AB1022" s="3">
        <f t="shared" si="120"/>
        <v>9</v>
      </c>
      <c r="AD1022" s="3" t="s">
        <v>2750</v>
      </c>
      <c r="AE1022" s="4">
        <v>-56.929665200000002</v>
      </c>
      <c r="AF1022" s="4">
        <f t="shared" si="119"/>
        <v>-66.985995332000002</v>
      </c>
      <c r="AG1022" s="60" t="s">
        <v>16</v>
      </c>
      <c r="AH1022" s="61" t="s">
        <v>16</v>
      </c>
      <c r="AI1022" s="57">
        <f t="shared" si="123"/>
        <v>-66.985995332000002</v>
      </c>
      <c r="AJ1022" s="3">
        <f t="shared" si="124"/>
        <v>7</v>
      </c>
      <c r="AK1022" s="3" t="s">
        <v>2706</v>
      </c>
      <c r="AL1022">
        <v>6</v>
      </c>
      <c r="AM1022" t="s">
        <v>980</v>
      </c>
    </row>
    <row r="1023" spans="1:39" hidden="1" x14ac:dyDescent="0.3">
      <c r="A1023" s="51" t="s">
        <v>1758</v>
      </c>
      <c r="B1023" s="54" t="s">
        <v>1759</v>
      </c>
      <c r="C1023" s="51" t="s">
        <v>2765</v>
      </c>
      <c r="D1023" s="53">
        <v>0</v>
      </c>
      <c r="E1023" s="53">
        <v>1</v>
      </c>
      <c r="F1023" s="51" t="s">
        <v>2715</v>
      </c>
      <c r="G1023" s="51" t="s">
        <v>2695</v>
      </c>
      <c r="H1023" s="25" t="s">
        <v>2762</v>
      </c>
      <c r="I1023" t="s">
        <v>385</v>
      </c>
      <c r="J1023" t="s">
        <v>539</v>
      </c>
      <c r="K1023" t="s">
        <v>1753</v>
      </c>
      <c r="L1023" s="25">
        <v>46.881933570000001</v>
      </c>
      <c r="M1023" s="25">
        <v>6.6254299220000004</v>
      </c>
      <c r="N1023">
        <v>6</v>
      </c>
      <c r="O1023">
        <v>20</v>
      </c>
      <c r="P1023">
        <v>10</v>
      </c>
      <c r="Q1023">
        <v>2016</v>
      </c>
      <c r="R1023" s="9">
        <v>42663</v>
      </c>
      <c r="S1023">
        <v>333</v>
      </c>
      <c r="T1023">
        <v>0</v>
      </c>
      <c r="U1023">
        <v>0</v>
      </c>
      <c r="V1023">
        <v>0</v>
      </c>
      <c r="W1023">
        <v>1</v>
      </c>
      <c r="X1023" s="57">
        <f t="shared" si="121"/>
        <v>-53.353890892500011</v>
      </c>
      <c r="Y1023">
        <v>-23.54</v>
      </c>
      <c r="Z1023">
        <v>5.43</v>
      </c>
      <c r="AA1023" s="3">
        <f t="shared" si="122"/>
        <v>5</v>
      </c>
      <c r="AB1023" s="3">
        <f t="shared" si="120"/>
        <v>5</v>
      </c>
      <c r="AD1023" s="3" t="s">
        <v>2750</v>
      </c>
      <c r="AE1023" s="4">
        <v>-56.838585399999999</v>
      </c>
      <c r="AF1023" s="4">
        <f t="shared" si="119"/>
        <v>-66.903112714000002</v>
      </c>
      <c r="AG1023" s="60" t="s">
        <v>16</v>
      </c>
      <c r="AH1023" s="61" t="s">
        <v>16</v>
      </c>
      <c r="AI1023" s="57">
        <f t="shared" si="123"/>
        <v>-66.903112714000002</v>
      </c>
      <c r="AJ1023" s="3">
        <f t="shared" si="124"/>
        <v>7</v>
      </c>
      <c r="AK1023" s="3" t="s">
        <v>2706</v>
      </c>
      <c r="AL1023">
        <v>6</v>
      </c>
      <c r="AM1023" t="s">
        <v>980</v>
      </c>
    </row>
    <row r="1024" spans="1:39" hidden="1" x14ac:dyDescent="0.3">
      <c r="A1024" s="51" t="s">
        <v>2273</v>
      </c>
      <c r="B1024" s="54" t="s">
        <v>2274</v>
      </c>
      <c r="C1024" s="51" t="s">
        <v>2765</v>
      </c>
      <c r="D1024" s="53">
        <v>0</v>
      </c>
      <c r="E1024" s="53">
        <v>1</v>
      </c>
      <c r="F1024" s="51" t="s">
        <v>2715</v>
      </c>
      <c r="G1024" s="51" t="s">
        <v>2695</v>
      </c>
      <c r="H1024" s="25" t="s">
        <v>2762</v>
      </c>
      <c r="I1024" t="s">
        <v>13</v>
      </c>
      <c r="J1024" t="s">
        <v>1057</v>
      </c>
      <c r="K1024" t="s">
        <v>1738</v>
      </c>
      <c r="L1024" s="25">
        <v>46.93101686</v>
      </c>
      <c r="M1024" s="25">
        <v>6.5837552199999996</v>
      </c>
      <c r="N1024">
        <v>6</v>
      </c>
      <c r="O1024">
        <v>5</v>
      </c>
      <c r="P1024">
        <v>11</v>
      </c>
      <c r="Q1024">
        <v>2016</v>
      </c>
      <c r="R1024" s="9">
        <v>42679</v>
      </c>
      <c r="S1024">
        <v>305</v>
      </c>
      <c r="T1024">
        <v>0</v>
      </c>
      <c r="U1024">
        <v>0</v>
      </c>
      <c r="V1024">
        <v>0</v>
      </c>
      <c r="W1024">
        <v>1</v>
      </c>
      <c r="X1024" s="57">
        <f t="shared" si="121"/>
        <v>-52.869893515000008</v>
      </c>
      <c r="Y1024">
        <v>-23.53</v>
      </c>
      <c r="Z1024">
        <v>4.05</v>
      </c>
      <c r="AA1024" s="3">
        <f t="shared" si="122"/>
        <v>5</v>
      </c>
      <c r="AB1024" s="3">
        <f t="shared" si="120"/>
        <v>4</v>
      </c>
      <c r="AD1024" s="3" t="s">
        <v>2750</v>
      </c>
      <c r="AE1024" s="4">
        <v>-56.413093199999999</v>
      </c>
      <c r="AF1024" s="4">
        <f t="shared" si="119"/>
        <v>-66.515914812000005</v>
      </c>
      <c r="AG1024" s="60" t="s">
        <v>16</v>
      </c>
      <c r="AH1024" s="61" t="s">
        <v>16</v>
      </c>
      <c r="AI1024" s="57">
        <f t="shared" si="123"/>
        <v>-66.515914812000005</v>
      </c>
      <c r="AJ1024" s="3">
        <f t="shared" si="124"/>
        <v>7</v>
      </c>
      <c r="AK1024" s="3" t="s">
        <v>2706</v>
      </c>
      <c r="AL1024">
        <v>6</v>
      </c>
      <c r="AM1024" t="s">
        <v>980</v>
      </c>
    </row>
    <row r="1025" spans="1:39" hidden="1" x14ac:dyDescent="0.3">
      <c r="A1025" s="51" t="s">
        <v>2373</v>
      </c>
      <c r="B1025" s="54" t="s">
        <v>2374</v>
      </c>
      <c r="C1025" s="51" t="s">
        <v>2765</v>
      </c>
      <c r="D1025" s="53">
        <v>0</v>
      </c>
      <c r="E1025" s="53">
        <v>1</v>
      </c>
      <c r="F1025" s="51" t="s">
        <v>2715</v>
      </c>
      <c r="G1025" s="51" t="s">
        <v>2695</v>
      </c>
      <c r="H1025" s="25" t="s">
        <v>2762</v>
      </c>
      <c r="I1025" t="s">
        <v>13</v>
      </c>
      <c r="J1025" t="s">
        <v>1057</v>
      </c>
      <c r="K1025" t="s">
        <v>1859</v>
      </c>
      <c r="L1025" s="25">
        <v>46.974649479999997</v>
      </c>
      <c r="M1025" s="25">
        <v>6.6693205830000002</v>
      </c>
      <c r="N1025">
        <v>6</v>
      </c>
      <c r="O1025">
        <v>28</v>
      </c>
      <c r="P1025">
        <v>10</v>
      </c>
      <c r="Q1025">
        <v>2017</v>
      </c>
      <c r="R1025" s="9">
        <v>43036</v>
      </c>
      <c r="S1025" t="s">
        <v>16</v>
      </c>
      <c r="T1025">
        <v>0</v>
      </c>
      <c r="U1025">
        <v>0</v>
      </c>
      <c r="V1025">
        <v>0</v>
      </c>
      <c r="W1025">
        <v>1</v>
      </c>
      <c r="X1025" s="57">
        <f t="shared" si="121"/>
        <v>-52.295673049999998</v>
      </c>
      <c r="Y1025" t="s">
        <v>16</v>
      </c>
      <c r="Z1025">
        <v>7.1330110549999999</v>
      </c>
      <c r="AA1025" s="3">
        <f t="shared" si="122"/>
        <v>5</v>
      </c>
      <c r="AB1025" s="3">
        <f t="shared" si="120"/>
        <v>7</v>
      </c>
      <c r="AD1025" s="3" t="s">
        <v>2750</v>
      </c>
      <c r="AE1025" s="4">
        <v>-55.908284000000002</v>
      </c>
      <c r="AF1025" s="4">
        <f t="shared" si="119"/>
        <v>-66.056538439999997</v>
      </c>
      <c r="AG1025" s="60" t="s">
        <v>16</v>
      </c>
      <c r="AH1025" s="61" t="s">
        <v>16</v>
      </c>
      <c r="AI1025" s="57">
        <f t="shared" si="123"/>
        <v>-66.056538439999997</v>
      </c>
      <c r="AJ1025" s="3">
        <f t="shared" si="124"/>
        <v>7</v>
      </c>
      <c r="AK1025" s="3" t="s">
        <v>2706</v>
      </c>
      <c r="AL1025">
        <v>6</v>
      </c>
      <c r="AM1025" t="s">
        <v>980</v>
      </c>
    </row>
    <row r="1026" spans="1:39" hidden="1" x14ac:dyDescent="0.3">
      <c r="A1026" s="51" t="s">
        <v>1830</v>
      </c>
      <c r="B1026" s="54" t="s">
        <v>1831</v>
      </c>
      <c r="C1026" s="51" t="s">
        <v>2765</v>
      </c>
      <c r="D1026" s="53">
        <v>0</v>
      </c>
      <c r="E1026" s="53">
        <v>1</v>
      </c>
      <c r="F1026" s="51" t="s">
        <v>2715</v>
      </c>
      <c r="G1026" s="51" t="s">
        <v>2695</v>
      </c>
      <c r="H1026" s="25" t="s">
        <v>2762</v>
      </c>
      <c r="I1026" t="s">
        <v>385</v>
      </c>
      <c r="J1026" t="s">
        <v>386</v>
      </c>
      <c r="K1026" t="s">
        <v>1832</v>
      </c>
      <c r="L1026" s="25">
        <v>46.855287500000003</v>
      </c>
      <c r="M1026" s="25">
        <v>6.5468893350000004</v>
      </c>
      <c r="N1026">
        <v>6</v>
      </c>
      <c r="O1026">
        <v>3</v>
      </c>
      <c r="P1026">
        <v>10</v>
      </c>
      <c r="Q1026">
        <v>2017</v>
      </c>
      <c r="R1026" s="9">
        <v>43011</v>
      </c>
      <c r="S1026" t="s">
        <v>16</v>
      </c>
      <c r="T1026">
        <v>0</v>
      </c>
      <c r="U1026">
        <v>0</v>
      </c>
      <c r="V1026">
        <v>0</v>
      </c>
      <c r="W1026">
        <v>1</v>
      </c>
      <c r="X1026" s="57">
        <f t="shared" si="121"/>
        <v>-51.305451203750003</v>
      </c>
      <c r="Y1026" t="s">
        <v>16</v>
      </c>
      <c r="Z1026">
        <v>5.4245378830000002</v>
      </c>
      <c r="AA1026" s="3">
        <f t="shared" si="122"/>
        <v>5</v>
      </c>
      <c r="AB1026" s="3">
        <f t="shared" si="120"/>
        <v>5</v>
      </c>
      <c r="AD1026" s="3" t="s">
        <v>2750</v>
      </c>
      <c r="AE1026" s="4">
        <v>-55.037759299999998</v>
      </c>
      <c r="AF1026" s="4">
        <f t="shared" si="119"/>
        <v>-65.264360963000001</v>
      </c>
      <c r="AG1026" s="60" t="s">
        <v>16</v>
      </c>
      <c r="AH1026" s="61" t="s">
        <v>16</v>
      </c>
      <c r="AI1026" s="57">
        <f t="shared" si="123"/>
        <v>-65.264360963000001</v>
      </c>
      <c r="AJ1026" s="3">
        <f t="shared" si="124"/>
        <v>7</v>
      </c>
      <c r="AK1026" s="3" t="s">
        <v>2706</v>
      </c>
      <c r="AL1026">
        <v>6</v>
      </c>
      <c r="AM1026" t="s">
        <v>980</v>
      </c>
    </row>
    <row r="1027" spans="1:39" hidden="1" x14ac:dyDescent="0.3">
      <c r="A1027" s="51" t="s">
        <v>2334</v>
      </c>
      <c r="B1027" s="54" t="s">
        <v>2335</v>
      </c>
      <c r="C1027" s="51" t="s">
        <v>2765</v>
      </c>
      <c r="D1027" s="53">
        <v>0</v>
      </c>
      <c r="E1027" s="53">
        <v>1</v>
      </c>
      <c r="F1027" s="51" t="s">
        <v>2715</v>
      </c>
      <c r="G1027" s="51" t="s">
        <v>2695</v>
      </c>
      <c r="H1027" s="25" t="s">
        <v>2762</v>
      </c>
      <c r="I1027" t="s">
        <v>13</v>
      </c>
      <c r="J1027" t="s">
        <v>19</v>
      </c>
      <c r="K1027" t="s">
        <v>2336</v>
      </c>
      <c r="L1027" s="25">
        <v>46.935709539999998</v>
      </c>
      <c r="M1027" s="25">
        <v>6.4639339089999996</v>
      </c>
      <c r="N1027">
        <v>6</v>
      </c>
      <c r="O1027">
        <v>26</v>
      </c>
      <c r="P1027">
        <v>10</v>
      </c>
      <c r="Q1027">
        <v>2017</v>
      </c>
      <c r="R1027" s="9">
        <v>43034</v>
      </c>
      <c r="S1027" t="s">
        <v>16</v>
      </c>
      <c r="T1027">
        <v>0</v>
      </c>
      <c r="U1027">
        <v>0</v>
      </c>
      <c r="V1027">
        <v>0</v>
      </c>
      <c r="W1027">
        <v>1</v>
      </c>
      <c r="X1027" s="57">
        <f t="shared" si="121"/>
        <v>-50.701685199999993</v>
      </c>
      <c r="Y1027" t="s">
        <v>16</v>
      </c>
      <c r="Z1027">
        <v>4.7867650050000004</v>
      </c>
      <c r="AA1027" s="3">
        <f t="shared" si="122"/>
        <v>5</v>
      </c>
      <c r="AB1027" s="3">
        <f t="shared" si="120"/>
        <v>5</v>
      </c>
      <c r="AD1027" s="3" t="s">
        <v>2750</v>
      </c>
      <c r="AE1027" s="4">
        <v>-54.506976000000002</v>
      </c>
      <c r="AF1027" s="4">
        <f t="shared" si="119"/>
        <v>-64.781348159999993</v>
      </c>
      <c r="AG1027" s="60" t="s">
        <v>16</v>
      </c>
      <c r="AH1027" s="61" t="s">
        <v>16</v>
      </c>
      <c r="AI1027" s="57">
        <f t="shared" si="123"/>
        <v>-64.781348159999993</v>
      </c>
      <c r="AJ1027" s="3">
        <f t="shared" si="124"/>
        <v>6</v>
      </c>
      <c r="AK1027" s="3" t="s">
        <v>2708</v>
      </c>
      <c r="AL1027">
        <v>5</v>
      </c>
      <c r="AM1027" t="s">
        <v>980</v>
      </c>
    </row>
    <row r="1028" spans="1:39" hidden="1" x14ac:dyDescent="0.3">
      <c r="A1028" s="51" t="s">
        <v>2339</v>
      </c>
      <c r="B1028" s="54" t="s">
        <v>2340</v>
      </c>
      <c r="C1028" s="51" t="s">
        <v>2765</v>
      </c>
      <c r="D1028" s="53">
        <v>0</v>
      </c>
      <c r="E1028" s="53">
        <v>1</v>
      </c>
      <c r="F1028" s="51" t="s">
        <v>2715</v>
      </c>
      <c r="G1028" s="51" t="s">
        <v>2695</v>
      </c>
      <c r="H1028" s="25" t="s">
        <v>2762</v>
      </c>
      <c r="I1028" t="s">
        <v>13</v>
      </c>
      <c r="J1028" t="s">
        <v>19</v>
      </c>
      <c r="K1028" t="s">
        <v>2341</v>
      </c>
      <c r="L1028" s="25">
        <v>46.927626490000002</v>
      </c>
      <c r="M1028" s="25">
        <v>6.4570606350000004</v>
      </c>
      <c r="N1028">
        <v>6</v>
      </c>
      <c r="O1028">
        <v>26</v>
      </c>
      <c r="P1028">
        <v>10</v>
      </c>
      <c r="Q1028">
        <v>2017</v>
      </c>
      <c r="R1028" s="9">
        <v>43034</v>
      </c>
      <c r="S1028" t="s">
        <v>16</v>
      </c>
      <c r="T1028">
        <v>0</v>
      </c>
      <c r="U1028">
        <v>0</v>
      </c>
      <c r="V1028">
        <v>0</v>
      </c>
      <c r="W1028">
        <v>1</v>
      </c>
      <c r="X1028" s="57">
        <f t="shared" si="121"/>
        <v>-50.470615270000003</v>
      </c>
      <c r="Y1028" t="s">
        <v>16</v>
      </c>
      <c r="Z1028">
        <v>5.2436956700000001</v>
      </c>
      <c r="AA1028" s="3">
        <f t="shared" si="122"/>
        <v>5</v>
      </c>
      <c r="AB1028" s="3">
        <f t="shared" si="120"/>
        <v>5</v>
      </c>
      <c r="AD1028" s="3" t="s">
        <v>2750</v>
      </c>
      <c r="AE1028" s="4">
        <v>-54.303837600000001</v>
      </c>
      <c r="AF1028" s="4">
        <f t="shared" si="119"/>
        <v>-64.596492216000001</v>
      </c>
      <c r="AG1028" s="60" t="s">
        <v>16</v>
      </c>
      <c r="AH1028" s="61" t="s">
        <v>16</v>
      </c>
      <c r="AI1028" s="57">
        <f t="shared" si="123"/>
        <v>-64.596492216000001</v>
      </c>
      <c r="AJ1028" s="3">
        <f t="shared" si="124"/>
        <v>6</v>
      </c>
      <c r="AK1028" s="3" t="s">
        <v>2708</v>
      </c>
      <c r="AL1028">
        <v>5</v>
      </c>
      <c r="AM1028" t="s">
        <v>980</v>
      </c>
    </row>
    <row r="1029" spans="1:39" hidden="1" x14ac:dyDescent="0.3">
      <c r="A1029" s="51" t="s">
        <v>2313</v>
      </c>
      <c r="B1029" s="54" t="s">
        <v>2314</v>
      </c>
      <c r="C1029" s="51" t="s">
        <v>2765</v>
      </c>
      <c r="D1029" s="53">
        <v>0</v>
      </c>
      <c r="E1029" s="53">
        <v>1</v>
      </c>
      <c r="F1029" s="51" t="s">
        <v>2715</v>
      </c>
      <c r="G1029" s="51" t="s">
        <v>2695</v>
      </c>
      <c r="H1029" s="25" t="s">
        <v>2762</v>
      </c>
      <c r="I1029" t="s">
        <v>13</v>
      </c>
      <c r="J1029" t="s">
        <v>209</v>
      </c>
      <c r="K1029" t="s">
        <v>2315</v>
      </c>
      <c r="L1029" s="25">
        <v>46.927475630000004</v>
      </c>
      <c r="M1029" s="25">
        <v>6.7349729309999997</v>
      </c>
      <c r="N1029">
        <v>6</v>
      </c>
      <c r="O1029">
        <v>24</v>
      </c>
      <c r="P1029">
        <v>10</v>
      </c>
      <c r="Q1029">
        <v>2017</v>
      </c>
      <c r="R1029" s="9">
        <v>43032</v>
      </c>
      <c r="S1029" t="s">
        <v>16</v>
      </c>
      <c r="T1029">
        <v>0</v>
      </c>
      <c r="U1029">
        <v>0</v>
      </c>
      <c r="V1029">
        <v>0</v>
      </c>
      <c r="W1029">
        <v>1</v>
      </c>
      <c r="X1029" s="57">
        <f t="shared" si="121"/>
        <v>-49.273822400000007</v>
      </c>
      <c r="Y1029" t="s">
        <v>16</v>
      </c>
      <c r="Z1029">
        <v>7.2220788010000003</v>
      </c>
      <c r="AA1029" s="3">
        <f t="shared" si="122"/>
        <v>4</v>
      </c>
      <c r="AB1029" s="3">
        <f t="shared" si="120"/>
        <v>7</v>
      </c>
      <c r="AD1029" s="3" t="s">
        <v>2750</v>
      </c>
      <c r="AE1029" s="4">
        <v>-53.251711999999998</v>
      </c>
      <c r="AF1029" s="4">
        <f t="shared" si="119"/>
        <v>-63.639057919999999</v>
      </c>
      <c r="AG1029" s="60" t="s">
        <v>16</v>
      </c>
      <c r="AH1029" s="61" t="s">
        <v>16</v>
      </c>
      <c r="AI1029" s="57">
        <f t="shared" si="123"/>
        <v>-63.639057919999999</v>
      </c>
      <c r="AJ1029" s="3">
        <f t="shared" si="124"/>
        <v>6</v>
      </c>
      <c r="AK1029" s="3" t="s">
        <v>2708</v>
      </c>
      <c r="AL1029">
        <v>5</v>
      </c>
      <c r="AM1029" t="s">
        <v>980</v>
      </c>
    </row>
    <row r="1030" spans="1:39" hidden="1" x14ac:dyDescent="0.3">
      <c r="A1030" s="51" t="s">
        <v>2247</v>
      </c>
      <c r="B1030" s="54" t="s">
        <v>2248</v>
      </c>
      <c r="C1030" s="51" t="s">
        <v>2765</v>
      </c>
      <c r="D1030" s="53">
        <v>0</v>
      </c>
      <c r="E1030" s="53">
        <v>1</v>
      </c>
      <c r="F1030" s="51" t="s">
        <v>2715</v>
      </c>
      <c r="G1030" s="51" t="s">
        <v>2695</v>
      </c>
      <c r="H1030" s="25" t="s">
        <v>2762</v>
      </c>
      <c r="I1030" t="s">
        <v>13</v>
      </c>
      <c r="J1030" t="s">
        <v>209</v>
      </c>
      <c r="K1030" t="s">
        <v>2214</v>
      </c>
      <c r="L1030" s="25">
        <v>46.930681810000003</v>
      </c>
      <c r="M1030" s="25">
        <v>6.7225106370000001</v>
      </c>
      <c r="N1030">
        <v>6</v>
      </c>
      <c r="O1030">
        <v>4</v>
      </c>
      <c r="P1030">
        <v>11</v>
      </c>
      <c r="Q1030">
        <v>2016</v>
      </c>
      <c r="R1030" s="9">
        <v>42678</v>
      </c>
      <c r="S1030">
        <v>325</v>
      </c>
      <c r="T1030">
        <v>0</v>
      </c>
      <c r="U1030">
        <v>0</v>
      </c>
      <c r="V1030">
        <v>0</v>
      </c>
      <c r="W1030">
        <v>1</v>
      </c>
      <c r="X1030" s="57">
        <f t="shared" si="121"/>
        <v>-49.234501072500002</v>
      </c>
      <c r="Y1030">
        <v>-23.84</v>
      </c>
      <c r="Z1030">
        <v>5.29</v>
      </c>
      <c r="AA1030" s="3">
        <f t="shared" si="122"/>
        <v>4</v>
      </c>
      <c r="AB1030" s="3">
        <f t="shared" si="120"/>
        <v>5</v>
      </c>
      <c r="AD1030" s="3" t="s">
        <v>2750</v>
      </c>
      <c r="AE1030" s="4">
        <v>-53.217143800000002</v>
      </c>
      <c r="AF1030" s="4">
        <f t="shared" si="119"/>
        <v>-63.607600858000005</v>
      </c>
      <c r="AG1030" s="60" t="s">
        <v>16</v>
      </c>
      <c r="AH1030" s="61" t="s">
        <v>16</v>
      </c>
      <c r="AI1030" s="57">
        <f t="shared" si="123"/>
        <v>-63.607600858000005</v>
      </c>
      <c r="AJ1030" s="3">
        <f t="shared" si="124"/>
        <v>6</v>
      </c>
      <c r="AK1030" s="3" t="s">
        <v>2708</v>
      </c>
      <c r="AL1030">
        <v>5</v>
      </c>
      <c r="AM1030" t="s">
        <v>980</v>
      </c>
    </row>
    <row r="1031" spans="1:39" hidden="1" x14ac:dyDescent="0.3">
      <c r="A1031" s="51" t="s">
        <v>1838</v>
      </c>
      <c r="B1031" s="54" t="s">
        <v>1839</v>
      </c>
      <c r="C1031" s="51" t="s">
        <v>2765</v>
      </c>
      <c r="D1031" s="53">
        <v>0</v>
      </c>
      <c r="E1031" s="53">
        <v>1</v>
      </c>
      <c r="F1031" s="51" t="s">
        <v>2715</v>
      </c>
      <c r="G1031" s="51" t="s">
        <v>2695</v>
      </c>
      <c r="H1031" s="25" t="s">
        <v>2762</v>
      </c>
      <c r="I1031" t="s">
        <v>13</v>
      </c>
      <c r="J1031" t="s">
        <v>19</v>
      </c>
      <c r="K1031" t="s">
        <v>1837</v>
      </c>
      <c r="L1031" s="25">
        <v>46.933883629999997</v>
      </c>
      <c r="M1031" s="25">
        <v>6.4639649969999997</v>
      </c>
      <c r="N1031">
        <v>6</v>
      </c>
      <c r="O1031">
        <v>6</v>
      </c>
      <c r="P1031">
        <v>10</v>
      </c>
      <c r="Q1031">
        <v>2017</v>
      </c>
      <c r="R1031" s="9">
        <v>43014</v>
      </c>
      <c r="S1031" t="s">
        <v>16</v>
      </c>
      <c r="T1031">
        <v>0</v>
      </c>
      <c r="U1031">
        <v>0</v>
      </c>
      <c r="V1031">
        <v>0</v>
      </c>
      <c r="W1031">
        <v>1</v>
      </c>
      <c r="X1031" s="57">
        <f t="shared" si="121"/>
        <v>-48.968308555</v>
      </c>
      <c r="Y1031" t="s">
        <v>16</v>
      </c>
      <c r="Z1031">
        <v>-1.2188266489999999</v>
      </c>
      <c r="AA1031" s="3">
        <f t="shared" si="122"/>
        <v>4</v>
      </c>
      <c r="AB1031" s="3">
        <f t="shared" si="120"/>
        <v>-1</v>
      </c>
      <c r="AD1031" s="3" t="s">
        <v>2750</v>
      </c>
      <c r="AE1031" s="4">
        <v>-52.983128399999998</v>
      </c>
      <c r="AF1031" s="4">
        <f t="shared" si="119"/>
        <v>-63.394646844</v>
      </c>
      <c r="AG1031" s="60" t="s">
        <v>16</v>
      </c>
      <c r="AH1031" s="61" t="s">
        <v>16</v>
      </c>
      <c r="AI1031" s="57">
        <f t="shared" si="123"/>
        <v>-63.394646844</v>
      </c>
      <c r="AJ1031" s="3">
        <f t="shared" si="124"/>
        <v>6</v>
      </c>
      <c r="AK1031" s="3" t="s">
        <v>2708</v>
      </c>
      <c r="AL1031">
        <v>5</v>
      </c>
      <c r="AM1031" t="s">
        <v>980</v>
      </c>
    </row>
    <row r="1032" spans="1:39" hidden="1" x14ac:dyDescent="0.3">
      <c r="A1032" s="51" t="s">
        <v>2309</v>
      </c>
      <c r="B1032" s="54" t="s">
        <v>2310</v>
      </c>
      <c r="C1032" s="51" t="s">
        <v>2765</v>
      </c>
      <c r="D1032" s="53">
        <v>0</v>
      </c>
      <c r="E1032" s="53">
        <v>1</v>
      </c>
      <c r="F1032" s="51" t="s">
        <v>2715</v>
      </c>
      <c r="G1032" s="51" t="s">
        <v>2695</v>
      </c>
      <c r="H1032" s="25" t="s">
        <v>2762</v>
      </c>
      <c r="I1032" t="s">
        <v>13</v>
      </c>
      <c r="J1032" t="s">
        <v>1732</v>
      </c>
      <c r="K1032" t="s">
        <v>1822</v>
      </c>
      <c r="L1032" s="25">
        <v>46.996042099999997</v>
      </c>
      <c r="M1032" s="25">
        <v>6.7023921250000003</v>
      </c>
      <c r="N1032">
        <v>6</v>
      </c>
      <c r="O1032">
        <v>23</v>
      </c>
      <c r="P1032">
        <v>10</v>
      </c>
      <c r="Q1032">
        <v>2017</v>
      </c>
      <c r="R1032" s="9">
        <v>43031</v>
      </c>
      <c r="S1032" t="s">
        <v>16</v>
      </c>
      <c r="T1032">
        <v>0</v>
      </c>
      <c r="U1032">
        <v>0</v>
      </c>
      <c r="V1032">
        <v>0</v>
      </c>
      <c r="W1032">
        <v>1</v>
      </c>
      <c r="X1032" s="57">
        <f t="shared" si="121"/>
        <v>-48.851075757500006</v>
      </c>
      <c r="Y1032" t="s">
        <v>16</v>
      </c>
      <c r="Z1032">
        <v>4.1836923280000002</v>
      </c>
      <c r="AA1032" s="3">
        <f t="shared" si="122"/>
        <v>4</v>
      </c>
      <c r="AB1032" s="3">
        <f t="shared" si="120"/>
        <v>4</v>
      </c>
      <c r="AD1032" s="3" t="s">
        <v>2750</v>
      </c>
      <c r="AE1032" s="4">
        <v>-52.880066599999999</v>
      </c>
      <c r="AF1032" s="4">
        <f t="shared" si="119"/>
        <v>-63.300860606000001</v>
      </c>
      <c r="AG1032" s="60" t="s">
        <v>16</v>
      </c>
      <c r="AH1032" s="61" t="s">
        <v>16</v>
      </c>
      <c r="AI1032" s="57">
        <f t="shared" si="123"/>
        <v>-63.300860606000001</v>
      </c>
      <c r="AJ1032" s="3">
        <f t="shared" si="124"/>
        <v>6</v>
      </c>
      <c r="AK1032" s="3" t="s">
        <v>2708</v>
      </c>
      <c r="AL1032">
        <v>5</v>
      </c>
      <c r="AM1032" t="s">
        <v>980</v>
      </c>
    </row>
    <row r="1033" spans="1:39" hidden="1" x14ac:dyDescent="0.3">
      <c r="A1033" s="51" t="s">
        <v>2346</v>
      </c>
      <c r="B1033" s="54" t="s">
        <v>2347</v>
      </c>
      <c r="C1033" s="51" t="s">
        <v>2765</v>
      </c>
      <c r="D1033" s="53">
        <v>0</v>
      </c>
      <c r="E1033" s="53">
        <v>1</v>
      </c>
      <c r="F1033" s="51" t="s">
        <v>2715</v>
      </c>
      <c r="G1033" s="51" t="s">
        <v>2695</v>
      </c>
      <c r="H1033" s="25" t="s">
        <v>2762</v>
      </c>
      <c r="I1033" t="s">
        <v>13</v>
      </c>
      <c r="J1033" t="s">
        <v>1057</v>
      </c>
      <c r="K1033" t="s">
        <v>2348</v>
      </c>
      <c r="L1033" s="25">
        <v>46.934606770000002</v>
      </c>
      <c r="M1033" s="25">
        <v>6.5850425440000002</v>
      </c>
      <c r="N1033">
        <v>6</v>
      </c>
      <c r="O1033">
        <v>27</v>
      </c>
      <c r="P1033">
        <v>10</v>
      </c>
      <c r="Q1033">
        <v>2017</v>
      </c>
      <c r="R1033" s="9">
        <v>43035</v>
      </c>
      <c r="S1033" t="s">
        <v>16</v>
      </c>
      <c r="T1033">
        <v>0</v>
      </c>
      <c r="U1033">
        <v>0</v>
      </c>
      <c r="V1033">
        <v>0</v>
      </c>
      <c r="W1033">
        <v>1</v>
      </c>
      <c r="X1033" s="57">
        <f t="shared" si="121"/>
        <v>-48.062546880000006</v>
      </c>
      <c r="Y1033" t="s">
        <v>16</v>
      </c>
      <c r="Z1033">
        <v>5.372867243</v>
      </c>
      <c r="AA1033" s="3">
        <f t="shared" si="122"/>
        <v>4</v>
      </c>
      <c r="AB1033" s="3">
        <f t="shared" si="120"/>
        <v>5</v>
      </c>
      <c r="AD1033" s="3" t="s">
        <v>2750</v>
      </c>
      <c r="AE1033" s="4">
        <v>-52.186854400000001</v>
      </c>
      <c r="AF1033" s="4">
        <f t="shared" si="119"/>
        <v>-62.670037504</v>
      </c>
      <c r="AG1033" s="60" t="s">
        <v>16</v>
      </c>
      <c r="AH1033" s="61" t="s">
        <v>16</v>
      </c>
      <c r="AI1033" s="57">
        <f t="shared" si="123"/>
        <v>-62.670037504</v>
      </c>
      <c r="AJ1033" s="3">
        <f t="shared" si="124"/>
        <v>6</v>
      </c>
      <c r="AK1033" s="3" t="s">
        <v>2708</v>
      </c>
      <c r="AL1033">
        <v>5</v>
      </c>
      <c r="AM1033" t="s">
        <v>980</v>
      </c>
    </row>
    <row r="1034" spans="1:39" hidden="1" x14ac:dyDescent="0.3">
      <c r="A1034" s="51" t="s">
        <v>2180</v>
      </c>
      <c r="B1034" s="54" t="s">
        <v>2181</v>
      </c>
      <c r="C1034" s="51" t="s">
        <v>2765</v>
      </c>
      <c r="D1034" s="53">
        <v>0</v>
      </c>
      <c r="E1034" s="53">
        <v>1</v>
      </c>
      <c r="F1034" s="51" t="s">
        <v>2715</v>
      </c>
      <c r="G1034" s="51" t="s">
        <v>2695</v>
      </c>
      <c r="H1034" s="25" t="s">
        <v>2762</v>
      </c>
      <c r="I1034" t="s">
        <v>13</v>
      </c>
      <c r="J1034" t="s">
        <v>1732</v>
      </c>
      <c r="K1034" t="s">
        <v>1822</v>
      </c>
      <c r="L1034" s="25">
        <v>46.995902049999998</v>
      </c>
      <c r="M1034" s="25">
        <v>6.700197041</v>
      </c>
      <c r="N1034">
        <v>6</v>
      </c>
      <c r="O1034">
        <v>21</v>
      </c>
      <c r="P1034">
        <v>10</v>
      </c>
      <c r="Q1034">
        <v>2017</v>
      </c>
      <c r="R1034" s="9">
        <v>43029</v>
      </c>
      <c r="S1034" t="s">
        <v>16</v>
      </c>
      <c r="T1034">
        <v>0</v>
      </c>
      <c r="U1034">
        <v>0</v>
      </c>
      <c r="V1034">
        <v>0</v>
      </c>
      <c r="W1034">
        <v>1</v>
      </c>
      <c r="X1034" s="57">
        <f t="shared" ref="X1034:X1061" si="125">1.25*AF1034+30.275</f>
        <v>-47.981137938750003</v>
      </c>
      <c r="Y1034" t="s">
        <v>16</v>
      </c>
      <c r="Z1034">
        <v>6.9397719420000001</v>
      </c>
      <c r="AA1034" s="3">
        <f t="shared" ref="AA1034:AA1061" si="126">-ROUNDDOWN(X1034/10,0)</f>
        <v>4</v>
      </c>
      <c r="AB1034" s="3">
        <f t="shared" si="120"/>
        <v>7</v>
      </c>
      <c r="AD1034" s="3" t="s">
        <v>2750</v>
      </c>
      <c r="AE1034" s="4">
        <v>-52.115286099999999</v>
      </c>
      <c r="AF1034" s="4">
        <f t="shared" si="119"/>
        <v>-62.604910351000001</v>
      </c>
      <c r="AG1034" s="60" t="s">
        <v>16</v>
      </c>
      <c r="AH1034" s="61" t="s">
        <v>16</v>
      </c>
      <c r="AI1034" s="57">
        <f t="shared" ref="AI1034:AI1061" si="127">(-15.18) + 0.91*AE1034</f>
        <v>-62.604910351000001</v>
      </c>
      <c r="AJ1034" s="3">
        <f t="shared" ref="AJ1034:AJ1061" si="128">-ROUND(AF1034/10,0)</f>
        <v>6</v>
      </c>
      <c r="AK1034" s="3" t="s">
        <v>2708</v>
      </c>
      <c r="AL1034">
        <v>5</v>
      </c>
      <c r="AM1034" t="s">
        <v>980</v>
      </c>
    </row>
    <row r="1035" spans="1:39" hidden="1" x14ac:dyDescent="0.3">
      <c r="A1035" s="51" t="s">
        <v>2332</v>
      </c>
      <c r="B1035" s="54" t="s">
        <v>2333</v>
      </c>
      <c r="C1035" s="51" t="s">
        <v>2765</v>
      </c>
      <c r="D1035" s="53">
        <v>0</v>
      </c>
      <c r="E1035" s="53">
        <v>1</v>
      </c>
      <c r="F1035" s="51" t="s">
        <v>2715</v>
      </c>
      <c r="G1035" s="51" t="s">
        <v>2695</v>
      </c>
      <c r="H1035" s="25" t="s">
        <v>2762</v>
      </c>
      <c r="I1035" t="s">
        <v>385</v>
      </c>
      <c r="J1035" t="s">
        <v>386</v>
      </c>
      <c r="K1035" t="s">
        <v>1832</v>
      </c>
      <c r="L1035" s="25">
        <v>46.856421099999999</v>
      </c>
      <c r="M1035" s="25">
        <v>6.5492161969999998</v>
      </c>
      <c r="N1035">
        <v>6</v>
      </c>
      <c r="O1035">
        <v>26</v>
      </c>
      <c r="P1035">
        <v>10</v>
      </c>
      <c r="Q1035">
        <v>2017</v>
      </c>
      <c r="R1035" s="9">
        <v>43034</v>
      </c>
      <c r="S1035" t="s">
        <v>16</v>
      </c>
      <c r="T1035">
        <v>0</v>
      </c>
      <c r="U1035">
        <v>0</v>
      </c>
      <c r="V1035">
        <v>0</v>
      </c>
      <c r="W1035">
        <v>1</v>
      </c>
      <c r="X1035" s="57">
        <f t="shared" si="125"/>
        <v>-47.949503836249995</v>
      </c>
      <c r="Y1035" t="s">
        <v>16</v>
      </c>
      <c r="Z1035">
        <v>4.4551010150000003</v>
      </c>
      <c r="AA1035" s="3">
        <f t="shared" si="126"/>
        <v>4</v>
      </c>
      <c r="AB1035" s="3">
        <f t="shared" si="120"/>
        <v>4</v>
      </c>
      <c r="AD1035" s="3" t="s">
        <v>2750</v>
      </c>
      <c r="AE1035" s="4">
        <v>-52.087475900000001</v>
      </c>
      <c r="AF1035" s="4">
        <f t="shared" si="119"/>
        <v>-62.579603069000001</v>
      </c>
      <c r="AG1035" s="60" t="s">
        <v>16</v>
      </c>
      <c r="AH1035" s="61" t="s">
        <v>16</v>
      </c>
      <c r="AI1035" s="57">
        <f t="shared" si="127"/>
        <v>-62.579603069000001</v>
      </c>
      <c r="AJ1035" s="3">
        <f t="shared" si="128"/>
        <v>6</v>
      </c>
      <c r="AK1035" s="3" t="s">
        <v>2708</v>
      </c>
      <c r="AL1035">
        <v>5</v>
      </c>
      <c r="AM1035" t="s">
        <v>980</v>
      </c>
    </row>
    <row r="1036" spans="1:39" hidden="1" x14ac:dyDescent="0.3">
      <c r="A1036" s="51" t="s">
        <v>2369</v>
      </c>
      <c r="B1036" s="54" t="s">
        <v>2370</v>
      </c>
      <c r="C1036" s="51" t="s">
        <v>2765</v>
      </c>
      <c r="D1036" s="53">
        <v>0</v>
      </c>
      <c r="E1036" s="53">
        <v>1</v>
      </c>
      <c r="F1036" s="51" t="s">
        <v>2715</v>
      </c>
      <c r="G1036" s="51" t="s">
        <v>2695</v>
      </c>
      <c r="H1036" s="25" t="s">
        <v>2762</v>
      </c>
      <c r="I1036" t="s">
        <v>13</v>
      </c>
      <c r="J1036" t="s">
        <v>1057</v>
      </c>
      <c r="K1036" t="s">
        <v>1859</v>
      </c>
      <c r="L1036" s="25">
        <v>46.97452079</v>
      </c>
      <c r="M1036" s="25">
        <v>6.6702525860000002</v>
      </c>
      <c r="N1036">
        <v>6</v>
      </c>
      <c r="O1036">
        <v>28</v>
      </c>
      <c r="P1036">
        <v>10</v>
      </c>
      <c r="Q1036">
        <v>2017</v>
      </c>
      <c r="R1036" s="9">
        <v>43036</v>
      </c>
      <c r="S1036" t="s">
        <v>16</v>
      </c>
      <c r="T1036">
        <v>0</v>
      </c>
      <c r="U1036">
        <v>0</v>
      </c>
      <c r="V1036">
        <v>0</v>
      </c>
      <c r="W1036">
        <v>1</v>
      </c>
      <c r="X1036" s="57">
        <f t="shared" si="125"/>
        <v>-47.906489842500001</v>
      </c>
      <c r="Y1036" t="s">
        <v>16</v>
      </c>
      <c r="Z1036">
        <v>10.365879319999999</v>
      </c>
      <c r="AA1036" s="3">
        <f t="shared" si="126"/>
        <v>4</v>
      </c>
      <c r="AB1036" s="3">
        <f t="shared" si="120"/>
        <v>10</v>
      </c>
      <c r="AD1036" s="3" t="s">
        <v>2750</v>
      </c>
      <c r="AE1036" s="4">
        <v>-52.049661399999998</v>
      </c>
      <c r="AF1036" s="4">
        <f t="shared" si="119"/>
        <v>-62.545191873999997</v>
      </c>
      <c r="AG1036" s="60" t="s">
        <v>16</v>
      </c>
      <c r="AH1036" s="61" t="s">
        <v>16</v>
      </c>
      <c r="AI1036" s="57">
        <f t="shared" si="127"/>
        <v>-62.545191873999997</v>
      </c>
      <c r="AJ1036" s="3">
        <f t="shared" si="128"/>
        <v>6</v>
      </c>
      <c r="AK1036" s="3" t="s">
        <v>2708</v>
      </c>
      <c r="AL1036">
        <v>5</v>
      </c>
      <c r="AM1036" t="s">
        <v>980</v>
      </c>
    </row>
    <row r="1037" spans="1:39" hidden="1" x14ac:dyDescent="0.3">
      <c r="A1037" s="51" t="s">
        <v>2417</v>
      </c>
      <c r="B1037" s="54" t="s">
        <v>2418</v>
      </c>
      <c r="C1037" s="51" t="s">
        <v>2765</v>
      </c>
      <c r="D1037" s="53">
        <v>0</v>
      </c>
      <c r="E1037" s="53">
        <v>1</v>
      </c>
      <c r="F1037" s="51" t="s">
        <v>2715</v>
      </c>
      <c r="G1037" s="51" t="s">
        <v>2695</v>
      </c>
      <c r="H1037" s="25" t="s">
        <v>2762</v>
      </c>
      <c r="I1037" t="s">
        <v>13</v>
      </c>
      <c r="J1037" t="s">
        <v>1732</v>
      </c>
      <c r="K1037" t="s">
        <v>1822</v>
      </c>
      <c r="L1037" s="25">
        <v>46.99645099</v>
      </c>
      <c r="M1037" s="25">
        <v>6.7030294069999998</v>
      </c>
      <c r="N1037">
        <v>6</v>
      </c>
      <c r="O1037">
        <v>10</v>
      </c>
      <c r="P1037">
        <v>11</v>
      </c>
      <c r="Q1037">
        <v>2017</v>
      </c>
      <c r="R1037" s="9">
        <v>43049</v>
      </c>
      <c r="S1037" t="s">
        <v>16</v>
      </c>
      <c r="T1037">
        <v>0</v>
      </c>
      <c r="U1037">
        <v>0</v>
      </c>
      <c r="V1037">
        <v>0</v>
      </c>
      <c r="W1037">
        <v>1</v>
      </c>
      <c r="X1037" s="57">
        <f t="shared" si="125"/>
        <v>-46.909005855000011</v>
      </c>
      <c r="Y1037" t="s">
        <v>16</v>
      </c>
      <c r="Z1037">
        <v>1.9905319109999999</v>
      </c>
      <c r="AA1037" s="3">
        <f t="shared" si="126"/>
        <v>4</v>
      </c>
      <c r="AB1037" s="3">
        <f t="shared" si="120"/>
        <v>2</v>
      </c>
      <c r="AD1037" s="3" t="s">
        <v>2750</v>
      </c>
      <c r="AE1037" s="4">
        <v>-51.1727524</v>
      </c>
      <c r="AF1037" s="4">
        <f t="shared" si="119"/>
        <v>-61.747204684000003</v>
      </c>
      <c r="AG1037" s="60" t="s">
        <v>16</v>
      </c>
      <c r="AH1037" s="61" t="s">
        <v>16</v>
      </c>
      <c r="AI1037" s="57">
        <f t="shared" si="127"/>
        <v>-61.747204684000003</v>
      </c>
      <c r="AJ1037" s="3">
        <f t="shared" si="128"/>
        <v>6</v>
      </c>
      <c r="AK1037" s="3" t="s">
        <v>2708</v>
      </c>
      <c r="AL1037">
        <v>5</v>
      </c>
      <c r="AM1037" t="s">
        <v>980</v>
      </c>
    </row>
    <row r="1038" spans="1:39" hidden="1" x14ac:dyDescent="0.3">
      <c r="A1038" s="51" t="s">
        <v>2365</v>
      </c>
      <c r="B1038" s="54" t="s">
        <v>2366</v>
      </c>
      <c r="C1038" s="51" t="s">
        <v>2765</v>
      </c>
      <c r="D1038" s="53">
        <v>0</v>
      </c>
      <c r="E1038" s="53">
        <v>1</v>
      </c>
      <c r="F1038" s="51" t="s">
        <v>2715</v>
      </c>
      <c r="G1038" s="51" t="s">
        <v>2695</v>
      </c>
      <c r="H1038" s="25" t="s">
        <v>2762</v>
      </c>
      <c r="I1038" t="s">
        <v>13</v>
      </c>
      <c r="J1038" t="s">
        <v>1057</v>
      </c>
      <c r="K1038" t="s">
        <v>1859</v>
      </c>
      <c r="L1038" s="25">
        <v>46.975797120000003</v>
      </c>
      <c r="M1038" s="25">
        <v>6.671440617</v>
      </c>
      <c r="N1038">
        <v>6</v>
      </c>
      <c r="O1038">
        <v>28</v>
      </c>
      <c r="P1038">
        <v>10</v>
      </c>
      <c r="Q1038">
        <v>2017</v>
      </c>
      <c r="R1038" s="9">
        <v>43036</v>
      </c>
      <c r="S1038" t="s">
        <v>16</v>
      </c>
      <c r="T1038">
        <v>0</v>
      </c>
      <c r="U1038">
        <v>0</v>
      </c>
      <c r="V1038">
        <v>0</v>
      </c>
      <c r="W1038">
        <v>1</v>
      </c>
      <c r="X1038" s="57">
        <f t="shared" si="125"/>
        <v>-44.834492050000001</v>
      </c>
      <c r="Y1038" t="s">
        <v>16</v>
      </c>
      <c r="Z1038">
        <v>1.6365028129999999</v>
      </c>
      <c r="AA1038" s="3">
        <f t="shared" si="126"/>
        <v>4</v>
      </c>
      <c r="AB1038" s="3">
        <f t="shared" si="120"/>
        <v>2</v>
      </c>
      <c r="AD1038" s="3" t="s">
        <v>2750</v>
      </c>
      <c r="AE1038" s="4">
        <v>-49.349004000000001</v>
      </c>
      <c r="AF1038" s="4">
        <f t="shared" si="119"/>
        <v>-60.087593640000001</v>
      </c>
      <c r="AG1038" s="60" t="s">
        <v>16</v>
      </c>
      <c r="AH1038" s="61" t="s">
        <v>16</v>
      </c>
      <c r="AI1038" s="57">
        <f t="shared" si="127"/>
        <v>-60.087593640000001</v>
      </c>
      <c r="AJ1038" s="3">
        <f t="shared" si="128"/>
        <v>6</v>
      </c>
      <c r="AK1038" s="3" t="s">
        <v>2708</v>
      </c>
      <c r="AL1038">
        <v>5</v>
      </c>
      <c r="AM1038" t="s">
        <v>980</v>
      </c>
    </row>
    <row r="1039" spans="1:39" hidden="1" x14ac:dyDescent="0.3">
      <c r="A1039" s="51" t="s">
        <v>2426</v>
      </c>
      <c r="B1039" s="54" t="s">
        <v>2427</v>
      </c>
      <c r="C1039" s="51" t="s">
        <v>2765</v>
      </c>
      <c r="D1039" s="53">
        <v>0</v>
      </c>
      <c r="E1039" s="53">
        <v>1</v>
      </c>
      <c r="F1039" s="51" t="s">
        <v>2715</v>
      </c>
      <c r="G1039" s="51" t="s">
        <v>2695</v>
      </c>
      <c r="H1039" s="25" t="s">
        <v>2762</v>
      </c>
      <c r="I1039" t="s">
        <v>13</v>
      </c>
      <c r="J1039" t="s">
        <v>1057</v>
      </c>
      <c r="K1039" t="s">
        <v>2425</v>
      </c>
      <c r="L1039" s="25">
        <v>46.979073929999998</v>
      </c>
      <c r="M1039" s="25">
        <v>6.6718017950000004</v>
      </c>
      <c r="N1039">
        <v>6</v>
      </c>
      <c r="O1039">
        <v>10</v>
      </c>
      <c r="P1039">
        <v>11</v>
      </c>
      <c r="Q1039">
        <v>2017</v>
      </c>
      <c r="R1039" s="9">
        <v>43049</v>
      </c>
      <c r="S1039" t="s">
        <v>16</v>
      </c>
      <c r="T1039">
        <v>0</v>
      </c>
      <c r="U1039">
        <v>0</v>
      </c>
      <c r="V1039">
        <v>0</v>
      </c>
      <c r="W1039">
        <v>1</v>
      </c>
      <c r="X1039" s="57">
        <f t="shared" si="125"/>
        <v>-44.293538227500001</v>
      </c>
      <c r="Y1039" t="s">
        <v>16</v>
      </c>
      <c r="Z1039">
        <v>5.9534398639999999</v>
      </c>
      <c r="AA1039" s="3">
        <f t="shared" si="126"/>
        <v>4</v>
      </c>
      <c r="AB1039" s="3">
        <f t="shared" si="120"/>
        <v>6</v>
      </c>
      <c r="AD1039" s="3" t="s">
        <v>2750</v>
      </c>
      <c r="AE1039" s="4">
        <v>-48.873440199999997</v>
      </c>
      <c r="AF1039" s="4">
        <f t="shared" si="119"/>
        <v>-59.654830582000002</v>
      </c>
      <c r="AG1039" s="60" t="s">
        <v>16</v>
      </c>
      <c r="AH1039" s="61" t="s">
        <v>16</v>
      </c>
      <c r="AI1039" s="57">
        <f t="shared" si="127"/>
        <v>-59.654830582000002</v>
      </c>
      <c r="AJ1039" s="3">
        <f t="shared" si="128"/>
        <v>6</v>
      </c>
      <c r="AK1039" s="3" t="s">
        <v>2708</v>
      </c>
      <c r="AL1039">
        <v>5</v>
      </c>
      <c r="AM1039" t="s">
        <v>980</v>
      </c>
    </row>
    <row r="1040" spans="1:39" hidden="1" x14ac:dyDescent="0.3">
      <c r="A1040" s="51" t="s">
        <v>2209</v>
      </c>
      <c r="B1040" s="54" t="s">
        <v>2210</v>
      </c>
      <c r="C1040" s="51" t="s">
        <v>2765</v>
      </c>
      <c r="D1040" s="53">
        <v>0</v>
      </c>
      <c r="E1040" s="53">
        <v>1</v>
      </c>
      <c r="F1040" s="51" t="s">
        <v>2715</v>
      </c>
      <c r="G1040" s="51" t="s">
        <v>2695</v>
      </c>
      <c r="H1040" s="25" t="s">
        <v>2762</v>
      </c>
      <c r="I1040" t="s">
        <v>13</v>
      </c>
      <c r="J1040" t="s">
        <v>209</v>
      </c>
      <c r="K1040" t="s">
        <v>2211</v>
      </c>
      <c r="L1040" s="25">
        <v>46.926413650000001</v>
      </c>
      <c r="M1040" s="25">
        <v>6.7319689890000003</v>
      </c>
      <c r="N1040">
        <v>6</v>
      </c>
      <c r="O1040">
        <v>27</v>
      </c>
      <c r="P1040">
        <v>10</v>
      </c>
      <c r="Q1040">
        <v>2016</v>
      </c>
      <c r="R1040" s="9">
        <v>42670</v>
      </c>
      <c r="S1040">
        <v>383</v>
      </c>
      <c r="T1040">
        <v>0</v>
      </c>
      <c r="U1040">
        <v>0</v>
      </c>
      <c r="V1040">
        <v>0</v>
      </c>
      <c r="W1040">
        <v>1</v>
      </c>
      <c r="X1040" s="57">
        <f t="shared" si="125"/>
        <v>-44.063615352500001</v>
      </c>
      <c r="Y1040">
        <v>-22.45</v>
      </c>
      <c r="Z1040">
        <v>6.02</v>
      </c>
      <c r="AA1040" s="3">
        <f t="shared" si="126"/>
        <v>4</v>
      </c>
      <c r="AB1040" s="3">
        <f t="shared" si="120"/>
        <v>6</v>
      </c>
      <c r="AD1040" s="3" t="s">
        <v>2750</v>
      </c>
      <c r="AE1040" s="4">
        <v>-48.671310200000001</v>
      </c>
      <c r="AF1040" s="4">
        <f t="shared" si="119"/>
        <v>-59.470892282000001</v>
      </c>
      <c r="AG1040" s="60" t="s">
        <v>16</v>
      </c>
      <c r="AH1040" s="61" t="s">
        <v>16</v>
      </c>
      <c r="AI1040" s="57">
        <f t="shared" si="127"/>
        <v>-59.470892282000001</v>
      </c>
      <c r="AJ1040" s="3">
        <f t="shared" si="128"/>
        <v>6</v>
      </c>
      <c r="AK1040" s="3" t="s">
        <v>2708</v>
      </c>
      <c r="AL1040">
        <v>5</v>
      </c>
      <c r="AM1040" t="s">
        <v>980</v>
      </c>
    </row>
    <row r="1041" spans="1:39" hidden="1" x14ac:dyDescent="0.3">
      <c r="A1041" s="51" t="s">
        <v>1736</v>
      </c>
      <c r="B1041" s="54" t="s">
        <v>1737</v>
      </c>
      <c r="C1041" s="51" t="s">
        <v>2765</v>
      </c>
      <c r="D1041" s="53">
        <v>0</v>
      </c>
      <c r="E1041" s="53">
        <v>1</v>
      </c>
      <c r="F1041" s="51" t="s">
        <v>2715</v>
      </c>
      <c r="G1041" s="51" t="s">
        <v>2695</v>
      </c>
      <c r="H1041" s="25" t="s">
        <v>2762</v>
      </c>
      <c r="I1041" t="s">
        <v>13</v>
      </c>
      <c r="J1041" t="s">
        <v>1057</v>
      </c>
      <c r="K1041" t="s">
        <v>1738</v>
      </c>
      <c r="L1041" s="25">
        <v>46.934810290000001</v>
      </c>
      <c r="M1041" s="25">
        <v>6.5845879250000001</v>
      </c>
      <c r="N1041">
        <v>6</v>
      </c>
      <c r="O1041">
        <v>18</v>
      </c>
      <c r="P1041">
        <v>10</v>
      </c>
      <c r="Q1041">
        <v>2016</v>
      </c>
      <c r="R1041" s="9">
        <v>42661</v>
      </c>
      <c r="S1041">
        <v>317</v>
      </c>
      <c r="T1041">
        <v>0</v>
      </c>
      <c r="U1041">
        <v>0</v>
      </c>
      <c r="V1041">
        <v>0</v>
      </c>
      <c r="W1041">
        <v>1</v>
      </c>
      <c r="X1041" s="57">
        <f t="shared" si="125"/>
        <v>-43.930632047500005</v>
      </c>
      <c r="Y1041">
        <v>-23.71</v>
      </c>
      <c r="Z1041">
        <v>8.31</v>
      </c>
      <c r="AA1041" s="3">
        <f t="shared" si="126"/>
        <v>4</v>
      </c>
      <c r="AB1041" s="3">
        <f t="shared" si="120"/>
        <v>8</v>
      </c>
      <c r="AD1041" s="3" t="s">
        <v>2750</v>
      </c>
      <c r="AE1041" s="4">
        <v>-48.554401800000001</v>
      </c>
      <c r="AF1041" s="4">
        <f t="shared" si="119"/>
        <v>-59.364505638000004</v>
      </c>
      <c r="AG1041" s="60" t="s">
        <v>16</v>
      </c>
      <c r="AH1041" s="61" t="s">
        <v>16</v>
      </c>
      <c r="AI1041" s="57">
        <f t="shared" si="127"/>
        <v>-59.364505638000004</v>
      </c>
      <c r="AJ1041" s="3">
        <f t="shared" si="128"/>
        <v>6</v>
      </c>
      <c r="AK1041" s="3" t="s">
        <v>2708</v>
      </c>
      <c r="AL1041">
        <v>5</v>
      </c>
      <c r="AM1041" t="s">
        <v>980</v>
      </c>
    </row>
    <row r="1042" spans="1:39" hidden="1" x14ac:dyDescent="0.3">
      <c r="A1042" s="51" t="s">
        <v>2203</v>
      </c>
      <c r="B1042" s="54" t="s">
        <v>2204</v>
      </c>
      <c r="C1042" s="51" t="s">
        <v>2765</v>
      </c>
      <c r="D1042" s="53">
        <v>0</v>
      </c>
      <c r="E1042" s="53">
        <v>1</v>
      </c>
      <c r="F1042" s="51" t="s">
        <v>2715</v>
      </c>
      <c r="G1042" s="51" t="s">
        <v>2695</v>
      </c>
      <c r="H1042" s="25" t="s">
        <v>2762</v>
      </c>
      <c r="I1042" t="s">
        <v>13</v>
      </c>
      <c r="J1042" t="s">
        <v>2205</v>
      </c>
      <c r="K1042" t="s">
        <v>2206</v>
      </c>
      <c r="L1042" s="25">
        <v>46.89918033</v>
      </c>
      <c r="M1042" s="25">
        <v>6.5220654439999999</v>
      </c>
      <c r="N1042">
        <v>6</v>
      </c>
      <c r="O1042">
        <v>26</v>
      </c>
      <c r="P1042">
        <v>10</v>
      </c>
      <c r="Q1042">
        <v>2016</v>
      </c>
      <c r="R1042" s="9">
        <v>42669</v>
      </c>
      <c r="S1042">
        <v>316</v>
      </c>
      <c r="T1042">
        <v>0</v>
      </c>
      <c r="U1042">
        <v>0</v>
      </c>
      <c r="V1042">
        <v>0</v>
      </c>
      <c r="W1042">
        <v>1</v>
      </c>
      <c r="X1042" s="57">
        <f t="shared" si="125"/>
        <v>-43.732703407500004</v>
      </c>
      <c r="Y1042">
        <v>-24.1</v>
      </c>
      <c r="Z1042">
        <v>4.96</v>
      </c>
      <c r="AA1042" s="3">
        <f t="shared" si="126"/>
        <v>4</v>
      </c>
      <c r="AB1042" s="3">
        <f t="shared" si="120"/>
        <v>5</v>
      </c>
      <c r="AD1042" s="3" t="s">
        <v>2750</v>
      </c>
      <c r="AE1042" s="4">
        <v>-48.380398599999999</v>
      </c>
      <c r="AF1042" s="4">
        <f t="shared" si="119"/>
        <v>-59.206162726000002</v>
      </c>
      <c r="AG1042" s="60" t="s">
        <v>16</v>
      </c>
      <c r="AH1042" s="61" t="s">
        <v>16</v>
      </c>
      <c r="AI1042" s="57">
        <f t="shared" si="127"/>
        <v>-59.206162726000002</v>
      </c>
      <c r="AJ1042" s="3">
        <f t="shared" si="128"/>
        <v>6</v>
      </c>
      <c r="AK1042" s="3" t="s">
        <v>2708</v>
      </c>
      <c r="AL1042">
        <v>5</v>
      </c>
      <c r="AM1042" t="s">
        <v>980</v>
      </c>
    </row>
    <row r="1043" spans="1:39" hidden="1" x14ac:dyDescent="0.3">
      <c r="A1043" s="51" t="s">
        <v>1842</v>
      </c>
      <c r="B1043" s="54" t="s">
        <v>1843</v>
      </c>
      <c r="C1043" s="51" t="s">
        <v>2765</v>
      </c>
      <c r="D1043" s="53">
        <v>0</v>
      </c>
      <c r="E1043" s="53">
        <v>1</v>
      </c>
      <c r="F1043" s="51" t="s">
        <v>2715</v>
      </c>
      <c r="G1043" s="51" t="s">
        <v>2695</v>
      </c>
      <c r="H1043" s="25" t="s">
        <v>2762</v>
      </c>
      <c r="I1043" t="s">
        <v>385</v>
      </c>
      <c r="J1043" t="s">
        <v>386</v>
      </c>
      <c r="K1043" t="s">
        <v>1832</v>
      </c>
      <c r="L1043" s="25">
        <v>46.847574360000003</v>
      </c>
      <c r="M1043" s="25">
        <v>6.5395303250000003</v>
      </c>
      <c r="N1043">
        <v>6</v>
      </c>
      <c r="O1043">
        <v>17</v>
      </c>
      <c r="P1043">
        <v>10</v>
      </c>
      <c r="Q1043">
        <v>2017</v>
      </c>
      <c r="R1043" s="9">
        <v>43025</v>
      </c>
      <c r="S1043" t="s">
        <v>16</v>
      </c>
      <c r="T1043">
        <v>0</v>
      </c>
      <c r="U1043">
        <v>0</v>
      </c>
      <c r="V1043">
        <v>0</v>
      </c>
      <c r="W1043">
        <v>1</v>
      </c>
      <c r="X1043" s="57">
        <f t="shared" si="125"/>
        <v>-41.807857985000005</v>
      </c>
      <c r="Y1043" t="s">
        <v>16</v>
      </c>
      <c r="Z1043">
        <v>4.6741738919999998</v>
      </c>
      <c r="AA1043" s="3">
        <f t="shared" si="126"/>
        <v>4</v>
      </c>
      <c r="AB1043" s="3">
        <f t="shared" si="120"/>
        <v>5</v>
      </c>
      <c r="AD1043" s="3" t="s">
        <v>2750</v>
      </c>
      <c r="AE1043" s="4">
        <v>-46.688226800000002</v>
      </c>
      <c r="AF1043" s="4">
        <f t="shared" si="119"/>
        <v>-57.666286388000003</v>
      </c>
      <c r="AG1043" s="60" t="s">
        <v>16</v>
      </c>
      <c r="AH1043" s="61" t="s">
        <v>16</v>
      </c>
      <c r="AI1043" s="57">
        <f t="shared" si="127"/>
        <v>-57.666286388000003</v>
      </c>
      <c r="AJ1043" s="3">
        <f t="shared" si="128"/>
        <v>6</v>
      </c>
      <c r="AK1043" s="3" t="s">
        <v>2708</v>
      </c>
      <c r="AL1043">
        <v>5</v>
      </c>
      <c r="AM1043" t="s">
        <v>980</v>
      </c>
    </row>
    <row r="1044" spans="1:39" hidden="1" x14ac:dyDescent="0.3">
      <c r="A1044" s="51" t="s">
        <v>2391</v>
      </c>
      <c r="B1044" s="54" t="s">
        <v>2392</v>
      </c>
      <c r="C1044" s="51" t="s">
        <v>2765</v>
      </c>
      <c r="D1044" s="53">
        <v>0</v>
      </c>
      <c r="E1044" s="53">
        <v>1</v>
      </c>
      <c r="F1044" s="51" t="s">
        <v>2715</v>
      </c>
      <c r="G1044" s="51" t="s">
        <v>2695</v>
      </c>
      <c r="H1044" s="25" t="s">
        <v>2762</v>
      </c>
      <c r="I1044" t="s">
        <v>13</v>
      </c>
      <c r="J1044" t="s">
        <v>1732</v>
      </c>
      <c r="K1044" t="s">
        <v>1822</v>
      </c>
      <c r="L1044" s="25">
        <v>46.996045379999998</v>
      </c>
      <c r="M1044" s="25">
        <v>6.7029034870000004</v>
      </c>
      <c r="N1044">
        <v>6</v>
      </c>
      <c r="O1044">
        <v>1</v>
      </c>
      <c r="P1044">
        <v>11</v>
      </c>
      <c r="Q1044">
        <v>2017</v>
      </c>
      <c r="R1044" s="9">
        <v>43040</v>
      </c>
      <c r="S1044" t="s">
        <v>16</v>
      </c>
      <c r="T1044">
        <v>0</v>
      </c>
      <c r="U1044">
        <v>0</v>
      </c>
      <c r="V1044">
        <v>0</v>
      </c>
      <c r="W1044">
        <v>1</v>
      </c>
      <c r="X1044" s="57">
        <f t="shared" si="125"/>
        <v>-40.666274587500006</v>
      </c>
      <c r="Y1044" t="s">
        <v>16</v>
      </c>
      <c r="Z1044">
        <v>7.2391474010000003</v>
      </c>
      <c r="AA1044" s="3">
        <f t="shared" si="126"/>
        <v>4</v>
      </c>
      <c r="AB1044" s="3">
        <f t="shared" si="120"/>
        <v>7</v>
      </c>
      <c r="AD1044" s="3" t="s">
        <v>2750</v>
      </c>
      <c r="AE1044" s="4">
        <v>-45.684637000000002</v>
      </c>
      <c r="AF1044" s="4">
        <f t="shared" si="119"/>
        <v>-56.75301967</v>
      </c>
      <c r="AG1044" s="60" t="s">
        <v>16</v>
      </c>
      <c r="AH1044" s="61" t="s">
        <v>16</v>
      </c>
      <c r="AI1044" s="57">
        <f t="shared" si="127"/>
        <v>-56.75301967</v>
      </c>
      <c r="AJ1044" s="3">
        <f t="shared" si="128"/>
        <v>6</v>
      </c>
      <c r="AK1044" s="3" t="s">
        <v>2708</v>
      </c>
      <c r="AL1044">
        <v>5</v>
      </c>
      <c r="AM1044" t="s">
        <v>980</v>
      </c>
    </row>
    <row r="1045" spans="1:39" hidden="1" x14ac:dyDescent="0.3">
      <c r="A1045" s="51" t="s">
        <v>2305</v>
      </c>
      <c r="B1045" s="54" t="s">
        <v>2306</v>
      </c>
      <c r="C1045" s="51" t="s">
        <v>2765</v>
      </c>
      <c r="D1045" s="53">
        <v>0</v>
      </c>
      <c r="E1045" s="53">
        <v>1</v>
      </c>
      <c r="F1045" s="51" t="s">
        <v>2715</v>
      </c>
      <c r="G1045" s="51" t="s">
        <v>2695</v>
      </c>
      <c r="H1045" s="25" t="s">
        <v>2762</v>
      </c>
      <c r="I1045" t="s">
        <v>13</v>
      </c>
      <c r="J1045" t="s">
        <v>19</v>
      </c>
      <c r="K1045" t="s">
        <v>1837</v>
      </c>
      <c r="L1045" s="25">
        <v>46.927715130000003</v>
      </c>
      <c r="M1045" s="25">
        <v>6.4579576090000002</v>
      </c>
      <c r="N1045">
        <v>6</v>
      </c>
      <c r="O1045">
        <v>22</v>
      </c>
      <c r="P1045">
        <v>10</v>
      </c>
      <c r="Q1045">
        <v>2017</v>
      </c>
      <c r="R1045" s="9">
        <v>43030</v>
      </c>
      <c r="S1045" t="s">
        <v>16</v>
      </c>
      <c r="T1045">
        <v>0</v>
      </c>
      <c r="U1045">
        <v>0</v>
      </c>
      <c r="V1045">
        <v>0</v>
      </c>
      <c r="W1045">
        <v>1</v>
      </c>
      <c r="X1045" s="57">
        <f t="shared" si="125"/>
        <v>-39.731826755000007</v>
      </c>
      <c r="Y1045" t="s">
        <v>16</v>
      </c>
      <c r="Z1045">
        <v>-0.17496372299999999</v>
      </c>
      <c r="AA1045" s="3">
        <f t="shared" si="126"/>
        <v>3</v>
      </c>
      <c r="AB1045" s="3">
        <f t="shared" si="120"/>
        <v>0</v>
      </c>
      <c r="AD1045" s="3" t="s">
        <v>2750</v>
      </c>
      <c r="AE1045" s="4">
        <v>-44.863144400000003</v>
      </c>
      <c r="AF1045" s="4">
        <f t="shared" si="119"/>
        <v>-56.005461404000002</v>
      </c>
      <c r="AG1045" s="60" t="s">
        <v>16</v>
      </c>
      <c r="AH1045" s="61" t="s">
        <v>16</v>
      </c>
      <c r="AI1045" s="57">
        <f t="shared" si="127"/>
        <v>-56.005461404000002</v>
      </c>
      <c r="AJ1045" s="3">
        <f t="shared" si="128"/>
        <v>6</v>
      </c>
      <c r="AK1045" s="3" t="s">
        <v>2708</v>
      </c>
      <c r="AL1045">
        <v>4</v>
      </c>
      <c r="AM1045" t="s">
        <v>980</v>
      </c>
    </row>
    <row r="1046" spans="1:39" hidden="1" x14ac:dyDescent="0.3">
      <c r="A1046" s="51" t="s">
        <v>2367</v>
      </c>
      <c r="B1046" s="54" t="s">
        <v>2368</v>
      </c>
      <c r="C1046" s="51" t="s">
        <v>2765</v>
      </c>
      <c r="D1046" s="53">
        <v>0</v>
      </c>
      <c r="E1046" s="53">
        <v>1</v>
      </c>
      <c r="F1046" s="51" t="s">
        <v>2715</v>
      </c>
      <c r="G1046" s="51" t="s">
        <v>2695</v>
      </c>
      <c r="H1046" s="25" t="s">
        <v>2762</v>
      </c>
      <c r="I1046" t="s">
        <v>13</v>
      </c>
      <c r="J1046" t="s">
        <v>1057</v>
      </c>
      <c r="K1046" t="s">
        <v>1859</v>
      </c>
      <c r="L1046" s="25">
        <v>46.975117429999997</v>
      </c>
      <c r="M1046" s="25">
        <v>6.670689651</v>
      </c>
      <c r="N1046">
        <v>6</v>
      </c>
      <c r="O1046">
        <v>28</v>
      </c>
      <c r="P1046">
        <v>10</v>
      </c>
      <c r="Q1046">
        <v>2017</v>
      </c>
      <c r="R1046" s="9">
        <v>43036</v>
      </c>
      <c r="S1046" t="s">
        <v>16</v>
      </c>
      <c r="T1046">
        <v>0</v>
      </c>
      <c r="U1046">
        <v>0</v>
      </c>
      <c r="V1046">
        <v>0</v>
      </c>
      <c r="W1046">
        <v>1</v>
      </c>
      <c r="X1046" s="57">
        <f t="shared" si="125"/>
        <v>-39.339045274999997</v>
      </c>
      <c r="Y1046" t="s">
        <v>16</v>
      </c>
      <c r="Z1046">
        <v>4.7682935710000001</v>
      </c>
      <c r="AA1046" s="3">
        <f t="shared" si="126"/>
        <v>3</v>
      </c>
      <c r="AB1046" s="3">
        <f t="shared" si="120"/>
        <v>5</v>
      </c>
      <c r="AD1046" s="3" t="s">
        <v>2750</v>
      </c>
      <c r="AE1046" s="4">
        <v>-44.517842000000002</v>
      </c>
      <c r="AF1046" s="4">
        <f t="shared" ref="AF1046:AF1061" si="129">IF(AI1046&lt;0,AI1046,AE1046)</f>
        <v>-55.69123622</v>
      </c>
      <c r="AG1046" s="60" t="s">
        <v>16</v>
      </c>
      <c r="AH1046" s="61" t="s">
        <v>16</v>
      </c>
      <c r="AI1046" s="57">
        <f t="shared" si="127"/>
        <v>-55.69123622</v>
      </c>
      <c r="AJ1046" s="3">
        <f t="shared" si="128"/>
        <v>6</v>
      </c>
      <c r="AK1046" s="3" t="s">
        <v>2708</v>
      </c>
      <c r="AL1046">
        <v>4</v>
      </c>
      <c r="AM1046" t="s">
        <v>980</v>
      </c>
    </row>
    <row r="1047" spans="1:39" hidden="1" x14ac:dyDescent="0.3">
      <c r="A1047" s="51" t="s">
        <v>2386</v>
      </c>
      <c r="B1047" s="54" t="s">
        <v>2387</v>
      </c>
      <c r="C1047" s="51" t="s">
        <v>2765</v>
      </c>
      <c r="D1047" s="53">
        <v>0</v>
      </c>
      <c r="E1047" s="53">
        <v>1</v>
      </c>
      <c r="F1047" s="51" t="s">
        <v>2715</v>
      </c>
      <c r="G1047" s="51" t="s">
        <v>2695</v>
      </c>
      <c r="H1047" s="25" t="s">
        <v>2762</v>
      </c>
      <c r="I1047" t="s">
        <v>385</v>
      </c>
      <c r="J1047" t="s">
        <v>539</v>
      </c>
      <c r="K1047" t="s">
        <v>2388</v>
      </c>
      <c r="L1047" s="25">
        <v>46.909472049999998</v>
      </c>
      <c r="M1047" s="25">
        <v>6.6849605749999998</v>
      </c>
      <c r="N1047">
        <v>6</v>
      </c>
      <c r="O1047">
        <v>28</v>
      </c>
      <c r="P1047">
        <v>10</v>
      </c>
      <c r="Q1047">
        <v>2017</v>
      </c>
      <c r="R1047" s="9">
        <v>43036</v>
      </c>
      <c r="S1047" t="s">
        <v>16</v>
      </c>
      <c r="T1047">
        <v>0</v>
      </c>
      <c r="U1047">
        <v>0</v>
      </c>
      <c r="V1047">
        <v>0</v>
      </c>
      <c r="W1047">
        <v>1</v>
      </c>
      <c r="X1047" s="57">
        <f t="shared" si="125"/>
        <v>-38.592927174999993</v>
      </c>
      <c r="Y1047" t="s">
        <v>16</v>
      </c>
      <c r="Z1047">
        <v>5.6599003440000004</v>
      </c>
      <c r="AA1047" s="3">
        <f t="shared" si="126"/>
        <v>3</v>
      </c>
      <c r="AB1047" s="3">
        <f t="shared" si="120"/>
        <v>6</v>
      </c>
      <c r="AD1047" s="3" t="s">
        <v>2750</v>
      </c>
      <c r="AE1047" s="4">
        <v>-43.861913999999999</v>
      </c>
      <c r="AF1047" s="4">
        <f t="shared" si="129"/>
        <v>-55.094341739999997</v>
      </c>
      <c r="AG1047" s="60" t="s">
        <v>16</v>
      </c>
      <c r="AH1047" s="61" t="s">
        <v>16</v>
      </c>
      <c r="AI1047" s="57">
        <f t="shared" si="127"/>
        <v>-55.094341739999997</v>
      </c>
      <c r="AJ1047" s="3">
        <f t="shared" si="128"/>
        <v>6</v>
      </c>
      <c r="AK1047" s="3" t="s">
        <v>2708</v>
      </c>
      <c r="AL1047">
        <v>4</v>
      </c>
      <c r="AM1047" t="s">
        <v>980</v>
      </c>
    </row>
    <row r="1048" spans="1:39" hidden="1" x14ac:dyDescent="0.3">
      <c r="A1048" s="51" t="s">
        <v>2182</v>
      </c>
      <c r="B1048" s="54" t="s">
        <v>2183</v>
      </c>
      <c r="C1048" s="51" t="s">
        <v>2765</v>
      </c>
      <c r="D1048" s="53">
        <v>0</v>
      </c>
      <c r="E1048" s="53">
        <v>1</v>
      </c>
      <c r="F1048" s="51" t="s">
        <v>2715</v>
      </c>
      <c r="G1048" s="51" t="s">
        <v>2695</v>
      </c>
      <c r="H1048" s="25" t="s">
        <v>2762</v>
      </c>
      <c r="I1048" t="s">
        <v>13</v>
      </c>
      <c r="J1048" t="s">
        <v>1732</v>
      </c>
      <c r="K1048" t="s">
        <v>1822</v>
      </c>
      <c r="L1048" s="25">
        <v>46.995461310000003</v>
      </c>
      <c r="M1048" s="25">
        <v>6.7002031019999997</v>
      </c>
      <c r="N1048">
        <v>6</v>
      </c>
      <c r="O1048">
        <v>21</v>
      </c>
      <c r="P1048">
        <v>10</v>
      </c>
      <c r="Q1048">
        <v>2017</v>
      </c>
      <c r="R1048" s="9">
        <v>43029</v>
      </c>
      <c r="S1048" t="s">
        <v>16</v>
      </c>
      <c r="T1048">
        <v>0</v>
      </c>
      <c r="U1048">
        <v>0</v>
      </c>
      <c r="V1048">
        <v>0</v>
      </c>
      <c r="W1048">
        <v>1</v>
      </c>
      <c r="X1048" s="57">
        <f t="shared" si="125"/>
        <v>-37.97757198</v>
      </c>
      <c r="Y1048" t="s">
        <v>16</v>
      </c>
      <c r="Z1048">
        <v>4.1919834649999999</v>
      </c>
      <c r="AA1048" s="3">
        <f t="shared" si="126"/>
        <v>3</v>
      </c>
      <c r="AB1048" s="3">
        <f t="shared" si="120"/>
        <v>4</v>
      </c>
      <c r="AD1048" s="3" t="s">
        <v>2750</v>
      </c>
      <c r="AE1048" s="4">
        <v>-43.3209424</v>
      </c>
      <c r="AF1048" s="4">
        <f t="shared" si="129"/>
        <v>-54.602057584000001</v>
      </c>
      <c r="AG1048" s="60" t="s">
        <v>16</v>
      </c>
      <c r="AH1048" s="61" t="s">
        <v>16</v>
      </c>
      <c r="AI1048" s="57">
        <f t="shared" si="127"/>
        <v>-54.602057584000001</v>
      </c>
      <c r="AJ1048" s="3">
        <f t="shared" si="128"/>
        <v>5</v>
      </c>
      <c r="AK1048" s="3" t="s">
        <v>2708</v>
      </c>
      <c r="AL1048">
        <v>4</v>
      </c>
      <c r="AM1048" t="s">
        <v>980</v>
      </c>
    </row>
    <row r="1049" spans="1:39" hidden="1" x14ac:dyDescent="0.3">
      <c r="A1049" s="51" t="s">
        <v>2311</v>
      </c>
      <c r="B1049" s="54" t="s">
        <v>2312</v>
      </c>
      <c r="C1049" s="51" t="s">
        <v>2765</v>
      </c>
      <c r="D1049" s="53">
        <v>0</v>
      </c>
      <c r="E1049" s="53">
        <v>1</v>
      </c>
      <c r="F1049" s="51" t="s">
        <v>2715</v>
      </c>
      <c r="G1049" s="51" t="s">
        <v>2695</v>
      </c>
      <c r="H1049" s="25" t="s">
        <v>2762</v>
      </c>
      <c r="I1049" t="s">
        <v>13</v>
      </c>
      <c r="J1049" t="s">
        <v>1732</v>
      </c>
      <c r="K1049" t="s">
        <v>1822</v>
      </c>
      <c r="L1049" s="25">
        <v>46.994337530000003</v>
      </c>
      <c r="M1049" s="25">
        <v>6.6975160989999996</v>
      </c>
      <c r="N1049">
        <v>6</v>
      </c>
      <c r="O1049">
        <v>23</v>
      </c>
      <c r="P1049">
        <v>10</v>
      </c>
      <c r="Q1049">
        <v>2017</v>
      </c>
      <c r="R1049" s="9">
        <v>43031</v>
      </c>
      <c r="S1049" t="s">
        <v>16</v>
      </c>
      <c r="T1049">
        <v>0</v>
      </c>
      <c r="U1049">
        <v>0</v>
      </c>
      <c r="V1049">
        <v>0</v>
      </c>
      <c r="W1049">
        <v>1</v>
      </c>
      <c r="X1049" s="57">
        <f t="shared" si="125"/>
        <v>-36.838744290000001</v>
      </c>
      <c r="Y1049" t="s">
        <v>16</v>
      </c>
      <c r="Z1049">
        <v>6.2343631159999999</v>
      </c>
      <c r="AA1049" s="3">
        <f t="shared" si="126"/>
        <v>3</v>
      </c>
      <c r="AB1049" s="3">
        <f t="shared" si="120"/>
        <v>6</v>
      </c>
      <c r="AD1049" s="3" t="s">
        <v>2750</v>
      </c>
      <c r="AE1049" s="4">
        <v>-42.319775200000002</v>
      </c>
      <c r="AF1049" s="4">
        <f t="shared" si="129"/>
        <v>-53.690995432000001</v>
      </c>
      <c r="AG1049" s="60" t="s">
        <v>16</v>
      </c>
      <c r="AH1049" s="61" t="s">
        <v>16</v>
      </c>
      <c r="AI1049" s="57">
        <f t="shared" si="127"/>
        <v>-53.690995432000001</v>
      </c>
      <c r="AJ1049" s="3">
        <f t="shared" si="128"/>
        <v>5</v>
      </c>
      <c r="AK1049" s="3" t="s">
        <v>2708</v>
      </c>
      <c r="AL1049">
        <v>4</v>
      </c>
      <c r="AM1049" t="s">
        <v>980</v>
      </c>
    </row>
    <row r="1050" spans="1:39" hidden="1" x14ac:dyDescent="0.3">
      <c r="A1050" s="51" t="s">
        <v>1751</v>
      </c>
      <c r="B1050" s="54" t="s">
        <v>1752</v>
      </c>
      <c r="C1050" s="51" t="s">
        <v>2765</v>
      </c>
      <c r="D1050" s="53">
        <v>0</v>
      </c>
      <c r="E1050" s="53">
        <v>1</v>
      </c>
      <c r="F1050" s="51" t="s">
        <v>2715</v>
      </c>
      <c r="G1050" s="51" t="s">
        <v>2695</v>
      </c>
      <c r="H1050" s="25" t="s">
        <v>2762</v>
      </c>
      <c r="I1050" t="s">
        <v>385</v>
      </c>
      <c r="J1050" t="s">
        <v>539</v>
      </c>
      <c r="K1050" t="s">
        <v>1753</v>
      </c>
      <c r="L1050" s="25">
        <v>46.885708690000001</v>
      </c>
      <c r="M1050" s="25">
        <v>6.6249923580000001</v>
      </c>
      <c r="N1050">
        <v>6</v>
      </c>
      <c r="O1050">
        <v>20</v>
      </c>
      <c r="P1050">
        <v>10</v>
      </c>
      <c r="Q1050">
        <v>2016</v>
      </c>
      <c r="R1050" s="9">
        <v>42663</v>
      </c>
      <c r="S1050">
        <v>320</v>
      </c>
      <c r="T1050">
        <v>0</v>
      </c>
      <c r="U1050">
        <v>0</v>
      </c>
      <c r="V1050">
        <v>0</v>
      </c>
      <c r="W1050">
        <v>1</v>
      </c>
      <c r="X1050" s="57">
        <f t="shared" si="125"/>
        <v>-36.282545692500001</v>
      </c>
      <c r="Y1050">
        <v>-23.25</v>
      </c>
      <c r="Z1050">
        <v>4.55</v>
      </c>
      <c r="AA1050" s="3">
        <f t="shared" si="126"/>
        <v>3</v>
      </c>
      <c r="AB1050" s="3">
        <f t="shared" si="120"/>
        <v>5</v>
      </c>
      <c r="AD1050" s="3" t="s">
        <v>2750</v>
      </c>
      <c r="AE1050" s="4">
        <v>-41.8308094</v>
      </c>
      <c r="AF1050" s="4">
        <f t="shared" si="129"/>
        <v>-53.246036554</v>
      </c>
      <c r="AG1050" s="60" t="s">
        <v>16</v>
      </c>
      <c r="AH1050" s="61" t="s">
        <v>16</v>
      </c>
      <c r="AI1050" s="57">
        <f t="shared" si="127"/>
        <v>-53.246036554</v>
      </c>
      <c r="AJ1050" s="3">
        <f t="shared" si="128"/>
        <v>5</v>
      </c>
      <c r="AK1050" s="3" t="s">
        <v>2708</v>
      </c>
      <c r="AL1050">
        <v>4</v>
      </c>
      <c r="AM1050" t="s">
        <v>980</v>
      </c>
    </row>
    <row r="1051" spans="1:39" hidden="1" x14ac:dyDescent="0.3">
      <c r="A1051" s="51" t="s">
        <v>2221</v>
      </c>
      <c r="B1051" s="54" t="s">
        <v>2222</v>
      </c>
      <c r="C1051" s="51" t="s">
        <v>2765</v>
      </c>
      <c r="D1051" s="53">
        <v>0</v>
      </c>
      <c r="E1051" s="53">
        <v>1</v>
      </c>
      <c r="F1051" s="51" t="s">
        <v>2715</v>
      </c>
      <c r="G1051" s="51" t="s">
        <v>2695</v>
      </c>
      <c r="H1051" s="25" t="s">
        <v>2762</v>
      </c>
      <c r="I1051" t="s">
        <v>13</v>
      </c>
      <c r="J1051" t="s">
        <v>1057</v>
      </c>
      <c r="K1051" t="s">
        <v>1738</v>
      </c>
      <c r="L1051" s="25">
        <v>46.930847540000002</v>
      </c>
      <c r="M1051" s="25">
        <v>6.5863842950000002</v>
      </c>
      <c r="N1051">
        <v>6</v>
      </c>
      <c r="O1051">
        <v>31</v>
      </c>
      <c r="P1051">
        <v>10</v>
      </c>
      <c r="Q1051">
        <v>2016</v>
      </c>
      <c r="R1051" s="9">
        <v>42674</v>
      </c>
      <c r="S1051">
        <v>325</v>
      </c>
      <c r="T1051">
        <v>0</v>
      </c>
      <c r="U1051">
        <v>0</v>
      </c>
      <c r="V1051">
        <v>0</v>
      </c>
      <c r="W1051">
        <v>1</v>
      </c>
      <c r="X1051" s="57">
        <f t="shared" si="125"/>
        <v>-33.335017245000003</v>
      </c>
      <c r="Y1051">
        <v>-24.19</v>
      </c>
      <c r="Z1051">
        <v>8.01</v>
      </c>
      <c r="AA1051" s="3">
        <f t="shared" si="126"/>
        <v>3</v>
      </c>
      <c r="AB1051" s="3">
        <f t="shared" si="120"/>
        <v>8</v>
      </c>
      <c r="AD1051" s="3" t="s">
        <v>2750</v>
      </c>
      <c r="AE1051" s="4">
        <v>-39.239575600000002</v>
      </c>
      <c r="AF1051" s="4">
        <f t="shared" si="129"/>
        <v>-50.888013796000003</v>
      </c>
      <c r="AG1051" s="60" t="s">
        <v>16</v>
      </c>
      <c r="AH1051" s="61" t="s">
        <v>16</v>
      </c>
      <c r="AI1051" s="57">
        <f t="shared" si="127"/>
        <v>-50.888013796000003</v>
      </c>
      <c r="AJ1051" s="3">
        <f t="shared" si="128"/>
        <v>5</v>
      </c>
      <c r="AK1051" s="3" t="s">
        <v>2708</v>
      </c>
      <c r="AL1051">
        <v>4</v>
      </c>
      <c r="AM1051" t="s">
        <v>980</v>
      </c>
    </row>
    <row r="1052" spans="1:39" hidden="1" x14ac:dyDescent="0.3">
      <c r="A1052" s="51" t="s">
        <v>2212</v>
      </c>
      <c r="B1052" s="54" t="s">
        <v>2213</v>
      </c>
      <c r="C1052" s="51" t="s">
        <v>2765</v>
      </c>
      <c r="D1052" s="53">
        <v>0</v>
      </c>
      <c r="E1052" s="53">
        <v>1</v>
      </c>
      <c r="F1052" s="51" t="s">
        <v>2715</v>
      </c>
      <c r="G1052" s="51" t="s">
        <v>2695</v>
      </c>
      <c r="H1052" s="25" t="s">
        <v>2762</v>
      </c>
      <c r="I1052" t="s">
        <v>13</v>
      </c>
      <c r="J1052" t="s">
        <v>209</v>
      </c>
      <c r="K1052" t="s">
        <v>2214</v>
      </c>
      <c r="L1052" s="25">
        <v>46.928359409999999</v>
      </c>
      <c r="M1052" s="25">
        <v>6.7222658199999996</v>
      </c>
      <c r="N1052">
        <v>6</v>
      </c>
      <c r="O1052">
        <v>27</v>
      </c>
      <c r="P1052">
        <v>10</v>
      </c>
      <c r="Q1052">
        <v>2016</v>
      </c>
      <c r="R1052" s="9">
        <v>42670</v>
      </c>
      <c r="S1052">
        <v>370</v>
      </c>
      <c r="T1052">
        <v>0</v>
      </c>
      <c r="U1052">
        <v>0</v>
      </c>
      <c r="V1052">
        <v>0</v>
      </c>
      <c r="W1052">
        <v>1</v>
      </c>
      <c r="X1052" s="57">
        <f t="shared" si="125"/>
        <v>-32.68426487</v>
      </c>
      <c r="Y1052">
        <v>-22.77</v>
      </c>
      <c r="Z1052">
        <v>4.24</v>
      </c>
      <c r="AA1052" s="3">
        <f t="shared" si="126"/>
        <v>3</v>
      </c>
      <c r="AB1052" s="3">
        <f t="shared" si="120"/>
        <v>4</v>
      </c>
      <c r="AD1052" s="3" t="s">
        <v>2750</v>
      </c>
      <c r="AE1052" s="4">
        <v>-38.667485599999999</v>
      </c>
      <c r="AF1052" s="4">
        <f t="shared" si="129"/>
        <v>-50.367411896</v>
      </c>
      <c r="AG1052" s="60" t="s">
        <v>16</v>
      </c>
      <c r="AH1052" s="61" t="s">
        <v>16</v>
      </c>
      <c r="AI1052" s="57">
        <f t="shared" si="127"/>
        <v>-50.367411896</v>
      </c>
      <c r="AJ1052" s="3">
        <f t="shared" si="128"/>
        <v>5</v>
      </c>
      <c r="AK1052" s="3" t="s">
        <v>2708</v>
      </c>
      <c r="AL1052">
        <v>4</v>
      </c>
      <c r="AM1052" t="s">
        <v>980</v>
      </c>
    </row>
    <row r="1053" spans="1:39" hidden="1" x14ac:dyDescent="0.3">
      <c r="A1053" s="51" t="s">
        <v>2371</v>
      </c>
      <c r="B1053" s="54" t="s">
        <v>2372</v>
      </c>
      <c r="C1053" s="51" t="s">
        <v>2765</v>
      </c>
      <c r="D1053" s="53">
        <v>0</v>
      </c>
      <c r="E1053" s="53">
        <v>1</v>
      </c>
      <c r="F1053" s="51" t="s">
        <v>2715</v>
      </c>
      <c r="G1053" s="51" t="s">
        <v>2695</v>
      </c>
      <c r="H1053" s="25" t="s">
        <v>2762</v>
      </c>
      <c r="I1053" t="s">
        <v>13</v>
      </c>
      <c r="J1053" t="s">
        <v>1057</v>
      </c>
      <c r="K1053" t="s">
        <v>1859</v>
      </c>
      <c r="L1053" s="25">
        <v>46.974484590000003</v>
      </c>
      <c r="M1053" s="25">
        <v>6.6702195880000001</v>
      </c>
      <c r="N1053">
        <v>6</v>
      </c>
      <c r="O1053">
        <v>28</v>
      </c>
      <c r="P1053">
        <v>10</v>
      </c>
      <c r="Q1053">
        <v>2017</v>
      </c>
      <c r="R1053" s="9">
        <v>43036</v>
      </c>
      <c r="S1053" t="s">
        <v>16</v>
      </c>
      <c r="T1053">
        <v>0</v>
      </c>
      <c r="U1053">
        <v>0</v>
      </c>
      <c r="V1053">
        <v>0</v>
      </c>
      <c r="W1053">
        <v>1</v>
      </c>
      <c r="X1053" s="57">
        <f t="shared" si="125"/>
        <v>-32.127526870000004</v>
      </c>
      <c r="Y1053" t="s">
        <v>16</v>
      </c>
      <c r="Z1053">
        <v>7.1613572760000004</v>
      </c>
      <c r="AA1053" s="3">
        <f t="shared" si="126"/>
        <v>3</v>
      </c>
      <c r="AB1053" s="3">
        <f t="shared" si="120"/>
        <v>7</v>
      </c>
      <c r="AD1053" s="3" t="s">
        <v>2750</v>
      </c>
      <c r="AE1053" s="4">
        <v>-38.178045599999997</v>
      </c>
      <c r="AF1053" s="4">
        <f t="shared" si="129"/>
        <v>-49.922021495999999</v>
      </c>
      <c r="AG1053" s="60" t="s">
        <v>16</v>
      </c>
      <c r="AH1053" s="61" t="s">
        <v>16</v>
      </c>
      <c r="AI1053" s="57">
        <f t="shared" si="127"/>
        <v>-49.922021495999999</v>
      </c>
      <c r="AJ1053" s="3">
        <f t="shared" si="128"/>
        <v>5</v>
      </c>
      <c r="AK1053" s="3" t="s">
        <v>2708</v>
      </c>
      <c r="AL1053">
        <v>4</v>
      </c>
      <c r="AM1053" t="s">
        <v>980</v>
      </c>
    </row>
    <row r="1054" spans="1:39" hidden="1" x14ac:dyDescent="0.3">
      <c r="A1054" s="51" t="s">
        <v>2321</v>
      </c>
      <c r="B1054" s="54" t="s">
        <v>2322</v>
      </c>
      <c r="C1054" s="51" t="s">
        <v>2765</v>
      </c>
      <c r="D1054" s="53">
        <v>0</v>
      </c>
      <c r="E1054" s="53">
        <v>1</v>
      </c>
      <c r="F1054" s="51" t="s">
        <v>2715</v>
      </c>
      <c r="G1054" s="51" t="s">
        <v>2695</v>
      </c>
      <c r="H1054" s="25" t="s">
        <v>2762</v>
      </c>
      <c r="I1054" t="s">
        <v>385</v>
      </c>
      <c r="J1054" t="s">
        <v>539</v>
      </c>
      <c r="K1054" t="s">
        <v>1819</v>
      </c>
      <c r="L1054" s="25">
        <v>46.906899760000002</v>
      </c>
      <c r="M1054" s="25">
        <v>6.6795844579999999</v>
      </c>
      <c r="N1054">
        <v>6</v>
      </c>
      <c r="O1054">
        <v>25</v>
      </c>
      <c r="P1054">
        <v>10</v>
      </c>
      <c r="Q1054">
        <v>2017</v>
      </c>
      <c r="R1054" s="9">
        <v>43033</v>
      </c>
      <c r="S1054" t="s">
        <v>16</v>
      </c>
      <c r="T1054">
        <v>0</v>
      </c>
      <c r="U1054">
        <v>0</v>
      </c>
      <c r="V1054">
        <v>0</v>
      </c>
      <c r="W1054">
        <v>1</v>
      </c>
      <c r="X1054" s="57">
        <f t="shared" si="125"/>
        <v>-31.731274650000003</v>
      </c>
      <c r="Y1054" t="s">
        <v>16</v>
      </c>
      <c r="Z1054">
        <v>5.9508671089999998</v>
      </c>
      <c r="AA1054" s="3">
        <f t="shared" si="126"/>
        <v>3</v>
      </c>
      <c r="AB1054" s="3">
        <f t="shared" si="120"/>
        <v>6</v>
      </c>
      <c r="AD1054" s="3" t="s">
        <v>2750</v>
      </c>
      <c r="AE1054" s="4">
        <v>-37.829692000000001</v>
      </c>
      <c r="AF1054" s="4">
        <f t="shared" si="129"/>
        <v>-49.605019720000001</v>
      </c>
      <c r="AG1054" s="60" t="s">
        <v>16</v>
      </c>
      <c r="AH1054" s="61" t="s">
        <v>16</v>
      </c>
      <c r="AI1054" s="57">
        <f t="shared" si="127"/>
        <v>-49.605019720000001</v>
      </c>
      <c r="AJ1054" s="3">
        <f t="shared" si="128"/>
        <v>5</v>
      </c>
      <c r="AK1054" s="3" t="s">
        <v>2708</v>
      </c>
      <c r="AL1054">
        <v>4</v>
      </c>
      <c r="AM1054" t="s">
        <v>980</v>
      </c>
    </row>
    <row r="1055" spans="1:39" hidden="1" x14ac:dyDescent="0.3">
      <c r="A1055" s="51" t="s">
        <v>2423</v>
      </c>
      <c r="B1055" s="54" t="s">
        <v>2424</v>
      </c>
      <c r="C1055" s="51" t="s">
        <v>2765</v>
      </c>
      <c r="D1055" s="53">
        <v>0</v>
      </c>
      <c r="E1055" s="53">
        <v>1</v>
      </c>
      <c r="F1055" s="51" t="s">
        <v>2715</v>
      </c>
      <c r="G1055" s="51" t="s">
        <v>2695</v>
      </c>
      <c r="H1055" s="25" t="s">
        <v>2762</v>
      </c>
      <c r="I1055" t="s">
        <v>13</v>
      </c>
      <c r="J1055" t="s">
        <v>1057</v>
      </c>
      <c r="K1055" t="s">
        <v>2425</v>
      </c>
      <c r="L1055" s="25">
        <v>46.979507349999999</v>
      </c>
      <c r="M1055" s="25">
        <v>6.6720453370000001</v>
      </c>
      <c r="N1055">
        <v>6</v>
      </c>
      <c r="O1055">
        <v>10</v>
      </c>
      <c r="P1055">
        <v>11</v>
      </c>
      <c r="Q1055">
        <v>2017</v>
      </c>
      <c r="R1055" s="9">
        <v>43049</v>
      </c>
      <c r="S1055" t="s">
        <v>16</v>
      </c>
      <c r="T1055">
        <v>0</v>
      </c>
      <c r="U1055">
        <v>0</v>
      </c>
      <c r="V1055">
        <v>0</v>
      </c>
      <c r="W1055">
        <v>1</v>
      </c>
      <c r="X1055" s="57">
        <f t="shared" si="125"/>
        <v>-29.938845830000005</v>
      </c>
      <c r="Y1055" t="s">
        <v>16</v>
      </c>
      <c r="Z1055">
        <v>0.80374987600000003</v>
      </c>
      <c r="AA1055" s="3">
        <f t="shared" si="126"/>
        <v>2</v>
      </c>
      <c r="AB1055" s="3">
        <f t="shared" si="120"/>
        <v>1</v>
      </c>
      <c r="AD1055" s="3" t="s">
        <v>2750</v>
      </c>
      <c r="AE1055" s="4">
        <v>-36.253930400000002</v>
      </c>
      <c r="AF1055" s="4">
        <f t="shared" si="129"/>
        <v>-48.171076664000005</v>
      </c>
      <c r="AG1055" s="60" t="s">
        <v>16</v>
      </c>
      <c r="AH1055" s="61" t="s">
        <v>16</v>
      </c>
      <c r="AI1055" s="57">
        <f t="shared" si="127"/>
        <v>-48.171076664000005</v>
      </c>
      <c r="AJ1055" s="3">
        <f t="shared" si="128"/>
        <v>5</v>
      </c>
      <c r="AK1055" s="3" t="s">
        <v>2708</v>
      </c>
      <c r="AL1055">
        <v>4</v>
      </c>
      <c r="AM1055" t="s">
        <v>980</v>
      </c>
    </row>
    <row r="1056" spans="1:39" hidden="1" x14ac:dyDescent="0.3">
      <c r="A1056" s="51" t="s">
        <v>2174</v>
      </c>
      <c r="B1056" s="54" t="s">
        <v>2175</v>
      </c>
      <c r="C1056" s="51" t="s">
        <v>2765</v>
      </c>
      <c r="D1056" s="53">
        <v>0</v>
      </c>
      <c r="E1056" s="53">
        <v>1</v>
      </c>
      <c r="F1056" s="51" t="s">
        <v>2715</v>
      </c>
      <c r="G1056" s="51" t="s">
        <v>2695</v>
      </c>
      <c r="H1056" s="25" t="s">
        <v>2762</v>
      </c>
      <c r="I1056" t="s">
        <v>385</v>
      </c>
      <c r="J1056" t="s">
        <v>539</v>
      </c>
      <c r="K1056" t="s">
        <v>1819</v>
      </c>
      <c r="L1056" s="25">
        <v>46.901729899999999</v>
      </c>
      <c r="M1056" s="25">
        <v>6.6759231440000004</v>
      </c>
      <c r="N1056">
        <v>6</v>
      </c>
      <c r="O1056">
        <v>21</v>
      </c>
      <c r="P1056">
        <v>10</v>
      </c>
      <c r="Q1056">
        <v>2017</v>
      </c>
      <c r="R1056" s="9">
        <v>43029</v>
      </c>
      <c r="S1056" t="s">
        <v>16</v>
      </c>
      <c r="T1056">
        <v>0</v>
      </c>
      <c r="U1056">
        <v>0</v>
      </c>
      <c r="V1056">
        <v>0</v>
      </c>
      <c r="W1056">
        <v>1</v>
      </c>
      <c r="X1056" s="57">
        <f t="shared" si="125"/>
        <v>-29.846169723750002</v>
      </c>
      <c r="Y1056" t="s">
        <v>16</v>
      </c>
      <c r="Z1056">
        <v>4.5339866860000004</v>
      </c>
      <c r="AA1056" s="3">
        <f t="shared" si="126"/>
        <v>2</v>
      </c>
      <c r="AB1056" s="3">
        <f t="shared" ref="AB1056:AB1061" si="130">ROUND(Z1056,0)</f>
        <v>5</v>
      </c>
      <c r="AD1056" s="3" t="s">
        <v>2750</v>
      </c>
      <c r="AE1056" s="4">
        <v>-36.1724569</v>
      </c>
      <c r="AF1056" s="4">
        <f t="shared" si="129"/>
        <v>-48.096935778999999</v>
      </c>
      <c r="AG1056" s="60" t="s">
        <v>16</v>
      </c>
      <c r="AH1056" s="61" t="s">
        <v>16</v>
      </c>
      <c r="AI1056" s="57">
        <f t="shared" si="127"/>
        <v>-48.096935778999999</v>
      </c>
      <c r="AJ1056" s="3">
        <f t="shared" si="128"/>
        <v>5</v>
      </c>
      <c r="AK1056" s="3" t="s">
        <v>2708</v>
      </c>
      <c r="AL1056">
        <v>4</v>
      </c>
      <c r="AM1056" t="s">
        <v>980</v>
      </c>
    </row>
    <row r="1057" spans="1:39" hidden="1" x14ac:dyDescent="0.3">
      <c r="A1057" s="51" t="s">
        <v>1825</v>
      </c>
      <c r="B1057" s="54" t="s">
        <v>1826</v>
      </c>
      <c r="C1057" s="51" t="s">
        <v>2765</v>
      </c>
      <c r="D1057" s="53">
        <v>0</v>
      </c>
      <c r="E1057" s="53">
        <v>1</v>
      </c>
      <c r="F1057" s="51" t="s">
        <v>2715</v>
      </c>
      <c r="G1057" s="51" t="s">
        <v>2695</v>
      </c>
      <c r="H1057" s="25" t="s">
        <v>2762</v>
      </c>
      <c r="I1057" t="s">
        <v>13</v>
      </c>
      <c r="J1057" t="s">
        <v>1732</v>
      </c>
      <c r="K1057" t="s">
        <v>1822</v>
      </c>
      <c r="L1057" s="25">
        <v>46.993967349999998</v>
      </c>
      <c r="M1057" s="25">
        <v>6.6973049790000001</v>
      </c>
      <c r="N1057">
        <v>6</v>
      </c>
      <c r="O1057">
        <v>26</v>
      </c>
      <c r="P1057">
        <v>9</v>
      </c>
      <c r="Q1057">
        <v>2017</v>
      </c>
      <c r="R1057" s="9">
        <v>43004</v>
      </c>
      <c r="S1057" t="s">
        <v>16</v>
      </c>
      <c r="T1057">
        <v>0</v>
      </c>
      <c r="U1057">
        <v>0</v>
      </c>
      <c r="V1057">
        <v>0</v>
      </c>
      <c r="W1057">
        <v>1</v>
      </c>
      <c r="X1057" s="57">
        <f t="shared" si="125"/>
        <v>-24.938453615</v>
      </c>
      <c r="Y1057" t="s">
        <v>16</v>
      </c>
      <c r="Z1057">
        <v>0.36959094199999998</v>
      </c>
      <c r="AA1057" s="3">
        <f t="shared" si="126"/>
        <v>2</v>
      </c>
      <c r="AB1057" s="3">
        <f t="shared" si="130"/>
        <v>0</v>
      </c>
      <c r="AD1057" s="3" t="s">
        <v>2750</v>
      </c>
      <c r="AE1057" s="4">
        <v>-31.857981200000001</v>
      </c>
      <c r="AF1057" s="4">
        <f t="shared" si="129"/>
        <v>-44.170762891999999</v>
      </c>
      <c r="AG1057" s="60" t="s">
        <v>16</v>
      </c>
      <c r="AH1057" s="61" t="s">
        <v>16</v>
      </c>
      <c r="AI1057" s="57">
        <f t="shared" si="127"/>
        <v>-44.170762891999999</v>
      </c>
      <c r="AJ1057" s="3">
        <f t="shared" si="128"/>
        <v>4</v>
      </c>
      <c r="AK1057" s="3" t="s">
        <v>2708</v>
      </c>
      <c r="AL1057">
        <v>3</v>
      </c>
      <c r="AM1057" t="s">
        <v>980</v>
      </c>
    </row>
    <row r="1058" spans="1:39" hidden="1" x14ac:dyDescent="0.3">
      <c r="A1058" s="51" t="s">
        <v>1823</v>
      </c>
      <c r="B1058" s="54" t="s">
        <v>1824</v>
      </c>
      <c r="C1058" s="51" t="s">
        <v>2765</v>
      </c>
      <c r="D1058" s="53">
        <v>0</v>
      </c>
      <c r="E1058" s="53">
        <v>1</v>
      </c>
      <c r="F1058" s="51" t="s">
        <v>2715</v>
      </c>
      <c r="G1058" s="51" t="s">
        <v>2695</v>
      </c>
      <c r="H1058" s="25" t="s">
        <v>2762</v>
      </c>
      <c r="I1058" t="s">
        <v>13</v>
      </c>
      <c r="J1058" t="s">
        <v>1732</v>
      </c>
      <c r="K1058" t="s">
        <v>1822</v>
      </c>
      <c r="L1058" s="25">
        <v>46.993967349999998</v>
      </c>
      <c r="M1058" s="25">
        <v>6.6973049790000001</v>
      </c>
      <c r="N1058">
        <v>6</v>
      </c>
      <c r="O1058">
        <v>26</v>
      </c>
      <c r="P1058">
        <v>9</v>
      </c>
      <c r="Q1058">
        <v>2017</v>
      </c>
      <c r="R1058" s="9">
        <v>43004</v>
      </c>
      <c r="S1058" t="s">
        <v>16</v>
      </c>
      <c r="T1058">
        <v>0</v>
      </c>
      <c r="U1058">
        <v>0</v>
      </c>
      <c r="V1058">
        <v>0</v>
      </c>
      <c r="W1058">
        <v>1</v>
      </c>
      <c r="X1058" s="57">
        <f t="shared" si="125"/>
        <v>-23.893925585000012</v>
      </c>
      <c r="Y1058" t="s">
        <v>16</v>
      </c>
      <c r="Z1058">
        <v>0.69313988800000004</v>
      </c>
      <c r="AA1058" s="3">
        <f t="shared" si="126"/>
        <v>2</v>
      </c>
      <c r="AB1058" s="3">
        <f t="shared" si="130"/>
        <v>1</v>
      </c>
      <c r="AD1058" s="3" t="s">
        <v>2750</v>
      </c>
      <c r="AE1058" s="4">
        <v>-30.939714800000001</v>
      </c>
      <c r="AF1058" s="4">
        <f t="shared" si="129"/>
        <v>-43.335140468000006</v>
      </c>
      <c r="AG1058" s="60" t="s">
        <v>16</v>
      </c>
      <c r="AH1058" s="61" t="s">
        <v>16</v>
      </c>
      <c r="AI1058" s="57">
        <f t="shared" si="127"/>
        <v>-43.335140468000006</v>
      </c>
      <c r="AJ1058" s="3">
        <f t="shared" si="128"/>
        <v>4</v>
      </c>
      <c r="AK1058" s="3" t="s">
        <v>2708</v>
      </c>
      <c r="AL1058">
        <v>3</v>
      </c>
      <c r="AM1058" t="s">
        <v>980</v>
      </c>
    </row>
    <row r="1059" spans="1:39" hidden="1" x14ac:dyDescent="0.3">
      <c r="A1059" s="51" t="s">
        <v>1745</v>
      </c>
      <c r="B1059" s="54" t="s">
        <v>1746</v>
      </c>
      <c r="C1059" s="51" t="s">
        <v>2765</v>
      </c>
      <c r="D1059" s="53">
        <v>0</v>
      </c>
      <c r="E1059" s="53">
        <v>1</v>
      </c>
      <c r="F1059" s="51" t="s">
        <v>2715</v>
      </c>
      <c r="G1059" s="51" t="s">
        <v>2695</v>
      </c>
      <c r="H1059" s="25" t="s">
        <v>2762</v>
      </c>
      <c r="I1059" t="s">
        <v>13</v>
      </c>
      <c r="J1059" t="s">
        <v>1743</v>
      </c>
      <c r="K1059" t="s">
        <v>1744</v>
      </c>
      <c r="L1059" s="25">
        <v>46.99516569</v>
      </c>
      <c r="M1059" s="25">
        <v>6.6976039729999997</v>
      </c>
      <c r="N1059">
        <v>6</v>
      </c>
      <c r="O1059">
        <v>18</v>
      </c>
      <c r="P1059">
        <v>10</v>
      </c>
      <c r="Q1059">
        <v>2016</v>
      </c>
      <c r="R1059" s="9">
        <v>42661</v>
      </c>
      <c r="S1059">
        <v>343</v>
      </c>
      <c r="T1059">
        <v>0</v>
      </c>
      <c r="U1059">
        <v>0</v>
      </c>
      <c r="V1059">
        <v>0</v>
      </c>
      <c r="W1059">
        <v>1</v>
      </c>
      <c r="X1059" s="57">
        <f t="shared" si="125"/>
        <v>-19.939516035000004</v>
      </c>
      <c r="Y1059">
        <v>-23.86</v>
      </c>
      <c r="Z1059">
        <v>1.91</v>
      </c>
      <c r="AA1059" s="3">
        <f t="shared" si="126"/>
        <v>1</v>
      </c>
      <c r="AB1059" s="3">
        <f t="shared" si="130"/>
        <v>2</v>
      </c>
      <c r="AD1059" s="3" t="s">
        <v>2750</v>
      </c>
      <c r="AE1059" s="4">
        <v>-27.463310799999999</v>
      </c>
      <c r="AF1059" s="4">
        <f t="shared" si="129"/>
        <v>-40.171612828000001</v>
      </c>
      <c r="AG1059" s="60" t="s">
        <v>16</v>
      </c>
      <c r="AH1059" s="61" t="s">
        <v>16</v>
      </c>
      <c r="AI1059" s="57">
        <f t="shared" si="127"/>
        <v>-40.171612828000001</v>
      </c>
      <c r="AJ1059" s="3">
        <f t="shared" si="128"/>
        <v>4</v>
      </c>
      <c r="AK1059" s="3" t="s">
        <v>2708</v>
      </c>
      <c r="AL1059">
        <v>3</v>
      </c>
      <c r="AM1059" t="s">
        <v>980</v>
      </c>
    </row>
    <row r="1060" spans="1:39" hidden="1" x14ac:dyDescent="0.3">
      <c r="A1060" s="51" t="s">
        <v>2307</v>
      </c>
      <c r="B1060" s="54" t="s">
        <v>2308</v>
      </c>
      <c r="C1060" s="51" t="s">
        <v>2765</v>
      </c>
      <c r="D1060" s="53">
        <v>0</v>
      </c>
      <c r="E1060" s="53">
        <v>1</v>
      </c>
      <c r="F1060" s="51" t="s">
        <v>2715</v>
      </c>
      <c r="G1060" s="51" t="s">
        <v>2695</v>
      </c>
      <c r="H1060" s="25" t="s">
        <v>2762</v>
      </c>
      <c r="I1060" t="s">
        <v>13</v>
      </c>
      <c r="J1060" t="s">
        <v>1057</v>
      </c>
      <c r="K1060" t="s">
        <v>1854</v>
      </c>
      <c r="L1060" s="25">
        <v>46.933661669999999</v>
      </c>
      <c r="M1060" s="25">
        <v>6.582557488</v>
      </c>
      <c r="N1060">
        <v>6</v>
      </c>
      <c r="O1060">
        <v>22</v>
      </c>
      <c r="P1060">
        <v>10</v>
      </c>
      <c r="Q1060">
        <v>2017</v>
      </c>
      <c r="R1060" s="9">
        <v>43030</v>
      </c>
      <c r="S1060" t="s">
        <v>16</v>
      </c>
      <c r="T1060">
        <v>0</v>
      </c>
      <c r="U1060">
        <v>0</v>
      </c>
      <c r="V1060">
        <v>0</v>
      </c>
      <c r="W1060">
        <v>1</v>
      </c>
      <c r="X1060" s="57">
        <f t="shared" si="125"/>
        <v>-19.69162282125</v>
      </c>
      <c r="Y1060" t="s">
        <v>16</v>
      </c>
      <c r="Z1060">
        <v>-1.4201788950000001</v>
      </c>
      <c r="AA1060" s="3">
        <f t="shared" si="126"/>
        <v>1</v>
      </c>
      <c r="AB1060" s="3">
        <f t="shared" si="130"/>
        <v>-1</v>
      </c>
      <c r="AD1060" s="3" t="s">
        <v>2750</v>
      </c>
      <c r="AE1060" s="4">
        <v>-27.2453827</v>
      </c>
      <c r="AF1060" s="4">
        <f t="shared" si="129"/>
        <v>-39.973298256999996</v>
      </c>
      <c r="AG1060" s="60" t="s">
        <v>16</v>
      </c>
      <c r="AH1060" s="61" t="s">
        <v>16</v>
      </c>
      <c r="AI1060" s="57">
        <f t="shared" si="127"/>
        <v>-39.973298256999996</v>
      </c>
      <c r="AJ1060" s="3">
        <f t="shared" si="128"/>
        <v>4</v>
      </c>
      <c r="AK1060" s="3" t="s">
        <v>2708</v>
      </c>
      <c r="AL1060">
        <v>3</v>
      </c>
      <c r="AM1060" t="s">
        <v>980</v>
      </c>
    </row>
    <row r="1061" spans="1:39" hidden="1" x14ac:dyDescent="0.3">
      <c r="A1061" s="51" t="s">
        <v>2323</v>
      </c>
      <c r="B1061" s="54" t="s">
        <v>2324</v>
      </c>
      <c r="C1061" s="51" t="s">
        <v>2765</v>
      </c>
      <c r="D1061" s="53">
        <v>0</v>
      </c>
      <c r="E1061" s="53">
        <v>1</v>
      </c>
      <c r="F1061" s="51" t="s">
        <v>2715</v>
      </c>
      <c r="G1061" s="51" t="s">
        <v>2695</v>
      </c>
      <c r="H1061" s="25" t="s">
        <v>2762</v>
      </c>
      <c r="I1061" t="s">
        <v>13</v>
      </c>
      <c r="J1061" t="s">
        <v>539</v>
      </c>
      <c r="K1061" t="s">
        <v>2325</v>
      </c>
      <c r="L1061" s="25">
        <v>46.901428189999997</v>
      </c>
      <c r="M1061" s="25">
        <v>6.6738472980000001</v>
      </c>
      <c r="N1061">
        <v>6</v>
      </c>
      <c r="O1061">
        <v>25</v>
      </c>
      <c r="P1061">
        <v>10</v>
      </c>
      <c r="Q1061">
        <v>2017</v>
      </c>
      <c r="R1061" s="9">
        <v>43033</v>
      </c>
      <c r="S1061" t="s">
        <v>16</v>
      </c>
      <c r="T1061">
        <v>0</v>
      </c>
      <c r="U1061">
        <v>0</v>
      </c>
      <c r="V1061">
        <v>0</v>
      </c>
      <c r="W1061">
        <v>1</v>
      </c>
      <c r="X1061" s="57">
        <f t="shared" si="125"/>
        <v>-19.395412588749998</v>
      </c>
      <c r="Y1061" t="s">
        <v>16</v>
      </c>
      <c r="Z1061">
        <v>3.9501788630000001</v>
      </c>
      <c r="AA1061" s="3">
        <f t="shared" si="126"/>
        <v>1</v>
      </c>
      <c r="AB1061" s="3">
        <f t="shared" si="130"/>
        <v>4</v>
      </c>
      <c r="AD1061" s="3" t="s">
        <v>2750</v>
      </c>
      <c r="AE1061" s="4">
        <v>-26.984978099999999</v>
      </c>
      <c r="AF1061" s="4">
        <f t="shared" si="129"/>
        <v>-39.736330070999998</v>
      </c>
      <c r="AG1061" s="60" t="s">
        <v>16</v>
      </c>
      <c r="AH1061" s="61" t="s">
        <v>16</v>
      </c>
      <c r="AI1061" s="57">
        <f t="shared" si="127"/>
        <v>-39.736330070999998</v>
      </c>
      <c r="AJ1061" s="3">
        <f t="shared" si="128"/>
        <v>4</v>
      </c>
      <c r="AK1061" s="3" t="s">
        <v>2708</v>
      </c>
      <c r="AL1061">
        <v>3</v>
      </c>
      <c r="AM1061" t="s">
        <v>980</v>
      </c>
    </row>
    <row r="1062" spans="1:39" hidden="1" x14ac:dyDescent="0.3">
      <c r="A1062" s="51" t="s">
        <v>2261</v>
      </c>
      <c r="B1062" s="54" t="s">
        <v>2262</v>
      </c>
      <c r="C1062" s="51" t="s">
        <v>2765</v>
      </c>
      <c r="D1062" s="53">
        <v>0</v>
      </c>
      <c r="E1062" s="53">
        <v>1</v>
      </c>
      <c r="F1062" s="51" t="s">
        <v>2715</v>
      </c>
      <c r="G1062" s="51" t="s">
        <v>2695</v>
      </c>
      <c r="H1062" s="25" t="s">
        <v>2762</v>
      </c>
      <c r="I1062" t="s">
        <v>13</v>
      </c>
      <c r="J1062" t="s">
        <v>1715</v>
      </c>
      <c r="K1062" t="s">
        <v>1764</v>
      </c>
      <c r="L1062" s="25">
        <v>46.93531325</v>
      </c>
      <c r="M1062" s="25">
        <v>6.4649371990000004</v>
      </c>
      <c r="N1062">
        <v>6</v>
      </c>
      <c r="O1062">
        <v>5</v>
      </c>
      <c r="P1062">
        <v>11</v>
      </c>
      <c r="Q1062">
        <v>2016</v>
      </c>
      <c r="R1062" s="9">
        <v>42679</v>
      </c>
      <c r="S1062">
        <v>290</v>
      </c>
      <c r="T1062">
        <v>0</v>
      </c>
      <c r="U1062">
        <v>0</v>
      </c>
      <c r="V1062">
        <v>0</v>
      </c>
      <c r="W1062">
        <v>1</v>
      </c>
      <c r="X1062" s="57">
        <f t="shared" ref="X1062:X1063" si="131">1.25*AF1062+30.275</f>
        <v>-15.436639475000007</v>
      </c>
      <c r="Y1062">
        <v>-23.41</v>
      </c>
      <c r="Z1062">
        <v>-1</v>
      </c>
      <c r="AA1062" s="3">
        <f t="shared" ref="AA1062:AA1063" si="132">-ROUNDDOWN(X1062/10,0)</f>
        <v>1</v>
      </c>
      <c r="AB1062" s="3">
        <f t="shared" ref="AB1062:AB1076" si="133">ROUND(Z1062,0)</f>
        <v>-1</v>
      </c>
      <c r="AD1062" s="3" t="s">
        <v>2750</v>
      </c>
      <c r="AE1062" s="4">
        <v>-23.504738</v>
      </c>
      <c r="AF1062" s="4">
        <f t="shared" ref="AF1062:AF1076" si="134">IF(AI1062&lt;0,AI1062,AE1062)</f>
        <v>-36.569311580000004</v>
      </c>
      <c r="AG1062" s="60" t="s">
        <v>16</v>
      </c>
      <c r="AH1062" s="61" t="s">
        <v>16</v>
      </c>
      <c r="AI1062" s="57">
        <f t="shared" ref="AI1062:AI1066" si="135">(-15.18) + 0.91*AE1062</f>
        <v>-36.569311580000004</v>
      </c>
      <c r="AJ1062" s="3">
        <f t="shared" ref="AJ1062:AJ1065" si="136">-ROUND(AF1062/10,0)</f>
        <v>4</v>
      </c>
      <c r="AK1062" s="3" t="s">
        <v>2708</v>
      </c>
      <c r="AL1062">
        <v>2</v>
      </c>
      <c r="AM1062" t="s">
        <v>980</v>
      </c>
    </row>
    <row r="1063" spans="1:39" hidden="1" x14ac:dyDescent="0.3">
      <c r="A1063" s="51" t="s">
        <v>1852</v>
      </c>
      <c r="B1063" s="54" t="s">
        <v>1853</v>
      </c>
      <c r="C1063" s="51" t="s">
        <v>2765</v>
      </c>
      <c r="D1063" s="53">
        <v>0</v>
      </c>
      <c r="E1063" s="53">
        <v>1</v>
      </c>
      <c r="F1063" s="51" t="s">
        <v>2715</v>
      </c>
      <c r="G1063" s="51" t="s">
        <v>2695</v>
      </c>
      <c r="H1063" s="25" t="s">
        <v>2762</v>
      </c>
      <c r="I1063" t="s">
        <v>13</v>
      </c>
      <c r="J1063" t="s">
        <v>1057</v>
      </c>
      <c r="K1063" t="s">
        <v>1854</v>
      </c>
      <c r="L1063" s="25">
        <v>46.933593639999998</v>
      </c>
      <c r="M1063" s="25">
        <v>6.5830838749999998</v>
      </c>
      <c r="N1063">
        <v>6</v>
      </c>
      <c r="O1063">
        <v>20</v>
      </c>
      <c r="P1063">
        <v>10</v>
      </c>
      <c r="Q1063">
        <v>2017</v>
      </c>
      <c r="R1063" s="9">
        <v>43028</v>
      </c>
      <c r="S1063" t="s">
        <v>16</v>
      </c>
      <c r="T1063">
        <v>0</v>
      </c>
      <c r="U1063">
        <v>0</v>
      </c>
      <c r="V1063">
        <v>0</v>
      </c>
      <c r="W1063">
        <v>1</v>
      </c>
      <c r="X1063" s="57">
        <f t="shared" si="131"/>
        <v>-14.067943396249994</v>
      </c>
      <c r="Y1063" t="s">
        <v>16</v>
      </c>
      <c r="Z1063">
        <v>3.5821031269999999</v>
      </c>
      <c r="AA1063" s="3">
        <f t="shared" si="132"/>
        <v>1</v>
      </c>
      <c r="AB1063" s="3">
        <f t="shared" si="133"/>
        <v>4</v>
      </c>
      <c r="AD1063" s="3" t="s">
        <v>2750</v>
      </c>
      <c r="AE1063" s="4">
        <v>-22.3014887</v>
      </c>
      <c r="AF1063" s="4">
        <f t="shared" si="134"/>
        <v>-35.474354716999997</v>
      </c>
      <c r="AG1063" s="60" t="s">
        <v>16</v>
      </c>
      <c r="AH1063" s="61" t="s">
        <v>16</v>
      </c>
      <c r="AI1063" s="57">
        <f t="shared" si="135"/>
        <v>-35.474354716999997</v>
      </c>
      <c r="AJ1063" s="3">
        <f t="shared" si="136"/>
        <v>4</v>
      </c>
      <c r="AK1063" s="3" t="s">
        <v>2708</v>
      </c>
      <c r="AL1063">
        <v>2</v>
      </c>
      <c r="AM1063" t="s">
        <v>980</v>
      </c>
    </row>
    <row r="1064" spans="1:39" hidden="1" x14ac:dyDescent="0.3">
      <c r="A1064" s="51" t="s">
        <v>1713</v>
      </c>
      <c r="B1064" s="54" t="s">
        <v>1714</v>
      </c>
      <c r="C1064" s="51" t="s">
        <v>2765</v>
      </c>
      <c r="D1064" s="53">
        <v>0</v>
      </c>
      <c r="E1064" s="53">
        <v>1</v>
      </c>
      <c r="F1064" s="51" t="s">
        <v>2715</v>
      </c>
      <c r="G1064" s="51" t="s">
        <v>2696</v>
      </c>
      <c r="H1064" s="25" t="s">
        <v>2762</v>
      </c>
      <c r="I1064" t="s">
        <v>13</v>
      </c>
      <c r="J1064" t="s">
        <v>1715</v>
      </c>
      <c r="K1064" t="s">
        <v>1716</v>
      </c>
      <c r="L1064" s="25">
        <v>46.929169979999998</v>
      </c>
      <c r="M1064" s="25">
        <v>6.4597695130000004</v>
      </c>
      <c r="N1064">
        <v>6</v>
      </c>
      <c r="O1064">
        <v>23</v>
      </c>
      <c r="P1064">
        <v>10</v>
      </c>
      <c r="Q1064">
        <v>2016</v>
      </c>
      <c r="R1064" s="9">
        <v>42666</v>
      </c>
      <c r="S1064">
        <v>335</v>
      </c>
      <c r="T1064">
        <v>0</v>
      </c>
      <c r="U1064">
        <v>0</v>
      </c>
      <c r="V1064">
        <v>0</v>
      </c>
      <c r="W1064">
        <v>1</v>
      </c>
      <c r="X1064" s="57" t="s">
        <v>16</v>
      </c>
      <c r="Y1064">
        <v>-22.11</v>
      </c>
      <c r="Z1064">
        <v>-1.37</v>
      </c>
      <c r="AB1064" s="3">
        <f t="shared" si="133"/>
        <v>-1</v>
      </c>
      <c r="AD1064" s="3" t="s">
        <v>2750</v>
      </c>
      <c r="AE1064" s="4">
        <v>-14.5581248</v>
      </c>
      <c r="AF1064" s="4">
        <f t="shared" si="134"/>
        <v>-28.427893568000002</v>
      </c>
      <c r="AG1064" s="60" t="s">
        <v>16</v>
      </c>
      <c r="AH1064" s="61" t="s">
        <v>16</v>
      </c>
      <c r="AI1064" s="57">
        <f t="shared" si="135"/>
        <v>-28.427893568000002</v>
      </c>
      <c r="AJ1064" s="3">
        <f t="shared" si="136"/>
        <v>3</v>
      </c>
      <c r="AK1064" s="3" t="s">
        <v>2710</v>
      </c>
      <c r="AL1064">
        <v>1</v>
      </c>
      <c r="AM1064" t="s">
        <v>1717</v>
      </c>
    </row>
    <row r="1065" spans="1:39" hidden="1" x14ac:dyDescent="0.3">
      <c r="A1065" s="51" t="s">
        <v>1739</v>
      </c>
      <c r="B1065" s="54" t="s">
        <v>1740</v>
      </c>
      <c r="C1065" s="51" t="s">
        <v>2765</v>
      </c>
      <c r="D1065" s="53">
        <v>0</v>
      </c>
      <c r="E1065" s="53">
        <v>1</v>
      </c>
      <c r="F1065" s="51" t="s">
        <v>2715</v>
      </c>
      <c r="G1065" s="51" t="s">
        <v>2695</v>
      </c>
      <c r="H1065" s="25" t="s">
        <v>2762</v>
      </c>
      <c r="I1065" t="s">
        <v>13</v>
      </c>
      <c r="J1065" t="s">
        <v>1057</v>
      </c>
      <c r="K1065" t="s">
        <v>1738</v>
      </c>
      <c r="L1065" s="25">
        <v>46.934828179999997</v>
      </c>
      <c r="M1065" s="25">
        <v>6.5845745070000001</v>
      </c>
      <c r="N1065">
        <v>6</v>
      </c>
      <c r="O1065">
        <v>18</v>
      </c>
      <c r="P1065">
        <v>10</v>
      </c>
      <c r="Q1065">
        <v>2016</v>
      </c>
      <c r="R1065" s="9">
        <v>42661</v>
      </c>
      <c r="S1065">
        <v>300</v>
      </c>
      <c r="T1065">
        <v>0</v>
      </c>
      <c r="U1065">
        <v>0</v>
      </c>
      <c r="V1065">
        <v>0</v>
      </c>
      <c r="W1065">
        <v>1</v>
      </c>
      <c r="X1065" s="57" t="s">
        <v>16</v>
      </c>
      <c r="Y1065">
        <v>-22.97</v>
      </c>
      <c r="Z1065">
        <v>3.3</v>
      </c>
      <c r="AB1065" s="3">
        <f t="shared" si="133"/>
        <v>3</v>
      </c>
      <c r="AD1065" s="3" t="s">
        <v>2750</v>
      </c>
      <c r="AE1065" s="4">
        <v>-15.950552200000001</v>
      </c>
      <c r="AF1065" s="4">
        <f t="shared" si="134"/>
        <v>-29.695002502000001</v>
      </c>
      <c r="AG1065" s="60" t="s">
        <v>16</v>
      </c>
      <c r="AH1065" s="61" t="s">
        <v>16</v>
      </c>
      <c r="AI1065" s="57">
        <f t="shared" si="135"/>
        <v>-29.695002502000001</v>
      </c>
      <c r="AJ1065" s="3">
        <f t="shared" si="136"/>
        <v>3</v>
      </c>
      <c r="AK1065" s="3" t="s">
        <v>2708</v>
      </c>
      <c r="AL1065">
        <v>2</v>
      </c>
      <c r="AM1065" t="s">
        <v>980</v>
      </c>
    </row>
    <row r="1066" spans="1:39" hidden="1" x14ac:dyDescent="0.3">
      <c r="A1066" s="51" t="s">
        <v>2193</v>
      </c>
      <c r="B1066" s="54" t="s">
        <v>2194</v>
      </c>
      <c r="C1066" s="51" t="s">
        <v>2765</v>
      </c>
      <c r="D1066" s="53">
        <v>0</v>
      </c>
      <c r="E1066" s="53">
        <v>1</v>
      </c>
      <c r="F1066" s="51" t="s">
        <v>2715</v>
      </c>
      <c r="G1066" s="51" t="s">
        <v>2695</v>
      </c>
      <c r="H1066" s="25" t="s">
        <v>2762</v>
      </c>
      <c r="I1066" t="s">
        <v>385</v>
      </c>
      <c r="J1066" t="s">
        <v>539</v>
      </c>
      <c r="K1066" t="s">
        <v>2195</v>
      </c>
      <c r="L1066" s="25">
        <v>46.901269880000001</v>
      </c>
      <c r="M1066" s="25">
        <v>6.6730422699999998</v>
      </c>
      <c r="N1066">
        <v>6</v>
      </c>
      <c r="O1066">
        <v>25</v>
      </c>
      <c r="P1066">
        <v>10</v>
      </c>
      <c r="Q1066">
        <v>2016</v>
      </c>
      <c r="R1066" s="9">
        <v>42668</v>
      </c>
      <c r="S1066">
        <v>340</v>
      </c>
      <c r="T1066">
        <v>0</v>
      </c>
      <c r="U1066">
        <v>0</v>
      </c>
      <c r="V1066">
        <v>0</v>
      </c>
      <c r="W1066">
        <v>1</v>
      </c>
      <c r="X1066" s="57" t="s">
        <v>16</v>
      </c>
      <c r="Y1066">
        <v>-23.69</v>
      </c>
      <c r="Z1066">
        <v>3.32</v>
      </c>
      <c r="AB1066" s="3">
        <f t="shared" si="133"/>
        <v>3</v>
      </c>
      <c r="AD1066" s="3" t="s">
        <v>2750</v>
      </c>
      <c r="AE1066" s="4">
        <v>-12.19453</v>
      </c>
      <c r="AF1066" s="4">
        <f t="shared" si="134"/>
        <v>-26.277022299999999</v>
      </c>
      <c r="AG1066" s="60" t="s">
        <v>16</v>
      </c>
      <c r="AH1066" s="61" t="s">
        <v>16</v>
      </c>
      <c r="AI1066" s="57">
        <f t="shared" si="135"/>
        <v>-26.277022299999999</v>
      </c>
      <c r="AJ1066" s="3">
        <f t="shared" ref="AJ1066:AJ1076" si="137">-ROUND(AF1066/10,0)</f>
        <v>3</v>
      </c>
      <c r="AK1066" s="3" t="s">
        <v>2708</v>
      </c>
      <c r="AL1066">
        <v>1</v>
      </c>
      <c r="AM1066" t="s">
        <v>980</v>
      </c>
    </row>
    <row r="1067" spans="1:39" hidden="1" x14ac:dyDescent="0.3">
      <c r="A1067" s="51" t="s">
        <v>2505</v>
      </c>
      <c r="B1067" s="54" t="s">
        <v>1145</v>
      </c>
      <c r="C1067" s="51" t="s">
        <v>2765</v>
      </c>
      <c r="D1067" s="53" t="s">
        <v>16</v>
      </c>
      <c r="E1067" s="53" t="s">
        <v>16</v>
      </c>
      <c r="F1067" s="51" t="s">
        <v>16</v>
      </c>
      <c r="G1067" s="51" t="s">
        <v>2695</v>
      </c>
      <c r="H1067" s="25" t="str">
        <f t="shared" ref="H1067:H1076" si="138">IF(T1067=1,"jgd",IF(W1067=1,"Captures automne","Captures printemps-été"))</f>
        <v>jgd</v>
      </c>
      <c r="I1067" t="s">
        <v>13</v>
      </c>
      <c r="J1067" t="s">
        <v>1146</v>
      </c>
      <c r="K1067" t="s">
        <v>1910</v>
      </c>
      <c r="L1067" s="25">
        <v>46.958954749999997</v>
      </c>
      <c r="M1067" s="25">
        <v>6.5761631920000001</v>
      </c>
      <c r="N1067">
        <v>5</v>
      </c>
      <c r="O1067">
        <v>23</v>
      </c>
      <c r="P1067">
        <v>10</v>
      </c>
      <c r="Q1067">
        <v>2017</v>
      </c>
      <c r="R1067" s="9">
        <v>43031</v>
      </c>
      <c r="S1067">
        <v>334</v>
      </c>
      <c r="T1067">
        <v>1</v>
      </c>
      <c r="U1067">
        <v>0</v>
      </c>
      <c r="V1067">
        <v>0</v>
      </c>
      <c r="W1067">
        <v>0</v>
      </c>
      <c r="X1067" s="57" t="s">
        <v>16</v>
      </c>
      <c r="Y1067" t="s">
        <v>16</v>
      </c>
      <c r="Z1067">
        <v>8.2966661510000002</v>
      </c>
      <c r="AB1067" s="3">
        <f t="shared" si="133"/>
        <v>8</v>
      </c>
      <c r="AD1067" s="3" t="s">
        <v>2750</v>
      </c>
      <c r="AE1067" s="4">
        <v>-84.580150000000003</v>
      </c>
      <c r="AF1067" s="4">
        <f t="shared" si="134"/>
        <v>-84.580150000000003</v>
      </c>
      <c r="AG1067" s="60" t="s">
        <v>16</v>
      </c>
      <c r="AH1067" s="61" t="s">
        <v>16</v>
      </c>
      <c r="AJ1067" s="3">
        <f t="shared" si="137"/>
        <v>8</v>
      </c>
      <c r="AK1067" s="3" t="s">
        <v>16</v>
      </c>
      <c r="AL1067">
        <v>8</v>
      </c>
      <c r="AM1067" t="s">
        <v>15</v>
      </c>
    </row>
    <row r="1068" spans="1:39" hidden="1" x14ac:dyDescent="0.3">
      <c r="A1068" s="51" t="s">
        <v>2740</v>
      </c>
      <c r="B1068" s="54" t="s">
        <v>2570</v>
      </c>
      <c r="C1068" s="51" t="s">
        <v>2765</v>
      </c>
      <c r="D1068" s="53" t="s">
        <v>16</v>
      </c>
      <c r="E1068" s="53" t="s">
        <v>16</v>
      </c>
      <c r="F1068" s="51" t="s">
        <v>16</v>
      </c>
      <c r="G1068" s="51" t="s">
        <v>2695</v>
      </c>
      <c r="H1068" s="25" t="str">
        <f t="shared" si="138"/>
        <v>jgd</v>
      </c>
      <c r="I1068" t="s">
        <v>13</v>
      </c>
      <c r="J1068" t="s">
        <v>21</v>
      </c>
      <c r="K1068" t="s">
        <v>2571</v>
      </c>
      <c r="L1068" s="25">
        <v>46.979897880000003</v>
      </c>
      <c r="M1068" s="25">
        <v>6.6566089819999998</v>
      </c>
      <c r="N1068">
        <v>3</v>
      </c>
      <c r="O1068">
        <v>30</v>
      </c>
      <c r="P1068">
        <v>10</v>
      </c>
      <c r="Q1068">
        <v>2017</v>
      </c>
      <c r="R1068" s="9">
        <v>43038</v>
      </c>
      <c r="S1068">
        <v>335</v>
      </c>
      <c r="T1068">
        <v>1</v>
      </c>
      <c r="U1068">
        <v>0</v>
      </c>
      <c r="V1068">
        <v>0</v>
      </c>
      <c r="W1068">
        <v>0</v>
      </c>
      <c r="X1068" s="57" t="s">
        <v>16</v>
      </c>
      <c r="Y1068" t="s">
        <v>16</v>
      </c>
      <c r="Z1068">
        <v>6.9885661969999999</v>
      </c>
      <c r="AB1068" s="3">
        <f t="shared" si="133"/>
        <v>7</v>
      </c>
      <c r="AD1068" s="3" t="s">
        <v>2750</v>
      </c>
      <c r="AE1068" s="4">
        <v>-80.637395600000005</v>
      </c>
      <c r="AF1068" s="4">
        <f t="shared" si="134"/>
        <v>-80.637395600000005</v>
      </c>
      <c r="AG1068" s="60" t="s">
        <v>16</v>
      </c>
      <c r="AH1068" s="61" t="s">
        <v>16</v>
      </c>
      <c r="AJ1068" s="3">
        <f t="shared" si="137"/>
        <v>8</v>
      </c>
      <c r="AK1068" s="3" t="s">
        <v>16</v>
      </c>
      <c r="AL1068">
        <v>8</v>
      </c>
      <c r="AM1068" t="s">
        <v>15</v>
      </c>
    </row>
    <row r="1069" spans="1:39" hidden="1" x14ac:dyDescent="0.3">
      <c r="A1069" s="51" t="s">
        <v>2501</v>
      </c>
      <c r="B1069" s="54" t="s">
        <v>1129</v>
      </c>
      <c r="C1069" s="51" t="s">
        <v>2765</v>
      </c>
      <c r="D1069" s="53" t="s">
        <v>16</v>
      </c>
      <c r="E1069" s="53" t="s">
        <v>16</v>
      </c>
      <c r="F1069" s="51" t="s">
        <v>16</v>
      </c>
      <c r="G1069" s="51" t="s">
        <v>2695</v>
      </c>
      <c r="H1069" s="25" t="str">
        <f t="shared" si="138"/>
        <v>jgd</v>
      </c>
      <c r="I1069" t="s">
        <v>13</v>
      </c>
      <c r="J1069" t="s">
        <v>16</v>
      </c>
      <c r="K1069" t="s">
        <v>60</v>
      </c>
      <c r="L1069" s="25">
        <v>47.028254840000002</v>
      </c>
      <c r="M1069" s="25">
        <v>6.8163750199999997</v>
      </c>
      <c r="N1069" t="s">
        <v>16</v>
      </c>
      <c r="O1069">
        <v>25</v>
      </c>
      <c r="P1069">
        <v>10</v>
      </c>
      <c r="Q1069">
        <v>2017</v>
      </c>
      <c r="R1069" s="9">
        <v>43033</v>
      </c>
      <c r="S1069">
        <v>250</v>
      </c>
      <c r="T1069">
        <v>1</v>
      </c>
      <c r="U1069">
        <v>0</v>
      </c>
      <c r="V1069">
        <v>0</v>
      </c>
      <c r="W1069">
        <v>0</v>
      </c>
      <c r="X1069" s="57" t="s">
        <v>16</v>
      </c>
      <c r="Y1069" t="s">
        <v>16</v>
      </c>
      <c r="Z1069">
        <v>6.9696738600000003</v>
      </c>
      <c r="AB1069" s="3">
        <f t="shared" si="133"/>
        <v>7</v>
      </c>
      <c r="AD1069" s="3" t="s">
        <v>2750</v>
      </c>
      <c r="AE1069" s="4">
        <v>-49.236364899999998</v>
      </c>
      <c r="AF1069" s="4">
        <f t="shared" si="134"/>
        <v>-49.236364899999998</v>
      </c>
      <c r="AG1069" s="60" t="s">
        <v>16</v>
      </c>
      <c r="AH1069" s="61" t="s">
        <v>16</v>
      </c>
      <c r="AJ1069" s="3">
        <f t="shared" si="137"/>
        <v>5</v>
      </c>
      <c r="AK1069" s="3" t="s">
        <v>16</v>
      </c>
      <c r="AL1069">
        <v>5</v>
      </c>
      <c r="AM1069" t="s">
        <v>15</v>
      </c>
    </row>
    <row r="1070" spans="1:39" hidden="1" x14ac:dyDescent="0.3">
      <c r="A1070" s="51" t="s">
        <v>2502</v>
      </c>
      <c r="B1070" s="54" t="s">
        <v>2503</v>
      </c>
      <c r="C1070" s="51" t="s">
        <v>2765</v>
      </c>
      <c r="D1070" s="53" t="s">
        <v>16</v>
      </c>
      <c r="E1070" s="53" t="s">
        <v>16</v>
      </c>
      <c r="F1070" s="51" t="s">
        <v>16</v>
      </c>
      <c r="G1070" s="51" t="s">
        <v>2695</v>
      </c>
      <c r="H1070" s="25" t="str">
        <f t="shared" si="138"/>
        <v>jgd</v>
      </c>
      <c r="I1070" t="s">
        <v>13</v>
      </c>
      <c r="J1070" t="s">
        <v>16</v>
      </c>
      <c r="K1070" t="s">
        <v>2504</v>
      </c>
      <c r="L1070" s="25">
        <v>47.017627609999998</v>
      </c>
      <c r="M1070" s="25">
        <v>6.8240347579999998</v>
      </c>
      <c r="N1070" t="s">
        <v>16</v>
      </c>
      <c r="O1070">
        <v>31</v>
      </c>
      <c r="P1070">
        <v>10</v>
      </c>
      <c r="Q1070">
        <v>2017</v>
      </c>
      <c r="R1070" s="9">
        <v>43039</v>
      </c>
      <c r="S1070">
        <v>344</v>
      </c>
      <c r="T1070">
        <v>1</v>
      </c>
      <c r="U1070">
        <v>0</v>
      </c>
      <c r="V1070">
        <v>0</v>
      </c>
      <c r="W1070">
        <v>0</v>
      </c>
      <c r="X1070" s="57" t="s">
        <v>16</v>
      </c>
      <c r="Y1070" t="s">
        <v>16</v>
      </c>
      <c r="Z1070">
        <v>5.7476886309999999</v>
      </c>
      <c r="AB1070" s="3">
        <f t="shared" si="133"/>
        <v>6</v>
      </c>
      <c r="AD1070" s="3" t="s">
        <v>2750</v>
      </c>
      <c r="AE1070" s="4">
        <v>-74.799809300000007</v>
      </c>
      <c r="AF1070" s="4">
        <f t="shared" si="134"/>
        <v>-74.799809300000007</v>
      </c>
      <c r="AG1070" s="60" t="s">
        <v>16</v>
      </c>
      <c r="AH1070" s="61" t="s">
        <v>16</v>
      </c>
      <c r="AJ1070" s="3">
        <f t="shared" si="137"/>
        <v>7</v>
      </c>
      <c r="AK1070" s="3" t="s">
        <v>16</v>
      </c>
      <c r="AL1070">
        <v>7</v>
      </c>
      <c r="AM1070" t="s">
        <v>15</v>
      </c>
    </row>
    <row r="1071" spans="1:39" hidden="1" x14ac:dyDescent="0.3">
      <c r="A1071" s="51" t="s">
        <v>2498</v>
      </c>
      <c r="B1071" s="54" t="s">
        <v>1124</v>
      </c>
      <c r="C1071" s="51" t="s">
        <v>2765</v>
      </c>
      <c r="D1071" s="53" t="s">
        <v>16</v>
      </c>
      <c r="E1071" s="53" t="s">
        <v>16</v>
      </c>
      <c r="F1071" s="51" t="s">
        <v>16</v>
      </c>
      <c r="G1071" s="51" t="s">
        <v>2695</v>
      </c>
      <c r="H1071" s="25" t="str">
        <f t="shared" si="138"/>
        <v>jgd</v>
      </c>
      <c r="I1071" t="s">
        <v>13</v>
      </c>
      <c r="J1071" t="s">
        <v>16</v>
      </c>
      <c r="K1071" t="s">
        <v>2499</v>
      </c>
      <c r="L1071" s="25">
        <v>47.092976409999999</v>
      </c>
      <c r="M1071" s="25">
        <v>6.8963500150000003</v>
      </c>
      <c r="N1071" t="s">
        <v>16</v>
      </c>
      <c r="O1071">
        <v>24</v>
      </c>
      <c r="P1071">
        <v>10</v>
      </c>
      <c r="Q1071">
        <v>2017</v>
      </c>
      <c r="R1071" s="9">
        <v>43032</v>
      </c>
      <c r="S1071">
        <v>345</v>
      </c>
      <c r="T1071">
        <v>1</v>
      </c>
      <c r="U1071">
        <v>0</v>
      </c>
      <c r="V1071">
        <v>0</v>
      </c>
      <c r="W1071">
        <v>0</v>
      </c>
      <c r="X1071" s="57" t="s">
        <v>16</v>
      </c>
      <c r="Y1071" t="s">
        <v>16</v>
      </c>
      <c r="Z1071">
        <v>5.9655186139999996</v>
      </c>
      <c r="AB1071" s="3">
        <f t="shared" si="133"/>
        <v>6</v>
      </c>
      <c r="AD1071" s="3" t="s">
        <v>2750</v>
      </c>
      <c r="AE1071" s="4">
        <v>-48.2735056</v>
      </c>
      <c r="AF1071" s="4">
        <f t="shared" si="134"/>
        <v>-48.2735056</v>
      </c>
      <c r="AG1071" s="60" t="s">
        <v>16</v>
      </c>
      <c r="AH1071" s="61" t="s">
        <v>16</v>
      </c>
      <c r="AJ1071" s="3">
        <f t="shared" si="137"/>
        <v>5</v>
      </c>
      <c r="AK1071" s="3" t="s">
        <v>16</v>
      </c>
      <c r="AL1071">
        <v>5</v>
      </c>
      <c r="AM1071" t="s">
        <v>15</v>
      </c>
    </row>
    <row r="1072" spans="1:39" hidden="1" x14ac:dyDescent="0.3">
      <c r="A1072" s="51" t="s">
        <v>2500</v>
      </c>
      <c r="B1072" s="54" t="s">
        <v>1127</v>
      </c>
      <c r="C1072" s="51" t="s">
        <v>2765</v>
      </c>
      <c r="D1072" s="53" t="s">
        <v>16</v>
      </c>
      <c r="E1072" s="53" t="s">
        <v>16</v>
      </c>
      <c r="F1072" s="51" t="s">
        <v>16</v>
      </c>
      <c r="G1072" s="51" t="s">
        <v>2695</v>
      </c>
      <c r="H1072" s="25" t="str">
        <f t="shared" si="138"/>
        <v>jgd</v>
      </c>
      <c r="I1072" t="s">
        <v>13</v>
      </c>
      <c r="J1072" t="s">
        <v>16</v>
      </c>
      <c r="K1072" t="s">
        <v>2499</v>
      </c>
      <c r="L1072" s="25">
        <v>47.092976409999999</v>
      </c>
      <c r="M1072" s="25">
        <v>6.8963500150000003</v>
      </c>
      <c r="N1072" t="s">
        <v>16</v>
      </c>
      <c r="O1072">
        <v>24</v>
      </c>
      <c r="P1072">
        <v>10</v>
      </c>
      <c r="Q1072">
        <v>2017</v>
      </c>
      <c r="R1072" s="9">
        <v>43032</v>
      </c>
      <c r="S1072">
        <v>337</v>
      </c>
      <c r="T1072">
        <v>1</v>
      </c>
      <c r="U1072">
        <v>0</v>
      </c>
      <c r="V1072">
        <v>0</v>
      </c>
      <c r="W1072">
        <v>0</v>
      </c>
      <c r="X1072" s="57" t="s">
        <v>16</v>
      </c>
      <c r="Y1072" t="s">
        <v>16</v>
      </c>
      <c r="Z1072">
        <v>4.2625508060000001</v>
      </c>
      <c r="AB1072" s="3">
        <f t="shared" si="133"/>
        <v>4</v>
      </c>
      <c r="AD1072" s="3" t="s">
        <v>2750</v>
      </c>
      <c r="AE1072" s="4">
        <v>-67.446088900000007</v>
      </c>
      <c r="AF1072" s="4">
        <f t="shared" si="134"/>
        <v>-67.446088900000007</v>
      </c>
      <c r="AG1072" s="60" t="s">
        <v>16</v>
      </c>
      <c r="AH1072" s="61" t="s">
        <v>16</v>
      </c>
      <c r="AJ1072" s="3">
        <f t="shared" si="137"/>
        <v>7</v>
      </c>
      <c r="AK1072" s="3" t="s">
        <v>16</v>
      </c>
      <c r="AL1072">
        <v>7</v>
      </c>
      <c r="AM1072" t="s">
        <v>15</v>
      </c>
    </row>
    <row r="1073" spans="1:39" hidden="1" x14ac:dyDescent="0.3">
      <c r="A1073" s="51" t="s">
        <v>2469</v>
      </c>
      <c r="B1073" s="54" t="s">
        <v>2470</v>
      </c>
      <c r="C1073" s="51" t="s">
        <v>2765</v>
      </c>
      <c r="D1073" s="53" t="s">
        <v>16</v>
      </c>
      <c r="E1073" s="53" t="s">
        <v>16</v>
      </c>
      <c r="F1073" s="51" t="s">
        <v>16</v>
      </c>
      <c r="G1073" s="51" t="s">
        <v>2695</v>
      </c>
      <c r="H1073" s="25" t="str">
        <f t="shared" si="138"/>
        <v>jgd</v>
      </c>
      <c r="I1073" t="s">
        <v>1488</v>
      </c>
      <c r="J1073" t="s">
        <v>2471</v>
      </c>
      <c r="K1073" t="s">
        <v>2472</v>
      </c>
      <c r="L1073" s="25">
        <v>47.278559999999999</v>
      </c>
      <c r="M1073" s="25">
        <v>7.0769000000000002</v>
      </c>
      <c r="N1073">
        <v>5</v>
      </c>
      <c r="O1073">
        <v>28</v>
      </c>
      <c r="P1073">
        <v>10</v>
      </c>
      <c r="Q1073">
        <v>2017</v>
      </c>
      <c r="R1073" s="9">
        <v>43036</v>
      </c>
      <c r="S1073">
        <v>344</v>
      </c>
      <c r="T1073">
        <v>1</v>
      </c>
      <c r="U1073">
        <v>0</v>
      </c>
      <c r="V1073">
        <v>0</v>
      </c>
      <c r="W1073">
        <v>0</v>
      </c>
      <c r="X1073" s="57" t="s">
        <v>16</v>
      </c>
      <c r="Y1073" t="s">
        <v>16</v>
      </c>
      <c r="Z1073">
        <v>1.161267311</v>
      </c>
      <c r="AB1073" s="3">
        <f t="shared" si="133"/>
        <v>1</v>
      </c>
      <c r="AD1073" s="3" t="s">
        <v>2750</v>
      </c>
      <c r="AE1073" s="4">
        <v>-70.292028200000004</v>
      </c>
      <c r="AF1073" s="4">
        <f t="shared" si="134"/>
        <v>-70.292028200000004</v>
      </c>
      <c r="AG1073" s="60" t="s">
        <v>16</v>
      </c>
      <c r="AH1073" s="61" t="s">
        <v>16</v>
      </c>
      <c r="AJ1073" s="3">
        <f t="shared" si="137"/>
        <v>7</v>
      </c>
      <c r="AK1073" s="3" t="s">
        <v>16</v>
      </c>
      <c r="AL1073">
        <v>7</v>
      </c>
      <c r="AM1073" t="s">
        <v>2674</v>
      </c>
    </row>
    <row r="1074" spans="1:39" hidden="1" x14ac:dyDescent="0.3">
      <c r="A1074" s="51" t="s">
        <v>1493</v>
      </c>
      <c r="B1074" s="54" t="s">
        <v>1494</v>
      </c>
      <c r="C1074" s="51" t="s">
        <v>2765</v>
      </c>
      <c r="D1074" s="53" t="s">
        <v>16</v>
      </c>
      <c r="E1074" s="53" t="s">
        <v>16</v>
      </c>
      <c r="F1074" s="51" t="s">
        <v>16</v>
      </c>
      <c r="G1074" s="51" t="s">
        <v>2695</v>
      </c>
      <c r="H1074" s="25" t="str">
        <f t="shared" si="138"/>
        <v>jgd</v>
      </c>
      <c r="I1074" t="s">
        <v>1488</v>
      </c>
      <c r="J1074" t="s">
        <v>1489</v>
      </c>
      <c r="K1074" t="s">
        <v>1495</v>
      </c>
      <c r="L1074" s="25">
        <v>47.310649679999997</v>
      </c>
      <c r="M1074" s="25">
        <v>7.4246985690000002</v>
      </c>
      <c r="N1074">
        <v>5</v>
      </c>
      <c r="O1074">
        <v>31</v>
      </c>
      <c r="P1074">
        <v>10</v>
      </c>
      <c r="Q1074">
        <v>2016</v>
      </c>
      <c r="R1074" s="9">
        <v>42674</v>
      </c>
      <c r="S1074">
        <v>330</v>
      </c>
      <c r="T1074">
        <v>1</v>
      </c>
      <c r="U1074">
        <v>0</v>
      </c>
      <c r="V1074">
        <v>0</v>
      </c>
      <c r="W1074">
        <v>0</v>
      </c>
      <c r="X1074" s="57" t="s">
        <v>16</v>
      </c>
      <c r="Y1074">
        <v>-25.67</v>
      </c>
      <c r="Z1074">
        <v>6.14</v>
      </c>
      <c r="AB1074" s="3">
        <f t="shared" si="133"/>
        <v>6</v>
      </c>
      <c r="AD1074" s="3" t="s">
        <v>2750</v>
      </c>
      <c r="AE1074" s="4">
        <v>-88.045596500000002</v>
      </c>
      <c r="AF1074" s="4">
        <f t="shared" si="134"/>
        <v>-88.045596500000002</v>
      </c>
      <c r="AG1074" s="60" t="s">
        <v>16</v>
      </c>
      <c r="AH1074" s="61" t="s">
        <v>16</v>
      </c>
      <c r="AJ1074" s="3">
        <f t="shared" si="137"/>
        <v>9</v>
      </c>
      <c r="AK1074" s="3" t="s">
        <v>16</v>
      </c>
      <c r="AL1074">
        <v>9</v>
      </c>
      <c r="AM1074" t="s">
        <v>15</v>
      </c>
    </row>
    <row r="1075" spans="1:39" hidden="1" x14ac:dyDescent="0.3">
      <c r="A1075" s="51" t="s">
        <v>2080</v>
      </c>
      <c r="B1075" s="54" t="s">
        <v>2081</v>
      </c>
      <c r="C1075" s="51" t="s">
        <v>2765</v>
      </c>
      <c r="D1075" s="53" t="s">
        <v>16</v>
      </c>
      <c r="E1075" s="53" t="s">
        <v>16</v>
      </c>
      <c r="F1075" s="51" t="s">
        <v>16</v>
      </c>
      <c r="G1075" s="51" t="s">
        <v>2695</v>
      </c>
      <c r="H1075" s="25" t="str">
        <f t="shared" si="138"/>
        <v>jgd</v>
      </c>
      <c r="I1075" t="s">
        <v>72</v>
      </c>
      <c r="J1075" t="s">
        <v>2082</v>
      </c>
      <c r="K1075" t="s">
        <v>2083</v>
      </c>
      <c r="L1075" s="25">
        <v>46.025608939999998</v>
      </c>
      <c r="M1075" s="25">
        <v>8.8847251249999992</v>
      </c>
      <c r="N1075">
        <v>5</v>
      </c>
      <c r="O1075">
        <v>18</v>
      </c>
      <c r="P1075">
        <v>11</v>
      </c>
      <c r="Q1075">
        <v>2017</v>
      </c>
      <c r="R1075" s="9">
        <v>43057</v>
      </c>
      <c r="S1075">
        <v>320</v>
      </c>
      <c r="T1075">
        <v>1</v>
      </c>
      <c r="U1075">
        <v>0</v>
      </c>
      <c r="V1075">
        <v>0</v>
      </c>
      <c r="W1075">
        <v>0</v>
      </c>
      <c r="X1075" s="57" t="s">
        <v>16</v>
      </c>
      <c r="Y1075" t="s">
        <v>16</v>
      </c>
      <c r="Z1075">
        <v>4.890609242</v>
      </c>
      <c r="AB1075" s="3">
        <f t="shared" si="133"/>
        <v>5</v>
      </c>
      <c r="AD1075" s="3" t="s">
        <v>2754</v>
      </c>
      <c r="AE1075" s="4">
        <v>-93.771727799999994</v>
      </c>
      <c r="AF1075" s="4">
        <f t="shared" si="134"/>
        <v>-93.771727799999994</v>
      </c>
      <c r="AG1075" s="60" t="s">
        <v>16</v>
      </c>
      <c r="AH1075" s="61" t="s">
        <v>16</v>
      </c>
      <c r="AJ1075" s="3">
        <f t="shared" si="137"/>
        <v>9</v>
      </c>
      <c r="AK1075" s="3" t="s">
        <v>16</v>
      </c>
      <c r="AL1075">
        <v>9</v>
      </c>
      <c r="AM1075" t="s">
        <v>15</v>
      </c>
    </row>
    <row r="1076" spans="1:39" hidden="1" x14ac:dyDescent="0.3">
      <c r="A1076" s="51" t="s">
        <v>2488</v>
      </c>
      <c r="B1076" s="54" t="s">
        <v>2489</v>
      </c>
      <c r="C1076" s="51" t="s">
        <v>2765</v>
      </c>
      <c r="D1076" s="53" t="s">
        <v>16</v>
      </c>
      <c r="E1076" s="53" t="s">
        <v>16</v>
      </c>
      <c r="F1076" s="51" t="s">
        <v>16</v>
      </c>
      <c r="G1076" s="51" t="s">
        <v>2695</v>
      </c>
      <c r="H1076" s="25" t="str">
        <f t="shared" si="138"/>
        <v>jgd</v>
      </c>
      <c r="I1076" t="s">
        <v>72</v>
      </c>
      <c r="J1076" t="s">
        <v>2490</v>
      </c>
      <c r="K1076" t="s">
        <v>2491</v>
      </c>
      <c r="L1076" s="25">
        <v>46.027780030000002</v>
      </c>
      <c r="M1076" s="25">
        <v>8.9053840100000006</v>
      </c>
      <c r="N1076">
        <v>6</v>
      </c>
      <c r="O1076">
        <v>19</v>
      </c>
      <c r="P1076">
        <v>11</v>
      </c>
      <c r="Q1076">
        <v>2017</v>
      </c>
      <c r="R1076" s="9">
        <v>43058</v>
      </c>
      <c r="S1076">
        <v>315</v>
      </c>
      <c r="T1076">
        <v>1</v>
      </c>
      <c r="U1076">
        <v>0</v>
      </c>
      <c r="V1076">
        <v>0</v>
      </c>
      <c r="W1076">
        <v>0</v>
      </c>
      <c r="X1076" s="57" t="s">
        <v>16</v>
      </c>
      <c r="Y1076" t="s">
        <v>16</v>
      </c>
      <c r="Z1076">
        <v>7.137077047</v>
      </c>
      <c r="AB1076" s="3">
        <f t="shared" si="133"/>
        <v>7</v>
      </c>
      <c r="AD1076" s="3" t="s">
        <v>2754</v>
      </c>
      <c r="AE1076" s="4">
        <v>-34.501520399999997</v>
      </c>
      <c r="AF1076" s="4">
        <f t="shared" si="134"/>
        <v>-34.501520399999997</v>
      </c>
      <c r="AG1076" s="60" t="s">
        <v>16</v>
      </c>
      <c r="AH1076" s="61" t="s">
        <v>16</v>
      </c>
      <c r="AJ1076" s="3">
        <f t="shared" si="137"/>
        <v>3</v>
      </c>
      <c r="AK1076" s="3" t="s">
        <v>16</v>
      </c>
      <c r="AL1076">
        <v>3</v>
      </c>
      <c r="AM1076" t="s">
        <v>15</v>
      </c>
    </row>
  </sheetData>
  <autoFilter ref="A1:AM1076" xr:uid="{00000000-0009-0000-0000-000009000000}">
    <filterColumn colId="3">
      <filters>
        <filter val="0"/>
      </filters>
    </filterColumn>
    <filterColumn colId="8">
      <filters>
        <filter val="TI"/>
      </filters>
    </filterColumn>
  </autoFilter>
  <sortState xmlns:xlrd2="http://schemas.microsoft.com/office/spreadsheetml/2017/richdata2" ref="A2:BD1076">
    <sortCondition ref="F2:F1076"/>
    <sortCondition ref="H2:H1076"/>
    <sortCondition ref="X2:X1076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J51"/>
  <sheetViews>
    <sheetView showGridLines="0" workbookViewId="0">
      <selection activeCell="H4" sqref="H4"/>
    </sheetView>
  </sheetViews>
  <sheetFormatPr defaultColWidth="11.5546875" defaultRowHeight="14.4" x14ac:dyDescent="0.3"/>
  <cols>
    <col min="1" max="1" width="22.44140625" customWidth="1"/>
    <col min="2" max="2" width="7.88671875" bestFit="1" customWidth="1"/>
    <col min="3" max="3" width="6.33203125" bestFit="1" customWidth="1"/>
    <col min="4" max="4" width="7.33203125" bestFit="1" customWidth="1"/>
    <col min="5" max="5" width="6.33203125" bestFit="1" customWidth="1"/>
    <col min="6" max="10" width="7.33203125" bestFit="1" customWidth="1"/>
    <col min="11" max="13" width="6.44140625" bestFit="1" customWidth="1"/>
    <col min="14" max="16" width="6.109375" bestFit="1" customWidth="1"/>
    <col min="17" max="17" width="5.33203125" customWidth="1"/>
    <col min="18" max="18" width="5.44140625" bestFit="1" customWidth="1"/>
    <col min="21" max="21" width="21.44140625" customWidth="1"/>
    <col min="22" max="22" width="23.88671875" customWidth="1"/>
    <col min="23" max="23" width="2" customWidth="1"/>
    <col min="24" max="34" width="3" customWidth="1"/>
    <col min="35" max="37" width="12.5546875" customWidth="1"/>
    <col min="38" max="38" width="12.44140625" bestFit="1" customWidth="1"/>
    <col min="39" max="39" width="10.6640625" bestFit="1" customWidth="1"/>
    <col min="40" max="40" width="40.44140625" bestFit="1" customWidth="1"/>
    <col min="41" max="41" width="8.44140625" bestFit="1" customWidth="1"/>
    <col min="42" max="44" width="11.6640625" bestFit="1" customWidth="1"/>
    <col min="45" max="47" width="12.6640625" bestFit="1" customWidth="1"/>
    <col min="48" max="48" width="42.88671875" bestFit="1" customWidth="1"/>
    <col min="49" max="49" width="11.6640625" bestFit="1" customWidth="1"/>
    <col min="50" max="50" width="46" bestFit="1" customWidth="1"/>
    <col min="51" max="51" width="12.6640625" bestFit="1" customWidth="1"/>
  </cols>
  <sheetData>
    <row r="1" spans="1:35" x14ac:dyDescent="0.3">
      <c r="A1" s="64" t="s">
        <v>2703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35" x14ac:dyDescent="0.3">
      <c r="B2" s="16">
        <v>1</v>
      </c>
      <c r="C2" s="16">
        <v>2</v>
      </c>
      <c r="D2" s="16">
        <v>3</v>
      </c>
      <c r="E2">
        <v>4</v>
      </c>
      <c r="F2">
        <v>5</v>
      </c>
      <c r="G2">
        <v>6</v>
      </c>
      <c r="H2">
        <v>7</v>
      </c>
      <c r="I2" s="16">
        <v>8</v>
      </c>
      <c r="J2" s="16">
        <v>9</v>
      </c>
      <c r="K2" s="17">
        <v>10</v>
      </c>
      <c r="L2" s="16">
        <v>11</v>
      </c>
      <c r="M2" s="16">
        <v>12</v>
      </c>
      <c r="N2" s="16">
        <v>13</v>
      </c>
      <c r="O2" s="16">
        <v>14</v>
      </c>
      <c r="P2" s="16">
        <v>15</v>
      </c>
      <c r="Q2" s="16">
        <v>16</v>
      </c>
      <c r="R2" t="s">
        <v>2698</v>
      </c>
      <c r="U2" s="8" t="s">
        <v>2714</v>
      </c>
      <c r="V2" t="s">
        <v>2744</v>
      </c>
    </row>
    <row r="3" spans="1:35" x14ac:dyDescent="0.3">
      <c r="A3" s="19" t="s">
        <v>2759</v>
      </c>
      <c r="B3" s="20">
        <v>0</v>
      </c>
      <c r="C3" s="20">
        <v>0</v>
      </c>
      <c r="D3" s="20">
        <v>1</v>
      </c>
      <c r="E3" s="32">
        <v>1</v>
      </c>
      <c r="F3" s="32">
        <v>5</v>
      </c>
      <c r="G3" s="32">
        <v>6</v>
      </c>
      <c r="H3" s="20">
        <v>2</v>
      </c>
      <c r="I3" s="20">
        <v>5</v>
      </c>
      <c r="J3" s="20">
        <v>6</v>
      </c>
      <c r="K3" s="29">
        <v>8</v>
      </c>
      <c r="L3" s="20">
        <v>3</v>
      </c>
      <c r="M3" s="20">
        <v>4</v>
      </c>
      <c r="N3" s="20">
        <v>2</v>
      </c>
      <c r="O3" s="20">
        <v>2</v>
      </c>
      <c r="P3" s="20">
        <v>0</v>
      </c>
      <c r="Q3" s="20">
        <v>1</v>
      </c>
      <c r="R3">
        <f>SUM(B3:Q3)</f>
        <v>46</v>
      </c>
      <c r="U3" s="8" t="s">
        <v>2760</v>
      </c>
      <c r="V3" t="s">
        <v>2761</v>
      </c>
    </row>
    <row r="4" spans="1:35" x14ac:dyDescent="0.3">
      <c r="A4" s="19"/>
      <c r="B4" s="18">
        <f>B3/$R3</f>
        <v>0</v>
      </c>
      <c r="C4" s="18">
        <f t="shared" ref="C4:Q4" si="0">C3/$R3</f>
        <v>0</v>
      </c>
      <c r="D4" s="18">
        <f t="shared" si="0"/>
        <v>2.1739130434782608E-2</v>
      </c>
      <c r="E4" s="18">
        <f t="shared" si="0"/>
        <v>2.1739130434782608E-2</v>
      </c>
      <c r="F4" s="18">
        <f t="shared" si="0"/>
        <v>0.10869565217391304</v>
      </c>
      <c r="G4" s="18">
        <f t="shared" si="0"/>
        <v>0.13043478260869565</v>
      </c>
      <c r="H4" s="18">
        <f t="shared" si="0"/>
        <v>4.3478260869565216E-2</v>
      </c>
      <c r="I4" s="18">
        <f t="shared" si="0"/>
        <v>0.10869565217391304</v>
      </c>
      <c r="J4" s="18">
        <f t="shared" si="0"/>
        <v>0.13043478260869565</v>
      </c>
      <c r="K4" s="18">
        <f t="shared" si="0"/>
        <v>0.17391304347826086</v>
      </c>
      <c r="L4" s="18">
        <f t="shared" si="0"/>
        <v>6.5217391304347824E-2</v>
      </c>
      <c r="M4" s="18">
        <f t="shared" si="0"/>
        <v>8.6956521739130432E-2</v>
      </c>
      <c r="N4" s="18">
        <f t="shared" si="0"/>
        <v>4.3478260869565216E-2</v>
      </c>
      <c r="O4" s="18">
        <f t="shared" si="0"/>
        <v>4.3478260869565216E-2</v>
      </c>
      <c r="P4" s="18">
        <f t="shared" si="0"/>
        <v>0</v>
      </c>
      <c r="Q4" s="18">
        <f t="shared" si="0"/>
        <v>2.1739130434782608E-2</v>
      </c>
      <c r="U4" s="8" t="s">
        <v>2</v>
      </c>
      <c r="V4" t="s">
        <v>2766</v>
      </c>
    </row>
    <row r="5" spans="1:35" x14ac:dyDescent="0.3">
      <c r="A5" s="66" t="s">
        <v>2751</v>
      </c>
      <c r="B5" s="16">
        <v>0</v>
      </c>
      <c r="C5" s="16">
        <v>0</v>
      </c>
      <c r="D5" s="16">
        <v>0</v>
      </c>
      <c r="E5" s="30">
        <v>0</v>
      </c>
      <c r="F5" s="30">
        <v>2</v>
      </c>
      <c r="G5" s="30">
        <v>3</v>
      </c>
      <c r="H5" s="16">
        <v>2</v>
      </c>
      <c r="I5" s="26">
        <v>4</v>
      </c>
      <c r="J5" s="16">
        <v>1</v>
      </c>
      <c r="K5" s="16">
        <v>3</v>
      </c>
      <c r="L5" s="16">
        <v>0</v>
      </c>
      <c r="M5" s="16">
        <v>0</v>
      </c>
      <c r="N5" s="16">
        <v>1</v>
      </c>
      <c r="O5" s="16">
        <v>1</v>
      </c>
      <c r="P5" s="16">
        <v>0</v>
      </c>
      <c r="Q5" s="16">
        <v>0</v>
      </c>
      <c r="R5">
        <f>SUM(B5:Q5)</f>
        <v>17</v>
      </c>
      <c r="U5" s="8" t="s">
        <v>2705</v>
      </c>
      <c r="V5" t="s">
        <v>2766</v>
      </c>
    </row>
    <row r="6" spans="1:35" x14ac:dyDescent="0.3">
      <c r="A6" s="66"/>
      <c r="B6" s="18">
        <f>B5/$R5</f>
        <v>0</v>
      </c>
      <c r="C6" s="18">
        <f t="shared" ref="C6:Q6" si="1">C5/$R5</f>
        <v>0</v>
      </c>
      <c r="D6" s="18">
        <f t="shared" si="1"/>
        <v>0</v>
      </c>
      <c r="E6" s="18">
        <f t="shared" si="1"/>
        <v>0</v>
      </c>
      <c r="F6" s="18">
        <f t="shared" si="1"/>
        <v>0.11764705882352941</v>
      </c>
      <c r="G6" s="18">
        <f t="shared" si="1"/>
        <v>0.17647058823529413</v>
      </c>
      <c r="H6" s="18">
        <f t="shared" si="1"/>
        <v>0.11764705882352941</v>
      </c>
      <c r="I6" s="18">
        <f t="shared" si="1"/>
        <v>0.23529411764705882</v>
      </c>
      <c r="J6" s="18">
        <f t="shared" si="1"/>
        <v>5.8823529411764705E-2</v>
      </c>
      <c r="K6" s="18">
        <f t="shared" si="1"/>
        <v>0.17647058823529413</v>
      </c>
      <c r="L6" s="18">
        <f t="shared" si="1"/>
        <v>0</v>
      </c>
      <c r="M6" s="18">
        <f t="shared" si="1"/>
        <v>0</v>
      </c>
      <c r="N6" s="18">
        <f t="shared" si="1"/>
        <v>5.8823529411764705E-2</v>
      </c>
      <c r="O6" s="18">
        <f t="shared" si="1"/>
        <v>5.8823529411764705E-2</v>
      </c>
      <c r="P6" s="18">
        <f t="shared" si="1"/>
        <v>0</v>
      </c>
      <c r="Q6" s="18">
        <f t="shared" si="1"/>
        <v>0</v>
      </c>
    </row>
    <row r="7" spans="1:35" x14ac:dyDescent="0.3">
      <c r="A7" s="65" t="s">
        <v>2783</v>
      </c>
      <c r="B7" s="16">
        <v>0</v>
      </c>
      <c r="C7" s="16">
        <v>0</v>
      </c>
      <c r="D7" s="16">
        <v>1</v>
      </c>
      <c r="E7" s="30">
        <v>2</v>
      </c>
      <c r="F7" s="30">
        <v>3</v>
      </c>
      <c r="G7" s="30">
        <v>4</v>
      </c>
      <c r="H7" s="16">
        <v>11</v>
      </c>
      <c r="I7" s="16">
        <v>7</v>
      </c>
      <c r="J7" s="16">
        <v>16</v>
      </c>
      <c r="K7" s="26">
        <v>34</v>
      </c>
      <c r="L7" s="16">
        <v>16</v>
      </c>
      <c r="M7" s="16">
        <v>19</v>
      </c>
      <c r="N7" s="16">
        <v>12</v>
      </c>
      <c r="O7" s="16">
        <v>2</v>
      </c>
      <c r="P7" s="16">
        <v>0</v>
      </c>
      <c r="Q7" s="16">
        <v>0</v>
      </c>
      <c r="R7">
        <f>SUM(B7:Q7)</f>
        <v>127</v>
      </c>
      <c r="U7" s="8" t="s">
        <v>2701</v>
      </c>
      <c r="V7" s="8" t="s">
        <v>2699</v>
      </c>
    </row>
    <row r="8" spans="1:35" x14ac:dyDescent="0.3">
      <c r="A8" s="65"/>
      <c r="B8" s="18">
        <f>B7/$R7</f>
        <v>0</v>
      </c>
      <c r="C8" s="18">
        <f t="shared" ref="C8:Q10" si="2">C7/$R7</f>
        <v>0</v>
      </c>
      <c r="D8" s="18">
        <f t="shared" si="2"/>
        <v>7.874015748031496E-3</v>
      </c>
      <c r="E8" s="31">
        <f t="shared" si="2"/>
        <v>1.5748031496062992E-2</v>
      </c>
      <c r="F8" s="31">
        <f t="shared" si="2"/>
        <v>2.3622047244094488E-2</v>
      </c>
      <c r="G8" s="31">
        <f t="shared" si="2"/>
        <v>3.1496062992125984E-2</v>
      </c>
      <c r="H8" s="18">
        <f t="shared" si="2"/>
        <v>8.6614173228346455E-2</v>
      </c>
      <c r="I8" s="18">
        <f t="shared" si="2"/>
        <v>5.5118110236220472E-2</v>
      </c>
      <c r="J8" s="18">
        <f t="shared" si="2"/>
        <v>0.12598425196850394</v>
      </c>
      <c r="K8" s="27">
        <f t="shared" si="2"/>
        <v>0.26771653543307089</v>
      </c>
      <c r="L8" s="18">
        <f t="shared" si="2"/>
        <v>0.12598425196850394</v>
      </c>
      <c r="M8" s="18">
        <f t="shared" si="2"/>
        <v>0.14960629921259844</v>
      </c>
      <c r="N8" s="18">
        <f t="shared" si="2"/>
        <v>9.4488188976377951E-2</v>
      </c>
      <c r="O8" s="18">
        <f t="shared" si="2"/>
        <v>1.5748031496062992E-2</v>
      </c>
      <c r="P8" s="18">
        <f t="shared" si="2"/>
        <v>0</v>
      </c>
      <c r="Q8" s="18">
        <f t="shared" si="2"/>
        <v>0</v>
      </c>
      <c r="U8" s="8" t="s">
        <v>2748</v>
      </c>
      <c r="V8">
        <v>3</v>
      </c>
      <c r="W8">
        <v>4</v>
      </c>
      <c r="X8">
        <v>5</v>
      </c>
      <c r="Y8">
        <v>6</v>
      </c>
      <c r="Z8">
        <v>7</v>
      </c>
      <c r="AA8">
        <v>8</v>
      </c>
      <c r="AB8">
        <v>9</v>
      </c>
      <c r="AC8">
        <v>10</v>
      </c>
      <c r="AD8">
        <v>11</v>
      </c>
      <c r="AE8">
        <v>12</v>
      </c>
      <c r="AF8">
        <v>13</v>
      </c>
      <c r="AG8">
        <v>14</v>
      </c>
      <c r="AH8">
        <v>16</v>
      </c>
      <c r="AI8" t="s">
        <v>2700</v>
      </c>
    </row>
    <row r="9" spans="1:35" x14ac:dyDescent="0.3">
      <c r="A9" s="24" t="s">
        <v>72</v>
      </c>
      <c r="B9" s="18"/>
      <c r="C9" s="18"/>
      <c r="D9">
        <v>1</v>
      </c>
      <c r="E9">
        <v>2</v>
      </c>
      <c r="F9">
        <v>3</v>
      </c>
      <c r="G9">
        <v>4</v>
      </c>
      <c r="H9">
        <v>10</v>
      </c>
      <c r="I9">
        <v>6</v>
      </c>
      <c r="J9">
        <v>16</v>
      </c>
      <c r="K9">
        <v>34</v>
      </c>
      <c r="L9">
        <v>16</v>
      </c>
      <c r="M9">
        <v>19</v>
      </c>
      <c r="N9">
        <v>12</v>
      </c>
      <c r="O9">
        <v>2</v>
      </c>
      <c r="P9" s="18"/>
      <c r="Q9" s="18"/>
      <c r="R9">
        <v>125</v>
      </c>
      <c r="U9" s="15" t="s">
        <v>2750</v>
      </c>
      <c r="V9">
        <v>1</v>
      </c>
      <c r="W9">
        <v>1</v>
      </c>
      <c r="X9">
        <v>5</v>
      </c>
      <c r="Y9">
        <v>6</v>
      </c>
      <c r="Z9">
        <v>2</v>
      </c>
      <c r="AA9">
        <v>5</v>
      </c>
      <c r="AB9">
        <v>6</v>
      </c>
      <c r="AC9">
        <v>8</v>
      </c>
      <c r="AD9">
        <v>3</v>
      </c>
      <c r="AE9">
        <v>4</v>
      </c>
      <c r="AF9">
        <v>2</v>
      </c>
      <c r="AG9">
        <v>2</v>
      </c>
      <c r="AH9">
        <v>1</v>
      </c>
      <c r="AI9">
        <v>46</v>
      </c>
    </row>
    <row r="10" spans="1:35" x14ac:dyDescent="0.3">
      <c r="A10" s="24"/>
      <c r="B10" s="18">
        <f>B9/$R9</f>
        <v>0</v>
      </c>
      <c r="C10" s="18">
        <f t="shared" si="2"/>
        <v>0</v>
      </c>
      <c r="D10" s="18">
        <f t="shared" si="2"/>
        <v>8.0000000000000002E-3</v>
      </c>
      <c r="E10" s="31">
        <f t="shared" si="2"/>
        <v>1.6E-2</v>
      </c>
      <c r="F10" s="31">
        <f t="shared" si="2"/>
        <v>2.4E-2</v>
      </c>
      <c r="G10" s="31">
        <f t="shared" si="2"/>
        <v>3.2000000000000001E-2</v>
      </c>
      <c r="H10" s="18">
        <f t="shared" si="2"/>
        <v>0.08</v>
      </c>
      <c r="I10" s="18">
        <f t="shared" si="2"/>
        <v>4.8000000000000001E-2</v>
      </c>
      <c r="J10" s="18">
        <f t="shared" si="2"/>
        <v>0.128</v>
      </c>
      <c r="K10" s="27">
        <f t="shared" si="2"/>
        <v>0.27200000000000002</v>
      </c>
      <c r="L10" s="18">
        <f t="shared" si="2"/>
        <v>0.128</v>
      </c>
      <c r="M10" s="18">
        <f t="shared" si="2"/>
        <v>0.152</v>
      </c>
      <c r="N10" s="18">
        <f t="shared" si="2"/>
        <v>9.6000000000000002E-2</v>
      </c>
      <c r="O10" s="18">
        <f t="shared" si="2"/>
        <v>1.6E-2</v>
      </c>
      <c r="P10" s="18">
        <f t="shared" si="2"/>
        <v>0</v>
      </c>
      <c r="Q10" s="18">
        <f t="shared" si="2"/>
        <v>0</v>
      </c>
      <c r="U10" s="15" t="s">
        <v>2751</v>
      </c>
      <c r="X10">
        <v>2</v>
      </c>
      <c r="Y10">
        <v>3</v>
      </c>
      <c r="Z10">
        <v>2</v>
      </c>
      <c r="AA10">
        <v>4</v>
      </c>
      <c r="AB10">
        <v>1</v>
      </c>
      <c r="AC10">
        <v>3</v>
      </c>
      <c r="AF10">
        <v>1</v>
      </c>
      <c r="AG10">
        <v>1</v>
      </c>
      <c r="AI10">
        <v>17</v>
      </c>
    </row>
    <row r="11" spans="1:35" x14ac:dyDescent="0.3">
      <c r="A11" s="65" t="s">
        <v>2781</v>
      </c>
      <c r="B11" s="16">
        <v>0</v>
      </c>
      <c r="C11" s="16">
        <v>0</v>
      </c>
      <c r="D11" s="16">
        <v>2</v>
      </c>
      <c r="E11" s="30">
        <v>3</v>
      </c>
      <c r="F11" s="30">
        <v>10</v>
      </c>
      <c r="G11" s="30">
        <v>13</v>
      </c>
      <c r="H11" s="16">
        <v>15</v>
      </c>
      <c r="I11" s="16">
        <v>16</v>
      </c>
      <c r="J11" s="16">
        <v>23</v>
      </c>
      <c r="K11" s="25">
        <v>45</v>
      </c>
      <c r="L11" s="16">
        <v>19</v>
      </c>
      <c r="M11" s="16">
        <v>23</v>
      </c>
      <c r="N11" s="16">
        <v>15</v>
      </c>
      <c r="O11" s="16">
        <v>5</v>
      </c>
      <c r="P11" s="16">
        <v>0</v>
      </c>
      <c r="Q11" s="16">
        <v>1</v>
      </c>
      <c r="R11">
        <v>190</v>
      </c>
      <c r="U11" s="15" t="s">
        <v>2753</v>
      </c>
      <c r="Z11">
        <v>1</v>
      </c>
      <c r="AI11">
        <v>1</v>
      </c>
    </row>
    <row r="12" spans="1:35" x14ac:dyDescent="0.3">
      <c r="A12" s="65"/>
      <c r="B12" s="21">
        <f t="shared" ref="B12:Q12" si="3">B11/$R11</f>
        <v>0</v>
      </c>
      <c r="C12" s="18">
        <f t="shared" si="3"/>
        <v>0</v>
      </c>
      <c r="D12" s="18">
        <f t="shared" si="3"/>
        <v>1.0526315789473684E-2</v>
      </c>
      <c r="E12" s="31">
        <f t="shared" si="3"/>
        <v>1.5789473684210527E-2</v>
      </c>
      <c r="F12" s="31">
        <f t="shared" si="3"/>
        <v>5.2631578947368418E-2</v>
      </c>
      <c r="G12" s="31">
        <f t="shared" si="3"/>
        <v>6.8421052631578952E-2</v>
      </c>
      <c r="H12" s="18">
        <f t="shared" si="3"/>
        <v>7.8947368421052627E-2</v>
      </c>
      <c r="I12" s="18">
        <f t="shared" si="3"/>
        <v>8.4210526315789472E-2</v>
      </c>
      <c r="J12" s="18">
        <f t="shared" si="3"/>
        <v>0.12105263157894737</v>
      </c>
      <c r="K12" s="40">
        <f t="shared" si="3"/>
        <v>0.23684210526315788</v>
      </c>
      <c r="L12" s="18">
        <f t="shared" si="3"/>
        <v>0.1</v>
      </c>
      <c r="M12" s="18">
        <f t="shared" si="3"/>
        <v>0.12105263157894737</v>
      </c>
      <c r="N12" s="18">
        <f t="shared" si="3"/>
        <v>7.8947368421052627E-2</v>
      </c>
      <c r="O12" s="18">
        <f t="shared" si="3"/>
        <v>2.6315789473684209E-2</v>
      </c>
      <c r="P12" s="18">
        <f t="shared" si="3"/>
        <v>0</v>
      </c>
      <c r="Q12" s="18">
        <f t="shared" si="3"/>
        <v>5.263157894736842E-3</v>
      </c>
      <c r="U12" s="15" t="s">
        <v>2752</v>
      </c>
      <c r="AA12">
        <v>1</v>
      </c>
      <c r="AI12">
        <v>1</v>
      </c>
    </row>
    <row r="13" spans="1:35" x14ac:dyDescent="0.3">
      <c r="U13" s="15" t="s">
        <v>2754</v>
      </c>
      <c r="V13">
        <v>1</v>
      </c>
      <c r="W13">
        <v>2</v>
      </c>
      <c r="X13">
        <v>3</v>
      </c>
      <c r="Y13">
        <v>4</v>
      </c>
      <c r="Z13">
        <v>10</v>
      </c>
      <c r="AA13">
        <v>6</v>
      </c>
      <c r="AB13">
        <v>16</v>
      </c>
      <c r="AC13">
        <v>34</v>
      </c>
      <c r="AD13">
        <v>16</v>
      </c>
      <c r="AE13">
        <v>19</v>
      </c>
      <c r="AF13">
        <v>12</v>
      </c>
      <c r="AG13">
        <v>2</v>
      </c>
      <c r="AI13">
        <v>125</v>
      </c>
    </row>
    <row r="14" spans="1:35" x14ac:dyDescent="0.3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U14" s="15" t="s">
        <v>2700</v>
      </c>
      <c r="V14">
        <v>2</v>
      </c>
      <c r="W14">
        <v>3</v>
      </c>
      <c r="X14">
        <v>10</v>
      </c>
      <c r="Y14">
        <v>13</v>
      </c>
      <c r="Z14">
        <v>15</v>
      </c>
      <c r="AA14">
        <v>16</v>
      </c>
      <c r="AB14">
        <v>23</v>
      </c>
      <c r="AC14">
        <v>45</v>
      </c>
      <c r="AD14">
        <v>19</v>
      </c>
      <c r="AE14">
        <v>23</v>
      </c>
      <c r="AF14">
        <v>15</v>
      </c>
      <c r="AG14">
        <v>5</v>
      </c>
      <c r="AH14">
        <v>1</v>
      </c>
      <c r="AI14">
        <v>190</v>
      </c>
    </row>
    <row r="15" spans="1:35" x14ac:dyDescent="0.3">
      <c r="A15" t="s">
        <v>2759</v>
      </c>
      <c r="B15">
        <v>0</v>
      </c>
      <c r="C15">
        <v>0</v>
      </c>
      <c r="D15">
        <v>1</v>
      </c>
      <c r="E15">
        <v>1</v>
      </c>
      <c r="F15">
        <v>5</v>
      </c>
      <c r="G15">
        <v>6</v>
      </c>
      <c r="H15">
        <v>2</v>
      </c>
      <c r="I15">
        <f>SUM(B15:H15)</f>
        <v>15</v>
      </c>
    </row>
    <row r="16" spans="1:35" x14ac:dyDescent="0.3">
      <c r="B16" s="13">
        <f>B15/$I15</f>
        <v>0</v>
      </c>
      <c r="C16" s="13">
        <f t="shared" ref="C16:H16" si="4">C15/$I15</f>
        <v>0</v>
      </c>
      <c r="D16" s="13">
        <f t="shared" si="4"/>
        <v>6.6666666666666666E-2</v>
      </c>
      <c r="E16" s="13">
        <f t="shared" si="4"/>
        <v>6.6666666666666666E-2</v>
      </c>
      <c r="F16" s="13">
        <f t="shared" si="4"/>
        <v>0.33333333333333331</v>
      </c>
      <c r="G16" s="13">
        <f t="shared" si="4"/>
        <v>0.4</v>
      </c>
      <c r="H16" s="13">
        <f t="shared" si="4"/>
        <v>0.13333333333333333</v>
      </c>
    </row>
    <row r="17" spans="1:36" x14ac:dyDescent="0.3">
      <c r="A17" t="s">
        <v>2751</v>
      </c>
      <c r="B17">
        <v>0</v>
      </c>
      <c r="C17">
        <v>0</v>
      </c>
      <c r="D17">
        <v>0</v>
      </c>
      <c r="E17">
        <v>0</v>
      </c>
      <c r="F17">
        <v>2</v>
      </c>
      <c r="G17">
        <v>3</v>
      </c>
      <c r="H17">
        <v>2</v>
      </c>
      <c r="I17">
        <f>SUM(B17:H17)</f>
        <v>7</v>
      </c>
    </row>
    <row r="18" spans="1:36" x14ac:dyDescent="0.3">
      <c r="B18" s="13">
        <f>B17/$I17</f>
        <v>0</v>
      </c>
      <c r="C18" s="13">
        <f t="shared" ref="C18" si="5">C17/$I17</f>
        <v>0</v>
      </c>
      <c r="D18" s="13">
        <f t="shared" ref="D18" si="6">D17/$I17</f>
        <v>0</v>
      </c>
      <c r="E18" s="13">
        <f t="shared" ref="E18" si="7">E17/$I17</f>
        <v>0</v>
      </c>
      <c r="F18" s="13">
        <f t="shared" ref="F18" si="8">F17/$I17</f>
        <v>0.2857142857142857</v>
      </c>
      <c r="G18" s="13">
        <f t="shared" ref="G18" si="9">G17/$I17</f>
        <v>0.42857142857142855</v>
      </c>
      <c r="H18" s="13">
        <f t="shared" ref="H18" si="10">H17/$I17</f>
        <v>0.2857142857142857</v>
      </c>
      <c r="AD18" s="41"/>
    </row>
    <row r="19" spans="1:36" x14ac:dyDescent="0.3">
      <c r="A19" t="s">
        <v>2783</v>
      </c>
      <c r="B19">
        <v>0</v>
      </c>
      <c r="C19">
        <v>0</v>
      </c>
      <c r="D19">
        <v>1</v>
      </c>
      <c r="E19">
        <v>2</v>
      </c>
      <c r="F19">
        <v>3</v>
      </c>
      <c r="G19">
        <v>4</v>
      </c>
      <c r="H19">
        <v>11</v>
      </c>
      <c r="I19">
        <f>SUM(B19:H19)</f>
        <v>21</v>
      </c>
    </row>
    <row r="20" spans="1:36" x14ac:dyDescent="0.3">
      <c r="B20" s="13">
        <f>B19/$I19</f>
        <v>0</v>
      </c>
      <c r="C20" s="13">
        <f t="shared" ref="C20" si="11">C19/$I19</f>
        <v>0</v>
      </c>
      <c r="D20" s="13">
        <f t="shared" ref="D20" si="12">D19/$I19</f>
        <v>4.7619047619047616E-2</v>
      </c>
      <c r="E20" s="13">
        <f t="shared" ref="E20" si="13">E19/$I19</f>
        <v>9.5238095238095233E-2</v>
      </c>
      <c r="F20" s="13">
        <f t="shared" ref="F20" si="14">F19/$I19</f>
        <v>0.14285714285714285</v>
      </c>
      <c r="G20" s="13">
        <f t="shared" ref="G20" si="15">G19/$I19</f>
        <v>0.19047619047619047</v>
      </c>
      <c r="H20" s="13">
        <f t="shared" ref="H20" si="16">H19/$I19</f>
        <v>0.52380952380952384</v>
      </c>
    </row>
    <row r="21" spans="1:36" x14ac:dyDescent="0.3">
      <c r="A21" t="s">
        <v>2781</v>
      </c>
      <c r="B21">
        <v>0</v>
      </c>
      <c r="C21">
        <v>0</v>
      </c>
      <c r="D21">
        <v>2</v>
      </c>
      <c r="E21">
        <v>3</v>
      </c>
      <c r="F21">
        <v>10</v>
      </c>
      <c r="G21">
        <v>13</v>
      </c>
      <c r="H21">
        <v>15</v>
      </c>
      <c r="I21">
        <f>SUM(B21:H21)</f>
        <v>43</v>
      </c>
      <c r="AB21" s="13" t="s">
        <v>2698</v>
      </c>
      <c r="AD21" s="13"/>
      <c r="AE21" t="s">
        <v>2842</v>
      </c>
      <c r="AH21" t="s">
        <v>2844</v>
      </c>
    </row>
    <row r="22" spans="1:36" x14ac:dyDescent="0.3">
      <c r="B22" s="13">
        <f>B21/$I21</f>
        <v>0</v>
      </c>
      <c r="C22" s="13">
        <f t="shared" ref="C22" si="17">C21/$I21</f>
        <v>0</v>
      </c>
      <c r="D22" s="13">
        <f t="shared" ref="D22" si="18">D21/$I21</f>
        <v>4.6511627906976744E-2</v>
      </c>
      <c r="E22" s="13">
        <f t="shared" ref="E22" si="19">E21/$I21</f>
        <v>6.9767441860465115E-2</v>
      </c>
      <c r="F22" s="13">
        <f t="shared" ref="F22" si="20">F21/$I21</f>
        <v>0.23255813953488372</v>
      </c>
      <c r="G22" s="13">
        <f t="shared" ref="G22" si="21">G21/$I21</f>
        <v>0.30232558139534882</v>
      </c>
      <c r="H22" s="13">
        <f t="shared" ref="H22" si="22">H21/$I21</f>
        <v>0.34883720930232559</v>
      </c>
      <c r="AB22" s="13" t="s">
        <v>2840</v>
      </c>
      <c r="AC22" t="s">
        <v>2841</v>
      </c>
      <c r="AD22" s="13"/>
      <c r="AE22" s="13" t="s">
        <v>2840</v>
      </c>
      <c r="AF22" t="s">
        <v>2841</v>
      </c>
      <c r="AG22" s="13" t="s">
        <v>2843</v>
      </c>
      <c r="AH22" s="13" t="s">
        <v>2840</v>
      </c>
      <c r="AI22" t="s">
        <v>2841</v>
      </c>
      <c r="AJ22" s="13" t="s">
        <v>2843</v>
      </c>
    </row>
    <row r="23" spans="1:36" x14ac:dyDescent="0.3">
      <c r="A23" t="s">
        <v>2803</v>
      </c>
      <c r="B23">
        <v>0</v>
      </c>
      <c r="C23">
        <v>1</v>
      </c>
      <c r="D23">
        <v>20</v>
      </c>
      <c r="E23">
        <v>16</v>
      </c>
      <c r="F23">
        <v>16</v>
      </c>
      <c r="G23">
        <v>5</v>
      </c>
      <c r="H23">
        <v>2</v>
      </c>
      <c r="I23">
        <f>SUM(B23:H23)</f>
        <v>60</v>
      </c>
      <c r="X23" t="s">
        <v>2837</v>
      </c>
      <c r="AB23" s="13">
        <f>(SUM(D3:F3)+SUM(E28:F28))/(R3+R28)</f>
        <v>0.19211822660098521</v>
      </c>
      <c r="AC23" s="13">
        <f>(SUM(D3:G3)+SUM(E28:G28))/(R3+R28)</f>
        <v>0.38423645320197042</v>
      </c>
      <c r="AD23" s="13">
        <f>AVERAGEA(AB23:AC23)</f>
        <v>0.28817733990147781</v>
      </c>
      <c r="AE23" s="42">
        <f>SUM(E29:F29)</f>
        <v>0.20382165605095542</v>
      </c>
      <c r="AF23" s="42">
        <f>SUM(E29:G29)</f>
        <v>0.4140127388535032</v>
      </c>
      <c r="AG23" s="13">
        <f>AVERAGEA(AE23:AF23)</f>
        <v>0.30891719745222934</v>
      </c>
      <c r="AH23" s="42">
        <f>SUM(D4:F4)</f>
        <v>0.15217391304347827</v>
      </c>
      <c r="AI23" s="42">
        <f>SUM(D4:G4)</f>
        <v>0.28260869565217395</v>
      </c>
      <c r="AJ23" s="13">
        <f>AVERAGEA(AH23:AI23)</f>
        <v>0.21739130434782611</v>
      </c>
    </row>
    <row r="24" spans="1:36" x14ac:dyDescent="0.3">
      <c r="B24" s="13">
        <f>B23/$I23</f>
        <v>0</v>
      </c>
      <c r="C24" s="13">
        <f t="shared" ref="C24:H24" si="23">C23/$I23</f>
        <v>1.6666666666666666E-2</v>
      </c>
      <c r="D24" s="13">
        <f t="shared" si="23"/>
        <v>0.33333333333333331</v>
      </c>
      <c r="E24" s="13">
        <f t="shared" si="23"/>
        <v>0.26666666666666666</v>
      </c>
      <c r="F24" s="13">
        <f t="shared" si="23"/>
        <v>0.26666666666666666</v>
      </c>
      <c r="G24" s="13">
        <f t="shared" si="23"/>
        <v>8.3333333333333329E-2</v>
      </c>
      <c r="H24" s="13">
        <f t="shared" si="23"/>
        <v>3.3333333333333333E-2</v>
      </c>
      <c r="T24" t="s">
        <v>2784</v>
      </c>
      <c r="X24" t="s">
        <v>2751</v>
      </c>
      <c r="AB24" s="13">
        <f>(SUM(D5:F5)+SUM(E30:F30))/(R5+R30)</f>
        <v>7.0796460176991149E-2</v>
      </c>
      <c r="AC24" s="13">
        <f>(SUM(D5:G5)+SUM(E30:G30))/(R5+R30)</f>
        <v>0.27433628318584069</v>
      </c>
      <c r="AD24" s="13">
        <f t="shared" ref="AD24:AD26" si="24">AVERAGEA(AB24:AC24)</f>
        <v>0.17256637168141592</v>
      </c>
      <c r="AE24" s="42">
        <f>SUM(E31:F31)</f>
        <v>6.25E-2</v>
      </c>
      <c r="AF24" s="42">
        <f>SUM(E31:G31)</f>
        <v>0.27083333333333337</v>
      </c>
      <c r="AG24" s="13">
        <f t="shared" ref="AG24:AG26" si="25">AVERAGEA(AE24:AF24)</f>
        <v>0.16666666666666669</v>
      </c>
      <c r="AH24" s="42">
        <f>SUM(D6:F6)</f>
        <v>0.11764705882352941</v>
      </c>
      <c r="AI24" s="42">
        <f>SUM(D6:G6)</f>
        <v>0.29411764705882354</v>
      </c>
      <c r="AJ24" s="13">
        <f t="shared" ref="AJ24:AJ26" si="26">AVERAGEA(AH24:AI24)</f>
        <v>0.20588235294117646</v>
      </c>
    </row>
    <row r="25" spans="1:36" x14ac:dyDescent="0.3">
      <c r="T25" t="s">
        <v>2785</v>
      </c>
      <c r="U25" t="s">
        <v>2786</v>
      </c>
      <c r="X25" t="s">
        <v>2838</v>
      </c>
      <c r="AB25" s="13">
        <f>(SUM(D7:F7)+SUM(E34:F34))/(R7+R34)</f>
        <v>0.10536779324055666</v>
      </c>
      <c r="AC25" s="13">
        <f>(SUM(D7:G7)+SUM(E34:G34))/(R7+R34)</f>
        <v>0.27037773359840955</v>
      </c>
      <c r="AD25" s="13">
        <f t="shared" si="24"/>
        <v>0.18787276341948311</v>
      </c>
      <c r="AE25" s="42">
        <f>SUM(E35:F35)</f>
        <v>0.125</v>
      </c>
      <c r="AF25" s="42">
        <f>SUM(E33:G33)</f>
        <v>0.1875</v>
      </c>
      <c r="AG25" s="13">
        <f t="shared" si="25"/>
        <v>0.15625</v>
      </c>
      <c r="AH25" s="42">
        <f>SUM(D8:F8)</f>
        <v>4.7244094488188976E-2</v>
      </c>
      <c r="AI25" s="42">
        <f>SUM(D8:G8)</f>
        <v>7.874015748031496E-2</v>
      </c>
      <c r="AJ25" s="13">
        <f t="shared" si="26"/>
        <v>6.2992125984251968E-2</v>
      </c>
    </row>
    <row r="26" spans="1:36" x14ac:dyDescent="0.3">
      <c r="A26" s="64" t="s">
        <v>2702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T26">
        <f>AVERAGEA(SUM($H29:$Q29),SUM($H31:$Q31),SUM($H33:$Q33),SUM($H35:$Q35))</f>
        <v>0.66650644283326554</v>
      </c>
      <c r="U26">
        <f>_xlfn.STDEV.S(SUM($H29:$Q29),SUM($H31:$Q31),SUM($H33:$Q33),SUM($H35:$Q35))</f>
        <v>0.12734529856667556</v>
      </c>
      <c r="X26" t="s">
        <v>2839</v>
      </c>
      <c r="AB26" s="13">
        <f>(SUM(D11:F11)+SUM(E36:F36))/(R11+R36)</f>
        <v>0.11976047904191617</v>
      </c>
      <c r="AC26" s="13">
        <f>(SUM(D11:G11)+SUM(E36:G36))/(R11+R36)</f>
        <v>0.29700598802395212</v>
      </c>
      <c r="AD26" s="13">
        <f t="shared" si="24"/>
        <v>0.20838323353293414</v>
      </c>
      <c r="AE26" s="42">
        <f>SUM(E37:F37)</f>
        <v>0.13178294573643412</v>
      </c>
      <c r="AF26" s="42">
        <f>SUM(E35:G35)</f>
        <v>0.33510638297872342</v>
      </c>
      <c r="AG26" s="13">
        <f t="shared" si="25"/>
        <v>0.23344466435757877</v>
      </c>
      <c r="AH26" s="42">
        <f>SUM(D12:F12)</f>
        <v>7.8947368421052627E-2</v>
      </c>
      <c r="AI26" s="42">
        <f>SUM(D12:G12)</f>
        <v>0.14736842105263159</v>
      </c>
      <c r="AJ26" s="13">
        <f t="shared" si="26"/>
        <v>0.11315789473684211</v>
      </c>
    </row>
    <row r="27" spans="1:36" x14ac:dyDescent="0.3">
      <c r="A27" t="s">
        <v>2782</v>
      </c>
      <c r="B27" s="16">
        <v>1</v>
      </c>
      <c r="C27" s="16">
        <v>2</v>
      </c>
      <c r="D27" s="16">
        <v>3</v>
      </c>
      <c r="E27">
        <v>4</v>
      </c>
      <c r="F27">
        <v>5</v>
      </c>
      <c r="G27">
        <v>6</v>
      </c>
      <c r="H27" s="26">
        <v>7</v>
      </c>
      <c r="I27" s="16">
        <v>8</v>
      </c>
      <c r="J27" s="16">
        <v>9</v>
      </c>
      <c r="K27" s="16">
        <v>10</v>
      </c>
      <c r="L27" s="16">
        <v>11</v>
      </c>
      <c r="M27" s="16">
        <v>12</v>
      </c>
      <c r="N27" s="16">
        <v>13</v>
      </c>
      <c r="O27" s="16">
        <v>14</v>
      </c>
      <c r="P27" s="16">
        <v>15</v>
      </c>
      <c r="Q27" s="16">
        <v>16</v>
      </c>
      <c r="AD27" s="13">
        <f>AVEDEV(AD23:AD25)</f>
        <v>4.7981232156012577E-2</v>
      </c>
      <c r="AG27" s="13">
        <f>AVEDEV(AG23:AG25)</f>
        <v>6.5537272941731561E-2</v>
      </c>
      <c r="AH27" s="42"/>
      <c r="AJ27" s="13">
        <f>AVEDEV(AJ23:AJ25)</f>
        <v>6.6064312293444144E-2</v>
      </c>
    </row>
    <row r="28" spans="1:36" x14ac:dyDescent="0.3">
      <c r="A28" s="39" t="s">
        <v>2750</v>
      </c>
      <c r="B28" s="16">
        <v>0</v>
      </c>
      <c r="C28" s="16">
        <v>3</v>
      </c>
      <c r="D28" s="16">
        <v>9</v>
      </c>
      <c r="E28">
        <v>15</v>
      </c>
      <c r="F28">
        <v>17</v>
      </c>
      <c r="G28">
        <v>33</v>
      </c>
      <c r="H28" s="26">
        <v>37</v>
      </c>
      <c r="I28" s="16">
        <v>25</v>
      </c>
      <c r="J28" s="16">
        <v>14</v>
      </c>
      <c r="K28" s="16">
        <v>4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f>SUM(B28:Q28)</f>
        <v>157</v>
      </c>
      <c r="AH28" s="42"/>
    </row>
    <row r="29" spans="1:36" x14ac:dyDescent="0.3">
      <c r="A29" s="39"/>
      <c r="B29" s="18">
        <f>B28/$R28</f>
        <v>0</v>
      </c>
      <c r="C29" s="18">
        <f t="shared" ref="C29:P33" si="27">C28/$R28</f>
        <v>1.9108280254777069E-2</v>
      </c>
      <c r="D29" s="18">
        <f t="shared" si="27"/>
        <v>5.7324840764331211E-2</v>
      </c>
      <c r="E29" s="13">
        <f t="shared" si="27"/>
        <v>9.5541401273885357E-2</v>
      </c>
      <c r="F29" s="13">
        <f t="shared" si="27"/>
        <v>0.10828025477707007</v>
      </c>
      <c r="G29" s="28">
        <f t="shared" si="27"/>
        <v>0.21019108280254778</v>
      </c>
      <c r="H29" s="27">
        <f t="shared" si="27"/>
        <v>0.2356687898089172</v>
      </c>
      <c r="I29" s="18">
        <f t="shared" si="27"/>
        <v>0.15923566878980891</v>
      </c>
      <c r="J29" s="18">
        <f t="shared" si="27"/>
        <v>8.9171974522292988E-2</v>
      </c>
      <c r="K29" s="18">
        <f t="shared" si="27"/>
        <v>2.5477707006369428E-2</v>
      </c>
      <c r="L29" s="18">
        <f t="shared" si="27"/>
        <v>0</v>
      </c>
      <c r="M29" s="18">
        <f t="shared" si="27"/>
        <v>0</v>
      </c>
      <c r="N29" s="18">
        <f t="shared" si="27"/>
        <v>0</v>
      </c>
      <c r="O29" s="18">
        <f t="shared" si="27"/>
        <v>0</v>
      </c>
      <c r="P29" s="18">
        <f t="shared" si="27"/>
        <v>0</v>
      </c>
      <c r="Q29" s="18">
        <f t="shared" ref="Q29:Q31" si="28">Q28/$R28</f>
        <v>0</v>
      </c>
      <c r="AH29" s="42"/>
    </row>
    <row r="30" spans="1:36" x14ac:dyDescent="0.3">
      <c r="A30" s="24" t="s">
        <v>2751</v>
      </c>
      <c r="B30" s="20">
        <v>0</v>
      </c>
      <c r="C30" s="20">
        <v>0</v>
      </c>
      <c r="D30" s="20">
        <v>2</v>
      </c>
      <c r="E30" s="36">
        <v>2</v>
      </c>
      <c r="F30" s="36">
        <v>4</v>
      </c>
      <c r="G30" s="37">
        <v>20</v>
      </c>
      <c r="H30" s="29">
        <v>32</v>
      </c>
      <c r="I30" s="20">
        <v>18</v>
      </c>
      <c r="J30" s="20">
        <v>13</v>
      </c>
      <c r="K30" s="20">
        <v>3</v>
      </c>
      <c r="L30" s="20">
        <v>2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16">
        <f>SUM(B30:Q30)</f>
        <v>96</v>
      </c>
    </row>
    <row r="31" spans="1:36" x14ac:dyDescent="0.3">
      <c r="A31" s="24"/>
      <c r="B31" s="18">
        <f>B30/$R30</f>
        <v>0</v>
      </c>
      <c r="C31" s="18">
        <f t="shared" si="27"/>
        <v>0</v>
      </c>
      <c r="D31" s="18">
        <f t="shared" si="27"/>
        <v>2.0833333333333332E-2</v>
      </c>
      <c r="E31" s="13">
        <f t="shared" si="27"/>
        <v>2.0833333333333332E-2</v>
      </c>
      <c r="F31" s="13">
        <f t="shared" si="27"/>
        <v>4.1666666666666664E-2</v>
      </c>
      <c r="G31" s="28">
        <f t="shared" si="27"/>
        <v>0.20833333333333334</v>
      </c>
      <c r="H31" s="27">
        <f t="shared" si="27"/>
        <v>0.33333333333333331</v>
      </c>
      <c r="I31" s="18">
        <f t="shared" si="27"/>
        <v>0.1875</v>
      </c>
      <c r="J31" s="18">
        <f t="shared" si="27"/>
        <v>0.13541666666666666</v>
      </c>
      <c r="K31" s="18">
        <f t="shared" si="27"/>
        <v>3.125E-2</v>
      </c>
      <c r="L31" s="18">
        <f t="shared" si="27"/>
        <v>2.0833333333333332E-2</v>
      </c>
      <c r="M31" s="18">
        <f t="shared" si="27"/>
        <v>0</v>
      </c>
      <c r="N31" s="18">
        <f t="shared" si="27"/>
        <v>0</v>
      </c>
      <c r="O31" s="18">
        <f t="shared" si="27"/>
        <v>0</v>
      </c>
      <c r="P31" s="18">
        <f t="shared" si="27"/>
        <v>0</v>
      </c>
      <c r="Q31" s="18">
        <f t="shared" si="28"/>
        <v>0</v>
      </c>
    </row>
    <row r="32" spans="1:36" ht="15" customHeight="1" x14ac:dyDescent="0.3">
      <c r="A32" s="38" t="s">
        <v>2776</v>
      </c>
      <c r="B32" s="16">
        <v>0</v>
      </c>
      <c r="C32" s="16">
        <v>0</v>
      </c>
      <c r="D32" s="16">
        <v>0</v>
      </c>
      <c r="E32">
        <v>0</v>
      </c>
      <c r="F32">
        <v>0</v>
      </c>
      <c r="G32">
        <v>3</v>
      </c>
      <c r="H32" s="26">
        <v>5</v>
      </c>
      <c r="I32" s="16">
        <v>7</v>
      </c>
      <c r="J32" s="16">
        <v>1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>
        <f>SUM(B32:Q32)</f>
        <v>16</v>
      </c>
    </row>
    <row r="33" spans="1:20" x14ac:dyDescent="0.3">
      <c r="A33" s="38"/>
      <c r="B33" s="18">
        <f>B32/$R32</f>
        <v>0</v>
      </c>
      <c r="C33" s="18">
        <f t="shared" si="27"/>
        <v>0</v>
      </c>
      <c r="D33" s="18">
        <f t="shared" si="27"/>
        <v>0</v>
      </c>
      <c r="E33" s="13">
        <f t="shared" si="27"/>
        <v>0</v>
      </c>
      <c r="F33" s="13">
        <f t="shared" si="27"/>
        <v>0</v>
      </c>
      <c r="G33" s="28">
        <f t="shared" si="27"/>
        <v>0.1875</v>
      </c>
      <c r="H33" s="27">
        <f t="shared" si="27"/>
        <v>0.3125</v>
      </c>
      <c r="I33" s="18">
        <f t="shared" si="27"/>
        <v>0.4375</v>
      </c>
      <c r="J33" s="18">
        <f t="shared" si="27"/>
        <v>6.25E-2</v>
      </c>
      <c r="K33" s="18">
        <f t="shared" si="27"/>
        <v>0</v>
      </c>
      <c r="L33" s="18">
        <f t="shared" si="27"/>
        <v>0</v>
      </c>
      <c r="M33" s="18">
        <f t="shared" si="27"/>
        <v>0</v>
      </c>
      <c r="N33" s="18">
        <f t="shared" si="27"/>
        <v>0</v>
      </c>
      <c r="O33" s="18">
        <f t="shared" si="27"/>
        <v>0</v>
      </c>
      <c r="P33" s="18">
        <f t="shared" si="27"/>
        <v>0</v>
      </c>
      <c r="Q33" s="18">
        <f t="shared" ref="Q33" si="29">Q32/$R32</f>
        <v>0</v>
      </c>
    </row>
    <row r="34" spans="1:20" ht="28.8" x14ac:dyDescent="0.3">
      <c r="A34" s="38" t="s">
        <v>2780</v>
      </c>
      <c r="B34" s="16">
        <v>1</v>
      </c>
      <c r="C34" s="16">
        <v>4</v>
      </c>
      <c r="D34" s="16">
        <v>6</v>
      </c>
      <c r="E34">
        <v>15</v>
      </c>
      <c r="F34">
        <v>32</v>
      </c>
      <c r="G34">
        <v>79</v>
      </c>
      <c r="H34" s="26">
        <v>103</v>
      </c>
      <c r="I34" s="16">
        <v>74</v>
      </c>
      <c r="J34" s="16">
        <v>45</v>
      </c>
      <c r="K34" s="16">
        <v>12</v>
      </c>
      <c r="L34" s="16">
        <v>2</v>
      </c>
      <c r="M34" s="16">
        <v>3</v>
      </c>
      <c r="N34" s="16">
        <v>0</v>
      </c>
      <c r="O34" s="16">
        <v>0</v>
      </c>
      <c r="P34" s="16">
        <v>0</v>
      </c>
      <c r="Q34" s="16">
        <v>0</v>
      </c>
      <c r="R34">
        <f>SUM(B34:Q34)</f>
        <v>376</v>
      </c>
    </row>
    <row r="35" spans="1:20" x14ac:dyDescent="0.3">
      <c r="A35" s="38"/>
      <c r="B35" s="18">
        <f t="shared" ref="B35:K35" si="30">B34/$R34</f>
        <v>2.6595744680851063E-3</v>
      </c>
      <c r="C35" s="18">
        <f t="shared" si="30"/>
        <v>1.0638297872340425E-2</v>
      </c>
      <c r="D35" s="18">
        <f t="shared" si="30"/>
        <v>1.5957446808510637E-2</v>
      </c>
      <c r="E35" s="13">
        <f t="shared" si="30"/>
        <v>3.9893617021276598E-2</v>
      </c>
      <c r="F35" s="13">
        <f t="shared" si="30"/>
        <v>8.5106382978723402E-2</v>
      </c>
      <c r="G35" s="28">
        <f t="shared" si="30"/>
        <v>0.21010638297872342</v>
      </c>
      <c r="H35" s="27">
        <f t="shared" si="30"/>
        <v>0.27393617021276595</v>
      </c>
      <c r="I35" s="18">
        <f t="shared" si="30"/>
        <v>0.19680851063829788</v>
      </c>
      <c r="J35" s="18">
        <f t="shared" si="30"/>
        <v>0.11968085106382979</v>
      </c>
      <c r="K35" s="18">
        <f t="shared" si="30"/>
        <v>3.1914893617021274E-2</v>
      </c>
      <c r="L35" s="18">
        <f t="shared" ref="L35:P35" si="31">L34/$R34</f>
        <v>5.3191489361702126E-3</v>
      </c>
      <c r="M35" s="18">
        <f t="shared" si="31"/>
        <v>7.9787234042553185E-3</v>
      </c>
      <c r="N35" s="18">
        <f t="shared" si="31"/>
        <v>0</v>
      </c>
      <c r="O35" s="18">
        <f t="shared" si="31"/>
        <v>0</v>
      </c>
      <c r="P35" s="18">
        <f t="shared" si="31"/>
        <v>0</v>
      </c>
      <c r="Q35" s="18">
        <f t="shared" ref="Q35" si="32">Q34/$R34</f>
        <v>0</v>
      </c>
    </row>
    <row r="36" spans="1:20" x14ac:dyDescent="0.3">
      <c r="A36" s="19" t="s">
        <v>2781</v>
      </c>
      <c r="B36" s="16">
        <v>1</v>
      </c>
      <c r="C36" s="16">
        <v>7</v>
      </c>
      <c r="D36" s="16">
        <v>17</v>
      </c>
      <c r="E36">
        <v>32</v>
      </c>
      <c r="F36">
        <v>53</v>
      </c>
      <c r="G36">
        <v>135</v>
      </c>
      <c r="H36" s="26">
        <v>177</v>
      </c>
      <c r="I36" s="16">
        <v>124</v>
      </c>
      <c r="J36" s="16">
        <v>73</v>
      </c>
      <c r="K36" s="16">
        <v>19</v>
      </c>
      <c r="L36" s="16">
        <v>4</v>
      </c>
      <c r="M36" s="16">
        <v>3</v>
      </c>
      <c r="N36" s="16">
        <v>0</v>
      </c>
      <c r="O36" s="16">
        <v>0</v>
      </c>
      <c r="P36" s="16">
        <v>0</v>
      </c>
      <c r="Q36" s="16">
        <v>0</v>
      </c>
      <c r="R36">
        <v>645</v>
      </c>
    </row>
    <row r="37" spans="1:20" x14ac:dyDescent="0.3">
      <c r="A37" s="19"/>
      <c r="B37" s="18">
        <f t="shared" ref="B37:Q37" si="33">B36/$R36</f>
        <v>1.5503875968992248E-3</v>
      </c>
      <c r="C37" s="18">
        <f t="shared" si="33"/>
        <v>1.0852713178294573E-2</v>
      </c>
      <c r="D37" s="18">
        <f t="shared" si="33"/>
        <v>2.6356589147286821E-2</v>
      </c>
      <c r="E37" s="13">
        <f t="shared" si="33"/>
        <v>4.9612403100775193E-2</v>
      </c>
      <c r="F37" s="13">
        <f t="shared" si="33"/>
        <v>8.2170542635658914E-2</v>
      </c>
      <c r="G37" s="28">
        <f t="shared" si="33"/>
        <v>0.20930232558139536</v>
      </c>
      <c r="H37" s="27">
        <f t="shared" si="33"/>
        <v>0.2744186046511628</v>
      </c>
      <c r="I37" s="18">
        <f t="shared" si="33"/>
        <v>0.19224806201550387</v>
      </c>
      <c r="J37" s="18">
        <f t="shared" si="33"/>
        <v>0.11317829457364341</v>
      </c>
      <c r="K37" s="18">
        <f t="shared" si="33"/>
        <v>2.9457364341085271E-2</v>
      </c>
      <c r="L37" s="18">
        <f t="shared" si="33"/>
        <v>6.2015503875968991E-3</v>
      </c>
      <c r="M37" s="18">
        <f t="shared" si="33"/>
        <v>4.6511627906976744E-3</v>
      </c>
      <c r="N37" s="18">
        <f t="shared" si="33"/>
        <v>0</v>
      </c>
      <c r="O37" s="18">
        <f t="shared" si="33"/>
        <v>0</v>
      </c>
      <c r="P37" s="18">
        <f t="shared" si="33"/>
        <v>0</v>
      </c>
      <c r="Q37" s="18">
        <f t="shared" si="33"/>
        <v>0</v>
      </c>
    </row>
    <row r="40" spans="1:20" x14ac:dyDescent="0.3">
      <c r="A40" t="s">
        <v>2854</v>
      </c>
    </row>
    <row r="41" spans="1:20" s="13" customFormat="1" x14ac:dyDescent="0.3">
      <c r="A41" t="s">
        <v>2853</v>
      </c>
      <c r="B41" s="19">
        <v>1</v>
      </c>
      <c r="C41" s="19">
        <v>2</v>
      </c>
      <c r="D41" s="19">
        <v>3</v>
      </c>
      <c r="E41" s="19">
        <v>4</v>
      </c>
      <c r="F41" s="19">
        <v>5</v>
      </c>
      <c r="G41" s="19">
        <v>6</v>
      </c>
      <c r="H41" s="44">
        <v>7</v>
      </c>
      <c r="I41" s="19">
        <v>8</v>
      </c>
      <c r="J41" s="19">
        <v>9</v>
      </c>
      <c r="K41" s="19">
        <v>10</v>
      </c>
      <c r="L41" s="19">
        <v>11</v>
      </c>
      <c r="M41" s="19">
        <v>12</v>
      </c>
      <c r="N41" s="19">
        <v>13</v>
      </c>
      <c r="O41" s="19">
        <v>14</v>
      </c>
      <c r="P41" s="19">
        <v>16</v>
      </c>
      <c r="Q41" t="s">
        <v>2700</v>
      </c>
      <c r="R41"/>
    </row>
    <row r="42" spans="1:20" x14ac:dyDescent="0.3">
      <c r="A42" s="63" t="s">
        <v>2850</v>
      </c>
      <c r="B42" s="19"/>
      <c r="C42" s="19">
        <v>3</v>
      </c>
      <c r="D42" s="19">
        <v>10</v>
      </c>
      <c r="E42" s="19">
        <v>16</v>
      </c>
      <c r="F42" s="19">
        <v>22</v>
      </c>
      <c r="G42" s="19">
        <v>39</v>
      </c>
      <c r="H42" s="44">
        <v>39</v>
      </c>
      <c r="I42" s="19">
        <v>30</v>
      </c>
      <c r="J42" s="19">
        <v>20</v>
      </c>
      <c r="K42" s="19">
        <v>12</v>
      </c>
      <c r="L42" s="19">
        <v>3</v>
      </c>
      <c r="M42" s="19">
        <v>4</v>
      </c>
      <c r="N42" s="19">
        <v>2</v>
      </c>
      <c r="O42" s="19">
        <v>2</v>
      </c>
      <c r="P42" s="19">
        <v>1</v>
      </c>
      <c r="Q42">
        <v>203</v>
      </c>
    </row>
    <row r="43" spans="1:20" s="13" customFormat="1" x14ac:dyDescent="0.3">
      <c r="A43" s="63"/>
      <c r="B43" s="43">
        <f>B42/$Q42</f>
        <v>0</v>
      </c>
      <c r="C43" s="43">
        <f t="shared" ref="C43:P43" si="34">C42/$Q42</f>
        <v>1.4778325123152709E-2</v>
      </c>
      <c r="D43" s="43">
        <f t="shared" si="34"/>
        <v>4.9261083743842367E-2</v>
      </c>
      <c r="E43" s="43">
        <f t="shared" si="34"/>
        <v>7.8817733990147784E-2</v>
      </c>
      <c r="F43" s="43">
        <f t="shared" si="34"/>
        <v>0.10837438423645321</v>
      </c>
      <c r="G43" s="43">
        <f t="shared" si="34"/>
        <v>0.19211822660098521</v>
      </c>
      <c r="H43" s="45">
        <f t="shared" si="34"/>
        <v>0.19211822660098521</v>
      </c>
      <c r="I43" s="43">
        <f t="shared" si="34"/>
        <v>0.14778325123152711</v>
      </c>
      <c r="J43" s="43">
        <f t="shared" si="34"/>
        <v>9.8522167487684734E-2</v>
      </c>
      <c r="K43" s="43">
        <f t="shared" si="34"/>
        <v>5.9113300492610835E-2</v>
      </c>
      <c r="L43" s="43">
        <f t="shared" si="34"/>
        <v>1.4778325123152709E-2</v>
      </c>
      <c r="M43" s="43">
        <f t="shared" si="34"/>
        <v>1.9704433497536946E-2</v>
      </c>
      <c r="N43" s="43">
        <f t="shared" si="34"/>
        <v>9.852216748768473E-3</v>
      </c>
      <c r="O43" s="43">
        <f t="shared" si="34"/>
        <v>9.852216748768473E-3</v>
      </c>
      <c r="P43" s="43">
        <f t="shared" si="34"/>
        <v>4.9261083743842365E-3</v>
      </c>
      <c r="S43" s="13">
        <f>SUM(H45:P45)</f>
        <v>0.70796460176991149</v>
      </c>
      <c r="T43" s="13">
        <f>_xlfn.QUARTILE.EXC(S43:S47,2)</f>
        <v>0.70796460176991149</v>
      </c>
    </row>
    <row r="44" spans="1:20" s="13" customFormat="1" x14ac:dyDescent="0.3">
      <c r="A44" s="63" t="s">
        <v>2851</v>
      </c>
      <c r="B44" s="19"/>
      <c r="C44" s="46"/>
      <c r="D44" s="46">
        <v>2</v>
      </c>
      <c r="E44" s="46">
        <v>2</v>
      </c>
      <c r="F44" s="46">
        <v>6</v>
      </c>
      <c r="G44" s="46">
        <v>23</v>
      </c>
      <c r="H44" s="47">
        <v>34</v>
      </c>
      <c r="I44" s="46">
        <v>22</v>
      </c>
      <c r="J44" s="19">
        <v>14</v>
      </c>
      <c r="K44" s="19">
        <v>6</v>
      </c>
      <c r="L44" s="19">
        <v>2</v>
      </c>
      <c r="M44" s="19"/>
      <c r="N44" s="19">
        <v>1</v>
      </c>
      <c r="O44" s="19">
        <v>1</v>
      </c>
      <c r="P44" s="19"/>
      <c r="Q44">
        <v>113</v>
      </c>
      <c r="R44"/>
    </row>
    <row r="45" spans="1:20" s="13" customFormat="1" x14ac:dyDescent="0.3">
      <c r="A45" s="63"/>
      <c r="B45" s="43">
        <f>B44/$Q44</f>
        <v>0</v>
      </c>
      <c r="C45" s="43">
        <f t="shared" ref="C45" si="35">C44/$Q44</f>
        <v>0</v>
      </c>
      <c r="D45" s="43">
        <f t="shared" ref="D45" si="36">D44/$Q44</f>
        <v>1.7699115044247787E-2</v>
      </c>
      <c r="E45" s="43">
        <f t="shared" ref="E45" si="37">E44/$Q44</f>
        <v>1.7699115044247787E-2</v>
      </c>
      <c r="F45" s="43">
        <f t="shared" ref="F45" si="38">F44/$Q44</f>
        <v>5.3097345132743362E-2</v>
      </c>
      <c r="G45" s="43">
        <f t="shared" ref="G45" si="39">G44/$Q44</f>
        <v>0.20353982300884957</v>
      </c>
      <c r="H45" s="45">
        <f t="shared" ref="H45" si="40">H44/$Q44</f>
        <v>0.30088495575221241</v>
      </c>
      <c r="I45" s="43">
        <f t="shared" ref="I45" si="41">I44/$Q44</f>
        <v>0.19469026548672566</v>
      </c>
      <c r="J45" s="43">
        <f t="shared" ref="J45" si="42">J44/$Q44</f>
        <v>0.12389380530973451</v>
      </c>
      <c r="K45" s="43">
        <f t="shared" ref="K45" si="43">K44/$Q44</f>
        <v>5.3097345132743362E-2</v>
      </c>
      <c r="L45" s="43">
        <f t="shared" ref="L45" si="44">L44/$Q44</f>
        <v>1.7699115044247787E-2</v>
      </c>
      <c r="M45" s="43">
        <f t="shared" ref="M45" si="45">M44/$Q44</f>
        <v>0</v>
      </c>
      <c r="N45" s="43">
        <f t="shared" ref="N45" si="46">N44/$Q44</f>
        <v>8.8495575221238937E-3</v>
      </c>
      <c r="O45" s="43">
        <f t="shared" ref="O45" si="47">O44/$Q44</f>
        <v>8.8495575221238937E-3</v>
      </c>
      <c r="P45" s="43">
        <f t="shared" ref="P45" si="48">P44/$Q44</f>
        <v>0</v>
      </c>
      <c r="S45" s="13">
        <f>SUM(H47:P47)</f>
        <v>0.82352941176470584</v>
      </c>
    </row>
    <row r="46" spans="1:20" x14ac:dyDescent="0.3">
      <c r="A46" s="15" t="s">
        <v>2752</v>
      </c>
      <c r="G46">
        <v>3</v>
      </c>
      <c r="H46">
        <v>5</v>
      </c>
      <c r="I46">
        <v>8</v>
      </c>
      <c r="J46">
        <v>1</v>
      </c>
      <c r="Q46">
        <v>17</v>
      </c>
      <c r="R46" s="13"/>
    </row>
    <row r="47" spans="1:20" s="13" customFormat="1" x14ac:dyDescent="0.3">
      <c r="A47" s="19"/>
      <c r="B47" s="43">
        <f t="shared" ref="B47:P47" si="49">B46/$Q46</f>
        <v>0</v>
      </c>
      <c r="C47" s="43">
        <f t="shared" si="49"/>
        <v>0</v>
      </c>
      <c r="D47" s="43">
        <f t="shared" si="49"/>
        <v>0</v>
      </c>
      <c r="E47" s="43">
        <f t="shared" si="49"/>
        <v>0</v>
      </c>
      <c r="F47" s="43">
        <f t="shared" si="49"/>
        <v>0</v>
      </c>
      <c r="G47" s="43">
        <f t="shared" si="49"/>
        <v>0.17647058823529413</v>
      </c>
      <c r="H47" s="45">
        <f t="shared" si="49"/>
        <v>0.29411764705882354</v>
      </c>
      <c r="I47" s="43">
        <f t="shared" si="49"/>
        <v>0.47058823529411764</v>
      </c>
      <c r="J47" s="43">
        <f t="shared" si="49"/>
        <v>5.8823529411764705E-2</v>
      </c>
      <c r="K47" s="43">
        <f t="shared" si="49"/>
        <v>0</v>
      </c>
      <c r="L47" s="43">
        <f t="shared" si="49"/>
        <v>0</v>
      </c>
      <c r="M47" s="43">
        <f t="shared" si="49"/>
        <v>0</v>
      </c>
      <c r="N47" s="43">
        <f t="shared" si="49"/>
        <v>0</v>
      </c>
      <c r="O47" s="43">
        <f t="shared" si="49"/>
        <v>0</v>
      </c>
      <c r="P47" s="43">
        <f t="shared" si="49"/>
        <v>0</v>
      </c>
      <c r="S47" s="13">
        <f>SUM(H49:P49)</f>
        <v>0.70717131474103578</v>
      </c>
    </row>
    <row r="48" spans="1:20" x14ac:dyDescent="0.3">
      <c r="A48" s="63" t="s">
        <v>2852</v>
      </c>
      <c r="B48" s="19">
        <v>1</v>
      </c>
      <c r="C48" s="19">
        <v>4</v>
      </c>
      <c r="D48" s="19">
        <v>7</v>
      </c>
      <c r="E48" s="19">
        <v>17</v>
      </c>
      <c r="F48" s="19">
        <v>35</v>
      </c>
      <c r="G48" s="19">
        <v>83</v>
      </c>
      <c r="H48" s="44">
        <v>114</v>
      </c>
      <c r="I48" s="19">
        <v>80</v>
      </c>
      <c r="J48" s="19">
        <v>61</v>
      </c>
      <c r="K48" s="19">
        <v>46</v>
      </c>
      <c r="L48" s="19">
        <v>18</v>
      </c>
      <c r="M48" s="19">
        <v>22</v>
      </c>
      <c r="N48" s="19">
        <v>12</v>
      </c>
      <c r="O48" s="19">
        <v>2</v>
      </c>
      <c r="P48" s="19">
        <v>0</v>
      </c>
      <c r="Q48">
        <v>502</v>
      </c>
    </row>
    <row r="49" spans="1:18" s="13" customFormat="1" x14ac:dyDescent="0.3">
      <c r="A49" s="63"/>
      <c r="B49" s="43">
        <f t="shared" ref="B49:P49" si="50">B48/$Q48</f>
        <v>1.9920318725099601E-3</v>
      </c>
      <c r="C49" s="43">
        <f t="shared" si="50"/>
        <v>7.9681274900398405E-3</v>
      </c>
      <c r="D49" s="43">
        <f t="shared" si="50"/>
        <v>1.3944223107569721E-2</v>
      </c>
      <c r="E49" s="43">
        <f t="shared" si="50"/>
        <v>3.386454183266932E-2</v>
      </c>
      <c r="F49" s="43">
        <f t="shared" si="50"/>
        <v>6.9721115537848599E-2</v>
      </c>
      <c r="G49" s="43">
        <f t="shared" si="50"/>
        <v>0.16533864541832669</v>
      </c>
      <c r="H49" s="45">
        <f t="shared" si="50"/>
        <v>0.22709163346613545</v>
      </c>
      <c r="I49" s="43">
        <f t="shared" si="50"/>
        <v>0.15936254980079681</v>
      </c>
      <c r="J49" s="43">
        <f t="shared" si="50"/>
        <v>0.12151394422310757</v>
      </c>
      <c r="K49" s="43">
        <f t="shared" si="50"/>
        <v>9.1633466135458169E-2</v>
      </c>
      <c r="L49" s="43">
        <f t="shared" si="50"/>
        <v>3.5856573705179286E-2</v>
      </c>
      <c r="M49" s="43">
        <f t="shared" si="50"/>
        <v>4.3824701195219126E-2</v>
      </c>
      <c r="N49" s="43">
        <f t="shared" si="50"/>
        <v>2.3904382470119521E-2</v>
      </c>
      <c r="O49" s="43">
        <f t="shared" si="50"/>
        <v>3.9840637450199202E-3</v>
      </c>
      <c r="P49" s="43">
        <f t="shared" si="50"/>
        <v>0</v>
      </c>
    </row>
    <row r="50" spans="1:18" x14ac:dyDescent="0.3">
      <c r="A50" s="63" t="s">
        <v>2781</v>
      </c>
      <c r="B50" s="19">
        <v>1</v>
      </c>
      <c r="C50" s="19">
        <v>7</v>
      </c>
      <c r="D50" s="19">
        <v>19</v>
      </c>
      <c r="E50" s="19">
        <v>35</v>
      </c>
      <c r="F50" s="19">
        <v>63</v>
      </c>
      <c r="G50" s="19">
        <v>148</v>
      </c>
      <c r="H50" s="44">
        <v>192</v>
      </c>
      <c r="I50" s="19">
        <v>140</v>
      </c>
      <c r="J50" s="19">
        <v>96</v>
      </c>
      <c r="K50" s="19">
        <v>64</v>
      </c>
      <c r="L50" s="19">
        <v>23</v>
      </c>
      <c r="M50" s="19">
        <v>26</v>
      </c>
      <c r="N50" s="19">
        <v>15</v>
      </c>
      <c r="O50" s="19">
        <v>5</v>
      </c>
      <c r="P50" s="19">
        <v>1</v>
      </c>
      <c r="Q50">
        <v>835</v>
      </c>
    </row>
    <row r="51" spans="1:18" x14ac:dyDescent="0.3">
      <c r="A51" s="63"/>
      <c r="B51" s="43">
        <f>B50/$Q50</f>
        <v>1.1976047904191617E-3</v>
      </c>
      <c r="C51" s="43">
        <f t="shared" ref="C51" si="51">C50/$Q50</f>
        <v>8.3832335329341312E-3</v>
      </c>
      <c r="D51" s="43">
        <f t="shared" ref="D51" si="52">D50/$Q50</f>
        <v>2.2754491017964073E-2</v>
      </c>
      <c r="E51" s="43">
        <f t="shared" ref="E51" si="53">E50/$Q50</f>
        <v>4.1916167664670656E-2</v>
      </c>
      <c r="F51" s="43">
        <f t="shared" ref="F51" si="54">F50/$Q50</f>
        <v>7.5449101796407181E-2</v>
      </c>
      <c r="G51" s="43">
        <f t="shared" ref="G51" si="55">G50/$Q50</f>
        <v>0.17724550898203592</v>
      </c>
      <c r="H51" s="45">
        <f t="shared" ref="H51" si="56">H50/$Q50</f>
        <v>0.22994011976047904</v>
      </c>
      <c r="I51" s="43">
        <f t="shared" ref="I51" si="57">I50/$Q50</f>
        <v>0.16766467065868262</v>
      </c>
      <c r="J51" s="43">
        <f t="shared" ref="J51" si="58">J50/$Q50</f>
        <v>0.11497005988023952</v>
      </c>
      <c r="K51" s="43">
        <f t="shared" ref="K51" si="59">K50/$Q50</f>
        <v>7.6646706586826346E-2</v>
      </c>
      <c r="L51" s="43">
        <f t="shared" ref="L51" si="60">L50/$Q50</f>
        <v>2.7544910179640718E-2</v>
      </c>
      <c r="M51" s="43">
        <f t="shared" ref="M51" si="61">M50/$Q50</f>
        <v>3.1137724550898204E-2</v>
      </c>
      <c r="N51" s="43">
        <f t="shared" ref="N51" si="62">N50/$Q50</f>
        <v>1.7964071856287425E-2</v>
      </c>
      <c r="O51" s="43">
        <f t="shared" ref="O51" si="63">O50/$Q50</f>
        <v>5.9880239520958087E-3</v>
      </c>
      <c r="P51" s="43">
        <f t="shared" ref="P51" si="64">P50/$Q50</f>
        <v>1.1976047904191617E-3</v>
      </c>
      <c r="Q51" s="13"/>
      <c r="R51" s="13"/>
    </row>
  </sheetData>
  <mergeCells count="9">
    <mergeCell ref="A42:A43"/>
    <mergeCell ref="A44:A45"/>
    <mergeCell ref="A48:A49"/>
    <mergeCell ref="A50:A51"/>
    <mergeCell ref="A1:R1"/>
    <mergeCell ref="A26:R26"/>
    <mergeCell ref="A11:A12"/>
    <mergeCell ref="A5:A6"/>
    <mergeCell ref="A7:A8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46"/>
  <sheetViews>
    <sheetView showGridLines="0" workbookViewId="0">
      <selection activeCell="U4" sqref="U4:Z12"/>
    </sheetView>
  </sheetViews>
  <sheetFormatPr defaultColWidth="11.5546875" defaultRowHeight="14.4" x14ac:dyDescent="0.3"/>
  <cols>
    <col min="1" max="1" width="20.44140625" bestFit="1" customWidth="1"/>
    <col min="2" max="3" width="12.6640625" bestFit="1" customWidth="1"/>
    <col min="4" max="4" width="21.44140625" bestFit="1" customWidth="1"/>
    <col min="5" max="5" width="12.88671875" bestFit="1" customWidth="1"/>
    <col min="6" max="6" width="20.44140625" bestFit="1" customWidth="1"/>
    <col min="7" max="7" width="12.6640625" bestFit="1" customWidth="1"/>
    <col min="12" max="12" width="22" customWidth="1"/>
    <col min="13" max="13" width="5.6640625" customWidth="1"/>
    <col min="14" max="14" width="10.109375" bestFit="1" customWidth="1"/>
    <col min="15" max="15" width="5.6640625" customWidth="1"/>
    <col min="16" max="16" width="11.44140625" bestFit="1" customWidth="1"/>
    <col min="17" max="17" width="5.6640625" customWidth="1"/>
    <col min="18" max="18" width="11.44140625" bestFit="1" customWidth="1"/>
    <col min="19" max="19" width="5.6640625" customWidth="1"/>
    <col min="20" max="20" width="11.44140625" bestFit="1" customWidth="1"/>
  </cols>
  <sheetData>
    <row r="1" spans="1:25" x14ac:dyDescent="0.3">
      <c r="A1" s="1" t="s">
        <v>0</v>
      </c>
      <c r="B1" s="1" t="s">
        <v>2769</v>
      </c>
      <c r="C1" s="1" t="s">
        <v>2770</v>
      </c>
      <c r="D1" t="s">
        <v>2773</v>
      </c>
      <c r="E1" t="s">
        <v>2772</v>
      </c>
      <c r="F1" t="s">
        <v>2771</v>
      </c>
      <c r="G1" t="s">
        <v>2768</v>
      </c>
      <c r="L1" t="s">
        <v>2720</v>
      </c>
    </row>
    <row r="2" spans="1:25" x14ac:dyDescent="0.3">
      <c r="A2" s="1" t="s">
        <v>82</v>
      </c>
      <c r="B2" s="1">
        <v>-65.349999999999994</v>
      </c>
      <c r="C2" s="1"/>
      <c r="L2" s="67" t="s">
        <v>2721</v>
      </c>
      <c r="M2" s="67"/>
      <c r="N2" s="67"/>
      <c r="O2" s="67"/>
    </row>
    <row r="3" spans="1:25" ht="15" customHeight="1" x14ac:dyDescent="0.3">
      <c r="A3" s="1" t="s">
        <v>86</v>
      </c>
      <c r="B3" s="1">
        <v>-28.300000000000004</v>
      </c>
      <c r="C3" s="1"/>
    </row>
    <row r="4" spans="1:25" x14ac:dyDescent="0.3">
      <c r="A4" s="1" t="s">
        <v>88</v>
      </c>
      <c r="B4" s="1">
        <v>-59.61249999999999</v>
      </c>
      <c r="C4" s="1"/>
      <c r="M4" s="66" t="s">
        <v>2751</v>
      </c>
      <c r="N4" s="66"/>
      <c r="O4" s="66" t="s">
        <v>2776</v>
      </c>
      <c r="P4" s="66"/>
      <c r="Q4" s="66" t="s">
        <v>2754</v>
      </c>
      <c r="R4" s="66"/>
    </row>
    <row r="5" spans="1:25" x14ac:dyDescent="0.3">
      <c r="A5" s="1" t="s">
        <v>90</v>
      </c>
      <c r="B5" s="1">
        <v>-90.1875</v>
      </c>
      <c r="C5" s="1"/>
      <c r="M5" s="24" t="s">
        <v>2774</v>
      </c>
      <c r="N5" s="24" t="s">
        <v>2775</v>
      </c>
      <c r="O5" s="24" t="s">
        <v>2774</v>
      </c>
      <c r="P5" s="24" t="s">
        <v>2775</v>
      </c>
      <c r="Q5" s="24" t="s">
        <v>2774</v>
      </c>
      <c r="R5" s="24" t="s">
        <v>2775</v>
      </c>
    </row>
    <row r="6" spans="1:25" x14ac:dyDescent="0.3">
      <c r="A6" s="1" t="s">
        <v>100</v>
      </c>
      <c r="B6" s="1"/>
      <c r="C6" s="1">
        <v>-79.349999999999994</v>
      </c>
      <c r="L6" t="s">
        <v>2750</v>
      </c>
      <c r="M6" s="33">
        <v>5378</v>
      </c>
      <c r="N6" s="34">
        <v>7.9849999999999995E-4</v>
      </c>
      <c r="O6" s="33">
        <v>762</v>
      </c>
      <c r="P6" s="34">
        <v>5.8290000000000002E-2</v>
      </c>
      <c r="Q6" s="33">
        <v>23630</v>
      </c>
      <c r="R6" s="34">
        <v>3.153E-3</v>
      </c>
      <c r="Y6" s="11"/>
    </row>
    <row r="7" spans="1:25" x14ac:dyDescent="0.3">
      <c r="A7" s="1" t="s">
        <v>102</v>
      </c>
      <c r="B7" s="1"/>
      <c r="C7" s="1">
        <v>-61.074999999999996</v>
      </c>
      <c r="L7" t="s">
        <v>2751</v>
      </c>
      <c r="M7" s="24"/>
      <c r="N7" s="24"/>
      <c r="O7" s="24">
        <v>698.5</v>
      </c>
      <c r="P7" s="34">
        <v>1</v>
      </c>
      <c r="Q7" s="24">
        <v>16050</v>
      </c>
      <c r="R7" s="34">
        <v>0.76119999999999999</v>
      </c>
      <c r="Y7" s="11"/>
    </row>
    <row r="8" spans="1:25" x14ac:dyDescent="0.3">
      <c r="A8" s="1" t="s">
        <v>135</v>
      </c>
      <c r="B8" s="1"/>
      <c r="C8" s="1">
        <v>-57.42499999999999</v>
      </c>
      <c r="L8" t="s">
        <v>2776</v>
      </c>
      <c r="M8" s="24"/>
      <c r="N8" s="24"/>
      <c r="O8" s="35"/>
      <c r="P8" s="35"/>
      <c r="Q8" s="24">
        <v>2410</v>
      </c>
      <c r="R8" s="34">
        <v>1</v>
      </c>
    </row>
    <row r="9" spans="1:25" x14ac:dyDescent="0.3">
      <c r="A9" s="1" t="s">
        <v>137</v>
      </c>
      <c r="B9" s="1"/>
      <c r="C9" s="1"/>
      <c r="D9">
        <v>-78.300000000000011</v>
      </c>
      <c r="M9" s="35"/>
      <c r="N9" s="35"/>
      <c r="O9" s="24"/>
      <c r="P9" s="24"/>
      <c r="Q9" s="24"/>
      <c r="R9" s="24"/>
      <c r="V9" s="11"/>
      <c r="W9" s="11"/>
    </row>
    <row r="10" spans="1:25" x14ac:dyDescent="0.3">
      <c r="A10" s="1" t="s">
        <v>145</v>
      </c>
      <c r="B10" s="1">
        <v>-51.387499999999996</v>
      </c>
      <c r="C10" s="1"/>
      <c r="S10" s="24"/>
      <c r="T10" s="24"/>
    </row>
    <row r="11" spans="1:25" x14ac:dyDescent="0.3">
      <c r="A11" s="1" t="s">
        <v>149</v>
      </c>
      <c r="B11" s="1">
        <v>-40.300000000000004</v>
      </c>
      <c r="C11" s="1"/>
      <c r="L11" t="s">
        <v>2722</v>
      </c>
    </row>
    <row r="12" spans="1:25" x14ac:dyDescent="0.3">
      <c r="A12" s="1" t="s">
        <v>189</v>
      </c>
      <c r="B12" s="1">
        <v>-72.675000000000011</v>
      </c>
      <c r="C12" s="1"/>
    </row>
    <row r="13" spans="1:25" x14ac:dyDescent="0.3">
      <c r="A13" s="1" t="s">
        <v>191</v>
      </c>
      <c r="B13" s="1">
        <v>-62.312499999999993</v>
      </c>
      <c r="C13" s="1"/>
      <c r="L13" t="s">
        <v>2723</v>
      </c>
      <c r="M13">
        <v>17.32</v>
      </c>
    </row>
    <row r="14" spans="1:25" x14ac:dyDescent="0.3">
      <c r="A14" s="1" t="s">
        <v>193</v>
      </c>
      <c r="B14" s="1">
        <v>-70.675000000000011</v>
      </c>
      <c r="C14" s="1"/>
      <c r="L14" t="s">
        <v>2724</v>
      </c>
      <c r="M14">
        <v>17.32</v>
      </c>
    </row>
    <row r="15" spans="1:25" x14ac:dyDescent="0.3">
      <c r="A15" s="1" t="s">
        <v>195</v>
      </c>
      <c r="B15" s="1">
        <v>-63.587500000000013</v>
      </c>
      <c r="C15" s="1"/>
      <c r="L15" t="s">
        <v>2725</v>
      </c>
      <c r="M15">
        <v>1.7340000000000001E-4</v>
      </c>
    </row>
    <row r="16" spans="1:25" ht="34.5" customHeight="1" x14ac:dyDescent="0.3">
      <c r="A16" s="1" t="s">
        <v>197</v>
      </c>
      <c r="B16" s="1">
        <v>-63.487500000000004</v>
      </c>
      <c r="C16" s="1"/>
    </row>
    <row r="17" spans="1:12" x14ac:dyDescent="0.3">
      <c r="A17" s="1" t="s">
        <v>199</v>
      </c>
      <c r="B17" s="1">
        <v>-82.987500000000011</v>
      </c>
      <c r="C17" s="1"/>
      <c r="L17" t="s">
        <v>2726</v>
      </c>
    </row>
    <row r="18" spans="1:12" x14ac:dyDescent="0.3">
      <c r="A18" s="1" t="s">
        <v>202</v>
      </c>
      <c r="B18" s="1">
        <v>-52.550000000000004</v>
      </c>
      <c r="C18" s="1"/>
    </row>
    <row r="19" spans="1:12" x14ac:dyDescent="0.3">
      <c r="A19" s="1" t="s">
        <v>204</v>
      </c>
      <c r="B19" s="1">
        <v>-79.962500000000006</v>
      </c>
      <c r="C19" s="1"/>
    </row>
    <row r="20" spans="1:12" x14ac:dyDescent="0.3">
      <c r="A20" s="1" t="s">
        <v>207</v>
      </c>
      <c r="B20" s="1">
        <v>-77.125</v>
      </c>
      <c r="C20" s="1"/>
    </row>
    <row r="21" spans="1:12" x14ac:dyDescent="0.3">
      <c r="A21" s="1" t="s">
        <v>215</v>
      </c>
      <c r="B21" s="1">
        <v>-66.587500000000006</v>
      </c>
      <c r="C21" s="1"/>
    </row>
    <row r="22" spans="1:12" x14ac:dyDescent="0.3">
      <c r="A22" s="1" t="s">
        <v>257</v>
      </c>
      <c r="B22" s="1"/>
      <c r="C22" s="1">
        <v>-81.862499999999983</v>
      </c>
    </row>
    <row r="23" spans="1:12" x14ac:dyDescent="0.3">
      <c r="A23" s="1" t="s">
        <v>260</v>
      </c>
      <c r="B23" s="1"/>
      <c r="C23" s="1">
        <v>-64.275000000000006</v>
      </c>
    </row>
    <row r="24" spans="1:12" x14ac:dyDescent="0.3">
      <c r="A24" s="1" t="s">
        <v>262</v>
      </c>
      <c r="B24" s="1"/>
      <c r="C24" s="1">
        <v>-62.125000000000007</v>
      </c>
    </row>
    <row r="25" spans="1:12" x14ac:dyDescent="0.3">
      <c r="A25" s="1" t="s">
        <v>266</v>
      </c>
      <c r="B25" s="1"/>
      <c r="C25" s="1">
        <v>-67.737499999999983</v>
      </c>
    </row>
    <row r="26" spans="1:12" x14ac:dyDescent="0.3">
      <c r="A26" s="1" t="s">
        <v>270</v>
      </c>
      <c r="B26" s="1"/>
      <c r="C26" s="1">
        <v>-53.612500000000004</v>
      </c>
    </row>
    <row r="27" spans="1:12" x14ac:dyDescent="0.3">
      <c r="A27" s="1" t="s">
        <v>273</v>
      </c>
      <c r="B27" s="1"/>
      <c r="C27" s="1">
        <v>-61.037500000000001</v>
      </c>
    </row>
    <row r="28" spans="1:12" x14ac:dyDescent="0.3">
      <c r="A28" s="1" t="s">
        <v>277</v>
      </c>
      <c r="B28" s="1">
        <v>-34.500000000000007</v>
      </c>
      <c r="C28" s="1"/>
    </row>
    <row r="29" spans="1:12" x14ac:dyDescent="0.3">
      <c r="A29" s="1" t="s">
        <v>284</v>
      </c>
      <c r="B29" s="1"/>
      <c r="C29" s="1">
        <v>-94</v>
      </c>
    </row>
    <row r="30" spans="1:12" x14ac:dyDescent="0.3">
      <c r="A30" s="1" t="s">
        <v>288</v>
      </c>
      <c r="B30" s="1"/>
      <c r="C30" s="1">
        <v>-47.462499999999999</v>
      </c>
    </row>
    <row r="31" spans="1:12" x14ac:dyDescent="0.3">
      <c r="A31" s="1" t="s">
        <v>290</v>
      </c>
      <c r="B31" s="1"/>
      <c r="C31" s="1"/>
      <c r="D31">
        <v>-83.587500000000006</v>
      </c>
    </row>
    <row r="32" spans="1:12" x14ac:dyDescent="0.3">
      <c r="A32" s="1" t="s">
        <v>293</v>
      </c>
      <c r="B32" s="1"/>
      <c r="C32" s="1">
        <v>-84.075000000000017</v>
      </c>
    </row>
    <row r="33" spans="1:7" x14ac:dyDescent="0.3">
      <c r="A33" s="1" t="s">
        <v>303</v>
      </c>
      <c r="B33" s="1"/>
      <c r="C33" s="1"/>
      <c r="F33">
        <v>-83.737499999999983</v>
      </c>
      <c r="G33">
        <v>-83.737499999999983</v>
      </c>
    </row>
    <row r="34" spans="1:7" x14ac:dyDescent="0.3">
      <c r="A34" s="1" t="s">
        <v>304</v>
      </c>
      <c r="B34" s="1"/>
      <c r="C34" s="1"/>
      <c r="F34">
        <v>-62.6</v>
      </c>
      <c r="G34">
        <v>-62.6</v>
      </c>
    </row>
    <row r="35" spans="1:7" x14ac:dyDescent="0.3">
      <c r="A35" s="1" t="s">
        <v>313</v>
      </c>
      <c r="B35" s="1">
        <v>-92.262499999999989</v>
      </c>
      <c r="C35" s="1"/>
    </row>
    <row r="36" spans="1:7" x14ac:dyDescent="0.3">
      <c r="A36" s="1" t="s">
        <v>314</v>
      </c>
      <c r="B36" s="1">
        <v>-75.074999999999989</v>
      </c>
      <c r="C36" s="1"/>
    </row>
    <row r="37" spans="1:7" x14ac:dyDescent="0.3">
      <c r="A37" s="1" t="s">
        <v>317</v>
      </c>
      <c r="B37" s="1">
        <v>-57.312499999999993</v>
      </c>
      <c r="C37" s="1"/>
    </row>
    <row r="38" spans="1:7" x14ac:dyDescent="0.3">
      <c r="A38" s="1" t="s">
        <v>319</v>
      </c>
      <c r="B38" s="1">
        <v>-67.762500000000017</v>
      </c>
      <c r="C38" s="1"/>
    </row>
    <row r="39" spans="1:7" x14ac:dyDescent="0.3">
      <c r="A39" s="1" t="s">
        <v>321</v>
      </c>
      <c r="B39" s="1">
        <v>-83.9375</v>
      </c>
      <c r="C39" s="1"/>
    </row>
    <row r="40" spans="1:7" x14ac:dyDescent="0.3">
      <c r="A40" s="1" t="s">
        <v>325</v>
      </c>
      <c r="B40" s="1"/>
      <c r="C40" s="1">
        <v>-69.612499999999983</v>
      </c>
    </row>
    <row r="41" spans="1:7" x14ac:dyDescent="0.3">
      <c r="A41" s="1" t="s">
        <v>328</v>
      </c>
      <c r="B41" s="1"/>
      <c r="C41" s="1">
        <v>-70.325000000000017</v>
      </c>
    </row>
    <row r="42" spans="1:7" x14ac:dyDescent="0.3">
      <c r="A42" s="1" t="s">
        <v>365</v>
      </c>
      <c r="B42" s="1"/>
      <c r="C42" s="1"/>
      <c r="D42">
        <v>-75.924999999999983</v>
      </c>
    </row>
    <row r="43" spans="1:7" x14ac:dyDescent="0.3">
      <c r="A43" s="1" t="s">
        <v>369</v>
      </c>
      <c r="B43" s="1"/>
      <c r="C43" s="1">
        <v>-85.987500000000011</v>
      </c>
    </row>
    <row r="44" spans="1:7" x14ac:dyDescent="0.3">
      <c r="A44" s="1" t="s">
        <v>372</v>
      </c>
      <c r="B44" s="1"/>
      <c r="C44" s="1">
        <v>-92.487499999999983</v>
      </c>
    </row>
    <row r="45" spans="1:7" x14ac:dyDescent="0.3">
      <c r="A45" s="1" t="s">
        <v>376</v>
      </c>
      <c r="B45" s="1"/>
      <c r="C45" s="1">
        <v>-66.862499999999983</v>
      </c>
    </row>
    <row r="46" spans="1:7" x14ac:dyDescent="0.3">
      <c r="A46" s="1" t="s">
        <v>380</v>
      </c>
      <c r="B46" s="1"/>
      <c r="C46" s="1">
        <v>-113.42499999999998</v>
      </c>
    </row>
    <row r="47" spans="1:7" x14ac:dyDescent="0.3">
      <c r="A47" s="1" t="s">
        <v>383</v>
      </c>
      <c r="B47" s="1">
        <v>-80.549999999999983</v>
      </c>
      <c r="C47" s="1"/>
    </row>
    <row r="48" spans="1:7" x14ac:dyDescent="0.3">
      <c r="A48" s="1" t="s">
        <v>388</v>
      </c>
      <c r="B48" s="1">
        <v>-80.575000000000017</v>
      </c>
      <c r="C48" s="1"/>
    </row>
    <row r="49" spans="1:3" x14ac:dyDescent="0.3">
      <c r="A49" s="1" t="s">
        <v>390</v>
      </c>
      <c r="B49" s="1">
        <v>-68.599999999999994</v>
      </c>
      <c r="C49" s="1"/>
    </row>
    <row r="50" spans="1:3" x14ac:dyDescent="0.3">
      <c r="A50" s="1" t="s">
        <v>394</v>
      </c>
      <c r="B50" s="1">
        <v>-67.537499999999994</v>
      </c>
      <c r="C50" s="1"/>
    </row>
    <row r="51" spans="1:3" x14ac:dyDescent="0.3">
      <c r="A51" s="1" t="s">
        <v>464</v>
      </c>
      <c r="B51" s="1">
        <v>-31.15</v>
      </c>
      <c r="C51" s="1"/>
    </row>
    <row r="52" spans="1:3" x14ac:dyDescent="0.3">
      <c r="A52" s="1" t="s">
        <v>468</v>
      </c>
      <c r="B52" s="1">
        <v>-77.75</v>
      </c>
      <c r="C52" s="1"/>
    </row>
    <row r="53" spans="1:3" x14ac:dyDescent="0.3">
      <c r="A53" s="1" t="s">
        <v>471</v>
      </c>
      <c r="B53" s="1">
        <v>-42.925000000000004</v>
      </c>
      <c r="C53" s="1"/>
    </row>
    <row r="54" spans="1:3" x14ac:dyDescent="0.3">
      <c r="A54" s="1" t="s">
        <v>474</v>
      </c>
      <c r="B54" s="1">
        <v>-55.29999999999999</v>
      </c>
      <c r="C54" s="1"/>
    </row>
    <row r="55" spans="1:3" x14ac:dyDescent="0.3">
      <c r="A55" s="1" t="s">
        <v>477</v>
      </c>
      <c r="B55" s="1">
        <v>-62.79999999999999</v>
      </c>
      <c r="C55" s="1"/>
    </row>
    <row r="56" spans="1:3" x14ac:dyDescent="0.3">
      <c r="A56" s="1" t="s">
        <v>479</v>
      </c>
      <c r="B56" s="1">
        <v>-75.199999999999989</v>
      </c>
      <c r="C56" s="1"/>
    </row>
    <row r="57" spans="1:3" x14ac:dyDescent="0.3">
      <c r="A57" s="1" t="s">
        <v>481</v>
      </c>
      <c r="B57" s="1">
        <v>-82.724999999999994</v>
      </c>
      <c r="C57" s="1"/>
    </row>
    <row r="58" spans="1:3" x14ac:dyDescent="0.3">
      <c r="A58" s="1" t="s">
        <v>483</v>
      </c>
      <c r="B58" s="1">
        <v>-75.787499999999994</v>
      </c>
      <c r="C58" s="1"/>
    </row>
    <row r="59" spans="1:3" x14ac:dyDescent="0.3">
      <c r="A59" s="1" t="s">
        <v>485</v>
      </c>
      <c r="B59" s="1">
        <v>-85.637500000000017</v>
      </c>
      <c r="C59" s="1"/>
    </row>
    <row r="60" spans="1:3" x14ac:dyDescent="0.3">
      <c r="A60" s="1" t="s">
        <v>489</v>
      </c>
      <c r="B60" s="1">
        <v>-61.937499999999993</v>
      </c>
      <c r="C60" s="1"/>
    </row>
    <row r="61" spans="1:3" x14ac:dyDescent="0.3">
      <c r="A61" s="1" t="s">
        <v>491</v>
      </c>
      <c r="B61" s="1">
        <v>-34.537500000000001</v>
      </c>
      <c r="C61" s="1"/>
    </row>
    <row r="62" spans="1:3" x14ac:dyDescent="0.3">
      <c r="A62" s="1" t="s">
        <v>494</v>
      </c>
      <c r="B62" s="1">
        <v>-60.85</v>
      </c>
      <c r="C62" s="1"/>
    </row>
    <row r="63" spans="1:3" x14ac:dyDescent="0.3">
      <c r="A63" s="1" t="s">
        <v>2728</v>
      </c>
      <c r="B63" s="1">
        <v>-33.824999999999996</v>
      </c>
      <c r="C63" s="1"/>
    </row>
    <row r="64" spans="1:3" x14ac:dyDescent="0.3">
      <c r="A64" s="1" t="s">
        <v>2729</v>
      </c>
      <c r="B64" s="1">
        <v>-36.550000000000004</v>
      </c>
      <c r="C64" s="1"/>
    </row>
    <row r="65" spans="1:3" x14ac:dyDescent="0.3">
      <c r="A65" s="1" t="s">
        <v>2730</v>
      </c>
      <c r="B65" s="1">
        <v>-49.425000000000004</v>
      </c>
      <c r="C65" s="1"/>
    </row>
    <row r="66" spans="1:3" x14ac:dyDescent="0.3">
      <c r="A66" s="1" t="s">
        <v>501</v>
      </c>
      <c r="B66" s="1">
        <v>-65.662499999999994</v>
      </c>
      <c r="C66" s="1"/>
    </row>
    <row r="67" spans="1:3" x14ac:dyDescent="0.3">
      <c r="A67" s="1" t="s">
        <v>505</v>
      </c>
      <c r="B67" s="1">
        <v>-46.375000000000007</v>
      </c>
      <c r="C67" s="1"/>
    </row>
    <row r="68" spans="1:3" x14ac:dyDescent="0.3">
      <c r="A68" s="1" t="s">
        <v>514</v>
      </c>
      <c r="B68" s="1">
        <v>-38.387499999999996</v>
      </c>
      <c r="C68" s="1"/>
    </row>
    <row r="69" spans="1:3" x14ac:dyDescent="0.3">
      <c r="A69" s="1" t="s">
        <v>526</v>
      </c>
      <c r="B69" s="1">
        <v>-61.699999999999996</v>
      </c>
      <c r="C69" s="1"/>
    </row>
    <row r="70" spans="1:3" x14ac:dyDescent="0.3">
      <c r="A70" s="1" t="s">
        <v>529</v>
      </c>
      <c r="B70" s="1">
        <v>-67.675000000000011</v>
      </c>
      <c r="C70" s="1"/>
    </row>
    <row r="71" spans="1:3" x14ac:dyDescent="0.3">
      <c r="A71" s="1" t="s">
        <v>531</v>
      </c>
      <c r="B71" s="1">
        <v>-30.825000000000003</v>
      </c>
      <c r="C71" s="1"/>
    </row>
    <row r="72" spans="1:3" x14ac:dyDescent="0.3">
      <c r="A72" s="1" t="s">
        <v>534</v>
      </c>
      <c r="B72" s="1">
        <v>-52.675000000000004</v>
      </c>
      <c r="C72" s="1"/>
    </row>
    <row r="73" spans="1:3" x14ac:dyDescent="0.3">
      <c r="A73" s="1" t="s">
        <v>541</v>
      </c>
      <c r="B73" s="1"/>
      <c r="C73" s="1">
        <v>-92.987500000000011</v>
      </c>
    </row>
    <row r="74" spans="1:3" x14ac:dyDescent="0.3">
      <c r="A74" s="1" t="s">
        <v>545</v>
      </c>
      <c r="B74" s="1">
        <v>-86.587500000000006</v>
      </c>
      <c r="C74" s="1"/>
    </row>
    <row r="75" spans="1:3" x14ac:dyDescent="0.3">
      <c r="A75" s="1" t="s">
        <v>547</v>
      </c>
      <c r="B75" s="1">
        <v>-70.074999999999989</v>
      </c>
      <c r="C75" s="1"/>
    </row>
    <row r="76" spans="1:3" x14ac:dyDescent="0.3">
      <c r="A76" s="1" t="s">
        <v>550</v>
      </c>
      <c r="B76" s="1">
        <v>-53.962499999999999</v>
      </c>
      <c r="C76" s="1"/>
    </row>
    <row r="77" spans="1:3" x14ac:dyDescent="0.3">
      <c r="A77" s="1" t="s">
        <v>554</v>
      </c>
      <c r="B77" s="1">
        <v>-48.262499999999996</v>
      </c>
      <c r="C77" s="1"/>
    </row>
    <row r="78" spans="1:3" x14ac:dyDescent="0.3">
      <c r="A78" s="1" t="s">
        <v>556</v>
      </c>
      <c r="B78" s="1">
        <v>-63.462499999999999</v>
      </c>
      <c r="C78" s="1"/>
    </row>
    <row r="79" spans="1:3" x14ac:dyDescent="0.3">
      <c r="A79" s="1" t="s">
        <v>560</v>
      </c>
      <c r="B79" s="1">
        <v>-73.650000000000006</v>
      </c>
      <c r="C79" s="1"/>
    </row>
    <row r="80" spans="1:3" x14ac:dyDescent="0.3">
      <c r="A80" s="1" t="s">
        <v>563</v>
      </c>
      <c r="B80" s="1">
        <v>-76.8125</v>
      </c>
      <c r="C80" s="1"/>
    </row>
    <row r="81" spans="1:4" x14ac:dyDescent="0.3">
      <c r="A81" s="1" t="s">
        <v>566</v>
      </c>
      <c r="B81" s="1">
        <v>-40.212499999999999</v>
      </c>
      <c r="C81" s="1"/>
    </row>
    <row r="82" spans="1:4" x14ac:dyDescent="0.3">
      <c r="A82" s="1" t="s">
        <v>568</v>
      </c>
      <c r="B82" s="1">
        <v>-34.874999999999993</v>
      </c>
      <c r="C82" s="1"/>
    </row>
    <row r="83" spans="1:4" x14ac:dyDescent="0.3">
      <c r="A83" s="1" t="s">
        <v>570</v>
      </c>
      <c r="B83" s="1">
        <v>-74.962500000000006</v>
      </c>
      <c r="C83" s="1"/>
    </row>
    <row r="84" spans="1:4" x14ac:dyDescent="0.3">
      <c r="A84" s="1" t="s">
        <v>607</v>
      </c>
      <c r="B84" s="1"/>
      <c r="C84" s="1">
        <v>-62.11249999999999</v>
      </c>
    </row>
    <row r="85" spans="1:4" x14ac:dyDescent="0.3">
      <c r="A85" s="1" t="s">
        <v>609</v>
      </c>
      <c r="B85" s="1"/>
      <c r="C85" s="1">
        <v>-83.837500000000006</v>
      </c>
    </row>
    <row r="86" spans="1:4" x14ac:dyDescent="0.3">
      <c r="A86" s="1" t="s">
        <v>2736</v>
      </c>
      <c r="B86" s="1"/>
      <c r="C86" s="1">
        <v>-68.9375</v>
      </c>
    </row>
    <row r="87" spans="1:4" x14ac:dyDescent="0.3">
      <c r="A87" s="1" t="s">
        <v>615</v>
      </c>
      <c r="B87" s="1"/>
      <c r="C87" s="1">
        <v>-68.25</v>
      </c>
    </row>
    <row r="88" spans="1:4" x14ac:dyDescent="0.3">
      <c r="A88" s="1" t="s">
        <v>2737</v>
      </c>
      <c r="B88" s="1"/>
      <c r="C88" s="1">
        <v>-71.575000000000017</v>
      </c>
    </row>
    <row r="89" spans="1:4" x14ac:dyDescent="0.3">
      <c r="A89" s="1" t="s">
        <v>2738</v>
      </c>
      <c r="B89" s="1"/>
      <c r="C89" s="1">
        <v>-67.5</v>
      </c>
    </row>
    <row r="90" spans="1:4" x14ac:dyDescent="0.3">
      <c r="A90" s="1" t="s">
        <v>622</v>
      </c>
      <c r="B90" s="1"/>
      <c r="C90" s="1">
        <v>-67.699999999999989</v>
      </c>
    </row>
    <row r="91" spans="1:4" x14ac:dyDescent="0.3">
      <c r="A91" s="1" t="s">
        <v>625</v>
      </c>
      <c r="B91" s="1"/>
      <c r="C91" s="1"/>
      <c r="D91">
        <v>-82.25</v>
      </c>
    </row>
    <row r="92" spans="1:4" x14ac:dyDescent="0.3">
      <c r="A92" s="1" t="s">
        <v>629</v>
      </c>
      <c r="B92" s="1"/>
      <c r="C92" s="1"/>
      <c r="D92">
        <v>-59.449999999999996</v>
      </c>
    </row>
    <row r="93" spans="1:4" x14ac:dyDescent="0.3">
      <c r="A93" s="1" t="s">
        <v>632</v>
      </c>
      <c r="B93" s="1"/>
      <c r="C93" s="1"/>
      <c r="D93">
        <v>-62.975000000000001</v>
      </c>
    </row>
    <row r="94" spans="1:4" x14ac:dyDescent="0.3">
      <c r="A94" s="1" t="s">
        <v>636</v>
      </c>
      <c r="B94" s="1"/>
      <c r="C94" s="1"/>
      <c r="D94">
        <v>-77.324999999999989</v>
      </c>
    </row>
    <row r="95" spans="1:4" x14ac:dyDescent="0.3">
      <c r="A95" s="1" t="s">
        <v>640</v>
      </c>
      <c r="B95" s="1"/>
      <c r="C95" s="1">
        <v>-78.300000000000011</v>
      </c>
    </row>
    <row r="96" spans="1:4" x14ac:dyDescent="0.3">
      <c r="A96" s="1" t="s">
        <v>644</v>
      </c>
      <c r="B96" s="1"/>
      <c r="C96" s="1">
        <v>-80.612499999999983</v>
      </c>
    </row>
    <row r="97" spans="1:7" x14ac:dyDescent="0.3">
      <c r="A97" s="1" t="s">
        <v>648</v>
      </c>
      <c r="B97" s="1"/>
      <c r="C97" s="1"/>
      <c r="F97">
        <v>-60.23749999999999</v>
      </c>
      <c r="G97">
        <v>-60.23749999999999</v>
      </c>
    </row>
    <row r="98" spans="1:7" x14ac:dyDescent="0.3">
      <c r="A98" s="1" t="s">
        <v>651</v>
      </c>
      <c r="B98" s="1"/>
      <c r="C98" s="1"/>
      <c r="F98">
        <v>-80.299999999999983</v>
      </c>
      <c r="G98">
        <v>-80.299999999999983</v>
      </c>
    </row>
    <row r="99" spans="1:7" x14ac:dyDescent="0.3">
      <c r="A99" s="1" t="s">
        <v>653</v>
      </c>
      <c r="B99" s="1"/>
      <c r="C99" s="1"/>
      <c r="F99">
        <v>-72.737499999999983</v>
      </c>
      <c r="G99">
        <v>-72.737499999999983</v>
      </c>
    </row>
    <row r="100" spans="1:7" x14ac:dyDescent="0.3">
      <c r="A100" s="1" t="s">
        <v>655</v>
      </c>
      <c r="B100" s="1"/>
      <c r="C100" s="1"/>
      <c r="F100">
        <v>-43.687500000000007</v>
      </c>
      <c r="G100">
        <v>-43.687500000000007</v>
      </c>
    </row>
    <row r="101" spans="1:7" x14ac:dyDescent="0.3">
      <c r="A101" s="1" t="s">
        <v>659</v>
      </c>
      <c r="B101" s="1"/>
      <c r="C101" s="1"/>
      <c r="F101">
        <v>-43.63750000000001</v>
      </c>
      <c r="G101">
        <v>-43.63750000000001</v>
      </c>
    </row>
    <row r="102" spans="1:7" x14ac:dyDescent="0.3">
      <c r="A102" s="1" t="s">
        <v>660</v>
      </c>
      <c r="B102" s="1"/>
      <c r="C102" s="1"/>
      <c r="F102">
        <v>-62.612500000000004</v>
      </c>
      <c r="G102">
        <v>-62.612500000000004</v>
      </c>
    </row>
    <row r="103" spans="1:7" x14ac:dyDescent="0.3">
      <c r="A103" s="1" t="s">
        <v>662</v>
      </c>
      <c r="B103" s="1"/>
      <c r="C103" s="1"/>
      <c r="F103">
        <v>-49.449999999999996</v>
      </c>
      <c r="G103">
        <v>-49.449999999999996</v>
      </c>
    </row>
    <row r="104" spans="1:7" x14ac:dyDescent="0.3">
      <c r="A104" s="1" t="s">
        <v>663</v>
      </c>
      <c r="B104" s="1"/>
      <c r="C104" s="1"/>
      <c r="F104">
        <v>-55.95000000000001</v>
      </c>
      <c r="G104">
        <v>-55.95000000000001</v>
      </c>
    </row>
    <row r="105" spans="1:7" x14ac:dyDescent="0.3">
      <c r="A105" s="1" t="s">
        <v>666</v>
      </c>
      <c r="B105" s="1"/>
      <c r="C105" s="1"/>
      <c r="F105">
        <v>-63.774999999999999</v>
      </c>
      <c r="G105">
        <v>-63.774999999999999</v>
      </c>
    </row>
    <row r="106" spans="1:7" x14ac:dyDescent="0.3">
      <c r="A106" s="1" t="s">
        <v>669</v>
      </c>
      <c r="B106" s="1"/>
      <c r="C106" s="1"/>
      <c r="F106">
        <v>-44.525000000000013</v>
      </c>
      <c r="G106">
        <v>-44.525000000000013</v>
      </c>
    </row>
    <row r="107" spans="1:7" x14ac:dyDescent="0.3">
      <c r="A107" s="1" t="s">
        <v>671</v>
      </c>
      <c r="B107" s="1"/>
      <c r="C107" s="1"/>
      <c r="F107">
        <v>-69.362499999999983</v>
      </c>
      <c r="G107">
        <v>-69.362499999999983</v>
      </c>
    </row>
    <row r="108" spans="1:7" x14ac:dyDescent="0.3">
      <c r="A108" s="1" t="s">
        <v>674</v>
      </c>
      <c r="B108" s="1"/>
      <c r="C108" s="1"/>
      <c r="F108">
        <v>-89.5625</v>
      </c>
      <c r="G108">
        <v>-89.5625</v>
      </c>
    </row>
    <row r="109" spans="1:7" x14ac:dyDescent="0.3">
      <c r="A109" s="1" t="s">
        <v>677</v>
      </c>
      <c r="B109" s="1">
        <v>-25.212499999999999</v>
      </c>
      <c r="C109" s="1"/>
    </row>
    <row r="110" spans="1:7" x14ac:dyDescent="0.3">
      <c r="A110" s="1" t="s">
        <v>679</v>
      </c>
      <c r="B110" s="1">
        <v>-44.912500000000001</v>
      </c>
      <c r="C110" s="1"/>
    </row>
    <row r="111" spans="1:7" x14ac:dyDescent="0.3">
      <c r="A111" s="1" t="s">
        <v>681</v>
      </c>
      <c r="B111" s="1">
        <v>-17.0625</v>
      </c>
      <c r="C111" s="1"/>
    </row>
    <row r="112" spans="1:7" x14ac:dyDescent="0.3">
      <c r="A112" s="1" t="s">
        <v>682</v>
      </c>
      <c r="B112" s="1">
        <v>-76.5625</v>
      </c>
      <c r="C112" s="1"/>
    </row>
    <row r="113" spans="1:7" x14ac:dyDescent="0.3">
      <c r="A113" s="1" t="s">
        <v>683</v>
      </c>
      <c r="B113" s="1">
        <v>-68.25</v>
      </c>
      <c r="C113" s="1"/>
    </row>
    <row r="114" spans="1:7" x14ac:dyDescent="0.3">
      <c r="A114" s="1" t="s">
        <v>686</v>
      </c>
      <c r="B114" s="1">
        <v>-56.79999999999999</v>
      </c>
      <c r="C114" s="1"/>
    </row>
    <row r="115" spans="1:7" x14ac:dyDescent="0.3">
      <c r="A115" s="1" t="s">
        <v>688</v>
      </c>
      <c r="B115" s="1">
        <v>-23.35</v>
      </c>
      <c r="C115" s="1"/>
    </row>
    <row r="116" spans="1:7" x14ac:dyDescent="0.3">
      <c r="A116" s="1" t="s">
        <v>690</v>
      </c>
      <c r="B116" s="1">
        <v>-55.837499999999999</v>
      </c>
      <c r="C116" s="1"/>
    </row>
    <row r="117" spans="1:7" x14ac:dyDescent="0.3">
      <c r="A117" s="1" t="s">
        <v>692</v>
      </c>
      <c r="B117" s="1"/>
      <c r="C117" s="1"/>
      <c r="F117">
        <v>-35.162500000000001</v>
      </c>
      <c r="G117">
        <v>-35.162500000000001</v>
      </c>
    </row>
    <row r="118" spans="1:7" x14ac:dyDescent="0.3">
      <c r="A118" s="1" t="s">
        <v>696</v>
      </c>
      <c r="B118" s="1"/>
      <c r="C118" s="1"/>
      <c r="F118">
        <v>-48.512499999999996</v>
      </c>
      <c r="G118">
        <v>-48.512499999999996</v>
      </c>
    </row>
    <row r="119" spans="1:7" x14ac:dyDescent="0.3">
      <c r="A119" s="1" t="s">
        <v>699</v>
      </c>
      <c r="B119" s="1"/>
      <c r="C119" s="1"/>
      <c r="F119">
        <v>-67.599999999999994</v>
      </c>
      <c r="G119">
        <v>-67.599999999999994</v>
      </c>
    </row>
    <row r="120" spans="1:7" x14ac:dyDescent="0.3">
      <c r="A120" s="1" t="s">
        <v>702</v>
      </c>
      <c r="B120" s="1"/>
      <c r="C120" s="1"/>
      <c r="F120">
        <v>-43.437500000000007</v>
      </c>
      <c r="G120">
        <v>-43.437500000000007</v>
      </c>
    </row>
    <row r="121" spans="1:7" x14ac:dyDescent="0.3">
      <c r="A121" s="1" t="s">
        <v>706</v>
      </c>
      <c r="B121" s="1"/>
      <c r="C121" s="1"/>
      <c r="F121">
        <v>-68.337500000000006</v>
      </c>
      <c r="G121">
        <v>-68.337500000000006</v>
      </c>
    </row>
    <row r="122" spans="1:7" x14ac:dyDescent="0.3">
      <c r="A122" s="1" t="s">
        <v>710</v>
      </c>
      <c r="B122" s="1"/>
      <c r="C122" s="1"/>
      <c r="F122">
        <v>-64.962500000000006</v>
      </c>
      <c r="G122">
        <v>-64.962500000000006</v>
      </c>
    </row>
    <row r="123" spans="1:7" x14ac:dyDescent="0.3">
      <c r="A123" s="1" t="s">
        <v>714</v>
      </c>
      <c r="B123" s="1"/>
      <c r="C123" s="1"/>
      <c r="F123">
        <v>-59.512499999999996</v>
      </c>
      <c r="G123">
        <v>-59.512499999999996</v>
      </c>
    </row>
    <row r="124" spans="1:7" x14ac:dyDescent="0.3">
      <c r="A124" s="1" t="s">
        <v>718</v>
      </c>
      <c r="B124" s="1"/>
      <c r="C124" s="1"/>
      <c r="F124">
        <v>-60.212499999999999</v>
      </c>
      <c r="G124">
        <v>-60.212499999999999</v>
      </c>
    </row>
    <row r="125" spans="1:7" x14ac:dyDescent="0.3">
      <c r="A125" s="1" t="s">
        <v>738</v>
      </c>
      <c r="B125" s="1"/>
      <c r="C125" s="1"/>
      <c r="F125">
        <v>-76.575000000000017</v>
      </c>
      <c r="G125">
        <v>-76.575000000000017</v>
      </c>
    </row>
    <row r="126" spans="1:7" x14ac:dyDescent="0.3">
      <c r="A126" s="1" t="s">
        <v>741</v>
      </c>
      <c r="B126" s="1"/>
      <c r="C126" s="1"/>
      <c r="F126">
        <v>-45.487500000000004</v>
      </c>
      <c r="G126">
        <v>-45.487500000000004</v>
      </c>
    </row>
    <row r="127" spans="1:7" x14ac:dyDescent="0.3">
      <c r="A127" s="1" t="s">
        <v>743</v>
      </c>
      <c r="B127" s="1"/>
      <c r="C127" s="1"/>
      <c r="F127">
        <v>-73.387500000000017</v>
      </c>
      <c r="G127">
        <v>-73.387500000000017</v>
      </c>
    </row>
    <row r="128" spans="1:7" x14ac:dyDescent="0.3">
      <c r="A128" s="1" t="s">
        <v>745</v>
      </c>
      <c r="B128" s="1"/>
      <c r="C128" s="1"/>
      <c r="F128">
        <v>-93.65</v>
      </c>
      <c r="G128">
        <v>-93.65</v>
      </c>
    </row>
    <row r="129" spans="1:7" x14ac:dyDescent="0.3">
      <c r="A129" s="1" t="s">
        <v>748</v>
      </c>
      <c r="B129" s="1"/>
      <c r="C129" s="1"/>
      <c r="F129">
        <v>-76.5</v>
      </c>
      <c r="G129">
        <v>-76.5</v>
      </c>
    </row>
    <row r="130" spans="1:7" x14ac:dyDescent="0.3">
      <c r="A130" s="1" t="s">
        <v>751</v>
      </c>
      <c r="B130" s="1"/>
      <c r="C130" s="1"/>
      <c r="F130">
        <v>-96.825000000000017</v>
      </c>
      <c r="G130">
        <v>-96.825000000000017</v>
      </c>
    </row>
    <row r="131" spans="1:7" x14ac:dyDescent="0.3">
      <c r="A131" s="1" t="s">
        <v>754</v>
      </c>
      <c r="B131" s="1"/>
      <c r="C131" s="1"/>
      <c r="F131">
        <v>-56.35</v>
      </c>
      <c r="G131">
        <v>-56.35</v>
      </c>
    </row>
    <row r="132" spans="1:7" x14ac:dyDescent="0.3">
      <c r="A132" s="1" t="s">
        <v>756</v>
      </c>
      <c r="B132" s="1"/>
      <c r="C132" s="1"/>
      <c r="F132">
        <v>-60.57500000000001</v>
      </c>
      <c r="G132">
        <v>-60.57500000000001</v>
      </c>
    </row>
    <row r="133" spans="1:7" x14ac:dyDescent="0.3">
      <c r="A133" s="1" t="s">
        <v>760</v>
      </c>
      <c r="B133" s="1"/>
      <c r="C133" s="1"/>
      <c r="F133">
        <v>-92.337500000000006</v>
      </c>
      <c r="G133">
        <v>-92.337500000000006</v>
      </c>
    </row>
    <row r="134" spans="1:7" x14ac:dyDescent="0.3">
      <c r="A134" s="1" t="s">
        <v>762</v>
      </c>
      <c r="B134" s="1"/>
      <c r="C134" s="1"/>
      <c r="F134">
        <v>-71.575000000000017</v>
      </c>
      <c r="G134">
        <v>-71.575000000000017</v>
      </c>
    </row>
    <row r="135" spans="1:7" x14ac:dyDescent="0.3">
      <c r="A135" s="1" t="s">
        <v>765</v>
      </c>
      <c r="B135" s="1">
        <v>-71.675000000000011</v>
      </c>
      <c r="C135" s="1"/>
    </row>
    <row r="136" spans="1:7" x14ac:dyDescent="0.3">
      <c r="A136" s="1" t="s">
        <v>769</v>
      </c>
      <c r="B136" s="1">
        <v>-39.024999999999999</v>
      </c>
      <c r="C136" s="1"/>
    </row>
    <row r="137" spans="1:7" x14ac:dyDescent="0.3">
      <c r="A137" s="1" t="s">
        <v>773</v>
      </c>
      <c r="B137" s="1">
        <v>-68.512499999999989</v>
      </c>
      <c r="C137" s="1"/>
    </row>
    <row r="138" spans="1:7" x14ac:dyDescent="0.3">
      <c r="A138" s="1" t="s">
        <v>776</v>
      </c>
      <c r="B138" s="1"/>
      <c r="C138" s="1"/>
      <c r="E138">
        <v>-70.549999999999983</v>
      </c>
      <c r="G138">
        <v>-70.549999999999983</v>
      </c>
    </row>
    <row r="139" spans="1:7" x14ac:dyDescent="0.3">
      <c r="A139" s="1" t="s">
        <v>781</v>
      </c>
      <c r="B139" s="1"/>
      <c r="C139" s="1">
        <v>-81.662499999999994</v>
      </c>
    </row>
    <row r="140" spans="1:7" x14ac:dyDescent="0.3">
      <c r="A140" s="1" t="s">
        <v>782</v>
      </c>
      <c r="B140" s="1"/>
      <c r="C140" s="1"/>
      <c r="D140">
        <v>-57.524999999999999</v>
      </c>
    </row>
    <row r="141" spans="1:7" x14ac:dyDescent="0.3">
      <c r="A141" s="1" t="s">
        <v>784</v>
      </c>
      <c r="B141" s="1"/>
      <c r="C141" s="1">
        <v>-74.537499999999994</v>
      </c>
    </row>
    <row r="142" spans="1:7" x14ac:dyDescent="0.3">
      <c r="A142" s="1" t="s">
        <v>787</v>
      </c>
      <c r="B142" s="1"/>
      <c r="C142" s="1">
        <v>-94.325000000000017</v>
      </c>
    </row>
    <row r="143" spans="1:7" x14ac:dyDescent="0.3">
      <c r="A143" s="1" t="s">
        <v>789</v>
      </c>
      <c r="B143" s="1"/>
      <c r="C143" s="1">
        <v>-73.599999999999994</v>
      </c>
    </row>
    <row r="144" spans="1:7" x14ac:dyDescent="0.3">
      <c r="A144" s="1" t="s">
        <v>790</v>
      </c>
      <c r="B144" s="1"/>
      <c r="C144" s="1">
        <v>-82.1</v>
      </c>
    </row>
    <row r="145" spans="1:7" x14ac:dyDescent="0.3">
      <c r="A145" s="1" t="s">
        <v>792</v>
      </c>
      <c r="B145" s="1"/>
      <c r="C145" s="1"/>
      <c r="D145">
        <v>-65.887500000000017</v>
      </c>
    </row>
    <row r="146" spans="1:7" x14ac:dyDescent="0.3">
      <c r="A146" s="1" t="s">
        <v>795</v>
      </c>
      <c r="B146" s="1"/>
      <c r="C146" s="1">
        <v>-67.612500000000011</v>
      </c>
    </row>
    <row r="147" spans="1:7" x14ac:dyDescent="0.3">
      <c r="A147" s="1" t="s">
        <v>798</v>
      </c>
      <c r="B147" s="1"/>
      <c r="C147" s="1"/>
      <c r="F147">
        <v>-89.65</v>
      </c>
      <c r="G147">
        <v>-89.65</v>
      </c>
    </row>
    <row r="148" spans="1:7" x14ac:dyDescent="0.3">
      <c r="A148" s="1" t="s">
        <v>802</v>
      </c>
      <c r="B148" s="1"/>
      <c r="C148" s="1"/>
      <c r="F148">
        <v>-71.200000000000017</v>
      </c>
      <c r="G148">
        <v>-71.200000000000017</v>
      </c>
    </row>
    <row r="149" spans="1:7" x14ac:dyDescent="0.3">
      <c r="A149" s="1" t="s">
        <v>806</v>
      </c>
      <c r="B149" s="1"/>
      <c r="C149" s="1"/>
      <c r="F149">
        <v>-66.262500000000017</v>
      </c>
      <c r="G149">
        <v>-66.262500000000017</v>
      </c>
    </row>
    <row r="150" spans="1:7" x14ac:dyDescent="0.3">
      <c r="A150" s="1" t="s">
        <v>808</v>
      </c>
      <c r="B150" s="1"/>
      <c r="C150" s="1"/>
      <c r="F150">
        <v>-75.862499999999983</v>
      </c>
      <c r="G150">
        <v>-75.862499999999983</v>
      </c>
    </row>
    <row r="151" spans="1:7" x14ac:dyDescent="0.3">
      <c r="A151" s="1" t="s">
        <v>810</v>
      </c>
      <c r="B151" s="1"/>
      <c r="C151" s="1"/>
      <c r="F151">
        <v>-76.974999999999994</v>
      </c>
      <c r="G151">
        <v>-76.974999999999994</v>
      </c>
    </row>
    <row r="152" spans="1:7" x14ac:dyDescent="0.3">
      <c r="A152" s="1" t="s">
        <v>812</v>
      </c>
      <c r="B152" s="1"/>
      <c r="C152" s="1"/>
      <c r="F152">
        <v>-74.950000000000017</v>
      </c>
      <c r="G152">
        <v>-74.950000000000017</v>
      </c>
    </row>
    <row r="153" spans="1:7" x14ac:dyDescent="0.3">
      <c r="A153" s="1" t="s">
        <v>814</v>
      </c>
      <c r="B153" s="1"/>
      <c r="C153" s="1"/>
      <c r="F153">
        <v>-100.38749999999999</v>
      </c>
      <c r="G153">
        <v>-100.38749999999999</v>
      </c>
    </row>
    <row r="154" spans="1:7" x14ac:dyDescent="0.3">
      <c r="A154" s="1" t="s">
        <v>817</v>
      </c>
      <c r="B154" s="1"/>
      <c r="C154" s="1"/>
      <c r="F154">
        <v>-63.375000000000007</v>
      </c>
      <c r="G154">
        <v>-63.375000000000007</v>
      </c>
    </row>
    <row r="155" spans="1:7" x14ac:dyDescent="0.3">
      <c r="A155" s="1" t="s">
        <v>819</v>
      </c>
      <c r="B155" s="1"/>
      <c r="C155" s="1"/>
      <c r="F155">
        <v>-69.049999999999983</v>
      </c>
      <c r="G155">
        <v>-69.049999999999983</v>
      </c>
    </row>
    <row r="156" spans="1:7" x14ac:dyDescent="0.3">
      <c r="A156" s="1" t="s">
        <v>821</v>
      </c>
      <c r="B156" s="1"/>
      <c r="C156" s="1"/>
      <c r="F156">
        <v>-52.524999999999999</v>
      </c>
      <c r="G156">
        <v>-52.524999999999999</v>
      </c>
    </row>
    <row r="157" spans="1:7" x14ac:dyDescent="0.3">
      <c r="A157" s="1" t="s">
        <v>823</v>
      </c>
      <c r="B157" s="1"/>
      <c r="C157" s="1"/>
      <c r="D157">
        <v>-80.162499999999994</v>
      </c>
    </row>
    <row r="158" spans="1:7" x14ac:dyDescent="0.3">
      <c r="A158" s="1" t="s">
        <v>826</v>
      </c>
      <c r="B158" s="1"/>
      <c r="C158" s="1">
        <v>-95.862499999999983</v>
      </c>
    </row>
    <row r="159" spans="1:7" x14ac:dyDescent="0.3">
      <c r="A159" s="1" t="s">
        <v>830</v>
      </c>
      <c r="B159" s="1"/>
      <c r="C159" s="1">
        <v>-64.637500000000017</v>
      </c>
    </row>
    <row r="160" spans="1:7" x14ac:dyDescent="0.3">
      <c r="A160" s="1" t="s">
        <v>831</v>
      </c>
      <c r="B160" s="1"/>
      <c r="C160" s="1">
        <v>-60.274999999999999</v>
      </c>
    </row>
    <row r="161" spans="1:7" x14ac:dyDescent="0.3">
      <c r="A161" s="1" t="s">
        <v>834</v>
      </c>
      <c r="B161" s="1"/>
      <c r="C161" s="1">
        <v>-72.737499999999983</v>
      </c>
    </row>
    <row r="162" spans="1:7" x14ac:dyDescent="0.3">
      <c r="A162" s="1" t="s">
        <v>838</v>
      </c>
      <c r="B162" s="1"/>
      <c r="C162" s="1">
        <v>-73.375</v>
      </c>
    </row>
    <row r="163" spans="1:7" x14ac:dyDescent="0.3">
      <c r="A163" s="1" t="s">
        <v>842</v>
      </c>
      <c r="B163" s="1"/>
      <c r="C163" s="1">
        <v>-93.487500000000011</v>
      </c>
    </row>
    <row r="164" spans="1:7" x14ac:dyDescent="0.3">
      <c r="A164" s="1" t="s">
        <v>844</v>
      </c>
      <c r="B164" s="1"/>
      <c r="C164" s="1">
        <v>-81.662499999999994</v>
      </c>
    </row>
    <row r="165" spans="1:7" x14ac:dyDescent="0.3">
      <c r="A165" s="1" t="s">
        <v>846</v>
      </c>
      <c r="B165" s="1"/>
      <c r="C165" s="1"/>
      <c r="F165">
        <v>-66.5</v>
      </c>
      <c r="G165">
        <v>-66.5</v>
      </c>
    </row>
    <row r="166" spans="1:7" x14ac:dyDescent="0.3">
      <c r="A166" s="1" t="s">
        <v>850</v>
      </c>
      <c r="B166" s="1"/>
      <c r="C166" s="1"/>
      <c r="F166">
        <v>-16.174999999999997</v>
      </c>
      <c r="G166">
        <v>-16.174999999999997</v>
      </c>
    </row>
    <row r="167" spans="1:7" x14ac:dyDescent="0.3">
      <c r="A167" s="1" t="s">
        <v>852</v>
      </c>
      <c r="B167" s="1"/>
      <c r="C167" s="1"/>
      <c r="F167">
        <v>-93.674999999999983</v>
      </c>
      <c r="G167">
        <v>-93.674999999999983</v>
      </c>
    </row>
    <row r="168" spans="1:7" x14ac:dyDescent="0.3">
      <c r="A168" s="1" t="s">
        <v>855</v>
      </c>
      <c r="B168" s="1"/>
      <c r="C168" s="1"/>
      <c r="F168">
        <v>-73.400000000000006</v>
      </c>
      <c r="G168">
        <v>-73.400000000000006</v>
      </c>
    </row>
    <row r="169" spans="1:7" x14ac:dyDescent="0.3">
      <c r="A169" s="1" t="s">
        <v>857</v>
      </c>
      <c r="B169" s="1"/>
      <c r="C169" s="1"/>
      <c r="F169">
        <v>-89.087500000000006</v>
      </c>
      <c r="G169">
        <v>-89.087500000000006</v>
      </c>
    </row>
    <row r="170" spans="1:7" x14ac:dyDescent="0.3">
      <c r="A170" s="1" t="s">
        <v>859</v>
      </c>
      <c r="B170" s="1"/>
      <c r="C170" s="1"/>
      <c r="F170">
        <v>-70.9375</v>
      </c>
      <c r="G170">
        <v>-70.9375</v>
      </c>
    </row>
    <row r="171" spans="1:7" x14ac:dyDescent="0.3">
      <c r="A171" s="1" t="s">
        <v>861</v>
      </c>
      <c r="B171" s="1"/>
      <c r="C171" s="1"/>
      <c r="F171">
        <v>-46.949999999999996</v>
      </c>
      <c r="G171">
        <v>-46.949999999999996</v>
      </c>
    </row>
    <row r="172" spans="1:7" x14ac:dyDescent="0.3">
      <c r="A172" s="1" t="s">
        <v>863</v>
      </c>
      <c r="B172" s="1"/>
      <c r="C172" s="1"/>
      <c r="F172">
        <v>-72.912499999999994</v>
      </c>
      <c r="G172">
        <v>-72.912499999999994</v>
      </c>
    </row>
    <row r="173" spans="1:7" x14ac:dyDescent="0.3">
      <c r="A173" s="1" t="s">
        <v>865</v>
      </c>
      <c r="B173" s="1"/>
      <c r="C173" s="1"/>
      <c r="F173">
        <v>-37.287500000000001</v>
      </c>
      <c r="G173">
        <v>-37.287500000000001</v>
      </c>
    </row>
    <row r="174" spans="1:7" x14ac:dyDescent="0.3">
      <c r="A174" s="1" t="s">
        <v>867</v>
      </c>
      <c r="B174" s="1"/>
      <c r="C174" s="1"/>
      <c r="F174">
        <v>-78.550000000000011</v>
      </c>
      <c r="G174">
        <v>-78.550000000000011</v>
      </c>
    </row>
    <row r="175" spans="1:7" x14ac:dyDescent="0.3">
      <c r="A175" s="1" t="s">
        <v>869</v>
      </c>
      <c r="B175" s="1"/>
      <c r="C175" s="1"/>
      <c r="F175">
        <v>-68.700000000000017</v>
      </c>
      <c r="G175">
        <v>-68.700000000000017</v>
      </c>
    </row>
    <row r="176" spans="1:7" x14ac:dyDescent="0.3">
      <c r="A176" s="1" t="s">
        <v>872</v>
      </c>
      <c r="B176" s="1"/>
      <c r="C176" s="1"/>
      <c r="F176">
        <v>-30.912500000000001</v>
      </c>
      <c r="G176">
        <v>-30.912500000000001</v>
      </c>
    </row>
    <row r="177" spans="1:7" x14ac:dyDescent="0.3">
      <c r="A177" s="1" t="s">
        <v>874</v>
      </c>
      <c r="B177" s="1"/>
      <c r="C177" s="1"/>
      <c r="F177">
        <v>-64.737500000000011</v>
      </c>
      <c r="G177">
        <v>-64.737500000000011</v>
      </c>
    </row>
    <row r="178" spans="1:7" x14ac:dyDescent="0.3">
      <c r="A178" s="1" t="s">
        <v>876</v>
      </c>
      <c r="B178" s="1"/>
      <c r="C178" s="1"/>
      <c r="F178">
        <v>-72.837500000000006</v>
      </c>
      <c r="G178">
        <v>-72.837500000000006</v>
      </c>
    </row>
    <row r="179" spans="1:7" x14ac:dyDescent="0.3">
      <c r="A179" s="1" t="s">
        <v>878</v>
      </c>
      <c r="B179" s="1"/>
      <c r="C179" s="1"/>
      <c r="F179">
        <v>-69.0625</v>
      </c>
      <c r="G179">
        <v>-69.0625</v>
      </c>
    </row>
    <row r="180" spans="1:7" x14ac:dyDescent="0.3">
      <c r="A180" s="1" t="s">
        <v>880</v>
      </c>
      <c r="B180" s="1"/>
      <c r="C180" s="1"/>
      <c r="F180">
        <v>-74.724999999999994</v>
      </c>
      <c r="G180">
        <v>-74.724999999999994</v>
      </c>
    </row>
    <row r="181" spans="1:7" x14ac:dyDescent="0.3">
      <c r="A181" s="1" t="s">
        <v>883</v>
      </c>
      <c r="B181" s="1"/>
      <c r="C181" s="1"/>
      <c r="F181">
        <v>-87.362500000000011</v>
      </c>
      <c r="G181">
        <v>-87.362500000000011</v>
      </c>
    </row>
    <row r="182" spans="1:7" x14ac:dyDescent="0.3">
      <c r="A182" s="1" t="s">
        <v>886</v>
      </c>
      <c r="B182" s="1"/>
      <c r="C182" s="1"/>
      <c r="F182">
        <v>-74.049999999999983</v>
      </c>
      <c r="G182">
        <v>-74.049999999999983</v>
      </c>
    </row>
    <row r="183" spans="1:7" x14ac:dyDescent="0.3">
      <c r="A183" s="1" t="s">
        <v>888</v>
      </c>
      <c r="B183" s="1"/>
      <c r="C183" s="1"/>
      <c r="F183">
        <v>-80.5625</v>
      </c>
      <c r="G183">
        <v>-80.5625</v>
      </c>
    </row>
    <row r="184" spans="1:7" x14ac:dyDescent="0.3">
      <c r="A184" s="1" t="s">
        <v>891</v>
      </c>
      <c r="B184" s="1"/>
      <c r="C184" s="1"/>
      <c r="F184">
        <v>-60.199999999999996</v>
      </c>
      <c r="G184">
        <v>-60.199999999999996</v>
      </c>
    </row>
    <row r="185" spans="1:7" x14ac:dyDescent="0.3">
      <c r="A185" s="1" t="s">
        <v>893</v>
      </c>
      <c r="B185" s="1"/>
      <c r="C185" s="1"/>
      <c r="F185">
        <v>-103.4375</v>
      </c>
      <c r="G185">
        <v>-103.4375</v>
      </c>
    </row>
    <row r="186" spans="1:7" x14ac:dyDescent="0.3">
      <c r="A186" s="1" t="s">
        <v>895</v>
      </c>
      <c r="B186" s="1"/>
      <c r="C186" s="1"/>
      <c r="F186">
        <v>-101.4</v>
      </c>
      <c r="G186">
        <v>-101.4</v>
      </c>
    </row>
    <row r="187" spans="1:7" x14ac:dyDescent="0.3">
      <c r="A187" s="1" t="s">
        <v>897</v>
      </c>
      <c r="B187" s="1">
        <v>-40.250000000000007</v>
      </c>
      <c r="C187" s="1"/>
    </row>
    <row r="188" spans="1:7" x14ac:dyDescent="0.3">
      <c r="A188" s="1" t="s">
        <v>901</v>
      </c>
      <c r="B188" s="1"/>
      <c r="C188" s="1">
        <v>-87.074999999999989</v>
      </c>
    </row>
    <row r="189" spans="1:7" x14ac:dyDescent="0.3">
      <c r="A189" s="1" t="s">
        <v>905</v>
      </c>
      <c r="B189" s="1"/>
      <c r="C189" s="1">
        <v>-52.687500000000007</v>
      </c>
    </row>
    <row r="190" spans="1:7" x14ac:dyDescent="0.3">
      <c r="A190" s="1" t="s">
        <v>907</v>
      </c>
      <c r="B190" s="1">
        <v>-61.987500000000004</v>
      </c>
      <c r="C190" s="1"/>
    </row>
    <row r="191" spans="1:7" x14ac:dyDescent="0.3">
      <c r="A191" s="1" t="s">
        <v>910</v>
      </c>
      <c r="B191" s="1">
        <v>-78.25</v>
      </c>
      <c r="C191" s="1"/>
    </row>
    <row r="192" spans="1:7" x14ac:dyDescent="0.3">
      <c r="A192" s="1" t="s">
        <v>913</v>
      </c>
      <c r="B192" s="1">
        <v>-68.087500000000006</v>
      </c>
      <c r="C192" s="1"/>
    </row>
    <row r="193" spans="1:7" x14ac:dyDescent="0.3">
      <c r="A193" s="1" t="s">
        <v>917</v>
      </c>
      <c r="B193" s="1">
        <v>-61.337500000000013</v>
      </c>
      <c r="C193" s="1"/>
    </row>
    <row r="194" spans="1:7" x14ac:dyDescent="0.3">
      <c r="A194" s="1" t="s">
        <v>919</v>
      </c>
      <c r="B194" s="1">
        <v>-83.987499999999983</v>
      </c>
      <c r="C194" s="1"/>
    </row>
    <row r="195" spans="1:7" x14ac:dyDescent="0.3">
      <c r="A195" s="1" t="s">
        <v>921</v>
      </c>
      <c r="B195" s="1">
        <v>-66.112500000000011</v>
      </c>
      <c r="C195" s="1"/>
    </row>
    <row r="196" spans="1:7" x14ac:dyDescent="0.3">
      <c r="A196" s="1" t="s">
        <v>924</v>
      </c>
      <c r="B196" s="1">
        <v>-55.387499999999996</v>
      </c>
      <c r="C196" s="1"/>
    </row>
    <row r="197" spans="1:7" x14ac:dyDescent="0.3">
      <c r="A197" s="1" t="s">
        <v>926</v>
      </c>
      <c r="B197" s="1">
        <v>-77.050000000000011</v>
      </c>
      <c r="C197" s="1"/>
    </row>
    <row r="198" spans="1:7" x14ac:dyDescent="0.3">
      <c r="A198" s="1" t="s">
        <v>929</v>
      </c>
      <c r="B198" s="1"/>
      <c r="C198" s="1"/>
      <c r="F198">
        <v>-55.587499999999999</v>
      </c>
      <c r="G198">
        <v>-55.587499999999999</v>
      </c>
    </row>
    <row r="199" spans="1:7" x14ac:dyDescent="0.3">
      <c r="A199" s="1" t="s">
        <v>933</v>
      </c>
      <c r="B199" s="1"/>
      <c r="C199" s="1"/>
      <c r="F199">
        <v>-62.687500000000007</v>
      </c>
      <c r="G199">
        <v>-62.687500000000007</v>
      </c>
    </row>
    <row r="200" spans="1:7" x14ac:dyDescent="0.3">
      <c r="A200" s="1" t="s">
        <v>936</v>
      </c>
      <c r="B200" s="1"/>
      <c r="C200" s="1"/>
      <c r="F200">
        <v>-33.125</v>
      </c>
      <c r="G200">
        <v>-33.125</v>
      </c>
    </row>
    <row r="201" spans="1:7" x14ac:dyDescent="0.3">
      <c r="A201" s="1" t="s">
        <v>939</v>
      </c>
      <c r="B201" s="1"/>
      <c r="C201" s="1"/>
      <c r="F201">
        <v>-90.025000000000006</v>
      </c>
      <c r="G201">
        <v>-90.025000000000006</v>
      </c>
    </row>
    <row r="202" spans="1:7" x14ac:dyDescent="0.3">
      <c r="A202" s="1" t="s">
        <v>942</v>
      </c>
      <c r="B202" s="1"/>
      <c r="C202" s="1"/>
      <c r="F202">
        <v>-76.762499999999989</v>
      </c>
      <c r="G202">
        <v>-76.762499999999989</v>
      </c>
    </row>
    <row r="203" spans="1:7" x14ac:dyDescent="0.3">
      <c r="A203" s="1" t="s">
        <v>944</v>
      </c>
      <c r="B203" s="1"/>
      <c r="C203" s="1"/>
      <c r="F203">
        <v>-12.487500000000004</v>
      </c>
      <c r="G203">
        <v>-12.487500000000004</v>
      </c>
    </row>
    <row r="204" spans="1:7" x14ac:dyDescent="0.3">
      <c r="A204" s="1" t="s">
        <v>946</v>
      </c>
      <c r="B204" s="1"/>
      <c r="C204" s="1"/>
      <c r="F204">
        <v>-70.287499999999994</v>
      </c>
      <c r="G204">
        <v>-70.287499999999994</v>
      </c>
    </row>
    <row r="205" spans="1:7" x14ac:dyDescent="0.3">
      <c r="A205" s="1" t="s">
        <v>949</v>
      </c>
      <c r="B205" s="1"/>
      <c r="C205" s="1"/>
      <c r="F205">
        <v>-74.824999999999989</v>
      </c>
      <c r="G205">
        <v>-74.824999999999989</v>
      </c>
    </row>
    <row r="206" spans="1:7" x14ac:dyDescent="0.3">
      <c r="A206" s="1" t="s">
        <v>952</v>
      </c>
      <c r="B206" s="1"/>
      <c r="C206" s="1"/>
      <c r="F206">
        <v>-64.912499999999994</v>
      </c>
      <c r="G206">
        <v>-64.912499999999994</v>
      </c>
    </row>
    <row r="207" spans="1:7" x14ac:dyDescent="0.3">
      <c r="A207" s="1" t="s">
        <v>955</v>
      </c>
      <c r="B207" s="1"/>
      <c r="C207" s="1"/>
      <c r="F207">
        <v>-85.4</v>
      </c>
      <c r="G207">
        <v>-85.4</v>
      </c>
    </row>
    <row r="208" spans="1:7" x14ac:dyDescent="0.3">
      <c r="A208" s="1" t="s">
        <v>957</v>
      </c>
      <c r="B208" s="1"/>
      <c r="C208" s="1"/>
      <c r="F208">
        <v>-82.987500000000011</v>
      </c>
      <c r="G208">
        <v>-82.987500000000011</v>
      </c>
    </row>
    <row r="209" spans="1:7" x14ac:dyDescent="0.3">
      <c r="A209" s="1" t="s">
        <v>959</v>
      </c>
      <c r="B209" s="1"/>
      <c r="C209" s="1"/>
      <c r="F209">
        <v>-89.237500000000011</v>
      </c>
      <c r="G209">
        <v>-89.237500000000011</v>
      </c>
    </row>
    <row r="210" spans="1:7" x14ac:dyDescent="0.3">
      <c r="A210" s="1" t="s">
        <v>961</v>
      </c>
      <c r="B210" s="1"/>
      <c r="C210" s="1"/>
      <c r="F210">
        <v>-44.525000000000013</v>
      </c>
      <c r="G210">
        <v>-44.525000000000013</v>
      </c>
    </row>
    <row r="211" spans="1:7" x14ac:dyDescent="0.3">
      <c r="A211" s="1" t="s">
        <v>962</v>
      </c>
      <c r="B211" s="1"/>
      <c r="C211" s="1"/>
      <c r="F211">
        <v>-92.8125</v>
      </c>
      <c r="G211">
        <v>-92.8125</v>
      </c>
    </row>
    <row r="212" spans="1:7" x14ac:dyDescent="0.3">
      <c r="A212" s="1" t="s">
        <v>964</v>
      </c>
      <c r="B212" s="1"/>
      <c r="C212" s="1"/>
      <c r="F212">
        <v>-63.975000000000001</v>
      </c>
      <c r="G212">
        <v>-63.975000000000001</v>
      </c>
    </row>
    <row r="213" spans="1:7" x14ac:dyDescent="0.3">
      <c r="A213" s="1" t="s">
        <v>966</v>
      </c>
      <c r="B213" s="1"/>
      <c r="C213" s="1"/>
      <c r="F213">
        <v>-45.65</v>
      </c>
      <c r="G213">
        <v>-45.65</v>
      </c>
    </row>
    <row r="214" spans="1:7" x14ac:dyDescent="0.3">
      <c r="A214" s="1" t="s">
        <v>967</v>
      </c>
      <c r="B214" s="1"/>
      <c r="C214" s="1"/>
      <c r="F214">
        <v>-73.787499999999994</v>
      </c>
      <c r="G214">
        <v>-73.787499999999994</v>
      </c>
    </row>
    <row r="215" spans="1:7" x14ac:dyDescent="0.3">
      <c r="A215" s="1" t="s">
        <v>968</v>
      </c>
      <c r="B215" s="1"/>
      <c r="C215" s="1"/>
      <c r="F215">
        <v>-90.712500000000006</v>
      </c>
      <c r="G215">
        <v>-90.712500000000006</v>
      </c>
    </row>
    <row r="216" spans="1:7" x14ac:dyDescent="0.3">
      <c r="A216" s="1" t="s">
        <v>970</v>
      </c>
      <c r="B216" s="1"/>
      <c r="C216" s="1"/>
      <c r="F216">
        <v>-67.324999999999989</v>
      </c>
      <c r="G216">
        <v>-67.324999999999989</v>
      </c>
    </row>
    <row r="217" spans="1:7" x14ac:dyDescent="0.3">
      <c r="A217" s="1" t="s">
        <v>972</v>
      </c>
      <c r="B217" s="1"/>
      <c r="C217" s="1"/>
      <c r="F217">
        <v>-44.500000000000007</v>
      </c>
      <c r="G217">
        <v>-44.500000000000007</v>
      </c>
    </row>
    <row r="218" spans="1:7" x14ac:dyDescent="0.3">
      <c r="A218" s="1" t="s">
        <v>973</v>
      </c>
      <c r="B218" s="1"/>
      <c r="C218" s="1"/>
      <c r="F218">
        <v>-70.912499999999994</v>
      </c>
      <c r="G218">
        <v>-70.912499999999994</v>
      </c>
    </row>
    <row r="219" spans="1:7" x14ac:dyDescent="0.3">
      <c r="A219" s="1" t="s">
        <v>974</v>
      </c>
      <c r="B219" s="1"/>
      <c r="C219" s="1"/>
      <c r="F219">
        <v>-66.525000000000006</v>
      </c>
      <c r="G219">
        <v>-66.525000000000006</v>
      </c>
    </row>
    <row r="220" spans="1:7" x14ac:dyDescent="0.3">
      <c r="A220" s="1" t="s">
        <v>975</v>
      </c>
      <c r="B220" s="1"/>
      <c r="C220" s="1"/>
      <c r="F220">
        <v>-72.450000000000017</v>
      </c>
      <c r="G220">
        <v>-72.450000000000017</v>
      </c>
    </row>
    <row r="221" spans="1:7" x14ac:dyDescent="0.3">
      <c r="A221" s="1" t="s">
        <v>983</v>
      </c>
      <c r="B221" s="1"/>
      <c r="C221" s="1"/>
      <c r="F221">
        <v>-60.912500000000001</v>
      </c>
      <c r="G221">
        <v>-60.912500000000001</v>
      </c>
    </row>
    <row r="222" spans="1:7" x14ac:dyDescent="0.3">
      <c r="A222" s="1" t="s">
        <v>986</v>
      </c>
      <c r="B222" s="1"/>
      <c r="C222" s="1"/>
      <c r="F222">
        <v>-91.799999999999983</v>
      </c>
      <c r="G222">
        <v>-91.799999999999983</v>
      </c>
    </row>
    <row r="223" spans="1:7" x14ac:dyDescent="0.3">
      <c r="A223" s="1" t="s">
        <v>988</v>
      </c>
      <c r="B223" s="1"/>
      <c r="C223" s="1"/>
      <c r="F223">
        <v>-54.32500000000001</v>
      </c>
      <c r="G223">
        <v>-54.32500000000001</v>
      </c>
    </row>
    <row r="224" spans="1:7" x14ac:dyDescent="0.3">
      <c r="A224" s="1" t="s">
        <v>989</v>
      </c>
      <c r="B224" s="1"/>
      <c r="C224" s="1"/>
      <c r="F224">
        <v>-61.9</v>
      </c>
      <c r="G224">
        <v>-61.9</v>
      </c>
    </row>
    <row r="225" spans="1:7" x14ac:dyDescent="0.3">
      <c r="A225" s="1" t="s">
        <v>991</v>
      </c>
      <c r="B225" s="1"/>
      <c r="C225" s="1"/>
      <c r="F225">
        <v>-63.1</v>
      </c>
      <c r="G225">
        <v>-63.1</v>
      </c>
    </row>
    <row r="226" spans="1:7" x14ac:dyDescent="0.3">
      <c r="A226" s="1" t="s">
        <v>994</v>
      </c>
      <c r="B226" s="1"/>
      <c r="C226" s="1"/>
      <c r="F226">
        <v>-80.287499999999994</v>
      </c>
      <c r="G226">
        <v>-80.287499999999994</v>
      </c>
    </row>
    <row r="227" spans="1:7" x14ac:dyDescent="0.3">
      <c r="A227" s="1" t="s">
        <v>996</v>
      </c>
      <c r="B227" s="1"/>
      <c r="C227" s="1"/>
      <c r="F227">
        <v>-86.162499999999994</v>
      </c>
      <c r="G227">
        <v>-86.162499999999994</v>
      </c>
    </row>
    <row r="228" spans="1:7" x14ac:dyDescent="0.3">
      <c r="A228" s="1" t="s">
        <v>1002</v>
      </c>
      <c r="B228" s="1">
        <v>-74.0625</v>
      </c>
      <c r="C228" s="1"/>
    </row>
    <row r="229" spans="1:7" x14ac:dyDescent="0.3">
      <c r="A229" s="1" t="s">
        <v>1004</v>
      </c>
      <c r="B229" s="1">
        <v>-55.037500000000001</v>
      </c>
      <c r="C229" s="1"/>
    </row>
    <row r="230" spans="1:7" x14ac:dyDescent="0.3">
      <c r="A230" s="1" t="s">
        <v>1034</v>
      </c>
      <c r="B230" s="1">
        <v>-70.662499999999994</v>
      </c>
      <c r="C230" s="1"/>
    </row>
    <row r="231" spans="1:7" x14ac:dyDescent="0.3">
      <c r="A231" s="1" t="s">
        <v>1038</v>
      </c>
      <c r="B231" s="1">
        <v>-67.825000000000017</v>
      </c>
      <c r="C231" s="1"/>
    </row>
    <row r="232" spans="1:7" x14ac:dyDescent="0.3">
      <c r="A232" s="1" t="s">
        <v>1042</v>
      </c>
      <c r="B232" s="1"/>
      <c r="C232" s="1"/>
      <c r="F232">
        <v>-15.612500000000004</v>
      </c>
      <c r="G232">
        <v>-15.612500000000004</v>
      </c>
    </row>
    <row r="233" spans="1:7" x14ac:dyDescent="0.3">
      <c r="A233" s="1" t="s">
        <v>1045</v>
      </c>
      <c r="B233" s="1"/>
      <c r="C233" s="1"/>
      <c r="F233">
        <v>-67.699999999999989</v>
      </c>
      <c r="G233">
        <v>-67.699999999999989</v>
      </c>
    </row>
    <row r="234" spans="1:7" x14ac:dyDescent="0.3">
      <c r="A234" s="1" t="s">
        <v>1049</v>
      </c>
      <c r="B234" s="1"/>
      <c r="C234" s="1"/>
      <c r="F234">
        <v>-58.42499999999999</v>
      </c>
      <c r="G234">
        <v>-58.42499999999999</v>
      </c>
    </row>
    <row r="235" spans="1:7" x14ac:dyDescent="0.3">
      <c r="A235" s="1" t="s">
        <v>1052</v>
      </c>
      <c r="B235" s="1">
        <v>-68</v>
      </c>
      <c r="C235" s="1"/>
    </row>
    <row r="236" spans="1:7" x14ac:dyDescent="0.3">
      <c r="A236" s="1" t="s">
        <v>1055</v>
      </c>
      <c r="B236" s="1">
        <v>-55.749999999999993</v>
      </c>
      <c r="C236" s="1"/>
    </row>
    <row r="237" spans="1:7" x14ac:dyDescent="0.3">
      <c r="A237" s="1" t="s">
        <v>1059</v>
      </c>
      <c r="B237" s="1">
        <v>-75.950000000000017</v>
      </c>
      <c r="C237" s="1"/>
    </row>
    <row r="238" spans="1:7" x14ac:dyDescent="0.3">
      <c r="A238" s="1" t="s">
        <v>1062</v>
      </c>
      <c r="B238" s="1">
        <v>-69.112500000000011</v>
      </c>
      <c r="C238" s="1"/>
    </row>
    <row r="239" spans="1:7" x14ac:dyDescent="0.3">
      <c r="A239" s="1" t="s">
        <v>1064</v>
      </c>
      <c r="B239" s="1">
        <v>-90.85</v>
      </c>
      <c r="C239" s="1"/>
    </row>
    <row r="240" spans="1:7" x14ac:dyDescent="0.3">
      <c r="A240" s="1" t="s">
        <v>1067</v>
      </c>
      <c r="B240" s="1">
        <v>-80.875</v>
      </c>
      <c r="C240" s="1"/>
    </row>
    <row r="241" spans="1:7" x14ac:dyDescent="0.3">
      <c r="A241" s="1" t="s">
        <v>1070</v>
      </c>
      <c r="B241" s="1">
        <v>-55.787500000000001</v>
      </c>
      <c r="C241" s="1"/>
    </row>
    <row r="242" spans="1:7" x14ac:dyDescent="0.3">
      <c r="A242" s="1" t="s">
        <v>1073</v>
      </c>
      <c r="B242" s="1">
        <v>-37.712499999999999</v>
      </c>
      <c r="C242" s="1"/>
    </row>
    <row r="243" spans="1:7" x14ac:dyDescent="0.3">
      <c r="A243" s="1" t="s">
        <v>1076</v>
      </c>
      <c r="B243" s="1">
        <v>-47.512499999999996</v>
      </c>
      <c r="C243" s="1"/>
    </row>
    <row r="244" spans="1:7" x14ac:dyDescent="0.3">
      <c r="A244" s="1" t="s">
        <v>1078</v>
      </c>
      <c r="B244" s="1">
        <v>-56.837499999999999</v>
      </c>
      <c r="C244" s="1"/>
    </row>
    <row r="245" spans="1:7" x14ac:dyDescent="0.3">
      <c r="A245" s="1" t="s">
        <v>1080</v>
      </c>
      <c r="B245" s="1">
        <v>-74.887499999999989</v>
      </c>
      <c r="C245" s="1"/>
    </row>
    <row r="246" spans="1:7" x14ac:dyDescent="0.3">
      <c r="A246" s="1" t="s">
        <v>1083</v>
      </c>
      <c r="B246" s="1">
        <v>-61.050000000000004</v>
      </c>
      <c r="C246" s="1"/>
    </row>
    <row r="247" spans="1:7" x14ac:dyDescent="0.3">
      <c r="A247" s="1" t="s">
        <v>1086</v>
      </c>
      <c r="B247" s="1">
        <v>-50.88750000000001</v>
      </c>
      <c r="C247" s="1"/>
    </row>
    <row r="248" spans="1:7" x14ac:dyDescent="0.3">
      <c r="A248" s="1" t="s">
        <v>1089</v>
      </c>
      <c r="B248" s="1">
        <v>-87.35</v>
      </c>
      <c r="C248" s="1"/>
    </row>
    <row r="249" spans="1:7" x14ac:dyDescent="0.3">
      <c r="A249" s="1" t="s">
        <v>1092</v>
      </c>
      <c r="B249" s="1"/>
      <c r="C249" s="1"/>
      <c r="F249">
        <v>-62.612500000000004</v>
      </c>
      <c r="G249">
        <v>-62.612500000000004</v>
      </c>
    </row>
    <row r="250" spans="1:7" x14ac:dyDescent="0.3">
      <c r="A250" s="1" t="s">
        <v>1096</v>
      </c>
      <c r="B250" s="1"/>
      <c r="C250" s="1"/>
      <c r="F250">
        <v>-58.375000000000007</v>
      </c>
      <c r="G250">
        <v>-58.375000000000007</v>
      </c>
    </row>
    <row r="251" spans="1:7" x14ac:dyDescent="0.3">
      <c r="A251" s="1" t="s">
        <v>1100</v>
      </c>
      <c r="B251" s="1"/>
      <c r="C251" s="1"/>
      <c r="F251">
        <v>-75.125</v>
      </c>
      <c r="G251">
        <v>-75.125</v>
      </c>
    </row>
    <row r="252" spans="1:7" x14ac:dyDescent="0.3">
      <c r="A252" s="1" t="s">
        <v>1102</v>
      </c>
      <c r="B252" s="1"/>
      <c r="C252" s="1"/>
      <c r="F252">
        <v>-46.65</v>
      </c>
      <c r="G252">
        <v>-46.65</v>
      </c>
    </row>
    <row r="253" spans="1:7" x14ac:dyDescent="0.3">
      <c r="A253" s="1" t="s">
        <v>1104</v>
      </c>
      <c r="B253" s="1"/>
      <c r="C253" s="1"/>
      <c r="F253">
        <v>-68.287499999999994</v>
      </c>
      <c r="G253">
        <v>-68.287499999999994</v>
      </c>
    </row>
    <row r="254" spans="1:7" x14ac:dyDescent="0.3">
      <c r="A254" s="1" t="s">
        <v>1107</v>
      </c>
      <c r="B254" s="1"/>
      <c r="C254" s="1"/>
      <c r="F254">
        <v>-75.537499999999994</v>
      </c>
      <c r="G254">
        <v>-75.537499999999994</v>
      </c>
    </row>
    <row r="255" spans="1:7" x14ac:dyDescent="0.3">
      <c r="A255" s="1" t="s">
        <v>1111</v>
      </c>
      <c r="B255" s="1"/>
      <c r="C255" s="1"/>
      <c r="F255">
        <v>-48.437500000000007</v>
      </c>
      <c r="G255">
        <v>-48.437500000000007</v>
      </c>
    </row>
    <row r="256" spans="1:7" x14ac:dyDescent="0.3">
      <c r="A256" s="1" t="s">
        <v>1113</v>
      </c>
      <c r="B256" s="1"/>
      <c r="C256" s="1"/>
      <c r="F256">
        <v>-72.074999999999989</v>
      </c>
      <c r="G256">
        <v>-72.074999999999989</v>
      </c>
    </row>
    <row r="257" spans="1:7" x14ac:dyDescent="0.3">
      <c r="A257" s="1" t="s">
        <v>1117</v>
      </c>
      <c r="B257" s="1"/>
      <c r="C257" s="1"/>
      <c r="F257">
        <v>-68.849999999999994</v>
      </c>
      <c r="G257">
        <v>-68.849999999999994</v>
      </c>
    </row>
    <row r="258" spans="1:7" x14ac:dyDescent="0.3">
      <c r="A258" s="1" t="s">
        <v>1119</v>
      </c>
      <c r="B258" s="1"/>
      <c r="C258" s="1"/>
      <c r="F258">
        <v>-83.412499999999994</v>
      </c>
      <c r="G258">
        <v>-83.412499999999994</v>
      </c>
    </row>
    <row r="259" spans="1:7" x14ac:dyDescent="0.3">
      <c r="A259" s="1" t="s">
        <v>1126</v>
      </c>
      <c r="B259" s="1">
        <v>-59.512499999999996</v>
      </c>
      <c r="C259" s="1"/>
    </row>
    <row r="260" spans="1:7" x14ac:dyDescent="0.3">
      <c r="A260" s="1" t="s">
        <v>1128</v>
      </c>
      <c r="B260" s="1">
        <v>-54.225000000000001</v>
      </c>
      <c r="C260" s="1"/>
    </row>
    <row r="261" spans="1:7" x14ac:dyDescent="0.3">
      <c r="A261" s="1" t="s">
        <v>1131</v>
      </c>
      <c r="B261" s="1">
        <v>-104.33750000000001</v>
      </c>
      <c r="C261" s="1"/>
    </row>
    <row r="262" spans="1:7" x14ac:dyDescent="0.3">
      <c r="A262" s="1" t="s">
        <v>1135</v>
      </c>
      <c r="B262" s="1">
        <v>-84.737500000000011</v>
      </c>
      <c r="C262" s="1"/>
    </row>
    <row r="263" spans="1:7" x14ac:dyDescent="0.3">
      <c r="A263" s="1" t="s">
        <v>1139</v>
      </c>
      <c r="B263" s="1">
        <v>-68.112499999999983</v>
      </c>
      <c r="C263" s="1"/>
    </row>
    <row r="264" spans="1:7" x14ac:dyDescent="0.3">
      <c r="A264" s="1" t="s">
        <v>1141</v>
      </c>
      <c r="B264" s="1">
        <v>-62.874999999999993</v>
      </c>
      <c r="C264" s="1"/>
    </row>
    <row r="265" spans="1:7" x14ac:dyDescent="0.3">
      <c r="A265" s="1" t="s">
        <v>1144</v>
      </c>
      <c r="B265" s="1">
        <v>-73.025000000000006</v>
      </c>
      <c r="C265" s="1"/>
    </row>
    <row r="266" spans="1:7" x14ac:dyDescent="0.3">
      <c r="A266" s="1" t="s">
        <v>1148</v>
      </c>
      <c r="B266" s="1">
        <v>-68.375</v>
      </c>
      <c r="C266" s="1"/>
    </row>
    <row r="267" spans="1:7" x14ac:dyDescent="0.3">
      <c r="A267" s="1" t="s">
        <v>1150</v>
      </c>
      <c r="B267" s="1">
        <v>-77.8125</v>
      </c>
      <c r="C267" s="1"/>
    </row>
    <row r="268" spans="1:7" x14ac:dyDescent="0.3">
      <c r="A268" s="1" t="s">
        <v>1154</v>
      </c>
      <c r="B268" s="1"/>
      <c r="C268" s="1">
        <v>-70.137499999999989</v>
      </c>
    </row>
    <row r="269" spans="1:7" x14ac:dyDescent="0.3">
      <c r="A269" s="1" t="s">
        <v>1158</v>
      </c>
      <c r="B269" s="1"/>
      <c r="C269" s="1">
        <v>-83.412499999999994</v>
      </c>
    </row>
    <row r="270" spans="1:7" x14ac:dyDescent="0.3">
      <c r="A270" s="1" t="s">
        <v>1160</v>
      </c>
      <c r="B270" s="1"/>
      <c r="C270" s="1">
        <v>-73.099999999999994</v>
      </c>
    </row>
    <row r="271" spans="1:7" x14ac:dyDescent="0.3">
      <c r="A271" s="1" t="s">
        <v>1164</v>
      </c>
      <c r="B271" s="1"/>
      <c r="C271" s="1"/>
      <c r="F271">
        <v>-64.712500000000006</v>
      </c>
      <c r="G271">
        <v>-64.712500000000006</v>
      </c>
    </row>
    <row r="272" spans="1:7" x14ac:dyDescent="0.3">
      <c r="A272" s="1" t="s">
        <v>1167</v>
      </c>
      <c r="B272" s="1"/>
      <c r="C272" s="1"/>
      <c r="F272">
        <v>-75.824999999999989</v>
      </c>
      <c r="G272">
        <v>-75.824999999999989</v>
      </c>
    </row>
    <row r="273" spans="1:7" x14ac:dyDescent="0.3">
      <c r="A273" s="1" t="s">
        <v>1169</v>
      </c>
      <c r="B273" s="1"/>
      <c r="C273" s="1"/>
      <c r="F273">
        <v>-89.025000000000006</v>
      </c>
      <c r="G273">
        <v>-89.025000000000006</v>
      </c>
    </row>
    <row r="274" spans="1:7" x14ac:dyDescent="0.3">
      <c r="A274" s="1" t="s">
        <v>1171</v>
      </c>
      <c r="B274" s="1"/>
      <c r="C274" s="1"/>
      <c r="F274">
        <v>-65.8125</v>
      </c>
      <c r="G274">
        <v>-65.8125</v>
      </c>
    </row>
    <row r="275" spans="1:7" x14ac:dyDescent="0.3">
      <c r="A275" s="1" t="s">
        <v>1173</v>
      </c>
      <c r="B275" s="1"/>
      <c r="C275" s="1"/>
      <c r="F275">
        <v>-71.362500000000011</v>
      </c>
      <c r="G275">
        <v>-71.362500000000011</v>
      </c>
    </row>
    <row r="276" spans="1:7" x14ac:dyDescent="0.3">
      <c r="A276" s="1" t="s">
        <v>1175</v>
      </c>
      <c r="B276" s="1"/>
      <c r="C276" s="1"/>
      <c r="F276">
        <v>-82.4</v>
      </c>
      <c r="G276">
        <v>-82.4</v>
      </c>
    </row>
    <row r="277" spans="1:7" x14ac:dyDescent="0.3">
      <c r="A277" s="1" t="s">
        <v>1177</v>
      </c>
      <c r="B277" s="1"/>
      <c r="C277" s="1"/>
      <c r="F277">
        <v>-61.82500000000001</v>
      </c>
      <c r="G277">
        <v>-61.82500000000001</v>
      </c>
    </row>
    <row r="278" spans="1:7" x14ac:dyDescent="0.3">
      <c r="A278" s="1" t="s">
        <v>1179</v>
      </c>
      <c r="B278" s="1"/>
      <c r="C278" s="1"/>
      <c r="F278">
        <v>-84.712500000000006</v>
      </c>
      <c r="G278">
        <v>-84.712500000000006</v>
      </c>
    </row>
    <row r="279" spans="1:7" x14ac:dyDescent="0.3">
      <c r="A279" s="1" t="s">
        <v>1181</v>
      </c>
      <c r="B279" s="1"/>
      <c r="C279" s="1"/>
      <c r="F279">
        <v>-91.925000000000011</v>
      </c>
      <c r="G279">
        <v>-91.925000000000011</v>
      </c>
    </row>
    <row r="280" spans="1:7" x14ac:dyDescent="0.3">
      <c r="A280" s="1" t="s">
        <v>1183</v>
      </c>
      <c r="B280" s="1"/>
      <c r="C280" s="1"/>
      <c r="F280">
        <v>-67.5</v>
      </c>
      <c r="G280">
        <v>-67.5</v>
      </c>
    </row>
    <row r="281" spans="1:7" x14ac:dyDescent="0.3">
      <c r="A281" s="1" t="s">
        <v>1185</v>
      </c>
      <c r="B281" s="1"/>
      <c r="C281" s="1"/>
      <c r="F281">
        <v>-70.0625</v>
      </c>
      <c r="G281">
        <v>-70.0625</v>
      </c>
    </row>
    <row r="282" spans="1:7" x14ac:dyDescent="0.3">
      <c r="A282" s="1" t="s">
        <v>1187</v>
      </c>
      <c r="B282" s="1"/>
      <c r="C282" s="1"/>
      <c r="F282">
        <v>-86.737500000000011</v>
      </c>
      <c r="G282">
        <v>-86.737500000000011</v>
      </c>
    </row>
    <row r="283" spans="1:7" x14ac:dyDescent="0.3">
      <c r="A283" s="1" t="s">
        <v>1191</v>
      </c>
      <c r="B283" s="1"/>
      <c r="C283" s="1"/>
      <c r="F283">
        <v>-49.537500000000001</v>
      </c>
      <c r="G283">
        <v>-49.537500000000001</v>
      </c>
    </row>
    <row r="284" spans="1:7" x14ac:dyDescent="0.3">
      <c r="A284" s="1" t="s">
        <v>1194</v>
      </c>
      <c r="B284" s="1"/>
      <c r="C284" s="1"/>
      <c r="F284">
        <v>-75.900000000000006</v>
      </c>
      <c r="G284">
        <v>-75.900000000000006</v>
      </c>
    </row>
    <row r="285" spans="1:7" x14ac:dyDescent="0.3">
      <c r="A285" s="1" t="s">
        <v>1196</v>
      </c>
      <c r="B285" s="1"/>
      <c r="C285" s="1"/>
      <c r="F285">
        <v>-81.675000000000011</v>
      </c>
      <c r="G285">
        <v>-81.675000000000011</v>
      </c>
    </row>
    <row r="286" spans="1:7" x14ac:dyDescent="0.3">
      <c r="A286" s="1" t="s">
        <v>1199</v>
      </c>
      <c r="B286" s="1"/>
      <c r="C286" s="1"/>
      <c r="F286">
        <v>-66.025000000000006</v>
      </c>
      <c r="G286">
        <v>-66.025000000000006</v>
      </c>
    </row>
    <row r="287" spans="1:7" x14ac:dyDescent="0.3">
      <c r="A287" s="1" t="s">
        <v>1202</v>
      </c>
      <c r="B287" s="1"/>
      <c r="C287" s="1"/>
      <c r="F287">
        <v>-66.037499999999994</v>
      </c>
      <c r="G287">
        <v>-66.037499999999994</v>
      </c>
    </row>
    <row r="288" spans="1:7" x14ac:dyDescent="0.3">
      <c r="A288" s="1" t="s">
        <v>1205</v>
      </c>
      <c r="B288" s="1"/>
      <c r="C288" s="1"/>
      <c r="F288">
        <v>-57.900000000000013</v>
      </c>
      <c r="G288">
        <v>-57.900000000000013</v>
      </c>
    </row>
    <row r="289" spans="1:7" x14ac:dyDescent="0.3">
      <c r="A289" s="1" t="s">
        <v>1208</v>
      </c>
      <c r="B289" s="1"/>
      <c r="C289" s="1"/>
      <c r="F289">
        <v>-77.025000000000006</v>
      </c>
      <c r="G289">
        <v>-77.025000000000006</v>
      </c>
    </row>
    <row r="290" spans="1:7" x14ac:dyDescent="0.3">
      <c r="A290" s="1" t="s">
        <v>1210</v>
      </c>
      <c r="B290" s="1"/>
      <c r="C290" s="1"/>
      <c r="F290">
        <v>-68.049999999999983</v>
      </c>
      <c r="G290">
        <v>-68.049999999999983</v>
      </c>
    </row>
    <row r="291" spans="1:7" x14ac:dyDescent="0.3">
      <c r="A291" s="1" t="s">
        <v>1213</v>
      </c>
      <c r="B291" s="1"/>
      <c r="C291" s="1"/>
      <c r="F291">
        <v>-62.612500000000004</v>
      </c>
      <c r="G291">
        <v>-62.612500000000004</v>
      </c>
    </row>
    <row r="292" spans="1:7" x14ac:dyDescent="0.3">
      <c r="A292" s="1" t="s">
        <v>1215</v>
      </c>
      <c r="B292" s="1"/>
      <c r="C292" s="1"/>
      <c r="F292">
        <v>-63.949999999999996</v>
      </c>
      <c r="G292">
        <v>-63.949999999999996</v>
      </c>
    </row>
    <row r="293" spans="1:7" x14ac:dyDescent="0.3">
      <c r="A293" s="1" t="s">
        <v>1218</v>
      </c>
      <c r="B293" s="1"/>
      <c r="C293" s="1"/>
      <c r="F293">
        <v>-71.875</v>
      </c>
      <c r="G293">
        <v>-71.875</v>
      </c>
    </row>
    <row r="294" spans="1:7" x14ac:dyDescent="0.3">
      <c r="A294" s="1" t="s">
        <v>1222</v>
      </c>
      <c r="B294" s="1"/>
      <c r="C294" s="1"/>
      <c r="F294">
        <v>-82.050000000000011</v>
      </c>
      <c r="G294">
        <v>-82.050000000000011</v>
      </c>
    </row>
    <row r="295" spans="1:7" x14ac:dyDescent="0.3">
      <c r="A295" s="1" t="s">
        <v>1225</v>
      </c>
      <c r="B295" s="1"/>
      <c r="C295" s="1"/>
      <c r="F295">
        <v>-63.199999999999996</v>
      </c>
      <c r="G295">
        <v>-63.199999999999996</v>
      </c>
    </row>
    <row r="296" spans="1:7" x14ac:dyDescent="0.3">
      <c r="A296" s="1" t="s">
        <v>1228</v>
      </c>
      <c r="B296" s="1"/>
      <c r="C296" s="1"/>
      <c r="F296">
        <v>-75.4375</v>
      </c>
      <c r="G296">
        <v>-75.4375</v>
      </c>
    </row>
    <row r="297" spans="1:7" x14ac:dyDescent="0.3">
      <c r="A297" s="1" t="s">
        <v>1231</v>
      </c>
      <c r="B297" s="1"/>
      <c r="C297" s="1"/>
      <c r="F297">
        <v>-93.9375</v>
      </c>
      <c r="G297">
        <v>-93.9375</v>
      </c>
    </row>
    <row r="298" spans="1:7" x14ac:dyDescent="0.3">
      <c r="A298" s="1" t="s">
        <v>1234</v>
      </c>
      <c r="B298" s="1"/>
      <c r="C298" s="1"/>
      <c r="F298">
        <v>-66.962500000000006</v>
      </c>
      <c r="G298">
        <v>-66.962500000000006</v>
      </c>
    </row>
    <row r="299" spans="1:7" x14ac:dyDescent="0.3">
      <c r="A299" s="1" t="s">
        <v>1237</v>
      </c>
      <c r="B299" s="1"/>
      <c r="C299" s="1"/>
      <c r="F299">
        <v>-58.824999999999996</v>
      </c>
      <c r="G299">
        <v>-58.824999999999996</v>
      </c>
    </row>
    <row r="300" spans="1:7" x14ac:dyDescent="0.3">
      <c r="A300" s="1" t="s">
        <v>1239</v>
      </c>
      <c r="B300" s="1"/>
      <c r="C300" s="1"/>
      <c r="F300">
        <v>-72.724999999999994</v>
      </c>
      <c r="G300">
        <v>-72.724999999999994</v>
      </c>
    </row>
    <row r="301" spans="1:7" x14ac:dyDescent="0.3">
      <c r="A301" s="1" t="s">
        <v>1241</v>
      </c>
      <c r="B301" s="1"/>
      <c r="C301" s="1"/>
      <c r="F301">
        <v>-82.925000000000011</v>
      </c>
      <c r="G301">
        <v>-82.925000000000011</v>
      </c>
    </row>
    <row r="302" spans="1:7" x14ac:dyDescent="0.3">
      <c r="A302" s="1" t="s">
        <v>1243</v>
      </c>
      <c r="B302" s="1"/>
      <c r="C302" s="1"/>
      <c r="F302">
        <v>-73.674999999999983</v>
      </c>
      <c r="G302">
        <v>-73.674999999999983</v>
      </c>
    </row>
    <row r="303" spans="1:7" x14ac:dyDescent="0.3">
      <c r="A303" s="1" t="s">
        <v>1247</v>
      </c>
      <c r="B303" s="1"/>
      <c r="C303" s="1"/>
      <c r="F303">
        <v>-52.574999999999996</v>
      </c>
      <c r="G303">
        <v>-52.574999999999996</v>
      </c>
    </row>
    <row r="304" spans="1:7" x14ac:dyDescent="0.3">
      <c r="A304" s="1" t="s">
        <v>1251</v>
      </c>
      <c r="B304" s="1"/>
      <c r="C304" s="1"/>
      <c r="F304">
        <v>-66.724999999999994</v>
      </c>
      <c r="G304">
        <v>-66.724999999999994</v>
      </c>
    </row>
    <row r="305" spans="1:7" x14ac:dyDescent="0.3">
      <c r="A305" s="1" t="s">
        <v>1254</v>
      </c>
      <c r="B305" s="1"/>
      <c r="C305" s="1"/>
      <c r="F305">
        <v>-78.5625</v>
      </c>
      <c r="G305">
        <v>-78.5625</v>
      </c>
    </row>
    <row r="306" spans="1:7" x14ac:dyDescent="0.3">
      <c r="A306" s="1" t="s">
        <v>1257</v>
      </c>
      <c r="B306" s="1"/>
      <c r="C306" s="1"/>
      <c r="F306">
        <v>-56.54999999999999</v>
      </c>
      <c r="G306">
        <v>-56.54999999999999</v>
      </c>
    </row>
    <row r="307" spans="1:7" x14ac:dyDescent="0.3">
      <c r="A307" s="1" t="s">
        <v>1260</v>
      </c>
      <c r="B307" s="1"/>
      <c r="C307" s="1"/>
      <c r="F307">
        <v>-79.6875</v>
      </c>
      <c r="G307">
        <v>-79.6875</v>
      </c>
    </row>
    <row r="308" spans="1:7" x14ac:dyDescent="0.3">
      <c r="A308" s="1" t="s">
        <v>1262</v>
      </c>
      <c r="B308" s="1"/>
      <c r="C308" s="1"/>
      <c r="F308">
        <v>-68.962500000000006</v>
      </c>
      <c r="G308">
        <v>-68.962500000000006</v>
      </c>
    </row>
    <row r="309" spans="1:7" x14ac:dyDescent="0.3">
      <c r="A309" s="1" t="s">
        <v>1265</v>
      </c>
      <c r="B309" s="1"/>
      <c r="C309" s="1"/>
      <c r="F309">
        <v>-61.250000000000007</v>
      </c>
      <c r="G309">
        <v>-61.250000000000007</v>
      </c>
    </row>
    <row r="310" spans="1:7" x14ac:dyDescent="0.3">
      <c r="A310" s="1" t="s">
        <v>1267</v>
      </c>
      <c r="B310" s="1"/>
      <c r="C310" s="1"/>
      <c r="F310">
        <v>-83.674999999999983</v>
      </c>
      <c r="G310">
        <v>-83.674999999999983</v>
      </c>
    </row>
    <row r="311" spans="1:7" x14ac:dyDescent="0.3">
      <c r="A311" s="1" t="s">
        <v>1269</v>
      </c>
      <c r="B311" s="1"/>
      <c r="C311" s="1"/>
      <c r="F311">
        <v>-66.587500000000006</v>
      </c>
      <c r="G311">
        <v>-66.587500000000006</v>
      </c>
    </row>
    <row r="312" spans="1:7" x14ac:dyDescent="0.3">
      <c r="A312" s="1" t="s">
        <v>1275</v>
      </c>
      <c r="B312" s="1">
        <v>-70.537499999999994</v>
      </c>
      <c r="C312" s="1"/>
    </row>
    <row r="313" spans="1:7" x14ac:dyDescent="0.3">
      <c r="A313" s="1" t="s">
        <v>1278</v>
      </c>
      <c r="B313" s="1">
        <v>-86.787499999999994</v>
      </c>
      <c r="C313" s="1"/>
    </row>
    <row r="314" spans="1:7" x14ac:dyDescent="0.3">
      <c r="A314" s="1" t="s">
        <v>1280</v>
      </c>
      <c r="B314" s="1">
        <v>-24.550000000000004</v>
      </c>
      <c r="C314" s="1"/>
    </row>
    <row r="315" spans="1:7" x14ac:dyDescent="0.3">
      <c r="A315" s="1" t="s">
        <v>1282</v>
      </c>
      <c r="B315" s="1"/>
      <c r="C315" s="1"/>
      <c r="F315">
        <v>-59.137499999999996</v>
      </c>
      <c r="G315">
        <v>-59.137499999999996</v>
      </c>
    </row>
    <row r="316" spans="1:7" x14ac:dyDescent="0.3">
      <c r="A316" s="1" t="s">
        <v>1284</v>
      </c>
      <c r="B316" s="1"/>
      <c r="C316" s="1"/>
      <c r="F316">
        <v>-63.637499999999996</v>
      </c>
      <c r="G316">
        <v>-63.637499999999996</v>
      </c>
    </row>
    <row r="317" spans="1:7" x14ac:dyDescent="0.3">
      <c r="A317" s="1" t="s">
        <v>1288</v>
      </c>
      <c r="B317" s="1"/>
      <c r="C317" s="1"/>
      <c r="F317">
        <v>-73.199999999999989</v>
      </c>
      <c r="G317">
        <v>-73.199999999999989</v>
      </c>
    </row>
    <row r="318" spans="1:7" x14ac:dyDescent="0.3">
      <c r="A318" s="1" t="s">
        <v>1291</v>
      </c>
      <c r="B318" s="1"/>
      <c r="C318" s="1"/>
      <c r="F318">
        <v>-80.787499999999994</v>
      </c>
      <c r="G318">
        <v>-80.787499999999994</v>
      </c>
    </row>
    <row r="319" spans="1:7" x14ac:dyDescent="0.3">
      <c r="A319" s="1" t="s">
        <v>1294</v>
      </c>
      <c r="B319" s="1"/>
      <c r="C319" s="1"/>
      <c r="F319">
        <v>-56.949999999999996</v>
      </c>
      <c r="G319">
        <v>-56.949999999999996</v>
      </c>
    </row>
    <row r="320" spans="1:7" x14ac:dyDescent="0.3">
      <c r="A320" s="1" t="s">
        <v>1296</v>
      </c>
      <c r="B320" s="1"/>
      <c r="C320" s="1"/>
      <c r="F320">
        <v>-80.612499999999983</v>
      </c>
      <c r="G320">
        <v>-80.612499999999983</v>
      </c>
    </row>
    <row r="321" spans="1:7" x14ac:dyDescent="0.3">
      <c r="A321" s="1" t="s">
        <v>1299</v>
      </c>
      <c r="B321" s="1"/>
      <c r="C321" s="1"/>
      <c r="F321">
        <v>-89.574999999999989</v>
      </c>
      <c r="G321">
        <v>-89.574999999999989</v>
      </c>
    </row>
    <row r="322" spans="1:7" x14ac:dyDescent="0.3">
      <c r="A322" s="1" t="s">
        <v>1301</v>
      </c>
      <c r="B322" s="1"/>
      <c r="C322" s="1"/>
      <c r="F322">
        <v>-96.912499999999994</v>
      </c>
      <c r="G322">
        <v>-96.912499999999994</v>
      </c>
    </row>
    <row r="323" spans="1:7" x14ac:dyDescent="0.3">
      <c r="A323" s="1" t="s">
        <v>1304</v>
      </c>
      <c r="B323" s="1"/>
      <c r="C323" s="1"/>
      <c r="F323">
        <v>-84.65</v>
      </c>
      <c r="G323">
        <v>-84.65</v>
      </c>
    </row>
    <row r="324" spans="1:7" x14ac:dyDescent="0.3">
      <c r="A324" s="1" t="s">
        <v>1306</v>
      </c>
      <c r="B324" s="1"/>
      <c r="C324" s="1"/>
      <c r="F324">
        <v>-77.974999999999994</v>
      </c>
      <c r="G324">
        <v>-77.974999999999994</v>
      </c>
    </row>
    <row r="325" spans="1:7" x14ac:dyDescent="0.3">
      <c r="A325" s="1" t="s">
        <v>2739</v>
      </c>
      <c r="B325" s="1"/>
      <c r="C325" s="1"/>
      <c r="F325">
        <v>-34.88750000000001</v>
      </c>
      <c r="G325">
        <v>-34.88750000000001</v>
      </c>
    </row>
    <row r="326" spans="1:7" x14ac:dyDescent="0.3">
      <c r="A326" s="1" t="s">
        <v>1312</v>
      </c>
      <c r="B326" s="1"/>
      <c r="C326" s="1">
        <v>-60.337499999999999</v>
      </c>
    </row>
    <row r="327" spans="1:7" x14ac:dyDescent="0.3">
      <c r="A327" s="1" t="s">
        <v>1316</v>
      </c>
      <c r="B327" s="1"/>
      <c r="C327" s="1"/>
      <c r="F327">
        <v>-16.799999999999997</v>
      </c>
      <c r="G327">
        <v>-16.799999999999997</v>
      </c>
    </row>
    <row r="328" spans="1:7" x14ac:dyDescent="0.3">
      <c r="A328" s="1" t="s">
        <v>1319</v>
      </c>
      <c r="B328" s="1"/>
      <c r="C328" s="1"/>
      <c r="F328">
        <v>-108.8125</v>
      </c>
      <c r="G328">
        <v>-108.8125</v>
      </c>
    </row>
    <row r="329" spans="1:7" x14ac:dyDescent="0.3">
      <c r="A329" s="1" t="s">
        <v>1322</v>
      </c>
      <c r="B329" s="1"/>
      <c r="C329" s="1"/>
      <c r="F329">
        <v>-79.349999999999994</v>
      </c>
      <c r="G329">
        <v>-79.349999999999994</v>
      </c>
    </row>
    <row r="330" spans="1:7" x14ac:dyDescent="0.3">
      <c r="A330" s="1" t="s">
        <v>1325</v>
      </c>
      <c r="B330" s="1"/>
      <c r="C330" s="1"/>
      <c r="F330">
        <v>-47.449999999999996</v>
      </c>
      <c r="G330">
        <v>-47.449999999999996</v>
      </c>
    </row>
    <row r="331" spans="1:7" x14ac:dyDescent="0.3">
      <c r="A331" s="1" t="s">
        <v>1327</v>
      </c>
      <c r="B331" s="1"/>
      <c r="C331" s="1"/>
      <c r="F331">
        <v>-79.012500000000017</v>
      </c>
      <c r="G331">
        <v>-79.012500000000017</v>
      </c>
    </row>
    <row r="332" spans="1:7" x14ac:dyDescent="0.3">
      <c r="A332" s="1" t="s">
        <v>1329</v>
      </c>
      <c r="B332" s="1"/>
      <c r="C332" s="1"/>
      <c r="F332">
        <v>-66.599999999999994</v>
      </c>
      <c r="G332">
        <v>-66.599999999999994</v>
      </c>
    </row>
    <row r="333" spans="1:7" x14ac:dyDescent="0.3">
      <c r="A333" s="1" t="s">
        <v>1331</v>
      </c>
      <c r="B333" s="1"/>
      <c r="C333" s="1"/>
      <c r="F333">
        <v>-91.8125</v>
      </c>
      <c r="G333">
        <v>-91.8125</v>
      </c>
    </row>
    <row r="334" spans="1:7" x14ac:dyDescent="0.3">
      <c r="A334" s="1" t="s">
        <v>1333</v>
      </c>
      <c r="B334" s="1">
        <v>-47.087499999999999</v>
      </c>
      <c r="C334" s="1"/>
    </row>
    <row r="335" spans="1:7" x14ac:dyDescent="0.3">
      <c r="A335" s="1" t="s">
        <v>1336</v>
      </c>
      <c r="B335" s="1">
        <v>-56.400000000000013</v>
      </c>
      <c r="C335" s="1"/>
    </row>
    <row r="336" spans="1:7" x14ac:dyDescent="0.3">
      <c r="A336" s="1" t="s">
        <v>1339</v>
      </c>
      <c r="B336" s="1">
        <v>-38.800000000000004</v>
      </c>
      <c r="C336" s="1"/>
    </row>
    <row r="337" spans="1:7" x14ac:dyDescent="0.3">
      <c r="A337" s="1" t="s">
        <v>1343</v>
      </c>
      <c r="B337" s="1">
        <v>-67.724999999999994</v>
      </c>
      <c r="C337" s="1"/>
    </row>
    <row r="338" spans="1:7" x14ac:dyDescent="0.3">
      <c r="A338" s="1" t="s">
        <v>1346</v>
      </c>
      <c r="B338" s="1"/>
      <c r="C338" s="1">
        <v>-88.987499999999983</v>
      </c>
    </row>
    <row r="339" spans="1:7" x14ac:dyDescent="0.3">
      <c r="A339" s="1" t="s">
        <v>1349</v>
      </c>
      <c r="B339" s="1">
        <v>-44.92499999999999</v>
      </c>
      <c r="C339" s="1"/>
    </row>
    <row r="340" spans="1:7" x14ac:dyDescent="0.3">
      <c r="A340" s="1" t="s">
        <v>1351</v>
      </c>
      <c r="B340" s="1"/>
      <c r="C340" s="1"/>
      <c r="D340">
        <v>-94.012500000000017</v>
      </c>
    </row>
    <row r="341" spans="1:7" x14ac:dyDescent="0.3">
      <c r="A341" s="1" t="s">
        <v>1354</v>
      </c>
      <c r="B341" s="1"/>
      <c r="C341" s="1">
        <v>-69.8125</v>
      </c>
    </row>
    <row r="342" spans="1:7" x14ac:dyDescent="0.3">
      <c r="A342" s="1" t="s">
        <v>1357</v>
      </c>
      <c r="B342" s="1"/>
      <c r="C342" s="1">
        <v>-76.662499999999994</v>
      </c>
    </row>
    <row r="343" spans="1:7" x14ac:dyDescent="0.3">
      <c r="A343" s="1" t="s">
        <v>1360</v>
      </c>
      <c r="B343" s="1"/>
      <c r="C343" s="1">
        <v>-80.5</v>
      </c>
    </row>
    <row r="344" spans="1:7" x14ac:dyDescent="0.3">
      <c r="A344" s="1" t="s">
        <v>1363</v>
      </c>
      <c r="B344" s="1"/>
      <c r="C344" s="1">
        <v>-64.537499999999994</v>
      </c>
    </row>
    <row r="345" spans="1:7" x14ac:dyDescent="0.3">
      <c r="A345" s="1" t="s">
        <v>1365</v>
      </c>
      <c r="B345" s="1"/>
      <c r="C345" s="1">
        <v>-104.0625</v>
      </c>
    </row>
    <row r="346" spans="1:7" x14ac:dyDescent="0.3">
      <c r="A346" s="1" t="s">
        <v>1366</v>
      </c>
      <c r="B346" s="1"/>
      <c r="C346" s="1">
        <v>-55.01250000000001</v>
      </c>
    </row>
    <row r="347" spans="1:7" x14ac:dyDescent="0.3">
      <c r="A347" s="1" t="s">
        <v>1371</v>
      </c>
      <c r="B347" s="1"/>
      <c r="C347" s="1">
        <v>-70.974999999999994</v>
      </c>
    </row>
    <row r="348" spans="1:7" x14ac:dyDescent="0.3">
      <c r="A348" s="1" t="s">
        <v>1374</v>
      </c>
      <c r="B348" s="1"/>
      <c r="C348" s="1">
        <v>-63.525000000000013</v>
      </c>
    </row>
    <row r="349" spans="1:7" x14ac:dyDescent="0.3">
      <c r="A349" s="1" t="s">
        <v>1376</v>
      </c>
      <c r="B349" s="1"/>
      <c r="C349" s="1">
        <v>-69.924999999999983</v>
      </c>
    </row>
    <row r="350" spans="1:7" x14ac:dyDescent="0.3">
      <c r="A350" s="1" t="s">
        <v>1378</v>
      </c>
      <c r="B350" s="1"/>
      <c r="C350" s="1">
        <v>-64.212500000000006</v>
      </c>
    </row>
    <row r="351" spans="1:7" x14ac:dyDescent="0.3">
      <c r="A351" s="1" t="s">
        <v>1382</v>
      </c>
      <c r="B351" s="1"/>
      <c r="C351" s="1">
        <v>-66.9375</v>
      </c>
    </row>
    <row r="352" spans="1:7" x14ac:dyDescent="0.3">
      <c r="A352" s="1" t="s">
        <v>1385</v>
      </c>
      <c r="B352" s="1"/>
      <c r="C352" s="1"/>
      <c r="F352">
        <v>-81.650000000000006</v>
      </c>
      <c r="G352">
        <v>-81.650000000000006</v>
      </c>
    </row>
    <row r="353" spans="1:7" x14ac:dyDescent="0.3">
      <c r="A353" s="1" t="s">
        <v>1389</v>
      </c>
      <c r="B353" s="1"/>
      <c r="C353" s="1"/>
      <c r="F353">
        <v>-56.79999999999999</v>
      </c>
      <c r="G353">
        <v>-56.79999999999999</v>
      </c>
    </row>
    <row r="354" spans="1:7" x14ac:dyDescent="0.3">
      <c r="A354" s="1" t="s">
        <v>1391</v>
      </c>
      <c r="B354" s="1"/>
      <c r="C354" s="1"/>
      <c r="F354">
        <v>-81.0625</v>
      </c>
      <c r="G354">
        <v>-81.0625</v>
      </c>
    </row>
    <row r="355" spans="1:7" x14ac:dyDescent="0.3">
      <c r="A355" s="1" t="s">
        <v>1393</v>
      </c>
      <c r="B355" s="1"/>
      <c r="C355" s="1"/>
      <c r="F355">
        <v>-80.025000000000006</v>
      </c>
      <c r="G355">
        <v>-80.025000000000006</v>
      </c>
    </row>
    <row r="356" spans="1:7" x14ac:dyDescent="0.3">
      <c r="A356" s="1" t="s">
        <v>1396</v>
      </c>
      <c r="B356" s="1"/>
      <c r="C356" s="1"/>
      <c r="F356">
        <v>-92.262499999999989</v>
      </c>
      <c r="G356">
        <v>-92.262499999999989</v>
      </c>
    </row>
    <row r="357" spans="1:7" x14ac:dyDescent="0.3">
      <c r="A357" s="1" t="s">
        <v>1399</v>
      </c>
      <c r="B357" s="1"/>
      <c r="C357" s="1"/>
      <c r="F357">
        <v>-79.637500000000017</v>
      </c>
      <c r="G357">
        <v>-79.637500000000017</v>
      </c>
    </row>
    <row r="358" spans="1:7" x14ac:dyDescent="0.3">
      <c r="A358" s="1" t="s">
        <v>1402</v>
      </c>
      <c r="B358" s="1">
        <v>-91.35</v>
      </c>
      <c r="C358" s="1"/>
    </row>
    <row r="359" spans="1:7" x14ac:dyDescent="0.3">
      <c r="A359" s="1" t="s">
        <v>1405</v>
      </c>
      <c r="B359" s="1">
        <v>-88.712500000000006</v>
      </c>
      <c r="C359" s="1"/>
    </row>
    <row r="360" spans="1:7" x14ac:dyDescent="0.3">
      <c r="A360" s="1" t="s">
        <v>1408</v>
      </c>
      <c r="B360" s="1"/>
      <c r="C360" s="1">
        <v>-79.987499999999983</v>
      </c>
    </row>
    <row r="361" spans="1:7" x14ac:dyDescent="0.3">
      <c r="A361" s="1" t="s">
        <v>1410</v>
      </c>
      <c r="B361" s="1"/>
      <c r="C361" s="1">
        <v>-68.6875</v>
      </c>
    </row>
    <row r="362" spans="1:7" x14ac:dyDescent="0.3">
      <c r="A362" s="1" t="s">
        <v>1411</v>
      </c>
      <c r="B362" s="1"/>
      <c r="C362" s="1">
        <v>-64.287499999999994</v>
      </c>
    </row>
    <row r="363" spans="1:7" x14ac:dyDescent="0.3">
      <c r="A363" s="1" t="s">
        <v>1413</v>
      </c>
      <c r="B363" s="1"/>
      <c r="C363" s="1">
        <v>-73.787499999999994</v>
      </c>
    </row>
    <row r="364" spans="1:7" x14ac:dyDescent="0.3">
      <c r="A364" s="1" t="s">
        <v>1415</v>
      </c>
      <c r="B364" s="1"/>
      <c r="C364" s="1">
        <v>-64.3125</v>
      </c>
    </row>
    <row r="365" spans="1:7" x14ac:dyDescent="0.3">
      <c r="A365" s="1" t="s">
        <v>1418</v>
      </c>
      <c r="B365" s="1"/>
      <c r="C365" s="1"/>
      <c r="F365">
        <v>-82.809175500000009</v>
      </c>
      <c r="G365">
        <v>-82.809175500000009</v>
      </c>
    </row>
    <row r="366" spans="1:7" x14ac:dyDescent="0.3">
      <c r="A366" s="1" t="s">
        <v>1422</v>
      </c>
      <c r="B366" s="1"/>
      <c r="C366" s="1"/>
      <c r="F366">
        <v>-80.551476000000008</v>
      </c>
      <c r="G366">
        <v>-80.551476000000008</v>
      </c>
    </row>
    <row r="367" spans="1:7" x14ac:dyDescent="0.3">
      <c r="A367" s="1" t="s">
        <v>1425</v>
      </c>
      <c r="B367" s="1"/>
      <c r="C367" s="1"/>
      <c r="F367">
        <v>-49.844715000000001</v>
      </c>
      <c r="G367">
        <v>-49.844715000000001</v>
      </c>
    </row>
    <row r="368" spans="1:7" x14ac:dyDescent="0.3">
      <c r="A368" s="1" t="s">
        <v>1426</v>
      </c>
      <c r="B368" s="1"/>
      <c r="C368" s="1"/>
      <c r="F368">
        <v>-73.141852999999998</v>
      </c>
      <c r="G368">
        <v>-73.141852999999998</v>
      </c>
    </row>
    <row r="369" spans="1:7" x14ac:dyDescent="0.3">
      <c r="A369" s="1" t="s">
        <v>1428</v>
      </c>
      <c r="B369" s="1"/>
      <c r="C369" s="1"/>
      <c r="F369">
        <v>-62.341414500000006</v>
      </c>
      <c r="G369">
        <v>-62.341414500000006</v>
      </c>
    </row>
    <row r="370" spans="1:7" x14ac:dyDescent="0.3">
      <c r="A370" s="1" t="s">
        <v>1429</v>
      </c>
      <c r="B370" s="1"/>
      <c r="C370" s="1"/>
      <c r="F370">
        <v>-89.367255</v>
      </c>
      <c r="G370">
        <v>-89.367255</v>
      </c>
    </row>
    <row r="371" spans="1:7" x14ac:dyDescent="0.3">
      <c r="A371" s="1" t="s">
        <v>2685</v>
      </c>
      <c r="B371" s="1"/>
      <c r="C371" s="1"/>
      <c r="F371">
        <v>-68.526241249999998</v>
      </c>
      <c r="G371">
        <v>-68.526241249999998</v>
      </c>
    </row>
    <row r="372" spans="1:7" x14ac:dyDescent="0.3">
      <c r="A372" s="1" t="s">
        <v>1431</v>
      </c>
      <c r="B372" s="1"/>
      <c r="C372" s="1"/>
      <c r="F372">
        <v>-61.7782695</v>
      </c>
      <c r="G372">
        <v>-61.7782695</v>
      </c>
    </row>
    <row r="373" spans="1:7" x14ac:dyDescent="0.3">
      <c r="A373" s="1" t="s">
        <v>1434</v>
      </c>
      <c r="B373" s="1"/>
      <c r="C373" s="1"/>
      <c r="F373">
        <v>-68.527477000000005</v>
      </c>
      <c r="G373">
        <v>-68.527477000000005</v>
      </c>
    </row>
    <row r="374" spans="1:7" x14ac:dyDescent="0.3">
      <c r="A374" s="1" t="s">
        <v>1436</v>
      </c>
      <c r="B374" s="1">
        <v>-61.072472249999997</v>
      </c>
      <c r="C374" s="1"/>
    </row>
    <row r="375" spans="1:7" x14ac:dyDescent="0.3">
      <c r="A375" s="1" t="s">
        <v>1438</v>
      </c>
      <c r="B375" s="1">
        <v>-93.483966750000008</v>
      </c>
      <c r="C375" s="1"/>
    </row>
    <row r="376" spans="1:7" x14ac:dyDescent="0.3">
      <c r="A376" s="1" t="s">
        <v>1440</v>
      </c>
      <c r="B376" s="1">
        <v>-61.908503250000003</v>
      </c>
      <c r="C376" s="1"/>
    </row>
    <row r="377" spans="1:7" x14ac:dyDescent="0.3">
      <c r="A377" t="s">
        <v>1443</v>
      </c>
      <c r="F377">
        <v>-71.850032499999998</v>
      </c>
      <c r="G377">
        <v>-71.850032499999998</v>
      </c>
    </row>
    <row r="378" spans="1:7" x14ac:dyDescent="0.3">
      <c r="A378" t="s">
        <v>1444</v>
      </c>
      <c r="F378">
        <v>-92.162501999999989</v>
      </c>
      <c r="G378">
        <v>-92.162501999999989</v>
      </c>
    </row>
    <row r="379" spans="1:7" x14ac:dyDescent="0.3">
      <c r="A379" t="s">
        <v>1445</v>
      </c>
      <c r="F379">
        <v>-65.169084999999995</v>
      </c>
      <c r="G379">
        <v>-65.169084999999995</v>
      </c>
    </row>
    <row r="380" spans="1:7" x14ac:dyDescent="0.3">
      <c r="A380" t="s">
        <v>1448</v>
      </c>
      <c r="F380">
        <v>-72.657207</v>
      </c>
      <c r="G380">
        <v>-72.657207</v>
      </c>
    </row>
    <row r="381" spans="1:7" x14ac:dyDescent="0.3">
      <c r="A381" t="s">
        <v>1451</v>
      </c>
      <c r="F381">
        <v>-35.448034</v>
      </c>
      <c r="G381">
        <v>-35.448034</v>
      </c>
    </row>
    <row r="382" spans="1:7" x14ac:dyDescent="0.3">
      <c r="A382" t="s">
        <v>1454</v>
      </c>
      <c r="F382">
        <v>-52.250365750000007</v>
      </c>
      <c r="G382">
        <v>-52.250365750000007</v>
      </c>
    </row>
    <row r="383" spans="1:7" x14ac:dyDescent="0.3">
      <c r="A383" t="s">
        <v>1456</v>
      </c>
      <c r="F383">
        <v>-72.559536250000008</v>
      </c>
      <c r="G383">
        <v>-72.559536250000008</v>
      </c>
    </row>
    <row r="384" spans="1:7" x14ac:dyDescent="0.3">
      <c r="A384" t="s">
        <v>1460</v>
      </c>
      <c r="F384">
        <v>-47.725357874999993</v>
      </c>
      <c r="G384">
        <v>-47.725357874999993</v>
      </c>
    </row>
    <row r="385" spans="1:7" x14ac:dyDescent="0.3">
      <c r="A385" t="s">
        <v>1463</v>
      </c>
      <c r="F385">
        <v>-84.396669374999988</v>
      </c>
      <c r="G385">
        <v>-84.396669374999988</v>
      </c>
    </row>
    <row r="386" spans="1:7" x14ac:dyDescent="0.3">
      <c r="A386" t="s">
        <v>1466</v>
      </c>
      <c r="F386">
        <v>-56.758666124999998</v>
      </c>
      <c r="G386">
        <v>-56.758666124999998</v>
      </c>
    </row>
    <row r="387" spans="1:7" x14ac:dyDescent="0.3">
      <c r="A387" t="s">
        <v>1468</v>
      </c>
      <c r="F387">
        <v>-63.977099000000003</v>
      </c>
      <c r="G387">
        <v>-63.977099000000003</v>
      </c>
    </row>
    <row r="388" spans="1:7" x14ac:dyDescent="0.3">
      <c r="A388" t="s">
        <v>1471</v>
      </c>
      <c r="F388">
        <v>-77.615466375000011</v>
      </c>
      <c r="G388">
        <v>-77.615466375000011</v>
      </c>
    </row>
    <row r="389" spans="1:7" x14ac:dyDescent="0.3">
      <c r="A389" t="s">
        <v>1475</v>
      </c>
      <c r="F389">
        <v>-85.937189999999987</v>
      </c>
      <c r="G389">
        <v>-85.937189999999987</v>
      </c>
    </row>
    <row r="390" spans="1:7" x14ac:dyDescent="0.3">
      <c r="A390" t="s">
        <v>1477</v>
      </c>
      <c r="F390">
        <v>-68.737376500000011</v>
      </c>
      <c r="G390">
        <v>-68.737376500000011</v>
      </c>
    </row>
    <row r="391" spans="1:7" x14ac:dyDescent="0.3">
      <c r="A391" t="s">
        <v>1480</v>
      </c>
      <c r="F391">
        <v>-62.425033000000006</v>
      </c>
      <c r="G391">
        <v>-62.425033000000006</v>
      </c>
    </row>
    <row r="392" spans="1:7" x14ac:dyDescent="0.3">
      <c r="A392" t="s">
        <v>1483</v>
      </c>
      <c r="F392">
        <v>-86.908188499999994</v>
      </c>
      <c r="G392">
        <v>-86.908188499999994</v>
      </c>
    </row>
    <row r="393" spans="1:7" x14ac:dyDescent="0.3">
      <c r="A393" t="s">
        <v>1486</v>
      </c>
      <c r="B393">
        <v>-86.868570500000004</v>
      </c>
    </row>
    <row r="394" spans="1:7" x14ac:dyDescent="0.3">
      <c r="A394" t="s">
        <v>1498</v>
      </c>
      <c r="B394">
        <v>-68.598360500000013</v>
      </c>
    </row>
    <row r="395" spans="1:7" x14ac:dyDescent="0.3">
      <c r="A395" t="s">
        <v>1502</v>
      </c>
      <c r="B395">
        <v>-75.220188000000007</v>
      </c>
    </row>
    <row r="396" spans="1:7" x14ac:dyDescent="0.3">
      <c r="A396" t="s">
        <v>1506</v>
      </c>
      <c r="F396">
        <v>-61.930596000000001</v>
      </c>
      <c r="G396">
        <v>-61.930596000000001</v>
      </c>
    </row>
    <row r="397" spans="1:7" x14ac:dyDescent="0.3">
      <c r="A397" t="s">
        <v>1509</v>
      </c>
      <c r="F397">
        <v>-76.764276749999993</v>
      </c>
      <c r="G397">
        <v>-76.764276749999993</v>
      </c>
    </row>
    <row r="398" spans="1:7" x14ac:dyDescent="0.3">
      <c r="A398" t="s">
        <v>1512</v>
      </c>
      <c r="F398">
        <v>-77.586005124999986</v>
      </c>
      <c r="G398">
        <v>-77.586005124999986</v>
      </c>
    </row>
    <row r="399" spans="1:7" x14ac:dyDescent="0.3">
      <c r="A399" t="s">
        <v>1514</v>
      </c>
      <c r="F399">
        <v>-73.489610874999983</v>
      </c>
      <c r="G399">
        <v>-73.489610874999983</v>
      </c>
    </row>
    <row r="400" spans="1:7" x14ac:dyDescent="0.3">
      <c r="A400" t="s">
        <v>1515</v>
      </c>
      <c r="F400">
        <v>-78.60417425</v>
      </c>
      <c r="G400">
        <v>-78.60417425</v>
      </c>
    </row>
    <row r="401" spans="1:7" x14ac:dyDescent="0.3">
      <c r="A401" t="s">
        <v>1516</v>
      </c>
      <c r="F401">
        <v>-46.871518875</v>
      </c>
      <c r="G401">
        <v>-46.871518875</v>
      </c>
    </row>
    <row r="402" spans="1:7" x14ac:dyDescent="0.3">
      <c r="A402" t="s">
        <v>1518</v>
      </c>
      <c r="F402">
        <v>-64.87329112499998</v>
      </c>
      <c r="G402">
        <v>-64.87329112499998</v>
      </c>
    </row>
    <row r="403" spans="1:7" x14ac:dyDescent="0.3">
      <c r="A403" t="s">
        <v>1520</v>
      </c>
      <c r="F403">
        <v>-60.639672749999995</v>
      </c>
      <c r="G403">
        <v>-60.639672749999995</v>
      </c>
    </row>
    <row r="404" spans="1:7" x14ac:dyDescent="0.3">
      <c r="A404" t="s">
        <v>1522</v>
      </c>
      <c r="F404">
        <v>-65.594988374999986</v>
      </c>
      <c r="G404">
        <v>-65.594988374999986</v>
      </c>
    </row>
    <row r="405" spans="1:7" x14ac:dyDescent="0.3">
      <c r="A405" t="s">
        <v>1524</v>
      </c>
      <c r="F405">
        <v>-84.357422750000012</v>
      </c>
      <c r="G405">
        <v>-84.357422750000012</v>
      </c>
    </row>
    <row r="406" spans="1:7" x14ac:dyDescent="0.3">
      <c r="A406" t="s">
        <v>1525</v>
      </c>
      <c r="F406">
        <v>-57.605494875000012</v>
      </c>
      <c r="G406">
        <v>-57.605494875000012</v>
      </c>
    </row>
    <row r="407" spans="1:7" x14ac:dyDescent="0.3">
      <c r="A407" t="s">
        <v>1527</v>
      </c>
      <c r="F407">
        <v>-79.801920625000008</v>
      </c>
      <c r="G407">
        <v>-79.801920625000008</v>
      </c>
    </row>
    <row r="408" spans="1:7" x14ac:dyDescent="0.3">
      <c r="A408" t="s">
        <v>1529</v>
      </c>
      <c r="F408">
        <v>-102.42696000000001</v>
      </c>
      <c r="G408">
        <v>-102.42696000000001</v>
      </c>
    </row>
    <row r="409" spans="1:7" x14ac:dyDescent="0.3">
      <c r="A409" t="s">
        <v>1532</v>
      </c>
      <c r="F409">
        <v>-67.052574749999991</v>
      </c>
      <c r="G409">
        <v>-67.052574749999991</v>
      </c>
    </row>
    <row r="410" spans="1:7" x14ac:dyDescent="0.3">
      <c r="A410" t="s">
        <v>1536</v>
      </c>
      <c r="F410">
        <v>-49.682072250000012</v>
      </c>
      <c r="G410">
        <v>-49.682072250000012</v>
      </c>
    </row>
    <row r="411" spans="1:7" x14ac:dyDescent="0.3">
      <c r="A411" t="s">
        <v>1538</v>
      </c>
      <c r="F411">
        <v>-90.22417762500001</v>
      </c>
      <c r="G411">
        <v>-90.22417762500001</v>
      </c>
    </row>
    <row r="412" spans="1:7" x14ac:dyDescent="0.3">
      <c r="A412" t="s">
        <v>1540</v>
      </c>
      <c r="F412">
        <v>-79.495283999999998</v>
      </c>
      <c r="G412">
        <v>-79.495283999999998</v>
      </c>
    </row>
    <row r="413" spans="1:7" x14ac:dyDescent="0.3">
      <c r="A413" t="s">
        <v>1543</v>
      </c>
      <c r="F413">
        <v>-83.789890874999998</v>
      </c>
      <c r="G413">
        <v>-83.789890874999998</v>
      </c>
    </row>
    <row r="414" spans="1:7" x14ac:dyDescent="0.3">
      <c r="A414" t="s">
        <v>1546</v>
      </c>
      <c r="F414">
        <v>-36.087676499999993</v>
      </c>
      <c r="G414">
        <v>-36.087676499999993</v>
      </c>
    </row>
    <row r="415" spans="1:7" x14ac:dyDescent="0.3">
      <c r="A415" t="s">
        <v>1549</v>
      </c>
      <c r="D415">
        <v>-74.433680624999994</v>
      </c>
    </row>
    <row r="416" spans="1:7" x14ac:dyDescent="0.3">
      <c r="A416" t="s">
        <v>1552</v>
      </c>
      <c r="F416">
        <v>-52.927428000000013</v>
      </c>
      <c r="G416">
        <v>-52.927428000000013</v>
      </c>
    </row>
    <row r="417" spans="1:7" x14ac:dyDescent="0.3">
      <c r="A417" t="s">
        <v>1556</v>
      </c>
      <c r="F417">
        <v>-51.936438000000003</v>
      </c>
      <c r="G417">
        <v>-51.936438000000003</v>
      </c>
    </row>
    <row r="418" spans="1:7" x14ac:dyDescent="0.3">
      <c r="A418" t="s">
        <v>1558</v>
      </c>
      <c r="E418">
        <v>-79.610283124999995</v>
      </c>
      <c r="G418">
        <v>-79.610283124999995</v>
      </c>
    </row>
    <row r="419" spans="1:7" x14ac:dyDescent="0.3">
      <c r="A419" t="s">
        <v>1562</v>
      </c>
      <c r="D419">
        <v>-70.959407374999984</v>
      </c>
    </row>
    <row r="420" spans="1:7" x14ac:dyDescent="0.3">
      <c r="A420" t="s">
        <v>1566</v>
      </c>
      <c r="D420">
        <v>-73.171938000000011</v>
      </c>
    </row>
    <row r="421" spans="1:7" x14ac:dyDescent="0.3">
      <c r="A421" t="s">
        <v>1574</v>
      </c>
      <c r="C421">
        <v>-70.778350500000016</v>
      </c>
    </row>
    <row r="422" spans="1:7" x14ac:dyDescent="0.3">
      <c r="A422" t="s">
        <v>1577</v>
      </c>
      <c r="C422">
        <v>-68.600856499999992</v>
      </c>
    </row>
    <row r="423" spans="1:7" x14ac:dyDescent="0.3">
      <c r="A423" t="s">
        <v>1579</v>
      </c>
      <c r="C423">
        <v>-40.583539499999993</v>
      </c>
    </row>
    <row r="424" spans="1:7" x14ac:dyDescent="0.3">
      <c r="A424" t="s">
        <v>1582</v>
      </c>
      <c r="D424">
        <v>-72.332972000000012</v>
      </c>
    </row>
    <row r="425" spans="1:7" x14ac:dyDescent="0.3">
      <c r="A425" t="s">
        <v>1587</v>
      </c>
      <c r="C425">
        <v>-81.921795500000002</v>
      </c>
    </row>
    <row r="426" spans="1:7" x14ac:dyDescent="0.3">
      <c r="A426" t="s">
        <v>2684</v>
      </c>
      <c r="C426">
        <v>-51.4437055</v>
      </c>
    </row>
    <row r="427" spans="1:7" x14ac:dyDescent="0.3">
      <c r="A427" t="s">
        <v>1589</v>
      </c>
      <c r="F427">
        <v>-68.564789499999989</v>
      </c>
      <c r="G427">
        <v>-68.564789499999989</v>
      </c>
    </row>
    <row r="428" spans="1:7" x14ac:dyDescent="0.3">
      <c r="A428" t="s">
        <v>1592</v>
      </c>
      <c r="F428">
        <v>-63.448531999999993</v>
      </c>
      <c r="G428">
        <v>-63.448531999999993</v>
      </c>
    </row>
    <row r="429" spans="1:7" x14ac:dyDescent="0.3">
      <c r="A429" t="s">
        <v>1595</v>
      </c>
      <c r="F429">
        <v>-57.09048087499999</v>
      </c>
      <c r="G429">
        <v>-57.09048087499999</v>
      </c>
    </row>
    <row r="430" spans="1:7" x14ac:dyDescent="0.3">
      <c r="A430" t="s">
        <v>1597</v>
      </c>
      <c r="F430">
        <v>-56.943091999999986</v>
      </c>
      <c r="G430">
        <v>-56.943091999999986</v>
      </c>
    </row>
    <row r="431" spans="1:7" x14ac:dyDescent="0.3">
      <c r="A431" t="s">
        <v>1600</v>
      </c>
      <c r="F431">
        <v>-98.320077124999983</v>
      </c>
      <c r="G431">
        <v>-98.320077124999983</v>
      </c>
    </row>
    <row r="432" spans="1:7" x14ac:dyDescent="0.3">
      <c r="A432" t="s">
        <v>1602</v>
      </c>
      <c r="F432">
        <v>-66.316685624999991</v>
      </c>
      <c r="G432">
        <v>-66.316685624999991</v>
      </c>
    </row>
    <row r="433" spans="1:7" x14ac:dyDescent="0.3">
      <c r="A433" t="s">
        <v>1604</v>
      </c>
      <c r="C433">
        <v>-69.351716500000009</v>
      </c>
    </row>
    <row r="434" spans="1:7" x14ac:dyDescent="0.3">
      <c r="A434" t="s">
        <v>1607</v>
      </c>
      <c r="F434">
        <v>-68.98500525</v>
      </c>
      <c r="G434">
        <v>-68.98500525</v>
      </c>
    </row>
    <row r="435" spans="1:7" x14ac:dyDescent="0.3">
      <c r="A435" t="s">
        <v>1609</v>
      </c>
      <c r="F435">
        <v>-73.322356124999999</v>
      </c>
      <c r="G435">
        <v>-73.322356124999999</v>
      </c>
    </row>
    <row r="436" spans="1:7" x14ac:dyDescent="0.3">
      <c r="A436" t="s">
        <v>1611</v>
      </c>
      <c r="F436">
        <v>-80.788404000000014</v>
      </c>
      <c r="G436">
        <v>-80.788404000000014</v>
      </c>
    </row>
    <row r="437" spans="1:7" x14ac:dyDescent="0.3">
      <c r="A437" t="s">
        <v>1614</v>
      </c>
      <c r="F437">
        <v>-46.489532250000003</v>
      </c>
      <c r="G437">
        <v>-46.489532250000003</v>
      </c>
    </row>
    <row r="438" spans="1:7" x14ac:dyDescent="0.3">
      <c r="A438" t="s">
        <v>1616</v>
      </c>
      <c r="F438">
        <v>-63.860204375000002</v>
      </c>
      <c r="G438">
        <v>-63.860204375000002</v>
      </c>
    </row>
    <row r="439" spans="1:7" x14ac:dyDescent="0.3">
      <c r="A439" t="s">
        <v>1618</v>
      </c>
      <c r="F439">
        <v>-69.121266375000005</v>
      </c>
      <c r="G439">
        <v>-69.121266375000005</v>
      </c>
    </row>
    <row r="440" spans="1:7" x14ac:dyDescent="0.3">
      <c r="A440" t="s">
        <v>1620</v>
      </c>
      <c r="F440">
        <v>-61.380005375000003</v>
      </c>
      <c r="G440">
        <v>-61.380005375000003</v>
      </c>
    </row>
    <row r="441" spans="1:7" x14ac:dyDescent="0.3">
      <c r="A441" t="s">
        <v>1622</v>
      </c>
      <c r="F441">
        <v>-59.000780999999996</v>
      </c>
      <c r="G441">
        <v>-59.000780999999996</v>
      </c>
    </row>
    <row r="442" spans="1:7" x14ac:dyDescent="0.3">
      <c r="A442" t="s">
        <v>1624</v>
      </c>
      <c r="F442">
        <v>-85.736440500000015</v>
      </c>
      <c r="G442">
        <v>-85.736440500000015</v>
      </c>
    </row>
    <row r="443" spans="1:7" x14ac:dyDescent="0.3">
      <c r="A443" t="s">
        <v>1626</v>
      </c>
      <c r="F443">
        <v>-64.729057124999997</v>
      </c>
      <c r="G443">
        <v>-64.729057124999997</v>
      </c>
    </row>
    <row r="444" spans="1:7" x14ac:dyDescent="0.3">
      <c r="A444" t="s">
        <v>1628</v>
      </c>
      <c r="F444">
        <v>-79.573213749999979</v>
      </c>
      <c r="G444">
        <v>-79.573213749999979</v>
      </c>
    </row>
    <row r="445" spans="1:7" x14ac:dyDescent="0.3">
      <c r="A445" t="s">
        <v>1630</v>
      </c>
      <c r="F445">
        <v>-87.969297250000011</v>
      </c>
      <c r="G445">
        <v>-87.969297250000011</v>
      </c>
    </row>
    <row r="446" spans="1:7" x14ac:dyDescent="0.3">
      <c r="A446" t="s">
        <v>1632</v>
      </c>
      <c r="F446">
        <v>-70.301606249999992</v>
      </c>
      <c r="G446">
        <v>-70.301606249999992</v>
      </c>
    </row>
    <row r="447" spans="1:7" x14ac:dyDescent="0.3">
      <c r="A447" t="s">
        <v>1634</v>
      </c>
      <c r="F447">
        <v>-67.512737874999999</v>
      </c>
      <c r="G447">
        <v>-67.512737874999999</v>
      </c>
    </row>
    <row r="448" spans="1:7" x14ac:dyDescent="0.3">
      <c r="A448" t="s">
        <v>1637</v>
      </c>
      <c r="F448">
        <v>-85.320413624999986</v>
      </c>
      <c r="G448">
        <v>-85.320413624999986</v>
      </c>
    </row>
    <row r="449" spans="1:7" x14ac:dyDescent="0.3">
      <c r="A449" t="s">
        <v>1639</v>
      </c>
      <c r="F449">
        <v>-122.14454025000001</v>
      </c>
      <c r="G449">
        <v>-122.14454025000001</v>
      </c>
    </row>
    <row r="450" spans="1:7" x14ac:dyDescent="0.3">
      <c r="A450" t="s">
        <v>1640</v>
      </c>
      <c r="F450">
        <v>-61.927207750000001</v>
      </c>
      <c r="G450">
        <v>-61.927207750000001</v>
      </c>
    </row>
    <row r="451" spans="1:7" x14ac:dyDescent="0.3">
      <c r="A451" t="s">
        <v>1642</v>
      </c>
      <c r="F451">
        <v>-92.167338999999998</v>
      </c>
      <c r="G451">
        <v>-92.167338999999998</v>
      </c>
    </row>
    <row r="452" spans="1:7" x14ac:dyDescent="0.3">
      <c r="A452" t="s">
        <v>1643</v>
      </c>
      <c r="F452">
        <v>-76.969343624999993</v>
      </c>
      <c r="G452">
        <v>-76.969343624999993</v>
      </c>
    </row>
    <row r="453" spans="1:7" x14ac:dyDescent="0.3">
      <c r="A453" t="s">
        <v>1644</v>
      </c>
      <c r="F453">
        <v>-59.798881874999999</v>
      </c>
      <c r="G453">
        <v>-59.798881874999999</v>
      </c>
    </row>
    <row r="454" spans="1:7" x14ac:dyDescent="0.3">
      <c r="A454" t="s">
        <v>1645</v>
      </c>
      <c r="F454">
        <v>-72.503019749999993</v>
      </c>
      <c r="G454">
        <v>-72.503019749999993</v>
      </c>
    </row>
    <row r="455" spans="1:7" x14ac:dyDescent="0.3">
      <c r="A455" t="s">
        <v>1646</v>
      </c>
      <c r="F455">
        <v>-74.807071500000006</v>
      </c>
      <c r="G455">
        <v>-74.807071500000006</v>
      </c>
    </row>
    <row r="456" spans="1:7" x14ac:dyDescent="0.3">
      <c r="A456" t="s">
        <v>1648</v>
      </c>
      <c r="F456">
        <v>-66.031501125000005</v>
      </c>
      <c r="G456">
        <v>-66.031501125000005</v>
      </c>
    </row>
    <row r="457" spans="1:7" x14ac:dyDescent="0.3">
      <c r="A457" t="s">
        <v>1650</v>
      </c>
      <c r="F457">
        <v>-32.574970874999998</v>
      </c>
      <c r="G457">
        <v>-32.574970874999998</v>
      </c>
    </row>
    <row r="458" spans="1:7" x14ac:dyDescent="0.3">
      <c r="A458" t="s">
        <v>1652</v>
      </c>
      <c r="F458">
        <v>-67.843597125000002</v>
      </c>
      <c r="G458">
        <v>-67.843597125000002</v>
      </c>
    </row>
    <row r="459" spans="1:7" x14ac:dyDescent="0.3">
      <c r="A459" t="s">
        <v>1654</v>
      </c>
      <c r="F459">
        <v>-76.371420000000001</v>
      </c>
      <c r="G459">
        <v>-76.371420000000001</v>
      </c>
    </row>
    <row r="460" spans="1:7" x14ac:dyDescent="0.3">
      <c r="A460" t="s">
        <v>1656</v>
      </c>
      <c r="F460">
        <v>-65.438676749999985</v>
      </c>
      <c r="G460">
        <v>-65.438676749999985</v>
      </c>
    </row>
    <row r="461" spans="1:7" x14ac:dyDescent="0.3">
      <c r="A461" t="s">
        <v>1658</v>
      </c>
      <c r="F461">
        <v>-50.554360875000008</v>
      </c>
      <c r="G461">
        <v>-50.554360875000008</v>
      </c>
    </row>
    <row r="462" spans="1:7" x14ac:dyDescent="0.3">
      <c r="A462" t="s">
        <v>1660</v>
      </c>
      <c r="F462">
        <v>-71.241277125000011</v>
      </c>
      <c r="G462">
        <v>-71.241277125000011</v>
      </c>
    </row>
    <row r="463" spans="1:7" x14ac:dyDescent="0.3">
      <c r="A463" t="s">
        <v>1662</v>
      </c>
      <c r="F463">
        <v>-80.294678625000017</v>
      </c>
      <c r="G463">
        <v>-80.294678625000017</v>
      </c>
    </row>
    <row r="464" spans="1:7" x14ac:dyDescent="0.3">
      <c r="A464" t="s">
        <v>1664</v>
      </c>
      <c r="F464">
        <v>-31.051323750000002</v>
      </c>
      <c r="G464">
        <v>-31.051323750000002</v>
      </c>
    </row>
    <row r="465" spans="1:7" x14ac:dyDescent="0.3">
      <c r="A465" t="s">
        <v>1667</v>
      </c>
      <c r="F465">
        <v>-98.629763249999996</v>
      </c>
      <c r="G465">
        <v>-98.629763249999996</v>
      </c>
    </row>
    <row r="466" spans="1:7" x14ac:dyDescent="0.3">
      <c r="A466" t="s">
        <v>1671</v>
      </c>
      <c r="F466">
        <v>-71.72969362500001</v>
      </c>
      <c r="G466">
        <v>-71.72969362500001</v>
      </c>
    </row>
    <row r="467" spans="1:7" x14ac:dyDescent="0.3">
      <c r="A467" t="s">
        <v>1672</v>
      </c>
      <c r="F467">
        <v>-59.74225387500001</v>
      </c>
      <c r="G467">
        <v>-59.74225387500001</v>
      </c>
    </row>
    <row r="468" spans="1:7" x14ac:dyDescent="0.3">
      <c r="A468" t="s">
        <v>1673</v>
      </c>
      <c r="F468">
        <v>-118.45487212499998</v>
      </c>
      <c r="G468">
        <v>-118.45487212499998</v>
      </c>
    </row>
    <row r="469" spans="1:7" x14ac:dyDescent="0.3">
      <c r="A469" t="s">
        <v>1674</v>
      </c>
      <c r="F469">
        <v>-18.947088749999999</v>
      </c>
      <c r="G469">
        <v>-18.947088749999999</v>
      </c>
    </row>
    <row r="470" spans="1:7" x14ac:dyDescent="0.3">
      <c r="A470" t="s">
        <v>1675</v>
      </c>
      <c r="F470">
        <v>-74.552245499999998</v>
      </c>
      <c r="G470">
        <v>-74.552245499999998</v>
      </c>
    </row>
    <row r="471" spans="1:7" x14ac:dyDescent="0.3">
      <c r="A471" t="s">
        <v>1676</v>
      </c>
      <c r="F471">
        <v>-76.493524124999993</v>
      </c>
      <c r="G471">
        <v>-76.493524124999993</v>
      </c>
    </row>
    <row r="472" spans="1:7" x14ac:dyDescent="0.3">
      <c r="A472" t="s">
        <v>1680</v>
      </c>
      <c r="F472">
        <v>-66.011743124999981</v>
      </c>
      <c r="G472">
        <v>-66.011743124999981</v>
      </c>
    </row>
    <row r="473" spans="1:7" x14ac:dyDescent="0.3">
      <c r="A473" t="s">
        <v>1683</v>
      </c>
      <c r="F473">
        <v>-87.816825999999992</v>
      </c>
      <c r="G473">
        <v>-87.816825999999992</v>
      </c>
    </row>
    <row r="474" spans="1:7" x14ac:dyDescent="0.3">
      <c r="A474" t="s">
        <v>1684</v>
      </c>
      <c r="F474">
        <v>-85.273944374999985</v>
      </c>
      <c r="G474">
        <v>-85.273944374999985</v>
      </c>
    </row>
    <row r="475" spans="1:7" x14ac:dyDescent="0.3">
      <c r="A475" t="s">
        <v>1685</v>
      </c>
      <c r="F475">
        <v>-92.656941125000003</v>
      </c>
      <c r="G475">
        <v>-92.656941125000003</v>
      </c>
    </row>
    <row r="476" spans="1:7" x14ac:dyDescent="0.3">
      <c r="A476" t="s">
        <v>1687</v>
      </c>
      <c r="F476">
        <v>-67.812598000000008</v>
      </c>
      <c r="G476">
        <v>-67.812598000000008</v>
      </c>
    </row>
    <row r="477" spans="1:7" x14ac:dyDescent="0.3">
      <c r="A477" t="s">
        <v>1689</v>
      </c>
      <c r="F477">
        <v>-75.51747850000001</v>
      </c>
      <c r="G477">
        <v>-75.51747850000001</v>
      </c>
    </row>
    <row r="478" spans="1:7" x14ac:dyDescent="0.3">
      <c r="A478" t="s">
        <v>1691</v>
      </c>
      <c r="F478">
        <v>-64.801611750000006</v>
      </c>
      <c r="G478">
        <v>-64.801611750000006</v>
      </c>
    </row>
    <row r="479" spans="1:7" x14ac:dyDescent="0.3">
      <c r="A479" t="s">
        <v>1692</v>
      </c>
      <c r="F479">
        <v>-62.813235124999999</v>
      </c>
      <c r="G479">
        <v>-62.813235124999999</v>
      </c>
    </row>
    <row r="480" spans="1:7" x14ac:dyDescent="0.3">
      <c r="A480" t="s">
        <v>1693</v>
      </c>
      <c r="F480">
        <v>-64.415877375000008</v>
      </c>
      <c r="G480">
        <v>-64.415877375000008</v>
      </c>
    </row>
    <row r="481" spans="1:7" x14ac:dyDescent="0.3">
      <c r="A481" t="s">
        <v>1694</v>
      </c>
      <c r="F481">
        <v>-77.667323124999996</v>
      </c>
      <c r="G481">
        <v>-77.667323124999996</v>
      </c>
    </row>
    <row r="482" spans="1:7" x14ac:dyDescent="0.3">
      <c r="A482" t="s">
        <v>1695</v>
      </c>
      <c r="F482">
        <v>-64.215970625000011</v>
      </c>
      <c r="G482">
        <v>-64.215970625000011</v>
      </c>
    </row>
    <row r="483" spans="1:7" x14ac:dyDescent="0.3">
      <c r="A483" t="s">
        <v>1696</v>
      </c>
      <c r="F483">
        <v>-68.390294624999996</v>
      </c>
      <c r="G483">
        <v>-68.390294624999996</v>
      </c>
    </row>
    <row r="484" spans="1:7" x14ac:dyDescent="0.3">
      <c r="A484" t="s">
        <v>1697</v>
      </c>
      <c r="F484">
        <v>-77.281062625000004</v>
      </c>
      <c r="G484">
        <v>-77.281062625000004</v>
      </c>
    </row>
    <row r="485" spans="1:7" x14ac:dyDescent="0.3">
      <c r="A485" t="s">
        <v>1699</v>
      </c>
      <c r="F485">
        <v>-85.826229124999998</v>
      </c>
      <c r="G485">
        <v>-85.826229124999998</v>
      </c>
    </row>
    <row r="486" spans="1:7" x14ac:dyDescent="0.3">
      <c r="A486" t="s">
        <v>1700</v>
      </c>
      <c r="F486">
        <v>-58.884559250000002</v>
      </c>
      <c r="G486">
        <v>-58.884559250000002</v>
      </c>
    </row>
    <row r="487" spans="1:7" x14ac:dyDescent="0.3">
      <c r="A487" t="s">
        <v>1701</v>
      </c>
      <c r="F487">
        <v>-81.163997125000009</v>
      </c>
      <c r="G487">
        <v>-81.163997125000009</v>
      </c>
    </row>
    <row r="488" spans="1:7" x14ac:dyDescent="0.3">
      <c r="A488" t="s">
        <v>1704</v>
      </c>
      <c r="F488">
        <v>-107.106267</v>
      </c>
      <c r="G488">
        <v>-107.106267</v>
      </c>
    </row>
    <row r="489" spans="1:7" x14ac:dyDescent="0.3">
      <c r="A489" t="s">
        <v>1705</v>
      </c>
      <c r="F489">
        <v>-88.445571375000014</v>
      </c>
      <c r="G489">
        <v>-88.445571375000014</v>
      </c>
    </row>
    <row r="490" spans="1:7" x14ac:dyDescent="0.3">
      <c r="A490" t="s">
        <v>1706</v>
      </c>
      <c r="F490">
        <v>-93.102496000000002</v>
      </c>
      <c r="G490">
        <v>-93.102496000000002</v>
      </c>
    </row>
    <row r="491" spans="1:7" x14ac:dyDescent="0.3">
      <c r="A491" t="s">
        <v>1707</v>
      </c>
      <c r="F491">
        <v>-54.465232125000007</v>
      </c>
      <c r="G491">
        <v>-54.465232125000007</v>
      </c>
    </row>
    <row r="492" spans="1:7" x14ac:dyDescent="0.3">
      <c r="A492" t="s">
        <v>1710</v>
      </c>
      <c r="F492">
        <v>-85.281481874999997</v>
      </c>
      <c r="G492">
        <v>-85.281481874999997</v>
      </c>
    </row>
    <row r="493" spans="1:7" x14ac:dyDescent="0.3">
      <c r="A493" t="s">
        <v>1712</v>
      </c>
      <c r="F493">
        <v>-71.483715750000016</v>
      </c>
      <c r="G493">
        <v>-71.483715750000016</v>
      </c>
    </row>
    <row r="494" spans="1:7" x14ac:dyDescent="0.3">
      <c r="A494" t="s">
        <v>1862</v>
      </c>
      <c r="F494">
        <v>-57.750929499999991</v>
      </c>
      <c r="G494">
        <v>-57.750929499999991</v>
      </c>
    </row>
    <row r="495" spans="1:7" x14ac:dyDescent="0.3">
      <c r="A495" t="s">
        <v>1864</v>
      </c>
      <c r="B495">
        <v>-103.54182749999998</v>
      </c>
    </row>
    <row r="496" spans="1:7" x14ac:dyDescent="0.3">
      <c r="A496" t="s">
        <v>1866</v>
      </c>
      <c r="B496">
        <v>-71.256077500000004</v>
      </c>
    </row>
    <row r="497" spans="1:7" x14ac:dyDescent="0.3">
      <c r="A497" t="s">
        <v>1869</v>
      </c>
      <c r="B497">
        <v>-84.45075374999999</v>
      </c>
    </row>
    <row r="498" spans="1:7" x14ac:dyDescent="0.3">
      <c r="A498" t="s">
        <v>1873</v>
      </c>
      <c r="B498">
        <v>-77.184760750000009</v>
      </c>
    </row>
    <row r="499" spans="1:7" x14ac:dyDescent="0.3">
      <c r="A499" t="s">
        <v>1877</v>
      </c>
      <c r="B499">
        <v>-68.950195250000007</v>
      </c>
    </row>
    <row r="500" spans="1:7" x14ac:dyDescent="0.3">
      <c r="A500" t="s">
        <v>1886</v>
      </c>
      <c r="B500">
        <v>-68.549172249999998</v>
      </c>
    </row>
    <row r="501" spans="1:7" x14ac:dyDescent="0.3">
      <c r="A501" t="s">
        <v>1887</v>
      </c>
      <c r="B501">
        <v>-58.085190749999988</v>
      </c>
    </row>
    <row r="502" spans="1:7" x14ac:dyDescent="0.3">
      <c r="A502" t="s">
        <v>1888</v>
      </c>
      <c r="B502">
        <v>-75.533089749999988</v>
      </c>
    </row>
    <row r="503" spans="1:7" x14ac:dyDescent="0.3">
      <c r="A503" t="s">
        <v>1891</v>
      </c>
      <c r="F503">
        <v>-81.511292749999996</v>
      </c>
      <c r="G503">
        <v>-81.511292749999996</v>
      </c>
    </row>
    <row r="504" spans="1:7" x14ac:dyDescent="0.3">
      <c r="A504" t="s">
        <v>1893</v>
      </c>
      <c r="F504">
        <v>-43.886470625000008</v>
      </c>
      <c r="G504">
        <v>-43.886470625000008</v>
      </c>
    </row>
    <row r="505" spans="1:7" x14ac:dyDescent="0.3">
      <c r="A505" t="s">
        <v>1895</v>
      </c>
      <c r="F505">
        <v>-65.369669750000014</v>
      </c>
      <c r="G505">
        <v>-65.369669750000014</v>
      </c>
    </row>
    <row r="506" spans="1:7" x14ac:dyDescent="0.3">
      <c r="A506" t="s">
        <v>1899</v>
      </c>
      <c r="F506">
        <v>-93.026260374999993</v>
      </c>
      <c r="G506">
        <v>-93.026260374999993</v>
      </c>
    </row>
    <row r="507" spans="1:7" x14ac:dyDescent="0.3">
      <c r="A507" t="s">
        <v>1901</v>
      </c>
      <c r="F507">
        <v>-92.912104875000011</v>
      </c>
      <c r="G507">
        <v>-92.912104875000011</v>
      </c>
    </row>
    <row r="508" spans="1:7" x14ac:dyDescent="0.3">
      <c r="A508" t="s">
        <v>1902</v>
      </c>
      <c r="F508">
        <v>-66.604686874999999</v>
      </c>
      <c r="G508">
        <v>-66.604686874999999</v>
      </c>
    </row>
    <row r="509" spans="1:7" x14ac:dyDescent="0.3">
      <c r="A509" t="s">
        <v>1903</v>
      </c>
      <c r="F509">
        <v>-83.700102249999986</v>
      </c>
      <c r="G509">
        <v>-83.700102249999986</v>
      </c>
    </row>
    <row r="510" spans="1:7" x14ac:dyDescent="0.3">
      <c r="A510" t="s">
        <v>1904</v>
      </c>
      <c r="B510">
        <v>-38.863387499999995</v>
      </c>
    </row>
    <row r="511" spans="1:7" x14ac:dyDescent="0.3">
      <c r="A511" t="s">
        <v>1914</v>
      </c>
      <c r="F511">
        <v>-59.860163500000006</v>
      </c>
      <c r="G511">
        <v>-59.860163500000006</v>
      </c>
    </row>
    <row r="512" spans="1:7" x14ac:dyDescent="0.3">
      <c r="A512" t="s">
        <v>1917</v>
      </c>
      <c r="F512">
        <v>-53.694579000000012</v>
      </c>
      <c r="G512">
        <v>-53.694579000000012</v>
      </c>
    </row>
    <row r="513" spans="1:7" x14ac:dyDescent="0.3">
      <c r="A513" t="s">
        <v>1919</v>
      </c>
      <c r="F513">
        <v>-45.773006000000002</v>
      </c>
      <c r="G513">
        <v>-45.773006000000002</v>
      </c>
    </row>
    <row r="514" spans="1:7" x14ac:dyDescent="0.3">
      <c r="A514" t="s">
        <v>1920</v>
      </c>
      <c r="F514">
        <v>-77.172606000000002</v>
      </c>
      <c r="G514">
        <v>-77.172606000000002</v>
      </c>
    </row>
    <row r="515" spans="1:7" x14ac:dyDescent="0.3">
      <c r="A515" t="s">
        <v>1921</v>
      </c>
      <c r="F515">
        <v>-53.66215549999999</v>
      </c>
      <c r="G515">
        <v>-53.66215549999999</v>
      </c>
    </row>
    <row r="516" spans="1:7" x14ac:dyDescent="0.3">
      <c r="A516" t="s">
        <v>1923</v>
      </c>
      <c r="F516">
        <v>-87.200000000000017</v>
      </c>
      <c r="G516">
        <v>-87.200000000000017</v>
      </c>
    </row>
    <row r="517" spans="1:7" x14ac:dyDescent="0.3">
      <c r="A517" t="s">
        <v>1925</v>
      </c>
      <c r="F517">
        <v>-88.264856000000009</v>
      </c>
      <c r="G517">
        <v>-88.264856000000009</v>
      </c>
    </row>
    <row r="518" spans="1:7" x14ac:dyDescent="0.3">
      <c r="A518" t="s">
        <v>1927</v>
      </c>
      <c r="F518">
        <v>-77.7033275</v>
      </c>
      <c r="G518">
        <v>-77.7033275</v>
      </c>
    </row>
    <row r="519" spans="1:7" x14ac:dyDescent="0.3">
      <c r="A519" t="s">
        <v>1929</v>
      </c>
      <c r="F519">
        <v>-64.421638000000002</v>
      </c>
      <c r="G519">
        <v>-64.421638000000002</v>
      </c>
    </row>
    <row r="520" spans="1:7" x14ac:dyDescent="0.3">
      <c r="A520" t="s">
        <v>1931</v>
      </c>
      <c r="F520">
        <v>-100.30933300000001</v>
      </c>
      <c r="G520">
        <v>-100.30933300000001</v>
      </c>
    </row>
    <row r="521" spans="1:7" x14ac:dyDescent="0.3">
      <c r="A521" t="s">
        <v>1934</v>
      </c>
      <c r="F521">
        <v>-65.51379799999998</v>
      </c>
      <c r="G521">
        <v>-65.51379799999998</v>
      </c>
    </row>
    <row r="522" spans="1:7" x14ac:dyDescent="0.3">
      <c r="A522" t="s">
        <v>1936</v>
      </c>
      <c r="F522">
        <v>-67.699824500000005</v>
      </c>
      <c r="G522">
        <v>-67.699824500000005</v>
      </c>
    </row>
    <row r="523" spans="1:7" x14ac:dyDescent="0.3">
      <c r="A523" t="s">
        <v>1937</v>
      </c>
      <c r="F523">
        <v>-93.83487199999999</v>
      </c>
      <c r="G523">
        <v>-93.83487199999999</v>
      </c>
    </row>
    <row r="524" spans="1:7" x14ac:dyDescent="0.3">
      <c r="A524" t="s">
        <v>1938</v>
      </c>
      <c r="F524">
        <v>-59.402821499999995</v>
      </c>
      <c r="G524">
        <v>-59.402821499999995</v>
      </c>
    </row>
    <row r="525" spans="1:7" x14ac:dyDescent="0.3">
      <c r="A525" t="s">
        <v>1939</v>
      </c>
      <c r="F525">
        <v>-62.855071000000002</v>
      </c>
      <c r="G525">
        <v>-62.855071000000002</v>
      </c>
    </row>
    <row r="526" spans="1:7" x14ac:dyDescent="0.3">
      <c r="A526" t="s">
        <v>1940</v>
      </c>
      <c r="F526">
        <v>-68.677090499999991</v>
      </c>
      <c r="G526">
        <v>-68.677090499999991</v>
      </c>
    </row>
    <row r="527" spans="1:7" x14ac:dyDescent="0.3">
      <c r="A527" t="s">
        <v>1944</v>
      </c>
      <c r="F527">
        <v>-59.093944999999998</v>
      </c>
      <c r="G527">
        <v>-59.093944999999998</v>
      </c>
    </row>
    <row r="528" spans="1:7" x14ac:dyDescent="0.3">
      <c r="A528" t="s">
        <v>1947</v>
      </c>
      <c r="F528">
        <v>-67.499184874999997</v>
      </c>
      <c r="G528">
        <v>-67.499184874999997</v>
      </c>
    </row>
    <row r="529" spans="1:7" x14ac:dyDescent="0.3">
      <c r="A529" t="s">
        <v>1950</v>
      </c>
      <c r="F529">
        <v>-77.01847325</v>
      </c>
      <c r="G529">
        <v>-77.01847325</v>
      </c>
    </row>
    <row r="530" spans="1:7" x14ac:dyDescent="0.3">
      <c r="A530" t="s">
        <v>1953</v>
      </c>
      <c r="F530">
        <v>-67.67537387500002</v>
      </c>
      <c r="G530">
        <v>-67.67537387500002</v>
      </c>
    </row>
    <row r="531" spans="1:7" x14ac:dyDescent="0.3">
      <c r="A531" t="s">
        <v>1956</v>
      </c>
      <c r="F531">
        <v>-75.693667500000004</v>
      </c>
      <c r="G531">
        <v>-75.693667500000004</v>
      </c>
    </row>
    <row r="532" spans="1:7" x14ac:dyDescent="0.3">
      <c r="A532" t="s">
        <v>1958</v>
      </c>
      <c r="F532">
        <v>-52.223576000000001</v>
      </c>
      <c r="G532">
        <v>-52.223576000000001</v>
      </c>
    </row>
    <row r="533" spans="1:7" x14ac:dyDescent="0.3">
      <c r="A533" t="s">
        <v>1961</v>
      </c>
      <c r="F533">
        <v>-67.008691999999996</v>
      </c>
      <c r="G533">
        <v>-67.008691999999996</v>
      </c>
    </row>
    <row r="534" spans="1:7" x14ac:dyDescent="0.3">
      <c r="A534" t="s">
        <v>1965</v>
      </c>
      <c r="F534">
        <v>-89.909070374999999</v>
      </c>
      <c r="G534">
        <v>-89.909070374999999</v>
      </c>
    </row>
    <row r="535" spans="1:7" x14ac:dyDescent="0.3">
      <c r="A535" t="s">
        <v>1967</v>
      </c>
      <c r="F535">
        <v>-65.342563750000011</v>
      </c>
      <c r="G535">
        <v>-65.342563750000011</v>
      </c>
    </row>
    <row r="536" spans="1:7" x14ac:dyDescent="0.3">
      <c r="A536" t="s">
        <v>1969</v>
      </c>
      <c r="F536">
        <v>-74.453568000000018</v>
      </c>
      <c r="G536">
        <v>-74.453568000000018</v>
      </c>
    </row>
    <row r="537" spans="1:7" x14ac:dyDescent="0.3">
      <c r="A537" t="s">
        <v>1972</v>
      </c>
      <c r="F537">
        <v>-43.631587875000001</v>
      </c>
      <c r="G537">
        <v>-43.631587875000001</v>
      </c>
    </row>
    <row r="538" spans="1:7" x14ac:dyDescent="0.3">
      <c r="A538" t="s">
        <v>1975</v>
      </c>
      <c r="F538">
        <v>-74.16217850000001</v>
      </c>
      <c r="G538">
        <v>-74.16217850000001</v>
      </c>
    </row>
    <row r="539" spans="1:7" x14ac:dyDescent="0.3">
      <c r="A539" t="s">
        <v>1977</v>
      </c>
      <c r="F539">
        <v>-61.193651624999994</v>
      </c>
      <c r="G539">
        <v>-61.193651624999994</v>
      </c>
    </row>
    <row r="540" spans="1:7" x14ac:dyDescent="0.3">
      <c r="A540" t="s">
        <v>1979</v>
      </c>
      <c r="F540">
        <v>-115.75619399999999</v>
      </c>
      <c r="G540">
        <v>-115.75619399999999</v>
      </c>
    </row>
    <row r="541" spans="1:7" x14ac:dyDescent="0.3">
      <c r="A541" t="s">
        <v>1980</v>
      </c>
      <c r="F541">
        <v>-80.625598499999995</v>
      </c>
      <c r="G541">
        <v>-80.625598499999995</v>
      </c>
    </row>
    <row r="542" spans="1:7" x14ac:dyDescent="0.3">
      <c r="A542" t="s">
        <v>1982</v>
      </c>
      <c r="F542">
        <v>-67.240154999999987</v>
      </c>
      <c r="G542">
        <v>-67.240154999999987</v>
      </c>
    </row>
    <row r="543" spans="1:7" x14ac:dyDescent="0.3">
      <c r="A543" t="s">
        <v>1985</v>
      </c>
      <c r="F543">
        <v>-73.433842499999997</v>
      </c>
      <c r="G543">
        <v>-73.433842499999997</v>
      </c>
    </row>
    <row r="544" spans="1:7" x14ac:dyDescent="0.3">
      <c r="A544" t="s">
        <v>1987</v>
      </c>
      <c r="F544">
        <v>-61.612747500000005</v>
      </c>
      <c r="G544">
        <v>-61.612747500000005</v>
      </c>
    </row>
    <row r="545" spans="1:7" x14ac:dyDescent="0.3">
      <c r="A545" t="s">
        <v>1989</v>
      </c>
      <c r="F545">
        <v>-59.398946625000001</v>
      </c>
      <c r="G545">
        <v>-59.398946625000001</v>
      </c>
    </row>
    <row r="546" spans="1:7" x14ac:dyDescent="0.3">
      <c r="A546" t="s">
        <v>1991</v>
      </c>
      <c r="D546">
        <v>-80.56012237500002</v>
      </c>
    </row>
    <row r="547" spans="1:7" x14ac:dyDescent="0.3">
      <c r="A547" t="s">
        <v>1993</v>
      </c>
      <c r="F547">
        <v>-68.480662125000009</v>
      </c>
      <c r="G547">
        <v>-68.480662125000009</v>
      </c>
    </row>
    <row r="548" spans="1:7" x14ac:dyDescent="0.3">
      <c r="A548" t="s">
        <v>1995</v>
      </c>
      <c r="F548">
        <v>-54.304196250000011</v>
      </c>
      <c r="G548">
        <v>-54.304196250000011</v>
      </c>
    </row>
    <row r="549" spans="1:7" x14ac:dyDescent="0.3">
      <c r="A549" t="s">
        <v>1998</v>
      </c>
      <c r="F549">
        <v>-75.68480550000001</v>
      </c>
      <c r="G549">
        <v>-75.68480550000001</v>
      </c>
    </row>
    <row r="550" spans="1:7" x14ac:dyDescent="0.3">
      <c r="A550" t="s">
        <v>1999</v>
      </c>
      <c r="F550">
        <v>-98.225696499999998</v>
      </c>
      <c r="G550">
        <v>-98.225696499999998</v>
      </c>
    </row>
    <row r="551" spans="1:7" x14ac:dyDescent="0.3">
      <c r="A551" t="s">
        <v>2000</v>
      </c>
      <c r="F551">
        <v>-88.688067999999987</v>
      </c>
      <c r="G551">
        <v>-88.688067999999987</v>
      </c>
    </row>
    <row r="552" spans="1:7" x14ac:dyDescent="0.3">
      <c r="A552" t="s">
        <v>2002</v>
      </c>
      <c r="F552">
        <v>-81.643635999999987</v>
      </c>
      <c r="G552">
        <v>-81.643635999999987</v>
      </c>
    </row>
    <row r="553" spans="1:7" x14ac:dyDescent="0.3">
      <c r="A553" t="s">
        <v>2004</v>
      </c>
      <c r="F553">
        <v>-82.706785499999995</v>
      </c>
      <c r="G553">
        <v>-82.706785499999995</v>
      </c>
    </row>
    <row r="554" spans="1:7" x14ac:dyDescent="0.3">
      <c r="A554" t="s">
        <v>2007</v>
      </c>
      <c r="F554">
        <v>-64.51037599999998</v>
      </c>
      <c r="G554">
        <v>-64.51037599999998</v>
      </c>
    </row>
    <row r="555" spans="1:7" x14ac:dyDescent="0.3">
      <c r="A555" t="s">
        <v>2009</v>
      </c>
      <c r="C555">
        <v>-80.961035999999979</v>
      </c>
    </row>
    <row r="556" spans="1:7" x14ac:dyDescent="0.3">
      <c r="A556" t="s">
        <v>2011</v>
      </c>
      <c r="C556">
        <v>-84.333079999999995</v>
      </c>
    </row>
    <row r="557" spans="1:7" x14ac:dyDescent="0.3">
      <c r="A557" t="s">
        <v>2013</v>
      </c>
      <c r="C557">
        <v>-60.752663000000005</v>
      </c>
    </row>
    <row r="558" spans="1:7" x14ac:dyDescent="0.3">
      <c r="A558" t="s">
        <v>2015</v>
      </c>
      <c r="C558">
        <v>-63.754396500000006</v>
      </c>
    </row>
    <row r="559" spans="1:7" x14ac:dyDescent="0.3">
      <c r="A559" t="s">
        <v>2016</v>
      </c>
      <c r="C559">
        <v>-74.322751000000011</v>
      </c>
    </row>
    <row r="560" spans="1:7" x14ac:dyDescent="0.3">
      <c r="A560" t="s">
        <v>2017</v>
      </c>
      <c r="C560">
        <v>-91.723931499999992</v>
      </c>
    </row>
    <row r="561" spans="1:7" x14ac:dyDescent="0.3">
      <c r="A561" t="s">
        <v>2019</v>
      </c>
      <c r="C561">
        <v>-60.819216500000003</v>
      </c>
    </row>
    <row r="562" spans="1:7" x14ac:dyDescent="0.3">
      <c r="A562" t="s">
        <v>2021</v>
      </c>
      <c r="C562">
        <v>-31.472535999999998</v>
      </c>
    </row>
    <row r="563" spans="1:7" x14ac:dyDescent="0.3">
      <c r="A563" t="s">
        <v>2023</v>
      </c>
      <c r="C563">
        <v>-66.518926499999992</v>
      </c>
    </row>
    <row r="564" spans="1:7" x14ac:dyDescent="0.3">
      <c r="A564" t="s">
        <v>2025</v>
      </c>
      <c r="C564">
        <v>-26.769421999999999</v>
      </c>
    </row>
    <row r="565" spans="1:7" x14ac:dyDescent="0.3">
      <c r="A565" t="s">
        <v>2027</v>
      </c>
      <c r="C565">
        <v>-74.810810000000004</v>
      </c>
    </row>
    <row r="566" spans="1:7" x14ac:dyDescent="0.3">
      <c r="A566" t="s">
        <v>2029</v>
      </c>
      <c r="C566">
        <v>-59.104183999999997</v>
      </c>
    </row>
    <row r="567" spans="1:7" x14ac:dyDescent="0.3">
      <c r="A567" t="s">
        <v>2031</v>
      </c>
      <c r="F567">
        <v>-69.88751400000001</v>
      </c>
      <c r="G567">
        <v>-69.88751400000001</v>
      </c>
    </row>
    <row r="568" spans="1:7" x14ac:dyDescent="0.3">
      <c r="A568" t="s">
        <v>2034</v>
      </c>
      <c r="F568">
        <v>-74.249639624999986</v>
      </c>
      <c r="G568">
        <v>-74.249639624999986</v>
      </c>
    </row>
    <row r="569" spans="1:7" x14ac:dyDescent="0.3">
      <c r="A569" t="s">
        <v>2037</v>
      </c>
      <c r="F569">
        <v>-57.698336999999988</v>
      </c>
      <c r="G569">
        <v>-57.698336999999988</v>
      </c>
    </row>
    <row r="570" spans="1:7" x14ac:dyDescent="0.3">
      <c r="A570" t="s">
        <v>2040</v>
      </c>
      <c r="F570">
        <v>-94.288873125000009</v>
      </c>
      <c r="G570">
        <v>-94.288873125000009</v>
      </c>
    </row>
    <row r="571" spans="1:7" x14ac:dyDescent="0.3">
      <c r="A571" t="s">
        <v>2042</v>
      </c>
      <c r="F571">
        <v>-74.525701125000012</v>
      </c>
      <c r="G571">
        <v>-74.525701125000012</v>
      </c>
    </row>
    <row r="572" spans="1:7" x14ac:dyDescent="0.3">
      <c r="A572" t="s">
        <v>2044</v>
      </c>
      <c r="F572">
        <v>-73.867115499999983</v>
      </c>
      <c r="G572">
        <v>-73.867115499999983</v>
      </c>
    </row>
    <row r="573" spans="1:7" x14ac:dyDescent="0.3">
      <c r="A573" t="s">
        <v>2045</v>
      </c>
      <c r="F573">
        <v>-80.15044850000001</v>
      </c>
      <c r="G573">
        <v>-80.15044850000001</v>
      </c>
    </row>
    <row r="574" spans="1:7" x14ac:dyDescent="0.3">
      <c r="A574" t="s">
        <v>2047</v>
      </c>
      <c r="F574">
        <v>-63.169067000000005</v>
      </c>
      <c r="G574">
        <v>-63.169067000000005</v>
      </c>
    </row>
    <row r="575" spans="1:7" x14ac:dyDescent="0.3">
      <c r="A575" t="s">
        <v>2049</v>
      </c>
      <c r="F575">
        <v>-66.721542874999983</v>
      </c>
      <c r="G575">
        <v>-66.721542874999983</v>
      </c>
    </row>
    <row r="576" spans="1:7" x14ac:dyDescent="0.3">
      <c r="A576" t="s">
        <v>2053</v>
      </c>
      <c r="F576">
        <v>-97.919986999999992</v>
      </c>
      <c r="G576">
        <v>-97.919986999999992</v>
      </c>
    </row>
    <row r="577" spans="1:7" x14ac:dyDescent="0.3">
      <c r="A577" t="s">
        <v>2055</v>
      </c>
      <c r="C577">
        <v>-65.298778999999996</v>
      </c>
    </row>
    <row r="578" spans="1:7" x14ac:dyDescent="0.3">
      <c r="A578" t="s">
        <v>2064</v>
      </c>
      <c r="F578">
        <v>-48.085386249999992</v>
      </c>
      <c r="G578">
        <v>-48.085386249999992</v>
      </c>
    </row>
    <row r="579" spans="1:7" x14ac:dyDescent="0.3">
      <c r="A579" t="s">
        <v>2066</v>
      </c>
      <c r="F579">
        <v>-66.572779999999995</v>
      </c>
      <c r="G579">
        <v>-66.572779999999995</v>
      </c>
    </row>
    <row r="580" spans="1:7" x14ac:dyDescent="0.3">
      <c r="A580" t="s">
        <v>2068</v>
      </c>
      <c r="F580">
        <v>-37.009187500000003</v>
      </c>
      <c r="G580">
        <v>-37.009187500000003</v>
      </c>
    </row>
    <row r="581" spans="1:7" x14ac:dyDescent="0.3">
      <c r="A581" t="s">
        <v>2072</v>
      </c>
      <c r="F581">
        <v>-81.433648750000003</v>
      </c>
      <c r="G581">
        <v>-81.433648750000003</v>
      </c>
    </row>
    <row r="582" spans="1:7" x14ac:dyDescent="0.3">
      <c r="A582" t="s">
        <v>2075</v>
      </c>
      <c r="F582">
        <v>-80.247023500000012</v>
      </c>
      <c r="G582">
        <v>-80.247023500000012</v>
      </c>
    </row>
    <row r="583" spans="1:7" x14ac:dyDescent="0.3">
      <c r="A583" t="s">
        <v>2078</v>
      </c>
      <c r="F583">
        <v>-71.788962499999997</v>
      </c>
      <c r="G583">
        <v>-71.788962499999997</v>
      </c>
    </row>
    <row r="584" spans="1:7" x14ac:dyDescent="0.3">
      <c r="A584" t="s">
        <v>2084</v>
      </c>
      <c r="B584">
        <v>-53.143600250000013</v>
      </c>
    </row>
    <row r="585" spans="1:7" x14ac:dyDescent="0.3">
      <c r="A585" t="s">
        <v>2086</v>
      </c>
      <c r="B585">
        <v>-51.664608750000006</v>
      </c>
    </row>
    <row r="586" spans="1:7" x14ac:dyDescent="0.3">
      <c r="A586" t="s">
        <v>2087</v>
      </c>
      <c r="B586">
        <v>-64.083091749999994</v>
      </c>
    </row>
    <row r="587" spans="1:7" x14ac:dyDescent="0.3">
      <c r="A587" t="s">
        <v>2088</v>
      </c>
      <c r="E587">
        <v>-99.522882249999981</v>
      </c>
      <c r="G587">
        <v>-99.522882249999981</v>
      </c>
    </row>
    <row r="588" spans="1:7" x14ac:dyDescent="0.3">
      <c r="A588" t="s">
        <v>2091</v>
      </c>
      <c r="E588">
        <v>-48.221211375000003</v>
      </c>
      <c r="G588">
        <v>-48.221211375000003</v>
      </c>
    </row>
    <row r="589" spans="1:7" x14ac:dyDescent="0.3">
      <c r="A589" t="s">
        <v>2096</v>
      </c>
      <c r="C589">
        <v>-65.680057000000005</v>
      </c>
    </row>
    <row r="590" spans="1:7" x14ac:dyDescent="0.3">
      <c r="A590" t="s">
        <v>2099</v>
      </c>
      <c r="C590">
        <v>-68.220884000000012</v>
      </c>
    </row>
    <row r="591" spans="1:7" x14ac:dyDescent="0.3">
      <c r="A591" t="s">
        <v>2107</v>
      </c>
      <c r="C591">
        <v>-44.203600999999999</v>
      </c>
    </row>
    <row r="592" spans="1:7" x14ac:dyDescent="0.3">
      <c r="A592" t="s">
        <v>2109</v>
      </c>
      <c r="C592">
        <v>-87.111796999999996</v>
      </c>
    </row>
    <row r="593" spans="1:7" x14ac:dyDescent="0.3">
      <c r="A593" t="s">
        <v>2115</v>
      </c>
      <c r="C593">
        <v>-90.206783000000001</v>
      </c>
    </row>
    <row r="594" spans="1:7" x14ac:dyDescent="0.3">
      <c r="A594" t="s">
        <v>2116</v>
      </c>
      <c r="C594">
        <v>-106.49777999999998</v>
      </c>
    </row>
    <row r="595" spans="1:7" x14ac:dyDescent="0.3">
      <c r="A595" t="s">
        <v>2128</v>
      </c>
      <c r="F595">
        <v>-61.429421499999997</v>
      </c>
      <c r="G595">
        <v>-61.429421499999997</v>
      </c>
    </row>
    <row r="596" spans="1:7" x14ac:dyDescent="0.3">
      <c r="A596" t="s">
        <v>2138</v>
      </c>
      <c r="B596">
        <v>-35.687401000000001</v>
      </c>
    </row>
    <row r="597" spans="1:7" x14ac:dyDescent="0.3">
      <c r="A597" t="s">
        <v>2140</v>
      </c>
      <c r="B597">
        <v>-96.586216250000007</v>
      </c>
    </row>
    <row r="598" spans="1:7" x14ac:dyDescent="0.3">
      <c r="A598" t="s">
        <v>2142</v>
      </c>
      <c r="B598">
        <v>-83.522842499999996</v>
      </c>
    </row>
    <row r="599" spans="1:7" x14ac:dyDescent="0.3">
      <c r="A599" t="s">
        <v>2144</v>
      </c>
      <c r="B599">
        <v>-70.394822000000005</v>
      </c>
    </row>
    <row r="600" spans="1:7" x14ac:dyDescent="0.3">
      <c r="A600" t="s">
        <v>2146</v>
      </c>
      <c r="B600">
        <v>-58.64961125</v>
      </c>
    </row>
    <row r="601" spans="1:7" x14ac:dyDescent="0.3">
      <c r="A601" t="s">
        <v>2148</v>
      </c>
      <c r="F601">
        <v>-63.5590695</v>
      </c>
      <c r="G601">
        <v>-63.5590695</v>
      </c>
    </row>
    <row r="602" spans="1:7" x14ac:dyDescent="0.3">
      <c r="A602" t="s">
        <v>2149</v>
      </c>
      <c r="F602">
        <v>-80.613043000000005</v>
      </c>
      <c r="G602">
        <v>-80.613043000000005</v>
      </c>
    </row>
    <row r="603" spans="1:7" x14ac:dyDescent="0.3">
      <c r="A603" t="s">
        <v>2154</v>
      </c>
      <c r="F603">
        <v>-77.545450999999986</v>
      </c>
      <c r="G603">
        <v>-77.545450999999986</v>
      </c>
    </row>
    <row r="604" spans="1:7" x14ac:dyDescent="0.3">
      <c r="A604" t="s">
        <v>2160</v>
      </c>
      <c r="B604">
        <v>-47.855180749999995</v>
      </c>
    </row>
    <row r="605" spans="1:7" x14ac:dyDescent="0.3">
      <c r="A605" t="s">
        <v>2161</v>
      </c>
      <c r="B605">
        <v>-41.329012499999997</v>
      </c>
    </row>
    <row r="606" spans="1:7" x14ac:dyDescent="0.3">
      <c r="A606" t="s">
        <v>2162</v>
      </c>
      <c r="B606">
        <v>-45.529474499999999</v>
      </c>
    </row>
    <row r="607" spans="1:7" x14ac:dyDescent="0.3">
      <c r="A607" t="s">
        <v>1835</v>
      </c>
      <c r="B607">
        <v>-63.381605499999999</v>
      </c>
    </row>
    <row r="608" spans="1:7" x14ac:dyDescent="0.3">
      <c r="A608" t="s">
        <v>2436</v>
      </c>
      <c r="B608">
        <v>-65.863560124999992</v>
      </c>
    </row>
    <row r="609" spans="1:7" x14ac:dyDescent="0.3">
      <c r="A609" t="s">
        <v>2442</v>
      </c>
      <c r="B609">
        <v>-51.81850475000001</v>
      </c>
    </row>
    <row r="610" spans="1:7" x14ac:dyDescent="0.3">
      <c r="A610" t="s">
        <v>2444</v>
      </c>
      <c r="B610">
        <v>-57.789373875000003</v>
      </c>
    </row>
    <row r="611" spans="1:7" x14ac:dyDescent="0.3">
      <c r="A611" t="s">
        <v>2447</v>
      </c>
      <c r="B611">
        <v>-63.822352124999988</v>
      </c>
    </row>
    <row r="612" spans="1:7" x14ac:dyDescent="0.3">
      <c r="A612" t="s">
        <v>2449</v>
      </c>
      <c r="B612">
        <v>-47.660550625000006</v>
      </c>
    </row>
    <row r="613" spans="1:7" x14ac:dyDescent="0.3">
      <c r="A613" t="s">
        <v>2451</v>
      </c>
      <c r="B613">
        <v>-89.758787000000012</v>
      </c>
    </row>
    <row r="614" spans="1:7" x14ac:dyDescent="0.3">
      <c r="A614" t="s">
        <v>2454</v>
      </c>
      <c r="B614">
        <v>-103.49665400000001</v>
      </c>
    </row>
    <row r="615" spans="1:7" x14ac:dyDescent="0.3">
      <c r="A615" t="s">
        <v>2455</v>
      </c>
      <c r="B615">
        <v>-70.018157000000002</v>
      </c>
    </row>
    <row r="616" spans="1:7" x14ac:dyDescent="0.3">
      <c r="A616" t="s">
        <v>2457</v>
      </c>
      <c r="B616">
        <v>-72.09965200000002</v>
      </c>
    </row>
    <row r="617" spans="1:7" x14ac:dyDescent="0.3">
      <c r="A617" t="s">
        <v>2461</v>
      </c>
      <c r="B617">
        <v>-88.672716624999993</v>
      </c>
    </row>
    <row r="618" spans="1:7" x14ac:dyDescent="0.3">
      <c r="A618" t="s">
        <v>2482</v>
      </c>
      <c r="F618">
        <v>-48.175260999999999</v>
      </c>
      <c r="G618">
        <v>-48.175260999999999</v>
      </c>
    </row>
    <row r="619" spans="1:7" x14ac:dyDescent="0.3">
      <c r="A619" t="s">
        <v>2492</v>
      </c>
      <c r="F619">
        <v>-25.792159999999999</v>
      </c>
      <c r="G619">
        <v>-25.792159999999999</v>
      </c>
    </row>
    <row r="620" spans="1:7" x14ac:dyDescent="0.3">
      <c r="A620" t="s">
        <v>2507</v>
      </c>
      <c r="B620">
        <v>-55.556027750000005</v>
      </c>
    </row>
    <row r="621" spans="1:7" x14ac:dyDescent="0.3">
      <c r="A621" t="s">
        <v>2509</v>
      </c>
      <c r="B621">
        <v>-92.402621374999995</v>
      </c>
    </row>
    <row r="622" spans="1:7" x14ac:dyDescent="0.3">
      <c r="A622" t="s">
        <v>2516</v>
      </c>
      <c r="F622">
        <v>-68.683532624999998</v>
      </c>
      <c r="G622">
        <v>-68.683532624999998</v>
      </c>
    </row>
    <row r="623" spans="1:7" x14ac:dyDescent="0.3">
      <c r="A623" t="s">
        <v>2517</v>
      </c>
      <c r="F623">
        <v>-65.715642000000003</v>
      </c>
      <c r="G623">
        <v>-65.715642000000003</v>
      </c>
    </row>
    <row r="624" spans="1:7" x14ac:dyDescent="0.3">
      <c r="A624" t="s">
        <v>2522</v>
      </c>
      <c r="F624">
        <v>-58.384092500000001</v>
      </c>
      <c r="G624">
        <v>-58.384092500000001</v>
      </c>
    </row>
    <row r="625" spans="1:7" x14ac:dyDescent="0.3">
      <c r="A625" t="s">
        <v>2523</v>
      </c>
      <c r="F625">
        <v>-63.531274500000002</v>
      </c>
      <c r="G625">
        <v>-63.531274500000002</v>
      </c>
    </row>
    <row r="626" spans="1:7" x14ac:dyDescent="0.3">
      <c r="A626" t="s">
        <v>2524</v>
      </c>
      <c r="F626">
        <v>-71.548536374999998</v>
      </c>
      <c r="G626">
        <v>-71.548536374999998</v>
      </c>
    </row>
    <row r="627" spans="1:7" x14ac:dyDescent="0.3">
      <c r="A627" t="s">
        <v>2525</v>
      </c>
      <c r="F627">
        <v>-40.842344250000004</v>
      </c>
      <c r="G627">
        <v>-40.842344250000004</v>
      </c>
    </row>
    <row r="628" spans="1:7" x14ac:dyDescent="0.3">
      <c r="A628" t="s">
        <v>2526</v>
      </c>
      <c r="F628">
        <v>-42.366652875000007</v>
      </c>
      <c r="G628">
        <v>-42.366652875000007</v>
      </c>
    </row>
    <row r="629" spans="1:7" x14ac:dyDescent="0.3">
      <c r="A629" t="s">
        <v>2527</v>
      </c>
      <c r="F629">
        <v>-64.325877749999989</v>
      </c>
      <c r="G629">
        <v>-64.325877749999989</v>
      </c>
    </row>
    <row r="630" spans="1:7" x14ac:dyDescent="0.3">
      <c r="A630" t="s">
        <v>2528</v>
      </c>
      <c r="B630">
        <v>-43.776128500000006</v>
      </c>
    </row>
    <row r="631" spans="1:7" x14ac:dyDescent="0.3">
      <c r="A631" t="s">
        <v>2530</v>
      </c>
      <c r="B631">
        <v>-69.625368000000009</v>
      </c>
    </row>
    <row r="632" spans="1:7" x14ac:dyDescent="0.3">
      <c r="A632" t="s">
        <v>2532</v>
      </c>
      <c r="B632">
        <v>-34.061771749999998</v>
      </c>
    </row>
    <row r="633" spans="1:7" x14ac:dyDescent="0.3">
      <c r="A633" t="s">
        <v>2536</v>
      </c>
      <c r="F633">
        <v>-72.08352124999999</v>
      </c>
      <c r="G633">
        <v>-72.08352124999999</v>
      </c>
    </row>
    <row r="634" spans="1:7" x14ac:dyDescent="0.3">
      <c r="A634" t="s">
        <v>2537</v>
      </c>
      <c r="F634">
        <v>-59.05641275</v>
      </c>
      <c r="G634">
        <v>-59.05641275</v>
      </c>
    </row>
    <row r="635" spans="1:7" x14ac:dyDescent="0.3">
      <c r="A635" t="s">
        <v>2540</v>
      </c>
      <c r="F635">
        <v>-48.714509499999998</v>
      </c>
      <c r="G635">
        <v>-48.714509499999998</v>
      </c>
    </row>
    <row r="636" spans="1:7" x14ac:dyDescent="0.3">
      <c r="A636" t="s">
        <v>2542</v>
      </c>
      <c r="F636">
        <v>-74.476274500000017</v>
      </c>
      <c r="G636">
        <v>-74.476274500000017</v>
      </c>
    </row>
    <row r="637" spans="1:7" x14ac:dyDescent="0.3">
      <c r="A637" t="s">
        <v>2546</v>
      </c>
      <c r="F637">
        <v>-59.439369499999991</v>
      </c>
      <c r="G637">
        <v>-59.439369499999991</v>
      </c>
    </row>
    <row r="638" spans="1:7" x14ac:dyDescent="0.3">
      <c r="A638" t="s">
        <v>2559</v>
      </c>
      <c r="C638">
        <v>-85.281059249999998</v>
      </c>
    </row>
    <row r="639" spans="1:7" x14ac:dyDescent="0.3">
      <c r="A639" t="s">
        <v>2560</v>
      </c>
      <c r="C639">
        <v>-55.724462999999993</v>
      </c>
    </row>
    <row r="640" spans="1:7" x14ac:dyDescent="0.3">
      <c r="A640" t="s">
        <v>2563</v>
      </c>
      <c r="F640">
        <v>-47.5397745</v>
      </c>
      <c r="G640">
        <v>-47.5397745</v>
      </c>
    </row>
    <row r="641" spans="1:7" x14ac:dyDescent="0.3">
      <c r="A641" t="s">
        <v>2567</v>
      </c>
      <c r="F641">
        <v>-82.128995500000002</v>
      </c>
      <c r="G641">
        <v>-82.128995500000002</v>
      </c>
    </row>
    <row r="642" spans="1:7" x14ac:dyDescent="0.3">
      <c r="A642" t="s">
        <v>2585</v>
      </c>
      <c r="C642">
        <v>-84.837669000000005</v>
      </c>
    </row>
    <row r="643" spans="1:7" x14ac:dyDescent="0.3">
      <c r="A643" t="s">
        <v>2590</v>
      </c>
      <c r="C643">
        <v>-91.631306999999993</v>
      </c>
    </row>
    <row r="644" spans="1:7" x14ac:dyDescent="0.3">
      <c r="A644" t="s">
        <v>2592</v>
      </c>
      <c r="C644">
        <v>-98.270035999999976</v>
      </c>
    </row>
    <row r="645" spans="1:7" x14ac:dyDescent="0.3">
      <c r="A645" t="s">
        <v>2594</v>
      </c>
      <c r="C645">
        <v>-71.108260000000001</v>
      </c>
    </row>
    <row r="646" spans="1:7" x14ac:dyDescent="0.3">
      <c r="A646" t="s">
        <v>2596</v>
      </c>
      <c r="C646">
        <v>-77.352530000000002</v>
      </c>
    </row>
  </sheetData>
  <mergeCells count="4">
    <mergeCell ref="L2:O2"/>
    <mergeCell ref="M4:N4"/>
    <mergeCell ref="O4:P4"/>
    <mergeCell ref="Q4:R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6"/>
  <sheetViews>
    <sheetView showGridLines="0" workbookViewId="0">
      <selection activeCell="H3" sqref="H3:P25"/>
    </sheetView>
  </sheetViews>
  <sheetFormatPr defaultColWidth="11.5546875" defaultRowHeight="14.4" x14ac:dyDescent="0.3"/>
  <sheetData>
    <row r="1" spans="1:12" x14ac:dyDescent="0.3">
      <c r="A1" t="s">
        <v>2777</v>
      </c>
      <c r="B1" t="s">
        <v>2778</v>
      </c>
      <c r="C1" t="s">
        <v>2779</v>
      </c>
    </row>
    <row r="2" spans="1:12" x14ac:dyDescent="0.3">
      <c r="A2">
        <v>-159.78854849999999</v>
      </c>
      <c r="B2">
        <v>-137.73750000000001</v>
      </c>
      <c r="C2">
        <v>-144.96249999999998</v>
      </c>
    </row>
    <row r="3" spans="1:12" x14ac:dyDescent="0.3">
      <c r="A3">
        <v>-137.43673237499999</v>
      </c>
      <c r="B3">
        <v>-127.01951000000001</v>
      </c>
      <c r="C3">
        <v>-140.32499999999999</v>
      </c>
    </row>
    <row r="4" spans="1:12" x14ac:dyDescent="0.3">
      <c r="A4">
        <v>-135.46249999999998</v>
      </c>
      <c r="B4">
        <v>-103.5393</v>
      </c>
      <c r="C4">
        <v>-133.78749999999999</v>
      </c>
      <c r="I4" s="12" t="s">
        <v>2717</v>
      </c>
    </row>
    <row r="5" spans="1:12" x14ac:dyDescent="0.3">
      <c r="A5">
        <v>-127.28913425</v>
      </c>
      <c r="B5">
        <v>-100.92272075</v>
      </c>
      <c r="C5">
        <v>-130.72499999999999</v>
      </c>
      <c r="I5" t="s">
        <v>2720</v>
      </c>
    </row>
    <row r="6" spans="1:12" x14ac:dyDescent="0.3">
      <c r="A6">
        <v>-125.42716012500001</v>
      </c>
      <c r="B6">
        <v>-98.684420000000003</v>
      </c>
      <c r="C6">
        <v>-130.36249999999998</v>
      </c>
      <c r="I6" s="67" t="s">
        <v>2721</v>
      </c>
      <c r="J6" s="67"/>
      <c r="K6" s="67"/>
      <c r="L6" s="67"/>
    </row>
    <row r="7" spans="1:12" ht="15" customHeight="1" x14ac:dyDescent="0.3">
      <c r="A7">
        <v>-121.529286375</v>
      </c>
      <c r="B7">
        <v>-88.597489375000009</v>
      </c>
      <c r="C7">
        <v>-130.02500000000001</v>
      </c>
      <c r="J7" t="s">
        <v>2777</v>
      </c>
      <c r="K7" t="s">
        <v>2778</v>
      </c>
      <c r="L7" t="s">
        <v>2779</v>
      </c>
    </row>
    <row r="8" spans="1:12" x14ac:dyDescent="0.3">
      <c r="A8">
        <v>-121.075</v>
      </c>
      <c r="B8">
        <v>-82.736486249999999</v>
      </c>
      <c r="C8">
        <v>-129.75</v>
      </c>
      <c r="I8" t="s">
        <v>2777</v>
      </c>
      <c r="K8">
        <v>1</v>
      </c>
      <c r="L8">
        <v>2.5749999999999999E-2</v>
      </c>
    </row>
    <row r="9" spans="1:12" x14ac:dyDescent="0.3">
      <c r="A9">
        <v>-119.68337700000001</v>
      </c>
      <c r="B9">
        <v>-80.938556000000005</v>
      </c>
      <c r="C9">
        <v>-129.66249999999999</v>
      </c>
      <c r="I9" t="s">
        <v>2778</v>
      </c>
      <c r="J9">
        <v>1</v>
      </c>
      <c r="L9">
        <v>1.2E-2</v>
      </c>
    </row>
    <row r="10" spans="1:12" x14ac:dyDescent="0.3">
      <c r="A10">
        <v>-116.81320725</v>
      </c>
      <c r="B10">
        <v>-79.288133999999999</v>
      </c>
      <c r="C10">
        <v>-129.5</v>
      </c>
      <c r="I10" t="s">
        <v>2779</v>
      </c>
      <c r="J10">
        <v>2.5749999999999999E-2</v>
      </c>
      <c r="K10">
        <v>1.2E-2</v>
      </c>
    </row>
    <row r="11" spans="1:12" x14ac:dyDescent="0.3">
      <c r="A11">
        <v>-111.6125</v>
      </c>
      <c r="B11">
        <v>-76.724073000000004</v>
      </c>
      <c r="C11">
        <v>-128.67500000000001</v>
      </c>
    </row>
    <row r="12" spans="1:12" x14ac:dyDescent="0.3">
      <c r="A12">
        <v>-110.72341875000001</v>
      </c>
      <c r="B12">
        <v>-72.028892999999997</v>
      </c>
      <c r="C12">
        <v>-128.41249999999999</v>
      </c>
    </row>
    <row r="13" spans="1:12" x14ac:dyDescent="0.3">
      <c r="A13">
        <v>-110.06250000000001</v>
      </c>
      <c r="B13">
        <v>-70.633115000000004</v>
      </c>
      <c r="C13">
        <v>-127.35000000000001</v>
      </c>
      <c r="J13" t="s">
        <v>2777</v>
      </c>
      <c r="K13" t="s">
        <v>2778</v>
      </c>
      <c r="L13" t="s">
        <v>2779</v>
      </c>
    </row>
    <row r="14" spans="1:12" x14ac:dyDescent="0.3">
      <c r="A14">
        <v>-102.16550112500001</v>
      </c>
      <c r="B14">
        <v>-63.505791250000001</v>
      </c>
      <c r="C14">
        <v>-126.825</v>
      </c>
      <c r="I14" t="s">
        <v>2777</v>
      </c>
      <c r="K14">
        <v>345</v>
      </c>
      <c r="L14">
        <v>2120</v>
      </c>
    </row>
    <row r="15" spans="1:12" x14ac:dyDescent="0.3">
      <c r="A15">
        <v>-101.916284625</v>
      </c>
      <c r="B15">
        <v>-59.880514000000005</v>
      </c>
      <c r="C15">
        <v>-125.425</v>
      </c>
      <c r="I15" t="s">
        <v>2778</v>
      </c>
      <c r="J15">
        <v>345</v>
      </c>
      <c r="L15">
        <v>604</v>
      </c>
    </row>
    <row r="16" spans="1:12" x14ac:dyDescent="0.3">
      <c r="A16">
        <v>-100.17855412500001</v>
      </c>
      <c r="B16">
        <v>-59.113617750000003</v>
      </c>
      <c r="C16">
        <v>-123.175</v>
      </c>
      <c r="I16" t="s">
        <v>2779</v>
      </c>
      <c r="J16">
        <v>2120</v>
      </c>
      <c r="K16">
        <v>604</v>
      </c>
    </row>
    <row r="17" spans="1:3" x14ac:dyDescent="0.3">
      <c r="A17">
        <v>-99.25</v>
      </c>
      <c r="B17">
        <v>-51.858783000000003</v>
      </c>
      <c r="C17">
        <v>-122.17500000000001</v>
      </c>
    </row>
    <row r="18" spans="1:3" x14ac:dyDescent="0.3">
      <c r="A18">
        <v>-98.883983000000001</v>
      </c>
      <c r="B18">
        <v>-51.550561999999999</v>
      </c>
      <c r="C18">
        <v>-121.0125</v>
      </c>
    </row>
    <row r="19" spans="1:3" x14ac:dyDescent="0.3">
      <c r="A19">
        <v>-97.55</v>
      </c>
      <c r="C19">
        <v>-120.325</v>
      </c>
    </row>
    <row r="20" spans="1:3" x14ac:dyDescent="0.3">
      <c r="A20">
        <v>-97.067123625000008</v>
      </c>
      <c r="C20">
        <v>-120.325</v>
      </c>
    </row>
    <row r="21" spans="1:3" x14ac:dyDescent="0.3">
      <c r="A21">
        <v>-95.257975999999999</v>
      </c>
      <c r="C21">
        <v>-119.541538375</v>
      </c>
    </row>
    <row r="22" spans="1:3" x14ac:dyDescent="0.3">
      <c r="A22">
        <v>-93.379548750000012</v>
      </c>
      <c r="C22">
        <v>-119.02499999999999</v>
      </c>
    </row>
    <row r="23" spans="1:3" x14ac:dyDescent="0.3">
      <c r="A23">
        <v>-89.424200249999998</v>
      </c>
      <c r="C23">
        <v>-118.50000000000001</v>
      </c>
    </row>
    <row r="24" spans="1:3" x14ac:dyDescent="0.3">
      <c r="A24">
        <v>-88.932072500000018</v>
      </c>
      <c r="C24">
        <v>-118.4875</v>
      </c>
    </row>
    <row r="25" spans="1:3" x14ac:dyDescent="0.3">
      <c r="A25">
        <v>-88.575191500000003</v>
      </c>
      <c r="C25">
        <v>-118.03750000000001</v>
      </c>
    </row>
    <row r="26" spans="1:3" x14ac:dyDescent="0.3">
      <c r="A26">
        <v>-87.949221749999992</v>
      </c>
      <c r="C26">
        <v>-117.6375</v>
      </c>
    </row>
    <row r="27" spans="1:3" x14ac:dyDescent="0.3">
      <c r="A27">
        <v>-85.5</v>
      </c>
      <c r="C27">
        <v>-117.41250000000001</v>
      </c>
    </row>
    <row r="28" spans="1:3" x14ac:dyDescent="0.3">
      <c r="A28">
        <v>-84.415346624999998</v>
      </c>
      <c r="C28">
        <v>-117.3625</v>
      </c>
    </row>
    <row r="29" spans="1:3" x14ac:dyDescent="0.3">
      <c r="A29">
        <v>-83.7</v>
      </c>
      <c r="C29">
        <v>-116.62500000000001</v>
      </c>
    </row>
    <row r="30" spans="1:3" x14ac:dyDescent="0.3">
      <c r="A30">
        <v>-80.079662499999998</v>
      </c>
      <c r="C30">
        <v>-116.53750000000001</v>
      </c>
    </row>
    <row r="31" spans="1:3" x14ac:dyDescent="0.3">
      <c r="A31">
        <v>-79.308128000000011</v>
      </c>
      <c r="C31">
        <v>-116.46249999999999</v>
      </c>
    </row>
    <row r="32" spans="1:3" x14ac:dyDescent="0.3">
      <c r="A32">
        <v>-76.125</v>
      </c>
      <c r="C32">
        <v>-116.21249999999999</v>
      </c>
    </row>
    <row r="33" spans="1:3" x14ac:dyDescent="0.3">
      <c r="A33">
        <v>-71.837500000000006</v>
      </c>
      <c r="C33">
        <v>-115.75000000000001</v>
      </c>
    </row>
    <row r="34" spans="1:3" x14ac:dyDescent="0.3">
      <c r="A34">
        <v>-70.734265250000007</v>
      </c>
      <c r="C34">
        <v>-115.12500000000001</v>
      </c>
    </row>
    <row r="35" spans="1:3" x14ac:dyDescent="0.3">
      <c r="A35">
        <v>-63.307039250000003</v>
      </c>
      <c r="C35">
        <v>-114.575</v>
      </c>
    </row>
    <row r="36" spans="1:3" x14ac:dyDescent="0.3">
      <c r="A36">
        <v>-59.25</v>
      </c>
      <c r="C36">
        <v>-114.2375</v>
      </c>
    </row>
    <row r="37" spans="1:3" x14ac:dyDescent="0.3">
      <c r="A37">
        <v>-58.750000000000007</v>
      </c>
      <c r="C37">
        <v>-113.66250000000001</v>
      </c>
    </row>
    <row r="38" spans="1:3" x14ac:dyDescent="0.3">
      <c r="A38">
        <v>-57.975000000000001</v>
      </c>
      <c r="C38">
        <v>-110.5625</v>
      </c>
    </row>
    <row r="39" spans="1:3" x14ac:dyDescent="0.3">
      <c r="A39">
        <v>-55.787500000000001</v>
      </c>
      <c r="C39">
        <v>-110.30000000000001</v>
      </c>
    </row>
    <row r="40" spans="1:3" x14ac:dyDescent="0.3">
      <c r="A40">
        <v>-55.162500000000001</v>
      </c>
      <c r="C40">
        <v>-110.1</v>
      </c>
    </row>
    <row r="41" spans="1:3" x14ac:dyDescent="0.3">
      <c r="A41">
        <v>-54.712499999999999</v>
      </c>
      <c r="C41">
        <v>-109.55</v>
      </c>
    </row>
    <row r="42" spans="1:3" x14ac:dyDescent="0.3">
      <c r="A42">
        <v>-53.967247999999998</v>
      </c>
      <c r="C42">
        <v>-109.41249999999999</v>
      </c>
    </row>
    <row r="43" spans="1:3" x14ac:dyDescent="0.3">
      <c r="A43">
        <v>-53.437500000000007</v>
      </c>
      <c r="C43">
        <v>-108.33749999999999</v>
      </c>
    </row>
    <row r="44" spans="1:3" x14ac:dyDescent="0.3">
      <c r="A44">
        <v>-50.099338000000003</v>
      </c>
      <c r="C44">
        <v>-107.48750000000001</v>
      </c>
    </row>
    <row r="45" spans="1:3" x14ac:dyDescent="0.3">
      <c r="A45">
        <v>-49.760336750000008</v>
      </c>
      <c r="C45">
        <v>-107.22499999999999</v>
      </c>
    </row>
    <row r="46" spans="1:3" x14ac:dyDescent="0.3">
      <c r="A46">
        <v>-37.17081975</v>
      </c>
      <c r="C46">
        <v>-107.2</v>
      </c>
    </row>
    <row r="47" spans="1:3" x14ac:dyDescent="0.3">
      <c r="A47">
        <v>-26.812774867499996</v>
      </c>
      <c r="C47">
        <v>-107.1375</v>
      </c>
    </row>
    <row r="48" spans="1:3" x14ac:dyDescent="0.3">
      <c r="C48">
        <v>-106.08750000000001</v>
      </c>
    </row>
    <row r="49" spans="3:3" x14ac:dyDescent="0.3">
      <c r="C49">
        <v>-105.8</v>
      </c>
    </row>
    <row r="50" spans="3:3" x14ac:dyDescent="0.3">
      <c r="C50">
        <v>-105.8</v>
      </c>
    </row>
    <row r="51" spans="3:3" x14ac:dyDescent="0.3">
      <c r="C51">
        <v>-104.72499999999999</v>
      </c>
    </row>
    <row r="52" spans="3:3" x14ac:dyDescent="0.3">
      <c r="C52">
        <v>-104.55</v>
      </c>
    </row>
    <row r="53" spans="3:3" x14ac:dyDescent="0.3">
      <c r="C53">
        <v>-103.50000000000001</v>
      </c>
    </row>
    <row r="54" spans="3:3" x14ac:dyDescent="0.3">
      <c r="C54">
        <v>-102.8875</v>
      </c>
    </row>
    <row r="55" spans="3:3" x14ac:dyDescent="0.3">
      <c r="C55">
        <v>-102.87500000000001</v>
      </c>
    </row>
    <row r="56" spans="3:3" x14ac:dyDescent="0.3">
      <c r="C56">
        <v>-102.65</v>
      </c>
    </row>
    <row r="57" spans="3:3" x14ac:dyDescent="0.3">
      <c r="C57">
        <v>-102.6</v>
      </c>
    </row>
    <row r="58" spans="3:3" x14ac:dyDescent="0.3">
      <c r="C58">
        <v>-102.46249999999999</v>
      </c>
    </row>
    <row r="59" spans="3:3" x14ac:dyDescent="0.3">
      <c r="C59">
        <v>-102.325</v>
      </c>
    </row>
    <row r="60" spans="3:3" x14ac:dyDescent="0.3">
      <c r="C60">
        <v>-102.2625</v>
      </c>
    </row>
    <row r="61" spans="3:3" x14ac:dyDescent="0.3">
      <c r="C61">
        <v>-102.1875</v>
      </c>
    </row>
    <row r="62" spans="3:3" x14ac:dyDescent="0.3">
      <c r="C62">
        <v>-101.96250000000001</v>
      </c>
    </row>
    <row r="63" spans="3:3" x14ac:dyDescent="0.3">
      <c r="C63">
        <v>-101.9</v>
      </c>
    </row>
    <row r="64" spans="3:3" x14ac:dyDescent="0.3">
      <c r="C64">
        <v>-101.77499999999999</v>
      </c>
    </row>
    <row r="65" spans="3:3" x14ac:dyDescent="0.3">
      <c r="C65">
        <v>-101.53750000000001</v>
      </c>
    </row>
    <row r="66" spans="3:3" x14ac:dyDescent="0.3">
      <c r="C66">
        <v>-100.55000000000001</v>
      </c>
    </row>
    <row r="67" spans="3:3" x14ac:dyDescent="0.3">
      <c r="C67">
        <v>-100.47500000000001</v>
      </c>
    </row>
    <row r="68" spans="3:3" x14ac:dyDescent="0.3">
      <c r="C68">
        <v>-100.43750000000001</v>
      </c>
    </row>
    <row r="69" spans="3:3" x14ac:dyDescent="0.3">
      <c r="C69">
        <v>-99.875</v>
      </c>
    </row>
    <row r="70" spans="3:3" x14ac:dyDescent="0.3">
      <c r="C70">
        <v>-99.787499999999994</v>
      </c>
    </row>
    <row r="71" spans="3:3" x14ac:dyDescent="0.3">
      <c r="C71">
        <v>-99.737499999999997</v>
      </c>
    </row>
    <row r="72" spans="3:3" x14ac:dyDescent="0.3">
      <c r="C72">
        <v>-99.375</v>
      </c>
    </row>
    <row r="73" spans="3:3" x14ac:dyDescent="0.3">
      <c r="C73">
        <v>-99.3125</v>
      </c>
    </row>
    <row r="74" spans="3:3" x14ac:dyDescent="0.3">
      <c r="C74">
        <v>-98.662500000000009</v>
      </c>
    </row>
    <row r="75" spans="3:3" x14ac:dyDescent="0.3">
      <c r="C75">
        <v>-98.187500000000014</v>
      </c>
    </row>
    <row r="76" spans="3:3" x14ac:dyDescent="0.3">
      <c r="C76">
        <v>-97.6</v>
      </c>
    </row>
    <row r="77" spans="3:3" x14ac:dyDescent="0.3">
      <c r="C77">
        <v>-97.224999999999994</v>
      </c>
    </row>
    <row r="78" spans="3:3" x14ac:dyDescent="0.3">
      <c r="C78">
        <v>-96.912499999999994</v>
      </c>
    </row>
    <row r="79" spans="3:3" x14ac:dyDescent="0.3">
      <c r="C79">
        <v>-96.800000000000011</v>
      </c>
    </row>
    <row r="80" spans="3:3" x14ac:dyDescent="0.3">
      <c r="C80">
        <v>-96.575000000000003</v>
      </c>
    </row>
    <row r="81" spans="3:3" x14ac:dyDescent="0.3">
      <c r="C81">
        <v>-95.7</v>
      </c>
    </row>
    <row r="82" spans="3:3" x14ac:dyDescent="0.3">
      <c r="C82">
        <v>-95.65</v>
      </c>
    </row>
    <row r="83" spans="3:3" x14ac:dyDescent="0.3">
      <c r="C83">
        <v>-95.325000000000003</v>
      </c>
    </row>
    <row r="84" spans="3:3" x14ac:dyDescent="0.3">
      <c r="C84">
        <v>-95.05</v>
      </c>
    </row>
    <row r="85" spans="3:3" x14ac:dyDescent="0.3">
      <c r="C85">
        <v>-94.45</v>
      </c>
    </row>
    <row r="86" spans="3:3" x14ac:dyDescent="0.3">
      <c r="C86">
        <v>-94.25</v>
      </c>
    </row>
    <row r="87" spans="3:3" x14ac:dyDescent="0.3">
      <c r="C87">
        <v>-93.737500000000011</v>
      </c>
    </row>
    <row r="88" spans="3:3" x14ac:dyDescent="0.3">
      <c r="C88">
        <v>-93.273727750000006</v>
      </c>
    </row>
    <row r="89" spans="3:3" x14ac:dyDescent="0.3">
      <c r="C89">
        <v>-92.425000000000011</v>
      </c>
    </row>
    <row r="90" spans="3:3" x14ac:dyDescent="0.3">
      <c r="C90">
        <v>-91.4375</v>
      </c>
    </row>
    <row r="91" spans="3:3" x14ac:dyDescent="0.3">
      <c r="C91">
        <v>-89.437500000000014</v>
      </c>
    </row>
    <row r="92" spans="3:3" x14ac:dyDescent="0.3">
      <c r="C92">
        <v>-89.148551999999995</v>
      </c>
    </row>
    <row r="93" spans="3:3" x14ac:dyDescent="0.3">
      <c r="C93">
        <v>-88.962499999999991</v>
      </c>
    </row>
    <row r="94" spans="3:3" x14ac:dyDescent="0.3">
      <c r="C94">
        <v>-88.9375</v>
      </c>
    </row>
    <row r="95" spans="3:3" x14ac:dyDescent="0.3">
      <c r="C95">
        <v>-88.731828500000006</v>
      </c>
    </row>
    <row r="96" spans="3:3" x14ac:dyDescent="0.3">
      <c r="C96">
        <v>-88.105640875000006</v>
      </c>
    </row>
    <row r="97" spans="3:3" x14ac:dyDescent="0.3">
      <c r="C97">
        <v>-87.475000000000009</v>
      </c>
    </row>
    <row r="98" spans="3:3" x14ac:dyDescent="0.3">
      <c r="C98">
        <v>-86.762500000000003</v>
      </c>
    </row>
    <row r="99" spans="3:3" x14ac:dyDescent="0.3">
      <c r="C99">
        <v>-86.302790000000002</v>
      </c>
    </row>
    <row r="100" spans="3:3" x14ac:dyDescent="0.3">
      <c r="C100">
        <v>-85.524999999999991</v>
      </c>
    </row>
    <row r="101" spans="3:3" x14ac:dyDescent="0.3">
      <c r="C101">
        <v>-84.987499999999997</v>
      </c>
    </row>
    <row r="102" spans="3:3" x14ac:dyDescent="0.3">
      <c r="C102">
        <v>-84.987499999999997</v>
      </c>
    </row>
    <row r="103" spans="3:3" x14ac:dyDescent="0.3">
      <c r="C103">
        <v>-82.325000000000003</v>
      </c>
    </row>
    <row r="104" spans="3:3" x14ac:dyDescent="0.3">
      <c r="C104">
        <v>-77.566322999999997</v>
      </c>
    </row>
    <row r="105" spans="3:3" x14ac:dyDescent="0.3">
      <c r="C105">
        <v>-76.987499999999997</v>
      </c>
    </row>
    <row r="106" spans="3:3" x14ac:dyDescent="0.3">
      <c r="C106">
        <v>-75.412500000000009</v>
      </c>
    </row>
    <row r="107" spans="3:3" x14ac:dyDescent="0.3">
      <c r="C107">
        <v>-74.674144499999997</v>
      </c>
    </row>
    <row r="108" spans="3:3" x14ac:dyDescent="0.3">
      <c r="C108">
        <v>-74.3125</v>
      </c>
    </row>
    <row r="109" spans="3:3" x14ac:dyDescent="0.3">
      <c r="C109">
        <v>-73.840697500000005</v>
      </c>
    </row>
    <row r="110" spans="3:3" x14ac:dyDescent="0.3">
      <c r="C110">
        <v>-73.014245750000001</v>
      </c>
    </row>
    <row r="111" spans="3:3" x14ac:dyDescent="0.3">
      <c r="C111">
        <v>-71.212500000000006</v>
      </c>
    </row>
    <row r="112" spans="3:3" x14ac:dyDescent="0.3">
      <c r="C112">
        <v>-71.129618000000008</v>
      </c>
    </row>
    <row r="113" spans="3:3" x14ac:dyDescent="0.3">
      <c r="C113">
        <v>-69.975000000000009</v>
      </c>
    </row>
    <row r="114" spans="3:3" x14ac:dyDescent="0.3">
      <c r="C114">
        <v>-68.2</v>
      </c>
    </row>
    <row r="115" spans="3:3" x14ac:dyDescent="0.3">
      <c r="C115">
        <v>-68.0625</v>
      </c>
    </row>
    <row r="116" spans="3:3" x14ac:dyDescent="0.3">
      <c r="C116">
        <v>-66.087500000000006</v>
      </c>
    </row>
    <row r="117" spans="3:3" x14ac:dyDescent="0.3">
      <c r="C117">
        <v>-64.74261525</v>
      </c>
    </row>
    <row r="118" spans="3:3" x14ac:dyDescent="0.3">
      <c r="C118">
        <v>-64.431995499999999</v>
      </c>
    </row>
    <row r="119" spans="3:3" x14ac:dyDescent="0.3">
      <c r="C119">
        <v>-60.296180249999999</v>
      </c>
    </row>
    <row r="120" spans="3:3" x14ac:dyDescent="0.3">
      <c r="C120">
        <v>-57.487499999999997</v>
      </c>
    </row>
    <row r="121" spans="3:3" x14ac:dyDescent="0.3">
      <c r="C121">
        <v>-53.598146249999999</v>
      </c>
    </row>
    <row r="122" spans="3:3" x14ac:dyDescent="0.3">
      <c r="C122">
        <v>-51.9375</v>
      </c>
    </row>
    <row r="123" spans="3:3" x14ac:dyDescent="0.3">
      <c r="C123">
        <v>-51.889034500000001</v>
      </c>
    </row>
    <row r="124" spans="3:3" x14ac:dyDescent="0.3">
      <c r="C124">
        <v>-39.336625500000004</v>
      </c>
    </row>
    <row r="125" spans="3:3" x14ac:dyDescent="0.3">
      <c r="C125">
        <v>-37.864625000000004</v>
      </c>
    </row>
    <row r="126" spans="3:3" x14ac:dyDescent="0.3">
      <c r="C126">
        <v>-29.85</v>
      </c>
    </row>
  </sheetData>
  <sortState xmlns:xlrd2="http://schemas.microsoft.com/office/spreadsheetml/2017/richdata2" ref="C2:C192">
    <sortCondition ref="C2:C192"/>
  </sortState>
  <mergeCells count="1">
    <mergeCell ref="I6:L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2"/>
  <sheetViews>
    <sheetView showGridLines="0" topLeftCell="C1" workbookViewId="0">
      <selection activeCell="G2" sqref="G2"/>
    </sheetView>
  </sheetViews>
  <sheetFormatPr defaultColWidth="11.5546875" defaultRowHeight="14.4" x14ac:dyDescent="0.3"/>
  <cols>
    <col min="1" max="1" width="16.109375" bestFit="1" customWidth="1"/>
    <col min="2" max="2" width="22.44140625" style="1" bestFit="1" customWidth="1"/>
    <col min="3" max="3" width="8.44140625" style="1" bestFit="1" customWidth="1"/>
    <col min="5" max="8" width="10.88671875"/>
    <col min="9" max="9" width="23.44140625" bestFit="1" customWidth="1"/>
    <col min="10" max="10" width="9" bestFit="1" customWidth="1"/>
    <col min="11" max="11" width="13.88671875" bestFit="1" customWidth="1"/>
    <col min="12" max="12" width="8.33203125" bestFit="1" customWidth="1"/>
    <col min="13" max="13" width="23.44140625" bestFit="1" customWidth="1"/>
    <col min="14" max="14" width="9" bestFit="1" customWidth="1"/>
    <col min="15" max="15" width="13.88671875" bestFit="1" customWidth="1"/>
    <col min="16" max="16" width="8.33203125" bestFit="1" customWidth="1"/>
  </cols>
  <sheetData>
    <row r="1" spans="1:12" x14ac:dyDescent="0.3">
      <c r="A1" t="s">
        <v>0</v>
      </c>
      <c r="B1" s="1" t="s">
        <v>2760</v>
      </c>
      <c r="C1" s="1" t="s">
        <v>2744</v>
      </c>
      <c r="E1" t="s">
        <v>0</v>
      </c>
      <c r="F1" s="1" t="s">
        <v>2760</v>
      </c>
      <c r="G1" t="s">
        <v>2715</v>
      </c>
    </row>
    <row r="2" spans="1:12" x14ac:dyDescent="0.3">
      <c r="A2" t="s">
        <v>1012</v>
      </c>
      <c r="B2" s="1" t="s">
        <v>2848</v>
      </c>
      <c r="C2" s="1">
        <v>-30.554749999999995</v>
      </c>
      <c r="E2" t="s">
        <v>1020</v>
      </c>
      <c r="F2" s="1" t="s">
        <v>2845</v>
      </c>
      <c r="G2">
        <v>-74.114874999999984</v>
      </c>
    </row>
    <row r="3" spans="1:12" x14ac:dyDescent="0.3">
      <c r="A3" t="s">
        <v>1026</v>
      </c>
      <c r="B3" s="1" t="s">
        <v>2848</v>
      </c>
      <c r="C3" s="1">
        <v>-52.549250000000001</v>
      </c>
      <c r="E3" t="s">
        <v>1024</v>
      </c>
      <c r="F3" s="1" t="s">
        <v>2845</v>
      </c>
      <c r="G3">
        <v>-69.633125000000007</v>
      </c>
    </row>
    <row r="4" spans="1:12" x14ac:dyDescent="0.3">
      <c r="A4" t="s">
        <v>1028</v>
      </c>
      <c r="B4" s="1" t="s">
        <v>2848</v>
      </c>
      <c r="C4" s="1">
        <v>-49.614500000000007</v>
      </c>
      <c r="E4" t="s">
        <v>1015</v>
      </c>
      <c r="F4" s="1" t="s">
        <v>2845</v>
      </c>
      <c r="G4">
        <v>-63.888749999999995</v>
      </c>
    </row>
    <row r="5" spans="1:12" x14ac:dyDescent="0.3">
      <c r="A5" t="s">
        <v>1718</v>
      </c>
      <c r="B5" s="1" t="s">
        <v>2848</v>
      </c>
      <c r="C5" s="1">
        <v>-34.894203252499999</v>
      </c>
      <c r="E5" t="s">
        <v>1030</v>
      </c>
      <c r="F5" s="1" t="s">
        <v>2845</v>
      </c>
      <c r="G5">
        <v>-62.000500000000009</v>
      </c>
    </row>
    <row r="6" spans="1:12" x14ac:dyDescent="0.3">
      <c r="A6" t="s">
        <v>1720</v>
      </c>
      <c r="B6" s="1" t="s">
        <v>2848</v>
      </c>
      <c r="C6" s="1">
        <v>-29.100380242500002</v>
      </c>
      <c r="E6" t="s">
        <v>1022</v>
      </c>
      <c r="F6" s="1" t="s">
        <v>2845</v>
      </c>
      <c r="G6">
        <v>-61.238374999999998</v>
      </c>
    </row>
    <row r="7" spans="1:12" x14ac:dyDescent="0.3">
      <c r="A7" t="s">
        <v>1727</v>
      </c>
      <c r="B7" s="1" t="s">
        <v>2848</v>
      </c>
      <c r="C7" s="1">
        <v>-32.598336824999997</v>
      </c>
      <c r="E7" t="s">
        <v>1018</v>
      </c>
      <c r="F7" s="1" t="s">
        <v>2845</v>
      </c>
      <c r="G7">
        <v>-55.562250000000013</v>
      </c>
    </row>
    <row r="8" spans="1:12" x14ac:dyDescent="0.3">
      <c r="A8" t="s">
        <v>1730</v>
      </c>
      <c r="B8" s="1" t="s">
        <v>2848</v>
      </c>
      <c r="C8" s="1">
        <v>-45.568366087500003</v>
      </c>
      <c r="E8" t="s">
        <v>2630</v>
      </c>
      <c r="F8" s="1" t="s">
        <v>2845</v>
      </c>
      <c r="G8">
        <v>-52.512242243750002</v>
      </c>
    </row>
    <row r="9" spans="1:12" x14ac:dyDescent="0.3">
      <c r="A9" t="s">
        <v>1734</v>
      </c>
      <c r="B9" s="1" t="s">
        <v>2848</v>
      </c>
      <c r="C9" s="1">
        <v>-34.544881035000003</v>
      </c>
      <c r="E9" t="s">
        <v>1009</v>
      </c>
      <c r="F9" s="1" t="s">
        <v>2845</v>
      </c>
      <c r="G9">
        <v>-52.218000000000025</v>
      </c>
    </row>
    <row r="10" spans="1:12" x14ac:dyDescent="0.3">
      <c r="A10" t="s">
        <v>1767</v>
      </c>
      <c r="B10" s="1" t="s">
        <v>2848</v>
      </c>
      <c r="C10" s="1">
        <v>-40.431652200000002</v>
      </c>
      <c r="E10" t="s">
        <v>1032</v>
      </c>
      <c r="F10" s="1" t="s">
        <v>2845</v>
      </c>
      <c r="G10">
        <v>-50.932625000000009</v>
      </c>
    </row>
    <row r="11" spans="1:12" x14ac:dyDescent="0.3">
      <c r="A11" t="s">
        <v>1770</v>
      </c>
      <c r="B11" s="1" t="s">
        <v>2848</v>
      </c>
      <c r="C11" s="1">
        <v>-26.927848349999994</v>
      </c>
      <c r="E11" t="s">
        <v>2631</v>
      </c>
      <c r="F11" s="1" t="s">
        <v>2845</v>
      </c>
      <c r="G11">
        <v>-38.98277458750001</v>
      </c>
    </row>
    <row r="12" spans="1:12" x14ac:dyDescent="0.3">
      <c r="A12" t="s">
        <v>1772</v>
      </c>
      <c r="B12" s="1" t="s">
        <v>2848</v>
      </c>
      <c r="C12" s="1">
        <v>-54.803359665000009</v>
      </c>
      <c r="E12" t="s">
        <v>2217</v>
      </c>
      <c r="F12" s="1" t="s">
        <v>2789</v>
      </c>
      <c r="G12">
        <v>-89.220725305000002</v>
      </c>
    </row>
    <row r="13" spans="1:12" x14ac:dyDescent="0.3">
      <c r="A13" t="s">
        <v>1774</v>
      </c>
      <c r="B13" s="1" t="s">
        <v>2848</v>
      </c>
      <c r="C13" s="1">
        <v>-36.180865485000005</v>
      </c>
      <c r="E13" t="s">
        <v>2279</v>
      </c>
      <c r="F13" s="1" t="s">
        <v>2789</v>
      </c>
      <c r="G13">
        <v>-86.386325327499975</v>
      </c>
    </row>
    <row r="14" spans="1:12" x14ac:dyDescent="0.3">
      <c r="A14" t="s">
        <v>1777</v>
      </c>
      <c r="B14" s="1" t="s">
        <v>2848</v>
      </c>
      <c r="C14" s="1">
        <v>-41.400765022499996</v>
      </c>
      <c r="E14" t="s">
        <v>2403</v>
      </c>
      <c r="F14" s="1" t="s">
        <v>2789</v>
      </c>
      <c r="G14">
        <v>-86.109934212500008</v>
      </c>
    </row>
    <row r="15" spans="1:12" x14ac:dyDescent="0.3">
      <c r="A15" t="s">
        <v>1780</v>
      </c>
      <c r="B15" s="1" t="s">
        <v>2848</v>
      </c>
      <c r="C15" s="1">
        <v>-39.964426132500002</v>
      </c>
      <c r="E15" t="s">
        <v>2379</v>
      </c>
      <c r="F15" s="1" t="s">
        <v>2789</v>
      </c>
      <c r="G15">
        <v>-84.461972215000003</v>
      </c>
    </row>
    <row r="16" spans="1:12" x14ac:dyDescent="0.3">
      <c r="A16" t="s">
        <v>1782</v>
      </c>
      <c r="B16" s="1" t="s">
        <v>2848</v>
      </c>
      <c r="C16" s="1">
        <v>-33.670045282500006</v>
      </c>
      <c r="E16" t="s">
        <v>2377</v>
      </c>
      <c r="F16" s="1" t="s">
        <v>2789</v>
      </c>
      <c r="G16">
        <v>-81.579373632499994</v>
      </c>
      <c r="L16">
        <v>4.4059999999999998E-4</v>
      </c>
    </row>
    <row r="17" spans="1:16" x14ac:dyDescent="0.3">
      <c r="A17" t="s">
        <v>1785</v>
      </c>
      <c r="B17" s="1" t="s">
        <v>2848</v>
      </c>
      <c r="C17" s="1">
        <v>-50.113075432499997</v>
      </c>
      <c r="E17" t="s">
        <v>2361</v>
      </c>
      <c r="F17" s="1" t="s">
        <v>2789</v>
      </c>
      <c r="G17">
        <v>-80.893518917499989</v>
      </c>
    </row>
    <row r="18" spans="1:16" x14ac:dyDescent="0.3">
      <c r="A18" t="s">
        <v>1787</v>
      </c>
      <c r="B18" s="1" t="s">
        <v>2848</v>
      </c>
      <c r="C18" s="1">
        <v>-27.939940425</v>
      </c>
      <c r="E18" t="s">
        <v>2357</v>
      </c>
      <c r="F18" s="1" t="s">
        <v>2789</v>
      </c>
      <c r="G18">
        <v>-80.404422127499998</v>
      </c>
    </row>
    <row r="19" spans="1:16" x14ac:dyDescent="0.3">
      <c r="A19" t="s">
        <v>1789</v>
      </c>
      <c r="B19" s="1" t="s">
        <v>2848</v>
      </c>
      <c r="C19" s="1">
        <v>-35.716412272500001</v>
      </c>
      <c r="E19" t="s">
        <v>2297</v>
      </c>
      <c r="F19" s="1" t="s">
        <v>2789</v>
      </c>
      <c r="G19">
        <v>-77.120460082499989</v>
      </c>
      <c r="I19" s="12" t="s">
        <v>2717</v>
      </c>
      <c r="M19" s="12" t="s">
        <v>2718</v>
      </c>
    </row>
    <row r="20" spans="1:16" x14ac:dyDescent="0.3">
      <c r="A20" t="s">
        <v>1791</v>
      </c>
      <c r="B20" s="1" t="s">
        <v>2848</v>
      </c>
      <c r="C20" s="1">
        <v>-47.377653975000001</v>
      </c>
      <c r="E20" t="s">
        <v>2190</v>
      </c>
      <c r="F20" s="1" t="s">
        <v>2789</v>
      </c>
      <c r="G20">
        <v>-76.925954862499992</v>
      </c>
      <c r="I20" t="s">
        <v>2720</v>
      </c>
      <c r="M20" t="s">
        <v>2720</v>
      </c>
    </row>
    <row r="21" spans="1:16" x14ac:dyDescent="0.3">
      <c r="A21" t="s">
        <v>1794</v>
      </c>
      <c r="B21" s="1" t="s">
        <v>2848</v>
      </c>
      <c r="C21" s="1">
        <v>-30.630996202499997</v>
      </c>
      <c r="E21" t="s">
        <v>2271</v>
      </c>
      <c r="F21" s="1" t="s">
        <v>2789</v>
      </c>
      <c r="G21">
        <v>-75.858995787500021</v>
      </c>
      <c r="I21" s="68" t="s">
        <v>2721</v>
      </c>
      <c r="J21" s="68"/>
      <c r="K21" s="68"/>
      <c r="L21" s="68"/>
      <c r="M21" s="67" t="s">
        <v>2721</v>
      </c>
      <c r="N21" s="67"/>
      <c r="O21" s="67"/>
      <c r="P21" s="67"/>
    </row>
    <row r="22" spans="1:16" x14ac:dyDescent="0.3">
      <c r="A22" t="s">
        <v>1797</v>
      </c>
      <c r="B22" s="1" t="s">
        <v>2848</v>
      </c>
      <c r="C22" s="1">
        <v>-53.293540117500001</v>
      </c>
      <c r="E22" t="s">
        <v>2236</v>
      </c>
      <c r="F22" s="1" t="s">
        <v>2789</v>
      </c>
      <c r="G22">
        <v>-75.293043582500019</v>
      </c>
      <c r="J22" t="s">
        <v>2767</v>
      </c>
      <c r="K22" t="s">
        <v>2835</v>
      </c>
      <c r="L22" t="s">
        <v>2836</v>
      </c>
      <c r="N22" t="s">
        <v>2767</v>
      </c>
      <c r="O22" t="s">
        <v>2835</v>
      </c>
      <c r="P22" t="s">
        <v>2836</v>
      </c>
    </row>
    <row r="23" spans="1:16" x14ac:dyDescent="0.3">
      <c r="A23" t="s">
        <v>1799</v>
      </c>
      <c r="B23" s="1" t="s">
        <v>2848</v>
      </c>
      <c r="C23" s="1">
        <v>-32.411169112499998</v>
      </c>
      <c r="E23" t="s">
        <v>1840</v>
      </c>
      <c r="F23" s="1" t="s">
        <v>2789</v>
      </c>
      <c r="G23">
        <v>-74.16830747000003</v>
      </c>
      <c r="I23" t="s">
        <v>2767</v>
      </c>
      <c r="K23" s="11">
        <v>4.2689999999999999E-10</v>
      </c>
      <c r="L23" s="11">
        <v>9.0060000000000002E-13</v>
      </c>
      <c r="M23" t="s">
        <v>2767</v>
      </c>
      <c r="O23">
        <v>1</v>
      </c>
      <c r="P23" s="11">
        <v>0.62519999999999998</v>
      </c>
    </row>
    <row r="24" spans="1:16" x14ac:dyDescent="0.3">
      <c r="A24" t="s">
        <v>1802</v>
      </c>
      <c r="B24" s="1" t="s">
        <v>2848</v>
      </c>
      <c r="C24" s="1">
        <v>-39.613659975000004</v>
      </c>
      <c r="E24" t="s">
        <v>2293</v>
      </c>
      <c r="F24" s="1" t="s">
        <v>2789</v>
      </c>
      <c r="G24">
        <v>-74.13535113750001</v>
      </c>
      <c r="I24" t="s">
        <v>2835</v>
      </c>
      <c r="J24" s="11">
        <v>4.2689999999999999E-10</v>
      </c>
      <c r="L24" s="11">
        <v>4.4059999999999998E-4</v>
      </c>
      <c r="M24" t="s">
        <v>2835</v>
      </c>
      <c r="N24">
        <v>1</v>
      </c>
      <c r="P24">
        <v>2.1499999999999999E-4</v>
      </c>
    </row>
    <row r="25" spans="1:16" x14ac:dyDescent="0.3">
      <c r="A25" t="s">
        <v>1806</v>
      </c>
      <c r="B25" s="1" t="s">
        <v>2848</v>
      </c>
      <c r="C25" s="1">
        <v>-39.594249990000002</v>
      </c>
      <c r="E25" t="s">
        <v>2349</v>
      </c>
      <c r="F25" s="1" t="s">
        <v>2789</v>
      </c>
      <c r="G25">
        <v>-72.759417260000021</v>
      </c>
      <c r="I25" t="s">
        <v>2836</v>
      </c>
      <c r="J25" s="11">
        <v>9.0060000000000002E-13</v>
      </c>
      <c r="K25" s="11">
        <v>4.4059999999999998E-4</v>
      </c>
      <c r="M25" t="s">
        <v>2836</v>
      </c>
      <c r="N25">
        <v>0.62519999999999998</v>
      </c>
      <c r="O25" s="11">
        <v>2.1499999999999999E-4</v>
      </c>
    </row>
    <row r="26" spans="1:16" x14ac:dyDescent="0.3">
      <c r="A26" t="s">
        <v>1809</v>
      </c>
      <c r="B26" s="1" t="s">
        <v>2848</v>
      </c>
      <c r="C26" s="1">
        <v>-28.282388017499997</v>
      </c>
      <c r="E26" t="s">
        <v>2259</v>
      </c>
      <c r="F26" s="1" t="s">
        <v>2789</v>
      </c>
      <c r="G26">
        <v>-72.195769630000001</v>
      </c>
    </row>
    <row r="27" spans="1:16" x14ac:dyDescent="0.3">
      <c r="A27" t="s">
        <v>1812</v>
      </c>
      <c r="B27" s="1" t="s">
        <v>2848</v>
      </c>
      <c r="C27" s="1">
        <v>-37.934696272500005</v>
      </c>
      <c r="E27" t="s">
        <v>2263</v>
      </c>
      <c r="F27" s="1" t="s">
        <v>2789</v>
      </c>
      <c r="G27">
        <v>-72.041137880000008</v>
      </c>
      <c r="I27" s="68" t="s">
        <v>2719</v>
      </c>
      <c r="J27" s="68"/>
      <c r="K27" s="68"/>
      <c r="L27" s="68"/>
      <c r="M27" s="68"/>
      <c r="N27" s="68"/>
      <c r="O27" s="68"/>
      <c r="P27" s="68"/>
    </row>
    <row r="28" spans="1:16" x14ac:dyDescent="0.3">
      <c r="A28" t="s">
        <v>1814</v>
      </c>
      <c r="B28" s="1" t="s">
        <v>2848</v>
      </c>
      <c r="C28" s="1">
        <v>-64.296228757500003</v>
      </c>
      <c r="E28" t="s">
        <v>2223</v>
      </c>
      <c r="F28" s="1" t="s">
        <v>2789</v>
      </c>
      <c r="G28">
        <v>-71.622085837500009</v>
      </c>
      <c r="J28" t="s">
        <v>2767</v>
      </c>
      <c r="K28" t="s">
        <v>2835</v>
      </c>
      <c r="L28" t="s">
        <v>2836</v>
      </c>
      <c r="N28" t="s">
        <v>2767</v>
      </c>
      <c r="O28" t="s">
        <v>2835</v>
      </c>
      <c r="P28" t="s">
        <v>2836</v>
      </c>
    </row>
    <row r="29" spans="1:16" x14ac:dyDescent="0.3">
      <c r="A29" t="s">
        <v>2287</v>
      </c>
      <c r="B29" s="1" t="s">
        <v>2848</v>
      </c>
      <c r="C29" s="1">
        <v>-73.763801917500004</v>
      </c>
      <c r="E29" t="s">
        <v>2170</v>
      </c>
      <c r="F29" s="1" t="s">
        <v>2789</v>
      </c>
      <c r="G29">
        <v>-71.561463912500017</v>
      </c>
      <c r="I29" t="s">
        <v>2767</v>
      </c>
      <c r="K29">
        <v>492</v>
      </c>
      <c r="L29">
        <v>219</v>
      </c>
      <c r="M29" t="s">
        <v>2767</v>
      </c>
      <c r="O29">
        <v>403</v>
      </c>
      <c r="P29">
        <v>598</v>
      </c>
    </row>
    <row r="30" spans="1:16" x14ac:dyDescent="0.3">
      <c r="A30" t="s">
        <v>2289</v>
      </c>
      <c r="B30" s="1" t="s">
        <v>2848</v>
      </c>
      <c r="C30" s="1">
        <v>-41.394625267500004</v>
      </c>
      <c r="E30" t="s">
        <v>2395</v>
      </c>
      <c r="F30" s="1" t="s">
        <v>2789</v>
      </c>
      <c r="G30">
        <v>-68.952759632500005</v>
      </c>
      <c r="I30" t="s">
        <v>2835</v>
      </c>
      <c r="J30">
        <v>492</v>
      </c>
      <c r="L30">
        <v>723</v>
      </c>
      <c r="M30" t="s">
        <v>2835</v>
      </c>
      <c r="N30">
        <v>403</v>
      </c>
      <c r="P30">
        <v>5168</v>
      </c>
    </row>
    <row r="31" spans="1:16" x14ac:dyDescent="0.3">
      <c r="A31" t="s">
        <v>2434</v>
      </c>
      <c r="B31" s="1" t="s">
        <v>2848</v>
      </c>
      <c r="C31" s="1">
        <v>-24.049157664999999</v>
      </c>
      <c r="E31" t="s">
        <v>2178</v>
      </c>
      <c r="F31" s="1" t="s">
        <v>2789</v>
      </c>
      <c r="G31">
        <v>-68.091799646249996</v>
      </c>
      <c r="I31" t="s">
        <v>2836</v>
      </c>
      <c r="J31">
        <v>219</v>
      </c>
      <c r="K31">
        <v>723</v>
      </c>
      <c r="M31" t="s">
        <v>2836</v>
      </c>
      <c r="N31">
        <v>598</v>
      </c>
      <c r="O31">
        <v>5168</v>
      </c>
    </row>
    <row r="32" spans="1:16" x14ac:dyDescent="0.3">
      <c r="A32" t="s">
        <v>2640</v>
      </c>
      <c r="B32" s="1" t="s">
        <v>2848</v>
      </c>
      <c r="C32" s="1">
        <v>-39.815431025000002</v>
      </c>
      <c r="E32" t="s">
        <v>1760</v>
      </c>
      <c r="F32" s="1" t="s">
        <v>2789</v>
      </c>
      <c r="G32">
        <v>-67.450121222500002</v>
      </c>
    </row>
    <row r="33" spans="1:7" x14ac:dyDescent="0.3">
      <c r="A33" t="s">
        <v>2659</v>
      </c>
      <c r="B33" s="1" t="s">
        <v>2848</v>
      </c>
      <c r="C33" s="1">
        <v>-40.407773225000007</v>
      </c>
      <c r="E33" t="s">
        <v>1741</v>
      </c>
      <c r="F33" s="1" t="s">
        <v>2789</v>
      </c>
      <c r="G33">
        <v>-66.445014847500005</v>
      </c>
    </row>
    <row r="34" spans="1:7" x14ac:dyDescent="0.3">
      <c r="A34" t="s">
        <v>2642</v>
      </c>
      <c r="B34" s="1" t="s">
        <v>2848</v>
      </c>
      <c r="C34" s="1">
        <v>-25.078176474999996</v>
      </c>
      <c r="E34" t="s">
        <v>2249</v>
      </c>
      <c r="F34" s="1" t="s">
        <v>2789</v>
      </c>
      <c r="G34">
        <v>-65.945554294999994</v>
      </c>
    </row>
    <row r="35" spans="1:7" x14ac:dyDescent="0.3">
      <c r="A35" t="s">
        <v>2658</v>
      </c>
      <c r="B35" s="1" t="s">
        <v>2848</v>
      </c>
      <c r="C35" s="1">
        <v>-42.057281712500007</v>
      </c>
      <c r="E35" t="s">
        <v>1762</v>
      </c>
      <c r="F35" s="1" t="s">
        <v>2789</v>
      </c>
      <c r="G35">
        <v>-65.926998485000013</v>
      </c>
    </row>
    <row r="36" spans="1:7" x14ac:dyDescent="0.3">
      <c r="A36" t="s">
        <v>2657</v>
      </c>
      <c r="B36" s="1" t="s">
        <v>2848</v>
      </c>
      <c r="C36" s="1">
        <v>-79.734084887500003</v>
      </c>
      <c r="E36" t="s">
        <v>2363</v>
      </c>
      <c r="F36" s="1" t="s">
        <v>2789</v>
      </c>
      <c r="G36">
        <v>-65.877892154999984</v>
      </c>
    </row>
    <row r="37" spans="1:7" x14ac:dyDescent="0.3">
      <c r="A37" t="s">
        <v>2656</v>
      </c>
      <c r="B37" s="1" t="s">
        <v>2848</v>
      </c>
      <c r="C37" s="1">
        <v>-70.735145400000007</v>
      </c>
      <c r="E37" t="s">
        <v>2255</v>
      </c>
      <c r="F37" s="1" t="s">
        <v>2789</v>
      </c>
      <c r="G37">
        <v>-63.995647927499995</v>
      </c>
    </row>
    <row r="38" spans="1:7" x14ac:dyDescent="0.3">
      <c r="A38" t="s">
        <v>2655</v>
      </c>
      <c r="B38" s="1" t="s">
        <v>2848</v>
      </c>
      <c r="C38" s="1">
        <v>-25.732220987500003</v>
      </c>
      <c r="E38" t="s">
        <v>2251</v>
      </c>
      <c r="F38" s="1" t="s">
        <v>2789</v>
      </c>
      <c r="G38">
        <v>-63.973999482500012</v>
      </c>
    </row>
    <row r="39" spans="1:7" x14ac:dyDescent="0.3">
      <c r="A39" t="s">
        <v>2654</v>
      </c>
      <c r="B39" s="1" t="s">
        <v>2848</v>
      </c>
      <c r="C39" s="1">
        <v>-62.75497965000001</v>
      </c>
      <c r="E39" t="s">
        <v>2277</v>
      </c>
      <c r="F39" s="1" t="s">
        <v>2789</v>
      </c>
      <c r="G39">
        <v>-62.916318312500017</v>
      </c>
    </row>
    <row r="40" spans="1:7" x14ac:dyDescent="0.3">
      <c r="A40" t="s">
        <v>2653</v>
      </c>
      <c r="B40" s="1" t="s">
        <v>2848</v>
      </c>
      <c r="C40" s="1">
        <v>-57.434869150000004</v>
      </c>
      <c r="E40" t="s">
        <v>2421</v>
      </c>
      <c r="F40" s="1" t="s">
        <v>2789</v>
      </c>
      <c r="G40">
        <v>-61.191635124999998</v>
      </c>
    </row>
    <row r="41" spans="1:7" x14ac:dyDescent="0.3">
      <c r="A41" t="s">
        <v>2652</v>
      </c>
      <c r="B41" s="1" t="s">
        <v>2848</v>
      </c>
      <c r="C41" s="1">
        <v>-46.918052775000007</v>
      </c>
      <c r="E41" t="s">
        <v>2243</v>
      </c>
      <c r="F41" s="1" t="s">
        <v>2789</v>
      </c>
      <c r="G41">
        <v>-61.037542550000005</v>
      </c>
    </row>
    <row r="42" spans="1:7" x14ac:dyDescent="0.3">
      <c r="A42" t="s">
        <v>2651</v>
      </c>
      <c r="B42" s="1" t="s">
        <v>2848</v>
      </c>
      <c r="C42" s="1">
        <v>-48.19049157500001</v>
      </c>
      <c r="E42" t="s">
        <v>2230</v>
      </c>
      <c r="F42" s="1" t="s">
        <v>2789</v>
      </c>
      <c r="G42">
        <v>-60.969504579999999</v>
      </c>
    </row>
    <row r="43" spans="1:7" x14ac:dyDescent="0.3">
      <c r="A43" t="s">
        <v>2650</v>
      </c>
      <c r="B43" s="1" t="s">
        <v>2848</v>
      </c>
      <c r="C43" s="1">
        <v>-32.651106962499995</v>
      </c>
      <c r="E43" t="s">
        <v>2337</v>
      </c>
      <c r="F43" s="1" t="s">
        <v>2789</v>
      </c>
      <c r="G43">
        <v>-60.96903775000002</v>
      </c>
    </row>
    <row r="44" spans="1:7" x14ac:dyDescent="0.3">
      <c r="A44" t="s">
        <v>2649</v>
      </c>
      <c r="B44" s="1" t="s">
        <v>2848</v>
      </c>
      <c r="C44" s="1">
        <v>-30.551857174999999</v>
      </c>
      <c r="E44" t="s">
        <v>1754</v>
      </c>
      <c r="F44" s="1" t="s">
        <v>2789</v>
      </c>
      <c r="G44">
        <v>-60.725186415000003</v>
      </c>
    </row>
    <row r="45" spans="1:7" x14ac:dyDescent="0.3">
      <c r="A45" t="s">
        <v>2648</v>
      </c>
      <c r="B45" s="1" t="s">
        <v>2848</v>
      </c>
      <c r="C45" s="1">
        <v>-68.117596187500013</v>
      </c>
      <c r="E45" t="s">
        <v>2399</v>
      </c>
      <c r="F45" s="1" t="s">
        <v>2789</v>
      </c>
      <c r="G45">
        <v>-60.112101215000003</v>
      </c>
    </row>
    <row r="46" spans="1:7" x14ac:dyDescent="0.3">
      <c r="A46" t="s">
        <v>2647</v>
      </c>
      <c r="B46" s="1" t="s">
        <v>2848</v>
      </c>
      <c r="C46" s="1">
        <v>-28.900977525000002</v>
      </c>
      <c r="E46" t="s">
        <v>1749</v>
      </c>
      <c r="F46" s="1" t="s">
        <v>2789</v>
      </c>
      <c r="G46">
        <v>-60.015426682499999</v>
      </c>
    </row>
    <row r="47" spans="1:7" x14ac:dyDescent="0.3">
      <c r="A47" t="s">
        <v>2646</v>
      </c>
      <c r="B47" s="1" t="s">
        <v>2848</v>
      </c>
      <c r="C47" s="1">
        <v>-74.546977150000018</v>
      </c>
      <c r="E47" t="s">
        <v>1833</v>
      </c>
      <c r="F47" s="1" t="s">
        <v>2789</v>
      </c>
      <c r="G47">
        <v>-59.985828250000004</v>
      </c>
    </row>
    <row r="48" spans="1:7" x14ac:dyDescent="0.3">
      <c r="A48" t="s">
        <v>2645</v>
      </c>
      <c r="B48" s="1" t="s">
        <v>2848</v>
      </c>
      <c r="C48" s="1">
        <v>-62.111904437500002</v>
      </c>
      <c r="E48" t="s">
        <v>2257</v>
      </c>
      <c r="F48" s="1" t="s">
        <v>2789</v>
      </c>
      <c r="G48">
        <v>-59.695338960000022</v>
      </c>
    </row>
    <row r="49" spans="1:7" x14ac:dyDescent="0.3">
      <c r="A49" t="s">
        <v>2644</v>
      </c>
      <c r="B49" s="1" t="s">
        <v>2848</v>
      </c>
      <c r="C49" s="1">
        <v>-42.193026800000005</v>
      </c>
      <c r="E49" t="s">
        <v>1817</v>
      </c>
      <c r="F49" s="1" t="s">
        <v>2789</v>
      </c>
      <c r="G49">
        <v>-59.660208410000003</v>
      </c>
    </row>
    <row r="50" spans="1:7" x14ac:dyDescent="0.3">
      <c r="A50" t="s">
        <v>2643</v>
      </c>
      <c r="B50" s="1" t="s">
        <v>2848</v>
      </c>
      <c r="C50" s="1">
        <v>-32.077961037500003</v>
      </c>
      <c r="E50" t="s">
        <v>2227</v>
      </c>
      <c r="F50" s="1" t="s">
        <v>2789</v>
      </c>
      <c r="G50">
        <v>-58.320662702499995</v>
      </c>
    </row>
    <row r="51" spans="1:7" x14ac:dyDescent="0.3">
      <c r="A51" t="s">
        <v>2641</v>
      </c>
      <c r="B51" s="1" t="s">
        <v>2848</v>
      </c>
      <c r="C51" s="1">
        <v>-40.753306175000006</v>
      </c>
      <c r="E51" t="s">
        <v>2245</v>
      </c>
      <c r="F51" s="1" t="s">
        <v>2789</v>
      </c>
      <c r="G51">
        <v>-58.042402220000007</v>
      </c>
    </row>
    <row r="52" spans="1:7" x14ac:dyDescent="0.3">
      <c r="A52" t="s">
        <v>2639</v>
      </c>
      <c r="B52" s="1" t="s">
        <v>2848</v>
      </c>
      <c r="C52" s="1">
        <v>-50.941043550000003</v>
      </c>
      <c r="E52" t="s">
        <v>2241</v>
      </c>
      <c r="F52" s="1" t="s">
        <v>2789</v>
      </c>
      <c r="G52">
        <v>-57.694404115000005</v>
      </c>
    </row>
    <row r="53" spans="1:7" x14ac:dyDescent="0.3">
      <c r="A53" t="s">
        <v>2638</v>
      </c>
      <c r="B53" s="1" t="s">
        <v>2848</v>
      </c>
      <c r="C53" s="1">
        <v>-55.889569012500019</v>
      </c>
      <c r="E53" t="s">
        <v>2410</v>
      </c>
      <c r="F53" s="1" t="s">
        <v>2789</v>
      </c>
      <c r="G53">
        <v>-57.601195772500013</v>
      </c>
    </row>
    <row r="54" spans="1:7" x14ac:dyDescent="0.3">
      <c r="A54" t="s">
        <v>2637</v>
      </c>
      <c r="B54" s="1" t="s">
        <v>2848</v>
      </c>
      <c r="C54" s="1">
        <v>-33.202314287500002</v>
      </c>
      <c r="E54" t="s">
        <v>2285</v>
      </c>
      <c r="F54" s="1" t="s">
        <v>2789</v>
      </c>
      <c r="G54">
        <v>-56.737233582500018</v>
      </c>
    </row>
    <row r="55" spans="1:7" x14ac:dyDescent="0.3">
      <c r="A55" t="s">
        <v>2636</v>
      </c>
      <c r="B55" s="1" t="s">
        <v>2848</v>
      </c>
      <c r="C55" s="1">
        <v>-50.326762750000007</v>
      </c>
      <c r="E55" t="s">
        <v>1844</v>
      </c>
      <c r="F55" s="1" t="s">
        <v>2789</v>
      </c>
      <c r="G55">
        <v>-56.098479330000011</v>
      </c>
    </row>
    <row r="56" spans="1:7" x14ac:dyDescent="0.3">
      <c r="A56" t="s">
        <v>2635</v>
      </c>
      <c r="B56" s="1" t="s">
        <v>2848</v>
      </c>
      <c r="C56" s="1">
        <v>-53.400909075000008</v>
      </c>
      <c r="E56" t="s">
        <v>2430</v>
      </c>
      <c r="F56" s="1" t="s">
        <v>2789</v>
      </c>
      <c r="G56">
        <v>-54.811928837500012</v>
      </c>
    </row>
    <row r="57" spans="1:7" x14ac:dyDescent="0.3">
      <c r="A57" t="s">
        <v>2634</v>
      </c>
      <c r="B57" s="1" t="s">
        <v>2848</v>
      </c>
      <c r="C57" s="1">
        <v>-52.327288837500006</v>
      </c>
      <c r="E57" t="s">
        <v>2225</v>
      </c>
      <c r="F57" s="1" t="s">
        <v>2789</v>
      </c>
      <c r="G57">
        <v>-54.485795302500016</v>
      </c>
    </row>
    <row r="58" spans="1:7" x14ac:dyDescent="0.3">
      <c r="A58" t="s">
        <v>2633</v>
      </c>
      <c r="B58" s="1" t="s">
        <v>2848</v>
      </c>
      <c r="C58" s="1">
        <v>-48.163068324999998</v>
      </c>
      <c r="E58" t="s">
        <v>2408</v>
      </c>
      <c r="F58" s="1" t="s">
        <v>2789</v>
      </c>
      <c r="G58">
        <v>-54.417701139999998</v>
      </c>
    </row>
    <row r="59" spans="1:7" x14ac:dyDescent="0.3">
      <c r="A59" t="s">
        <v>2629</v>
      </c>
      <c r="B59" s="1" t="s">
        <v>2848</v>
      </c>
      <c r="C59" s="1">
        <v>-27.682014062499999</v>
      </c>
      <c r="E59" t="s">
        <v>2281</v>
      </c>
      <c r="F59" s="1" t="s">
        <v>2789</v>
      </c>
      <c r="G59">
        <v>-54.349719362500004</v>
      </c>
    </row>
    <row r="60" spans="1:7" x14ac:dyDescent="0.3">
      <c r="A60" t="s">
        <v>1747</v>
      </c>
      <c r="B60" s="1" t="s">
        <v>2847</v>
      </c>
      <c r="C60" s="1">
        <v>-42.357925995000002</v>
      </c>
      <c r="E60" t="s">
        <v>2412</v>
      </c>
      <c r="F60" s="1" t="s">
        <v>2789</v>
      </c>
      <c r="G60">
        <v>-54.280639897500016</v>
      </c>
    </row>
    <row r="61" spans="1:7" x14ac:dyDescent="0.3">
      <c r="A61" t="s">
        <v>1756</v>
      </c>
      <c r="B61" s="1" t="s">
        <v>2847</v>
      </c>
      <c r="C61" s="1">
        <v>-38.068849069999999</v>
      </c>
      <c r="E61" t="s">
        <v>2184</v>
      </c>
      <c r="F61" s="1" t="s">
        <v>2789</v>
      </c>
      <c r="G61">
        <v>-54.179984115000003</v>
      </c>
    </row>
    <row r="62" spans="1:7" x14ac:dyDescent="0.3">
      <c r="A62" t="s">
        <v>1765</v>
      </c>
      <c r="B62" s="1" t="s">
        <v>2847</v>
      </c>
      <c r="C62" s="1">
        <v>-76.705613915000001</v>
      </c>
      <c r="E62" t="s">
        <v>2265</v>
      </c>
      <c r="F62" s="1" t="s">
        <v>2789</v>
      </c>
      <c r="G62">
        <v>-54.106947514999995</v>
      </c>
    </row>
    <row r="63" spans="1:7" x14ac:dyDescent="0.3">
      <c r="A63" t="s">
        <v>2188</v>
      </c>
      <c r="B63" s="1" t="s">
        <v>2847</v>
      </c>
      <c r="C63" s="1">
        <v>-60.391046695</v>
      </c>
      <c r="E63" t="s">
        <v>1850</v>
      </c>
      <c r="F63" s="1" t="s">
        <v>2789</v>
      </c>
      <c r="G63">
        <v>-53.494416960000002</v>
      </c>
    </row>
    <row r="64" spans="1:7" x14ac:dyDescent="0.3">
      <c r="A64" t="s">
        <v>2196</v>
      </c>
      <c r="B64" s="1" t="s">
        <v>2847</v>
      </c>
      <c r="C64" s="1">
        <v>-65.062998629999996</v>
      </c>
      <c r="E64" t="s">
        <v>2253</v>
      </c>
      <c r="F64" s="1" t="s">
        <v>2789</v>
      </c>
      <c r="G64">
        <v>-53.457494165000007</v>
      </c>
    </row>
    <row r="65" spans="1:7" x14ac:dyDescent="0.3">
      <c r="A65" t="s">
        <v>2198</v>
      </c>
      <c r="B65" s="1" t="s">
        <v>2847</v>
      </c>
      <c r="C65" s="1">
        <v>-57.613010840000001</v>
      </c>
      <c r="E65" t="s">
        <v>1758</v>
      </c>
      <c r="F65" s="1" t="s">
        <v>2789</v>
      </c>
      <c r="G65">
        <v>-53.353890892500011</v>
      </c>
    </row>
    <row r="66" spans="1:7" x14ac:dyDescent="0.3">
      <c r="A66" t="s">
        <v>2201</v>
      </c>
      <c r="B66" s="1" t="s">
        <v>2847</v>
      </c>
      <c r="C66" s="1">
        <v>-52.556722539999996</v>
      </c>
      <c r="E66" t="s">
        <v>2273</v>
      </c>
      <c r="F66" s="1" t="s">
        <v>2789</v>
      </c>
      <c r="G66">
        <v>-52.869893515000008</v>
      </c>
    </row>
    <row r="67" spans="1:7" x14ac:dyDescent="0.3">
      <c r="A67" t="s">
        <v>2207</v>
      </c>
      <c r="B67" s="1" t="s">
        <v>2847</v>
      </c>
      <c r="C67" s="1">
        <v>-37.865720725000003</v>
      </c>
      <c r="E67" t="s">
        <v>2373</v>
      </c>
      <c r="F67" s="1" t="s">
        <v>2789</v>
      </c>
      <c r="G67">
        <v>-52.295673049999998</v>
      </c>
    </row>
    <row r="68" spans="1:7" x14ac:dyDescent="0.3">
      <c r="A68" t="s">
        <v>2215</v>
      </c>
      <c r="B68" s="1" t="s">
        <v>2847</v>
      </c>
      <c r="C68" s="1">
        <v>-48.019215265000007</v>
      </c>
      <c r="E68" t="s">
        <v>1830</v>
      </c>
      <c r="F68" s="1" t="s">
        <v>2789</v>
      </c>
      <c r="G68">
        <v>-51.305451203750003</v>
      </c>
    </row>
    <row r="69" spans="1:7" x14ac:dyDescent="0.3">
      <c r="A69" t="s">
        <v>2219</v>
      </c>
      <c r="B69" s="1" t="s">
        <v>2847</v>
      </c>
      <c r="C69" s="1">
        <v>-34.964931049999997</v>
      </c>
      <c r="E69" t="s">
        <v>2334</v>
      </c>
      <c r="F69" s="1" t="s">
        <v>2789</v>
      </c>
      <c r="G69">
        <v>-50.701685199999993</v>
      </c>
    </row>
    <row r="70" spans="1:7" x14ac:dyDescent="0.3">
      <c r="A70" t="s">
        <v>2232</v>
      </c>
      <c r="B70" s="1" t="s">
        <v>2847</v>
      </c>
      <c r="C70" s="1">
        <v>-47.279769635000001</v>
      </c>
      <c r="E70" t="s">
        <v>2339</v>
      </c>
      <c r="F70" s="1" t="s">
        <v>2789</v>
      </c>
      <c r="G70">
        <v>-50.470615270000003</v>
      </c>
    </row>
    <row r="71" spans="1:7" x14ac:dyDescent="0.3">
      <c r="A71" t="s">
        <v>2234</v>
      </c>
      <c r="B71" s="1" t="s">
        <v>2847</v>
      </c>
      <c r="C71" s="1">
        <v>-43.942034815000007</v>
      </c>
      <c r="E71" t="s">
        <v>2313</v>
      </c>
      <c r="F71" s="1" t="s">
        <v>2789</v>
      </c>
      <c r="G71">
        <v>-49.273822400000007</v>
      </c>
    </row>
    <row r="72" spans="1:7" x14ac:dyDescent="0.3">
      <c r="A72" t="s">
        <v>2238</v>
      </c>
      <c r="B72" s="1" t="s">
        <v>2847</v>
      </c>
      <c r="C72" s="1">
        <v>-72.080425340000005</v>
      </c>
      <c r="E72" t="s">
        <v>2247</v>
      </c>
      <c r="F72" s="1" t="s">
        <v>2789</v>
      </c>
      <c r="G72">
        <v>-49.234501072500002</v>
      </c>
    </row>
    <row r="73" spans="1:7" x14ac:dyDescent="0.3">
      <c r="A73" t="s">
        <v>2267</v>
      </c>
      <c r="B73" s="1" t="s">
        <v>2847</v>
      </c>
      <c r="C73" s="1">
        <v>-51.923955825</v>
      </c>
      <c r="E73" t="s">
        <v>1838</v>
      </c>
      <c r="F73" s="1" t="s">
        <v>2789</v>
      </c>
      <c r="G73">
        <v>-48.968308555</v>
      </c>
    </row>
    <row r="74" spans="1:7" x14ac:dyDescent="0.3">
      <c r="A74" t="s">
        <v>2269</v>
      </c>
      <c r="B74" s="1" t="s">
        <v>2847</v>
      </c>
      <c r="C74" s="1">
        <v>-80.937697995000008</v>
      </c>
      <c r="E74" t="s">
        <v>2309</v>
      </c>
      <c r="F74" s="1" t="s">
        <v>2789</v>
      </c>
      <c r="G74">
        <v>-48.851075757500006</v>
      </c>
    </row>
    <row r="75" spans="1:7" x14ac:dyDescent="0.3">
      <c r="A75" t="s">
        <v>2275</v>
      </c>
      <c r="B75" s="1" t="s">
        <v>2847</v>
      </c>
      <c r="C75" s="1">
        <v>-65.138989089999995</v>
      </c>
      <c r="E75" t="s">
        <v>2346</v>
      </c>
      <c r="F75" s="1" t="s">
        <v>2789</v>
      </c>
      <c r="G75">
        <v>-48.062546880000006</v>
      </c>
    </row>
    <row r="76" spans="1:7" x14ac:dyDescent="0.3">
      <c r="A76" t="s">
        <v>1820</v>
      </c>
      <c r="B76" s="1" t="s">
        <v>2847</v>
      </c>
      <c r="C76" s="1">
        <v>-40.116933157500007</v>
      </c>
      <c r="E76" t="s">
        <v>2180</v>
      </c>
      <c r="F76" s="1" t="s">
        <v>2789</v>
      </c>
      <c r="G76">
        <v>-47.981137938750003</v>
      </c>
    </row>
    <row r="77" spans="1:7" x14ac:dyDescent="0.3">
      <c r="A77" t="s">
        <v>1827</v>
      </c>
      <c r="B77" s="1" t="s">
        <v>2847</v>
      </c>
      <c r="C77" s="1">
        <v>-31.044151597500001</v>
      </c>
      <c r="E77" t="s">
        <v>2332</v>
      </c>
      <c r="F77" s="1" t="s">
        <v>2789</v>
      </c>
      <c r="G77">
        <v>-47.949503836249995</v>
      </c>
    </row>
    <row r="78" spans="1:7" x14ac:dyDescent="0.3">
      <c r="A78" t="s">
        <v>1846</v>
      </c>
      <c r="B78" s="1" t="s">
        <v>2847</v>
      </c>
      <c r="C78" s="1">
        <v>-42.990986400000004</v>
      </c>
      <c r="E78" t="s">
        <v>2369</v>
      </c>
      <c r="F78" s="1" t="s">
        <v>2789</v>
      </c>
      <c r="G78">
        <v>-47.906489842500001</v>
      </c>
    </row>
    <row r="79" spans="1:7" x14ac:dyDescent="0.3">
      <c r="A79" t="s">
        <v>1848</v>
      </c>
      <c r="B79" s="1" t="s">
        <v>2847</v>
      </c>
      <c r="C79" s="1">
        <v>-66.805007320000001</v>
      </c>
      <c r="E79" t="s">
        <v>2417</v>
      </c>
      <c r="F79" s="1" t="s">
        <v>2789</v>
      </c>
      <c r="G79">
        <v>-46.909005855000011</v>
      </c>
    </row>
    <row r="80" spans="1:7" x14ac:dyDescent="0.3">
      <c r="A80" t="s">
        <v>1855</v>
      </c>
      <c r="B80" s="1" t="s">
        <v>2847</v>
      </c>
      <c r="C80" s="1">
        <v>-60.978943877500001</v>
      </c>
      <c r="E80" t="s">
        <v>2365</v>
      </c>
      <c r="F80" s="1" t="s">
        <v>2789</v>
      </c>
      <c r="G80">
        <v>-44.834492050000001</v>
      </c>
    </row>
    <row r="81" spans="1:7" x14ac:dyDescent="0.3">
      <c r="A81" t="s">
        <v>1857</v>
      </c>
      <c r="B81" s="1" t="s">
        <v>2847</v>
      </c>
      <c r="C81" s="1">
        <v>-85.637848147500009</v>
      </c>
      <c r="E81" t="s">
        <v>2426</v>
      </c>
      <c r="F81" s="1" t="s">
        <v>2789</v>
      </c>
      <c r="G81">
        <v>-44.293538227500001</v>
      </c>
    </row>
    <row r="82" spans="1:7" x14ac:dyDescent="0.3">
      <c r="A82" t="s">
        <v>1860</v>
      </c>
      <c r="B82" s="1" t="s">
        <v>2847</v>
      </c>
      <c r="C82" s="1">
        <v>-74.005879877500007</v>
      </c>
      <c r="E82" t="s">
        <v>2209</v>
      </c>
      <c r="F82" s="1" t="s">
        <v>2789</v>
      </c>
      <c r="G82">
        <v>-44.063615352500001</v>
      </c>
    </row>
    <row r="83" spans="1:7" x14ac:dyDescent="0.3">
      <c r="A83" t="s">
        <v>2166</v>
      </c>
      <c r="B83" s="1" t="s">
        <v>2847</v>
      </c>
      <c r="C83" s="1">
        <v>-78.349548850000005</v>
      </c>
      <c r="E83" t="s">
        <v>1736</v>
      </c>
      <c r="F83" s="1" t="s">
        <v>2789</v>
      </c>
      <c r="G83">
        <v>-43.930632047500005</v>
      </c>
    </row>
    <row r="84" spans="1:7" x14ac:dyDescent="0.3">
      <c r="A84" t="s">
        <v>2168</v>
      </c>
      <c r="B84" s="1" t="s">
        <v>2847</v>
      </c>
      <c r="C84" s="1">
        <v>-64.455507422500006</v>
      </c>
      <c r="E84" t="s">
        <v>2203</v>
      </c>
      <c r="F84" s="1" t="s">
        <v>2789</v>
      </c>
      <c r="G84">
        <v>-43.732703407500004</v>
      </c>
    </row>
    <row r="85" spans="1:7" x14ac:dyDescent="0.3">
      <c r="A85" t="s">
        <v>2172</v>
      </c>
      <c r="B85" s="1" t="s">
        <v>2847</v>
      </c>
      <c r="C85" s="1">
        <v>-74.443255667499997</v>
      </c>
      <c r="E85" t="s">
        <v>1842</v>
      </c>
      <c r="F85" s="1" t="s">
        <v>2789</v>
      </c>
      <c r="G85">
        <v>-41.807857985000005</v>
      </c>
    </row>
    <row r="86" spans="1:7" x14ac:dyDescent="0.3">
      <c r="A86" t="s">
        <v>2176</v>
      </c>
      <c r="B86" s="1" t="s">
        <v>2847</v>
      </c>
      <c r="C86" s="1">
        <v>-75.755960312500008</v>
      </c>
      <c r="E86" t="s">
        <v>2391</v>
      </c>
      <c r="F86" s="1" t="s">
        <v>2789</v>
      </c>
      <c r="G86">
        <v>-40.666274587500006</v>
      </c>
    </row>
    <row r="87" spans="1:7" x14ac:dyDescent="0.3">
      <c r="A87" t="s">
        <v>2186</v>
      </c>
      <c r="B87" s="1" t="s">
        <v>2847</v>
      </c>
      <c r="C87" s="1">
        <v>-85.938254209999997</v>
      </c>
      <c r="E87" t="s">
        <v>2305</v>
      </c>
      <c r="F87" s="1" t="s">
        <v>2789</v>
      </c>
      <c r="G87">
        <v>-39.731826755000007</v>
      </c>
    </row>
    <row r="88" spans="1:7" x14ac:dyDescent="0.3">
      <c r="A88" t="s">
        <v>2200</v>
      </c>
      <c r="B88" s="1" t="s">
        <v>2847</v>
      </c>
      <c r="C88" s="1">
        <v>-80.200946744999996</v>
      </c>
      <c r="E88" t="s">
        <v>2367</v>
      </c>
      <c r="F88" s="1" t="s">
        <v>2789</v>
      </c>
      <c r="G88">
        <v>-39.339045274999997</v>
      </c>
    </row>
    <row r="89" spans="1:7" x14ac:dyDescent="0.3">
      <c r="A89" t="s">
        <v>2295</v>
      </c>
      <c r="B89" s="1" t="s">
        <v>2847</v>
      </c>
      <c r="C89" s="1">
        <v>-93.795457374999998</v>
      </c>
      <c r="E89" t="s">
        <v>2386</v>
      </c>
      <c r="F89" s="1" t="s">
        <v>2789</v>
      </c>
      <c r="G89">
        <v>-38.592927174999993</v>
      </c>
    </row>
    <row r="90" spans="1:7" x14ac:dyDescent="0.3">
      <c r="A90" t="s">
        <v>2299</v>
      </c>
      <c r="B90" s="1" t="s">
        <v>2847</v>
      </c>
      <c r="C90" s="1">
        <v>-91.792427719999992</v>
      </c>
      <c r="E90" t="s">
        <v>2182</v>
      </c>
      <c r="F90" s="1" t="s">
        <v>2789</v>
      </c>
      <c r="G90">
        <v>-37.97757198</v>
      </c>
    </row>
    <row r="91" spans="1:7" x14ac:dyDescent="0.3">
      <c r="A91" t="s">
        <v>2301</v>
      </c>
      <c r="B91" s="1" t="s">
        <v>2847</v>
      </c>
      <c r="C91" s="1">
        <v>-92.677076502500014</v>
      </c>
      <c r="E91" t="s">
        <v>2311</v>
      </c>
      <c r="F91" s="1" t="s">
        <v>2789</v>
      </c>
      <c r="G91">
        <v>-36.838744290000001</v>
      </c>
    </row>
    <row r="92" spans="1:7" x14ac:dyDescent="0.3">
      <c r="A92" t="s">
        <v>2303</v>
      </c>
      <c r="B92" s="1" t="s">
        <v>2847</v>
      </c>
      <c r="C92" s="1">
        <v>-69.559342112500005</v>
      </c>
      <c r="E92" t="s">
        <v>1751</v>
      </c>
      <c r="F92" s="1" t="s">
        <v>2789</v>
      </c>
      <c r="G92">
        <v>-36.282545692500001</v>
      </c>
    </row>
    <row r="93" spans="1:7" x14ac:dyDescent="0.3">
      <c r="A93" t="s">
        <v>2316</v>
      </c>
      <c r="B93" s="1" t="s">
        <v>2847</v>
      </c>
      <c r="C93" s="1">
        <v>-86.041531180000007</v>
      </c>
      <c r="E93" t="s">
        <v>2221</v>
      </c>
      <c r="F93" s="1" t="s">
        <v>2789</v>
      </c>
      <c r="G93">
        <v>-33.335017245000003</v>
      </c>
    </row>
    <row r="94" spans="1:7" x14ac:dyDescent="0.3">
      <c r="A94" t="s">
        <v>2319</v>
      </c>
      <c r="B94" s="1" t="s">
        <v>2847</v>
      </c>
      <c r="C94" s="1">
        <v>-62.794700577499995</v>
      </c>
      <c r="E94" t="s">
        <v>2212</v>
      </c>
      <c r="F94" s="1" t="s">
        <v>2789</v>
      </c>
      <c r="G94">
        <v>-32.68426487</v>
      </c>
    </row>
    <row r="95" spans="1:7" x14ac:dyDescent="0.3">
      <c r="A95" t="s">
        <v>2326</v>
      </c>
      <c r="B95" s="1" t="s">
        <v>2847</v>
      </c>
      <c r="C95" s="1">
        <v>-71.544705969999995</v>
      </c>
      <c r="E95" t="s">
        <v>2371</v>
      </c>
      <c r="F95" s="1" t="s">
        <v>2789</v>
      </c>
      <c r="G95">
        <v>-32.127526870000004</v>
      </c>
    </row>
    <row r="96" spans="1:7" x14ac:dyDescent="0.3">
      <c r="A96" t="s">
        <v>2328</v>
      </c>
      <c r="B96" s="1" t="s">
        <v>2847</v>
      </c>
      <c r="C96" s="1">
        <v>-99.546353914999997</v>
      </c>
      <c r="E96" t="s">
        <v>2321</v>
      </c>
      <c r="F96" s="1" t="s">
        <v>2789</v>
      </c>
      <c r="G96">
        <v>-31.731274650000003</v>
      </c>
    </row>
    <row r="97" spans="1:7" x14ac:dyDescent="0.3">
      <c r="A97" t="s">
        <v>2330</v>
      </c>
      <c r="B97" s="1" t="s">
        <v>2847</v>
      </c>
      <c r="C97" s="1">
        <v>-81.131798382500008</v>
      </c>
      <c r="E97" t="s">
        <v>2423</v>
      </c>
      <c r="F97" s="1" t="s">
        <v>2789</v>
      </c>
      <c r="G97">
        <v>-29.938845830000005</v>
      </c>
    </row>
    <row r="98" spans="1:7" x14ac:dyDescent="0.3">
      <c r="A98" t="s">
        <v>2342</v>
      </c>
      <c r="B98" s="1" t="s">
        <v>2847</v>
      </c>
      <c r="C98" s="1">
        <v>-62.671889459999996</v>
      </c>
      <c r="E98" t="s">
        <v>2174</v>
      </c>
      <c r="F98" s="1" t="s">
        <v>2789</v>
      </c>
      <c r="G98">
        <v>-29.846169723750002</v>
      </c>
    </row>
    <row r="99" spans="1:7" x14ac:dyDescent="0.3">
      <c r="A99" t="s">
        <v>2344</v>
      </c>
      <c r="B99" s="1" t="s">
        <v>2847</v>
      </c>
      <c r="C99" s="1">
        <v>-71.003055180000004</v>
      </c>
      <c r="E99" t="s">
        <v>1825</v>
      </c>
      <c r="F99" s="1" t="s">
        <v>2789</v>
      </c>
      <c r="G99">
        <v>-24.938453615</v>
      </c>
    </row>
    <row r="100" spans="1:7" x14ac:dyDescent="0.3">
      <c r="A100" t="s">
        <v>2351</v>
      </c>
      <c r="B100" s="1" t="s">
        <v>2847</v>
      </c>
      <c r="C100" s="1">
        <v>-43.676117439999999</v>
      </c>
      <c r="E100" t="s">
        <v>1823</v>
      </c>
      <c r="F100" s="1" t="s">
        <v>2789</v>
      </c>
      <c r="G100">
        <v>-23.893925585000012</v>
      </c>
    </row>
    <row r="101" spans="1:7" x14ac:dyDescent="0.3">
      <c r="A101" t="s">
        <v>2353</v>
      </c>
      <c r="B101" s="1" t="s">
        <v>2847</v>
      </c>
      <c r="C101" s="1">
        <v>-90.112821059999987</v>
      </c>
      <c r="E101" t="s">
        <v>1745</v>
      </c>
      <c r="F101" s="1" t="s">
        <v>2789</v>
      </c>
      <c r="G101">
        <v>-19.939516035000004</v>
      </c>
    </row>
    <row r="102" spans="1:7" x14ac:dyDescent="0.3">
      <c r="A102" t="s">
        <v>2355</v>
      </c>
      <c r="B102" s="1" t="s">
        <v>2847</v>
      </c>
      <c r="C102" s="1">
        <v>-44.321822855000001</v>
      </c>
      <c r="E102" t="s">
        <v>2307</v>
      </c>
      <c r="F102" s="1" t="s">
        <v>2789</v>
      </c>
      <c r="G102">
        <v>-19.69162282125</v>
      </c>
    </row>
    <row r="103" spans="1:7" x14ac:dyDescent="0.3">
      <c r="A103" t="s">
        <v>2359</v>
      </c>
      <c r="B103" s="1" t="s">
        <v>2847</v>
      </c>
      <c r="C103" s="1">
        <v>-91.303420647499991</v>
      </c>
      <c r="E103" t="s">
        <v>2323</v>
      </c>
      <c r="F103" s="1" t="s">
        <v>2789</v>
      </c>
      <c r="G103">
        <v>-19.395412588749998</v>
      </c>
    </row>
    <row r="104" spans="1:7" x14ac:dyDescent="0.3">
      <c r="A104" t="s">
        <v>2375</v>
      </c>
      <c r="B104" s="1" t="s">
        <v>2847</v>
      </c>
      <c r="C104" s="1">
        <v>-57.316151095000002</v>
      </c>
      <c r="E104" t="s">
        <v>2261</v>
      </c>
      <c r="F104" s="1" t="s">
        <v>2789</v>
      </c>
      <c r="G104">
        <v>-15.436639475000007</v>
      </c>
    </row>
    <row r="105" spans="1:7" x14ac:dyDescent="0.3">
      <c r="A105" t="s">
        <v>2382</v>
      </c>
      <c r="B105" s="1" t="s">
        <v>2847</v>
      </c>
      <c r="C105" s="1">
        <v>-82.383259525000014</v>
      </c>
      <c r="E105" t="s">
        <v>1852</v>
      </c>
      <c r="F105" s="1" t="s">
        <v>2789</v>
      </c>
      <c r="G105">
        <v>-14.067943396249994</v>
      </c>
    </row>
    <row r="106" spans="1:7" x14ac:dyDescent="0.3">
      <c r="A106" t="s">
        <v>2384</v>
      </c>
      <c r="B106" s="1" t="s">
        <v>2847</v>
      </c>
      <c r="C106" s="1">
        <v>-51.558553864999993</v>
      </c>
      <c r="E106" t="s">
        <v>1131</v>
      </c>
      <c r="F106" s="1" t="s">
        <v>2846</v>
      </c>
      <c r="G106">
        <v>-104.33750000000001</v>
      </c>
    </row>
    <row r="107" spans="1:7" x14ac:dyDescent="0.3">
      <c r="A107" t="s">
        <v>2389</v>
      </c>
      <c r="B107" s="1" t="s">
        <v>2847</v>
      </c>
      <c r="C107" s="1">
        <v>-83.777232665000014</v>
      </c>
      <c r="E107" t="s">
        <v>1864</v>
      </c>
      <c r="F107" s="1" t="s">
        <v>2846</v>
      </c>
      <c r="G107">
        <v>-103.54182749999998</v>
      </c>
    </row>
    <row r="108" spans="1:7" x14ac:dyDescent="0.3">
      <c r="A108" t="s">
        <v>2393</v>
      </c>
      <c r="B108" s="1" t="s">
        <v>2847</v>
      </c>
      <c r="C108" s="1">
        <v>-72.533239205000001</v>
      </c>
      <c r="E108" t="s">
        <v>2454</v>
      </c>
      <c r="F108" s="1" t="s">
        <v>2846</v>
      </c>
      <c r="G108">
        <v>-103.49665400000001</v>
      </c>
    </row>
    <row r="109" spans="1:7" x14ac:dyDescent="0.3">
      <c r="A109" t="s">
        <v>2397</v>
      </c>
      <c r="B109" s="1" t="s">
        <v>2847</v>
      </c>
      <c r="C109" s="1">
        <v>-79.413608575000012</v>
      </c>
      <c r="E109" t="s">
        <v>2140</v>
      </c>
      <c r="F109" s="1" t="s">
        <v>2846</v>
      </c>
      <c r="G109">
        <v>-96.586216250000007</v>
      </c>
    </row>
    <row r="110" spans="1:7" x14ac:dyDescent="0.3">
      <c r="A110" t="s">
        <v>2401</v>
      </c>
      <c r="B110" s="1" t="s">
        <v>2847</v>
      </c>
      <c r="C110" s="1">
        <v>-74.861131280000009</v>
      </c>
      <c r="E110" t="s">
        <v>1438</v>
      </c>
      <c r="F110" s="1" t="s">
        <v>2846</v>
      </c>
      <c r="G110">
        <v>-93.483966750000008</v>
      </c>
    </row>
    <row r="111" spans="1:7" x14ac:dyDescent="0.3">
      <c r="A111" t="s">
        <v>2405</v>
      </c>
      <c r="B111" s="1" t="s">
        <v>2847</v>
      </c>
      <c r="C111" s="1">
        <v>-83.249894210000008</v>
      </c>
      <c r="E111" t="s">
        <v>2509</v>
      </c>
      <c r="F111" s="1" t="s">
        <v>2846</v>
      </c>
      <c r="G111">
        <v>-92.402621374999995</v>
      </c>
    </row>
    <row r="112" spans="1:7" x14ac:dyDescent="0.3">
      <c r="A112" t="s">
        <v>2415</v>
      </c>
      <c r="B112" s="1" t="s">
        <v>2847</v>
      </c>
      <c r="C112" s="1">
        <v>-80.919682285000007</v>
      </c>
      <c r="E112" t="s">
        <v>313</v>
      </c>
      <c r="F112" s="1" t="s">
        <v>2846</v>
      </c>
      <c r="G112">
        <v>-92.262499999999989</v>
      </c>
    </row>
    <row r="113" spans="1:7" x14ac:dyDescent="0.3">
      <c r="A113" t="s">
        <v>2419</v>
      </c>
      <c r="B113" s="1" t="s">
        <v>2847</v>
      </c>
      <c r="C113" s="1">
        <v>-79.26650041500001</v>
      </c>
      <c r="E113" t="s">
        <v>1402</v>
      </c>
      <c r="F113" s="1" t="s">
        <v>2846</v>
      </c>
      <c r="G113">
        <v>-91.35</v>
      </c>
    </row>
    <row r="114" spans="1:7" x14ac:dyDescent="0.3">
      <c r="A114" t="s">
        <v>2428</v>
      </c>
      <c r="B114" s="1" t="s">
        <v>2847</v>
      </c>
      <c r="C114" s="1">
        <v>-73.333406425000007</v>
      </c>
      <c r="E114" t="s">
        <v>1064</v>
      </c>
      <c r="F114" s="1" t="s">
        <v>2846</v>
      </c>
      <c r="G114">
        <v>-90.85</v>
      </c>
    </row>
    <row r="115" spans="1:7" x14ac:dyDescent="0.3">
      <c r="A115" t="s">
        <v>2432</v>
      </c>
      <c r="B115" s="1" t="s">
        <v>2847</v>
      </c>
      <c r="C115" s="1">
        <v>-64.630900014999995</v>
      </c>
      <c r="E115" t="s">
        <v>90</v>
      </c>
      <c r="F115" s="1" t="s">
        <v>2846</v>
      </c>
      <c r="G115">
        <v>-90.1875</v>
      </c>
    </row>
    <row r="116" spans="1:7" x14ac:dyDescent="0.3">
      <c r="A116" t="s">
        <v>92</v>
      </c>
      <c r="B116" s="1" t="s">
        <v>2849</v>
      </c>
      <c r="C116" s="1">
        <v>-54.712499999999999</v>
      </c>
      <c r="E116" t="s">
        <v>2451</v>
      </c>
      <c r="F116" s="1" t="s">
        <v>2846</v>
      </c>
      <c r="G116">
        <v>-89.758787000000012</v>
      </c>
    </row>
    <row r="117" spans="1:7" x14ac:dyDescent="0.3">
      <c r="A117" t="s">
        <v>95</v>
      </c>
      <c r="B117" s="1" t="s">
        <v>2849</v>
      </c>
      <c r="C117" s="1">
        <v>-55.162500000000001</v>
      </c>
      <c r="E117" t="s">
        <v>1405</v>
      </c>
      <c r="F117" s="1" t="s">
        <v>2846</v>
      </c>
      <c r="G117">
        <v>-88.712500000000006</v>
      </c>
    </row>
    <row r="118" spans="1:7" x14ac:dyDescent="0.3">
      <c r="A118" t="s">
        <v>98</v>
      </c>
      <c r="B118" s="1" t="s">
        <v>2849</v>
      </c>
      <c r="C118" s="1">
        <v>-110.06250000000001</v>
      </c>
      <c r="E118" t="s">
        <v>2461</v>
      </c>
      <c r="F118" s="1" t="s">
        <v>2846</v>
      </c>
      <c r="G118">
        <v>-88.672716624999993</v>
      </c>
    </row>
    <row r="119" spans="1:7" x14ac:dyDescent="0.3">
      <c r="A119" t="s">
        <v>217</v>
      </c>
      <c r="B119" s="1" t="s">
        <v>2849</v>
      </c>
      <c r="C119" s="1">
        <v>-99.25</v>
      </c>
      <c r="E119" t="s">
        <v>1089</v>
      </c>
      <c r="F119" s="1" t="s">
        <v>2846</v>
      </c>
      <c r="G119">
        <v>-87.35</v>
      </c>
    </row>
    <row r="120" spans="1:7" x14ac:dyDescent="0.3">
      <c r="A120" t="s">
        <v>220</v>
      </c>
      <c r="B120" s="1" t="s">
        <v>2849</v>
      </c>
      <c r="C120" s="1">
        <v>-135.46249999999998</v>
      </c>
      <c r="E120" t="s">
        <v>1486</v>
      </c>
      <c r="F120" s="1" t="s">
        <v>2846</v>
      </c>
      <c r="G120">
        <v>-86.868570500000004</v>
      </c>
    </row>
    <row r="121" spans="1:7" x14ac:dyDescent="0.3">
      <c r="A121" t="s">
        <v>281</v>
      </c>
      <c r="B121" s="1" t="s">
        <v>2849</v>
      </c>
      <c r="C121" s="1">
        <v>-83.7</v>
      </c>
      <c r="E121" t="s">
        <v>1278</v>
      </c>
      <c r="F121" s="1" t="s">
        <v>2846</v>
      </c>
      <c r="G121">
        <v>-86.787499999999994</v>
      </c>
    </row>
    <row r="122" spans="1:7" x14ac:dyDescent="0.3">
      <c r="A122" t="s">
        <v>322</v>
      </c>
      <c r="B122" s="1" t="s">
        <v>2849</v>
      </c>
      <c r="C122" s="1">
        <v>-57.975000000000001</v>
      </c>
      <c r="E122" t="s">
        <v>545</v>
      </c>
      <c r="F122" s="1" t="s">
        <v>2846</v>
      </c>
      <c r="G122">
        <v>-86.587500000000006</v>
      </c>
    </row>
    <row r="123" spans="1:7" x14ac:dyDescent="0.3">
      <c r="A123" t="s">
        <v>511</v>
      </c>
      <c r="B123" s="1" t="s">
        <v>2849</v>
      </c>
      <c r="C123" s="1">
        <v>-58.750000000000007</v>
      </c>
      <c r="E123" t="s">
        <v>485</v>
      </c>
      <c r="F123" s="1" t="s">
        <v>2846</v>
      </c>
      <c r="G123">
        <v>-85.637500000000017</v>
      </c>
    </row>
    <row r="124" spans="1:7" x14ac:dyDescent="0.3">
      <c r="A124" t="s">
        <v>517</v>
      </c>
      <c r="B124" s="1" t="s">
        <v>2849</v>
      </c>
      <c r="C124" s="1">
        <v>-76.125</v>
      </c>
      <c r="E124" t="s">
        <v>1135</v>
      </c>
      <c r="F124" s="1" t="s">
        <v>2846</v>
      </c>
      <c r="G124">
        <v>-84.737500000000011</v>
      </c>
    </row>
    <row r="125" spans="1:7" x14ac:dyDescent="0.3">
      <c r="A125" t="s">
        <v>521</v>
      </c>
      <c r="B125" s="1" t="s">
        <v>2849</v>
      </c>
      <c r="C125" s="1">
        <v>-55.787500000000001</v>
      </c>
      <c r="E125" t="s">
        <v>1869</v>
      </c>
      <c r="F125" s="1" t="s">
        <v>2846</v>
      </c>
      <c r="G125">
        <v>-84.45075374999999</v>
      </c>
    </row>
    <row r="126" spans="1:7" x14ac:dyDescent="0.3">
      <c r="A126" t="s">
        <v>524</v>
      </c>
      <c r="B126" s="1" t="s">
        <v>2849</v>
      </c>
      <c r="C126" s="1">
        <v>-71.837500000000006</v>
      </c>
      <c r="E126" t="s">
        <v>919</v>
      </c>
      <c r="F126" s="1" t="s">
        <v>2846</v>
      </c>
      <c r="G126">
        <v>-83.987499999999983</v>
      </c>
    </row>
    <row r="127" spans="1:7" x14ac:dyDescent="0.3">
      <c r="A127" t="s">
        <v>537</v>
      </c>
      <c r="B127" s="1" t="s">
        <v>2849</v>
      </c>
      <c r="C127" s="1">
        <v>-121.075</v>
      </c>
      <c r="E127" t="s">
        <v>321</v>
      </c>
      <c r="F127" s="1" t="s">
        <v>2846</v>
      </c>
      <c r="G127">
        <v>-83.9375</v>
      </c>
    </row>
    <row r="128" spans="1:7" x14ac:dyDescent="0.3">
      <c r="A128" t="s">
        <v>998</v>
      </c>
      <c r="B128" s="1" t="s">
        <v>2849</v>
      </c>
      <c r="C128" s="1">
        <v>-111.6125</v>
      </c>
      <c r="E128" t="s">
        <v>2142</v>
      </c>
      <c r="F128" s="1" t="s">
        <v>2846</v>
      </c>
      <c r="G128">
        <v>-83.522842499999996</v>
      </c>
    </row>
    <row r="129" spans="1:7" x14ac:dyDescent="0.3">
      <c r="A129" t="s">
        <v>1007</v>
      </c>
      <c r="B129" s="1" t="s">
        <v>2849</v>
      </c>
      <c r="C129" s="1">
        <v>-59.25</v>
      </c>
      <c r="E129" t="s">
        <v>199</v>
      </c>
      <c r="F129" s="1" t="s">
        <v>2846</v>
      </c>
      <c r="G129">
        <v>-82.987500000000011</v>
      </c>
    </row>
    <row r="130" spans="1:7" x14ac:dyDescent="0.3">
      <c r="A130" t="s">
        <v>1000</v>
      </c>
      <c r="B130" s="1" t="s">
        <v>2849</v>
      </c>
      <c r="C130" s="1">
        <v>-53.437500000000007</v>
      </c>
      <c r="E130" t="s">
        <v>481</v>
      </c>
      <c r="F130" s="1" t="s">
        <v>2846</v>
      </c>
      <c r="G130">
        <v>-82.724999999999994</v>
      </c>
    </row>
    <row r="131" spans="1:7" x14ac:dyDescent="0.3">
      <c r="A131" t="s">
        <v>1123</v>
      </c>
      <c r="B131" s="1" t="s">
        <v>2849</v>
      </c>
      <c r="C131" s="1">
        <v>-85.5</v>
      </c>
      <c r="E131" t="s">
        <v>1067</v>
      </c>
      <c r="F131" s="1" t="s">
        <v>2846</v>
      </c>
      <c r="G131">
        <v>-80.875</v>
      </c>
    </row>
    <row r="132" spans="1:7" x14ac:dyDescent="0.3">
      <c r="A132" t="s">
        <v>1133</v>
      </c>
      <c r="B132" s="1" t="s">
        <v>2849</v>
      </c>
      <c r="C132" s="1">
        <v>-97.55</v>
      </c>
      <c r="E132" t="s">
        <v>388</v>
      </c>
      <c r="F132" s="1" t="s">
        <v>2846</v>
      </c>
      <c r="G132">
        <v>-80.575000000000017</v>
      </c>
    </row>
    <row r="133" spans="1:7" x14ac:dyDescent="0.3">
      <c r="A133" t="s">
        <v>1442</v>
      </c>
      <c r="B133" s="1" t="s">
        <v>2849</v>
      </c>
      <c r="C133" s="1">
        <v>-84.415346624999998</v>
      </c>
      <c r="E133" t="s">
        <v>383</v>
      </c>
      <c r="F133" s="1" t="s">
        <v>2846</v>
      </c>
      <c r="G133">
        <v>-80.549999999999983</v>
      </c>
    </row>
    <row r="134" spans="1:7" x14ac:dyDescent="0.3">
      <c r="A134" t="s">
        <v>1491</v>
      </c>
      <c r="B134" s="1" t="s">
        <v>2849</v>
      </c>
      <c r="C134" s="1">
        <v>-119.68337700000001</v>
      </c>
      <c r="E134" t="s">
        <v>204</v>
      </c>
      <c r="F134" s="1" t="s">
        <v>2846</v>
      </c>
      <c r="G134">
        <v>-79.962500000000006</v>
      </c>
    </row>
    <row r="135" spans="1:7" x14ac:dyDescent="0.3">
      <c r="A135" t="s">
        <v>1496</v>
      </c>
      <c r="B135" s="1" t="s">
        <v>2849</v>
      </c>
      <c r="C135" s="1">
        <v>-121.529286375</v>
      </c>
      <c r="E135" t="s">
        <v>910</v>
      </c>
      <c r="F135" s="1" t="s">
        <v>2846</v>
      </c>
      <c r="G135">
        <v>-78.25</v>
      </c>
    </row>
    <row r="136" spans="1:7" x14ac:dyDescent="0.3">
      <c r="A136" t="s">
        <v>1504</v>
      </c>
      <c r="B136" s="1" t="s">
        <v>2849</v>
      </c>
      <c r="C136" s="1">
        <v>-89.424200249999998</v>
      </c>
      <c r="E136" t="s">
        <v>1150</v>
      </c>
      <c r="F136" s="1" t="s">
        <v>2846</v>
      </c>
      <c r="G136">
        <v>-77.8125</v>
      </c>
    </row>
    <row r="137" spans="1:7" x14ac:dyDescent="0.3">
      <c r="A137" t="s">
        <v>1880</v>
      </c>
      <c r="B137" s="1" t="s">
        <v>2849</v>
      </c>
      <c r="C137" s="1">
        <v>-159.78854849999999</v>
      </c>
      <c r="E137" t="s">
        <v>468</v>
      </c>
      <c r="F137" s="1" t="s">
        <v>2846</v>
      </c>
      <c r="G137">
        <v>-77.75</v>
      </c>
    </row>
    <row r="138" spans="1:7" x14ac:dyDescent="0.3">
      <c r="A138" t="s">
        <v>1882</v>
      </c>
      <c r="B138" s="1" t="s">
        <v>2849</v>
      </c>
      <c r="C138" s="1">
        <v>-125.42716012500001</v>
      </c>
      <c r="E138" t="s">
        <v>1873</v>
      </c>
      <c r="F138" s="1" t="s">
        <v>2846</v>
      </c>
      <c r="G138">
        <v>-77.184760750000009</v>
      </c>
    </row>
    <row r="139" spans="1:7" x14ac:dyDescent="0.3">
      <c r="A139" t="s">
        <v>1884</v>
      </c>
      <c r="B139" s="1" t="s">
        <v>2849</v>
      </c>
      <c r="C139" s="1">
        <v>-100.17855412500001</v>
      </c>
      <c r="E139" t="s">
        <v>207</v>
      </c>
      <c r="F139" s="1" t="s">
        <v>2846</v>
      </c>
      <c r="G139">
        <v>-77.125</v>
      </c>
    </row>
    <row r="140" spans="1:7" x14ac:dyDescent="0.3">
      <c r="A140" t="s">
        <v>1890</v>
      </c>
      <c r="B140" s="1" t="s">
        <v>2849</v>
      </c>
      <c r="C140" s="1">
        <v>-101.916284625</v>
      </c>
      <c r="E140" t="s">
        <v>926</v>
      </c>
      <c r="F140" s="1" t="s">
        <v>2846</v>
      </c>
      <c r="G140">
        <v>-77.050000000000011</v>
      </c>
    </row>
    <row r="141" spans="1:7" x14ac:dyDescent="0.3">
      <c r="A141" t="s">
        <v>1906</v>
      </c>
      <c r="B141" s="1" t="s">
        <v>2849</v>
      </c>
      <c r="C141" s="1">
        <v>-110.72341875000001</v>
      </c>
      <c r="E141" t="s">
        <v>563</v>
      </c>
      <c r="F141" s="1" t="s">
        <v>2846</v>
      </c>
      <c r="G141">
        <v>-76.8125</v>
      </c>
    </row>
    <row r="142" spans="1:7" x14ac:dyDescent="0.3">
      <c r="A142" t="s">
        <v>1908</v>
      </c>
      <c r="B142" s="1" t="s">
        <v>2849</v>
      </c>
      <c r="C142" s="1">
        <v>-97.067123625000008</v>
      </c>
      <c r="E142" t="s">
        <v>682</v>
      </c>
      <c r="F142" s="1" t="s">
        <v>2846</v>
      </c>
      <c r="G142">
        <v>-76.5625</v>
      </c>
    </row>
    <row r="143" spans="1:7" x14ac:dyDescent="0.3">
      <c r="A143" t="s">
        <v>1911</v>
      </c>
      <c r="B143" s="1" t="s">
        <v>2849</v>
      </c>
      <c r="C143" s="1">
        <v>-137.43673237499999</v>
      </c>
      <c r="E143" t="s">
        <v>1059</v>
      </c>
      <c r="F143" s="1" t="s">
        <v>2846</v>
      </c>
      <c r="G143">
        <v>-75.950000000000017</v>
      </c>
    </row>
    <row r="144" spans="1:7" x14ac:dyDescent="0.3">
      <c r="A144" t="s">
        <v>2136</v>
      </c>
      <c r="B144" s="1" t="s">
        <v>2849</v>
      </c>
      <c r="C144" s="1">
        <v>-98.883983000000001</v>
      </c>
      <c r="E144" t="s">
        <v>483</v>
      </c>
      <c r="F144" s="1" t="s">
        <v>2846</v>
      </c>
      <c r="G144">
        <v>-75.787499999999994</v>
      </c>
    </row>
    <row r="145" spans="1:7" x14ac:dyDescent="0.3">
      <c r="A145" t="s">
        <v>2164</v>
      </c>
      <c r="B145" s="1" t="s">
        <v>2849</v>
      </c>
      <c r="C145" s="1">
        <v>-88.575191500000003</v>
      </c>
      <c r="E145" t="s">
        <v>1888</v>
      </c>
      <c r="F145" s="1" t="s">
        <v>2846</v>
      </c>
      <c r="G145">
        <v>-75.533089749999988</v>
      </c>
    </row>
    <row r="146" spans="1:7" x14ac:dyDescent="0.3">
      <c r="A146" t="s">
        <v>2165</v>
      </c>
      <c r="B146" s="1" t="s">
        <v>2849</v>
      </c>
      <c r="C146" s="1">
        <v>-80.079662499999998</v>
      </c>
      <c r="E146" t="s">
        <v>1502</v>
      </c>
      <c r="F146" s="1" t="s">
        <v>2846</v>
      </c>
      <c r="G146">
        <v>-75.220188000000007</v>
      </c>
    </row>
    <row r="147" spans="1:7" x14ac:dyDescent="0.3">
      <c r="A147" t="s">
        <v>1723</v>
      </c>
      <c r="B147" s="1" t="s">
        <v>2849</v>
      </c>
      <c r="C147" s="1">
        <v>-26.812774867499996</v>
      </c>
      <c r="E147" t="s">
        <v>479</v>
      </c>
      <c r="F147" s="1" t="s">
        <v>2846</v>
      </c>
      <c r="G147">
        <v>-75.199999999999989</v>
      </c>
    </row>
    <row r="148" spans="1:7" x14ac:dyDescent="0.3">
      <c r="A148" t="s">
        <v>2439</v>
      </c>
      <c r="B148" s="1" t="s">
        <v>2849</v>
      </c>
      <c r="C148" s="1">
        <v>-93.379548750000012</v>
      </c>
      <c r="E148" t="s">
        <v>314</v>
      </c>
      <c r="F148" s="1" t="s">
        <v>2846</v>
      </c>
      <c r="G148">
        <v>-75.074999999999989</v>
      </c>
    </row>
    <row r="149" spans="1:7" x14ac:dyDescent="0.3">
      <c r="A149" t="s">
        <v>2452</v>
      </c>
      <c r="B149" s="1" t="s">
        <v>2849</v>
      </c>
      <c r="C149" s="1">
        <v>-70.734265250000007</v>
      </c>
      <c r="E149" t="s">
        <v>570</v>
      </c>
      <c r="F149" s="1" t="s">
        <v>2846</v>
      </c>
      <c r="G149">
        <v>-74.962500000000006</v>
      </c>
    </row>
    <row r="150" spans="1:7" x14ac:dyDescent="0.3">
      <c r="A150" t="s">
        <v>2458</v>
      </c>
      <c r="B150" s="1" t="s">
        <v>2849</v>
      </c>
      <c r="C150" s="1">
        <v>-87.949221749999992</v>
      </c>
      <c r="E150" t="s">
        <v>1080</v>
      </c>
      <c r="F150" s="1" t="s">
        <v>2846</v>
      </c>
      <c r="G150">
        <v>-74.887499999999989</v>
      </c>
    </row>
    <row r="151" spans="1:7" x14ac:dyDescent="0.3">
      <c r="A151" t="s">
        <v>2462</v>
      </c>
      <c r="B151" s="1" t="s">
        <v>2849</v>
      </c>
      <c r="C151" s="1">
        <v>-88.932072500000018</v>
      </c>
      <c r="E151" t="s">
        <v>1002</v>
      </c>
      <c r="F151" s="1" t="s">
        <v>2846</v>
      </c>
      <c r="G151">
        <v>-74.0625</v>
      </c>
    </row>
    <row r="152" spans="1:7" x14ac:dyDescent="0.3">
      <c r="A152" t="s">
        <v>2466</v>
      </c>
      <c r="B152" s="1" t="s">
        <v>2849</v>
      </c>
      <c r="C152" s="1">
        <v>-53.967247999999998</v>
      </c>
      <c r="E152" t="s">
        <v>560</v>
      </c>
      <c r="F152" s="1" t="s">
        <v>2846</v>
      </c>
      <c r="G152">
        <v>-73.650000000000006</v>
      </c>
    </row>
    <row r="153" spans="1:7" x14ac:dyDescent="0.3">
      <c r="A153" t="s">
        <v>2473</v>
      </c>
      <c r="B153" s="1" t="s">
        <v>2849</v>
      </c>
      <c r="C153" s="1">
        <v>-95.257975999999999</v>
      </c>
      <c r="E153" t="s">
        <v>1144</v>
      </c>
      <c r="F153" s="1" t="s">
        <v>2846</v>
      </c>
      <c r="G153">
        <v>-73.025000000000006</v>
      </c>
    </row>
    <row r="154" spans="1:7" x14ac:dyDescent="0.3">
      <c r="A154" t="s">
        <v>2475</v>
      </c>
      <c r="B154" s="1" t="s">
        <v>2849</v>
      </c>
      <c r="C154" s="1">
        <v>-63.307039250000003</v>
      </c>
      <c r="E154" t="s">
        <v>189</v>
      </c>
      <c r="F154" s="1" t="s">
        <v>2846</v>
      </c>
      <c r="G154">
        <v>-72.675000000000011</v>
      </c>
    </row>
    <row r="155" spans="1:7" x14ac:dyDescent="0.3">
      <c r="A155" t="s">
        <v>2477</v>
      </c>
      <c r="B155" s="1" t="s">
        <v>2849</v>
      </c>
      <c r="C155" s="1">
        <v>-79.308128000000011</v>
      </c>
      <c r="E155" t="s">
        <v>2457</v>
      </c>
      <c r="F155" s="1" t="s">
        <v>2846</v>
      </c>
      <c r="G155">
        <v>-72.09965200000002</v>
      </c>
    </row>
    <row r="156" spans="1:7" x14ac:dyDescent="0.3">
      <c r="A156" t="s">
        <v>2506</v>
      </c>
      <c r="B156" s="1" t="s">
        <v>2849</v>
      </c>
      <c r="C156" s="1">
        <v>-37.17081975</v>
      </c>
      <c r="E156" t="s">
        <v>765</v>
      </c>
      <c r="F156" s="1" t="s">
        <v>2846</v>
      </c>
      <c r="G156">
        <v>-71.675000000000011</v>
      </c>
    </row>
    <row r="157" spans="1:7" x14ac:dyDescent="0.3">
      <c r="A157" t="s">
        <v>2511</v>
      </c>
      <c r="B157" s="1" t="s">
        <v>2849</v>
      </c>
      <c r="C157" s="1">
        <v>-102.16550112500001</v>
      </c>
      <c r="E157" t="s">
        <v>1866</v>
      </c>
      <c r="F157" s="1" t="s">
        <v>2846</v>
      </c>
      <c r="G157">
        <v>-71.256077500000004</v>
      </c>
    </row>
    <row r="158" spans="1:7" x14ac:dyDescent="0.3">
      <c r="A158" t="s">
        <v>2534</v>
      </c>
      <c r="B158" s="1" t="s">
        <v>2849</v>
      </c>
      <c r="C158" s="1">
        <v>-49.760336750000008</v>
      </c>
      <c r="E158" t="s">
        <v>193</v>
      </c>
      <c r="F158" s="1" t="s">
        <v>2846</v>
      </c>
      <c r="G158">
        <v>-70.675000000000011</v>
      </c>
    </row>
    <row r="159" spans="1:7" x14ac:dyDescent="0.3">
      <c r="A159" t="s">
        <v>2549</v>
      </c>
      <c r="B159" s="1" t="s">
        <v>2849</v>
      </c>
      <c r="C159" s="1">
        <v>-116.81320725</v>
      </c>
      <c r="E159" t="s">
        <v>1034</v>
      </c>
      <c r="F159" s="1" t="s">
        <v>2846</v>
      </c>
      <c r="G159">
        <v>-70.662499999999994</v>
      </c>
    </row>
    <row r="160" spans="1:7" x14ac:dyDescent="0.3">
      <c r="A160" t="s">
        <v>2550</v>
      </c>
      <c r="B160" s="1" t="s">
        <v>2849</v>
      </c>
      <c r="C160" s="1">
        <v>-127.28913425</v>
      </c>
      <c r="E160" t="s">
        <v>1275</v>
      </c>
      <c r="F160" s="1" t="s">
        <v>2846</v>
      </c>
      <c r="G160">
        <v>-70.537499999999994</v>
      </c>
    </row>
    <row r="161" spans="1:7" x14ac:dyDescent="0.3">
      <c r="A161" t="s">
        <v>2552</v>
      </c>
      <c r="B161" s="1" t="s">
        <v>2849</v>
      </c>
      <c r="C161" s="1">
        <v>-50.099338000000003</v>
      </c>
      <c r="E161" t="s">
        <v>2144</v>
      </c>
      <c r="F161" s="1" t="s">
        <v>2846</v>
      </c>
      <c r="G161">
        <v>-70.394822000000005</v>
      </c>
    </row>
    <row r="162" spans="1:7" x14ac:dyDescent="0.3">
      <c r="E162" t="s">
        <v>547</v>
      </c>
      <c r="F162" s="1" t="s">
        <v>2846</v>
      </c>
      <c r="G162">
        <v>-70.074999999999989</v>
      </c>
    </row>
    <row r="163" spans="1:7" x14ac:dyDescent="0.3">
      <c r="E163" t="s">
        <v>2455</v>
      </c>
      <c r="F163" s="1" t="s">
        <v>2846</v>
      </c>
      <c r="G163">
        <v>-70.018157000000002</v>
      </c>
    </row>
    <row r="164" spans="1:7" x14ac:dyDescent="0.3">
      <c r="E164" t="s">
        <v>2530</v>
      </c>
      <c r="F164" s="1" t="s">
        <v>2846</v>
      </c>
      <c r="G164">
        <v>-69.625368000000009</v>
      </c>
    </row>
    <row r="165" spans="1:7" x14ac:dyDescent="0.3">
      <c r="E165" t="s">
        <v>1062</v>
      </c>
      <c r="F165" s="1" t="s">
        <v>2846</v>
      </c>
      <c r="G165">
        <v>-69.112500000000011</v>
      </c>
    </row>
    <row r="166" spans="1:7" x14ac:dyDescent="0.3">
      <c r="E166" t="s">
        <v>1877</v>
      </c>
      <c r="F166" s="1" t="s">
        <v>2846</v>
      </c>
      <c r="G166">
        <v>-68.950195250000007</v>
      </c>
    </row>
    <row r="167" spans="1:7" x14ac:dyDescent="0.3">
      <c r="E167" t="s">
        <v>390</v>
      </c>
      <c r="F167" s="1" t="s">
        <v>2846</v>
      </c>
      <c r="G167">
        <v>-68.599999999999994</v>
      </c>
    </row>
    <row r="168" spans="1:7" x14ac:dyDescent="0.3">
      <c r="E168" t="s">
        <v>1498</v>
      </c>
      <c r="F168" s="1" t="s">
        <v>2846</v>
      </c>
      <c r="G168">
        <v>-68.598360500000013</v>
      </c>
    </row>
    <row r="169" spans="1:7" x14ac:dyDescent="0.3">
      <c r="E169" t="s">
        <v>1886</v>
      </c>
      <c r="F169" s="1" t="s">
        <v>2846</v>
      </c>
      <c r="G169">
        <v>-68.549172249999998</v>
      </c>
    </row>
    <row r="170" spans="1:7" x14ac:dyDescent="0.3">
      <c r="E170" t="s">
        <v>773</v>
      </c>
      <c r="F170" s="1" t="s">
        <v>2846</v>
      </c>
      <c r="G170">
        <v>-68.512499999999989</v>
      </c>
    </row>
    <row r="171" spans="1:7" x14ac:dyDescent="0.3">
      <c r="E171" t="s">
        <v>1148</v>
      </c>
      <c r="F171" s="1" t="s">
        <v>2846</v>
      </c>
      <c r="G171">
        <v>-68.375</v>
      </c>
    </row>
    <row r="172" spans="1:7" x14ac:dyDescent="0.3">
      <c r="E172" t="s">
        <v>683</v>
      </c>
      <c r="F172" s="1" t="s">
        <v>2846</v>
      </c>
      <c r="G172">
        <v>-68.25</v>
      </c>
    </row>
    <row r="173" spans="1:7" x14ac:dyDescent="0.3">
      <c r="E173" t="s">
        <v>1139</v>
      </c>
      <c r="F173" s="1" t="s">
        <v>2846</v>
      </c>
      <c r="G173">
        <v>-68.112499999999983</v>
      </c>
    </row>
    <row r="174" spans="1:7" x14ac:dyDescent="0.3">
      <c r="E174" t="s">
        <v>913</v>
      </c>
      <c r="F174" s="1" t="s">
        <v>2846</v>
      </c>
      <c r="G174">
        <v>-68.087500000000006</v>
      </c>
    </row>
    <row r="175" spans="1:7" x14ac:dyDescent="0.3">
      <c r="E175" t="s">
        <v>1052</v>
      </c>
      <c r="F175" s="1" t="s">
        <v>2846</v>
      </c>
      <c r="G175">
        <v>-68</v>
      </c>
    </row>
    <row r="176" spans="1:7" x14ac:dyDescent="0.3">
      <c r="E176" t="s">
        <v>1038</v>
      </c>
      <c r="F176" s="1" t="s">
        <v>2846</v>
      </c>
      <c r="G176">
        <v>-67.825000000000017</v>
      </c>
    </row>
    <row r="177" spans="5:7" x14ac:dyDescent="0.3">
      <c r="E177" t="s">
        <v>319</v>
      </c>
      <c r="F177" s="1" t="s">
        <v>2846</v>
      </c>
      <c r="G177">
        <v>-67.762500000000017</v>
      </c>
    </row>
    <row r="178" spans="5:7" x14ac:dyDescent="0.3">
      <c r="E178" t="s">
        <v>1343</v>
      </c>
      <c r="F178" s="1" t="s">
        <v>2846</v>
      </c>
      <c r="G178">
        <v>-67.724999999999994</v>
      </c>
    </row>
    <row r="179" spans="5:7" x14ac:dyDescent="0.3">
      <c r="E179" t="s">
        <v>529</v>
      </c>
      <c r="F179" s="1" t="s">
        <v>2846</v>
      </c>
      <c r="G179">
        <v>-67.675000000000011</v>
      </c>
    </row>
    <row r="180" spans="5:7" x14ac:dyDescent="0.3">
      <c r="E180" t="s">
        <v>394</v>
      </c>
      <c r="F180" s="1" t="s">
        <v>2846</v>
      </c>
      <c r="G180">
        <v>-67.537499999999994</v>
      </c>
    </row>
    <row r="181" spans="5:7" x14ac:dyDescent="0.3">
      <c r="E181" t="s">
        <v>215</v>
      </c>
      <c r="F181" s="1" t="s">
        <v>2846</v>
      </c>
      <c r="G181">
        <v>-66.587500000000006</v>
      </c>
    </row>
    <row r="182" spans="5:7" x14ac:dyDescent="0.3">
      <c r="E182" t="s">
        <v>921</v>
      </c>
      <c r="F182" s="1" t="s">
        <v>2846</v>
      </c>
      <c r="G182">
        <v>-66.112500000000011</v>
      </c>
    </row>
    <row r="183" spans="5:7" x14ac:dyDescent="0.3">
      <c r="E183" t="s">
        <v>2436</v>
      </c>
      <c r="F183" s="1" t="s">
        <v>2846</v>
      </c>
      <c r="G183">
        <v>-65.863560124999992</v>
      </c>
    </row>
    <row r="184" spans="5:7" x14ac:dyDescent="0.3">
      <c r="E184" t="s">
        <v>501</v>
      </c>
      <c r="F184" s="1" t="s">
        <v>2846</v>
      </c>
      <c r="G184">
        <v>-65.662499999999994</v>
      </c>
    </row>
    <row r="185" spans="5:7" x14ac:dyDescent="0.3">
      <c r="E185" t="s">
        <v>82</v>
      </c>
      <c r="F185" s="1" t="s">
        <v>2846</v>
      </c>
      <c r="G185">
        <v>-65.349999999999994</v>
      </c>
    </row>
    <row r="186" spans="5:7" x14ac:dyDescent="0.3">
      <c r="E186" t="s">
        <v>2087</v>
      </c>
      <c r="F186" s="1" t="s">
        <v>2846</v>
      </c>
      <c r="G186">
        <v>-64.083091749999994</v>
      </c>
    </row>
    <row r="187" spans="5:7" x14ac:dyDescent="0.3">
      <c r="E187" t="s">
        <v>2447</v>
      </c>
      <c r="F187" s="1" t="s">
        <v>2846</v>
      </c>
      <c r="G187">
        <v>-63.822352124999988</v>
      </c>
    </row>
    <row r="188" spans="5:7" x14ac:dyDescent="0.3">
      <c r="E188" t="s">
        <v>195</v>
      </c>
      <c r="F188" s="1" t="s">
        <v>2846</v>
      </c>
      <c r="G188">
        <v>-63.587500000000013</v>
      </c>
    </row>
    <row r="189" spans="5:7" x14ac:dyDescent="0.3">
      <c r="E189" t="s">
        <v>197</v>
      </c>
      <c r="F189" s="1" t="s">
        <v>2846</v>
      </c>
      <c r="G189">
        <v>-63.487500000000004</v>
      </c>
    </row>
    <row r="190" spans="5:7" x14ac:dyDescent="0.3">
      <c r="E190" t="s">
        <v>556</v>
      </c>
      <c r="F190" s="1" t="s">
        <v>2846</v>
      </c>
      <c r="G190">
        <v>-63.462499999999999</v>
      </c>
    </row>
    <row r="191" spans="5:7" x14ac:dyDescent="0.3">
      <c r="E191" t="s">
        <v>1835</v>
      </c>
      <c r="F191" s="1" t="s">
        <v>2846</v>
      </c>
      <c r="G191">
        <v>-63.381605499999999</v>
      </c>
    </row>
    <row r="192" spans="5:7" x14ac:dyDescent="0.3">
      <c r="E192" t="s">
        <v>1141</v>
      </c>
      <c r="F192" s="1" t="s">
        <v>2846</v>
      </c>
      <c r="G192">
        <v>-62.874999999999993</v>
      </c>
    </row>
    <row r="193" spans="5:7" x14ac:dyDescent="0.3">
      <c r="E193" t="s">
        <v>477</v>
      </c>
      <c r="F193" s="1" t="s">
        <v>2846</v>
      </c>
      <c r="G193">
        <v>-62.79999999999999</v>
      </c>
    </row>
    <row r="194" spans="5:7" x14ac:dyDescent="0.3">
      <c r="E194" t="s">
        <v>191</v>
      </c>
      <c r="F194" s="1" t="s">
        <v>2846</v>
      </c>
      <c r="G194">
        <v>-62.312499999999993</v>
      </c>
    </row>
    <row r="195" spans="5:7" x14ac:dyDescent="0.3">
      <c r="E195" t="s">
        <v>907</v>
      </c>
      <c r="F195" s="1" t="s">
        <v>2846</v>
      </c>
      <c r="G195">
        <v>-61.987500000000004</v>
      </c>
    </row>
    <row r="196" spans="5:7" x14ac:dyDescent="0.3">
      <c r="E196" t="s">
        <v>489</v>
      </c>
      <c r="F196" s="1" t="s">
        <v>2846</v>
      </c>
      <c r="G196">
        <v>-61.937499999999993</v>
      </c>
    </row>
    <row r="197" spans="5:7" x14ac:dyDescent="0.3">
      <c r="E197" t="s">
        <v>1440</v>
      </c>
      <c r="F197" s="1" t="s">
        <v>2846</v>
      </c>
      <c r="G197">
        <v>-61.908503250000003</v>
      </c>
    </row>
    <row r="198" spans="5:7" x14ac:dyDescent="0.3">
      <c r="E198" t="s">
        <v>526</v>
      </c>
      <c r="F198" s="1" t="s">
        <v>2846</v>
      </c>
      <c r="G198">
        <v>-61.699999999999996</v>
      </c>
    </row>
    <row r="199" spans="5:7" x14ac:dyDescent="0.3">
      <c r="E199" t="s">
        <v>917</v>
      </c>
      <c r="F199" s="1" t="s">
        <v>2846</v>
      </c>
      <c r="G199">
        <v>-61.337500000000013</v>
      </c>
    </row>
    <row r="200" spans="5:7" x14ac:dyDescent="0.3">
      <c r="E200" t="s">
        <v>1436</v>
      </c>
      <c r="F200" s="1" t="s">
        <v>2846</v>
      </c>
      <c r="G200">
        <v>-61.072472249999997</v>
      </c>
    </row>
    <row r="201" spans="5:7" x14ac:dyDescent="0.3">
      <c r="E201" t="s">
        <v>1083</v>
      </c>
      <c r="F201" s="1" t="s">
        <v>2846</v>
      </c>
      <c r="G201">
        <v>-61.050000000000004</v>
      </c>
    </row>
    <row r="202" spans="5:7" x14ac:dyDescent="0.3">
      <c r="E202" t="s">
        <v>494</v>
      </c>
      <c r="F202" s="1" t="s">
        <v>2846</v>
      </c>
      <c r="G202">
        <v>-60.85</v>
      </c>
    </row>
    <row r="203" spans="5:7" x14ac:dyDescent="0.3">
      <c r="E203" t="s">
        <v>88</v>
      </c>
      <c r="F203" s="1" t="s">
        <v>2846</v>
      </c>
      <c r="G203">
        <v>-59.61249999999999</v>
      </c>
    </row>
    <row r="204" spans="5:7" x14ac:dyDescent="0.3">
      <c r="E204" t="s">
        <v>1126</v>
      </c>
      <c r="F204" s="1" t="s">
        <v>2846</v>
      </c>
      <c r="G204">
        <v>-59.512499999999996</v>
      </c>
    </row>
    <row r="205" spans="5:7" x14ac:dyDescent="0.3">
      <c r="E205" t="s">
        <v>2146</v>
      </c>
      <c r="F205" s="1" t="s">
        <v>2846</v>
      </c>
      <c r="G205">
        <v>-58.64961125</v>
      </c>
    </row>
    <row r="206" spans="5:7" x14ac:dyDescent="0.3">
      <c r="E206" t="s">
        <v>1887</v>
      </c>
      <c r="F206" s="1" t="s">
        <v>2846</v>
      </c>
      <c r="G206">
        <v>-58.085190749999988</v>
      </c>
    </row>
    <row r="207" spans="5:7" x14ac:dyDescent="0.3">
      <c r="E207" t="s">
        <v>2444</v>
      </c>
      <c r="F207" s="1" t="s">
        <v>2846</v>
      </c>
      <c r="G207">
        <v>-57.789373875000003</v>
      </c>
    </row>
    <row r="208" spans="5:7" x14ac:dyDescent="0.3">
      <c r="E208" t="s">
        <v>317</v>
      </c>
      <c r="F208" s="1" t="s">
        <v>2846</v>
      </c>
      <c r="G208">
        <v>-57.312499999999993</v>
      </c>
    </row>
    <row r="209" spans="5:7" x14ac:dyDescent="0.3">
      <c r="E209" t="s">
        <v>1078</v>
      </c>
      <c r="F209" s="1" t="s">
        <v>2846</v>
      </c>
      <c r="G209">
        <v>-56.837499999999999</v>
      </c>
    </row>
    <row r="210" spans="5:7" x14ac:dyDescent="0.3">
      <c r="E210" t="s">
        <v>686</v>
      </c>
      <c r="F210" s="1" t="s">
        <v>2846</v>
      </c>
      <c r="G210">
        <v>-56.79999999999999</v>
      </c>
    </row>
    <row r="211" spans="5:7" x14ac:dyDescent="0.3">
      <c r="E211" t="s">
        <v>1336</v>
      </c>
      <c r="F211" s="1" t="s">
        <v>2846</v>
      </c>
      <c r="G211">
        <v>-56.400000000000013</v>
      </c>
    </row>
    <row r="212" spans="5:7" x14ac:dyDescent="0.3">
      <c r="E212" t="s">
        <v>690</v>
      </c>
      <c r="F212" s="1" t="s">
        <v>2846</v>
      </c>
      <c r="G212">
        <v>-55.837499999999999</v>
      </c>
    </row>
    <row r="213" spans="5:7" x14ac:dyDescent="0.3">
      <c r="E213" t="s">
        <v>1070</v>
      </c>
      <c r="F213" s="1" t="s">
        <v>2846</v>
      </c>
      <c r="G213">
        <v>-55.787500000000001</v>
      </c>
    </row>
    <row r="214" spans="5:7" x14ac:dyDescent="0.3">
      <c r="E214" t="s">
        <v>1055</v>
      </c>
      <c r="F214" s="1" t="s">
        <v>2846</v>
      </c>
      <c r="G214">
        <v>-55.749999999999993</v>
      </c>
    </row>
    <row r="215" spans="5:7" x14ac:dyDescent="0.3">
      <c r="E215" t="s">
        <v>2507</v>
      </c>
      <c r="F215" s="1" t="s">
        <v>2846</v>
      </c>
      <c r="G215">
        <v>-55.556027750000005</v>
      </c>
    </row>
    <row r="216" spans="5:7" x14ac:dyDescent="0.3">
      <c r="E216" t="s">
        <v>924</v>
      </c>
      <c r="F216" s="1" t="s">
        <v>2846</v>
      </c>
      <c r="G216">
        <v>-55.387499999999996</v>
      </c>
    </row>
    <row r="217" spans="5:7" x14ac:dyDescent="0.3">
      <c r="E217" t="s">
        <v>474</v>
      </c>
      <c r="F217" s="1" t="s">
        <v>2846</v>
      </c>
      <c r="G217">
        <v>-55.29999999999999</v>
      </c>
    </row>
    <row r="218" spans="5:7" x14ac:dyDescent="0.3">
      <c r="E218" t="s">
        <v>1004</v>
      </c>
      <c r="F218" s="1" t="s">
        <v>2846</v>
      </c>
      <c r="G218">
        <v>-55.037500000000001</v>
      </c>
    </row>
    <row r="219" spans="5:7" x14ac:dyDescent="0.3">
      <c r="E219" t="s">
        <v>1128</v>
      </c>
      <c r="F219" s="1" t="s">
        <v>2846</v>
      </c>
      <c r="G219">
        <v>-54.225000000000001</v>
      </c>
    </row>
    <row r="220" spans="5:7" x14ac:dyDescent="0.3">
      <c r="E220" t="s">
        <v>550</v>
      </c>
      <c r="F220" s="1" t="s">
        <v>2846</v>
      </c>
      <c r="G220">
        <v>-53.962499999999999</v>
      </c>
    </row>
    <row r="221" spans="5:7" x14ac:dyDescent="0.3">
      <c r="E221" t="s">
        <v>2084</v>
      </c>
      <c r="F221" s="1" t="s">
        <v>2846</v>
      </c>
      <c r="G221">
        <v>-53.143600250000013</v>
      </c>
    </row>
    <row r="222" spans="5:7" x14ac:dyDescent="0.3">
      <c r="E222" t="s">
        <v>534</v>
      </c>
      <c r="F222" s="1" t="s">
        <v>2846</v>
      </c>
      <c r="G222">
        <v>-52.675000000000004</v>
      </c>
    </row>
    <row r="223" spans="5:7" x14ac:dyDescent="0.3">
      <c r="E223" t="s">
        <v>202</v>
      </c>
      <c r="F223" s="1" t="s">
        <v>2846</v>
      </c>
      <c r="G223">
        <v>-52.550000000000004</v>
      </c>
    </row>
    <row r="224" spans="5:7" x14ac:dyDescent="0.3">
      <c r="E224" t="s">
        <v>2442</v>
      </c>
      <c r="F224" s="1" t="s">
        <v>2846</v>
      </c>
      <c r="G224">
        <v>-51.81850475000001</v>
      </c>
    </row>
    <row r="225" spans="5:7" x14ac:dyDescent="0.3">
      <c r="E225" t="s">
        <v>2086</v>
      </c>
      <c r="F225" s="1" t="s">
        <v>2846</v>
      </c>
      <c r="G225">
        <v>-51.664608750000006</v>
      </c>
    </row>
    <row r="226" spans="5:7" x14ac:dyDescent="0.3">
      <c r="E226" t="s">
        <v>145</v>
      </c>
      <c r="F226" s="1" t="s">
        <v>2846</v>
      </c>
      <c r="G226">
        <v>-51.387499999999996</v>
      </c>
    </row>
    <row r="227" spans="5:7" x14ac:dyDescent="0.3">
      <c r="E227" t="s">
        <v>1086</v>
      </c>
      <c r="F227" s="1" t="s">
        <v>2846</v>
      </c>
      <c r="G227">
        <v>-50.88750000000001</v>
      </c>
    </row>
    <row r="228" spans="5:7" x14ac:dyDescent="0.3">
      <c r="E228" t="s">
        <v>2730</v>
      </c>
      <c r="F228" s="1" t="s">
        <v>2846</v>
      </c>
      <c r="G228">
        <v>-49.425000000000004</v>
      </c>
    </row>
    <row r="229" spans="5:7" x14ac:dyDescent="0.3">
      <c r="E229" t="s">
        <v>554</v>
      </c>
      <c r="F229" s="1" t="s">
        <v>2846</v>
      </c>
      <c r="G229">
        <v>-48.262499999999996</v>
      </c>
    </row>
    <row r="230" spans="5:7" x14ac:dyDescent="0.3">
      <c r="E230" t="s">
        <v>2160</v>
      </c>
      <c r="F230" s="1" t="s">
        <v>2846</v>
      </c>
      <c r="G230">
        <v>-47.855180749999995</v>
      </c>
    </row>
    <row r="231" spans="5:7" x14ac:dyDescent="0.3">
      <c r="E231" t="s">
        <v>2449</v>
      </c>
      <c r="F231" s="1" t="s">
        <v>2846</v>
      </c>
      <c r="G231">
        <v>-47.660550625000006</v>
      </c>
    </row>
    <row r="232" spans="5:7" x14ac:dyDescent="0.3">
      <c r="E232" t="s">
        <v>1076</v>
      </c>
      <c r="F232" s="1" t="s">
        <v>2846</v>
      </c>
      <c r="G232">
        <v>-47.512499999999996</v>
      </c>
    </row>
    <row r="233" spans="5:7" x14ac:dyDescent="0.3">
      <c r="E233" t="s">
        <v>1333</v>
      </c>
      <c r="F233" s="1" t="s">
        <v>2846</v>
      </c>
      <c r="G233">
        <v>-47.087499999999999</v>
      </c>
    </row>
    <row r="234" spans="5:7" x14ac:dyDescent="0.3">
      <c r="E234" t="s">
        <v>505</v>
      </c>
      <c r="F234" s="1" t="s">
        <v>2846</v>
      </c>
      <c r="G234">
        <v>-46.375000000000007</v>
      </c>
    </row>
    <row r="235" spans="5:7" x14ac:dyDescent="0.3">
      <c r="E235" t="s">
        <v>2162</v>
      </c>
      <c r="F235" s="1" t="s">
        <v>2846</v>
      </c>
      <c r="G235">
        <v>-45.529474499999999</v>
      </c>
    </row>
    <row r="236" spans="5:7" x14ac:dyDescent="0.3">
      <c r="E236" t="s">
        <v>1349</v>
      </c>
      <c r="F236" s="1" t="s">
        <v>2846</v>
      </c>
      <c r="G236">
        <v>-44.92499999999999</v>
      </c>
    </row>
    <row r="237" spans="5:7" x14ac:dyDescent="0.3">
      <c r="E237" t="s">
        <v>679</v>
      </c>
      <c r="F237" s="1" t="s">
        <v>2846</v>
      </c>
      <c r="G237">
        <v>-44.912500000000001</v>
      </c>
    </row>
    <row r="238" spans="5:7" x14ac:dyDescent="0.3">
      <c r="E238" t="s">
        <v>2528</v>
      </c>
      <c r="F238" s="1" t="s">
        <v>2846</v>
      </c>
      <c r="G238">
        <v>-43.776128500000006</v>
      </c>
    </row>
    <row r="239" spans="5:7" x14ac:dyDescent="0.3">
      <c r="E239" t="s">
        <v>471</v>
      </c>
      <c r="F239" s="1" t="s">
        <v>2846</v>
      </c>
      <c r="G239">
        <v>-42.925000000000004</v>
      </c>
    </row>
    <row r="240" spans="5:7" x14ac:dyDescent="0.3">
      <c r="E240" t="s">
        <v>2161</v>
      </c>
      <c r="F240" s="1" t="s">
        <v>2846</v>
      </c>
      <c r="G240">
        <v>-41.329012499999997</v>
      </c>
    </row>
    <row r="241" spans="5:7" x14ac:dyDescent="0.3">
      <c r="E241" t="s">
        <v>149</v>
      </c>
      <c r="F241" s="1" t="s">
        <v>2846</v>
      </c>
      <c r="G241">
        <v>-40.300000000000004</v>
      </c>
    </row>
    <row r="242" spans="5:7" x14ac:dyDescent="0.3">
      <c r="E242" t="s">
        <v>897</v>
      </c>
      <c r="F242" s="1" t="s">
        <v>2846</v>
      </c>
      <c r="G242">
        <v>-40.250000000000007</v>
      </c>
    </row>
    <row r="243" spans="5:7" x14ac:dyDescent="0.3">
      <c r="E243" t="s">
        <v>566</v>
      </c>
      <c r="F243" s="1" t="s">
        <v>2846</v>
      </c>
      <c r="G243">
        <v>-40.212499999999999</v>
      </c>
    </row>
    <row r="244" spans="5:7" x14ac:dyDescent="0.3">
      <c r="E244" t="s">
        <v>769</v>
      </c>
      <c r="F244" s="1" t="s">
        <v>2846</v>
      </c>
      <c r="G244">
        <v>-39.024999999999999</v>
      </c>
    </row>
    <row r="245" spans="5:7" x14ac:dyDescent="0.3">
      <c r="E245" t="s">
        <v>1904</v>
      </c>
      <c r="F245" s="1" t="s">
        <v>2846</v>
      </c>
      <c r="G245">
        <v>-38.863387499999995</v>
      </c>
    </row>
    <row r="246" spans="5:7" x14ac:dyDescent="0.3">
      <c r="E246" t="s">
        <v>1339</v>
      </c>
      <c r="F246" s="1" t="s">
        <v>2846</v>
      </c>
      <c r="G246">
        <v>-38.800000000000004</v>
      </c>
    </row>
    <row r="247" spans="5:7" x14ac:dyDescent="0.3">
      <c r="E247" t="s">
        <v>514</v>
      </c>
      <c r="F247" s="1" t="s">
        <v>2846</v>
      </c>
      <c r="G247">
        <v>-38.387499999999996</v>
      </c>
    </row>
    <row r="248" spans="5:7" x14ac:dyDescent="0.3">
      <c r="E248" t="s">
        <v>1073</v>
      </c>
      <c r="F248" s="1" t="s">
        <v>2846</v>
      </c>
      <c r="G248">
        <v>-37.712499999999999</v>
      </c>
    </row>
    <row r="249" spans="5:7" x14ac:dyDescent="0.3">
      <c r="E249" t="s">
        <v>2729</v>
      </c>
      <c r="F249" s="1" t="s">
        <v>2846</v>
      </c>
      <c r="G249">
        <v>-36.550000000000004</v>
      </c>
    </row>
    <row r="250" spans="5:7" x14ac:dyDescent="0.3">
      <c r="E250" t="s">
        <v>2138</v>
      </c>
      <c r="F250" s="1" t="s">
        <v>2846</v>
      </c>
      <c r="G250">
        <v>-35.687401000000001</v>
      </c>
    </row>
    <row r="251" spans="5:7" x14ac:dyDescent="0.3">
      <c r="E251" t="s">
        <v>568</v>
      </c>
      <c r="F251" s="1" t="s">
        <v>2846</v>
      </c>
      <c r="G251">
        <v>-34.874999999999993</v>
      </c>
    </row>
    <row r="252" spans="5:7" x14ac:dyDescent="0.3">
      <c r="E252" t="s">
        <v>491</v>
      </c>
      <c r="F252" s="1" t="s">
        <v>2846</v>
      </c>
      <c r="G252">
        <v>-34.537500000000001</v>
      </c>
    </row>
    <row r="253" spans="5:7" x14ac:dyDescent="0.3">
      <c r="E253" t="s">
        <v>277</v>
      </c>
      <c r="F253" s="1" t="s">
        <v>2846</v>
      </c>
      <c r="G253">
        <v>-34.500000000000007</v>
      </c>
    </row>
    <row r="254" spans="5:7" x14ac:dyDescent="0.3">
      <c r="E254" t="s">
        <v>2532</v>
      </c>
      <c r="F254" s="1" t="s">
        <v>2846</v>
      </c>
      <c r="G254">
        <v>-34.061771749999998</v>
      </c>
    </row>
    <row r="255" spans="5:7" x14ac:dyDescent="0.3">
      <c r="E255" t="s">
        <v>2728</v>
      </c>
      <c r="F255" s="1" t="s">
        <v>2846</v>
      </c>
      <c r="G255">
        <v>-33.824999999999996</v>
      </c>
    </row>
    <row r="256" spans="5:7" x14ac:dyDescent="0.3">
      <c r="E256" t="s">
        <v>464</v>
      </c>
      <c r="F256" s="1" t="s">
        <v>2846</v>
      </c>
      <c r="G256">
        <v>-31.15</v>
      </c>
    </row>
    <row r="257" spans="5:7" x14ac:dyDescent="0.3">
      <c r="E257" t="s">
        <v>531</v>
      </c>
      <c r="F257" s="1" t="s">
        <v>2846</v>
      </c>
      <c r="G257">
        <v>-30.825000000000003</v>
      </c>
    </row>
    <row r="258" spans="5:7" x14ac:dyDescent="0.3">
      <c r="E258" t="s">
        <v>86</v>
      </c>
      <c r="F258" s="1" t="s">
        <v>2846</v>
      </c>
      <c r="G258">
        <v>-28.300000000000004</v>
      </c>
    </row>
    <row r="259" spans="5:7" x14ac:dyDescent="0.3">
      <c r="E259" t="s">
        <v>677</v>
      </c>
      <c r="F259" s="1" t="s">
        <v>2846</v>
      </c>
      <c r="G259">
        <v>-25.212499999999999</v>
      </c>
    </row>
    <row r="260" spans="5:7" x14ac:dyDescent="0.3">
      <c r="E260" t="s">
        <v>1280</v>
      </c>
      <c r="F260" s="1" t="s">
        <v>2846</v>
      </c>
      <c r="G260">
        <v>-24.550000000000004</v>
      </c>
    </row>
    <row r="261" spans="5:7" x14ac:dyDescent="0.3">
      <c r="E261" t="s">
        <v>688</v>
      </c>
      <c r="F261" s="1" t="s">
        <v>2846</v>
      </c>
      <c r="G261">
        <v>-23.35</v>
      </c>
    </row>
    <row r="262" spans="5:7" x14ac:dyDescent="0.3">
      <c r="E262" t="s">
        <v>681</v>
      </c>
      <c r="F262" s="1" t="s">
        <v>2846</v>
      </c>
      <c r="G262">
        <v>-17.0625</v>
      </c>
    </row>
  </sheetData>
  <autoFilter ref="A1:C161" xr:uid="{00000000-0009-0000-0000-000002000000}"/>
  <sortState xmlns:xlrd2="http://schemas.microsoft.com/office/spreadsheetml/2017/richdata2" ref="A2:C163">
    <sortCondition ref="B70:B163"/>
    <sortCondition ref="A70:A163"/>
  </sortState>
  <mergeCells count="3">
    <mergeCell ref="I21:L21"/>
    <mergeCell ref="M21:P21"/>
    <mergeCell ref="I27:P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4"/>
  <sheetViews>
    <sheetView showGridLines="0" zoomScaleNormal="100" workbookViewId="0">
      <selection activeCell="H10" sqref="H10:H11"/>
    </sheetView>
  </sheetViews>
  <sheetFormatPr defaultColWidth="11.5546875" defaultRowHeight="14.4" x14ac:dyDescent="0.3"/>
  <cols>
    <col min="1" max="1" width="21.6640625" customWidth="1"/>
    <col min="2" max="2" width="21.88671875" customWidth="1"/>
    <col min="3" max="4" width="21.88671875" bestFit="1" customWidth="1"/>
    <col min="5" max="6" width="21.88671875" customWidth="1"/>
    <col min="7" max="8" width="21.88671875" bestFit="1" customWidth="1"/>
    <col min="9" max="9" width="12.6640625" customWidth="1"/>
    <col min="10" max="10" width="21.88671875" bestFit="1" customWidth="1"/>
    <col min="11" max="11" width="12.6640625" bestFit="1" customWidth="1"/>
    <col min="13" max="13" width="20.44140625" bestFit="1" customWidth="1"/>
    <col min="14" max="20" width="12.6640625" bestFit="1" customWidth="1"/>
  </cols>
  <sheetData>
    <row r="1" spans="1:26" x14ac:dyDescent="0.3">
      <c r="A1" s="8" t="s">
        <v>2713</v>
      </c>
      <c r="B1" t="s">
        <v>2756</v>
      </c>
    </row>
    <row r="2" spans="1:26" x14ac:dyDescent="0.3">
      <c r="A2" s="8" t="s">
        <v>2749</v>
      </c>
      <c r="B2" t="s">
        <v>2766</v>
      </c>
    </row>
    <row r="3" spans="1:26" x14ac:dyDescent="0.3">
      <c r="A3" s="8" t="s">
        <v>2</v>
      </c>
      <c r="B3" t="s">
        <v>2766</v>
      </c>
    </row>
    <row r="4" spans="1:26" x14ac:dyDescent="0.3">
      <c r="A4" s="8" t="s">
        <v>2714</v>
      </c>
      <c r="B4" t="s">
        <v>2715</v>
      </c>
      <c r="Y4" s="11"/>
      <c r="Z4" s="11"/>
    </row>
    <row r="5" spans="1:26" x14ac:dyDescent="0.3">
      <c r="A5" s="8" t="s">
        <v>2747</v>
      </c>
      <c r="B5" t="s">
        <v>2756</v>
      </c>
      <c r="N5" s="63"/>
      <c r="O5" s="63"/>
      <c r="P5" s="63"/>
      <c r="Q5" s="63"/>
      <c r="R5" s="63"/>
      <c r="S5" s="63"/>
      <c r="X5" s="11"/>
    </row>
    <row r="6" spans="1:26" x14ac:dyDescent="0.3">
      <c r="G6" t="s">
        <v>0</v>
      </c>
      <c r="H6" t="s">
        <v>2791</v>
      </c>
      <c r="I6" t="s">
        <v>2793</v>
      </c>
      <c r="J6" t="s">
        <v>2792</v>
      </c>
      <c r="N6" t="s">
        <v>2788</v>
      </c>
      <c r="O6" t="s">
        <v>2789</v>
      </c>
      <c r="P6" t="s">
        <v>2790</v>
      </c>
      <c r="X6" s="11"/>
    </row>
    <row r="7" spans="1:26" x14ac:dyDescent="0.3">
      <c r="A7" s="8" t="s">
        <v>2787</v>
      </c>
      <c r="B7" s="8" t="s">
        <v>2760</v>
      </c>
      <c r="C7" s="8" t="s">
        <v>2705</v>
      </c>
      <c r="G7" t="s">
        <v>88</v>
      </c>
      <c r="J7">
        <v>-59.61249999999999</v>
      </c>
      <c r="M7" t="s">
        <v>2788</v>
      </c>
      <c r="O7">
        <v>1</v>
      </c>
      <c r="P7">
        <v>4.1529999999999997E-2</v>
      </c>
    </row>
    <row r="8" spans="1:26" x14ac:dyDescent="0.3">
      <c r="B8" t="s">
        <v>2763</v>
      </c>
      <c r="C8" t="s">
        <v>2762</v>
      </c>
      <c r="D8" t="s">
        <v>2761</v>
      </c>
      <c r="G8" t="s">
        <v>102</v>
      </c>
      <c r="J8">
        <v>-61.074999999999996</v>
      </c>
      <c r="M8" t="s">
        <v>2789</v>
      </c>
      <c r="N8">
        <v>1</v>
      </c>
      <c r="P8" s="11">
        <v>6.2420000000000001E-13</v>
      </c>
    </row>
    <row r="9" spans="1:26" x14ac:dyDescent="0.3">
      <c r="A9" s="8" t="s">
        <v>0</v>
      </c>
      <c r="B9" t="s">
        <v>2696</v>
      </c>
      <c r="C9" t="s">
        <v>2695</v>
      </c>
      <c r="D9" t="s">
        <v>2695</v>
      </c>
      <c r="G9" t="s">
        <v>135</v>
      </c>
      <c r="J9">
        <v>-57.42499999999999</v>
      </c>
      <c r="M9" t="s">
        <v>2790</v>
      </c>
      <c r="N9">
        <v>4.1529999999999997E-2</v>
      </c>
      <c r="O9" s="11">
        <v>6.2420000000000001E-13</v>
      </c>
    </row>
    <row r="10" spans="1:26" x14ac:dyDescent="0.3">
      <c r="A10" t="s">
        <v>88</v>
      </c>
      <c r="D10">
        <v>-59.61249999999999</v>
      </c>
      <c r="G10" t="s">
        <v>145</v>
      </c>
      <c r="J10">
        <v>-51.387499999999996</v>
      </c>
    </row>
    <row r="11" spans="1:26" x14ac:dyDescent="0.3">
      <c r="A11" t="s">
        <v>102</v>
      </c>
      <c r="D11">
        <v>-61.074999999999996</v>
      </c>
      <c r="G11" t="s">
        <v>149</v>
      </c>
      <c r="J11">
        <v>-40.300000000000004</v>
      </c>
      <c r="N11" t="s">
        <v>2788</v>
      </c>
      <c r="O11" t="s">
        <v>2789</v>
      </c>
      <c r="P11" t="s">
        <v>2790</v>
      </c>
    </row>
    <row r="12" spans="1:26" x14ac:dyDescent="0.3">
      <c r="A12" t="s">
        <v>135</v>
      </c>
      <c r="D12">
        <v>-57.42499999999999</v>
      </c>
      <c r="G12" t="s">
        <v>191</v>
      </c>
      <c r="J12">
        <v>-62.312499999999993</v>
      </c>
      <c r="M12" t="s">
        <v>2788</v>
      </c>
      <c r="O12">
        <v>403</v>
      </c>
      <c r="P12">
        <v>1763</v>
      </c>
    </row>
    <row r="13" spans="1:26" x14ac:dyDescent="0.3">
      <c r="A13" t="s">
        <v>145</v>
      </c>
      <c r="D13">
        <v>-51.387499999999996</v>
      </c>
      <c r="G13" t="s">
        <v>195</v>
      </c>
      <c r="J13">
        <v>-63.587500000000013</v>
      </c>
      <c r="M13" t="s">
        <v>2789</v>
      </c>
      <c r="N13">
        <v>403</v>
      </c>
      <c r="P13">
        <v>16120</v>
      </c>
    </row>
    <row r="14" spans="1:26" x14ac:dyDescent="0.3">
      <c r="A14" t="s">
        <v>149</v>
      </c>
      <c r="D14">
        <v>-40.300000000000004</v>
      </c>
      <c r="G14" t="s">
        <v>197</v>
      </c>
      <c r="J14">
        <v>-63.487500000000004</v>
      </c>
      <c r="M14" t="s">
        <v>2790</v>
      </c>
      <c r="N14">
        <v>1763</v>
      </c>
      <c r="O14" s="11">
        <v>16120</v>
      </c>
    </row>
    <row r="15" spans="1:26" x14ac:dyDescent="0.3">
      <c r="A15" t="s">
        <v>191</v>
      </c>
      <c r="D15">
        <v>-62.312499999999993</v>
      </c>
      <c r="G15" t="s">
        <v>202</v>
      </c>
      <c r="J15">
        <v>-52.550000000000004</v>
      </c>
    </row>
    <row r="16" spans="1:26" x14ac:dyDescent="0.3">
      <c r="A16" t="s">
        <v>195</v>
      </c>
      <c r="D16">
        <v>-63.587500000000013</v>
      </c>
      <c r="G16" t="s">
        <v>260</v>
      </c>
      <c r="J16">
        <v>-64.275000000000006</v>
      </c>
    </row>
    <row r="17" spans="1:10" x14ac:dyDescent="0.3">
      <c r="A17" t="s">
        <v>197</v>
      </c>
      <c r="D17">
        <v>-63.487500000000004</v>
      </c>
      <c r="G17" t="s">
        <v>262</v>
      </c>
      <c r="J17">
        <v>-62.125000000000007</v>
      </c>
    </row>
    <row r="18" spans="1:10" x14ac:dyDescent="0.3">
      <c r="A18" t="s">
        <v>202</v>
      </c>
      <c r="D18">
        <v>-52.550000000000004</v>
      </c>
      <c r="G18" t="s">
        <v>270</v>
      </c>
      <c r="J18">
        <v>-53.612500000000004</v>
      </c>
    </row>
    <row r="19" spans="1:10" x14ac:dyDescent="0.3">
      <c r="A19" t="s">
        <v>260</v>
      </c>
      <c r="D19">
        <v>-64.275000000000006</v>
      </c>
      <c r="G19" t="s">
        <v>273</v>
      </c>
      <c r="J19">
        <v>-61.037500000000001</v>
      </c>
    </row>
    <row r="20" spans="1:10" x14ac:dyDescent="0.3">
      <c r="A20" t="s">
        <v>262</v>
      </c>
      <c r="D20">
        <v>-62.125000000000007</v>
      </c>
      <c r="G20" t="s">
        <v>288</v>
      </c>
      <c r="J20">
        <v>-47.462499999999999</v>
      </c>
    </row>
    <row r="21" spans="1:10" x14ac:dyDescent="0.3">
      <c r="A21" t="s">
        <v>270</v>
      </c>
      <c r="D21">
        <v>-53.612500000000004</v>
      </c>
      <c r="G21" t="s">
        <v>304</v>
      </c>
      <c r="J21">
        <v>-62.6</v>
      </c>
    </row>
    <row r="22" spans="1:10" x14ac:dyDescent="0.3">
      <c r="A22" t="s">
        <v>273</v>
      </c>
      <c r="D22">
        <v>-61.037500000000001</v>
      </c>
      <c r="G22" t="s">
        <v>317</v>
      </c>
      <c r="J22">
        <v>-57.312499999999993</v>
      </c>
    </row>
    <row r="23" spans="1:10" x14ac:dyDescent="0.3">
      <c r="A23" t="s">
        <v>288</v>
      </c>
      <c r="D23">
        <v>-47.462499999999999</v>
      </c>
      <c r="G23" t="s">
        <v>471</v>
      </c>
      <c r="J23">
        <v>-42.925000000000004</v>
      </c>
    </row>
    <row r="24" spans="1:10" x14ac:dyDescent="0.3">
      <c r="A24" t="s">
        <v>304</v>
      </c>
      <c r="D24">
        <v>-62.6</v>
      </c>
      <c r="G24" t="s">
        <v>474</v>
      </c>
      <c r="J24">
        <v>-55.29999999999999</v>
      </c>
    </row>
    <row r="25" spans="1:10" x14ac:dyDescent="0.3">
      <c r="A25" t="s">
        <v>317</v>
      </c>
      <c r="D25">
        <v>-57.312499999999993</v>
      </c>
      <c r="G25" t="s">
        <v>477</v>
      </c>
      <c r="J25">
        <v>-62.79999999999999</v>
      </c>
    </row>
    <row r="26" spans="1:10" x14ac:dyDescent="0.3">
      <c r="A26" t="s">
        <v>471</v>
      </c>
      <c r="D26">
        <v>-42.925000000000004</v>
      </c>
      <c r="G26" t="s">
        <v>489</v>
      </c>
      <c r="J26">
        <v>-61.937499999999993</v>
      </c>
    </row>
    <row r="27" spans="1:10" x14ac:dyDescent="0.3">
      <c r="A27" t="s">
        <v>474</v>
      </c>
      <c r="D27">
        <v>-55.29999999999999</v>
      </c>
      <c r="G27" t="s">
        <v>494</v>
      </c>
      <c r="J27">
        <v>-60.85</v>
      </c>
    </row>
    <row r="28" spans="1:10" x14ac:dyDescent="0.3">
      <c r="A28" t="s">
        <v>477</v>
      </c>
      <c r="D28">
        <v>-62.79999999999999</v>
      </c>
      <c r="G28" t="s">
        <v>2729</v>
      </c>
      <c r="J28">
        <v>-36.550000000000004</v>
      </c>
    </row>
    <row r="29" spans="1:10" x14ac:dyDescent="0.3">
      <c r="A29" t="s">
        <v>489</v>
      </c>
      <c r="D29">
        <v>-61.937499999999993</v>
      </c>
      <c r="G29" t="s">
        <v>2730</v>
      </c>
      <c r="J29">
        <v>-49.425000000000004</v>
      </c>
    </row>
    <row r="30" spans="1:10" x14ac:dyDescent="0.3">
      <c r="A30" t="s">
        <v>494</v>
      </c>
      <c r="D30">
        <v>-60.85</v>
      </c>
      <c r="G30" t="s">
        <v>505</v>
      </c>
      <c r="J30">
        <v>-46.375000000000007</v>
      </c>
    </row>
    <row r="31" spans="1:10" x14ac:dyDescent="0.3">
      <c r="A31" t="s">
        <v>2729</v>
      </c>
      <c r="D31">
        <v>-36.550000000000004</v>
      </c>
      <c r="G31" t="s">
        <v>514</v>
      </c>
      <c r="J31">
        <v>-38.387499999999996</v>
      </c>
    </row>
    <row r="32" spans="1:10" x14ac:dyDescent="0.3">
      <c r="A32" t="s">
        <v>2730</v>
      </c>
      <c r="D32">
        <v>-49.425000000000004</v>
      </c>
      <c r="G32" t="s">
        <v>526</v>
      </c>
      <c r="J32">
        <v>-61.699999999999996</v>
      </c>
    </row>
    <row r="33" spans="1:10" x14ac:dyDescent="0.3">
      <c r="A33" t="s">
        <v>505</v>
      </c>
      <c r="D33">
        <v>-46.375000000000007</v>
      </c>
      <c r="G33" t="s">
        <v>534</v>
      </c>
      <c r="J33">
        <v>-52.675000000000004</v>
      </c>
    </row>
    <row r="34" spans="1:10" x14ac:dyDescent="0.3">
      <c r="A34" t="s">
        <v>514</v>
      </c>
      <c r="D34">
        <v>-38.387499999999996</v>
      </c>
      <c r="G34" t="s">
        <v>550</v>
      </c>
      <c r="J34">
        <v>-53.962499999999999</v>
      </c>
    </row>
    <row r="35" spans="1:10" x14ac:dyDescent="0.3">
      <c r="A35" t="s">
        <v>526</v>
      </c>
      <c r="D35">
        <v>-61.699999999999996</v>
      </c>
      <c r="G35" t="s">
        <v>554</v>
      </c>
      <c r="J35">
        <v>-48.262499999999996</v>
      </c>
    </row>
    <row r="36" spans="1:10" x14ac:dyDescent="0.3">
      <c r="A36" t="s">
        <v>534</v>
      </c>
      <c r="D36">
        <v>-52.675000000000004</v>
      </c>
      <c r="G36" t="s">
        <v>556</v>
      </c>
      <c r="J36">
        <v>-63.462499999999999</v>
      </c>
    </row>
    <row r="37" spans="1:10" x14ac:dyDescent="0.3">
      <c r="A37" t="s">
        <v>550</v>
      </c>
      <c r="D37">
        <v>-53.962499999999999</v>
      </c>
      <c r="G37" t="s">
        <v>566</v>
      </c>
      <c r="J37">
        <v>-40.212499999999999</v>
      </c>
    </row>
    <row r="38" spans="1:10" x14ac:dyDescent="0.3">
      <c r="A38" t="s">
        <v>554</v>
      </c>
      <c r="D38">
        <v>-48.262499999999996</v>
      </c>
      <c r="G38" t="s">
        <v>607</v>
      </c>
      <c r="J38">
        <v>-62.11249999999999</v>
      </c>
    </row>
    <row r="39" spans="1:10" x14ac:dyDescent="0.3">
      <c r="A39" t="s">
        <v>556</v>
      </c>
      <c r="D39">
        <v>-63.462499999999999</v>
      </c>
      <c r="G39" t="s">
        <v>629</v>
      </c>
      <c r="J39">
        <v>-59.449999999999996</v>
      </c>
    </row>
    <row r="40" spans="1:10" x14ac:dyDescent="0.3">
      <c r="A40" t="s">
        <v>566</v>
      </c>
      <c r="D40">
        <v>-40.212499999999999</v>
      </c>
      <c r="G40" t="s">
        <v>632</v>
      </c>
      <c r="J40">
        <v>-62.975000000000001</v>
      </c>
    </row>
    <row r="41" spans="1:10" x14ac:dyDescent="0.3">
      <c r="A41" t="s">
        <v>607</v>
      </c>
      <c r="D41">
        <v>-62.11249999999999</v>
      </c>
      <c r="G41" t="s">
        <v>648</v>
      </c>
      <c r="J41">
        <v>-60.23749999999999</v>
      </c>
    </row>
    <row r="42" spans="1:10" x14ac:dyDescent="0.3">
      <c r="A42" t="s">
        <v>629</v>
      </c>
      <c r="D42">
        <v>-59.449999999999996</v>
      </c>
      <c r="G42" t="s">
        <v>655</v>
      </c>
      <c r="J42">
        <v>-43.687500000000007</v>
      </c>
    </row>
    <row r="43" spans="1:10" x14ac:dyDescent="0.3">
      <c r="A43" t="s">
        <v>632</v>
      </c>
      <c r="D43">
        <v>-62.975000000000001</v>
      </c>
      <c r="G43" t="s">
        <v>659</v>
      </c>
      <c r="J43">
        <v>-43.63750000000001</v>
      </c>
    </row>
    <row r="44" spans="1:10" x14ac:dyDescent="0.3">
      <c r="A44" t="s">
        <v>648</v>
      </c>
      <c r="D44">
        <v>-60.23749999999999</v>
      </c>
      <c r="G44" t="s">
        <v>660</v>
      </c>
      <c r="J44">
        <v>-62.612500000000004</v>
      </c>
    </row>
    <row r="45" spans="1:10" x14ac:dyDescent="0.3">
      <c r="A45" t="s">
        <v>655</v>
      </c>
      <c r="D45">
        <v>-43.687500000000007</v>
      </c>
      <c r="G45" t="s">
        <v>662</v>
      </c>
      <c r="J45">
        <v>-49.449999999999996</v>
      </c>
    </row>
    <row r="46" spans="1:10" x14ac:dyDescent="0.3">
      <c r="A46" t="s">
        <v>659</v>
      </c>
      <c r="D46">
        <v>-43.63750000000001</v>
      </c>
      <c r="G46" t="s">
        <v>663</v>
      </c>
      <c r="J46">
        <v>-55.95000000000001</v>
      </c>
    </row>
    <row r="47" spans="1:10" x14ac:dyDescent="0.3">
      <c r="A47" t="s">
        <v>660</v>
      </c>
      <c r="D47">
        <v>-62.612500000000004</v>
      </c>
      <c r="G47" t="s">
        <v>666</v>
      </c>
      <c r="J47">
        <v>-63.774999999999999</v>
      </c>
    </row>
    <row r="48" spans="1:10" x14ac:dyDescent="0.3">
      <c r="A48" t="s">
        <v>662</v>
      </c>
      <c r="D48">
        <v>-49.449999999999996</v>
      </c>
      <c r="G48" t="s">
        <v>669</v>
      </c>
      <c r="J48">
        <v>-44.525000000000013</v>
      </c>
    </row>
    <row r="49" spans="1:10" x14ac:dyDescent="0.3">
      <c r="A49" t="s">
        <v>663</v>
      </c>
      <c r="D49">
        <v>-55.95000000000001</v>
      </c>
      <c r="G49" t="s">
        <v>679</v>
      </c>
      <c r="J49">
        <v>-44.912500000000001</v>
      </c>
    </row>
    <row r="50" spans="1:10" x14ac:dyDescent="0.3">
      <c r="A50" t="s">
        <v>666</v>
      </c>
      <c r="D50">
        <v>-63.774999999999999</v>
      </c>
      <c r="G50" t="s">
        <v>686</v>
      </c>
      <c r="J50">
        <v>-56.79999999999999</v>
      </c>
    </row>
    <row r="51" spans="1:10" x14ac:dyDescent="0.3">
      <c r="A51" t="s">
        <v>669</v>
      </c>
      <c r="D51">
        <v>-44.525000000000013</v>
      </c>
      <c r="G51" t="s">
        <v>690</v>
      </c>
      <c r="J51">
        <v>-55.837499999999999</v>
      </c>
    </row>
    <row r="52" spans="1:10" x14ac:dyDescent="0.3">
      <c r="A52" t="s">
        <v>679</v>
      </c>
      <c r="D52">
        <v>-44.912500000000001</v>
      </c>
      <c r="G52" t="s">
        <v>692</v>
      </c>
      <c r="J52">
        <v>-35.162500000000001</v>
      </c>
    </row>
    <row r="53" spans="1:10" x14ac:dyDescent="0.3">
      <c r="A53" t="s">
        <v>686</v>
      </c>
      <c r="D53">
        <v>-56.79999999999999</v>
      </c>
      <c r="G53" t="s">
        <v>696</v>
      </c>
      <c r="J53">
        <v>-48.512499999999996</v>
      </c>
    </row>
    <row r="54" spans="1:10" x14ac:dyDescent="0.3">
      <c r="A54" t="s">
        <v>690</v>
      </c>
      <c r="D54">
        <v>-55.837499999999999</v>
      </c>
      <c r="G54" t="s">
        <v>702</v>
      </c>
      <c r="J54">
        <v>-43.437500000000007</v>
      </c>
    </row>
    <row r="55" spans="1:10" x14ac:dyDescent="0.3">
      <c r="A55" t="s">
        <v>692</v>
      </c>
      <c r="D55">
        <v>-35.162500000000001</v>
      </c>
      <c r="G55" t="s">
        <v>710</v>
      </c>
      <c r="J55">
        <v>-64.962500000000006</v>
      </c>
    </row>
    <row r="56" spans="1:10" x14ac:dyDescent="0.3">
      <c r="A56" t="s">
        <v>696</v>
      </c>
      <c r="D56">
        <v>-48.512499999999996</v>
      </c>
      <c r="G56" t="s">
        <v>714</v>
      </c>
      <c r="J56">
        <v>-59.512499999999996</v>
      </c>
    </row>
    <row r="57" spans="1:10" x14ac:dyDescent="0.3">
      <c r="A57" t="s">
        <v>702</v>
      </c>
      <c r="D57">
        <v>-43.437500000000007</v>
      </c>
      <c r="G57" t="s">
        <v>718</v>
      </c>
      <c r="J57">
        <v>-60.212499999999999</v>
      </c>
    </row>
    <row r="58" spans="1:10" x14ac:dyDescent="0.3">
      <c r="A58" t="s">
        <v>710</v>
      </c>
      <c r="D58">
        <v>-64.962500000000006</v>
      </c>
      <c r="G58" t="s">
        <v>741</v>
      </c>
      <c r="J58">
        <v>-45.487500000000004</v>
      </c>
    </row>
    <row r="59" spans="1:10" x14ac:dyDescent="0.3">
      <c r="A59" t="s">
        <v>714</v>
      </c>
      <c r="D59">
        <v>-59.512499999999996</v>
      </c>
      <c r="G59" t="s">
        <v>754</v>
      </c>
      <c r="J59">
        <v>-56.35</v>
      </c>
    </row>
    <row r="60" spans="1:10" x14ac:dyDescent="0.3">
      <c r="A60" t="s">
        <v>718</v>
      </c>
      <c r="D60">
        <v>-60.212499999999999</v>
      </c>
      <c r="G60" t="s">
        <v>756</v>
      </c>
      <c r="J60">
        <v>-60.57500000000001</v>
      </c>
    </row>
    <row r="61" spans="1:10" x14ac:dyDescent="0.3">
      <c r="A61" t="s">
        <v>741</v>
      </c>
      <c r="D61">
        <v>-45.487500000000004</v>
      </c>
      <c r="G61" t="s">
        <v>769</v>
      </c>
      <c r="J61">
        <v>-39.024999999999999</v>
      </c>
    </row>
    <row r="62" spans="1:10" x14ac:dyDescent="0.3">
      <c r="A62" t="s">
        <v>754</v>
      </c>
      <c r="D62">
        <v>-56.35</v>
      </c>
      <c r="G62" t="s">
        <v>782</v>
      </c>
      <c r="J62">
        <v>-57.524999999999999</v>
      </c>
    </row>
    <row r="63" spans="1:10" x14ac:dyDescent="0.3">
      <c r="A63" t="s">
        <v>756</v>
      </c>
      <c r="D63">
        <v>-60.57500000000001</v>
      </c>
      <c r="G63" t="s">
        <v>817</v>
      </c>
      <c r="J63">
        <v>-63.375000000000007</v>
      </c>
    </row>
    <row r="64" spans="1:10" x14ac:dyDescent="0.3">
      <c r="A64" t="s">
        <v>769</v>
      </c>
      <c r="D64">
        <v>-39.024999999999999</v>
      </c>
      <c r="G64" t="s">
        <v>821</v>
      </c>
      <c r="J64">
        <v>-52.524999999999999</v>
      </c>
    </row>
    <row r="65" spans="1:10" x14ac:dyDescent="0.3">
      <c r="A65" t="s">
        <v>782</v>
      </c>
      <c r="D65">
        <v>-57.524999999999999</v>
      </c>
      <c r="G65" t="s">
        <v>830</v>
      </c>
      <c r="J65">
        <v>-64.637500000000017</v>
      </c>
    </row>
    <row r="66" spans="1:10" x14ac:dyDescent="0.3">
      <c r="A66" t="s">
        <v>817</v>
      </c>
      <c r="D66">
        <v>-63.375000000000007</v>
      </c>
      <c r="G66" t="s">
        <v>831</v>
      </c>
      <c r="J66">
        <v>-60.274999999999999</v>
      </c>
    </row>
    <row r="67" spans="1:10" x14ac:dyDescent="0.3">
      <c r="A67" t="s">
        <v>821</v>
      </c>
      <c r="D67">
        <v>-52.524999999999999</v>
      </c>
      <c r="G67" t="s">
        <v>861</v>
      </c>
      <c r="J67">
        <v>-46.949999999999996</v>
      </c>
    </row>
    <row r="68" spans="1:10" x14ac:dyDescent="0.3">
      <c r="A68" t="s">
        <v>830</v>
      </c>
      <c r="D68">
        <v>-64.637500000000017</v>
      </c>
      <c r="G68" t="s">
        <v>865</v>
      </c>
      <c r="J68">
        <v>-37.287500000000001</v>
      </c>
    </row>
    <row r="69" spans="1:10" x14ac:dyDescent="0.3">
      <c r="A69" t="s">
        <v>831</v>
      </c>
      <c r="D69">
        <v>-60.274999999999999</v>
      </c>
      <c r="G69" t="s">
        <v>874</v>
      </c>
      <c r="J69">
        <v>-64.737500000000011</v>
      </c>
    </row>
    <row r="70" spans="1:10" x14ac:dyDescent="0.3">
      <c r="A70" t="s">
        <v>861</v>
      </c>
      <c r="D70">
        <v>-46.949999999999996</v>
      </c>
      <c r="G70" t="s">
        <v>891</v>
      </c>
      <c r="J70">
        <v>-60.199999999999996</v>
      </c>
    </row>
    <row r="71" spans="1:10" x14ac:dyDescent="0.3">
      <c r="A71" t="s">
        <v>865</v>
      </c>
      <c r="D71">
        <v>-37.287500000000001</v>
      </c>
      <c r="G71" t="s">
        <v>897</v>
      </c>
      <c r="J71">
        <v>-40.250000000000007</v>
      </c>
    </row>
    <row r="72" spans="1:10" x14ac:dyDescent="0.3">
      <c r="A72" t="s">
        <v>874</v>
      </c>
      <c r="D72">
        <v>-64.737500000000011</v>
      </c>
      <c r="G72" t="s">
        <v>905</v>
      </c>
      <c r="J72">
        <v>-52.687500000000007</v>
      </c>
    </row>
    <row r="73" spans="1:10" x14ac:dyDescent="0.3">
      <c r="A73" t="s">
        <v>891</v>
      </c>
      <c r="D73">
        <v>-60.199999999999996</v>
      </c>
      <c r="G73" t="s">
        <v>907</v>
      </c>
      <c r="J73">
        <v>-61.987500000000004</v>
      </c>
    </row>
    <row r="74" spans="1:10" x14ac:dyDescent="0.3">
      <c r="A74" t="s">
        <v>897</v>
      </c>
      <c r="D74">
        <v>-40.250000000000007</v>
      </c>
      <c r="G74" t="s">
        <v>917</v>
      </c>
      <c r="J74">
        <v>-61.337500000000013</v>
      </c>
    </row>
    <row r="75" spans="1:10" x14ac:dyDescent="0.3">
      <c r="A75" t="s">
        <v>905</v>
      </c>
      <c r="D75">
        <v>-52.687500000000007</v>
      </c>
      <c r="G75" t="s">
        <v>924</v>
      </c>
      <c r="J75">
        <v>-55.387499999999996</v>
      </c>
    </row>
    <row r="76" spans="1:10" x14ac:dyDescent="0.3">
      <c r="A76" t="s">
        <v>907</v>
      </c>
      <c r="D76">
        <v>-61.987500000000004</v>
      </c>
      <c r="G76" t="s">
        <v>929</v>
      </c>
      <c r="J76">
        <v>-55.587499999999999</v>
      </c>
    </row>
    <row r="77" spans="1:10" x14ac:dyDescent="0.3">
      <c r="A77" t="s">
        <v>917</v>
      </c>
      <c r="D77">
        <v>-61.337500000000013</v>
      </c>
      <c r="G77" t="s">
        <v>933</v>
      </c>
      <c r="J77">
        <v>-62.687500000000007</v>
      </c>
    </row>
    <row r="78" spans="1:10" x14ac:dyDescent="0.3">
      <c r="A78" t="s">
        <v>924</v>
      </c>
      <c r="D78">
        <v>-55.387499999999996</v>
      </c>
      <c r="G78" t="s">
        <v>952</v>
      </c>
      <c r="J78">
        <v>-64.912499999999994</v>
      </c>
    </row>
    <row r="79" spans="1:10" x14ac:dyDescent="0.3">
      <c r="A79" t="s">
        <v>929</v>
      </c>
      <c r="D79">
        <v>-55.587499999999999</v>
      </c>
      <c r="G79" t="s">
        <v>961</v>
      </c>
      <c r="J79">
        <v>-44.525000000000013</v>
      </c>
    </row>
    <row r="80" spans="1:10" x14ac:dyDescent="0.3">
      <c r="A80" t="s">
        <v>933</v>
      </c>
      <c r="D80">
        <v>-62.687500000000007</v>
      </c>
      <c r="G80" t="s">
        <v>964</v>
      </c>
      <c r="J80">
        <v>-63.975000000000001</v>
      </c>
    </row>
    <row r="81" spans="1:10" x14ac:dyDescent="0.3">
      <c r="A81" t="s">
        <v>952</v>
      </c>
      <c r="D81">
        <v>-64.912499999999994</v>
      </c>
      <c r="G81" t="s">
        <v>966</v>
      </c>
      <c r="J81">
        <v>-45.65</v>
      </c>
    </row>
    <row r="82" spans="1:10" x14ac:dyDescent="0.3">
      <c r="A82" t="s">
        <v>961</v>
      </c>
      <c r="D82">
        <v>-44.525000000000013</v>
      </c>
      <c r="G82" t="s">
        <v>972</v>
      </c>
      <c r="J82">
        <v>-44.500000000000007</v>
      </c>
    </row>
    <row r="83" spans="1:10" x14ac:dyDescent="0.3">
      <c r="A83" t="s">
        <v>964</v>
      </c>
      <c r="D83">
        <v>-63.975000000000001</v>
      </c>
      <c r="G83" t="s">
        <v>983</v>
      </c>
      <c r="J83">
        <v>-60.912500000000001</v>
      </c>
    </row>
    <row r="84" spans="1:10" x14ac:dyDescent="0.3">
      <c r="A84" t="s">
        <v>966</v>
      </c>
      <c r="D84">
        <v>-45.65</v>
      </c>
      <c r="G84" t="s">
        <v>988</v>
      </c>
      <c r="J84">
        <v>-54.32500000000001</v>
      </c>
    </row>
    <row r="85" spans="1:10" x14ac:dyDescent="0.3">
      <c r="A85" t="s">
        <v>972</v>
      </c>
      <c r="D85">
        <v>-44.500000000000007</v>
      </c>
      <c r="G85" t="s">
        <v>989</v>
      </c>
      <c r="J85">
        <v>-61.9</v>
      </c>
    </row>
    <row r="86" spans="1:10" x14ac:dyDescent="0.3">
      <c r="A86" t="s">
        <v>983</v>
      </c>
      <c r="D86">
        <v>-60.912500000000001</v>
      </c>
      <c r="G86" t="s">
        <v>991</v>
      </c>
      <c r="J86">
        <v>-63.1</v>
      </c>
    </row>
    <row r="87" spans="1:10" x14ac:dyDescent="0.3">
      <c r="A87" t="s">
        <v>988</v>
      </c>
      <c r="D87">
        <v>-54.32500000000001</v>
      </c>
      <c r="G87" t="s">
        <v>1004</v>
      </c>
      <c r="J87">
        <v>-55.037500000000001</v>
      </c>
    </row>
    <row r="88" spans="1:10" x14ac:dyDescent="0.3">
      <c r="A88" t="s">
        <v>989</v>
      </c>
      <c r="D88">
        <v>-61.9</v>
      </c>
      <c r="G88" t="s">
        <v>1009</v>
      </c>
      <c r="H88">
        <v>-52.218000000000025</v>
      </c>
    </row>
    <row r="89" spans="1:10" x14ac:dyDescent="0.3">
      <c r="A89" t="s">
        <v>991</v>
      </c>
      <c r="D89">
        <v>-63.1</v>
      </c>
      <c r="G89" t="s">
        <v>1015</v>
      </c>
      <c r="H89">
        <v>-63.888749999999995</v>
      </c>
    </row>
    <row r="90" spans="1:10" x14ac:dyDescent="0.3">
      <c r="A90" t="s">
        <v>1004</v>
      </c>
      <c r="D90">
        <v>-55.037500000000001</v>
      </c>
      <c r="G90" t="s">
        <v>1018</v>
      </c>
      <c r="H90">
        <v>-55.562250000000013</v>
      </c>
    </row>
    <row r="91" spans="1:10" x14ac:dyDescent="0.3">
      <c r="A91" t="s">
        <v>1009</v>
      </c>
      <c r="B91">
        <v>-52.218000000000025</v>
      </c>
      <c r="G91" t="s">
        <v>1022</v>
      </c>
      <c r="H91">
        <v>-61.238374999999998</v>
      </c>
    </row>
    <row r="92" spans="1:10" x14ac:dyDescent="0.3">
      <c r="A92" t="s">
        <v>1015</v>
      </c>
      <c r="B92">
        <v>-63.888749999999995</v>
      </c>
      <c r="G92" t="s">
        <v>1024</v>
      </c>
      <c r="H92">
        <v>-69.633125000000007</v>
      </c>
    </row>
    <row r="93" spans="1:10" x14ac:dyDescent="0.3">
      <c r="A93" t="s">
        <v>1018</v>
      </c>
      <c r="B93">
        <v>-55.562250000000013</v>
      </c>
      <c r="G93" t="s">
        <v>1030</v>
      </c>
      <c r="H93">
        <v>-62.000500000000009</v>
      </c>
    </row>
    <row r="94" spans="1:10" x14ac:dyDescent="0.3">
      <c r="A94" t="s">
        <v>1022</v>
      </c>
      <c r="B94">
        <v>-61.238374999999998</v>
      </c>
      <c r="G94" t="s">
        <v>1032</v>
      </c>
      <c r="H94">
        <v>-50.932625000000009</v>
      </c>
    </row>
    <row r="95" spans="1:10" x14ac:dyDescent="0.3">
      <c r="A95" t="s">
        <v>1024</v>
      </c>
      <c r="B95">
        <v>-69.633125000000007</v>
      </c>
      <c r="G95" t="s">
        <v>1049</v>
      </c>
      <c r="J95">
        <v>-58.42499999999999</v>
      </c>
    </row>
    <row r="96" spans="1:10" x14ac:dyDescent="0.3">
      <c r="A96" t="s">
        <v>1030</v>
      </c>
      <c r="B96">
        <v>-62.000500000000009</v>
      </c>
      <c r="G96" t="s">
        <v>1055</v>
      </c>
      <c r="J96">
        <v>-55.749999999999993</v>
      </c>
    </row>
    <row r="97" spans="1:10" x14ac:dyDescent="0.3">
      <c r="A97" t="s">
        <v>1032</v>
      </c>
      <c r="B97">
        <v>-50.932625000000009</v>
      </c>
      <c r="G97" t="s">
        <v>1070</v>
      </c>
      <c r="J97">
        <v>-55.787500000000001</v>
      </c>
    </row>
    <row r="98" spans="1:10" x14ac:dyDescent="0.3">
      <c r="A98" t="s">
        <v>1049</v>
      </c>
      <c r="D98">
        <v>-58.42499999999999</v>
      </c>
      <c r="G98" t="s">
        <v>1073</v>
      </c>
      <c r="J98">
        <v>-37.712499999999999</v>
      </c>
    </row>
    <row r="99" spans="1:10" x14ac:dyDescent="0.3">
      <c r="A99" t="s">
        <v>1055</v>
      </c>
      <c r="D99">
        <v>-55.749999999999993</v>
      </c>
      <c r="G99" t="s">
        <v>1076</v>
      </c>
      <c r="J99">
        <v>-47.512499999999996</v>
      </c>
    </row>
    <row r="100" spans="1:10" x14ac:dyDescent="0.3">
      <c r="A100" t="s">
        <v>1070</v>
      </c>
      <c r="D100">
        <v>-55.787500000000001</v>
      </c>
      <c r="G100" t="s">
        <v>1078</v>
      </c>
      <c r="J100">
        <v>-56.837499999999999</v>
      </c>
    </row>
    <row r="101" spans="1:10" x14ac:dyDescent="0.3">
      <c r="A101" t="s">
        <v>1073</v>
      </c>
      <c r="D101">
        <v>-37.712499999999999</v>
      </c>
      <c r="G101" t="s">
        <v>1083</v>
      </c>
      <c r="J101">
        <v>-61.050000000000004</v>
      </c>
    </row>
    <row r="102" spans="1:10" x14ac:dyDescent="0.3">
      <c r="A102" t="s">
        <v>1076</v>
      </c>
      <c r="D102">
        <v>-47.512499999999996</v>
      </c>
      <c r="G102" t="s">
        <v>1086</v>
      </c>
      <c r="J102">
        <v>-50.88750000000001</v>
      </c>
    </row>
    <row r="103" spans="1:10" x14ac:dyDescent="0.3">
      <c r="A103" t="s">
        <v>1078</v>
      </c>
      <c r="D103">
        <v>-56.837499999999999</v>
      </c>
      <c r="G103" t="s">
        <v>1092</v>
      </c>
      <c r="J103">
        <v>-62.612500000000004</v>
      </c>
    </row>
    <row r="104" spans="1:10" x14ac:dyDescent="0.3">
      <c r="A104" t="s">
        <v>1083</v>
      </c>
      <c r="D104">
        <v>-61.050000000000004</v>
      </c>
      <c r="G104" t="s">
        <v>1096</v>
      </c>
      <c r="J104">
        <v>-58.375000000000007</v>
      </c>
    </row>
    <row r="105" spans="1:10" x14ac:dyDescent="0.3">
      <c r="A105" t="s">
        <v>1086</v>
      </c>
      <c r="D105">
        <v>-50.88750000000001</v>
      </c>
      <c r="G105" t="s">
        <v>1102</v>
      </c>
      <c r="J105">
        <v>-46.65</v>
      </c>
    </row>
    <row r="106" spans="1:10" x14ac:dyDescent="0.3">
      <c r="A106" t="s">
        <v>1092</v>
      </c>
      <c r="D106">
        <v>-62.612500000000004</v>
      </c>
      <c r="G106" t="s">
        <v>1111</v>
      </c>
      <c r="J106">
        <v>-48.437500000000007</v>
      </c>
    </row>
    <row r="107" spans="1:10" x14ac:dyDescent="0.3">
      <c r="A107" t="s">
        <v>1096</v>
      </c>
      <c r="D107">
        <v>-58.375000000000007</v>
      </c>
      <c r="G107" t="s">
        <v>1126</v>
      </c>
      <c r="J107">
        <v>-59.512499999999996</v>
      </c>
    </row>
    <row r="108" spans="1:10" x14ac:dyDescent="0.3">
      <c r="A108" t="s">
        <v>1102</v>
      </c>
      <c r="D108">
        <v>-46.65</v>
      </c>
      <c r="G108" t="s">
        <v>1128</v>
      </c>
      <c r="J108">
        <v>-54.225000000000001</v>
      </c>
    </row>
    <row r="109" spans="1:10" x14ac:dyDescent="0.3">
      <c r="A109" t="s">
        <v>1111</v>
      </c>
      <c r="D109">
        <v>-48.437500000000007</v>
      </c>
      <c r="G109" t="s">
        <v>1141</v>
      </c>
      <c r="J109">
        <v>-62.874999999999993</v>
      </c>
    </row>
    <row r="110" spans="1:10" x14ac:dyDescent="0.3">
      <c r="A110" t="s">
        <v>1126</v>
      </c>
      <c r="D110">
        <v>-59.512499999999996</v>
      </c>
      <c r="G110" t="s">
        <v>1164</v>
      </c>
      <c r="J110">
        <v>-64.712500000000006</v>
      </c>
    </row>
    <row r="111" spans="1:10" x14ac:dyDescent="0.3">
      <c r="A111" t="s">
        <v>1128</v>
      </c>
      <c r="D111">
        <v>-54.225000000000001</v>
      </c>
      <c r="G111" t="s">
        <v>1177</v>
      </c>
      <c r="J111">
        <v>-61.82500000000001</v>
      </c>
    </row>
    <row r="112" spans="1:10" x14ac:dyDescent="0.3">
      <c r="A112" t="s">
        <v>1141</v>
      </c>
      <c r="D112">
        <v>-62.874999999999993</v>
      </c>
      <c r="G112" t="s">
        <v>1191</v>
      </c>
      <c r="J112">
        <v>-49.537500000000001</v>
      </c>
    </row>
    <row r="113" spans="1:10" x14ac:dyDescent="0.3">
      <c r="A113" t="s">
        <v>1164</v>
      </c>
      <c r="D113">
        <v>-64.712500000000006</v>
      </c>
      <c r="G113" t="s">
        <v>1205</v>
      </c>
      <c r="J113">
        <v>-57.900000000000013</v>
      </c>
    </row>
    <row r="114" spans="1:10" x14ac:dyDescent="0.3">
      <c r="A114" t="s">
        <v>1177</v>
      </c>
      <c r="D114">
        <v>-61.82500000000001</v>
      </c>
      <c r="G114" t="s">
        <v>1213</v>
      </c>
      <c r="J114">
        <v>-62.612500000000004</v>
      </c>
    </row>
    <row r="115" spans="1:10" x14ac:dyDescent="0.3">
      <c r="A115" t="s">
        <v>1191</v>
      </c>
      <c r="D115">
        <v>-49.537500000000001</v>
      </c>
      <c r="G115" t="s">
        <v>1215</v>
      </c>
      <c r="J115">
        <v>-63.949999999999996</v>
      </c>
    </row>
    <row r="116" spans="1:10" x14ac:dyDescent="0.3">
      <c r="A116" t="s">
        <v>1205</v>
      </c>
      <c r="D116">
        <v>-57.900000000000013</v>
      </c>
      <c r="G116" t="s">
        <v>1225</v>
      </c>
      <c r="J116">
        <v>-63.199999999999996</v>
      </c>
    </row>
    <row r="117" spans="1:10" x14ac:dyDescent="0.3">
      <c r="A117" t="s">
        <v>1213</v>
      </c>
      <c r="D117">
        <v>-62.612500000000004</v>
      </c>
      <c r="G117" t="s">
        <v>1237</v>
      </c>
      <c r="J117">
        <v>-58.824999999999996</v>
      </c>
    </row>
    <row r="118" spans="1:10" x14ac:dyDescent="0.3">
      <c r="A118" t="s">
        <v>1215</v>
      </c>
      <c r="D118">
        <v>-63.949999999999996</v>
      </c>
      <c r="G118" t="s">
        <v>1247</v>
      </c>
      <c r="J118">
        <v>-52.574999999999996</v>
      </c>
    </row>
    <row r="119" spans="1:10" x14ac:dyDescent="0.3">
      <c r="A119" t="s">
        <v>1225</v>
      </c>
      <c r="D119">
        <v>-63.199999999999996</v>
      </c>
      <c r="G119" t="s">
        <v>1257</v>
      </c>
      <c r="J119">
        <v>-56.54999999999999</v>
      </c>
    </row>
    <row r="120" spans="1:10" x14ac:dyDescent="0.3">
      <c r="A120" t="s">
        <v>1237</v>
      </c>
      <c r="D120">
        <v>-58.824999999999996</v>
      </c>
      <c r="G120" t="s">
        <v>1265</v>
      </c>
      <c r="J120">
        <v>-61.250000000000007</v>
      </c>
    </row>
    <row r="121" spans="1:10" x14ac:dyDescent="0.3">
      <c r="A121" t="s">
        <v>1247</v>
      </c>
      <c r="D121">
        <v>-52.574999999999996</v>
      </c>
      <c r="G121" t="s">
        <v>1282</v>
      </c>
      <c r="J121">
        <v>-59.137499999999996</v>
      </c>
    </row>
    <row r="122" spans="1:10" x14ac:dyDescent="0.3">
      <c r="A122" t="s">
        <v>1257</v>
      </c>
      <c r="D122">
        <v>-56.54999999999999</v>
      </c>
      <c r="G122" t="s">
        <v>1284</v>
      </c>
      <c r="J122">
        <v>-63.637499999999996</v>
      </c>
    </row>
    <row r="123" spans="1:10" x14ac:dyDescent="0.3">
      <c r="A123" t="s">
        <v>1265</v>
      </c>
      <c r="D123">
        <v>-61.250000000000007</v>
      </c>
      <c r="G123" t="s">
        <v>1294</v>
      </c>
      <c r="J123">
        <v>-56.949999999999996</v>
      </c>
    </row>
    <row r="124" spans="1:10" x14ac:dyDescent="0.3">
      <c r="A124" t="s">
        <v>1282</v>
      </c>
      <c r="D124">
        <v>-59.137499999999996</v>
      </c>
      <c r="G124" t="s">
        <v>1312</v>
      </c>
      <c r="J124">
        <v>-60.337499999999999</v>
      </c>
    </row>
    <row r="125" spans="1:10" x14ac:dyDescent="0.3">
      <c r="A125" t="s">
        <v>1284</v>
      </c>
      <c r="D125">
        <v>-63.637499999999996</v>
      </c>
      <c r="G125" t="s">
        <v>1325</v>
      </c>
      <c r="J125">
        <v>-47.449999999999996</v>
      </c>
    </row>
    <row r="126" spans="1:10" x14ac:dyDescent="0.3">
      <c r="A126" t="s">
        <v>1294</v>
      </c>
      <c r="D126">
        <v>-56.949999999999996</v>
      </c>
      <c r="G126" t="s">
        <v>1333</v>
      </c>
      <c r="J126">
        <v>-47.087499999999999</v>
      </c>
    </row>
    <row r="127" spans="1:10" x14ac:dyDescent="0.3">
      <c r="A127" t="s">
        <v>1312</v>
      </c>
      <c r="D127">
        <v>-60.337499999999999</v>
      </c>
      <c r="G127" t="s">
        <v>1336</v>
      </c>
      <c r="J127">
        <v>-56.400000000000013</v>
      </c>
    </row>
    <row r="128" spans="1:10" x14ac:dyDescent="0.3">
      <c r="A128" t="s">
        <v>1325</v>
      </c>
      <c r="D128">
        <v>-47.449999999999996</v>
      </c>
      <c r="G128" t="s">
        <v>1339</v>
      </c>
      <c r="J128">
        <v>-38.800000000000004</v>
      </c>
    </row>
    <row r="129" spans="1:10" x14ac:dyDescent="0.3">
      <c r="A129" t="s">
        <v>1333</v>
      </c>
      <c r="D129">
        <v>-47.087499999999999</v>
      </c>
      <c r="G129" t="s">
        <v>1349</v>
      </c>
      <c r="J129">
        <v>-44.92499999999999</v>
      </c>
    </row>
    <row r="130" spans="1:10" x14ac:dyDescent="0.3">
      <c r="A130" t="s">
        <v>1336</v>
      </c>
      <c r="D130">
        <v>-56.400000000000013</v>
      </c>
      <c r="G130" t="s">
        <v>1363</v>
      </c>
      <c r="J130">
        <v>-64.537499999999994</v>
      </c>
    </row>
    <row r="131" spans="1:10" x14ac:dyDescent="0.3">
      <c r="A131" t="s">
        <v>1339</v>
      </c>
      <c r="D131">
        <v>-38.800000000000004</v>
      </c>
      <c r="G131" t="s">
        <v>1366</v>
      </c>
      <c r="J131">
        <v>-55.01250000000001</v>
      </c>
    </row>
    <row r="132" spans="1:10" x14ac:dyDescent="0.3">
      <c r="A132" t="s">
        <v>1349</v>
      </c>
      <c r="D132">
        <v>-44.92499999999999</v>
      </c>
      <c r="G132" t="s">
        <v>1374</v>
      </c>
      <c r="J132">
        <v>-63.525000000000013</v>
      </c>
    </row>
    <row r="133" spans="1:10" x14ac:dyDescent="0.3">
      <c r="A133" t="s">
        <v>1363</v>
      </c>
      <c r="D133">
        <v>-64.537499999999994</v>
      </c>
      <c r="G133" t="s">
        <v>1378</v>
      </c>
      <c r="J133">
        <v>-64.212500000000006</v>
      </c>
    </row>
    <row r="134" spans="1:10" x14ac:dyDescent="0.3">
      <c r="A134" t="s">
        <v>1366</v>
      </c>
      <c r="D134">
        <v>-55.01250000000001</v>
      </c>
      <c r="G134" t="s">
        <v>1389</v>
      </c>
      <c r="J134">
        <v>-56.79999999999999</v>
      </c>
    </row>
    <row r="135" spans="1:10" x14ac:dyDescent="0.3">
      <c r="A135" t="s">
        <v>1374</v>
      </c>
      <c r="D135">
        <v>-63.525000000000013</v>
      </c>
      <c r="G135" t="s">
        <v>1411</v>
      </c>
      <c r="J135">
        <v>-64.287499999999994</v>
      </c>
    </row>
    <row r="136" spans="1:10" x14ac:dyDescent="0.3">
      <c r="A136" t="s">
        <v>1378</v>
      </c>
      <c r="D136">
        <v>-64.212500000000006</v>
      </c>
      <c r="G136" t="s">
        <v>1415</v>
      </c>
      <c r="J136">
        <v>-64.3125</v>
      </c>
    </row>
    <row r="137" spans="1:10" x14ac:dyDescent="0.3">
      <c r="A137" t="s">
        <v>1389</v>
      </c>
      <c r="D137">
        <v>-56.79999999999999</v>
      </c>
      <c r="G137" t="s">
        <v>1425</v>
      </c>
      <c r="J137">
        <v>-49.844715000000001</v>
      </c>
    </row>
    <row r="138" spans="1:10" x14ac:dyDescent="0.3">
      <c r="A138" t="s">
        <v>1411</v>
      </c>
      <c r="D138">
        <v>-64.287499999999994</v>
      </c>
      <c r="G138" t="s">
        <v>1428</v>
      </c>
      <c r="J138">
        <v>-62.341414500000006</v>
      </c>
    </row>
    <row r="139" spans="1:10" x14ac:dyDescent="0.3">
      <c r="A139" t="s">
        <v>1415</v>
      </c>
      <c r="D139">
        <v>-64.3125</v>
      </c>
      <c r="G139" t="s">
        <v>1431</v>
      </c>
      <c r="J139">
        <v>-61.7782695</v>
      </c>
    </row>
    <row r="140" spans="1:10" x14ac:dyDescent="0.3">
      <c r="A140" t="s">
        <v>1425</v>
      </c>
      <c r="D140">
        <v>-49.844715000000001</v>
      </c>
      <c r="G140" t="s">
        <v>1436</v>
      </c>
      <c r="J140">
        <v>-61.072472249999997</v>
      </c>
    </row>
    <row r="141" spans="1:10" x14ac:dyDescent="0.3">
      <c r="A141" t="s">
        <v>1428</v>
      </c>
      <c r="D141">
        <v>-62.341414500000006</v>
      </c>
      <c r="G141" t="s">
        <v>1440</v>
      </c>
      <c r="J141">
        <v>-61.908503250000003</v>
      </c>
    </row>
    <row r="142" spans="1:10" x14ac:dyDescent="0.3">
      <c r="A142" t="s">
        <v>1431</v>
      </c>
      <c r="D142">
        <v>-61.7782695</v>
      </c>
      <c r="G142" t="s">
        <v>1451</v>
      </c>
      <c r="J142">
        <v>-35.448034</v>
      </c>
    </row>
    <row r="143" spans="1:10" x14ac:dyDescent="0.3">
      <c r="A143" t="s">
        <v>1436</v>
      </c>
      <c r="D143">
        <v>-61.072472249999997</v>
      </c>
      <c r="G143" t="s">
        <v>1454</v>
      </c>
      <c r="J143">
        <v>-52.250365750000007</v>
      </c>
    </row>
    <row r="144" spans="1:10" x14ac:dyDescent="0.3">
      <c r="A144" t="s">
        <v>1440</v>
      </c>
      <c r="D144">
        <v>-61.908503250000003</v>
      </c>
      <c r="G144" t="s">
        <v>1460</v>
      </c>
      <c r="J144">
        <v>-47.725357874999993</v>
      </c>
    </row>
    <row r="145" spans="1:10" x14ac:dyDescent="0.3">
      <c r="A145" t="s">
        <v>1451</v>
      </c>
      <c r="D145">
        <v>-35.448034</v>
      </c>
      <c r="G145" t="s">
        <v>1466</v>
      </c>
      <c r="J145">
        <v>-56.758666124999998</v>
      </c>
    </row>
    <row r="146" spans="1:10" x14ac:dyDescent="0.3">
      <c r="A146" t="s">
        <v>1454</v>
      </c>
      <c r="D146">
        <v>-52.250365750000007</v>
      </c>
      <c r="G146" t="s">
        <v>1468</v>
      </c>
      <c r="J146">
        <v>-63.977099000000003</v>
      </c>
    </row>
    <row r="147" spans="1:10" x14ac:dyDescent="0.3">
      <c r="A147" t="s">
        <v>1460</v>
      </c>
      <c r="D147">
        <v>-47.725357874999993</v>
      </c>
      <c r="G147" t="s">
        <v>1480</v>
      </c>
      <c r="J147">
        <v>-62.425033000000006</v>
      </c>
    </row>
    <row r="148" spans="1:10" x14ac:dyDescent="0.3">
      <c r="A148" t="s">
        <v>1466</v>
      </c>
      <c r="D148">
        <v>-56.758666124999998</v>
      </c>
      <c r="G148" t="s">
        <v>1506</v>
      </c>
      <c r="J148">
        <v>-61.930596000000001</v>
      </c>
    </row>
    <row r="149" spans="1:10" x14ac:dyDescent="0.3">
      <c r="A149" t="s">
        <v>1468</v>
      </c>
      <c r="D149">
        <v>-63.977099000000003</v>
      </c>
      <c r="G149" t="s">
        <v>1516</v>
      </c>
      <c r="J149">
        <v>-46.871518875</v>
      </c>
    </row>
    <row r="150" spans="1:10" x14ac:dyDescent="0.3">
      <c r="A150" t="s">
        <v>1480</v>
      </c>
      <c r="D150">
        <v>-62.425033000000006</v>
      </c>
      <c r="G150" t="s">
        <v>1518</v>
      </c>
      <c r="J150">
        <v>-64.87329112499998</v>
      </c>
    </row>
    <row r="151" spans="1:10" x14ac:dyDescent="0.3">
      <c r="A151" t="s">
        <v>1506</v>
      </c>
      <c r="D151">
        <v>-61.930596000000001</v>
      </c>
      <c r="G151" t="s">
        <v>1520</v>
      </c>
      <c r="J151">
        <v>-60.639672749999995</v>
      </c>
    </row>
    <row r="152" spans="1:10" x14ac:dyDescent="0.3">
      <c r="A152" t="s">
        <v>1516</v>
      </c>
      <c r="D152">
        <v>-46.871518875</v>
      </c>
      <c r="G152" t="s">
        <v>1525</v>
      </c>
      <c r="J152">
        <v>-57.605494875000012</v>
      </c>
    </row>
    <row r="153" spans="1:10" x14ac:dyDescent="0.3">
      <c r="A153" t="s">
        <v>1518</v>
      </c>
      <c r="D153">
        <v>-64.87329112499998</v>
      </c>
      <c r="G153" t="s">
        <v>1536</v>
      </c>
      <c r="J153">
        <v>-49.682072250000012</v>
      </c>
    </row>
    <row r="154" spans="1:10" x14ac:dyDescent="0.3">
      <c r="A154" t="s">
        <v>1520</v>
      </c>
      <c r="D154">
        <v>-60.639672749999995</v>
      </c>
      <c r="G154" t="s">
        <v>1546</v>
      </c>
      <c r="J154">
        <v>-36.087676499999993</v>
      </c>
    </row>
    <row r="155" spans="1:10" x14ac:dyDescent="0.3">
      <c r="A155" t="s">
        <v>1525</v>
      </c>
      <c r="D155">
        <v>-57.605494875000012</v>
      </c>
      <c r="G155" t="s">
        <v>1552</v>
      </c>
      <c r="J155">
        <v>-52.927428000000013</v>
      </c>
    </row>
    <row r="156" spans="1:10" x14ac:dyDescent="0.3">
      <c r="A156" t="s">
        <v>1536</v>
      </c>
      <c r="D156">
        <v>-49.682072250000012</v>
      </c>
      <c r="G156" t="s">
        <v>1556</v>
      </c>
      <c r="J156">
        <v>-51.936438000000003</v>
      </c>
    </row>
    <row r="157" spans="1:10" x14ac:dyDescent="0.3">
      <c r="A157" t="s">
        <v>1546</v>
      </c>
      <c r="D157">
        <v>-36.087676499999993</v>
      </c>
      <c r="G157" t="s">
        <v>1579</v>
      </c>
      <c r="J157">
        <v>-40.583539499999993</v>
      </c>
    </row>
    <row r="158" spans="1:10" x14ac:dyDescent="0.3">
      <c r="A158" t="s">
        <v>1552</v>
      </c>
      <c r="D158">
        <v>-52.927428000000013</v>
      </c>
      <c r="G158" t="s">
        <v>2684</v>
      </c>
      <c r="J158">
        <v>-51.4437055</v>
      </c>
    </row>
    <row r="159" spans="1:10" x14ac:dyDescent="0.3">
      <c r="A159" t="s">
        <v>1556</v>
      </c>
      <c r="D159">
        <v>-51.936438000000003</v>
      </c>
      <c r="G159" t="s">
        <v>1592</v>
      </c>
      <c r="J159">
        <v>-63.448531999999993</v>
      </c>
    </row>
    <row r="160" spans="1:10" x14ac:dyDescent="0.3">
      <c r="A160" t="s">
        <v>1579</v>
      </c>
      <c r="D160">
        <v>-40.583539499999993</v>
      </c>
      <c r="G160" t="s">
        <v>1595</v>
      </c>
      <c r="J160">
        <v>-57.09048087499999</v>
      </c>
    </row>
    <row r="161" spans="1:10" x14ac:dyDescent="0.3">
      <c r="A161" t="s">
        <v>2684</v>
      </c>
      <c r="D161">
        <v>-51.4437055</v>
      </c>
      <c r="G161" t="s">
        <v>1597</v>
      </c>
      <c r="J161">
        <v>-56.943091999999986</v>
      </c>
    </row>
    <row r="162" spans="1:10" x14ac:dyDescent="0.3">
      <c r="A162" t="s">
        <v>1592</v>
      </c>
      <c r="D162">
        <v>-63.448531999999993</v>
      </c>
      <c r="G162" t="s">
        <v>1614</v>
      </c>
      <c r="J162">
        <v>-46.489532250000003</v>
      </c>
    </row>
    <row r="163" spans="1:10" x14ac:dyDescent="0.3">
      <c r="A163" t="s">
        <v>1595</v>
      </c>
      <c r="D163">
        <v>-57.09048087499999</v>
      </c>
      <c r="G163" t="s">
        <v>1616</v>
      </c>
      <c r="J163">
        <v>-63.860204375000002</v>
      </c>
    </row>
    <row r="164" spans="1:10" x14ac:dyDescent="0.3">
      <c r="A164" t="s">
        <v>1597</v>
      </c>
      <c r="D164">
        <v>-56.943091999999986</v>
      </c>
      <c r="G164" t="s">
        <v>1620</v>
      </c>
      <c r="J164">
        <v>-61.380005375000003</v>
      </c>
    </row>
    <row r="165" spans="1:10" x14ac:dyDescent="0.3">
      <c r="A165" t="s">
        <v>1614</v>
      </c>
      <c r="D165">
        <v>-46.489532250000003</v>
      </c>
      <c r="G165" t="s">
        <v>1622</v>
      </c>
      <c r="J165">
        <v>-59.000780999999996</v>
      </c>
    </row>
    <row r="166" spans="1:10" x14ac:dyDescent="0.3">
      <c r="A166" t="s">
        <v>1616</v>
      </c>
      <c r="D166">
        <v>-63.860204375000002</v>
      </c>
      <c r="G166" t="s">
        <v>1626</v>
      </c>
      <c r="J166">
        <v>-64.729057124999997</v>
      </c>
    </row>
    <row r="167" spans="1:10" x14ac:dyDescent="0.3">
      <c r="A167" t="s">
        <v>1620</v>
      </c>
      <c r="D167">
        <v>-61.380005375000003</v>
      </c>
      <c r="G167" t="s">
        <v>1640</v>
      </c>
      <c r="J167">
        <v>-61.927207750000001</v>
      </c>
    </row>
    <row r="168" spans="1:10" x14ac:dyDescent="0.3">
      <c r="A168" t="s">
        <v>1622</v>
      </c>
      <c r="D168">
        <v>-59.000780999999996</v>
      </c>
      <c r="G168" t="s">
        <v>1644</v>
      </c>
      <c r="J168">
        <v>-59.798881874999999</v>
      </c>
    </row>
    <row r="169" spans="1:10" x14ac:dyDescent="0.3">
      <c r="A169" t="s">
        <v>1626</v>
      </c>
      <c r="D169">
        <v>-64.729057124999997</v>
      </c>
      <c r="G169" t="s">
        <v>1658</v>
      </c>
      <c r="J169">
        <v>-50.554360875000008</v>
      </c>
    </row>
    <row r="170" spans="1:10" x14ac:dyDescent="0.3">
      <c r="A170" t="s">
        <v>1640</v>
      </c>
      <c r="D170">
        <v>-61.927207750000001</v>
      </c>
      <c r="G170" t="s">
        <v>1672</v>
      </c>
      <c r="J170">
        <v>-59.74225387500001</v>
      </c>
    </row>
    <row r="171" spans="1:10" x14ac:dyDescent="0.3">
      <c r="A171" t="s">
        <v>1644</v>
      </c>
      <c r="D171">
        <v>-59.798881874999999</v>
      </c>
      <c r="G171" t="s">
        <v>1691</v>
      </c>
      <c r="J171">
        <v>-64.801611750000006</v>
      </c>
    </row>
    <row r="172" spans="1:10" x14ac:dyDescent="0.3">
      <c r="A172" t="s">
        <v>1658</v>
      </c>
      <c r="D172">
        <v>-50.554360875000008</v>
      </c>
      <c r="G172" t="s">
        <v>1692</v>
      </c>
      <c r="J172">
        <v>-62.813235124999999</v>
      </c>
    </row>
    <row r="173" spans="1:10" x14ac:dyDescent="0.3">
      <c r="A173" t="s">
        <v>1672</v>
      </c>
      <c r="D173">
        <v>-59.74225387500001</v>
      </c>
      <c r="G173" t="s">
        <v>1693</v>
      </c>
      <c r="J173">
        <v>-64.415877375000008</v>
      </c>
    </row>
    <row r="174" spans="1:10" x14ac:dyDescent="0.3">
      <c r="A174" t="s">
        <v>1691</v>
      </c>
      <c r="D174">
        <v>-64.801611750000006</v>
      </c>
      <c r="G174" t="s">
        <v>1695</v>
      </c>
      <c r="J174">
        <v>-64.215970625000011</v>
      </c>
    </row>
    <row r="175" spans="1:10" x14ac:dyDescent="0.3">
      <c r="A175" t="s">
        <v>1692</v>
      </c>
      <c r="D175">
        <v>-62.813235124999999</v>
      </c>
      <c r="G175" t="s">
        <v>1700</v>
      </c>
      <c r="J175">
        <v>-58.884559250000002</v>
      </c>
    </row>
    <row r="176" spans="1:10" x14ac:dyDescent="0.3">
      <c r="A176" t="s">
        <v>1693</v>
      </c>
      <c r="D176">
        <v>-64.415877375000008</v>
      </c>
      <c r="G176" t="s">
        <v>1707</v>
      </c>
      <c r="J176">
        <v>-54.465232125000007</v>
      </c>
    </row>
    <row r="177" spans="1:9" x14ac:dyDescent="0.3">
      <c r="A177" t="s">
        <v>1695</v>
      </c>
      <c r="D177">
        <v>-64.215970625000011</v>
      </c>
      <c r="G177" t="s">
        <v>1736</v>
      </c>
      <c r="I177">
        <v>-43.930632047500005</v>
      </c>
    </row>
    <row r="178" spans="1:9" x14ac:dyDescent="0.3">
      <c r="A178" t="s">
        <v>1700</v>
      </c>
      <c r="D178">
        <v>-58.884559250000002</v>
      </c>
      <c r="G178" t="s">
        <v>1741</v>
      </c>
      <c r="I178">
        <v>-66.445014847500005</v>
      </c>
    </row>
    <row r="179" spans="1:9" x14ac:dyDescent="0.3">
      <c r="A179" t="s">
        <v>1707</v>
      </c>
      <c r="D179">
        <v>-54.465232125000007</v>
      </c>
      <c r="G179" t="s">
        <v>1749</v>
      </c>
      <c r="I179">
        <v>-60.015426682499999</v>
      </c>
    </row>
    <row r="180" spans="1:9" x14ac:dyDescent="0.3">
      <c r="A180" t="s">
        <v>1736</v>
      </c>
      <c r="C180">
        <v>-43.930632047500005</v>
      </c>
      <c r="G180" t="s">
        <v>1754</v>
      </c>
      <c r="I180">
        <v>-60.725186415000003</v>
      </c>
    </row>
    <row r="181" spans="1:9" x14ac:dyDescent="0.3">
      <c r="A181" t="s">
        <v>1741</v>
      </c>
      <c r="C181">
        <v>-66.445014847500005</v>
      </c>
      <c r="G181" t="s">
        <v>1758</v>
      </c>
      <c r="I181">
        <v>-53.353890892500011</v>
      </c>
    </row>
    <row r="182" spans="1:9" x14ac:dyDescent="0.3">
      <c r="A182" t="s">
        <v>1749</v>
      </c>
      <c r="C182">
        <v>-60.015426682499999</v>
      </c>
      <c r="G182" t="s">
        <v>1760</v>
      </c>
      <c r="I182">
        <v>-67.450121222500002</v>
      </c>
    </row>
    <row r="183" spans="1:9" x14ac:dyDescent="0.3">
      <c r="A183" t="s">
        <v>1754</v>
      </c>
      <c r="C183">
        <v>-60.725186415000003</v>
      </c>
      <c r="G183" t="s">
        <v>1762</v>
      </c>
      <c r="I183">
        <v>-65.926998485000013</v>
      </c>
    </row>
    <row r="184" spans="1:9" x14ac:dyDescent="0.3">
      <c r="A184" t="s">
        <v>1758</v>
      </c>
      <c r="C184">
        <v>-53.353890892500011</v>
      </c>
      <c r="G184" t="s">
        <v>2203</v>
      </c>
      <c r="I184">
        <v>-43.732703407500004</v>
      </c>
    </row>
    <row r="185" spans="1:9" x14ac:dyDescent="0.3">
      <c r="A185" t="s">
        <v>1760</v>
      </c>
      <c r="C185">
        <v>-67.450121222500002</v>
      </c>
      <c r="G185" t="s">
        <v>2209</v>
      </c>
      <c r="I185">
        <v>-44.063615352500001</v>
      </c>
    </row>
    <row r="186" spans="1:9" x14ac:dyDescent="0.3">
      <c r="A186" t="s">
        <v>1762</v>
      </c>
      <c r="C186">
        <v>-65.926998485000013</v>
      </c>
      <c r="G186" t="s">
        <v>2225</v>
      </c>
      <c r="I186">
        <v>-54.485795302500016</v>
      </c>
    </row>
    <row r="187" spans="1:9" x14ac:dyDescent="0.3">
      <c r="A187" t="s">
        <v>2203</v>
      </c>
      <c r="C187">
        <v>-43.732703407500004</v>
      </c>
      <c r="G187" t="s">
        <v>2227</v>
      </c>
      <c r="I187">
        <v>-58.320662702499995</v>
      </c>
    </row>
    <row r="188" spans="1:9" x14ac:dyDescent="0.3">
      <c r="A188" t="s">
        <v>2209</v>
      </c>
      <c r="C188">
        <v>-44.063615352500001</v>
      </c>
      <c r="G188" t="s">
        <v>2230</v>
      </c>
      <c r="I188">
        <v>-60.969504579999999</v>
      </c>
    </row>
    <row r="189" spans="1:9" x14ac:dyDescent="0.3">
      <c r="A189" t="s">
        <v>2225</v>
      </c>
      <c r="C189">
        <v>-54.485795302500016</v>
      </c>
      <c r="G189" t="s">
        <v>2241</v>
      </c>
      <c r="I189">
        <v>-57.694404115000005</v>
      </c>
    </row>
    <row r="190" spans="1:9" x14ac:dyDescent="0.3">
      <c r="A190" t="s">
        <v>2227</v>
      </c>
      <c r="C190">
        <v>-58.320662702499995</v>
      </c>
      <c r="G190" t="s">
        <v>2243</v>
      </c>
      <c r="I190">
        <v>-61.037542550000005</v>
      </c>
    </row>
    <row r="191" spans="1:9" x14ac:dyDescent="0.3">
      <c r="A191" t="s">
        <v>2230</v>
      </c>
      <c r="C191">
        <v>-60.969504579999999</v>
      </c>
      <c r="G191" t="s">
        <v>2245</v>
      </c>
      <c r="I191">
        <v>-58.042402220000007</v>
      </c>
    </row>
    <row r="192" spans="1:9" x14ac:dyDescent="0.3">
      <c r="A192" t="s">
        <v>2241</v>
      </c>
      <c r="C192">
        <v>-57.694404115000005</v>
      </c>
      <c r="G192" t="s">
        <v>2247</v>
      </c>
      <c r="I192">
        <v>-49.234501072500002</v>
      </c>
    </row>
    <row r="193" spans="1:10" x14ac:dyDescent="0.3">
      <c r="A193" t="s">
        <v>2243</v>
      </c>
      <c r="C193">
        <v>-61.037542550000005</v>
      </c>
      <c r="G193" t="s">
        <v>2249</v>
      </c>
      <c r="I193">
        <v>-65.945554294999994</v>
      </c>
    </row>
    <row r="194" spans="1:10" x14ac:dyDescent="0.3">
      <c r="A194" t="s">
        <v>2245</v>
      </c>
      <c r="C194">
        <v>-58.042402220000007</v>
      </c>
      <c r="G194" t="s">
        <v>2251</v>
      </c>
      <c r="I194">
        <v>-63.973999482500012</v>
      </c>
    </row>
    <row r="195" spans="1:10" x14ac:dyDescent="0.3">
      <c r="A195" t="s">
        <v>2247</v>
      </c>
      <c r="C195">
        <v>-49.234501072500002</v>
      </c>
      <c r="G195" t="s">
        <v>2253</v>
      </c>
      <c r="I195">
        <v>-53.457494165000007</v>
      </c>
    </row>
    <row r="196" spans="1:10" x14ac:dyDescent="0.3">
      <c r="A196" t="s">
        <v>2249</v>
      </c>
      <c r="C196">
        <v>-65.945554294999994</v>
      </c>
      <c r="G196" t="s">
        <v>2255</v>
      </c>
      <c r="I196">
        <v>-63.995647927499995</v>
      </c>
    </row>
    <row r="197" spans="1:10" x14ac:dyDescent="0.3">
      <c r="A197" t="s">
        <v>2251</v>
      </c>
      <c r="C197">
        <v>-63.973999482500012</v>
      </c>
      <c r="G197" t="s">
        <v>2257</v>
      </c>
      <c r="I197">
        <v>-59.695338960000022</v>
      </c>
    </row>
    <row r="198" spans="1:10" x14ac:dyDescent="0.3">
      <c r="A198" t="s">
        <v>2253</v>
      </c>
      <c r="C198">
        <v>-53.457494165000007</v>
      </c>
      <c r="G198" t="s">
        <v>2265</v>
      </c>
      <c r="I198">
        <v>-54.106947514999995</v>
      </c>
    </row>
    <row r="199" spans="1:10" x14ac:dyDescent="0.3">
      <c r="A199" t="s">
        <v>2255</v>
      </c>
      <c r="C199">
        <v>-63.995647927499995</v>
      </c>
      <c r="G199" t="s">
        <v>2273</v>
      </c>
      <c r="I199">
        <v>-52.869893515000008</v>
      </c>
    </row>
    <row r="200" spans="1:10" x14ac:dyDescent="0.3">
      <c r="A200" t="s">
        <v>2257</v>
      </c>
      <c r="C200">
        <v>-59.695338960000022</v>
      </c>
      <c r="G200" t="s">
        <v>2277</v>
      </c>
      <c r="I200">
        <v>-62.916318312500017</v>
      </c>
    </row>
    <row r="201" spans="1:10" x14ac:dyDescent="0.3">
      <c r="A201" t="s">
        <v>2265</v>
      </c>
      <c r="C201">
        <v>-54.106947514999995</v>
      </c>
      <c r="G201" t="s">
        <v>2281</v>
      </c>
      <c r="I201">
        <v>-54.349719362500004</v>
      </c>
    </row>
    <row r="202" spans="1:10" x14ac:dyDescent="0.3">
      <c r="A202" t="s">
        <v>2273</v>
      </c>
      <c r="C202">
        <v>-52.869893515000008</v>
      </c>
      <c r="G202" t="s">
        <v>2285</v>
      </c>
      <c r="I202">
        <v>-56.737233582500018</v>
      </c>
    </row>
    <row r="203" spans="1:10" x14ac:dyDescent="0.3">
      <c r="A203" t="s">
        <v>2277</v>
      </c>
      <c r="C203">
        <v>-62.916318312500017</v>
      </c>
      <c r="G203" t="s">
        <v>1862</v>
      </c>
      <c r="J203">
        <v>-57.750929499999991</v>
      </c>
    </row>
    <row r="204" spans="1:10" x14ac:dyDescent="0.3">
      <c r="A204" t="s">
        <v>2281</v>
      </c>
      <c r="C204">
        <v>-54.349719362500004</v>
      </c>
      <c r="G204" t="s">
        <v>1887</v>
      </c>
      <c r="J204">
        <v>-58.085190749999988</v>
      </c>
    </row>
    <row r="205" spans="1:10" x14ac:dyDescent="0.3">
      <c r="A205" t="s">
        <v>2285</v>
      </c>
      <c r="C205">
        <v>-56.737233582500018</v>
      </c>
      <c r="G205" t="s">
        <v>1893</v>
      </c>
      <c r="J205">
        <v>-43.886470625000008</v>
      </c>
    </row>
    <row r="206" spans="1:10" x14ac:dyDescent="0.3">
      <c r="A206" t="s">
        <v>1862</v>
      </c>
      <c r="D206">
        <v>-57.750929499999991</v>
      </c>
      <c r="G206" t="s">
        <v>1904</v>
      </c>
      <c r="J206">
        <v>-38.863387499999995</v>
      </c>
    </row>
    <row r="207" spans="1:10" x14ac:dyDescent="0.3">
      <c r="A207" t="s">
        <v>1887</v>
      </c>
      <c r="D207">
        <v>-58.085190749999988</v>
      </c>
      <c r="G207" t="s">
        <v>1914</v>
      </c>
      <c r="J207">
        <v>-59.860163500000006</v>
      </c>
    </row>
    <row r="208" spans="1:10" x14ac:dyDescent="0.3">
      <c r="A208" t="s">
        <v>1893</v>
      </c>
      <c r="D208">
        <v>-43.886470625000008</v>
      </c>
      <c r="G208" t="s">
        <v>1917</v>
      </c>
      <c r="J208">
        <v>-53.694579000000012</v>
      </c>
    </row>
    <row r="209" spans="1:10" x14ac:dyDescent="0.3">
      <c r="A209" t="s">
        <v>1904</v>
      </c>
      <c r="D209">
        <v>-38.863387499999995</v>
      </c>
      <c r="G209" t="s">
        <v>1919</v>
      </c>
      <c r="J209">
        <v>-45.773006000000002</v>
      </c>
    </row>
    <row r="210" spans="1:10" x14ac:dyDescent="0.3">
      <c r="A210" t="s">
        <v>1914</v>
      </c>
      <c r="D210">
        <v>-59.860163500000006</v>
      </c>
      <c r="G210" t="s">
        <v>1921</v>
      </c>
      <c r="J210">
        <v>-53.66215549999999</v>
      </c>
    </row>
    <row r="211" spans="1:10" x14ac:dyDescent="0.3">
      <c r="A211" t="s">
        <v>1917</v>
      </c>
      <c r="D211">
        <v>-53.694579000000012</v>
      </c>
      <c r="G211" t="s">
        <v>1929</v>
      </c>
      <c r="J211">
        <v>-64.421638000000002</v>
      </c>
    </row>
    <row r="212" spans="1:10" x14ac:dyDescent="0.3">
      <c r="A212" t="s">
        <v>1919</v>
      </c>
      <c r="D212">
        <v>-45.773006000000002</v>
      </c>
      <c r="G212" t="s">
        <v>1938</v>
      </c>
      <c r="J212">
        <v>-59.402821499999995</v>
      </c>
    </row>
    <row r="213" spans="1:10" x14ac:dyDescent="0.3">
      <c r="A213" t="s">
        <v>1921</v>
      </c>
      <c r="D213">
        <v>-53.66215549999999</v>
      </c>
      <c r="G213" t="s">
        <v>1939</v>
      </c>
      <c r="J213">
        <v>-62.855071000000002</v>
      </c>
    </row>
    <row r="214" spans="1:10" x14ac:dyDescent="0.3">
      <c r="A214" t="s">
        <v>1929</v>
      </c>
      <c r="D214">
        <v>-64.421638000000002</v>
      </c>
      <c r="G214" t="s">
        <v>1944</v>
      </c>
      <c r="J214">
        <v>-59.093944999999998</v>
      </c>
    </row>
    <row r="215" spans="1:10" x14ac:dyDescent="0.3">
      <c r="A215" t="s">
        <v>1938</v>
      </c>
      <c r="D215">
        <v>-59.402821499999995</v>
      </c>
      <c r="G215" t="s">
        <v>1958</v>
      </c>
      <c r="J215">
        <v>-52.223576000000001</v>
      </c>
    </row>
    <row r="216" spans="1:10" x14ac:dyDescent="0.3">
      <c r="A216" t="s">
        <v>1939</v>
      </c>
      <c r="D216">
        <v>-62.855071000000002</v>
      </c>
      <c r="G216" t="s">
        <v>1972</v>
      </c>
      <c r="J216">
        <v>-43.631587875000001</v>
      </c>
    </row>
    <row r="217" spans="1:10" x14ac:dyDescent="0.3">
      <c r="A217" t="s">
        <v>1944</v>
      </c>
      <c r="D217">
        <v>-59.093944999999998</v>
      </c>
      <c r="G217" t="s">
        <v>1977</v>
      </c>
      <c r="J217">
        <v>-61.193651624999994</v>
      </c>
    </row>
    <row r="218" spans="1:10" x14ac:dyDescent="0.3">
      <c r="A218" t="s">
        <v>1958</v>
      </c>
      <c r="D218">
        <v>-52.223576000000001</v>
      </c>
      <c r="G218" t="s">
        <v>1987</v>
      </c>
      <c r="J218">
        <v>-61.612747500000005</v>
      </c>
    </row>
    <row r="219" spans="1:10" x14ac:dyDescent="0.3">
      <c r="A219" t="s">
        <v>1972</v>
      </c>
      <c r="D219">
        <v>-43.631587875000001</v>
      </c>
      <c r="G219" t="s">
        <v>1989</v>
      </c>
      <c r="J219">
        <v>-59.398946625000001</v>
      </c>
    </row>
    <row r="220" spans="1:10" x14ac:dyDescent="0.3">
      <c r="A220" t="s">
        <v>1977</v>
      </c>
      <c r="D220">
        <v>-61.193651624999994</v>
      </c>
      <c r="G220" t="s">
        <v>1995</v>
      </c>
      <c r="J220">
        <v>-54.304196250000011</v>
      </c>
    </row>
    <row r="221" spans="1:10" x14ac:dyDescent="0.3">
      <c r="A221" t="s">
        <v>1987</v>
      </c>
      <c r="D221">
        <v>-61.612747500000005</v>
      </c>
      <c r="G221" t="s">
        <v>2007</v>
      </c>
      <c r="J221">
        <v>-64.51037599999998</v>
      </c>
    </row>
    <row r="222" spans="1:10" x14ac:dyDescent="0.3">
      <c r="A222" t="s">
        <v>1989</v>
      </c>
      <c r="D222">
        <v>-59.398946625000001</v>
      </c>
      <c r="G222" t="s">
        <v>2013</v>
      </c>
      <c r="J222">
        <v>-60.752663000000005</v>
      </c>
    </row>
    <row r="223" spans="1:10" x14ac:dyDescent="0.3">
      <c r="A223" t="s">
        <v>1995</v>
      </c>
      <c r="D223">
        <v>-54.304196250000011</v>
      </c>
      <c r="G223" t="s">
        <v>2015</v>
      </c>
      <c r="J223">
        <v>-63.754396500000006</v>
      </c>
    </row>
    <row r="224" spans="1:10" x14ac:dyDescent="0.3">
      <c r="A224" t="s">
        <v>2007</v>
      </c>
      <c r="D224">
        <v>-64.51037599999998</v>
      </c>
      <c r="G224" t="s">
        <v>2019</v>
      </c>
      <c r="J224">
        <v>-60.819216500000003</v>
      </c>
    </row>
    <row r="225" spans="1:10" x14ac:dyDescent="0.3">
      <c r="A225" t="s">
        <v>2013</v>
      </c>
      <c r="D225">
        <v>-60.752663000000005</v>
      </c>
      <c r="G225" t="s">
        <v>2029</v>
      </c>
      <c r="J225">
        <v>-59.104183999999997</v>
      </c>
    </row>
    <row r="226" spans="1:10" x14ac:dyDescent="0.3">
      <c r="A226" t="s">
        <v>2015</v>
      </c>
      <c r="D226">
        <v>-63.754396500000006</v>
      </c>
      <c r="G226" t="s">
        <v>2037</v>
      </c>
      <c r="J226">
        <v>-57.698336999999988</v>
      </c>
    </row>
    <row r="227" spans="1:10" x14ac:dyDescent="0.3">
      <c r="A227" t="s">
        <v>2019</v>
      </c>
      <c r="D227">
        <v>-60.819216500000003</v>
      </c>
      <c r="G227" t="s">
        <v>2047</v>
      </c>
      <c r="J227">
        <v>-63.169067000000005</v>
      </c>
    </row>
    <row r="228" spans="1:10" x14ac:dyDescent="0.3">
      <c r="A228" t="s">
        <v>2029</v>
      </c>
      <c r="D228">
        <v>-59.104183999999997</v>
      </c>
      <c r="G228" t="s">
        <v>2064</v>
      </c>
      <c r="J228">
        <v>-48.085386249999992</v>
      </c>
    </row>
    <row r="229" spans="1:10" x14ac:dyDescent="0.3">
      <c r="A229" t="s">
        <v>2037</v>
      </c>
      <c r="D229">
        <v>-57.698336999999988</v>
      </c>
      <c r="G229" t="s">
        <v>2068</v>
      </c>
      <c r="J229">
        <v>-37.009187500000003</v>
      </c>
    </row>
    <row r="230" spans="1:10" x14ac:dyDescent="0.3">
      <c r="A230" t="s">
        <v>2047</v>
      </c>
      <c r="D230">
        <v>-63.169067000000005</v>
      </c>
      <c r="G230" t="s">
        <v>2084</v>
      </c>
      <c r="J230">
        <v>-53.143600250000013</v>
      </c>
    </row>
    <row r="231" spans="1:10" x14ac:dyDescent="0.3">
      <c r="A231" t="s">
        <v>2064</v>
      </c>
      <c r="D231">
        <v>-48.085386249999992</v>
      </c>
      <c r="G231" t="s">
        <v>2086</v>
      </c>
      <c r="J231">
        <v>-51.664608750000006</v>
      </c>
    </row>
    <row r="232" spans="1:10" x14ac:dyDescent="0.3">
      <c r="A232" t="s">
        <v>2068</v>
      </c>
      <c r="D232">
        <v>-37.009187500000003</v>
      </c>
      <c r="G232" t="s">
        <v>2087</v>
      </c>
      <c r="J232">
        <v>-64.083091749999994</v>
      </c>
    </row>
    <row r="233" spans="1:10" x14ac:dyDescent="0.3">
      <c r="A233" t="s">
        <v>2084</v>
      </c>
      <c r="D233">
        <v>-53.143600250000013</v>
      </c>
      <c r="G233" t="s">
        <v>2091</v>
      </c>
      <c r="J233">
        <v>-48.221211375000003</v>
      </c>
    </row>
    <row r="234" spans="1:10" x14ac:dyDescent="0.3">
      <c r="A234" t="s">
        <v>2086</v>
      </c>
      <c r="D234">
        <v>-51.664608750000006</v>
      </c>
      <c r="G234" t="s">
        <v>2107</v>
      </c>
      <c r="J234">
        <v>-44.203600999999999</v>
      </c>
    </row>
    <row r="235" spans="1:10" x14ac:dyDescent="0.3">
      <c r="A235" t="s">
        <v>2087</v>
      </c>
      <c r="D235">
        <v>-64.083091749999994</v>
      </c>
      <c r="G235" t="s">
        <v>2128</v>
      </c>
      <c r="J235">
        <v>-61.429421499999997</v>
      </c>
    </row>
    <row r="236" spans="1:10" x14ac:dyDescent="0.3">
      <c r="A236" t="s">
        <v>2091</v>
      </c>
      <c r="D236">
        <v>-48.221211375000003</v>
      </c>
      <c r="G236" t="s">
        <v>2138</v>
      </c>
      <c r="J236">
        <v>-35.687401000000001</v>
      </c>
    </row>
    <row r="237" spans="1:10" x14ac:dyDescent="0.3">
      <c r="A237" t="s">
        <v>2107</v>
      </c>
      <c r="D237">
        <v>-44.203600999999999</v>
      </c>
      <c r="G237" t="s">
        <v>2146</v>
      </c>
      <c r="J237">
        <v>-58.64961125</v>
      </c>
    </row>
    <row r="238" spans="1:10" x14ac:dyDescent="0.3">
      <c r="A238" t="s">
        <v>2128</v>
      </c>
      <c r="D238">
        <v>-61.429421499999997</v>
      </c>
      <c r="G238" t="s">
        <v>2148</v>
      </c>
      <c r="J238">
        <v>-63.5590695</v>
      </c>
    </row>
    <row r="239" spans="1:10" x14ac:dyDescent="0.3">
      <c r="A239" t="s">
        <v>2138</v>
      </c>
      <c r="D239">
        <v>-35.687401000000001</v>
      </c>
      <c r="G239" t="s">
        <v>2160</v>
      </c>
      <c r="J239">
        <v>-47.855180749999995</v>
      </c>
    </row>
    <row r="240" spans="1:10" x14ac:dyDescent="0.3">
      <c r="A240" t="s">
        <v>2146</v>
      </c>
      <c r="D240">
        <v>-58.64961125</v>
      </c>
      <c r="G240" t="s">
        <v>2161</v>
      </c>
      <c r="J240">
        <v>-41.329012499999997</v>
      </c>
    </row>
    <row r="241" spans="1:10" x14ac:dyDescent="0.3">
      <c r="A241" t="s">
        <v>2148</v>
      </c>
      <c r="D241">
        <v>-63.5590695</v>
      </c>
      <c r="G241" t="s">
        <v>2162</v>
      </c>
      <c r="J241">
        <v>-45.529474499999999</v>
      </c>
    </row>
    <row r="242" spans="1:10" x14ac:dyDescent="0.3">
      <c r="A242" t="s">
        <v>2160</v>
      </c>
      <c r="D242">
        <v>-47.855180749999995</v>
      </c>
      <c r="G242" t="s">
        <v>1817</v>
      </c>
      <c r="I242">
        <v>-59.660208410000003</v>
      </c>
    </row>
    <row r="243" spans="1:10" x14ac:dyDescent="0.3">
      <c r="A243" t="s">
        <v>2161</v>
      </c>
      <c r="D243">
        <v>-41.329012499999997</v>
      </c>
      <c r="G243" t="s">
        <v>1830</v>
      </c>
      <c r="I243">
        <v>-51.305451203750003</v>
      </c>
    </row>
    <row r="244" spans="1:10" x14ac:dyDescent="0.3">
      <c r="A244" t="s">
        <v>2162</v>
      </c>
      <c r="D244">
        <v>-45.529474499999999</v>
      </c>
      <c r="G244" t="s">
        <v>1833</v>
      </c>
      <c r="I244">
        <v>-59.985828250000004</v>
      </c>
    </row>
    <row r="245" spans="1:10" x14ac:dyDescent="0.3">
      <c r="A245" t="s">
        <v>1817</v>
      </c>
      <c r="C245">
        <v>-59.660208410000003</v>
      </c>
      <c r="G245" t="s">
        <v>1835</v>
      </c>
      <c r="J245">
        <v>-63.381605499999999</v>
      </c>
    </row>
    <row r="246" spans="1:10" x14ac:dyDescent="0.3">
      <c r="A246" t="s">
        <v>1830</v>
      </c>
      <c r="C246">
        <v>-51.305451203750003</v>
      </c>
      <c r="G246" t="s">
        <v>1838</v>
      </c>
      <c r="I246">
        <v>-48.968308555</v>
      </c>
    </row>
    <row r="247" spans="1:10" x14ac:dyDescent="0.3">
      <c r="A247" t="s">
        <v>1833</v>
      </c>
      <c r="C247">
        <v>-59.985828250000004</v>
      </c>
      <c r="G247" t="s">
        <v>1842</v>
      </c>
      <c r="I247">
        <v>-41.807857985000005</v>
      </c>
    </row>
    <row r="248" spans="1:10" x14ac:dyDescent="0.3">
      <c r="A248" t="s">
        <v>1835</v>
      </c>
      <c r="D248">
        <v>-63.381605499999999</v>
      </c>
      <c r="G248" t="s">
        <v>1844</v>
      </c>
      <c r="I248">
        <v>-56.098479330000011</v>
      </c>
    </row>
    <row r="249" spans="1:10" x14ac:dyDescent="0.3">
      <c r="A249" t="s">
        <v>1838</v>
      </c>
      <c r="C249">
        <v>-48.968308555</v>
      </c>
      <c r="G249" t="s">
        <v>1850</v>
      </c>
      <c r="I249">
        <v>-53.494416960000002</v>
      </c>
    </row>
    <row r="250" spans="1:10" x14ac:dyDescent="0.3">
      <c r="A250" t="s">
        <v>1842</v>
      </c>
      <c r="C250">
        <v>-41.807857985000005</v>
      </c>
      <c r="G250" t="s">
        <v>2178</v>
      </c>
      <c r="I250">
        <v>-68.091799646249996</v>
      </c>
    </row>
    <row r="251" spans="1:10" x14ac:dyDescent="0.3">
      <c r="A251" t="s">
        <v>1844</v>
      </c>
      <c r="C251">
        <v>-56.098479330000011</v>
      </c>
      <c r="G251" t="s">
        <v>2180</v>
      </c>
      <c r="I251">
        <v>-47.981137938750003</v>
      </c>
    </row>
    <row r="252" spans="1:10" x14ac:dyDescent="0.3">
      <c r="A252" t="s">
        <v>1850</v>
      </c>
      <c r="C252">
        <v>-53.494416960000002</v>
      </c>
      <c r="G252" t="s">
        <v>2184</v>
      </c>
      <c r="I252">
        <v>-54.179984115000003</v>
      </c>
    </row>
    <row r="253" spans="1:10" x14ac:dyDescent="0.3">
      <c r="A253" t="s">
        <v>2178</v>
      </c>
      <c r="C253">
        <v>-68.091799646249996</v>
      </c>
      <c r="G253" t="s">
        <v>2309</v>
      </c>
      <c r="I253">
        <v>-48.851075757500006</v>
      </c>
    </row>
    <row r="254" spans="1:10" x14ac:dyDescent="0.3">
      <c r="A254" t="s">
        <v>2180</v>
      </c>
      <c r="C254">
        <v>-47.981137938750003</v>
      </c>
      <c r="G254" t="s">
        <v>2313</v>
      </c>
      <c r="I254">
        <v>-49.273822400000007</v>
      </c>
    </row>
    <row r="255" spans="1:10" x14ac:dyDescent="0.3">
      <c r="A255" t="s">
        <v>2184</v>
      </c>
      <c r="C255">
        <v>-54.179984115000003</v>
      </c>
      <c r="G255" t="s">
        <v>2332</v>
      </c>
      <c r="I255">
        <v>-47.949503836249995</v>
      </c>
    </row>
    <row r="256" spans="1:10" x14ac:dyDescent="0.3">
      <c r="A256" t="s">
        <v>2309</v>
      </c>
      <c r="C256">
        <v>-48.851075757500006</v>
      </c>
      <c r="G256" t="s">
        <v>2334</v>
      </c>
      <c r="I256">
        <v>-50.701685199999993</v>
      </c>
    </row>
    <row r="257" spans="1:9" x14ac:dyDescent="0.3">
      <c r="A257" t="s">
        <v>2313</v>
      </c>
      <c r="C257">
        <v>-49.273822400000007</v>
      </c>
      <c r="G257" t="s">
        <v>2337</v>
      </c>
      <c r="I257">
        <v>-60.96903775000002</v>
      </c>
    </row>
    <row r="258" spans="1:9" x14ac:dyDescent="0.3">
      <c r="A258" t="s">
        <v>2332</v>
      </c>
      <c r="C258">
        <v>-47.949503836249995</v>
      </c>
      <c r="G258" t="s">
        <v>2339</v>
      </c>
      <c r="I258">
        <v>-50.470615270000003</v>
      </c>
    </row>
    <row r="259" spans="1:9" x14ac:dyDescent="0.3">
      <c r="A259" t="s">
        <v>2334</v>
      </c>
      <c r="C259">
        <v>-50.701685199999993</v>
      </c>
      <c r="G259" t="s">
        <v>2346</v>
      </c>
      <c r="I259">
        <v>-48.062546880000006</v>
      </c>
    </row>
    <row r="260" spans="1:9" x14ac:dyDescent="0.3">
      <c r="A260" t="s">
        <v>2337</v>
      </c>
      <c r="C260">
        <v>-60.96903775000002</v>
      </c>
      <c r="G260" t="s">
        <v>2363</v>
      </c>
      <c r="I260">
        <v>-65.877892154999984</v>
      </c>
    </row>
    <row r="261" spans="1:9" x14ac:dyDescent="0.3">
      <c r="A261" t="s">
        <v>2339</v>
      </c>
      <c r="C261">
        <v>-50.470615270000003</v>
      </c>
      <c r="G261" t="s">
        <v>2365</v>
      </c>
      <c r="I261">
        <v>-44.834492050000001</v>
      </c>
    </row>
    <row r="262" spans="1:9" x14ac:dyDescent="0.3">
      <c r="A262" t="s">
        <v>2346</v>
      </c>
      <c r="C262">
        <v>-48.062546880000006</v>
      </c>
      <c r="G262" t="s">
        <v>2369</v>
      </c>
      <c r="I262">
        <v>-47.906489842500001</v>
      </c>
    </row>
    <row r="263" spans="1:9" x14ac:dyDescent="0.3">
      <c r="A263" t="s">
        <v>2363</v>
      </c>
      <c r="C263">
        <v>-65.877892154999984</v>
      </c>
      <c r="G263" t="s">
        <v>2373</v>
      </c>
      <c r="I263">
        <v>-52.295673049999998</v>
      </c>
    </row>
    <row r="264" spans="1:9" x14ac:dyDescent="0.3">
      <c r="A264" t="s">
        <v>2365</v>
      </c>
      <c r="C264">
        <v>-44.834492050000001</v>
      </c>
      <c r="G264" t="s">
        <v>2391</v>
      </c>
      <c r="I264">
        <v>-40.666274587500006</v>
      </c>
    </row>
    <row r="265" spans="1:9" x14ac:dyDescent="0.3">
      <c r="A265" t="s">
        <v>2369</v>
      </c>
      <c r="C265">
        <v>-47.906489842500001</v>
      </c>
      <c r="G265" t="s">
        <v>2395</v>
      </c>
      <c r="I265">
        <v>-68.952759632500005</v>
      </c>
    </row>
    <row r="266" spans="1:9" x14ac:dyDescent="0.3">
      <c r="A266" t="s">
        <v>2373</v>
      </c>
      <c r="C266">
        <v>-52.295673049999998</v>
      </c>
      <c r="G266" t="s">
        <v>2399</v>
      </c>
      <c r="I266">
        <v>-60.112101215000003</v>
      </c>
    </row>
    <row r="267" spans="1:9" x14ac:dyDescent="0.3">
      <c r="A267" t="s">
        <v>2391</v>
      </c>
      <c r="C267">
        <v>-40.666274587500006</v>
      </c>
      <c r="G267" t="s">
        <v>2408</v>
      </c>
      <c r="I267">
        <v>-54.417701139999998</v>
      </c>
    </row>
    <row r="268" spans="1:9" x14ac:dyDescent="0.3">
      <c r="A268" t="s">
        <v>2395</v>
      </c>
      <c r="C268">
        <v>-68.952759632500005</v>
      </c>
      <c r="G268" t="s">
        <v>2410</v>
      </c>
      <c r="I268">
        <v>-57.601195772500013</v>
      </c>
    </row>
    <row r="269" spans="1:9" x14ac:dyDescent="0.3">
      <c r="A269" t="s">
        <v>2399</v>
      </c>
      <c r="C269">
        <v>-60.112101215000003</v>
      </c>
      <c r="G269" t="s">
        <v>2412</v>
      </c>
      <c r="I269">
        <v>-54.280639897500016</v>
      </c>
    </row>
    <row r="270" spans="1:9" x14ac:dyDescent="0.3">
      <c r="A270" t="s">
        <v>2408</v>
      </c>
      <c r="C270">
        <v>-54.417701139999998</v>
      </c>
      <c r="G270" t="s">
        <v>2417</v>
      </c>
      <c r="I270">
        <v>-46.909005855000011</v>
      </c>
    </row>
    <row r="271" spans="1:9" x14ac:dyDescent="0.3">
      <c r="A271" t="s">
        <v>2410</v>
      </c>
      <c r="C271">
        <v>-57.601195772500013</v>
      </c>
      <c r="G271" t="s">
        <v>2421</v>
      </c>
      <c r="I271">
        <v>-61.191635124999998</v>
      </c>
    </row>
    <row r="272" spans="1:9" x14ac:dyDescent="0.3">
      <c r="A272" t="s">
        <v>2412</v>
      </c>
      <c r="C272">
        <v>-54.280639897500016</v>
      </c>
      <c r="G272" t="s">
        <v>2426</v>
      </c>
      <c r="I272">
        <v>-44.293538227500001</v>
      </c>
    </row>
    <row r="273" spans="1:10" x14ac:dyDescent="0.3">
      <c r="A273" t="s">
        <v>2417</v>
      </c>
      <c r="C273">
        <v>-46.909005855000011</v>
      </c>
      <c r="G273" t="s">
        <v>2430</v>
      </c>
      <c r="I273">
        <v>-54.811928837500012</v>
      </c>
    </row>
    <row r="274" spans="1:10" x14ac:dyDescent="0.3">
      <c r="A274" t="s">
        <v>2421</v>
      </c>
      <c r="C274">
        <v>-61.191635124999998</v>
      </c>
      <c r="G274" t="s">
        <v>2442</v>
      </c>
      <c r="J274">
        <v>-51.81850475000001</v>
      </c>
    </row>
    <row r="275" spans="1:10" x14ac:dyDescent="0.3">
      <c r="A275" t="s">
        <v>2426</v>
      </c>
      <c r="C275">
        <v>-44.293538227500001</v>
      </c>
      <c r="G275" t="s">
        <v>2444</v>
      </c>
      <c r="J275">
        <v>-57.789373875000003</v>
      </c>
    </row>
    <row r="276" spans="1:10" x14ac:dyDescent="0.3">
      <c r="A276" t="s">
        <v>2430</v>
      </c>
      <c r="C276">
        <v>-54.811928837500012</v>
      </c>
      <c r="G276" t="s">
        <v>2447</v>
      </c>
      <c r="J276">
        <v>-63.822352124999988</v>
      </c>
    </row>
    <row r="277" spans="1:10" x14ac:dyDescent="0.3">
      <c r="A277" t="s">
        <v>2442</v>
      </c>
      <c r="D277">
        <v>-51.81850475000001</v>
      </c>
      <c r="G277" t="s">
        <v>2449</v>
      </c>
      <c r="J277">
        <v>-47.660550625000006</v>
      </c>
    </row>
    <row r="278" spans="1:10" x14ac:dyDescent="0.3">
      <c r="A278" t="s">
        <v>2444</v>
      </c>
      <c r="D278">
        <v>-57.789373875000003</v>
      </c>
      <c r="G278" t="s">
        <v>2482</v>
      </c>
      <c r="J278">
        <v>-48.175260999999999</v>
      </c>
    </row>
    <row r="279" spans="1:10" x14ac:dyDescent="0.3">
      <c r="A279" t="s">
        <v>2447</v>
      </c>
      <c r="D279">
        <v>-63.822352124999988</v>
      </c>
      <c r="G279" t="s">
        <v>2507</v>
      </c>
      <c r="J279">
        <v>-55.556027750000005</v>
      </c>
    </row>
    <row r="280" spans="1:10" x14ac:dyDescent="0.3">
      <c r="A280" t="s">
        <v>2449</v>
      </c>
      <c r="D280">
        <v>-47.660550625000006</v>
      </c>
      <c r="G280" t="s">
        <v>2522</v>
      </c>
      <c r="J280">
        <v>-58.384092500000001</v>
      </c>
    </row>
    <row r="281" spans="1:10" x14ac:dyDescent="0.3">
      <c r="A281" t="s">
        <v>2482</v>
      </c>
      <c r="D281">
        <v>-48.175260999999999</v>
      </c>
      <c r="G281" t="s">
        <v>2523</v>
      </c>
      <c r="J281">
        <v>-63.531274500000002</v>
      </c>
    </row>
    <row r="282" spans="1:10" x14ac:dyDescent="0.3">
      <c r="A282" t="s">
        <v>2507</v>
      </c>
      <c r="D282">
        <v>-55.556027750000005</v>
      </c>
      <c r="G282" t="s">
        <v>2525</v>
      </c>
      <c r="J282">
        <v>-40.842344250000004</v>
      </c>
    </row>
    <row r="283" spans="1:10" x14ac:dyDescent="0.3">
      <c r="A283" t="s">
        <v>2522</v>
      </c>
      <c r="D283">
        <v>-58.384092500000001</v>
      </c>
      <c r="G283" t="s">
        <v>2526</v>
      </c>
      <c r="J283">
        <v>-42.366652875000007</v>
      </c>
    </row>
    <row r="284" spans="1:10" x14ac:dyDescent="0.3">
      <c r="A284" t="s">
        <v>2523</v>
      </c>
      <c r="D284">
        <v>-63.531274500000002</v>
      </c>
      <c r="G284" t="s">
        <v>2527</v>
      </c>
      <c r="J284">
        <v>-64.325877749999989</v>
      </c>
    </row>
    <row r="285" spans="1:10" x14ac:dyDescent="0.3">
      <c r="A285" t="s">
        <v>2525</v>
      </c>
      <c r="D285">
        <v>-40.842344250000004</v>
      </c>
      <c r="G285" t="s">
        <v>2528</v>
      </c>
      <c r="J285">
        <v>-43.776128500000006</v>
      </c>
    </row>
    <row r="286" spans="1:10" x14ac:dyDescent="0.3">
      <c r="A286" t="s">
        <v>2526</v>
      </c>
      <c r="D286">
        <v>-42.366652875000007</v>
      </c>
      <c r="G286" t="s">
        <v>2537</v>
      </c>
      <c r="J286">
        <v>-59.05641275</v>
      </c>
    </row>
    <row r="287" spans="1:10" x14ac:dyDescent="0.3">
      <c r="A287" t="s">
        <v>2527</v>
      </c>
      <c r="D287">
        <v>-64.325877749999989</v>
      </c>
      <c r="G287" t="s">
        <v>2540</v>
      </c>
      <c r="J287">
        <v>-48.714509499999998</v>
      </c>
    </row>
    <row r="288" spans="1:10" x14ac:dyDescent="0.3">
      <c r="A288" t="s">
        <v>2528</v>
      </c>
      <c r="D288">
        <v>-43.776128500000006</v>
      </c>
      <c r="G288" t="s">
        <v>2546</v>
      </c>
      <c r="J288">
        <v>-59.439369499999991</v>
      </c>
    </row>
    <row r="289" spans="1:10" x14ac:dyDescent="0.3">
      <c r="A289" t="s">
        <v>2537</v>
      </c>
      <c r="D289">
        <v>-59.05641275</v>
      </c>
      <c r="G289" t="s">
        <v>2560</v>
      </c>
      <c r="J289">
        <v>-55.724462999999993</v>
      </c>
    </row>
    <row r="290" spans="1:10" x14ac:dyDescent="0.3">
      <c r="A290" t="s">
        <v>2540</v>
      </c>
      <c r="D290">
        <v>-48.714509499999998</v>
      </c>
      <c r="G290" t="s">
        <v>2563</v>
      </c>
      <c r="J290">
        <v>-47.5397745</v>
      </c>
    </row>
    <row r="291" spans="1:10" x14ac:dyDescent="0.3">
      <c r="A291" t="s">
        <v>2546</v>
      </c>
      <c r="D291">
        <v>-59.439369499999991</v>
      </c>
      <c r="G291" t="s">
        <v>2630</v>
      </c>
      <c r="H291">
        <v>-52.512242243750002</v>
      </c>
    </row>
    <row r="292" spans="1:10" x14ac:dyDescent="0.3">
      <c r="A292" t="s">
        <v>2560</v>
      </c>
      <c r="D292">
        <v>-55.724462999999993</v>
      </c>
    </row>
    <row r="293" spans="1:10" x14ac:dyDescent="0.3">
      <c r="A293" t="s">
        <v>2563</v>
      </c>
      <c r="D293">
        <v>-47.5397745</v>
      </c>
    </row>
    <row r="294" spans="1:10" x14ac:dyDescent="0.3">
      <c r="A294" t="s">
        <v>2630</v>
      </c>
      <c r="B294">
        <v>-52.512242243750002</v>
      </c>
    </row>
  </sheetData>
  <mergeCells count="2">
    <mergeCell ref="Q5:S5"/>
    <mergeCell ref="N5:P5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B88"/>
  <sheetViews>
    <sheetView showGridLines="0" zoomScaleNormal="100" workbookViewId="0">
      <selection activeCell="B5" sqref="B5"/>
    </sheetView>
  </sheetViews>
  <sheetFormatPr defaultColWidth="11.44140625" defaultRowHeight="14.4" x14ac:dyDescent="0.3"/>
  <cols>
    <col min="1" max="1" width="19.33203125" bestFit="1" customWidth="1"/>
    <col min="2" max="9" width="19" bestFit="1" customWidth="1"/>
    <col min="10" max="11" width="21.88671875" customWidth="1"/>
    <col min="12" max="12" width="12.6640625" customWidth="1"/>
    <col min="13" max="13" width="16.109375" bestFit="1" customWidth="1"/>
    <col min="14" max="14" width="21" bestFit="1" customWidth="1"/>
    <col min="15" max="15" width="17.44140625" bestFit="1" customWidth="1"/>
    <col min="16" max="16" width="17.44140625" customWidth="1"/>
    <col min="17" max="17" width="33.44140625" bestFit="1" customWidth="1"/>
    <col min="18" max="22" width="12.6640625" bestFit="1" customWidth="1"/>
  </cols>
  <sheetData>
    <row r="2" spans="1:28" x14ac:dyDescent="0.3">
      <c r="A2" s="8" t="s">
        <v>2713</v>
      </c>
      <c r="B2" t="s">
        <v>2756</v>
      </c>
    </row>
    <row r="3" spans="1:28" x14ac:dyDescent="0.3">
      <c r="A3" s="8" t="s">
        <v>2</v>
      </c>
      <c r="B3" t="s">
        <v>2766</v>
      </c>
    </row>
    <row r="4" spans="1:28" x14ac:dyDescent="0.3">
      <c r="A4" s="8" t="s">
        <v>2714</v>
      </c>
      <c r="B4" t="s">
        <v>2744</v>
      </c>
      <c r="AA4" s="11"/>
      <c r="AB4" s="11"/>
    </row>
    <row r="5" spans="1:28" x14ac:dyDescent="0.3">
      <c r="A5" s="8" t="s">
        <v>2747</v>
      </c>
      <c r="B5" t="s">
        <v>2756</v>
      </c>
      <c r="R5" s="19"/>
      <c r="S5" s="63"/>
      <c r="T5" s="63"/>
      <c r="U5" s="63"/>
      <c r="Z5" s="11"/>
    </row>
    <row r="6" spans="1:28" x14ac:dyDescent="0.3">
      <c r="Z6" s="11"/>
    </row>
    <row r="7" spans="1:28" x14ac:dyDescent="0.3">
      <c r="A7" s="8" t="s">
        <v>2757</v>
      </c>
      <c r="B7" s="8" t="s">
        <v>2705</v>
      </c>
      <c r="C7" s="8" t="s">
        <v>2760</v>
      </c>
      <c r="D7" s="8" t="s">
        <v>2749</v>
      </c>
      <c r="M7" t="s">
        <v>2795</v>
      </c>
      <c r="N7" t="s">
        <v>2794</v>
      </c>
      <c r="O7" t="s">
        <v>2796</v>
      </c>
      <c r="Q7" t="s">
        <v>2797</v>
      </c>
    </row>
    <row r="8" spans="1:28" x14ac:dyDescent="0.3">
      <c r="B8" t="s">
        <v>2696</v>
      </c>
      <c r="E8" t="s">
        <v>2695</v>
      </c>
      <c r="O8">
        <v>-54.712499999999999</v>
      </c>
    </row>
    <row r="9" spans="1:28" x14ac:dyDescent="0.3">
      <c r="B9" t="s">
        <v>2763</v>
      </c>
      <c r="D9" t="s">
        <v>2762</v>
      </c>
      <c r="E9" t="s">
        <v>2762</v>
      </c>
      <c r="F9" t="s">
        <v>2761</v>
      </c>
      <c r="Q9">
        <v>-29.85</v>
      </c>
      <c r="R9" s="11"/>
      <c r="S9" s="11"/>
    </row>
    <row r="10" spans="1:28" x14ac:dyDescent="0.3">
      <c r="A10" s="8" t="s">
        <v>0</v>
      </c>
      <c r="B10" t="s">
        <v>2750</v>
      </c>
      <c r="C10" t="s">
        <v>2752</v>
      </c>
      <c r="D10" t="s">
        <v>2750</v>
      </c>
      <c r="E10" t="s">
        <v>2750</v>
      </c>
      <c r="F10" t="s">
        <v>2750</v>
      </c>
      <c r="G10" t="s">
        <v>2751</v>
      </c>
      <c r="H10" t="s">
        <v>2754</v>
      </c>
      <c r="Q10">
        <v>-51.9375</v>
      </c>
    </row>
    <row r="11" spans="1:28" x14ac:dyDescent="0.3">
      <c r="A11" t="s">
        <v>92</v>
      </c>
      <c r="F11">
        <v>-54.712499999999999</v>
      </c>
      <c r="M11">
        <v>-46.647500000000001</v>
      </c>
    </row>
    <row r="12" spans="1:28" x14ac:dyDescent="0.3">
      <c r="A12" t="s">
        <v>602</v>
      </c>
      <c r="H12">
        <v>-51.9375</v>
      </c>
      <c r="M12">
        <v>-43.110750000000003</v>
      </c>
    </row>
    <row r="13" spans="1:28" x14ac:dyDescent="0.3">
      <c r="A13" t="s">
        <v>976</v>
      </c>
      <c r="C13">
        <v>-46.647500000000001</v>
      </c>
      <c r="O13">
        <v>-53.437500000000007</v>
      </c>
    </row>
    <row r="14" spans="1:28" x14ac:dyDescent="0.3">
      <c r="A14" t="s">
        <v>981</v>
      </c>
      <c r="C14">
        <v>-43.110750000000003</v>
      </c>
      <c r="M14">
        <v>-30.554749999999995</v>
      </c>
    </row>
    <row r="15" spans="1:28" x14ac:dyDescent="0.3">
      <c r="A15" t="s">
        <v>1000</v>
      </c>
      <c r="F15">
        <v>-53.437500000000007</v>
      </c>
      <c r="M15">
        <v>-52.549250000000001</v>
      </c>
    </row>
    <row r="16" spans="1:28" x14ac:dyDescent="0.3">
      <c r="A16" t="s">
        <v>1026</v>
      </c>
      <c r="B16">
        <v>-52.549250000000001</v>
      </c>
      <c r="M16">
        <v>-49.614500000000007</v>
      </c>
    </row>
    <row r="17" spans="1:21" x14ac:dyDescent="0.3">
      <c r="A17" t="s">
        <v>1028</v>
      </c>
      <c r="B17">
        <v>-49.614500000000007</v>
      </c>
      <c r="M17">
        <v>-46.851749999999996</v>
      </c>
      <c r="T17" s="11"/>
      <c r="U17" s="11"/>
    </row>
    <row r="18" spans="1:21" x14ac:dyDescent="0.3">
      <c r="A18" t="s">
        <v>1272</v>
      </c>
      <c r="C18">
        <v>-46.851749999999996</v>
      </c>
      <c r="N18">
        <v>-42.357925995000002</v>
      </c>
      <c r="U18" s="11"/>
    </row>
    <row r="19" spans="1:21" x14ac:dyDescent="0.3">
      <c r="A19" t="s">
        <v>1747</v>
      </c>
      <c r="E19">
        <v>-42.357925995000002</v>
      </c>
      <c r="N19">
        <v>-38.068849069999999</v>
      </c>
    </row>
    <row r="20" spans="1:21" x14ac:dyDescent="0.3">
      <c r="A20" t="s">
        <v>1756</v>
      </c>
      <c r="E20">
        <v>-38.068849069999999</v>
      </c>
      <c r="N20">
        <v>-52.556722539999996</v>
      </c>
    </row>
    <row r="21" spans="1:21" x14ac:dyDescent="0.3">
      <c r="A21" t="s">
        <v>2201</v>
      </c>
      <c r="E21">
        <v>-52.556722539999996</v>
      </c>
      <c r="N21">
        <v>-37.865720725000003</v>
      </c>
    </row>
    <row r="22" spans="1:21" x14ac:dyDescent="0.3">
      <c r="A22" t="s">
        <v>2207</v>
      </c>
      <c r="E22">
        <v>-37.865720725000003</v>
      </c>
      <c r="N22">
        <v>-48.019215265000007</v>
      </c>
    </row>
    <row r="23" spans="1:21" x14ac:dyDescent="0.3">
      <c r="A23" t="s">
        <v>2215</v>
      </c>
      <c r="E23">
        <v>-48.019215265000007</v>
      </c>
      <c r="N23">
        <v>-34.964931049999997</v>
      </c>
    </row>
    <row r="24" spans="1:21" x14ac:dyDescent="0.3">
      <c r="A24" t="s">
        <v>2232</v>
      </c>
      <c r="E24">
        <v>-47.279769635000001</v>
      </c>
      <c r="N24">
        <v>-47.279769635000001</v>
      </c>
    </row>
    <row r="25" spans="1:21" x14ac:dyDescent="0.3">
      <c r="A25" t="s">
        <v>2234</v>
      </c>
      <c r="E25">
        <v>-43.942034815000007</v>
      </c>
      <c r="N25">
        <v>-43.942034815000007</v>
      </c>
    </row>
    <row r="26" spans="1:21" x14ac:dyDescent="0.3">
      <c r="A26" t="s">
        <v>2267</v>
      </c>
      <c r="E26">
        <v>-51.923955825</v>
      </c>
      <c r="N26">
        <v>-51.923955825</v>
      </c>
    </row>
    <row r="27" spans="1:21" x14ac:dyDescent="0.3">
      <c r="A27" t="s">
        <v>2062</v>
      </c>
      <c r="H27">
        <v>-37.864625000000004</v>
      </c>
      <c r="Q27">
        <v>-37.864625000000004</v>
      </c>
    </row>
    <row r="28" spans="1:21" x14ac:dyDescent="0.3">
      <c r="A28" t="s">
        <v>2104</v>
      </c>
      <c r="G28">
        <v>-51.550561999999999</v>
      </c>
      <c r="P28">
        <v>-51.550561999999999</v>
      </c>
    </row>
    <row r="29" spans="1:21" x14ac:dyDescent="0.3">
      <c r="A29" t="s">
        <v>2121</v>
      </c>
      <c r="G29">
        <v>-51.858783000000003</v>
      </c>
      <c r="P29">
        <v>-51.858783000000003</v>
      </c>
    </row>
    <row r="30" spans="1:21" x14ac:dyDescent="0.3">
      <c r="A30" t="s">
        <v>1730</v>
      </c>
      <c r="B30">
        <v>-45.568366087500003</v>
      </c>
      <c r="M30">
        <v>-34.894203252499999</v>
      </c>
    </row>
    <row r="31" spans="1:21" x14ac:dyDescent="0.3">
      <c r="A31" t="s">
        <v>1767</v>
      </c>
      <c r="B31">
        <v>-40.431652200000002</v>
      </c>
      <c r="M31">
        <v>-29.100380242500002</v>
      </c>
    </row>
    <row r="32" spans="1:21" x14ac:dyDescent="0.3">
      <c r="A32" t="s">
        <v>1772</v>
      </c>
      <c r="B32">
        <v>-54.803359665000009</v>
      </c>
      <c r="O32">
        <v>-26.812774867499996</v>
      </c>
    </row>
    <row r="33" spans="1:13" x14ac:dyDescent="0.3">
      <c r="A33" t="s">
        <v>1774</v>
      </c>
      <c r="B33">
        <v>-36.180865485000005</v>
      </c>
      <c r="M33">
        <v>-32.598336824999997</v>
      </c>
    </row>
    <row r="34" spans="1:13" x14ac:dyDescent="0.3">
      <c r="A34" t="s">
        <v>1777</v>
      </c>
      <c r="B34">
        <v>-41.400765022499996</v>
      </c>
      <c r="M34">
        <v>-45.568366087500003</v>
      </c>
    </row>
    <row r="35" spans="1:13" x14ac:dyDescent="0.3">
      <c r="A35" t="s">
        <v>1780</v>
      </c>
      <c r="B35">
        <v>-39.964426132500002</v>
      </c>
      <c r="M35">
        <v>-34.544881035000003</v>
      </c>
    </row>
    <row r="36" spans="1:13" x14ac:dyDescent="0.3">
      <c r="A36" t="s">
        <v>1785</v>
      </c>
      <c r="B36">
        <v>-50.113075432499997</v>
      </c>
      <c r="M36">
        <v>-40.431652200000002</v>
      </c>
    </row>
    <row r="37" spans="1:13" x14ac:dyDescent="0.3">
      <c r="A37" t="s">
        <v>1789</v>
      </c>
      <c r="B37">
        <v>-35.716412272500001</v>
      </c>
      <c r="M37">
        <v>-26.927848349999994</v>
      </c>
    </row>
    <row r="38" spans="1:13" x14ac:dyDescent="0.3">
      <c r="A38" t="s">
        <v>1791</v>
      </c>
      <c r="B38">
        <v>-47.377653975000001</v>
      </c>
      <c r="M38">
        <v>-54.803359665000009</v>
      </c>
    </row>
    <row r="39" spans="1:13" x14ac:dyDescent="0.3">
      <c r="A39" t="s">
        <v>1797</v>
      </c>
      <c r="B39">
        <v>-53.293540117500001</v>
      </c>
      <c r="M39">
        <v>-36.180865485000005</v>
      </c>
    </row>
    <row r="40" spans="1:13" x14ac:dyDescent="0.3">
      <c r="A40" t="s">
        <v>1802</v>
      </c>
      <c r="B40">
        <v>-39.613659975000004</v>
      </c>
      <c r="M40">
        <v>-41.400765022499996</v>
      </c>
    </row>
    <row r="41" spans="1:13" x14ac:dyDescent="0.3">
      <c r="A41" t="s">
        <v>1806</v>
      </c>
      <c r="B41">
        <v>-39.594249990000002</v>
      </c>
      <c r="M41">
        <v>-39.964426132500002</v>
      </c>
    </row>
    <row r="42" spans="1:13" x14ac:dyDescent="0.3">
      <c r="A42" t="s">
        <v>1812</v>
      </c>
      <c r="B42">
        <v>-37.934696272500005</v>
      </c>
      <c r="M42">
        <v>-33.670045282500006</v>
      </c>
    </row>
    <row r="43" spans="1:13" x14ac:dyDescent="0.3">
      <c r="A43" t="s">
        <v>1820</v>
      </c>
      <c r="D43">
        <v>-40.116933157500007</v>
      </c>
      <c r="M43">
        <v>-50.113075432499997</v>
      </c>
    </row>
    <row r="44" spans="1:13" x14ac:dyDescent="0.3">
      <c r="A44" t="s">
        <v>1846</v>
      </c>
      <c r="E44">
        <v>-42.990986400000004</v>
      </c>
      <c r="M44">
        <v>-27.939940425</v>
      </c>
    </row>
    <row r="45" spans="1:13" x14ac:dyDescent="0.3">
      <c r="A45" t="s">
        <v>2289</v>
      </c>
      <c r="B45">
        <v>-41.394625267500004</v>
      </c>
      <c r="M45">
        <v>-35.716412272500001</v>
      </c>
    </row>
    <row r="46" spans="1:13" x14ac:dyDescent="0.3">
      <c r="A46" t="s">
        <v>2351</v>
      </c>
      <c r="E46">
        <v>-43.676117439999999</v>
      </c>
      <c r="M46">
        <v>-47.377653975000001</v>
      </c>
    </row>
    <row r="47" spans="1:13" x14ac:dyDescent="0.3">
      <c r="A47" t="s">
        <v>2355</v>
      </c>
      <c r="E47">
        <v>-44.321822855000001</v>
      </c>
      <c r="M47">
        <v>-30.630996202499997</v>
      </c>
    </row>
    <row r="48" spans="1:13" x14ac:dyDescent="0.3">
      <c r="A48" t="s">
        <v>2384</v>
      </c>
      <c r="E48">
        <v>-51.558553864999993</v>
      </c>
      <c r="M48">
        <v>-53.293540117500001</v>
      </c>
    </row>
    <row r="49" spans="1:17" x14ac:dyDescent="0.3">
      <c r="A49" t="s">
        <v>2466</v>
      </c>
      <c r="F49">
        <v>-53.967247999999998</v>
      </c>
      <c r="M49">
        <v>-32.411169112499998</v>
      </c>
    </row>
    <row r="50" spans="1:17" x14ac:dyDescent="0.3">
      <c r="A50" t="s">
        <v>2485</v>
      </c>
      <c r="H50">
        <v>-53.598146249999999</v>
      </c>
      <c r="M50">
        <v>-39.613659975000004</v>
      </c>
    </row>
    <row r="51" spans="1:17" x14ac:dyDescent="0.3">
      <c r="A51" t="s">
        <v>2506</v>
      </c>
      <c r="F51">
        <v>-37.17081975</v>
      </c>
      <c r="M51">
        <v>-39.594249990000002</v>
      </c>
    </row>
    <row r="52" spans="1:17" x14ac:dyDescent="0.3">
      <c r="A52" t="s">
        <v>2514</v>
      </c>
      <c r="H52">
        <v>-39.336625500000004</v>
      </c>
      <c r="M52">
        <v>-28.282388017499997</v>
      </c>
    </row>
    <row r="53" spans="1:17" x14ac:dyDescent="0.3">
      <c r="A53" t="s">
        <v>2534</v>
      </c>
      <c r="F53">
        <v>-49.760336750000008</v>
      </c>
      <c r="M53">
        <v>-37.934696272500005</v>
      </c>
    </row>
    <row r="54" spans="1:17" x14ac:dyDescent="0.3">
      <c r="A54" t="s">
        <v>2552</v>
      </c>
      <c r="F54">
        <v>-50.099338000000003</v>
      </c>
      <c r="M54">
        <v>-40.116933157500007</v>
      </c>
    </row>
    <row r="55" spans="1:17" x14ac:dyDescent="0.3">
      <c r="A55" t="s">
        <v>2554</v>
      </c>
      <c r="H55">
        <v>-51.889034500000001</v>
      </c>
      <c r="M55">
        <v>-31.044151597500001</v>
      </c>
    </row>
    <row r="56" spans="1:17" x14ac:dyDescent="0.3">
      <c r="A56" t="s">
        <v>2640</v>
      </c>
      <c r="B56">
        <v>-39.815431025000002</v>
      </c>
      <c r="N56">
        <v>-42.990986400000004</v>
      </c>
    </row>
    <row r="57" spans="1:17" x14ac:dyDescent="0.3">
      <c r="A57" t="s">
        <v>2659</v>
      </c>
      <c r="B57">
        <v>-40.407773225000007</v>
      </c>
      <c r="M57">
        <v>-41.394625267500004</v>
      </c>
    </row>
    <row r="58" spans="1:17" x14ac:dyDescent="0.3">
      <c r="A58" t="s">
        <v>2658</v>
      </c>
      <c r="B58">
        <v>-42.057281712500007</v>
      </c>
      <c r="N58">
        <v>-43.676117439999999</v>
      </c>
    </row>
    <row r="59" spans="1:17" x14ac:dyDescent="0.3">
      <c r="A59" t="s">
        <v>2652</v>
      </c>
      <c r="B59">
        <v>-46.918052775000007</v>
      </c>
      <c r="N59">
        <v>-44.321822855000001</v>
      </c>
    </row>
    <row r="60" spans="1:17" x14ac:dyDescent="0.3">
      <c r="A60" t="s">
        <v>2651</v>
      </c>
      <c r="B60">
        <v>-48.19049157500001</v>
      </c>
      <c r="N60">
        <v>-51.558553864999993</v>
      </c>
    </row>
    <row r="61" spans="1:17" x14ac:dyDescent="0.3">
      <c r="A61" t="s">
        <v>2644</v>
      </c>
      <c r="B61">
        <v>-42.193026800000005</v>
      </c>
      <c r="M61">
        <v>-24.049157664999999</v>
      </c>
    </row>
    <row r="62" spans="1:17" x14ac:dyDescent="0.3">
      <c r="A62" t="s">
        <v>2641</v>
      </c>
      <c r="B62">
        <v>-40.753306175000006</v>
      </c>
      <c r="O62">
        <v>-53.967247999999998</v>
      </c>
    </row>
    <row r="63" spans="1:17" x14ac:dyDescent="0.3">
      <c r="A63" t="s">
        <v>2639</v>
      </c>
      <c r="B63">
        <v>-50.941043550000003</v>
      </c>
      <c r="Q63">
        <v>-53.598146249999999</v>
      </c>
    </row>
    <row r="64" spans="1:17" x14ac:dyDescent="0.3">
      <c r="A64" t="s">
        <v>2636</v>
      </c>
      <c r="B64">
        <v>-50.326762750000007</v>
      </c>
      <c r="O64">
        <v>-37.17081975</v>
      </c>
    </row>
    <row r="65" spans="1:17" x14ac:dyDescent="0.3">
      <c r="A65" t="s">
        <v>2635</v>
      </c>
      <c r="B65">
        <v>-53.400909075000008</v>
      </c>
      <c r="Q65">
        <v>-39.336625500000004</v>
      </c>
    </row>
    <row r="66" spans="1:17" x14ac:dyDescent="0.3">
      <c r="A66" t="s">
        <v>2634</v>
      </c>
      <c r="B66">
        <v>-52.327288837500006</v>
      </c>
      <c r="O66">
        <v>-49.760336750000008</v>
      </c>
    </row>
    <row r="67" spans="1:17" x14ac:dyDescent="0.3">
      <c r="A67" t="s">
        <v>2633</v>
      </c>
      <c r="B67">
        <v>-48.163068324999998</v>
      </c>
      <c r="O67">
        <v>-50.099338000000003</v>
      </c>
    </row>
    <row r="68" spans="1:17" x14ac:dyDescent="0.3">
      <c r="Q68">
        <v>-51.889034500000001</v>
      </c>
    </row>
    <row r="69" spans="1:17" x14ac:dyDescent="0.3">
      <c r="M69">
        <v>-39.815431025000002</v>
      </c>
    </row>
    <row r="70" spans="1:17" x14ac:dyDescent="0.3">
      <c r="M70">
        <v>-40.407773225000007</v>
      </c>
    </row>
    <row r="71" spans="1:17" x14ac:dyDescent="0.3">
      <c r="M71">
        <v>-25.078176474999996</v>
      </c>
    </row>
    <row r="72" spans="1:17" x14ac:dyDescent="0.3">
      <c r="M72">
        <v>-42.057281712500007</v>
      </c>
    </row>
    <row r="73" spans="1:17" x14ac:dyDescent="0.3">
      <c r="M73">
        <v>-25.732220987500003</v>
      </c>
    </row>
    <row r="74" spans="1:17" x14ac:dyDescent="0.3">
      <c r="M74">
        <v>-46.918052775000007</v>
      </c>
    </row>
    <row r="75" spans="1:17" x14ac:dyDescent="0.3">
      <c r="M75">
        <v>-48.19049157500001</v>
      </c>
    </row>
    <row r="76" spans="1:17" x14ac:dyDescent="0.3">
      <c r="M76">
        <v>-32.651106962499995</v>
      </c>
    </row>
    <row r="77" spans="1:17" x14ac:dyDescent="0.3">
      <c r="M77">
        <v>-30.551857174999999</v>
      </c>
    </row>
    <row r="78" spans="1:17" x14ac:dyDescent="0.3">
      <c r="M78">
        <v>-28.900977525000002</v>
      </c>
    </row>
    <row r="79" spans="1:17" x14ac:dyDescent="0.3">
      <c r="M79">
        <v>-42.193026800000005</v>
      </c>
    </row>
    <row r="80" spans="1:17" x14ac:dyDescent="0.3">
      <c r="M80">
        <v>-32.077961037500003</v>
      </c>
    </row>
    <row r="81" spans="13:13" x14ac:dyDescent="0.3">
      <c r="M81">
        <v>-40.753306175000006</v>
      </c>
    </row>
    <row r="82" spans="13:13" x14ac:dyDescent="0.3">
      <c r="M82">
        <v>-50.941043550000003</v>
      </c>
    </row>
    <row r="83" spans="13:13" x14ac:dyDescent="0.3">
      <c r="M83">
        <v>-33.202314287500002</v>
      </c>
    </row>
    <row r="84" spans="13:13" x14ac:dyDescent="0.3">
      <c r="M84">
        <v>-50.326762750000007</v>
      </c>
    </row>
    <row r="85" spans="13:13" x14ac:dyDescent="0.3">
      <c r="M85">
        <v>-53.400909075000008</v>
      </c>
    </row>
    <row r="86" spans="13:13" x14ac:dyDescent="0.3">
      <c r="M86">
        <v>-52.327288837500006</v>
      </c>
    </row>
    <row r="87" spans="13:13" x14ac:dyDescent="0.3">
      <c r="M87">
        <v>-48.163068324999998</v>
      </c>
    </row>
    <row r="88" spans="13:13" x14ac:dyDescent="0.3">
      <c r="M88">
        <v>-27.682014062499999</v>
      </c>
    </row>
  </sheetData>
  <mergeCells count="1">
    <mergeCell ref="S5:U5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C148"/>
  <sheetViews>
    <sheetView showGridLines="0" topLeftCell="D1" zoomScaleNormal="100" workbookViewId="0">
      <selection activeCell="Q15" sqref="Q1:Q1048576"/>
    </sheetView>
  </sheetViews>
  <sheetFormatPr defaultColWidth="11.44140625" defaultRowHeight="14.4" x14ac:dyDescent="0.3"/>
  <cols>
    <col min="1" max="1" width="21.6640625" customWidth="1"/>
    <col min="2" max="2" width="21.88671875" customWidth="1"/>
    <col min="3" max="6" width="21.88671875" bestFit="1" customWidth="1"/>
    <col min="7" max="11" width="21.88671875" customWidth="1"/>
    <col min="12" max="17" width="12.6640625" customWidth="1"/>
    <col min="18" max="23" width="12.6640625" bestFit="1" customWidth="1"/>
  </cols>
  <sheetData>
    <row r="2" spans="1:29" x14ac:dyDescent="0.3">
      <c r="A2" s="8" t="s">
        <v>2713</v>
      </c>
      <c r="B2" t="s">
        <v>2756</v>
      </c>
    </row>
    <row r="3" spans="1:29" x14ac:dyDescent="0.3">
      <c r="A3" s="8" t="s">
        <v>2</v>
      </c>
      <c r="B3" t="s">
        <v>2766</v>
      </c>
    </row>
    <row r="4" spans="1:29" x14ac:dyDescent="0.3">
      <c r="A4" s="8" t="s">
        <v>2714</v>
      </c>
      <c r="B4" t="s">
        <v>2744</v>
      </c>
      <c r="AB4" s="11"/>
      <c r="AC4" s="11"/>
    </row>
    <row r="5" spans="1:29" x14ac:dyDescent="0.3">
      <c r="A5" s="8" t="s">
        <v>2747</v>
      </c>
      <c r="B5" t="s">
        <v>2756</v>
      </c>
      <c r="R5" s="63"/>
      <c r="S5" s="63"/>
      <c r="T5" s="63"/>
      <c r="U5" s="63"/>
      <c r="V5" s="63"/>
      <c r="AA5" s="11"/>
    </row>
    <row r="6" spans="1:29" x14ac:dyDescent="0.3">
      <c r="AA6" s="11"/>
    </row>
    <row r="7" spans="1:29" x14ac:dyDescent="0.3">
      <c r="A7" s="8" t="s">
        <v>2757</v>
      </c>
      <c r="B7" s="8" t="s">
        <v>2705</v>
      </c>
      <c r="C7" s="8" t="s">
        <v>2760</v>
      </c>
      <c r="D7" s="8" t="s">
        <v>2749</v>
      </c>
      <c r="M7" t="s">
        <v>2798</v>
      </c>
      <c r="N7" t="s">
        <v>2799</v>
      </c>
      <c r="O7" t="s">
        <v>2800</v>
      </c>
      <c r="P7" t="s">
        <v>2801</v>
      </c>
      <c r="Q7" t="s">
        <v>2802</v>
      </c>
    </row>
    <row r="8" spans="1:29" x14ac:dyDescent="0.3">
      <c r="B8" t="s">
        <v>2696</v>
      </c>
      <c r="F8" t="s">
        <v>2695</v>
      </c>
      <c r="O8">
        <v>-54.712499999999999</v>
      </c>
    </row>
    <row r="9" spans="1:29" x14ac:dyDescent="0.3">
      <c r="B9" t="s">
        <v>2763</v>
      </c>
      <c r="D9" t="s">
        <v>2762</v>
      </c>
      <c r="E9" t="s">
        <v>2761</v>
      </c>
      <c r="F9" t="s">
        <v>2763</v>
      </c>
      <c r="G9" t="s">
        <v>2762</v>
      </c>
      <c r="H9" t="s">
        <v>2761</v>
      </c>
      <c r="O9">
        <v>-55.162500000000001</v>
      </c>
      <c r="S9" s="11"/>
      <c r="T9" s="11"/>
    </row>
    <row r="10" spans="1:29" x14ac:dyDescent="0.3">
      <c r="A10" s="8" t="s">
        <v>0</v>
      </c>
      <c r="B10" t="s">
        <v>2750</v>
      </c>
      <c r="C10" t="s">
        <v>2752</v>
      </c>
      <c r="D10" t="s">
        <v>2750</v>
      </c>
      <c r="E10" t="s">
        <v>2750</v>
      </c>
      <c r="F10" t="s">
        <v>2750</v>
      </c>
      <c r="G10" t="s">
        <v>2750</v>
      </c>
      <c r="H10" t="s">
        <v>2750</v>
      </c>
      <c r="I10" t="s">
        <v>2751</v>
      </c>
      <c r="J10" t="s">
        <v>2753</v>
      </c>
      <c r="K10" t="s">
        <v>2754</v>
      </c>
      <c r="Q10">
        <v>-57.487499999999997</v>
      </c>
    </row>
    <row r="11" spans="1:29" x14ac:dyDescent="0.3">
      <c r="A11" t="s">
        <v>92</v>
      </c>
      <c r="H11">
        <v>-54.712499999999999</v>
      </c>
      <c r="Q11">
        <v>-66.087500000000006</v>
      </c>
    </row>
    <row r="12" spans="1:29" x14ac:dyDescent="0.3">
      <c r="A12" t="s">
        <v>95</v>
      </c>
      <c r="H12">
        <v>-55.162500000000001</v>
      </c>
      <c r="O12">
        <v>-57.975000000000001</v>
      </c>
    </row>
    <row r="13" spans="1:29" x14ac:dyDescent="0.3">
      <c r="A13" t="s">
        <v>232</v>
      </c>
      <c r="K13">
        <v>-57.487499999999997</v>
      </c>
      <c r="Q13">
        <v>-68.0625</v>
      </c>
    </row>
    <row r="14" spans="1:29" x14ac:dyDescent="0.3">
      <c r="A14" t="s">
        <v>247</v>
      </c>
      <c r="K14">
        <v>-66.087500000000006</v>
      </c>
      <c r="Q14">
        <v>-68.2</v>
      </c>
    </row>
    <row r="15" spans="1:29" x14ac:dyDescent="0.3">
      <c r="A15" t="s">
        <v>322</v>
      </c>
      <c r="H15">
        <v>-57.975000000000001</v>
      </c>
      <c r="Q15">
        <v>-29.85</v>
      </c>
    </row>
    <row r="16" spans="1:29" x14ac:dyDescent="0.3">
      <c r="A16" t="s">
        <v>333</v>
      </c>
      <c r="K16">
        <v>-68.0625</v>
      </c>
      <c r="Q16">
        <v>-74.3125</v>
      </c>
    </row>
    <row r="17" spans="1:22" x14ac:dyDescent="0.3">
      <c r="A17" t="s">
        <v>337</v>
      </c>
      <c r="K17">
        <v>-68.2</v>
      </c>
      <c r="Q17">
        <v>-71.212500000000006</v>
      </c>
      <c r="U17" s="11"/>
      <c r="V17" s="11"/>
    </row>
    <row r="18" spans="1:22" x14ac:dyDescent="0.3">
      <c r="A18" t="s">
        <v>356</v>
      </c>
      <c r="K18">
        <v>-29.85</v>
      </c>
      <c r="O18">
        <v>-58.750000000000007</v>
      </c>
      <c r="V18" s="11"/>
    </row>
    <row r="19" spans="1:22" x14ac:dyDescent="0.3">
      <c r="A19" t="s">
        <v>432</v>
      </c>
      <c r="K19">
        <v>-74.3125</v>
      </c>
      <c r="O19">
        <v>-55.787500000000001</v>
      </c>
    </row>
    <row r="20" spans="1:22" x14ac:dyDescent="0.3">
      <c r="A20" t="s">
        <v>461</v>
      </c>
      <c r="K20">
        <v>-71.212500000000006</v>
      </c>
      <c r="O20">
        <v>-71.837500000000006</v>
      </c>
    </row>
    <row r="21" spans="1:22" x14ac:dyDescent="0.3">
      <c r="A21" t="s">
        <v>511</v>
      </c>
      <c r="H21">
        <v>-58.750000000000007</v>
      </c>
      <c r="Q21">
        <v>-69.975000000000009</v>
      </c>
    </row>
    <row r="22" spans="1:22" x14ac:dyDescent="0.3">
      <c r="A22" t="s">
        <v>521</v>
      </c>
      <c r="H22">
        <v>-55.787500000000001</v>
      </c>
      <c r="Q22">
        <v>-51.9375</v>
      </c>
    </row>
    <row r="23" spans="1:22" x14ac:dyDescent="0.3">
      <c r="A23" t="s">
        <v>524</v>
      </c>
      <c r="H23">
        <v>-71.837500000000006</v>
      </c>
      <c r="M23">
        <v>-46.647500000000001</v>
      </c>
    </row>
    <row r="24" spans="1:22" x14ac:dyDescent="0.3">
      <c r="A24" t="s">
        <v>590</v>
      </c>
      <c r="K24">
        <v>-69.975000000000009</v>
      </c>
      <c r="M24">
        <v>-43.110750000000003</v>
      </c>
    </row>
    <row r="25" spans="1:22" x14ac:dyDescent="0.3">
      <c r="A25" t="s">
        <v>602</v>
      </c>
      <c r="K25">
        <v>-51.9375</v>
      </c>
      <c r="O25">
        <v>-53.437500000000007</v>
      </c>
    </row>
    <row r="26" spans="1:22" x14ac:dyDescent="0.3">
      <c r="A26" t="s">
        <v>976</v>
      </c>
      <c r="C26">
        <v>-46.647500000000001</v>
      </c>
      <c r="O26">
        <v>-59.25</v>
      </c>
    </row>
    <row r="27" spans="1:22" x14ac:dyDescent="0.3">
      <c r="A27" t="s">
        <v>981</v>
      </c>
      <c r="C27">
        <v>-43.110750000000003</v>
      </c>
      <c r="M27">
        <v>-30.554749999999995</v>
      </c>
    </row>
    <row r="28" spans="1:22" x14ac:dyDescent="0.3">
      <c r="A28" t="s">
        <v>1000</v>
      </c>
      <c r="H28">
        <v>-53.437500000000007</v>
      </c>
      <c r="M28">
        <v>-52.549250000000001</v>
      </c>
    </row>
    <row r="29" spans="1:22" x14ac:dyDescent="0.3">
      <c r="A29" t="s">
        <v>1007</v>
      </c>
      <c r="H29">
        <v>-59.25</v>
      </c>
      <c r="M29">
        <v>-49.614500000000007</v>
      </c>
    </row>
    <row r="30" spans="1:22" x14ac:dyDescent="0.3">
      <c r="A30" t="s">
        <v>1012</v>
      </c>
      <c r="B30">
        <v>-30.554749999999995</v>
      </c>
      <c r="M30">
        <v>-46.851749999999996</v>
      </c>
    </row>
    <row r="31" spans="1:22" x14ac:dyDescent="0.3">
      <c r="A31" t="s">
        <v>1026</v>
      </c>
      <c r="B31">
        <v>-52.549250000000001</v>
      </c>
      <c r="N31">
        <v>-42.357925995000002</v>
      </c>
    </row>
    <row r="32" spans="1:22" x14ac:dyDescent="0.3">
      <c r="A32" t="s">
        <v>1028</v>
      </c>
      <c r="B32">
        <v>-49.614500000000007</v>
      </c>
      <c r="N32">
        <v>-38.068849069999999</v>
      </c>
    </row>
    <row r="33" spans="1:17" x14ac:dyDescent="0.3">
      <c r="A33" t="s">
        <v>1272</v>
      </c>
      <c r="C33">
        <v>-46.851749999999996</v>
      </c>
      <c r="N33">
        <v>-60.391046695</v>
      </c>
    </row>
    <row r="34" spans="1:17" x14ac:dyDescent="0.3">
      <c r="A34" t="s">
        <v>1747</v>
      </c>
      <c r="G34">
        <v>-42.357925995000002</v>
      </c>
      <c r="N34">
        <v>-65.062998629999996</v>
      </c>
    </row>
    <row r="35" spans="1:17" x14ac:dyDescent="0.3">
      <c r="A35" t="s">
        <v>1756</v>
      </c>
      <c r="G35">
        <v>-38.068849069999999</v>
      </c>
      <c r="N35">
        <v>-57.613010840000001</v>
      </c>
    </row>
    <row r="36" spans="1:17" x14ac:dyDescent="0.3">
      <c r="A36" t="s">
        <v>2188</v>
      </c>
      <c r="G36">
        <v>-60.391046695</v>
      </c>
      <c r="N36">
        <v>-52.556722539999996</v>
      </c>
    </row>
    <row r="37" spans="1:17" x14ac:dyDescent="0.3">
      <c r="A37" t="s">
        <v>2196</v>
      </c>
      <c r="G37">
        <v>-65.062998629999996</v>
      </c>
      <c r="N37">
        <v>-37.865720725000003</v>
      </c>
    </row>
    <row r="38" spans="1:17" x14ac:dyDescent="0.3">
      <c r="A38" t="s">
        <v>2198</v>
      </c>
      <c r="G38">
        <v>-57.613010840000001</v>
      </c>
      <c r="N38">
        <v>-48.019215265000007</v>
      </c>
    </row>
    <row r="39" spans="1:17" x14ac:dyDescent="0.3">
      <c r="A39" t="s">
        <v>2201</v>
      </c>
      <c r="G39">
        <v>-52.556722539999996</v>
      </c>
      <c r="N39">
        <v>-34.964931049999997</v>
      </c>
    </row>
    <row r="40" spans="1:17" x14ac:dyDescent="0.3">
      <c r="A40" t="s">
        <v>2207</v>
      </c>
      <c r="G40">
        <v>-37.865720725000003</v>
      </c>
      <c r="N40">
        <v>-47.279769635000001</v>
      </c>
    </row>
    <row r="41" spans="1:17" x14ac:dyDescent="0.3">
      <c r="A41" t="s">
        <v>2215</v>
      </c>
      <c r="G41">
        <v>-48.019215265000007</v>
      </c>
      <c r="N41">
        <v>-43.942034815000007</v>
      </c>
    </row>
    <row r="42" spans="1:17" x14ac:dyDescent="0.3">
      <c r="A42" t="s">
        <v>2219</v>
      </c>
      <c r="G42">
        <v>-34.964931049999997</v>
      </c>
      <c r="N42">
        <v>-72.080425340000005</v>
      </c>
    </row>
    <row r="43" spans="1:17" x14ac:dyDescent="0.3">
      <c r="A43" t="s">
        <v>2232</v>
      </c>
      <c r="G43">
        <v>-47.279769635000001</v>
      </c>
      <c r="N43">
        <v>-51.923955825</v>
      </c>
    </row>
    <row r="44" spans="1:17" x14ac:dyDescent="0.3">
      <c r="A44" t="s">
        <v>2234</v>
      </c>
      <c r="G44">
        <v>-43.942034815000007</v>
      </c>
      <c r="N44">
        <v>-65.138989089999995</v>
      </c>
    </row>
    <row r="45" spans="1:17" x14ac:dyDescent="0.3">
      <c r="A45" t="s">
        <v>2238</v>
      </c>
      <c r="G45">
        <v>-72.080425340000005</v>
      </c>
      <c r="Q45">
        <v>-37.864625000000004</v>
      </c>
    </row>
    <row r="46" spans="1:17" x14ac:dyDescent="0.3">
      <c r="A46" t="s">
        <v>2267</v>
      </c>
      <c r="G46">
        <v>-51.923955825</v>
      </c>
      <c r="P46">
        <v>-59.880514000000005</v>
      </c>
    </row>
    <row r="47" spans="1:17" x14ac:dyDescent="0.3">
      <c r="A47" t="s">
        <v>2275</v>
      </c>
      <c r="G47">
        <v>-65.138989089999995</v>
      </c>
      <c r="P47">
        <v>-51.550561999999999</v>
      </c>
    </row>
    <row r="48" spans="1:17" x14ac:dyDescent="0.3">
      <c r="A48" t="s">
        <v>2062</v>
      </c>
      <c r="K48">
        <v>-37.864625000000004</v>
      </c>
      <c r="P48">
        <v>-51.858783000000003</v>
      </c>
    </row>
    <row r="49" spans="1:17" x14ac:dyDescent="0.3">
      <c r="A49" t="s">
        <v>2100</v>
      </c>
      <c r="I49">
        <v>-59.880514000000005</v>
      </c>
      <c r="Q49">
        <v>-64.74261525</v>
      </c>
    </row>
    <row r="50" spans="1:17" x14ac:dyDescent="0.3">
      <c r="A50" t="s">
        <v>2104</v>
      </c>
      <c r="I50">
        <v>-51.550561999999999</v>
      </c>
      <c r="Q50">
        <v>-64.431995499999999</v>
      </c>
    </row>
    <row r="51" spans="1:17" x14ac:dyDescent="0.3">
      <c r="A51" t="s">
        <v>2121</v>
      </c>
      <c r="I51">
        <v>-51.858783000000003</v>
      </c>
      <c r="Q51">
        <v>-60.296180249999999</v>
      </c>
    </row>
    <row r="52" spans="1:17" x14ac:dyDescent="0.3">
      <c r="A52" t="s">
        <v>2125</v>
      </c>
      <c r="K52">
        <v>-64.74261525</v>
      </c>
      <c r="Q52">
        <v>-74.674144499999997</v>
      </c>
    </row>
    <row r="53" spans="1:17" x14ac:dyDescent="0.3">
      <c r="A53" t="s">
        <v>2131</v>
      </c>
      <c r="K53">
        <v>-64.431995499999999</v>
      </c>
    </row>
    <row r="54" spans="1:17" x14ac:dyDescent="0.3">
      <c r="A54" t="s">
        <v>2151</v>
      </c>
      <c r="K54">
        <v>-60.296180249999999</v>
      </c>
      <c r="M54">
        <v>-34.894203252499999</v>
      </c>
    </row>
    <row r="55" spans="1:17" x14ac:dyDescent="0.3">
      <c r="A55" t="s">
        <v>2157</v>
      </c>
      <c r="K55">
        <v>-74.674144499999997</v>
      </c>
      <c r="M55">
        <v>-29.100380242500002</v>
      </c>
    </row>
    <row r="56" spans="1:17" x14ac:dyDescent="0.3">
      <c r="A56" t="s">
        <v>2159</v>
      </c>
      <c r="J56">
        <v>-73.642634999999999</v>
      </c>
      <c r="O56">
        <v>-26.812774867499996</v>
      </c>
    </row>
    <row r="57" spans="1:17" x14ac:dyDescent="0.3">
      <c r="A57" t="s">
        <v>1718</v>
      </c>
      <c r="B57">
        <v>-34.894203252499999</v>
      </c>
      <c r="M57">
        <v>-32.598336824999997</v>
      </c>
    </row>
    <row r="58" spans="1:17" x14ac:dyDescent="0.3">
      <c r="A58" t="s">
        <v>1720</v>
      </c>
      <c r="B58">
        <v>-29.100380242500002</v>
      </c>
      <c r="M58">
        <v>-45.568366087500003</v>
      </c>
    </row>
    <row r="59" spans="1:17" x14ac:dyDescent="0.3">
      <c r="A59" t="s">
        <v>1723</v>
      </c>
      <c r="E59">
        <v>-26.812774867499996</v>
      </c>
      <c r="M59">
        <v>-34.544881035000003</v>
      </c>
    </row>
    <row r="60" spans="1:17" x14ac:dyDescent="0.3">
      <c r="A60" t="s">
        <v>1727</v>
      </c>
      <c r="B60">
        <v>-32.598336824999997</v>
      </c>
      <c r="M60">
        <v>-40.431652200000002</v>
      </c>
    </row>
    <row r="61" spans="1:17" x14ac:dyDescent="0.3">
      <c r="A61" t="s">
        <v>1730</v>
      </c>
      <c r="B61">
        <v>-45.568366087500003</v>
      </c>
      <c r="M61">
        <v>-26.927848349999994</v>
      </c>
    </row>
    <row r="62" spans="1:17" x14ac:dyDescent="0.3">
      <c r="A62" t="s">
        <v>1734</v>
      </c>
      <c r="B62">
        <v>-34.544881035000003</v>
      </c>
      <c r="M62">
        <v>-54.803359665000009</v>
      </c>
    </row>
    <row r="63" spans="1:17" x14ac:dyDescent="0.3">
      <c r="A63" t="s">
        <v>1767</v>
      </c>
      <c r="B63">
        <v>-40.431652200000002</v>
      </c>
      <c r="M63">
        <v>-36.180865485000005</v>
      </c>
    </row>
    <row r="64" spans="1:17" x14ac:dyDescent="0.3">
      <c r="A64" t="s">
        <v>1770</v>
      </c>
      <c r="B64">
        <v>-26.927848349999994</v>
      </c>
      <c r="M64">
        <v>-41.400765022499996</v>
      </c>
    </row>
    <row r="65" spans="1:13" x14ac:dyDescent="0.3">
      <c r="A65" t="s">
        <v>1772</v>
      </c>
      <c r="B65">
        <v>-54.803359665000009</v>
      </c>
      <c r="M65">
        <v>-39.964426132500002</v>
      </c>
    </row>
    <row r="66" spans="1:13" x14ac:dyDescent="0.3">
      <c r="A66" t="s">
        <v>1774</v>
      </c>
      <c r="B66">
        <v>-36.180865485000005</v>
      </c>
      <c r="M66">
        <v>-33.670045282500006</v>
      </c>
    </row>
    <row r="67" spans="1:13" x14ac:dyDescent="0.3">
      <c r="A67" t="s">
        <v>1777</v>
      </c>
      <c r="B67">
        <v>-41.400765022499996</v>
      </c>
      <c r="M67">
        <v>-50.113075432499997</v>
      </c>
    </row>
    <row r="68" spans="1:13" x14ac:dyDescent="0.3">
      <c r="A68" t="s">
        <v>1780</v>
      </c>
      <c r="B68">
        <v>-39.964426132500002</v>
      </c>
      <c r="M68">
        <v>-27.939940425</v>
      </c>
    </row>
    <row r="69" spans="1:13" x14ac:dyDescent="0.3">
      <c r="A69" t="s">
        <v>1782</v>
      </c>
      <c r="B69">
        <v>-33.670045282500006</v>
      </c>
      <c r="M69">
        <v>-35.716412272500001</v>
      </c>
    </row>
    <row r="70" spans="1:13" x14ac:dyDescent="0.3">
      <c r="A70" t="s">
        <v>1785</v>
      </c>
      <c r="B70">
        <v>-50.113075432499997</v>
      </c>
      <c r="M70">
        <v>-47.377653975000001</v>
      </c>
    </row>
    <row r="71" spans="1:13" x14ac:dyDescent="0.3">
      <c r="A71" t="s">
        <v>1787</v>
      </c>
      <c r="B71">
        <v>-27.939940425</v>
      </c>
      <c r="M71">
        <v>-30.630996202499997</v>
      </c>
    </row>
    <row r="72" spans="1:13" x14ac:dyDescent="0.3">
      <c r="A72" t="s">
        <v>1789</v>
      </c>
      <c r="B72">
        <v>-35.716412272500001</v>
      </c>
      <c r="M72">
        <v>-53.293540117500001</v>
      </c>
    </row>
    <row r="73" spans="1:13" x14ac:dyDescent="0.3">
      <c r="A73" t="s">
        <v>1791</v>
      </c>
      <c r="B73">
        <v>-47.377653975000001</v>
      </c>
      <c r="M73">
        <v>-32.411169112499998</v>
      </c>
    </row>
    <row r="74" spans="1:13" x14ac:dyDescent="0.3">
      <c r="A74" t="s">
        <v>1794</v>
      </c>
      <c r="B74">
        <v>-30.630996202499997</v>
      </c>
      <c r="M74">
        <v>-39.613659975000004</v>
      </c>
    </row>
    <row r="75" spans="1:13" x14ac:dyDescent="0.3">
      <c r="A75" t="s">
        <v>1797</v>
      </c>
      <c r="B75">
        <v>-53.293540117500001</v>
      </c>
      <c r="M75">
        <v>-39.594249990000002</v>
      </c>
    </row>
    <row r="76" spans="1:13" x14ac:dyDescent="0.3">
      <c r="A76" t="s">
        <v>1799</v>
      </c>
      <c r="B76">
        <v>-32.411169112499998</v>
      </c>
      <c r="M76">
        <v>-28.282388017499997</v>
      </c>
    </row>
    <row r="77" spans="1:13" x14ac:dyDescent="0.3">
      <c r="A77" t="s">
        <v>1802</v>
      </c>
      <c r="B77">
        <v>-39.613659975000004</v>
      </c>
      <c r="M77">
        <v>-37.934696272500005</v>
      </c>
    </row>
    <row r="78" spans="1:13" x14ac:dyDescent="0.3">
      <c r="A78" t="s">
        <v>1806</v>
      </c>
      <c r="B78">
        <v>-39.594249990000002</v>
      </c>
      <c r="M78">
        <v>-64.296228757500003</v>
      </c>
    </row>
    <row r="79" spans="1:13" x14ac:dyDescent="0.3">
      <c r="A79" t="s">
        <v>1809</v>
      </c>
      <c r="B79">
        <v>-28.282388017499997</v>
      </c>
      <c r="M79">
        <v>-40.116933157500007</v>
      </c>
    </row>
    <row r="80" spans="1:13" x14ac:dyDescent="0.3">
      <c r="A80" t="s">
        <v>1812</v>
      </c>
      <c r="B80">
        <v>-37.934696272500005</v>
      </c>
      <c r="M80">
        <v>-31.044151597500001</v>
      </c>
    </row>
    <row r="81" spans="1:14" x14ac:dyDescent="0.3">
      <c r="A81" t="s">
        <v>1814</v>
      </c>
      <c r="B81">
        <v>-64.296228757500003</v>
      </c>
      <c r="N81">
        <v>-42.990986400000004</v>
      </c>
    </row>
    <row r="82" spans="1:14" x14ac:dyDescent="0.3">
      <c r="A82" t="s">
        <v>1820</v>
      </c>
      <c r="D82">
        <v>-40.116933157500007</v>
      </c>
      <c r="N82">
        <v>-66.805007320000001</v>
      </c>
    </row>
    <row r="83" spans="1:14" x14ac:dyDescent="0.3">
      <c r="A83" t="s">
        <v>1827</v>
      </c>
      <c r="D83">
        <v>-31.044151597500001</v>
      </c>
      <c r="N83">
        <v>-60.978943877500001</v>
      </c>
    </row>
    <row r="84" spans="1:14" x14ac:dyDescent="0.3">
      <c r="A84" t="s">
        <v>1846</v>
      </c>
      <c r="G84">
        <v>-42.990986400000004</v>
      </c>
      <c r="N84">
        <v>-74.005879877500007</v>
      </c>
    </row>
    <row r="85" spans="1:14" x14ac:dyDescent="0.3">
      <c r="A85" t="s">
        <v>1848</v>
      </c>
      <c r="G85">
        <v>-66.805007320000001</v>
      </c>
      <c r="N85">
        <v>-64.455507422500006</v>
      </c>
    </row>
    <row r="86" spans="1:14" x14ac:dyDescent="0.3">
      <c r="A86" t="s">
        <v>1855</v>
      </c>
      <c r="G86">
        <v>-60.978943877500001</v>
      </c>
      <c r="N86">
        <v>-74.443255667499997</v>
      </c>
    </row>
    <row r="87" spans="1:14" x14ac:dyDescent="0.3">
      <c r="A87" t="s">
        <v>1860</v>
      </c>
      <c r="G87">
        <v>-74.005879877500007</v>
      </c>
      <c r="N87">
        <v>-73.763801917500004</v>
      </c>
    </row>
    <row r="88" spans="1:14" x14ac:dyDescent="0.3">
      <c r="A88" t="s">
        <v>2168</v>
      </c>
      <c r="G88">
        <v>-64.455507422500006</v>
      </c>
      <c r="M88">
        <v>-41.394625267500004</v>
      </c>
    </row>
    <row r="89" spans="1:14" x14ac:dyDescent="0.3">
      <c r="A89" t="s">
        <v>2172</v>
      </c>
      <c r="G89">
        <v>-74.443255667499997</v>
      </c>
      <c r="N89">
        <v>-69.559342112500005</v>
      </c>
    </row>
    <row r="90" spans="1:14" x14ac:dyDescent="0.3">
      <c r="A90" t="s">
        <v>2287</v>
      </c>
      <c r="F90">
        <v>-73.763801917500004</v>
      </c>
      <c r="N90">
        <v>-62.794700577499995</v>
      </c>
    </row>
    <row r="91" spans="1:14" x14ac:dyDescent="0.3">
      <c r="A91" t="s">
        <v>2289</v>
      </c>
      <c r="B91">
        <v>-41.394625267500004</v>
      </c>
      <c r="N91">
        <v>-71.544705969999995</v>
      </c>
    </row>
    <row r="92" spans="1:14" x14ac:dyDescent="0.3">
      <c r="A92" t="s">
        <v>2303</v>
      </c>
      <c r="G92">
        <v>-69.559342112500005</v>
      </c>
      <c r="N92">
        <v>-62.671889459999996</v>
      </c>
    </row>
    <row r="93" spans="1:14" x14ac:dyDescent="0.3">
      <c r="A93" t="s">
        <v>2319</v>
      </c>
      <c r="G93">
        <v>-62.794700577499995</v>
      </c>
      <c r="N93">
        <v>-71.003055180000004</v>
      </c>
    </row>
    <row r="94" spans="1:14" x14ac:dyDescent="0.3">
      <c r="A94" t="s">
        <v>2326</v>
      </c>
      <c r="G94">
        <v>-71.544705969999995</v>
      </c>
      <c r="N94">
        <v>-43.676117439999999</v>
      </c>
    </row>
    <row r="95" spans="1:14" x14ac:dyDescent="0.3">
      <c r="A95" t="s">
        <v>2342</v>
      </c>
      <c r="G95">
        <v>-62.671889459999996</v>
      </c>
      <c r="N95">
        <v>-44.321822855000001</v>
      </c>
    </row>
    <row r="96" spans="1:14" x14ac:dyDescent="0.3">
      <c r="A96" t="s">
        <v>2344</v>
      </c>
      <c r="G96">
        <v>-71.003055180000004</v>
      </c>
      <c r="N96">
        <v>-57.316151095000002</v>
      </c>
    </row>
    <row r="97" spans="1:17" x14ac:dyDescent="0.3">
      <c r="A97" t="s">
        <v>2351</v>
      </c>
      <c r="G97">
        <v>-43.676117439999999</v>
      </c>
      <c r="N97">
        <v>-51.558553864999993</v>
      </c>
    </row>
    <row r="98" spans="1:17" x14ac:dyDescent="0.3">
      <c r="A98" t="s">
        <v>2355</v>
      </c>
      <c r="G98">
        <v>-44.321822855000001</v>
      </c>
      <c r="N98">
        <v>-72.533239205000001</v>
      </c>
    </row>
    <row r="99" spans="1:17" x14ac:dyDescent="0.3">
      <c r="A99" t="s">
        <v>2375</v>
      </c>
      <c r="G99">
        <v>-57.316151095000002</v>
      </c>
      <c r="N99">
        <v>-74.861131280000009</v>
      </c>
    </row>
    <row r="100" spans="1:17" x14ac:dyDescent="0.3">
      <c r="A100" t="s">
        <v>2384</v>
      </c>
      <c r="G100">
        <v>-51.558553864999993</v>
      </c>
      <c r="N100">
        <v>-73.333406425000007</v>
      </c>
    </row>
    <row r="101" spans="1:17" x14ac:dyDescent="0.3">
      <c r="A101" t="s">
        <v>2393</v>
      </c>
      <c r="G101">
        <v>-72.533239205000001</v>
      </c>
      <c r="N101">
        <v>-64.630900014999995</v>
      </c>
    </row>
    <row r="102" spans="1:17" x14ac:dyDescent="0.3">
      <c r="A102" t="s">
        <v>2401</v>
      </c>
      <c r="G102">
        <v>-74.861131280000009</v>
      </c>
      <c r="M102">
        <v>-24.049157664999999</v>
      </c>
    </row>
    <row r="103" spans="1:17" x14ac:dyDescent="0.3">
      <c r="A103" t="s">
        <v>2428</v>
      </c>
      <c r="G103">
        <v>-73.333406425000007</v>
      </c>
      <c r="O103">
        <v>-70.734265250000007</v>
      </c>
    </row>
    <row r="104" spans="1:17" x14ac:dyDescent="0.3">
      <c r="A104" t="s">
        <v>2432</v>
      </c>
      <c r="G104">
        <v>-64.630900014999995</v>
      </c>
      <c r="O104">
        <v>-53.967247999999998</v>
      </c>
    </row>
    <row r="105" spans="1:17" x14ac:dyDescent="0.3">
      <c r="A105" t="s">
        <v>2434</v>
      </c>
      <c r="B105">
        <v>-24.049157664999999</v>
      </c>
      <c r="O105">
        <v>-63.307039250000003</v>
      </c>
    </row>
    <row r="106" spans="1:17" x14ac:dyDescent="0.3">
      <c r="A106" t="s">
        <v>2452</v>
      </c>
      <c r="H106">
        <v>-70.734265250000007</v>
      </c>
      <c r="Q106">
        <v>-71.129618000000008</v>
      </c>
    </row>
    <row r="107" spans="1:17" x14ac:dyDescent="0.3">
      <c r="A107" t="s">
        <v>2466</v>
      </c>
      <c r="H107">
        <v>-53.967247999999998</v>
      </c>
      <c r="Q107">
        <v>-53.598146249999999</v>
      </c>
    </row>
    <row r="108" spans="1:17" x14ac:dyDescent="0.3">
      <c r="A108" t="s">
        <v>2475</v>
      </c>
      <c r="H108">
        <v>-63.307039250000003</v>
      </c>
      <c r="Q108">
        <v>-73.014245750000001</v>
      </c>
    </row>
    <row r="109" spans="1:17" x14ac:dyDescent="0.3">
      <c r="A109" t="s">
        <v>2479</v>
      </c>
      <c r="K109">
        <v>-71.129618000000008</v>
      </c>
      <c r="O109">
        <v>-37.17081975</v>
      </c>
    </row>
    <row r="110" spans="1:17" x14ac:dyDescent="0.3">
      <c r="A110" t="s">
        <v>2485</v>
      </c>
      <c r="K110">
        <v>-53.598146249999999</v>
      </c>
      <c r="Q110">
        <v>-39.336625500000004</v>
      </c>
    </row>
    <row r="111" spans="1:17" x14ac:dyDescent="0.3">
      <c r="A111" t="s">
        <v>2496</v>
      </c>
      <c r="K111">
        <v>-73.014245750000001</v>
      </c>
      <c r="O111">
        <v>-49.760336750000008</v>
      </c>
    </row>
    <row r="112" spans="1:17" x14ac:dyDescent="0.3">
      <c r="A112" t="s">
        <v>2506</v>
      </c>
      <c r="H112">
        <v>-37.17081975</v>
      </c>
      <c r="Q112">
        <v>-73.840697500000005</v>
      </c>
    </row>
    <row r="113" spans="1:17" x14ac:dyDescent="0.3">
      <c r="A113" t="s">
        <v>2514</v>
      </c>
      <c r="K113">
        <v>-39.336625500000004</v>
      </c>
      <c r="O113">
        <v>-50.099338000000003</v>
      </c>
    </row>
    <row r="114" spans="1:17" x14ac:dyDescent="0.3">
      <c r="A114" t="s">
        <v>2534</v>
      </c>
      <c r="H114">
        <v>-49.760336750000008</v>
      </c>
      <c r="Q114">
        <v>-51.889034500000001</v>
      </c>
    </row>
    <row r="115" spans="1:17" x14ac:dyDescent="0.3">
      <c r="A115" t="s">
        <v>2545</v>
      </c>
      <c r="K115">
        <v>-73.840697500000005</v>
      </c>
      <c r="P115">
        <v>-72.028892999999997</v>
      </c>
    </row>
    <row r="116" spans="1:17" x14ac:dyDescent="0.3">
      <c r="A116" t="s">
        <v>2552</v>
      </c>
      <c r="H116">
        <v>-50.099338000000003</v>
      </c>
      <c r="P116">
        <v>-70.633115000000004</v>
      </c>
    </row>
    <row r="117" spans="1:17" x14ac:dyDescent="0.3">
      <c r="A117" t="s">
        <v>2554</v>
      </c>
      <c r="K117">
        <v>-51.889034500000001</v>
      </c>
      <c r="P117">
        <v>-63.505791250000001</v>
      </c>
    </row>
    <row r="118" spans="1:17" x14ac:dyDescent="0.3">
      <c r="A118" t="s">
        <v>2556</v>
      </c>
      <c r="I118">
        <v>-72.028892999999997</v>
      </c>
      <c r="P118">
        <v>-59.113617750000003</v>
      </c>
    </row>
    <row r="119" spans="1:17" x14ac:dyDescent="0.3">
      <c r="A119" t="s">
        <v>2558</v>
      </c>
      <c r="I119">
        <v>-70.633115000000004</v>
      </c>
      <c r="M119">
        <v>-39.815431025000002</v>
      </c>
    </row>
    <row r="120" spans="1:17" x14ac:dyDescent="0.3">
      <c r="A120" t="s">
        <v>2562</v>
      </c>
      <c r="I120">
        <v>-63.505791250000001</v>
      </c>
      <c r="M120">
        <v>-40.407773225000007</v>
      </c>
    </row>
    <row r="121" spans="1:17" x14ac:dyDescent="0.3">
      <c r="A121" t="s">
        <v>2574</v>
      </c>
      <c r="I121">
        <v>-59.113617750000003</v>
      </c>
      <c r="M121">
        <v>-25.078176474999996</v>
      </c>
    </row>
    <row r="122" spans="1:17" x14ac:dyDescent="0.3">
      <c r="A122" t="s">
        <v>2640</v>
      </c>
      <c r="B122">
        <v>-39.815431025000002</v>
      </c>
      <c r="M122">
        <v>-42.057281712500007</v>
      </c>
    </row>
    <row r="123" spans="1:17" x14ac:dyDescent="0.3">
      <c r="A123" t="s">
        <v>2659</v>
      </c>
      <c r="B123">
        <v>-40.407773225000007</v>
      </c>
      <c r="N123">
        <v>-70.735145400000007</v>
      </c>
    </row>
    <row r="124" spans="1:17" x14ac:dyDescent="0.3">
      <c r="A124" t="s">
        <v>2642</v>
      </c>
      <c r="B124">
        <v>-25.078176474999996</v>
      </c>
      <c r="M124">
        <v>-25.732220987500003</v>
      </c>
    </row>
    <row r="125" spans="1:17" x14ac:dyDescent="0.3">
      <c r="A125" t="s">
        <v>2658</v>
      </c>
      <c r="B125">
        <v>-42.057281712500007</v>
      </c>
      <c r="M125">
        <v>-62.75497965000001</v>
      </c>
    </row>
    <row r="126" spans="1:17" x14ac:dyDescent="0.3">
      <c r="A126" t="s">
        <v>2656</v>
      </c>
      <c r="F126">
        <v>-70.735145400000007</v>
      </c>
      <c r="M126">
        <v>-57.434869150000004</v>
      </c>
    </row>
    <row r="127" spans="1:17" x14ac:dyDescent="0.3">
      <c r="A127" t="s">
        <v>2655</v>
      </c>
      <c r="B127">
        <v>-25.732220987500003</v>
      </c>
      <c r="M127">
        <v>-46.918052775000007</v>
      </c>
    </row>
    <row r="128" spans="1:17" x14ac:dyDescent="0.3">
      <c r="A128" t="s">
        <v>2654</v>
      </c>
      <c r="B128">
        <v>-62.75497965000001</v>
      </c>
      <c r="M128">
        <v>-48.19049157500001</v>
      </c>
    </row>
    <row r="129" spans="1:13" x14ac:dyDescent="0.3">
      <c r="A129" t="s">
        <v>2653</v>
      </c>
      <c r="B129">
        <v>-57.434869150000004</v>
      </c>
      <c r="M129">
        <v>-32.651106962499995</v>
      </c>
    </row>
    <row r="130" spans="1:13" x14ac:dyDescent="0.3">
      <c r="A130" t="s">
        <v>2652</v>
      </c>
      <c r="B130">
        <v>-46.918052775000007</v>
      </c>
      <c r="M130">
        <v>-30.551857174999999</v>
      </c>
    </row>
    <row r="131" spans="1:13" x14ac:dyDescent="0.3">
      <c r="A131" t="s">
        <v>2651</v>
      </c>
      <c r="B131">
        <v>-48.19049157500001</v>
      </c>
      <c r="M131">
        <v>-68.117596187500013</v>
      </c>
    </row>
    <row r="132" spans="1:13" x14ac:dyDescent="0.3">
      <c r="A132" t="s">
        <v>2650</v>
      </c>
      <c r="B132">
        <v>-32.651106962499995</v>
      </c>
      <c r="M132">
        <v>-28.900977525000002</v>
      </c>
    </row>
    <row r="133" spans="1:13" x14ac:dyDescent="0.3">
      <c r="A133" t="s">
        <v>2649</v>
      </c>
      <c r="B133">
        <v>-30.551857174999999</v>
      </c>
      <c r="M133">
        <v>-74.546977150000018</v>
      </c>
    </row>
    <row r="134" spans="1:13" x14ac:dyDescent="0.3">
      <c r="A134" t="s">
        <v>2648</v>
      </c>
      <c r="B134">
        <v>-68.117596187500013</v>
      </c>
      <c r="M134">
        <v>-62.111904437500002</v>
      </c>
    </row>
    <row r="135" spans="1:13" x14ac:dyDescent="0.3">
      <c r="A135" t="s">
        <v>2647</v>
      </c>
      <c r="B135">
        <v>-28.900977525000002</v>
      </c>
      <c r="M135">
        <v>-42.193026800000005</v>
      </c>
    </row>
    <row r="136" spans="1:13" x14ac:dyDescent="0.3">
      <c r="A136" t="s">
        <v>2646</v>
      </c>
      <c r="B136">
        <v>-74.546977150000018</v>
      </c>
      <c r="M136">
        <v>-32.077961037500003</v>
      </c>
    </row>
    <row r="137" spans="1:13" x14ac:dyDescent="0.3">
      <c r="A137" t="s">
        <v>2645</v>
      </c>
      <c r="B137">
        <v>-62.111904437500002</v>
      </c>
      <c r="M137">
        <v>-40.753306175000006</v>
      </c>
    </row>
    <row r="138" spans="1:13" x14ac:dyDescent="0.3">
      <c r="A138" t="s">
        <v>2644</v>
      </c>
      <c r="B138">
        <v>-42.193026800000005</v>
      </c>
      <c r="M138">
        <v>-50.941043550000003</v>
      </c>
    </row>
    <row r="139" spans="1:13" x14ac:dyDescent="0.3">
      <c r="A139" t="s">
        <v>2643</v>
      </c>
      <c r="B139">
        <v>-32.077961037500003</v>
      </c>
      <c r="M139">
        <v>-55.889569012500019</v>
      </c>
    </row>
    <row r="140" spans="1:13" x14ac:dyDescent="0.3">
      <c r="A140" t="s">
        <v>2641</v>
      </c>
      <c r="B140">
        <v>-40.753306175000006</v>
      </c>
      <c r="M140">
        <v>-33.202314287500002</v>
      </c>
    </row>
    <row r="141" spans="1:13" x14ac:dyDescent="0.3">
      <c r="A141" t="s">
        <v>2639</v>
      </c>
      <c r="B141">
        <v>-50.941043550000003</v>
      </c>
      <c r="M141">
        <v>-50.326762750000007</v>
      </c>
    </row>
    <row r="142" spans="1:13" x14ac:dyDescent="0.3">
      <c r="A142" t="s">
        <v>2638</v>
      </c>
      <c r="B142">
        <v>-55.889569012500019</v>
      </c>
      <c r="M142">
        <v>-53.400909075000008</v>
      </c>
    </row>
    <row r="143" spans="1:13" x14ac:dyDescent="0.3">
      <c r="A143" t="s">
        <v>2637</v>
      </c>
      <c r="B143">
        <v>-33.202314287500002</v>
      </c>
      <c r="M143">
        <v>-52.327288837500006</v>
      </c>
    </row>
    <row r="144" spans="1:13" x14ac:dyDescent="0.3">
      <c r="A144" t="s">
        <v>2636</v>
      </c>
      <c r="B144">
        <v>-50.326762750000007</v>
      </c>
      <c r="M144">
        <v>-48.163068324999998</v>
      </c>
    </row>
    <row r="145" spans="1:13" x14ac:dyDescent="0.3">
      <c r="A145" t="s">
        <v>2635</v>
      </c>
      <c r="B145">
        <v>-53.400909075000008</v>
      </c>
      <c r="M145">
        <v>-27.682014062499999</v>
      </c>
    </row>
    <row r="146" spans="1:13" x14ac:dyDescent="0.3">
      <c r="A146" t="s">
        <v>2634</v>
      </c>
      <c r="B146">
        <v>-52.327288837500006</v>
      </c>
    </row>
    <row r="147" spans="1:13" x14ac:dyDescent="0.3">
      <c r="A147" t="s">
        <v>2633</v>
      </c>
      <c r="B147">
        <v>-48.163068324999998</v>
      </c>
    </row>
    <row r="148" spans="1:13" x14ac:dyDescent="0.3">
      <c r="A148" t="s">
        <v>2629</v>
      </c>
      <c r="B148">
        <v>-27.682014062499999</v>
      </c>
    </row>
  </sheetData>
  <mergeCells count="2">
    <mergeCell ref="R5:S5"/>
    <mergeCell ref="T5:V5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V309"/>
  <sheetViews>
    <sheetView showGridLines="0" topLeftCell="C1" workbookViewId="0">
      <selection activeCell="C1" sqref="C1:J307"/>
    </sheetView>
  </sheetViews>
  <sheetFormatPr defaultColWidth="11.44140625" defaultRowHeight="14.4" x14ac:dyDescent="0.3"/>
  <cols>
    <col min="1" max="1" width="16.6640625" bestFit="1" customWidth="1"/>
    <col min="2" max="2" width="8.44140625" bestFit="1" customWidth="1"/>
    <col min="3" max="3" width="11.33203125" bestFit="1" customWidth="1"/>
    <col min="4" max="5" width="12.6640625" bestFit="1" customWidth="1"/>
    <col min="6" max="6" width="21.6640625" bestFit="1" customWidth="1"/>
    <col min="7" max="7" width="12.6640625" bestFit="1" customWidth="1"/>
    <col min="8" max="8" width="9.44140625" bestFit="1" customWidth="1"/>
    <col min="9" max="9" width="8.6640625" bestFit="1" customWidth="1"/>
    <col min="10" max="10" width="7.44140625" bestFit="1" customWidth="1"/>
  </cols>
  <sheetData>
    <row r="1" spans="1:22" x14ac:dyDescent="0.3">
      <c r="A1" t="s">
        <v>0</v>
      </c>
      <c r="B1" t="s">
        <v>2705</v>
      </c>
      <c r="C1" t="s">
        <v>2760</v>
      </c>
      <c r="D1" t="s">
        <v>2713</v>
      </c>
      <c r="E1" t="s">
        <v>11</v>
      </c>
      <c r="F1" t="s">
        <v>2747</v>
      </c>
      <c r="G1" t="s">
        <v>2810</v>
      </c>
      <c r="H1" t="s">
        <v>2749</v>
      </c>
      <c r="I1" t="s">
        <v>2</v>
      </c>
      <c r="J1" t="s">
        <v>2833</v>
      </c>
      <c r="L1" t="s">
        <v>2834</v>
      </c>
    </row>
    <row r="2" spans="1:22" x14ac:dyDescent="0.3">
      <c r="A2" t="s">
        <v>2646</v>
      </c>
      <c r="B2">
        <v>1</v>
      </c>
      <c r="C2">
        <v>1</v>
      </c>
      <c r="D2">
        <v>-74.546977150000018</v>
      </c>
      <c r="E2">
        <v>-0.78862924886818908</v>
      </c>
      <c r="F2">
        <v>7</v>
      </c>
      <c r="G2">
        <v>-1</v>
      </c>
      <c r="H2">
        <v>1</v>
      </c>
      <c r="I2" t="s">
        <v>13</v>
      </c>
      <c r="J2">
        <v>0</v>
      </c>
      <c r="P2" t="s">
        <v>2832</v>
      </c>
      <c r="T2" t="s">
        <v>2831</v>
      </c>
    </row>
    <row r="3" spans="1:22" x14ac:dyDescent="0.3">
      <c r="A3" t="s">
        <v>2648</v>
      </c>
      <c r="B3">
        <v>1</v>
      </c>
      <c r="C3">
        <v>1</v>
      </c>
      <c r="D3">
        <v>-68.117596187500013</v>
      </c>
      <c r="E3">
        <v>6.7388229332522256</v>
      </c>
      <c r="F3">
        <v>7</v>
      </c>
      <c r="G3">
        <v>7</v>
      </c>
      <c r="H3">
        <v>1</v>
      </c>
      <c r="I3" t="s">
        <v>13</v>
      </c>
      <c r="J3">
        <v>0</v>
      </c>
      <c r="L3" t="s">
        <v>2830</v>
      </c>
      <c r="M3" t="s">
        <v>2829</v>
      </c>
      <c r="N3" t="s">
        <v>2828</v>
      </c>
      <c r="Q3" t="s">
        <v>2827</v>
      </c>
      <c r="R3" t="s">
        <v>2826</v>
      </c>
    </row>
    <row r="4" spans="1:22" x14ac:dyDescent="0.3">
      <c r="A4" t="s">
        <v>1814</v>
      </c>
      <c r="B4">
        <v>1</v>
      </c>
      <c r="C4">
        <v>1</v>
      </c>
      <c r="D4">
        <v>-64.296228757500003</v>
      </c>
      <c r="E4">
        <v>-1.2004385360000001</v>
      </c>
      <c r="F4">
        <v>6</v>
      </c>
      <c r="G4">
        <v>-1</v>
      </c>
      <c r="H4">
        <v>1</v>
      </c>
      <c r="I4" t="s">
        <v>385</v>
      </c>
      <c r="J4">
        <v>0</v>
      </c>
      <c r="L4">
        <v>1</v>
      </c>
      <c r="M4">
        <v>896.86400000000003</v>
      </c>
      <c r="N4">
        <v>99.281999999999996</v>
      </c>
      <c r="P4" t="s">
        <v>2646</v>
      </c>
      <c r="Q4">
        <v>0.17402999999999999</v>
      </c>
      <c r="R4">
        <v>-1.9412</v>
      </c>
      <c r="U4" t="s">
        <v>2827</v>
      </c>
      <c r="V4" t="s">
        <v>2826</v>
      </c>
    </row>
    <row r="5" spans="1:22" x14ac:dyDescent="0.3">
      <c r="A5" t="s">
        <v>2654</v>
      </c>
      <c r="B5">
        <v>1</v>
      </c>
      <c r="C5">
        <v>1</v>
      </c>
      <c r="D5">
        <v>-62.75497965000001</v>
      </c>
      <c r="E5">
        <v>-0.63101091745464055</v>
      </c>
      <c r="F5">
        <v>6</v>
      </c>
      <c r="G5">
        <v>-1</v>
      </c>
      <c r="H5">
        <v>1</v>
      </c>
      <c r="I5" t="s">
        <v>13</v>
      </c>
      <c r="J5">
        <v>0</v>
      </c>
      <c r="L5">
        <v>2</v>
      </c>
      <c r="M5">
        <v>6.4894400000000001</v>
      </c>
      <c r="N5">
        <v>0.71836999999999995</v>
      </c>
      <c r="P5" t="s">
        <v>2648</v>
      </c>
      <c r="Q5">
        <v>0.37679000000000001</v>
      </c>
      <c r="R5">
        <v>1.1277999999999999</v>
      </c>
      <c r="T5" t="s">
        <v>2713</v>
      </c>
      <c r="U5">
        <v>0.99892000000000003</v>
      </c>
      <c r="V5">
        <v>4.6489000000000003E-2</v>
      </c>
    </row>
    <row r="6" spans="1:22" x14ac:dyDescent="0.3">
      <c r="A6" t="s">
        <v>2645</v>
      </c>
      <c r="B6">
        <v>1</v>
      </c>
      <c r="C6">
        <v>1</v>
      </c>
      <c r="D6">
        <v>-62.111904437500002</v>
      </c>
      <c r="E6">
        <v>1.2578462762450267</v>
      </c>
      <c r="F6">
        <v>6</v>
      </c>
      <c r="G6">
        <v>1</v>
      </c>
      <c r="H6">
        <v>1</v>
      </c>
      <c r="I6" t="s">
        <v>13</v>
      </c>
      <c r="J6">
        <v>0</v>
      </c>
      <c r="P6" t="s">
        <v>1814</v>
      </c>
      <c r="Q6">
        <v>0.51658000000000004</v>
      </c>
      <c r="R6">
        <v>-1.9156</v>
      </c>
      <c r="T6" t="s">
        <v>11</v>
      </c>
      <c r="U6">
        <v>-4.6489000000000003E-2</v>
      </c>
      <c r="V6">
        <v>0.99892000000000003</v>
      </c>
    </row>
    <row r="7" spans="1:22" x14ac:dyDescent="0.3">
      <c r="A7" t="s">
        <v>2653</v>
      </c>
      <c r="B7">
        <v>1</v>
      </c>
      <c r="C7">
        <v>1</v>
      </c>
      <c r="D7">
        <v>-57.434869150000004</v>
      </c>
      <c r="E7">
        <v>-1.1351922241528278</v>
      </c>
      <c r="F7">
        <v>6</v>
      </c>
      <c r="G7">
        <v>-1</v>
      </c>
      <c r="H7">
        <v>1</v>
      </c>
      <c r="I7" t="s">
        <v>13</v>
      </c>
      <c r="J7">
        <v>0</v>
      </c>
      <c r="P7" t="s">
        <v>2654</v>
      </c>
      <c r="Q7">
        <v>0.56711</v>
      </c>
      <c r="R7">
        <v>-1.6641999999999999</v>
      </c>
    </row>
    <row r="8" spans="1:22" x14ac:dyDescent="0.3">
      <c r="A8" t="s">
        <v>2638</v>
      </c>
      <c r="B8">
        <v>1</v>
      </c>
      <c r="C8">
        <v>1</v>
      </c>
      <c r="D8">
        <v>-55.889569012500019</v>
      </c>
      <c r="E8">
        <v>1.3105372472643015</v>
      </c>
      <c r="F8">
        <v>6</v>
      </c>
      <c r="G8">
        <v>1</v>
      </c>
      <c r="H8">
        <v>1</v>
      </c>
      <c r="I8" t="s">
        <v>13</v>
      </c>
      <c r="J8">
        <v>0</v>
      </c>
      <c r="P8" t="s">
        <v>2645</v>
      </c>
      <c r="Q8">
        <v>0.58562999999999998</v>
      </c>
      <c r="R8">
        <v>-0.91181999999999996</v>
      </c>
    </row>
    <row r="9" spans="1:22" x14ac:dyDescent="0.3">
      <c r="A9" t="s">
        <v>1772</v>
      </c>
      <c r="B9">
        <v>1</v>
      </c>
      <c r="C9">
        <v>1</v>
      </c>
      <c r="D9">
        <v>-54.803359665000009</v>
      </c>
      <c r="E9">
        <v>-1.6715452049999999</v>
      </c>
      <c r="F9">
        <v>5</v>
      </c>
      <c r="G9">
        <v>-2</v>
      </c>
      <c r="H9">
        <v>1</v>
      </c>
      <c r="I9" t="s">
        <v>13</v>
      </c>
      <c r="J9">
        <v>0</v>
      </c>
      <c r="P9" t="s">
        <v>2653</v>
      </c>
      <c r="Q9">
        <v>0.74534999999999996</v>
      </c>
      <c r="R9">
        <v>-1.7647999999999999</v>
      </c>
    </row>
    <row r="10" spans="1:22" x14ac:dyDescent="0.3">
      <c r="A10" t="s">
        <v>2635</v>
      </c>
      <c r="B10">
        <v>1</v>
      </c>
      <c r="C10">
        <v>1</v>
      </c>
      <c r="D10">
        <v>-53.400909075000008</v>
      </c>
      <c r="E10">
        <v>-5.8946983736034131E-2</v>
      </c>
      <c r="F10">
        <v>5</v>
      </c>
      <c r="G10">
        <v>0</v>
      </c>
      <c r="H10">
        <v>1</v>
      </c>
      <c r="I10" t="s">
        <v>13</v>
      </c>
      <c r="J10">
        <v>0</v>
      </c>
      <c r="P10" t="s">
        <v>2638</v>
      </c>
      <c r="Q10">
        <v>0.79308999999999996</v>
      </c>
      <c r="R10">
        <v>-0.77759999999999996</v>
      </c>
    </row>
    <row r="11" spans="1:22" x14ac:dyDescent="0.3">
      <c r="A11" t="s">
        <v>1797</v>
      </c>
      <c r="B11">
        <v>1</v>
      </c>
      <c r="C11">
        <v>1</v>
      </c>
      <c r="D11">
        <v>-53.293540117500001</v>
      </c>
      <c r="E11">
        <v>-1.0430805439999999</v>
      </c>
      <c r="F11">
        <v>5</v>
      </c>
      <c r="G11">
        <v>-1</v>
      </c>
      <c r="H11">
        <v>1</v>
      </c>
      <c r="I11" t="s">
        <v>13</v>
      </c>
      <c r="J11">
        <v>0</v>
      </c>
      <c r="P11" t="s">
        <v>1772</v>
      </c>
      <c r="Q11">
        <v>0.83394999999999997</v>
      </c>
      <c r="R11">
        <v>-1.9271</v>
      </c>
    </row>
    <row r="12" spans="1:22" x14ac:dyDescent="0.3">
      <c r="A12" t="s">
        <v>1026</v>
      </c>
      <c r="B12">
        <v>1</v>
      </c>
      <c r="C12">
        <v>1</v>
      </c>
      <c r="D12">
        <v>-52.549250000000001</v>
      </c>
      <c r="E12">
        <v>0.60270095999999995</v>
      </c>
      <c r="F12">
        <v>5</v>
      </c>
      <c r="G12">
        <v>1</v>
      </c>
      <c r="H12">
        <v>1</v>
      </c>
      <c r="I12" t="s">
        <v>13</v>
      </c>
      <c r="J12">
        <v>0</v>
      </c>
      <c r="P12" t="s">
        <v>2635</v>
      </c>
      <c r="Q12">
        <v>0.87822999999999996</v>
      </c>
      <c r="R12">
        <v>-1.2692000000000001</v>
      </c>
    </row>
    <row r="13" spans="1:22" x14ac:dyDescent="0.3">
      <c r="A13" t="s">
        <v>2634</v>
      </c>
      <c r="B13">
        <v>1</v>
      </c>
      <c r="C13">
        <v>1</v>
      </c>
      <c r="D13">
        <v>-52.327288837500006</v>
      </c>
      <c r="E13">
        <v>0.26806939995990509</v>
      </c>
      <c r="F13">
        <v>5</v>
      </c>
      <c r="G13">
        <v>0</v>
      </c>
      <c r="H13">
        <v>1</v>
      </c>
      <c r="I13" t="s">
        <v>13</v>
      </c>
      <c r="J13">
        <v>0</v>
      </c>
      <c r="P13" t="s">
        <v>1797</v>
      </c>
      <c r="Q13">
        <v>0.88334000000000001</v>
      </c>
      <c r="R13">
        <v>-1.6531</v>
      </c>
    </row>
    <row r="14" spans="1:22" x14ac:dyDescent="0.3">
      <c r="A14" t="s">
        <v>2639</v>
      </c>
      <c r="B14">
        <v>1</v>
      </c>
      <c r="C14">
        <v>1</v>
      </c>
      <c r="D14">
        <v>-50.941043550000003</v>
      </c>
      <c r="E14">
        <v>-0.16429921586171181</v>
      </c>
      <c r="F14">
        <v>5</v>
      </c>
      <c r="G14">
        <v>0</v>
      </c>
      <c r="H14">
        <v>1</v>
      </c>
      <c r="I14" t="s">
        <v>385</v>
      </c>
      <c r="J14">
        <v>0</v>
      </c>
      <c r="P14" t="s">
        <v>1026</v>
      </c>
      <c r="Q14">
        <v>0.90561000000000003</v>
      </c>
      <c r="R14">
        <v>-0.99419999999999997</v>
      </c>
    </row>
    <row r="15" spans="1:22" x14ac:dyDescent="0.3">
      <c r="A15" t="s">
        <v>2636</v>
      </c>
      <c r="B15">
        <v>1</v>
      </c>
      <c r="C15">
        <v>1</v>
      </c>
      <c r="D15">
        <v>-50.326762750000007</v>
      </c>
      <c r="E15">
        <v>2.3573002094732995</v>
      </c>
      <c r="F15">
        <v>5</v>
      </c>
      <c r="G15">
        <v>2</v>
      </c>
      <c r="H15">
        <v>1</v>
      </c>
      <c r="I15" t="s">
        <v>385</v>
      </c>
      <c r="J15">
        <v>0</v>
      </c>
      <c r="P15" t="s">
        <v>2634</v>
      </c>
      <c r="Q15">
        <v>0.91352999999999995</v>
      </c>
      <c r="R15">
        <v>-1.1214</v>
      </c>
    </row>
    <row r="16" spans="1:22" x14ac:dyDescent="0.3">
      <c r="A16" t="s">
        <v>1785</v>
      </c>
      <c r="B16">
        <v>1</v>
      </c>
      <c r="C16">
        <v>1</v>
      </c>
      <c r="D16">
        <v>-50.113075432499997</v>
      </c>
      <c r="E16">
        <v>0.73120513499999995</v>
      </c>
      <c r="F16">
        <v>5</v>
      </c>
      <c r="G16">
        <v>1</v>
      </c>
      <c r="H16">
        <v>1</v>
      </c>
      <c r="I16" t="s">
        <v>13</v>
      </c>
      <c r="J16">
        <v>0</v>
      </c>
      <c r="P16" t="s">
        <v>2639</v>
      </c>
      <c r="Q16">
        <v>0.96043999999999996</v>
      </c>
      <c r="R16">
        <v>-1.2656000000000001</v>
      </c>
    </row>
    <row r="17" spans="1:18" x14ac:dyDescent="0.3">
      <c r="A17" t="s">
        <v>1028</v>
      </c>
      <c r="B17">
        <v>1</v>
      </c>
      <c r="C17">
        <v>1</v>
      </c>
      <c r="D17">
        <v>-49.614500000000007</v>
      </c>
      <c r="E17">
        <v>-1.2849384619999999</v>
      </c>
      <c r="F17">
        <v>5</v>
      </c>
      <c r="G17">
        <v>-1</v>
      </c>
      <c r="H17">
        <v>1</v>
      </c>
      <c r="I17" t="s">
        <v>13</v>
      </c>
      <c r="J17">
        <v>0</v>
      </c>
      <c r="P17" t="s">
        <v>2636</v>
      </c>
      <c r="Q17">
        <v>0.97702</v>
      </c>
      <c r="R17">
        <v>-0.26562000000000002</v>
      </c>
    </row>
    <row r="18" spans="1:18" x14ac:dyDescent="0.3">
      <c r="A18" t="s">
        <v>2651</v>
      </c>
      <c r="B18">
        <v>1</v>
      </c>
      <c r="C18">
        <v>1</v>
      </c>
      <c r="D18">
        <v>-48.19049157500001</v>
      </c>
      <c r="E18">
        <v>-1.3106764455763671</v>
      </c>
      <c r="F18">
        <v>5</v>
      </c>
      <c r="G18">
        <v>-1</v>
      </c>
      <c r="H18">
        <v>1</v>
      </c>
      <c r="I18" t="s">
        <v>13</v>
      </c>
      <c r="J18">
        <v>0</v>
      </c>
      <c r="P18" t="s">
        <v>1785</v>
      </c>
      <c r="Q18">
        <v>0.98667000000000005</v>
      </c>
      <c r="R18">
        <v>-0.89934999999999998</v>
      </c>
    </row>
    <row r="19" spans="1:18" x14ac:dyDescent="0.3">
      <c r="A19" t="s">
        <v>2633</v>
      </c>
      <c r="B19">
        <v>1</v>
      </c>
      <c r="C19">
        <v>1</v>
      </c>
      <c r="D19">
        <v>-48.163068324999998</v>
      </c>
      <c r="E19">
        <v>-0.3724813647843539</v>
      </c>
      <c r="F19">
        <v>5</v>
      </c>
      <c r="G19">
        <v>0</v>
      </c>
      <c r="H19">
        <v>1</v>
      </c>
      <c r="I19" t="s">
        <v>13</v>
      </c>
      <c r="J19">
        <v>0</v>
      </c>
      <c r="P19" t="s">
        <v>1028</v>
      </c>
      <c r="Q19">
        <v>1.0064</v>
      </c>
      <c r="R19">
        <v>-1.6808000000000001</v>
      </c>
    </row>
    <row r="20" spans="1:18" x14ac:dyDescent="0.3">
      <c r="A20" t="s">
        <v>1791</v>
      </c>
      <c r="B20">
        <v>1</v>
      </c>
      <c r="C20">
        <v>1</v>
      </c>
      <c r="D20">
        <v>-47.377653975000001</v>
      </c>
      <c r="E20">
        <v>-0.67011379999999998</v>
      </c>
      <c r="F20">
        <v>5</v>
      </c>
      <c r="G20">
        <v>-1</v>
      </c>
      <c r="H20">
        <v>1</v>
      </c>
      <c r="I20" t="s">
        <v>13</v>
      </c>
      <c r="J20">
        <v>0</v>
      </c>
      <c r="P20" t="s">
        <v>2651</v>
      </c>
      <c r="Q20">
        <v>1.054</v>
      </c>
      <c r="R20">
        <v>-1.6649</v>
      </c>
    </row>
    <row r="21" spans="1:18" x14ac:dyDescent="0.3">
      <c r="A21" t="s">
        <v>2652</v>
      </c>
      <c r="B21">
        <v>1</v>
      </c>
      <c r="C21">
        <v>1</v>
      </c>
      <c r="D21">
        <v>-46.918052775000007</v>
      </c>
      <c r="E21">
        <v>1.5747509275122344</v>
      </c>
      <c r="F21">
        <v>5</v>
      </c>
      <c r="G21">
        <v>2</v>
      </c>
      <c r="H21">
        <v>1</v>
      </c>
      <c r="I21" t="s">
        <v>13</v>
      </c>
      <c r="J21">
        <v>0</v>
      </c>
      <c r="P21" t="s">
        <v>2633</v>
      </c>
      <c r="Q21">
        <v>1.0533999999999999</v>
      </c>
      <c r="R21">
        <v>-1.2966</v>
      </c>
    </row>
    <row r="22" spans="1:18" x14ac:dyDescent="0.3">
      <c r="A22" t="s">
        <v>1730</v>
      </c>
      <c r="B22">
        <v>1</v>
      </c>
      <c r="C22">
        <v>1</v>
      </c>
      <c r="D22">
        <v>-45.568366087500003</v>
      </c>
      <c r="E22">
        <v>2.6561990980000001</v>
      </c>
      <c r="F22">
        <v>5</v>
      </c>
      <c r="G22">
        <v>3</v>
      </c>
      <c r="H22">
        <v>1</v>
      </c>
      <c r="I22" t="s">
        <v>13</v>
      </c>
      <c r="J22">
        <v>0</v>
      </c>
      <c r="P22" t="s">
        <v>1791</v>
      </c>
      <c r="Q22">
        <v>1.0801000000000001</v>
      </c>
      <c r="R22">
        <v>-1.3989</v>
      </c>
    </row>
    <row r="23" spans="1:18" x14ac:dyDescent="0.3">
      <c r="A23" t="s">
        <v>2644</v>
      </c>
      <c r="B23">
        <v>1</v>
      </c>
      <c r="C23">
        <v>1</v>
      </c>
      <c r="D23">
        <v>-42.193026800000005</v>
      </c>
      <c r="E23">
        <v>2.0479478071630148</v>
      </c>
      <c r="F23">
        <v>4</v>
      </c>
      <c r="G23">
        <v>2</v>
      </c>
      <c r="H23">
        <v>1</v>
      </c>
      <c r="I23" t="s">
        <v>385</v>
      </c>
      <c r="J23">
        <v>0</v>
      </c>
      <c r="P23" t="s">
        <v>2652</v>
      </c>
      <c r="Q23">
        <v>1.0919000000000001</v>
      </c>
      <c r="R23">
        <v>-0.51027</v>
      </c>
    </row>
    <row r="24" spans="1:18" x14ac:dyDescent="0.3">
      <c r="A24" t="s">
        <v>2658</v>
      </c>
      <c r="B24">
        <v>1</v>
      </c>
      <c r="C24">
        <v>1</v>
      </c>
      <c r="D24">
        <v>-42.057281712500007</v>
      </c>
      <c r="E24">
        <v>-0.37463331092662133</v>
      </c>
      <c r="F24">
        <v>4</v>
      </c>
      <c r="G24">
        <v>0</v>
      </c>
      <c r="H24">
        <v>1</v>
      </c>
      <c r="I24" t="s">
        <v>13</v>
      </c>
      <c r="J24">
        <v>0</v>
      </c>
      <c r="P24" t="s">
        <v>1730</v>
      </c>
      <c r="Q24">
        <v>1.1353</v>
      </c>
      <c r="R24">
        <v>-6.1573999999999997E-2</v>
      </c>
    </row>
    <row r="25" spans="1:18" x14ac:dyDescent="0.3">
      <c r="A25" t="s">
        <v>1777</v>
      </c>
      <c r="B25">
        <v>1</v>
      </c>
      <c r="C25">
        <v>1</v>
      </c>
      <c r="D25">
        <v>-41.400765022499996</v>
      </c>
      <c r="E25">
        <v>-1.1691658789999999</v>
      </c>
      <c r="F25">
        <v>4</v>
      </c>
      <c r="G25">
        <v>-1</v>
      </c>
      <c r="H25">
        <v>1</v>
      </c>
      <c r="I25" t="s">
        <v>13</v>
      </c>
      <c r="J25">
        <v>0</v>
      </c>
      <c r="P25" t="s">
        <v>2644</v>
      </c>
      <c r="Q25">
        <v>1.2487999999999999</v>
      </c>
      <c r="R25">
        <v>-0.23849000000000001</v>
      </c>
    </row>
    <row r="26" spans="1:18" x14ac:dyDescent="0.3">
      <c r="A26" t="s">
        <v>2289</v>
      </c>
      <c r="B26">
        <v>1</v>
      </c>
      <c r="C26">
        <v>1</v>
      </c>
      <c r="D26">
        <v>-41.394625267500004</v>
      </c>
      <c r="E26">
        <v>0.39691395899999998</v>
      </c>
      <c r="F26">
        <v>4</v>
      </c>
      <c r="G26">
        <v>0</v>
      </c>
      <c r="H26">
        <v>1</v>
      </c>
      <c r="I26" t="s">
        <v>13</v>
      </c>
      <c r="J26">
        <v>0</v>
      </c>
      <c r="P26" t="s">
        <v>2658</v>
      </c>
      <c r="Q26">
        <v>1.2571000000000001</v>
      </c>
      <c r="R26">
        <v>-1.1859999999999999</v>
      </c>
    </row>
    <row r="27" spans="1:18" x14ac:dyDescent="0.3">
      <c r="A27" t="s">
        <v>2641</v>
      </c>
      <c r="B27">
        <v>1</v>
      </c>
      <c r="C27">
        <v>1</v>
      </c>
      <c r="D27">
        <v>-40.753306175000006</v>
      </c>
      <c r="E27">
        <v>2.5328247165417843</v>
      </c>
      <c r="F27">
        <v>4</v>
      </c>
      <c r="G27">
        <v>3</v>
      </c>
      <c r="H27">
        <v>1</v>
      </c>
      <c r="I27" t="s">
        <v>385</v>
      </c>
      <c r="J27">
        <v>0</v>
      </c>
      <c r="P27" t="s">
        <v>1777</v>
      </c>
      <c r="Q27">
        <v>1.2802</v>
      </c>
      <c r="R27">
        <v>-1.4855</v>
      </c>
    </row>
    <row r="28" spans="1:18" x14ac:dyDescent="0.3">
      <c r="A28" t="s">
        <v>1767</v>
      </c>
      <c r="B28">
        <v>1</v>
      </c>
      <c r="C28">
        <v>1</v>
      </c>
      <c r="D28">
        <v>-40.431652200000002</v>
      </c>
      <c r="E28">
        <v>-1.3365580610000001</v>
      </c>
      <c r="F28">
        <v>4</v>
      </c>
      <c r="G28">
        <v>-1</v>
      </c>
      <c r="H28">
        <v>1</v>
      </c>
      <c r="I28" t="s">
        <v>13</v>
      </c>
      <c r="J28">
        <v>0</v>
      </c>
      <c r="P28" t="s">
        <v>2289</v>
      </c>
      <c r="Q28">
        <v>1.278</v>
      </c>
      <c r="R28">
        <v>-0.87133000000000005</v>
      </c>
    </row>
    <row r="29" spans="1:18" x14ac:dyDescent="0.3">
      <c r="A29" t="s">
        <v>2659</v>
      </c>
      <c r="B29">
        <v>1</v>
      </c>
      <c r="C29">
        <v>1</v>
      </c>
      <c r="D29">
        <v>-40.407773225000007</v>
      </c>
      <c r="E29">
        <v>0.65172609636182832</v>
      </c>
      <c r="F29">
        <v>4</v>
      </c>
      <c r="G29">
        <v>1</v>
      </c>
      <c r="H29">
        <v>1</v>
      </c>
      <c r="I29">
        <v>25</v>
      </c>
      <c r="J29">
        <v>0</v>
      </c>
      <c r="P29" t="s">
        <v>2641</v>
      </c>
      <c r="Q29">
        <v>1.2961</v>
      </c>
      <c r="R29">
        <v>-2.2081E-2</v>
      </c>
    </row>
    <row r="30" spans="1:18" x14ac:dyDescent="0.3">
      <c r="A30" t="s">
        <v>1780</v>
      </c>
      <c r="B30">
        <v>1</v>
      </c>
      <c r="C30">
        <v>1</v>
      </c>
      <c r="D30">
        <v>-39.964426132500002</v>
      </c>
      <c r="E30">
        <v>-0.79126873200000003</v>
      </c>
      <c r="F30">
        <v>4</v>
      </c>
      <c r="G30">
        <v>-1</v>
      </c>
      <c r="H30">
        <v>1</v>
      </c>
      <c r="I30" t="s">
        <v>13</v>
      </c>
      <c r="J30">
        <v>0</v>
      </c>
      <c r="P30" t="s">
        <v>1767</v>
      </c>
      <c r="Q30">
        <v>1.3128</v>
      </c>
      <c r="R30">
        <v>-1.5335000000000001</v>
      </c>
    </row>
    <row r="31" spans="1:18" x14ac:dyDescent="0.3">
      <c r="A31" t="s">
        <v>2640</v>
      </c>
      <c r="B31">
        <v>1</v>
      </c>
      <c r="C31">
        <v>1</v>
      </c>
      <c r="D31">
        <v>-39.815431025000002</v>
      </c>
      <c r="E31">
        <v>4.303145512077255</v>
      </c>
      <c r="F31">
        <v>4</v>
      </c>
      <c r="G31">
        <v>4</v>
      </c>
      <c r="H31">
        <v>1</v>
      </c>
      <c r="I31" t="s">
        <v>13</v>
      </c>
      <c r="J31">
        <v>0</v>
      </c>
      <c r="P31" t="s">
        <v>2659</v>
      </c>
      <c r="Q31">
        <v>1.3105</v>
      </c>
      <c r="R31">
        <v>-0.75339999999999996</v>
      </c>
    </row>
    <row r="32" spans="1:18" x14ac:dyDescent="0.3">
      <c r="A32" t="s">
        <v>1802</v>
      </c>
      <c r="B32">
        <v>1</v>
      </c>
      <c r="C32">
        <v>1</v>
      </c>
      <c r="D32">
        <v>-39.613659975000004</v>
      </c>
      <c r="E32">
        <v>-0.81615113100000003</v>
      </c>
      <c r="F32">
        <v>4</v>
      </c>
      <c r="G32">
        <v>-1</v>
      </c>
      <c r="H32">
        <v>1</v>
      </c>
      <c r="I32" t="s">
        <v>13</v>
      </c>
      <c r="J32">
        <v>0</v>
      </c>
      <c r="P32" t="s">
        <v>1780</v>
      </c>
      <c r="Q32">
        <v>1.3274999999999999</v>
      </c>
      <c r="R32">
        <v>-1.3111999999999999</v>
      </c>
    </row>
    <row r="33" spans="1:18" x14ac:dyDescent="0.3">
      <c r="A33" t="s">
        <v>1806</v>
      </c>
      <c r="B33">
        <v>1</v>
      </c>
      <c r="C33">
        <v>1</v>
      </c>
      <c r="D33">
        <v>-39.594249990000002</v>
      </c>
      <c r="E33">
        <v>-1.3236157209999999</v>
      </c>
      <c r="F33">
        <v>4</v>
      </c>
      <c r="G33">
        <v>-1</v>
      </c>
      <c r="H33">
        <v>1</v>
      </c>
      <c r="I33" t="s">
        <v>385</v>
      </c>
      <c r="J33">
        <v>0</v>
      </c>
      <c r="P33" t="s">
        <v>2640</v>
      </c>
      <c r="Q33">
        <v>1.3246</v>
      </c>
      <c r="R33">
        <v>0.68923000000000001</v>
      </c>
    </row>
    <row r="34" spans="1:18" x14ac:dyDescent="0.3">
      <c r="A34" t="s">
        <v>1812</v>
      </c>
      <c r="B34">
        <v>1</v>
      </c>
      <c r="C34">
        <v>1</v>
      </c>
      <c r="D34">
        <v>-37.934696272500005</v>
      </c>
      <c r="E34">
        <v>-0.47035755200000001</v>
      </c>
      <c r="F34">
        <v>4</v>
      </c>
      <c r="G34">
        <v>0</v>
      </c>
      <c r="H34">
        <v>1</v>
      </c>
      <c r="I34" t="s">
        <v>13</v>
      </c>
      <c r="J34">
        <v>0</v>
      </c>
      <c r="P34" t="s">
        <v>1802</v>
      </c>
      <c r="Q34">
        <v>1.3392999999999999</v>
      </c>
      <c r="R34">
        <v>-1.3145</v>
      </c>
    </row>
    <row r="35" spans="1:18" x14ac:dyDescent="0.3">
      <c r="A35" t="s">
        <v>1774</v>
      </c>
      <c r="B35">
        <v>1</v>
      </c>
      <c r="C35">
        <v>1</v>
      </c>
      <c r="D35">
        <v>-36.180865485000005</v>
      </c>
      <c r="E35">
        <v>0.100789875</v>
      </c>
      <c r="F35">
        <v>4</v>
      </c>
      <c r="G35">
        <v>0</v>
      </c>
      <c r="H35">
        <v>1</v>
      </c>
      <c r="I35" t="s">
        <v>13</v>
      </c>
      <c r="J35">
        <v>0</v>
      </c>
      <c r="P35" t="s">
        <v>1806</v>
      </c>
      <c r="Q35">
        <v>1.3407</v>
      </c>
      <c r="R35">
        <v>-1.5130999999999999</v>
      </c>
    </row>
    <row r="36" spans="1:18" x14ac:dyDescent="0.3">
      <c r="A36" t="s">
        <v>1789</v>
      </c>
      <c r="B36">
        <v>1</v>
      </c>
      <c r="C36">
        <v>1</v>
      </c>
      <c r="D36">
        <v>-35.716412272500001</v>
      </c>
      <c r="E36">
        <v>-0.92334619100000004</v>
      </c>
      <c r="F36">
        <v>4</v>
      </c>
      <c r="G36">
        <v>-1</v>
      </c>
      <c r="H36">
        <v>1</v>
      </c>
      <c r="I36" t="s">
        <v>13</v>
      </c>
      <c r="J36">
        <v>0</v>
      </c>
      <c r="P36" t="s">
        <v>1812</v>
      </c>
      <c r="Q36">
        <v>1.3948</v>
      </c>
      <c r="R36">
        <v>-1.1483000000000001</v>
      </c>
    </row>
    <row r="37" spans="1:18" x14ac:dyDescent="0.3">
      <c r="A37" t="s">
        <v>1718</v>
      </c>
      <c r="B37">
        <v>1</v>
      </c>
      <c r="C37">
        <v>1</v>
      </c>
      <c r="D37">
        <v>-34.894203252499999</v>
      </c>
      <c r="E37">
        <v>-0.27530228699999998</v>
      </c>
      <c r="F37">
        <v>3</v>
      </c>
      <c r="G37">
        <v>0</v>
      </c>
      <c r="H37">
        <v>1</v>
      </c>
      <c r="I37" t="s">
        <v>13</v>
      </c>
      <c r="J37">
        <v>0</v>
      </c>
      <c r="P37" t="s">
        <v>1774</v>
      </c>
      <c r="Q37">
        <v>1.4523999999999999</v>
      </c>
      <c r="R37">
        <v>-0.89229999999999998</v>
      </c>
    </row>
    <row r="38" spans="1:18" x14ac:dyDescent="0.3">
      <c r="A38" t="s">
        <v>1734</v>
      </c>
      <c r="B38">
        <v>1</v>
      </c>
      <c r="C38">
        <v>1</v>
      </c>
      <c r="D38">
        <v>-34.544881035000003</v>
      </c>
      <c r="E38">
        <v>4.1568201020000002</v>
      </c>
      <c r="F38">
        <v>3</v>
      </c>
      <c r="G38">
        <v>4</v>
      </c>
      <c r="H38">
        <v>1</v>
      </c>
      <c r="I38" t="s">
        <v>13</v>
      </c>
      <c r="J38">
        <v>0</v>
      </c>
      <c r="P38" t="s">
        <v>1789</v>
      </c>
      <c r="Q38">
        <v>1.4694</v>
      </c>
      <c r="R38">
        <v>-1.2854000000000001</v>
      </c>
    </row>
    <row r="39" spans="1:18" x14ac:dyDescent="0.3">
      <c r="A39" t="s">
        <v>1782</v>
      </c>
      <c r="B39">
        <v>1</v>
      </c>
      <c r="C39">
        <v>1</v>
      </c>
      <c r="D39">
        <v>-33.670045282500006</v>
      </c>
      <c r="E39">
        <v>1.0884486019999999</v>
      </c>
      <c r="F39">
        <v>3</v>
      </c>
      <c r="G39">
        <v>1</v>
      </c>
      <c r="H39">
        <v>1</v>
      </c>
      <c r="I39" t="s">
        <v>13</v>
      </c>
      <c r="J39">
        <v>0</v>
      </c>
      <c r="P39" t="s">
        <v>1718</v>
      </c>
      <c r="Q39">
        <v>1.4959</v>
      </c>
      <c r="R39">
        <v>-1.0163</v>
      </c>
    </row>
    <row r="40" spans="1:18" x14ac:dyDescent="0.3">
      <c r="A40" t="s">
        <v>2637</v>
      </c>
      <c r="B40">
        <v>1</v>
      </c>
      <c r="C40">
        <v>1</v>
      </c>
      <c r="D40">
        <v>-33.202314287500002</v>
      </c>
      <c r="E40">
        <v>0.12422535017686376</v>
      </c>
      <c r="F40">
        <v>3</v>
      </c>
      <c r="G40">
        <v>0</v>
      </c>
      <c r="H40">
        <v>1</v>
      </c>
      <c r="I40" t="s">
        <v>385</v>
      </c>
      <c r="J40">
        <v>0</v>
      </c>
      <c r="P40" t="s">
        <v>1734</v>
      </c>
      <c r="Q40">
        <v>1.5005999999999999</v>
      </c>
      <c r="R40">
        <v>0.72802999999999995</v>
      </c>
    </row>
    <row r="41" spans="1:18" x14ac:dyDescent="0.3">
      <c r="A41" t="s">
        <v>2650</v>
      </c>
      <c r="B41">
        <v>1</v>
      </c>
      <c r="C41">
        <v>1</v>
      </c>
      <c r="D41">
        <v>-32.651106962499995</v>
      </c>
      <c r="E41">
        <v>2.0368459365255687</v>
      </c>
      <c r="F41">
        <v>3</v>
      </c>
      <c r="G41">
        <v>2</v>
      </c>
      <c r="H41">
        <v>1</v>
      </c>
      <c r="I41" t="s">
        <v>13</v>
      </c>
      <c r="J41">
        <v>0</v>
      </c>
      <c r="P41" t="s">
        <v>1782</v>
      </c>
      <c r="Q41">
        <v>1.5346</v>
      </c>
      <c r="R41">
        <v>-0.45918999999999999</v>
      </c>
    </row>
    <row r="42" spans="1:18" x14ac:dyDescent="0.3">
      <c r="A42" t="s">
        <v>1727</v>
      </c>
      <c r="B42">
        <v>1</v>
      </c>
      <c r="C42">
        <v>1</v>
      </c>
      <c r="D42">
        <v>-32.598336824999997</v>
      </c>
      <c r="E42">
        <v>-1.413145592</v>
      </c>
      <c r="F42">
        <v>3</v>
      </c>
      <c r="G42">
        <v>-1</v>
      </c>
      <c r="H42">
        <v>1</v>
      </c>
      <c r="I42" t="s">
        <v>13</v>
      </c>
      <c r="J42">
        <v>0</v>
      </c>
      <c r="P42" t="s">
        <v>2637</v>
      </c>
      <c r="Q42">
        <v>1.5517000000000001</v>
      </c>
      <c r="R42">
        <v>-0.82876000000000005</v>
      </c>
    </row>
    <row r="43" spans="1:18" x14ac:dyDescent="0.3">
      <c r="A43" t="s">
        <v>1799</v>
      </c>
      <c r="B43">
        <v>1</v>
      </c>
      <c r="C43">
        <v>1</v>
      </c>
      <c r="D43">
        <v>-32.411169112499998</v>
      </c>
      <c r="E43">
        <v>0.43389958299999998</v>
      </c>
      <c r="F43">
        <v>3</v>
      </c>
      <c r="G43">
        <v>0</v>
      </c>
      <c r="H43">
        <v>1</v>
      </c>
      <c r="I43" t="s">
        <v>13</v>
      </c>
      <c r="J43">
        <v>0</v>
      </c>
      <c r="P43" t="s">
        <v>2650</v>
      </c>
      <c r="Q43">
        <v>1.5670999999999999</v>
      </c>
      <c r="R43">
        <v>-6.8707000000000004E-2</v>
      </c>
    </row>
    <row r="44" spans="1:18" x14ac:dyDescent="0.3">
      <c r="A44" t="s">
        <v>2643</v>
      </c>
      <c r="B44">
        <v>1</v>
      </c>
      <c r="C44">
        <v>1</v>
      </c>
      <c r="D44">
        <v>-32.077961037500003</v>
      </c>
      <c r="E44">
        <v>1.4755743795724348</v>
      </c>
      <c r="F44">
        <v>3</v>
      </c>
      <c r="G44">
        <v>1</v>
      </c>
      <c r="H44">
        <v>1</v>
      </c>
      <c r="I44" t="s">
        <v>385</v>
      </c>
      <c r="J44">
        <v>0</v>
      </c>
      <c r="P44" t="s">
        <v>1727</v>
      </c>
      <c r="Q44">
        <v>1.5742</v>
      </c>
      <c r="R44">
        <v>-1.4206000000000001</v>
      </c>
    </row>
    <row r="45" spans="1:18" x14ac:dyDescent="0.3">
      <c r="A45" t="s">
        <v>1794</v>
      </c>
      <c r="B45">
        <v>1</v>
      </c>
      <c r="C45">
        <v>1</v>
      </c>
      <c r="D45">
        <v>-30.630996202499997</v>
      </c>
      <c r="E45">
        <v>9.886901E-3</v>
      </c>
      <c r="F45">
        <v>3</v>
      </c>
      <c r="G45">
        <v>0</v>
      </c>
      <c r="H45">
        <v>1</v>
      </c>
      <c r="I45" t="s">
        <v>13</v>
      </c>
      <c r="J45">
        <v>0</v>
      </c>
      <c r="P45" t="s">
        <v>1799</v>
      </c>
      <c r="Q45">
        <v>1.5775999999999999</v>
      </c>
      <c r="R45">
        <v>-0.69289000000000001</v>
      </c>
    </row>
    <row r="46" spans="1:18" x14ac:dyDescent="0.3">
      <c r="A46" t="s">
        <v>1012</v>
      </c>
      <c r="B46">
        <v>1</v>
      </c>
      <c r="C46">
        <v>1</v>
      </c>
      <c r="D46">
        <v>-30.554749999999995</v>
      </c>
      <c r="E46">
        <v>2.2135804690000001</v>
      </c>
      <c r="F46">
        <v>3</v>
      </c>
      <c r="G46">
        <v>2</v>
      </c>
      <c r="H46">
        <v>1</v>
      </c>
      <c r="I46" t="s">
        <v>13</v>
      </c>
      <c r="J46">
        <v>0</v>
      </c>
      <c r="P46" t="s">
        <v>2643</v>
      </c>
      <c r="Q46">
        <v>1.5871</v>
      </c>
      <c r="R46">
        <v>-0.27833999999999998</v>
      </c>
    </row>
    <row r="47" spans="1:18" x14ac:dyDescent="0.3">
      <c r="A47" t="s">
        <v>2649</v>
      </c>
      <c r="B47">
        <v>1</v>
      </c>
      <c r="C47">
        <v>1</v>
      </c>
      <c r="D47">
        <v>-30.551857174999999</v>
      </c>
      <c r="E47">
        <v>0.6062469160672852</v>
      </c>
      <c r="F47">
        <v>3</v>
      </c>
      <c r="G47">
        <v>1</v>
      </c>
      <c r="H47">
        <v>1</v>
      </c>
      <c r="I47" t="s">
        <v>13</v>
      </c>
      <c r="J47">
        <v>0</v>
      </c>
      <c r="P47" t="s">
        <v>1794</v>
      </c>
      <c r="Q47">
        <v>1.6375999999999999</v>
      </c>
      <c r="R47">
        <v>-0.82667000000000002</v>
      </c>
    </row>
    <row r="48" spans="1:18" x14ac:dyDescent="0.3">
      <c r="A48" t="s">
        <v>1720</v>
      </c>
      <c r="B48">
        <v>1</v>
      </c>
      <c r="C48">
        <v>1</v>
      </c>
      <c r="D48">
        <v>-29.100380242500002</v>
      </c>
      <c r="E48">
        <v>-0.76427224599999999</v>
      </c>
      <c r="F48">
        <v>3</v>
      </c>
      <c r="G48">
        <v>-1</v>
      </c>
      <c r="H48">
        <v>1</v>
      </c>
      <c r="I48" t="s">
        <v>13</v>
      </c>
      <c r="J48">
        <v>0</v>
      </c>
      <c r="P48" t="s">
        <v>1012</v>
      </c>
      <c r="Q48">
        <v>1.6367</v>
      </c>
      <c r="R48">
        <v>3.8851999999999998E-2</v>
      </c>
    </row>
    <row r="49" spans="1:18" x14ac:dyDescent="0.3">
      <c r="A49" t="s">
        <v>2647</v>
      </c>
      <c r="B49">
        <v>1</v>
      </c>
      <c r="C49">
        <v>1</v>
      </c>
      <c r="D49">
        <v>-28.900977525000002</v>
      </c>
      <c r="E49">
        <v>4.3163520451468553</v>
      </c>
      <c r="F49">
        <v>3</v>
      </c>
      <c r="G49">
        <v>4</v>
      </c>
      <c r="H49">
        <v>1</v>
      </c>
      <c r="I49" t="s">
        <v>13</v>
      </c>
      <c r="J49">
        <v>0</v>
      </c>
      <c r="P49" t="s">
        <v>2649</v>
      </c>
      <c r="Q49">
        <v>1.6393</v>
      </c>
      <c r="R49">
        <v>-0.59136999999999995</v>
      </c>
    </row>
    <row r="50" spans="1:18" x14ac:dyDescent="0.3">
      <c r="A50" t="s">
        <v>1809</v>
      </c>
      <c r="B50">
        <v>1</v>
      </c>
      <c r="C50">
        <v>1</v>
      </c>
      <c r="D50">
        <v>-28.282388017499997</v>
      </c>
      <c r="E50">
        <v>-1.5456571690000001</v>
      </c>
      <c r="F50">
        <v>3</v>
      </c>
      <c r="G50">
        <v>-2</v>
      </c>
      <c r="H50">
        <v>1</v>
      </c>
      <c r="I50" t="s">
        <v>13</v>
      </c>
      <c r="J50">
        <v>0</v>
      </c>
      <c r="P50" t="s">
        <v>1720</v>
      </c>
      <c r="Q50">
        <v>1.6899</v>
      </c>
      <c r="R50">
        <v>-1.1023000000000001</v>
      </c>
    </row>
    <row r="51" spans="1:18" x14ac:dyDescent="0.3">
      <c r="A51" t="s">
        <v>1787</v>
      </c>
      <c r="B51">
        <v>1</v>
      </c>
      <c r="C51">
        <v>1</v>
      </c>
      <c r="D51">
        <v>-27.939940425</v>
      </c>
      <c r="E51">
        <v>1.1488561859999999</v>
      </c>
      <c r="F51">
        <v>3</v>
      </c>
      <c r="G51">
        <v>1</v>
      </c>
      <c r="H51">
        <v>1</v>
      </c>
      <c r="I51" t="s">
        <v>13</v>
      </c>
      <c r="J51">
        <v>0</v>
      </c>
      <c r="P51" t="s">
        <v>2647</v>
      </c>
      <c r="Q51">
        <v>1.6886000000000001</v>
      </c>
      <c r="R51">
        <v>0.89359</v>
      </c>
    </row>
    <row r="52" spans="1:18" x14ac:dyDescent="0.3">
      <c r="A52" t="s">
        <v>2629</v>
      </c>
      <c r="B52">
        <v>1</v>
      </c>
      <c r="C52">
        <v>1</v>
      </c>
      <c r="D52">
        <v>-27.682014062499999</v>
      </c>
      <c r="E52">
        <v>1.3894092580109372</v>
      </c>
      <c r="F52">
        <v>3</v>
      </c>
      <c r="G52">
        <v>1</v>
      </c>
      <c r="H52">
        <v>1</v>
      </c>
      <c r="I52" t="s">
        <v>13</v>
      </c>
      <c r="J52">
        <v>0</v>
      </c>
      <c r="P52" t="s">
        <v>1809</v>
      </c>
      <c r="Q52">
        <v>1.7183999999999999</v>
      </c>
      <c r="R52">
        <v>-1.3937999999999999</v>
      </c>
    </row>
    <row r="53" spans="1:18" x14ac:dyDescent="0.3">
      <c r="A53" t="s">
        <v>1770</v>
      </c>
      <c r="B53">
        <v>1</v>
      </c>
      <c r="C53">
        <v>1</v>
      </c>
      <c r="D53">
        <v>-26.927848349999994</v>
      </c>
      <c r="E53">
        <v>3.5803873999999999E-2</v>
      </c>
      <c r="F53">
        <v>3</v>
      </c>
      <c r="G53">
        <v>0</v>
      </c>
      <c r="H53">
        <v>1</v>
      </c>
      <c r="I53" t="s">
        <v>13</v>
      </c>
      <c r="J53">
        <v>0</v>
      </c>
      <c r="P53" t="s">
        <v>1787</v>
      </c>
      <c r="Q53">
        <v>1.7256</v>
      </c>
      <c r="R53">
        <v>-0.33094000000000001</v>
      </c>
    </row>
    <row r="54" spans="1:18" x14ac:dyDescent="0.3">
      <c r="A54" t="s">
        <v>2655</v>
      </c>
      <c r="B54">
        <v>1</v>
      </c>
      <c r="C54">
        <v>1</v>
      </c>
      <c r="D54">
        <v>-25.732220987500003</v>
      </c>
      <c r="E54">
        <v>1.5919531131477958</v>
      </c>
      <c r="F54">
        <v>3</v>
      </c>
      <c r="G54">
        <v>2</v>
      </c>
      <c r="H54">
        <v>1</v>
      </c>
      <c r="I54" t="s">
        <v>13</v>
      </c>
      <c r="J54">
        <v>0</v>
      </c>
      <c r="P54" t="s">
        <v>2629</v>
      </c>
      <c r="Q54">
        <v>1.7338</v>
      </c>
      <c r="R54">
        <v>-0.2319</v>
      </c>
    </row>
    <row r="55" spans="1:18" x14ac:dyDescent="0.3">
      <c r="A55" t="s">
        <v>2642</v>
      </c>
      <c r="B55">
        <v>1</v>
      </c>
      <c r="C55">
        <v>1</v>
      </c>
      <c r="D55">
        <v>-25.078176474999996</v>
      </c>
      <c r="E55">
        <v>2.7406756114669628</v>
      </c>
      <c r="F55">
        <v>3</v>
      </c>
      <c r="G55">
        <v>3</v>
      </c>
      <c r="H55">
        <v>1</v>
      </c>
      <c r="I55" t="s">
        <v>13</v>
      </c>
      <c r="J55">
        <v>0</v>
      </c>
      <c r="P55" t="s">
        <v>1770</v>
      </c>
      <c r="Q55">
        <v>1.7611000000000001</v>
      </c>
      <c r="R55">
        <v>-0.74892000000000003</v>
      </c>
    </row>
    <row r="56" spans="1:18" x14ac:dyDescent="0.3">
      <c r="A56" t="s">
        <v>2434</v>
      </c>
      <c r="B56">
        <v>1</v>
      </c>
      <c r="C56">
        <v>1</v>
      </c>
      <c r="D56">
        <v>-24.049157664999999</v>
      </c>
      <c r="E56">
        <v>-1.1691658789999999</v>
      </c>
      <c r="F56">
        <v>2</v>
      </c>
      <c r="G56">
        <v>-1</v>
      </c>
      <c r="H56">
        <v>1</v>
      </c>
      <c r="I56" t="s">
        <v>13</v>
      </c>
      <c r="J56">
        <v>0</v>
      </c>
      <c r="P56" t="s">
        <v>2655</v>
      </c>
      <c r="Q56">
        <v>1.7986</v>
      </c>
      <c r="R56">
        <v>-0.1169</v>
      </c>
    </row>
    <row r="57" spans="1:18" x14ac:dyDescent="0.3">
      <c r="A57" t="s">
        <v>1820</v>
      </c>
      <c r="B57">
        <v>1</v>
      </c>
      <c r="C57">
        <v>1</v>
      </c>
      <c r="D57">
        <v>-40.116933157500007</v>
      </c>
      <c r="E57">
        <v>-1.2479256569999999</v>
      </c>
      <c r="F57">
        <v>4</v>
      </c>
      <c r="G57">
        <v>-1</v>
      </c>
      <c r="H57">
        <v>1</v>
      </c>
      <c r="I57" t="s">
        <v>13</v>
      </c>
      <c r="J57">
        <v>0</v>
      </c>
      <c r="P57" t="s">
        <v>2642</v>
      </c>
      <c r="Q57">
        <v>1.8186</v>
      </c>
      <c r="R57">
        <v>0.34548000000000001</v>
      </c>
    </row>
    <row r="58" spans="1:18" x14ac:dyDescent="0.3">
      <c r="A58" t="s">
        <v>1827</v>
      </c>
      <c r="B58">
        <v>1</v>
      </c>
      <c r="C58">
        <v>1</v>
      </c>
      <c r="D58">
        <v>-31.044151597500001</v>
      </c>
      <c r="E58">
        <v>1.180864336</v>
      </c>
      <c r="F58">
        <v>3</v>
      </c>
      <c r="G58">
        <v>1</v>
      </c>
      <c r="H58">
        <v>1</v>
      </c>
      <c r="I58" t="s">
        <v>385</v>
      </c>
      <c r="J58">
        <v>0</v>
      </c>
      <c r="P58" t="s">
        <v>2434</v>
      </c>
      <c r="Q58">
        <v>1.859</v>
      </c>
      <c r="R58">
        <v>-1.1689000000000001</v>
      </c>
    </row>
    <row r="59" spans="1:18" x14ac:dyDescent="0.3">
      <c r="A59" t="s">
        <v>1272</v>
      </c>
      <c r="B59">
        <v>1</v>
      </c>
      <c r="C59">
        <v>1</v>
      </c>
      <c r="D59">
        <v>-46.851749999999996</v>
      </c>
      <c r="E59">
        <v>2.0857327219999999</v>
      </c>
      <c r="F59">
        <v>5</v>
      </c>
      <c r="G59">
        <v>2</v>
      </c>
      <c r="H59">
        <v>3</v>
      </c>
      <c r="I59" t="s">
        <v>30</v>
      </c>
      <c r="J59">
        <v>0</v>
      </c>
      <c r="P59" t="s">
        <v>1820</v>
      </c>
      <c r="Q59">
        <v>1.3231999999999999</v>
      </c>
      <c r="R59">
        <v>-1.4930000000000001</v>
      </c>
    </row>
    <row r="60" spans="1:18" x14ac:dyDescent="0.3">
      <c r="A60" t="s">
        <v>976</v>
      </c>
      <c r="B60">
        <v>1</v>
      </c>
      <c r="C60">
        <v>1</v>
      </c>
      <c r="D60">
        <v>-46.647500000000001</v>
      </c>
      <c r="E60">
        <v>3.0885518529999998</v>
      </c>
      <c r="F60">
        <v>5</v>
      </c>
      <c r="G60">
        <v>3</v>
      </c>
      <c r="H60">
        <v>3</v>
      </c>
      <c r="I60" t="s">
        <v>30</v>
      </c>
      <c r="J60">
        <v>0</v>
      </c>
      <c r="P60" t="s">
        <v>1827</v>
      </c>
      <c r="Q60">
        <v>1.6220000000000001</v>
      </c>
      <c r="R60">
        <v>-0.37503999999999998</v>
      </c>
    </row>
    <row r="61" spans="1:18" x14ac:dyDescent="0.3">
      <c r="A61" t="s">
        <v>981</v>
      </c>
      <c r="B61">
        <v>1</v>
      </c>
      <c r="C61">
        <v>1</v>
      </c>
      <c r="D61">
        <v>-43.110750000000003</v>
      </c>
      <c r="E61">
        <v>1.887067598</v>
      </c>
      <c r="F61">
        <v>4</v>
      </c>
      <c r="G61">
        <v>2</v>
      </c>
      <c r="H61">
        <v>3</v>
      </c>
      <c r="I61" t="s">
        <v>30</v>
      </c>
      <c r="J61">
        <v>0</v>
      </c>
      <c r="P61" t="s">
        <v>1272</v>
      </c>
      <c r="Q61">
        <v>1.0933999999999999</v>
      </c>
      <c r="R61">
        <v>-0.30869000000000002</v>
      </c>
    </row>
    <row r="62" spans="1:18" x14ac:dyDescent="0.3">
      <c r="A62" t="s">
        <v>1723</v>
      </c>
      <c r="B62">
        <v>1</v>
      </c>
      <c r="C62">
        <v>0</v>
      </c>
      <c r="D62">
        <v>-26.812774867499996</v>
      </c>
      <c r="E62">
        <v>-1.2541429799999999</v>
      </c>
      <c r="F62">
        <v>3</v>
      </c>
      <c r="G62">
        <v>-1</v>
      </c>
      <c r="H62">
        <v>1</v>
      </c>
      <c r="I62">
        <v>25</v>
      </c>
      <c r="J62">
        <v>0</v>
      </c>
      <c r="P62" t="s">
        <v>976</v>
      </c>
      <c r="Q62">
        <v>1.0986</v>
      </c>
      <c r="R62">
        <v>8.8269E-2</v>
      </c>
    </row>
    <row r="63" spans="1:18" hidden="1" x14ac:dyDescent="0.3">
      <c r="A63" t="s">
        <v>2657</v>
      </c>
      <c r="B63">
        <v>0</v>
      </c>
      <c r="C63">
        <v>1</v>
      </c>
      <c r="D63">
        <v>-79.734084887500003</v>
      </c>
      <c r="E63">
        <v>4.4813557011342304</v>
      </c>
      <c r="F63">
        <v>8</v>
      </c>
      <c r="G63">
        <v>4</v>
      </c>
      <c r="H63">
        <v>1</v>
      </c>
      <c r="I63" t="s">
        <v>13</v>
      </c>
      <c r="J63">
        <v>-1</v>
      </c>
      <c r="P63" t="s">
        <v>981</v>
      </c>
      <c r="Q63">
        <v>1.2183999999999999</v>
      </c>
      <c r="R63">
        <v>-0.31831999999999999</v>
      </c>
    </row>
    <row r="64" spans="1:18" hidden="1" x14ac:dyDescent="0.3">
      <c r="A64" t="s">
        <v>2287</v>
      </c>
      <c r="B64">
        <v>0</v>
      </c>
      <c r="C64">
        <v>1</v>
      </c>
      <c r="D64">
        <v>-73.763801917500004</v>
      </c>
      <c r="E64">
        <v>5.5331506380000004</v>
      </c>
      <c r="F64">
        <v>7</v>
      </c>
      <c r="G64">
        <v>6</v>
      </c>
      <c r="H64">
        <v>1</v>
      </c>
      <c r="I64" t="s">
        <v>13</v>
      </c>
      <c r="J64">
        <v>-1</v>
      </c>
      <c r="P64" t="s">
        <v>1723</v>
      </c>
      <c r="Q64">
        <v>1.7668999999999999</v>
      </c>
      <c r="R64">
        <v>-1.2525999999999999</v>
      </c>
    </row>
    <row r="65" spans="1:18" hidden="1" x14ac:dyDescent="0.3">
      <c r="A65" t="s">
        <v>2656</v>
      </c>
      <c r="B65">
        <v>0</v>
      </c>
      <c r="C65">
        <v>1</v>
      </c>
      <c r="D65">
        <v>-70.735145400000007</v>
      </c>
      <c r="E65">
        <v>4.6636115257952433</v>
      </c>
      <c r="F65">
        <v>7</v>
      </c>
      <c r="G65">
        <v>5</v>
      </c>
      <c r="H65">
        <v>1</v>
      </c>
      <c r="I65" t="s">
        <v>13</v>
      </c>
      <c r="J65">
        <v>-1</v>
      </c>
      <c r="P65" t="s">
        <v>2657</v>
      </c>
      <c r="Q65">
        <v>-7.1739000000000004E-3</v>
      </c>
      <c r="R65">
        <v>3.0616000000000001E-2</v>
      </c>
    </row>
    <row r="66" spans="1:18" hidden="1" x14ac:dyDescent="0.3">
      <c r="A66" t="s">
        <v>2328</v>
      </c>
      <c r="B66">
        <v>0</v>
      </c>
      <c r="C66">
        <v>1</v>
      </c>
      <c r="D66">
        <v>-99.546353914999997</v>
      </c>
      <c r="E66">
        <v>6.4512236940000003</v>
      </c>
      <c r="F66">
        <v>10</v>
      </c>
      <c r="G66">
        <v>6</v>
      </c>
      <c r="H66">
        <v>1</v>
      </c>
      <c r="I66" t="s">
        <v>385</v>
      </c>
      <c r="J66">
        <v>-1</v>
      </c>
      <c r="P66" t="s">
        <v>2287</v>
      </c>
      <c r="Q66">
        <v>0.19033</v>
      </c>
      <c r="R66">
        <v>0.55201</v>
      </c>
    </row>
    <row r="67" spans="1:18" hidden="1" x14ac:dyDescent="0.3">
      <c r="A67" t="s">
        <v>2295</v>
      </c>
      <c r="B67">
        <v>0</v>
      </c>
      <c r="C67">
        <v>1</v>
      </c>
      <c r="D67">
        <v>-93.795457374999998</v>
      </c>
      <c r="E67">
        <v>6.8160371270000004</v>
      </c>
      <c r="F67">
        <v>9</v>
      </c>
      <c r="G67">
        <v>7</v>
      </c>
      <c r="H67">
        <v>1</v>
      </c>
      <c r="I67" t="s">
        <v>13</v>
      </c>
      <c r="J67">
        <v>-1</v>
      </c>
      <c r="P67" t="s">
        <v>2656</v>
      </c>
      <c r="Q67">
        <v>0.29271000000000003</v>
      </c>
      <c r="R67">
        <v>0.26630999999999999</v>
      </c>
    </row>
    <row r="68" spans="1:18" hidden="1" x14ac:dyDescent="0.3">
      <c r="A68" t="s">
        <v>2301</v>
      </c>
      <c r="B68">
        <v>0</v>
      </c>
      <c r="C68">
        <v>1</v>
      </c>
      <c r="D68">
        <v>-92.677076502500014</v>
      </c>
      <c r="E68">
        <v>7.1116463679999997</v>
      </c>
      <c r="F68">
        <v>9</v>
      </c>
      <c r="G68">
        <v>7</v>
      </c>
      <c r="H68">
        <v>1</v>
      </c>
      <c r="I68" t="s">
        <v>13</v>
      </c>
      <c r="J68">
        <v>-1</v>
      </c>
      <c r="P68" t="s">
        <v>2328</v>
      </c>
      <c r="Q68">
        <v>-0.67108000000000001</v>
      </c>
      <c r="R68">
        <v>0.44148999999999999</v>
      </c>
    </row>
    <row r="69" spans="1:18" hidden="1" x14ac:dyDescent="0.3">
      <c r="A69" t="s">
        <v>2299</v>
      </c>
      <c r="B69">
        <v>0</v>
      </c>
      <c r="C69">
        <v>1</v>
      </c>
      <c r="D69">
        <v>-91.792427719999992</v>
      </c>
      <c r="E69">
        <v>4.2654212060000001</v>
      </c>
      <c r="F69">
        <v>9</v>
      </c>
      <c r="G69">
        <v>4</v>
      </c>
      <c r="H69">
        <v>1</v>
      </c>
      <c r="I69" t="s">
        <v>13</v>
      </c>
      <c r="J69">
        <v>-1</v>
      </c>
      <c r="P69" t="s">
        <v>2295</v>
      </c>
      <c r="Q69">
        <v>-0.47982000000000002</v>
      </c>
      <c r="R69">
        <v>0.6895</v>
      </c>
    </row>
    <row r="70" spans="1:18" hidden="1" x14ac:dyDescent="0.3">
      <c r="A70" t="s">
        <v>2359</v>
      </c>
      <c r="B70">
        <v>0</v>
      </c>
      <c r="C70">
        <v>1</v>
      </c>
      <c r="D70">
        <v>-91.303420647499991</v>
      </c>
      <c r="E70">
        <v>5.7633601329999999</v>
      </c>
      <c r="F70">
        <v>9</v>
      </c>
      <c r="G70">
        <v>6</v>
      </c>
      <c r="H70">
        <v>1</v>
      </c>
      <c r="I70" t="s">
        <v>13</v>
      </c>
      <c r="J70">
        <v>-1</v>
      </c>
      <c r="P70" t="s">
        <v>2301</v>
      </c>
      <c r="Q70">
        <v>-0.44297999999999998</v>
      </c>
      <c r="R70">
        <v>0.82582</v>
      </c>
    </row>
    <row r="71" spans="1:18" hidden="1" x14ac:dyDescent="0.3">
      <c r="A71" t="s">
        <v>2353</v>
      </c>
      <c r="B71">
        <v>0</v>
      </c>
      <c r="C71">
        <v>1</v>
      </c>
      <c r="D71">
        <v>-90.112821059999987</v>
      </c>
      <c r="E71">
        <v>6.2884790529999997</v>
      </c>
      <c r="F71">
        <v>9</v>
      </c>
      <c r="G71">
        <v>6</v>
      </c>
      <c r="H71">
        <v>1</v>
      </c>
      <c r="I71" t="s">
        <v>13</v>
      </c>
      <c r="J71">
        <v>-1</v>
      </c>
      <c r="P71" t="s">
        <v>2299</v>
      </c>
      <c r="Q71">
        <v>-0.40905000000000002</v>
      </c>
      <c r="R71">
        <v>-0.27411000000000002</v>
      </c>
    </row>
    <row r="72" spans="1:18" hidden="1" x14ac:dyDescent="0.3">
      <c r="A72" t="s">
        <v>2316</v>
      </c>
      <c r="B72">
        <v>0</v>
      </c>
      <c r="C72">
        <v>1</v>
      </c>
      <c r="D72">
        <v>-86.041531180000007</v>
      </c>
      <c r="E72">
        <v>5.9523365699999999</v>
      </c>
      <c r="F72">
        <v>9</v>
      </c>
      <c r="G72">
        <v>6</v>
      </c>
      <c r="H72">
        <v>1</v>
      </c>
      <c r="I72" t="s">
        <v>13</v>
      </c>
      <c r="J72">
        <v>-1</v>
      </c>
      <c r="P72" t="s">
        <v>2359</v>
      </c>
      <c r="Q72">
        <v>-0.39506000000000002</v>
      </c>
      <c r="R72">
        <v>0.32218999999999998</v>
      </c>
    </row>
    <row r="73" spans="1:18" hidden="1" x14ac:dyDescent="0.3">
      <c r="A73" t="s">
        <v>2186</v>
      </c>
      <c r="B73">
        <v>0</v>
      </c>
      <c r="C73">
        <v>1</v>
      </c>
      <c r="D73">
        <v>-85.938254209999997</v>
      </c>
      <c r="E73">
        <v>9.1052703650000009</v>
      </c>
      <c r="F73">
        <v>9</v>
      </c>
      <c r="G73">
        <v>9</v>
      </c>
      <c r="H73">
        <v>1</v>
      </c>
      <c r="I73" t="s">
        <v>13</v>
      </c>
      <c r="J73">
        <v>-1</v>
      </c>
      <c r="P73" t="s">
        <v>2353</v>
      </c>
      <c r="Q73">
        <v>-0.35616999999999999</v>
      </c>
      <c r="R73">
        <v>0.54983000000000004</v>
      </c>
    </row>
    <row r="74" spans="1:18" hidden="1" x14ac:dyDescent="0.3">
      <c r="A74" t="s">
        <v>1857</v>
      </c>
      <c r="B74">
        <v>0</v>
      </c>
      <c r="C74">
        <v>1</v>
      </c>
      <c r="D74">
        <v>-85.637848147500009</v>
      </c>
      <c r="E74">
        <v>7.5137012109999999</v>
      </c>
      <c r="F74">
        <v>9</v>
      </c>
      <c r="G74">
        <v>8</v>
      </c>
      <c r="H74">
        <v>1</v>
      </c>
      <c r="I74" t="s">
        <v>13</v>
      </c>
      <c r="J74">
        <v>-1</v>
      </c>
      <c r="P74" t="s">
        <v>2316</v>
      </c>
      <c r="Q74">
        <v>-0.21984999999999999</v>
      </c>
      <c r="R74">
        <v>0.49231999999999998</v>
      </c>
    </row>
    <row r="75" spans="1:18" hidden="1" x14ac:dyDescent="0.3">
      <c r="A75" t="s">
        <v>2389</v>
      </c>
      <c r="B75">
        <v>0</v>
      </c>
      <c r="C75">
        <v>1</v>
      </c>
      <c r="D75">
        <v>-83.777232665000014</v>
      </c>
      <c r="E75">
        <v>5.4825289420000001</v>
      </c>
      <c r="F75">
        <v>8</v>
      </c>
      <c r="G75">
        <v>5</v>
      </c>
      <c r="H75">
        <v>1</v>
      </c>
      <c r="I75" t="s">
        <v>13</v>
      </c>
      <c r="J75">
        <v>-1</v>
      </c>
      <c r="P75" t="s">
        <v>2186</v>
      </c>
      <c r="Q75">
        <v>-0.22128999999999999</v>
      </c>
      <c r="R75">
        <v>1.7305999999999999</v>
      </c>
    </row>
    <row r="76" spans="1:18" hidden="1" x14ac:dyDescent="0.3">
      <c r="A76" t="s">
        <v>2405</v>
      </c>
      <c r="B76">
        <v>0</v>
      </c>
      <c r="C76">
        <v>1</v>
      </c>
      <c r="D76">
        <v>-83.249894210000008</v>
      </c>
      <c r="E76">
        <v>5.9723008990000004</v>
      </c>
      <c r="F76">
        <v>8</v>
      </c>
      <c r="G76">
        <v>6</v>
      </c>
      <c r="H76">
        <v>1</v>
      </c>
      <c r="I76" t="s">
        <v>385</v>
      </c>
      <c r="J76">
        <v>-1</v>
      </c>
      <c r="P76" t="s">
        <v>1857</v>
      </c>
      <c r="Q76">
        <v>-0.20880000000000001</v>
      </c>
      <c r="R76">
        <v>1.1119000000000001</v>
      </c>
    </row>
    <row r="77" spans="1:18" hidden="1" x14ac:dyDescent="0.3">
      <c r="A77" t="s">
        <v>2382</v>
      </c>
      <c r="B77">
        <v>0</v>
      </c>
      <c r="C77">
        <v>1</v>
      </c>
      <c r="D77">
        <v>-82.383259525000014</v>
      </c>
      <c r="E77">
        <v>6.8170682840000003</v>
      </c>
      <c r="F77">
        <v>8</v>
      </c>
      <c r="G77">
        <v>7</v>
      </c>
      <c r="H77">
        <v>1</v>
      </c>
      <c r="I77" t="s">
        <v>385</v>
      </c>
      <c r="J77">
        <v>-1</v>
      </c>
      <c r="P77" t="s">
        <v>2389</v>
      </c>
      <c r="Q77">
        <v>-0.14359</v>
      </c>
      <c r="R77">
        <v>0.34942000000000001</v>
      </c>
    </row>
    <row r="78" spans="1:18" hidden="1" x14ac:dyDescent="0.3">
      <c r="A78" t="s">
        <v>2330</v>
      </c>
      <c r="B78">
        <v>0</v>
      </c>
      <c r="C78">
        <v>1</v>
      </c>
      <c r="D78">
        <v>-81.131798382500008</v>
      </c>
      <c r="E78">
        <v>6.3187365340000001</v>
      </c>
      <c r="F78">
        <v>8</v>
      </c>
      <c r="G78">
        <v>6</v>
      </c>
      <c r="H78">
        <v>1</v>
      </c>
      <c r="I78" t="s">
        <v>385</v>
      </c>
      <c r="J78">
        <v>-1</v>
      </c>
      <c r="P78" t="s">
        <v>2405</v>
      </c>
      <c r="Q78">
        <v>-0.12676000000000001</v>
      </c>
      <c r="R78">
        <v>0.55108999999999997</v>
      </c>
    </row>
    <row r="79" spans="1:18" hidden="1" x14ac:dyDescent="0.3">
      <c r="A79" t="s">
        <v>2269</v>
      </c>
      <c r="B79">
        <v>0</v>
      </c>
      <c r="C79">
        <v>1</v>
      </c>
      <c r="D79">
        <v>-80.937697995000008</v>
      </c>
      <c r="E79">
        <v>5.83</v>
      </c>
      <c r="F79">
        <v>8</v>
      </c>
      <c r="G79">
        <v>6</v>
      </c>
      <c r="H79">
        <v>1</v>
      </c>
      <c r="I79" t="s">
        <v>13</v>
      </c>
      <c r="J79">
        <v>-1</v>
      </c>
      <c r="P79" t="s">
        <v>2382</v>
      </c>
      <c r="Q79">
        <v>-9.9164000000000002E-2</v>
      </c>
      <c r="R79">
        <v>0.89817000000000002</v>
      </c>
    </row>
    <row r="80" spans="1:18" hidden="1" x14ac:dyDescent="0.3">
      <c r="A80" t="s">
        <v>2415</v>
      </c>
      <c r="B80">
        <v>0</v>
      </c>
      <c r="C80">
        <v>1</v>
      </c>
      <c r="D80">
        <v>-80.919682285000007</v>
      </c>
      <c r="E80">
        <v>5.9358978100000002</v>
      </c>
      <c r="F80">
        <v>8</v>
      </c>
      <c r="G80">
        <v>6</v>
      </c>
      <c r="H80">
        <v>1</v>
      </c>
      <c r="I80" t="s">
        <v>13</v>
      </c>
      <c r="J80">
        <v>-1</v>
      </c>
      <c r="P80" t="s">
        <v>2330</v>
      </c>
      <c r="Q80">
        <v>-5.6647999999999997E-2</v>
      </c>
      <c r="R80">
        <v>0.72560000000000002</v>
      </c>
    </row>
    <row r="81" spans="1:18" hidden="1" x14ac:dyDescent="0.3">
      <c r="A81" t="s">
        <v>2200</v>
      </c>
      <c r="B81">
        <v>0</v>
      </c>
      <c r="C81">
        <v>1</v>
      </c>
      <c r="D81">
        <v>-80.200946744999996</v>
      </c>
      <c r="E81">
        <v>5.5928286270000003</v>
      </c>
      <c r="F81">
        <v>8</v>
      </c>
      <c r="G81">
        <v>6</v>
      </c>
      <c r="H81">
        <v>1</v>
      </c>
      <c r="I81" t="s">
        <v>13</v>
      </c>
      <c r="J81">
        <v>-1</v>
      </c>
      <c r="P81" t="s">
        <v>2269</v>
      </c>
      <c r="Q81">
        <v>-4.9415000000000001E-2</v>
      </c>
      <c r="R81">
        <v>0.53749000000000002</v>
      </c>
    </row>
    <row r="82" spans="1:18" hidden="1" x14ac:dyDescent="0.3">
      <c r="A82" t="s">
        <v>2397</v>
      </c>
      <c r="B82">
        <v>0</v>
      </c>
      <c r="C82">
        <v>1</v>
      </c>
      <c r="D82">
        <v>-79.413608575000012</v>
      </c>
      <c r="E82">
        <v>6.7294726100000002</v>
      </c>
      <c r="F82">
        <v>8</v>
      </c>
      <c r="G82">
        <v>7</v>
      </c>
      <c r="H82">
        <v>1</v>
      </c>
      <c r="I82" t="s">
        <v>385</v>
      </c>
      <c r="J82">
        <v>-1</v>
      </c>
      <c r="P82" t="s">
        <v>2415</v>
      </c>
      <c r="Q82">
        <v>-4.8978000000000001E-2</v>
      </c>
      <c r="R82">
        <v>0.57933999999999997</v>
      </c>
    </row>
    <row r="83" spans="1:18" hidden="1" x14ac:dyDescent="0.3">
      <c r="A83" t="s">
        <v>2419</v>
      </c>
      <c r="B83">
        <v>0</v>
      </c>
      <c r="C83">
        <v>1</v>
      </c>
      <c r="D83">
        <v>-79.26650041500001</v>
      </c>
      <c r="E83">
        <v>8.8922701620000009</v>
      </c>
      <c r="F83">
        <v>8</v>
      </c>
      <c r="G83">
        <v>9</v>
      </c>
      <c r="H83">
        <v>1</v>
      </c>
      <c r="I83" t="s">
        <v>13</v>
      </c>
      <c r="J83">
        <v>-1</v>
      </c>
      <c r="P83" t="s">
        <v>2200</v>
      </c>
      <c r="Q83">
        <v>-2.4472000000000001E-2</v>
      </c>
      <c r="R83">
        <v>0.45793</v>
      </c>
    </row>
    <row r="84" spans="1:18" hidden="1" x14ac:dyDescent="0.3">
      <c r="A84" t="s">
        <v>2166</v>
      </c>
      <c r="B84">
        <v>0</v>
      </c>
      <c r="C84">
        <v>1</v>
      </c>
      <c r="D84">
        <v>-78.349548850000005</v>
      </c>
      <c r="E84">
        <v>4.7507726830000001</v>
      </c>
      <c r="F84">
        <v>8</v>
      </c>
      <c r="G84">
        <v>5</v>
      </c>
      <c r="H84">
        <v>1</v>
      </c>
      <c r="I84" t="s">
        <v>385</v>
      </c>
      <c r="J84">
        <v>-1</v>
      </c>
      <c r="P84" t="s">
        <v>2397</v>
      </c>
      <c r="Q84" s="11">
        <v>2.5843E-5</v>
      </c>
      <c r="R84">
        <v>0.91800999999999999</v>
      </c>
    </row>
    <row r="85" spans="1:18" hidden="1" x14ac:dyDescent="0.3">
      <c r="A85" t="s">
        <v>1765</v>
      </c>
      <c r="B85">
        <v>0</v>
      </c>
      <c r="C85">
        <v>1</v>
      </c>
      <c r="D85">
        <v>-76.705613915000001</v>
      </c>
      <c r="E85">
        <v>5.78</v>
      </c>
      <c r="F85">
        <v>8</v>
      </c>
      <c r="G85">
        <v>6</v>
      </c>
      <c r="H85">
        <v>1</v>
      </c>
      <c r="I85" t="s">
        <v>13</v>
      </c>
      <c r="J85">
        <v>-1</v>
      </c>
      <c r="P85" t="s">
        <v>2419</v>
      </c>
      <c r="Q85">
        <v>1.5753E-3</v>
      </c>
      <c r="R85">
        <v>1.7687999999999999</v>
      </c>
    </row>
    <row r="86" spans="1:18" hidden="1" x14ac:dyDescent="0.3">
      <c r="A86" t="s">
        <v>2176</v>
      </c>
      <c r="B86">
        <v>0</v>
      </c>
      <c r="C86">
        <v>1</v>
      </c>
      <c r="D86">
        <v>-75.755960312500008</v>
      </c>
      <c r="E86">
        <v>5.9873324280000002</v>
      </c>
      <c r="F86">
        <v>8</v>
      </c>
      <c r="G86">
        <v>6</v>
      </c>
      <c r="H86">
        <v>1</v>
      </c>
      <c r="I86" t="s">
        <v>385</v>
      </c>
      <c r="J86">
        <v>-1</v>
      </c>
      <c r="P86" t="s">
        <v>2166</v>
      </c>
      <c r="Q86">
        <v>3.8589999999999999E-2</v>
      </c>
      <c r="R86">
        <v>0.16153000000000001</v>
      </c>
    </row>
    <row r="87" spans="1:18" hidden="1" x14ac:dyDescent="0.3">
      <c r="A87" t="s">
        <v>2401</v>
      </c>
      <c r="B87">
        <v>0</v>
      </c>
      <c r="C87">
        <v>1</v>
      </c>
      <c r="D87">
        <v>-74.861131280000009</v>
      </c>
      <c r="E87">
        <v>6.4195077019999998</v>
      </c>
      <c r="F87">
        <v>7</v>
      </c>
      <c r="G87">
        <v>6</v>
      </c>
      <c r="H87">
        <v>1</v>
      </c>
      <c r="I87" t="s">
        <v>385</v>
      </c>
      <c r="J87">
        <v>-1</v>
      </c>
      <c r="P87" t="s">
        <v>1765</v>
      </c>
      <c r="Q87">
        <v>9.1826000000000005E-2</v>
      </c>
      <c r="R87">
        <v>0.59511999999999998</v>
      </c>
    </row>
    <row r="88" spans="1:18" hidden="1" x14ac:dyDescent="0.3">
      <c r="A88" t="s">
        <v>2172</v>
      </c>
      <c r="B88">
        <v>0</v>
      </c>
      <c r="C88">
        <v>1</v>
      </c>
      <c r="D88">
        <v>-74.443255667499997</v>
      </c>
      <c r="E88">
        <v>6.2494094899999997</v>
      </c>
      <c r="F88">
        <v>7</v>
      </c>
      <c r="G88">
        <v>6</v>
      </c>
      <c r="H88">
        <v>1</v>
      </c>
      <c r="I88" t="s">
        <v>385</v>
      </c>
      <c r="J88">
        <v>-1</v>
      </c>
      <c r="P88" t="s">
        <v>2176</v>
      </c>
      <c r="Q88">
        <v>0.12318</v>
      </c>
      <c r="R88">
        <v>0.69374999999999998</v>
      </c>
    </row>
    <row r="89" spans="1:18" hidden="1" x14ac:dyDescent="0.3">
      <c r="A89" t="s">
        <v>1860</v>
      </c>
      <c r="B89">
        <v>0</v>
      </c>
      <c r="C89">
        <v>1</v>
      </c>
      <c r="D89">
        <v>-74.005879877500007</v>
      </c>
      <c r="E89">
        <v>8.603591539</v>
      </c>
      <c r="F89">
        <v>7</v>
      </c>
      <c r="G89">
        <v>9</v>
      </c>
      <c r="H89">
        <v>1</v>
      </c>
      <c r="I89" t="s">
        <v>385</v>
      </c>
      <c r="J89">
        <v>-1</v>
      </c>
      <c r="P89" t="s">
        <v>2401</v>
      </c>
      <c r="Q89">
        <v>0.15236</v>
      </c>
      <c r="R89">
        <v>0.87955000000000005</v>
      </c>
    </row>
    <row r="90" spans="1:18" hidden="1" x14ac:dyDescent="0.3">
      <c r="A90" t="s">
        <v>2428</v>
      </c>
      <c r="B90">
        <v>0</v>
      </c>
      <c r="C90">
        <v>1</v>
      </c>
      <c r="D90">
        <v>-73.333406425000007</v>
      </c>
      <c r="E90">
        <v>6.0384375830000003</v>
      </c>
      <c r="F90">
        <v>7</v>
      </c>
      <c r="G90">
        <v>6</v>
      </c>
      <c r="H90">
        <v>1</v>
      </c>
      <c r="I90" t="s">
        <v>13</v>
      </c>
      <c r="J90">
        <v>-1</v>
      </c>
      <c r="P90" t="s">
        <v>2172</v>
      </c>
      <c r="Q90">
        <v>0.16656000000000001</v>
      </c>
      <c r="R90">
        <v>0.82047000000000003</v>
      </c>
    </row>
    <row r="91" spans="1:18" hidden="1" x14ac:dyDescent="0.3">
      <c r="A91" t="s">
        <v>2393</v>
      </c>
      <c r="B91">
        <v>0</v>
      </c>
      <c r="C91">
        <v>1</v>
      </c>
      <c r="D91">
        <v>-72.533239205000001</v>
      </c>
      <c r="E91">
        <v>5.7328943819999996</v>
      </c>
      <c r="F91">
        <v>7</v>
      </c>
      <c r="G91">
        <v>6</v>
      </c>
      <c r="H91">
        <v>1</v>
      </c>
      <c r="I91" t="s">
        <v>13</v>
      </c>
      <c r="J91">
        <v>-1</v>
      </c>
      <c r="P91" t="s">
        <v>1860</v>
      </c>
      <c r="Q91">
        <v>0.17749000000000001</v>
      </c>
      <c r="R91">
        <v>1.7516</v>
      </c>
    </row>
    <row r="92" spans="1:18" hidden="1" x14ac:dyDescent="0.3">
      <c r="A92" t="s">
        <v>2238</v>
      </c>
      <c r="B92">
        <v>0</v>
      </c>
      <c r="C92">
        <v>1</v>
      </c>
      <c r="D92">
        <v>-72.080425340000005</v>
      </c>
      <c r="E92">
        <v>6.99</v>
      </c>
      <c r="F92">
        <v>7</v>
      </c>
      <c r="G92">
        <v>7</v>
      </c>
      <c r="H92">
        <v>1</v>
      </c>
      <c r="I92" t="s">
        <v>385</v>
      </c>
      <c r="J92">
        <v>-1</v>
      </c>
      <c r="P92" t="s">
        <v>2428</v>
      </c>
      <c r="Q92">
        <v>0.20391000000000001</v>
      </c>
      <c r="R92">
        <v>0.75800000000000001</v>
      </c>
    </row>
    <row r="93" spans="1:18" hidden="1" x14ac:dyDescent="0.3">
      <c r="A93" t="s">
        <v>2326</v>
      </c>
      <c r="B93">
        <v>0</v>
      </c>
      <c r="C93">
        <v>1</v>
      </c>
      <c r="D93">
        <v>-71.544705969999995</v>
      </c>
      <c r="E93">
        <v>9.0923998259999994</v>
      </c>
      <c r="F93">
        <v>7</v>
      </c>
      <c r="G93">
        <v>9</v>
      </c>
      <c r="H93">
        <v>1</v>
      </c>
      <c r="I93" t="s">
        <v>385</v>
      </c>
      <c r="J93">
        <v>-1</v>
      </c>
      <c r="P93" t="s">
        <v>2393</v>
      </c>
      <c r="Q93">
        <v>0.23107</v>
      </c>
      <c r="R93">
        <v>0.65278999999999998</v>
      </c>
    </row>
    <row r="94" spans="1:18" hidden="1" x14ac:dyDescent="0.3">
      <c r="A94" t="s">
        <v>2344</v>
      </c>
      <c r="B94">
        <v>0</v>
      </c>
      <c r="C94">
        <v>1</v>
      </c>
      <c r="D94">
        <v>-71.003055180000004</v>
      </c>
      <c r="E94">
        <v>4.5338786420000003</v>
      </c>
      <c r="F94">
        <v>7</v>
      </c>
      <c r="G94">
        <v>5</v>
      </c>
      <c r="H94">
        <v>1</v>
      </c>
      <c r="I94" t="s">
        <v>13</v>
      </c>
      <c r="J94">
        <v>-1</v>
      </c>
      <c r="P94" t="s">
        <v>2238</v>
      </c>
      <c r="Q94">
        <v>0.24421999999999999</v>
      </c>
      <c r="R94">
        <v>1.1539999999999999</v>
      </c>
    </row>
    <row r="95" spans="1:18" hidden="1" x14ac:dyDescent="0.3">
      <c r="A95" t="s">
        <v>2303</v>
      </c>
      <c r="B95">
        <v>0</v>
      </c>
      <c r="C95">
        <v>1</v>
      </c>
      <c r="D95">
        <v>-69.559342112500005</v>
      </c>
      <c r="E95">
        <v>3.9123731039999998</v>
      </c>
      <c r="F95">
        <v>7</v>
      </c>
      <c r="G95">
        <v>4</v>
      </c>
      <c r="H95">
        <v>1</v>
      </c>
      <c r="I95" t="s">
        <v>13</v>
      </c>
      <c r="J95">
        <v>-1</v>
      </c>
      <c r="P95" t="s">
        <v>2326</v>
      </c>
      <c r="Q95">
        <v>0.25883</v>
      </c>
      <c r="R95">
        <v>1.9882</v>
      </c>
    </row>
    <row r="96" spans="1:18" hidden="1" x14ac:dyDescent="0.3">
      <c r="A96" t="s">
        <v>1848</v>
      </c>
      <c r="B96">
        <v>0</v>
      </c>
      <c r="C96">
        <v>1</v>
      </c>
      <c r="D96">
        <v>-66.805007320000001</v>
      </c>
      <c r="E96">
        <v>6.3007440209999999</v>
      </c>
      <c r="F96">
        <v>7</v>
      </c>
      <c r="G96">
        <v>6</v>
      </c>
      <c r="H96">
        <v>1</v>
      </c>
      <c r="I96" t="s">
        <v>385</v>
      </c>
      <c r="J96">
        <v>-1</v>
      </c>
      <c r="P96" t="s">
        <v>2344</v>
      </c>
      <c r="Q96">
        <v>0.28397</v>
      </c>
      <c r="R96">
        <v>0.21054999999999999</v>
      </c>
    </row>
    <row r="97" spans="1:18" hidden="1" x14ac:dyDescent="0.3">
      <c r="A97" t="s">
        <v>2275</v>
      </c>
      <c r="B97">
        <v>0</v>
      </c>
      <c r="C97">
        <v>1</v>
      </c>
      <c r="D97">
        <v>-65.138989089999995</v>
      </c>
      <c r="E97">
        <v>7.73</v>
      </c>
      <c r="F97">
        <v>7</v>
      </c>
      <c r="G97">
        <v>8</v>
      </c>
      <c r="H97">
        <v>1</v>
      </c>
      <c r="I97" t="s">
        <v>13</v>
      </c>
      <c r="J97">
        <v>-1</v>
      </c>
      <c r="P97" t="s">
        <v>2303</v>
      </c>
      <c r="Q97">
        <v>0.33309</v>
      </c>
      <c r="R97">
        <v>-6.8146999999999999E-3</v>
      </c>
    </row>
    <row r="98" spans="1:18" hidden="1" x14ac:dyDescent="0.3">
      <c r="A98" t="s">
        <v>2196</v>
      </c>
      <c r="B98">
        <v>0</v>
      </c>
      <c r="C98">
        <v>1</v>
      </c>
      <c r="D98">
        <v>-65.062998629999996</v>
      </c>
      <c r="E98">
        <v>6.18</v>
      </c>
      <c r="F98">
        <v>7</v>
      </c>
      <c r="G98">
        <v>6</v>
      </c>
      <c r="H98">
        <v>1</v>
      </c>
      <c r="I98" t="s">
        <v>13</v>
      </c>
      <c r="J98">
        <v>-1</v>
      </c>
      <c r="P98" t="s">
        <v>1848</v>
      </c>
      <c r="Q98">
        <v>0.42126000000000002</v>
      </c>
      <c r="R98">
        <v>0.97999000000000003</v>
      </c>
    </row>
    <row r="99" spans="1:18" hidden="1" x14ac:dyDescent="0.3">
      <c r="A99" t="s">
        <v>2432</v>
      </c>
      <c r="B99">
        <v>0</v>
      </c>
      <c r="C99">
        <v>1</v>
      </c>
      <c r="D99">
        <v>-64.630900014999995</v>
      </c>
      <c r="E99">
        <v>-0.25282767299999998</v>
      </c>
      <c r="F99">
        <v>6</v>
      </c>
      <c r="G99">
        <v>0</v>
      </c>
      <c r="H99">
        <v>1</v>
      </c>
      <c r="I99" t="s">
        <v>13</v>
      </c>
      <c r="J99">
        <v>-1</v>
      </c>
      <c r="P99" t="s">
        <v>2275</v>
      </c>
      <c r="Q99">
        <v>0.47460999999999998</v>
      </c>
      <c r="R99">
        <v>1.5708</v>
      </c>
    </row>
    <row r="100" spans="1:18" hidden="1" x14ac:dyDescent="0.3">
      <c r="A100" t="s">
        <v>2168</v>
      </c>
      <c r="B100">
        <v>0</v>
      </c>
      <c r="C100">
        <v>1</v>
      </c>
      <c r="D100">
        <v>-64.455507422500006</v>
      </c>
      <c r="E100">
        <v>0.10775367299999999</v>
      </c>
      <c r="F100">
        <v>6</v>
      </c>
      <c r="G100">
        <v>0</v>
      </c>
      <c r="H100">
        <v>1</v>
      </c>
      <c r="I100" t="s">
        <v>385</v>
      </c>
      <c r="J100">
        <v>-1</v>
      </c>
      <c r="P100" t="s">
        <v>2196</v>
      </c>
      <c r="Q100">
        <v>0.47954999999999998</v>
      </c>
      <c r="R100">
        <v>0.96443999999999996</v>
      </c>
    </row>
    <row r="101" spans="1:18" hidden="1" x14ac:dyDescent="0.3">
      <c r="A101" t="s">
        <v>2319</v>
      </c>
      <c r="B101">
        <v>0</v>
      </c>
      <c r="C101">
        <v>1</v>
      </c>
      <c r="D101">
        <v>-62.794700577499995</v>
      </c>
      <c r="E101">
        <v>6.4356554460000002</v>
      </c>
      <c r="F101">
        <v>6</v>
      </c>
      <c r="G101">
        <v>6</v>
      </c>
      <c r="H101">
        <v>1</v>
      </c>
      <c r="I101" t="s">
        <v>385</v>
      </c>
      <c r="J101">
        <v>-1</v>
      </c>
      <c r="P101" t="s">
        <v>2432</v>
      </c>
      <c r="Q101">
        <v>0.50395000000000001</v>
      </c>
      <c r="R101">
        <v>-1.5502</v>
      </c>
    </row>
    <row r="102" spans="1:18" hidden="1" x14ac:dyDescent="0.3">
      <c r="A102" t="s">
        <v>2342</v>
      </c>
      <c r="B102">
        <v>0</v>
      </c>
      <c r="C102">
        <v>1</v>
      </c>
      <c r="D102">
        <v>-62.671889459999996</v>
      </c>
      <c r="E102">
        <v>6.7982294169999999</v>
      </c>
      <c r="F102">
        <v>6</v>
      </c>
      <c r="G102">
        <v>7</v>
      </c>
      <c r="H102">
        <v>1</v>
      </c>
      <c r="I102" t="s">
        <v>13</v>
      </c>
      <c r="J102">
        <v>-1</v>
      </c>
      <c r="P102" t="s">
        <v>2168</v>
      </c>
      <c r="Q102">
        <v>0.50924000000000003</v>
      </c>
      <c r="R102">
        <v>-1.4056</v>
      </c>
    </row>
    <row r="103" spans="1:18" hidden="1" x14ac:dyDescent="0.3">
      <c r="A103" t="s">
        <v>1855</v>
      </c>
      <c r="B103">
        <v>0</v>
      </c>
      <c r="C103">
        <v>1</v>
      </c>
      <c r="D103">
        <v>-60.978943877500001</v>
      </c>
      <c r="E103">
        <v>5.7212481039999998</v>
      </c>
      <c r="F103">
        <v>6</v>
      </c>
      <c r="G103">
        <v>6</v>
      </c>
      <c r="H103">
        <v>1</v>
      </c>
      <c r="I103" t="s">
        <v>13</v>
      </c>
      <c r="J103">
        <v>-1</v>
      </c>
      <c r="P103" t="s">
        <v>2319</v>
      </c>
      <c r="Q103">
        <v>0.55481000000000003</v>
      </c>
      <c r="R103">
        <v>1.1061000000000001</v>
      </c>
    </row>
    <row r="104" spans="1:18" hidden="1" x14ac:dyDescent="0.3">
      <c r="A104" t="s">
        <v>2188</v>
      </c>
      <c r="B104">
        <v>0</v>
      </c>
      <c r="C104">
        <v>1</v>
      </c>
      <c r="D104">
        <v>-60.391046695</v>
      </c>
      <c r="E104">
        <v>5.92</v>
      </c>
      <c r="F104">
        <v>6</v>
      </c>
      <c r="G104">
        <v>6</v>
      </c>
      <c r="H104">
        <v>1</v>
      </c>
      <c r="I104" t="s">
        <v>13</v>
      </c>
      <c r="J104">
        <v>-1</v>
      </c>
      <c r="P104" t="s">
        <v>2342</v>
      </c>
      <c r="Q104">
        <v>0.55835000000000001</v>
      </c>
      <c r="R104">
        <v>1.2504999999999999</v>
      </c>
    </row>
    <row r="105" spans="1:18" hidden="1" x14ac:dyDescent="0.3">
      <c r="A105" t="s">
        <v>2198</v>
      </c>
      <c r="B105">
        <v>0</v>
      </c>
      <c r="C105">
        <v>1</v>
      </c>
      <c r="D105">
        <v>-57.613010840000001</v>
      </c>
      <c r="E105">
        <v>6.55</v>
      </c>
      <c r="F105">
        <v>6</v>
      </c>
      <c r="G105">
        <v>7</v>
      </c>
      <c r="H105">
        <v>1</v>
      </c>
      <c r="I105" t="s">
        <v>13</v>
      </c>
      <c r="J105">
        <v>-1</v>
      </c>
      <c r="P105" t="s">
        <v>1855</v>
      </c>
      <c r="Q105">
        <v>0.61648999999999998</v>
      </c>
      <c r="R105">
        <v>0.85907999999999995</v>
      </c>
    </row>
    <row r="106" spans="1:18" hidden="1" x14ac:dyDescent="0.3">
      <c r="A106" t="s">
        <v>2375</v>
      </c>
      <c r="B106">
        <v>0</v>
      </c>
      <c r="C106">
        <v>1</v>
      </c>
      <c r="D106">
        <v>-57.316151095000002</v>
      </c>
      <c r="E106">
        <v>3.893059037</v>
      </c>
      <c r="F106">
        <v>6</v>
      </c>
      <c r="G106">
        <v>4</v>
      </c>
      <c r="H106">
        <v>1</v>
      </c>
      <c r="I106" t="s">
        <v>13</v>
      </c>
      <c r="J106">
        <v>-1</v>
      </c>
      <c r="P106" t="s">
        <v>2188</v>
      </c>
      <c r="Q106">
        <v>0.63578999999999997</v>
      </c>
      <c r="R106">
        <v>0.94774999999999998</v>
      </c>
    </row>
    <row r="107" spans="1:18" hidden="1" x14ac:dyDescent="0.3">
      <c r="A107" t="s">
        <v>2201</v>
      </c>
      <c r="B107">
        <v>0</v>
      </c>
      <c r="C107">
        <v>1</v>
      </c>
      <c r="D107">
        <v>-52.556722539999996</v>
      </c>
      <c r="E107">
        <v>-1.33</v>
      </c>
      <c r="F107">
        <v>5</v>
      </c>
      <c r="G107">
        <v>-1</v>
      </c>
      <c r="H107">
        <v>1</v>
      </c>
      <c r="I107" t="s">
        <v>13</v>
      </c>
      <c r="J107">
        <v>-1</v>
      </c>
      <c r="P107" t="s">
        <v>2198</v>
      </c>
      <c r="Q107">
        <v>0.72746999999999995</v>
      </c>
      <c r="R107">
        <v>1.2455000000000001</v>
      </c>
    </row>
    <row r="108" spans="1:18" hidden="1" x14ac:dyDescent="0.3">
      <c r="A108" t="s">
        <v>2267</v>
      </c>
      <c r="B108">
        <v>0</v>
      </c>
      <c r="C108">
        <v>1</v>
      </c>
      <c r="D108">
        <v>-51.923955825</v>
      </c>
      <c r="E108">
        <v>8.75</v>
      </c>
      <c r="F108">
        <v>5</v>
      </c>
      <c r="G108">
        <v>9</v>
      </c>
      <c r="H108">
        <v>1</v>
      </c>
      <c r="I108" t="s">
        <v>13</v>
      </c>
      <c r="J108">
        <v>-1</v>
      </c>
      <c r="P108" t="s">
        <v>2375</v>
      </c>
      <c r="Q108">
        <v>0.74150000000000005</v>
      </c>
      <c r="R108">
        <v>0.20904</v>
      </c>
    </row>
    <row r="109" spans="1:18" hidden="1" x14ac:dyDescent="0.3">
      <c r="A109" t="s">
        <v>2384</v>
      </c>
      <c r="B109">
        <v>0</v>
      </c>
      <c r="C109">
        <v>1</v>
      </c>
      <c r="D109">
        <v>-51.558553864999993</v>
      </c>
      <c r="E109">
        <v>10.515709879999999</v>
      </c>
      <c r="F109">
        <v>5</v>
      </c>
      <c r="G109">
        <v>11</v>
      </c>
      <c r="H109">
        <v>1</v>
      </c>
      <c r="I109" t="s">
        <v>385</v>
      </c>
      <c r="J109">
        <v>-1</v>
      </c>
      <c r="P109" t="s">
        <v>2201</v>
      </c>
      <c r="Q109">
        <v>0.90835999999999995</v>
      </c>
      <c r="R109">
        <v>-1.7522</v>
      </c>
    </row>
    <row r="110" spans="1:18" hidden="1" x14ac:dyDescent="0.3">
      <c r="A110" t="s">
        <v>2215</v>
      </c>
      <c r="B110">
        <v>0</v>
      </c>
      <c r="C110">
        <v>1</v>
      </c>
      <c r="D110">
        <v>-48.019215265000007</v>
      </c>
      <c r="E110">
        <v>4.2699999999999996</v>
      </c>
      <c r="F110">
        <v>5</v>
      </c>
      <c r="G110">
        <v>4</v>
      </c>
      <c r="H110">
        <v>1</v>
      </c>
      <c r="I110" t="s">
        <v>13</v>
      </c>
      <c r="J110">
        <v>-1</v>
      </c>
      <c r="P110" t="s">
        <v>2267</v>
      </c>
      <c r="Q110">
        <v>0.91381999999999997</v>
      </c>
      <c r="R110">
        <v>2.2120000000000002</v>
      </c>
    </row>
    <row r="111" spans="1:18" hidden="1" x14ac:dyDescent="0.3">
      <c r="A111" t="s">
        <v>2232</v>
      </c>
      <c r="B111">
        <v>0</v>
      </c>
      <c r="C111">
        <v>1</v>
      </c>
      <c r="D111">
        <v>-47.279769635000001</v>
      </c>
      <c r="E111">
        <v>7.25</v>
      </c>
      <c r="F111">
        <v>5</v>
      </c>
      <c r="G111">
        <v>7</v>
      </c>
      <c r="H111">
        <v>1</v>
      </c>
      <c r="I111" t="s">
        <v>385</v>
      </c>
      <c r="J111">
        <v>-1</v>
      </c>
      <c r="P111" t="s">
        <v>2384</v>
      </c>
      <c r="Q111">
        <v>0.92327000000000004</v>
      </c>
      <c r="R111">
        <v>2.911</v>
      </c>
    </row>
    <row r="112" spans="1:18" hidden="1" x14ac:dyDescent="0.3">
      <c r="A112" t="s">
        <v>2355</v>
      </c>
      <c r="B112">
        <v>0</v>
      </c>
      <c r="C112">
        <v>1</v>
      </c>
      <c r="D112">
        <v>-44.321822855000001</v>
      </c>
      <c r="E112">
        <v>7.6500159810000001</v>
      </c>
      <c r="F112">
        <v>4</v>
      </c>
      <c r="G112">
        <v>8</v>
      </c>
      <c r="H112">
        <v>1</v>
      </c>
      <c r="I112" t="s">
        <v>13</v>
      </c>
      <c r="J112">
        <v>-1</v>
      </c>
      <c r="P112" t="s">
        <v>2215</v>
      </c>
      <c r="Q112">
        <v>1.0509999999999999</v>
      </c>
      <c r="R112">
        <v>0.52651000000000003</v>
      </c>
    </row>
    <row r="113" spans="1:18" hidden="1" x14ac:dyDescent="0.3">
      <c r="A113" t="s">
        <v>2234</v>
      </c>
      <c r="B113">
        <v>0</v>
      </c>
      <c r="C113">
        <v>1</v>
      </c>
      <c r="D113">
        <v>-43.942034815000007</v>
      </c>
      <c r="E113">
        <v>2.95</v>
      </c>
      <c r="F113">
        <v>4</v>
      </c>
      <c r="G113">
        <v>3</v>
      </c>
      <c r="H113">
        <v>1</v>
      </c>
      <c r="I113" t="s">
        <v>385</v>
      </c>
      <c r="J113">
        <v>-1</v>
      </c>
      <c r="P113" t="s">
        <v>2232</v>
      </c>
      <c r="Q113">
        <v>1.0710999999999999</v>
      </c>
      <c r="R113">
        <v>1.7084999999999999</v>
      </c>
    </row>
    <row r="114" spans="1:18" hidden="1" x14ac:dyDescent="0.3">
      <c r="A114" t="s">
        <v>2351</v>
      </c>
      <c r="B114">
        <v>0</v>
      </c>
      <c r="C114">
        <v>1</v>
      </c>
      <c r="D114">
        <v>-43.676117439999999</v>
      </c>
      <c r="E114">
        <v>5.6548415350000001</v>
      </c>
      <c r="F114">
        <v>4</v>
      </c>
      <c r="G114">
        <v>6</v>
      </c>
      <c r="H114">
        <v>1</v>
      </c>
      <c r="I114" t="s">
        <v>13</v>
      </c>
      <c r="J114">
        <v>-1</v>
      </c>
      <c r="P114" t="s">
        <v>2355</v>
      </c>
      <c r="Q114">
        <v>1.1691</v>
      </c>
      <c r="R114">
        <v>1.9194</v>
      </c>
    </row>
    <row r="115" spans="1:18" hidden="1" x14ac:dyDescent="0.3">
      <c r="A115" t="s">
        <v>1846</v>
      </c>
      <c r="B115">
        <v>0</v>
      </c>
      <c r="C115">
        <v>1</v>
      </c>
      <c r="D115">
        <v>-42.990986400000004</v>
      </c>
      <c r="E115">
        <v>7.1977436279999996</v>
      </c>
      <c r="F115">
        <v>4</v>
      </c>
      <c r="G115">
        <v>7</v>
      </c>
      <c r="H115">
        <v>1</v>
      </c>
      <c r="I115" t="s">
        <v>385</v>
      </c>
      <c r="J115">
        <v>-1</v>
      </c>
      <c r="P115" t="s">
        <v>2234</v>
      </c>
      <c r="Q115">
        <v>1.1891</v>
      </c>
      <c r="R115">
        <v>8.3312999999999998E-2</v>
      </c>
    </row>
    <row r="116" spans="1:18" hidden="1" x14ac:dyDescent="0.3">
      <c r="A116" t="s">
        <v>1747</v>
      </c>
      <c r="B116">
        <v>0</v>
      </c>
      <c r="C116">
        <v>1</v>
      </c>
      <c r="D116">
        <v>-42.357925995000002</v>
      </c>
      <c r="E116">
        <v>3.81</v>
      </c>
      <c r="F116">
        <v>4</v>
      </c>
      <c r="G116">
        <v>4</v>
      </c>
      <c r="H116">
        <v>1</v>
      </c>
      <c r="I116" t="s">
        <v>13</v>
      </c>
      <c r="J116">
        <v>-1</v>
      </c>
      <c r="P116" t="s">
        <v>2351</v>
      </c>
      <c r="Q116">
        <v>1.1937</v>
      </c>
      <c r="R116">
        <v>1.1488</v>
      </c>
    </row>
    <row r="117" spans="1:18" hidden="1" x14ac:dyDescent="0.3">
      <c r="A117" t="s">
        <v>1756</v>
      </c>
      <c r="B117">
        <v>0</v>
      </c>
      <c r="C117">
        <v>1</v>
      </c>
      <c r="D117">
        <v>-38.068849069999999</v>
      </c>
      <c r="E117">
        <v>1.0900000000000001</v>
      </c>
      <c r="F117">
        <v>4</v>
      </c>
      <c r="G117">
        <v>1</v>
      </c>
      <c r="H117">
        <v>1</v>
      </c>
      <c r="I117" t="s">
        <v>385</v>
      </c>
      <c r="J117">
        <v>-1</v>
      </c>
      <c r="P117" t="s">
        <v>1846</v>
      </c>
      <c r="Q117">
        <v>1.2141999999999999</v>
      </c>
      <c r="R117">
        <v>1.7663</v>
      </c>
    </row>
    <row r="118" spans="1:18" hidden="1" x14ac:dyDescent="0.3">
      <c r="A118" t="s">
        <v>2207</v>
      </c>
      <c r="B118">
        <v>0</v>
      </c>
      <c r="C118">
        <v>1</v>
      </c>
      <c r="D118">
        <v>-37.865720725000003</v>
      </c>
      <c r="E118">
        <v>1.3</v>
      </c>
      <c r="F118">
        <v>4</v>
      </c>
      <c r="G118">
        <v>1</v>
      </c>
      <c r="H118">
        <v>1</v>
      </c>
      <c r="I118" t="s">
        <v>13</v>
      </c>
      <c r="J118">
        <v>-1</v>
      </c>
      <c r="P118" t="s">
        <v>1747</v>
      </c>
      <c r="Q118">
        <v>1.2405999999999999</v>
      </c>
      <c r="R118">
        <v>0.44945000000000002</v>
      </c>
    </row>
    <row r="119" spans="1:18" hidden="1" x14ac:dyDescent="0.3">
      <c r="A119" t="s">
        <v>2219</v>
      </c>
      <c r="B119">
        <v>0</v>
      </c>
      <c r="C119">
        <v>1</v>
      </c>
      <c r="D119">
        <v>-34.964931049999997</v>
      </c>
      <c r="E119">
        <v>0.19</v>
      </c>
      <c r="F119">
        <v>3</v>
      </c>
      <c r="G119">
        <v>0</v>
      </c>
      <c r="H119">
        <v>1</v>
      </c>
      <c r="I119" t="s">
        <v>13</v>
      </c>
      <c r="J119">
        <v>-1</v>
      </c>
      <c r="P119" t="s">
        <v>1756</v>
      </c>
      <c r="Q119">
        <v>1.3878999999999999</v>
      </c>
      <c r="R119">
        <v>-0.53886000000000001</v>
      </c>
    </row>
    <row r="120" spans="1:18" x14ac:dyDescent="0.3">
      <c r="A120" t="s">
        <v>1880</v>
      </c>
      <c r="B120">
        <v>0</v>
      </c>
      <c r="C120">
        <v>0</v>
      </c>
      <c r="D120">
        <v>-159.78854849999999</v>
      </c>
      <c r="E120">
        <v>4.63</v>
      </c>
      <c r="F120">
        <v>16</v>
      </c>
      <c r="G120">
        <v>5</v>
      </c>
      <c r="H120">
        <v>1</v>
      </c>
      <c r="I120" t="s">
        <v>13</v>
      </c>
      <c r="J120">
        <v>1</v>
      </c>
      <c r="P120" t="s">
        <v>2207</v>
      </c>
      <c r="Q120">
        <v>1.3943000000000001</v>
      </c>
      <c r="R120">
        <v>-0.45280999999999999</v>
      </c>
    </row>
    <row r="121" spans="1:18" x14ac:dyDescent="0.3">
      <c r="A121" t="s">
        <v>1911</v>
      </c>
      <c r="B121">
        <v>0</v>
      </c>
      <c r="C121">
        <v>0</v>
      </c>
      <c r="D121">
        <v>-137.43673237499999</v>
      </c>
      <c r="E121">
        <v>1.4</v>
      </c>
      <c r="F121">
        <v>14</v>
      </c>
      <c r="G121">
        <v>1</v>
      </c>
      <c r="H121">
        <v>1</v>
      </c>
      <c r="I121" t="s">
        <v>13</v>
      </c>
      <c r="J121">
        <v>1</v>
      </c>
      <c r="P121" t="s">
        <v>2219</v>
      </c>
      <c r="Q121">
        <v>1.4927999999999999</v>
      </c>
      <c r="R121">
        <v>-0.83513000000000004</v>
      </c>
    </row>
    <row r="122" spans="1:18" x14ac:dyDescent="0.3">
      <c r="A122" t="s">
        <v>220</v>
      </c>
      <c r="B122">
        <v>0</v>
      </c>
      <c r="C122">
        <v>0</v>
      </c>
      <c r="D122">
        <v>-135.46249999999998</v>
      </c>
      <c r="E122">
        <v>5.7112848139999999</v>
      </c>
      <c r="F122">
        <v>14</v>
      </c>
      <c r="G122">
        <v>6</v>
      </c>
      <c r="H122">
        <v>1</v>
      </c>
      <c r="I122" t="s">
        <v>13</v>
      </c>
      <c r="J122">
        <v>1</v>
      </c>
      <c r="P122" t="s">
        <v>1880</v>
      </c>
      <c r="Q122">
        <v>-2.6777000000000002</v>
      </c>
      <c r="R122">
        <v>-1.3720000000000001</v>
      </c>
    </row>
    <row r="123" spans="1:18" x14ac:dyDescent="0.3">
      <c r="A123" t="s">
        <v>2550</v>
      </c>
      <c r="B123">
        <v>0</v>
      </c>
      <c r="C123">
        <v>0</v>
      </c>
      <c r="D123">
        <v>-127.28913425</v>
      </c>
      <c r="E123">
        <v>4.5674128239999998</v>
      </c>
      <c r="F123">
        <v>13</v>
      </c>
      <c r="G123">
        <v>5</v>
      </c>
      <c r="H123">
        <v>1</v>
      </c>
      <c r="I123" t="s">
        <v>385</v>
      </c>
      <c r="J123">
        <v>1</v>
      </c>
      <c r="P123" t="s">
        <v>1911</v>
      </c>
      <c r="Q123">
        <v>-1.9271</v>
      </c>
      <c r="R123">
        <v>-2.2307000000000001</v>
      </c>
    </row>
    <row r="124" spans="1:18" x14ac:dyDescent="0.3">
      <c r="A124" t="s">
        <v>1882</v>
      </c>
      <c r="B124">
        <v>0</v>
      </c>
      <c r="C124">
        <v>0</v>
      </c>
      <c r="D124">
        <v>-125.42716012500001</v>
      </c>
      <c r="E124">
        <v>1.88</v>
      </c>
      <c r="F124">
        <v>13</v>
      </c>
      <c r="G124">
        <v>2</v>
      </c>
      <c r="H124">
        <v>1</v>
      </c>
      <c r="I124" t="s">
        <v>13</v>
      </c>
      <c r="J124">
        <v>1</v>
      </c>
      <c r="P124" t="s">
        <v>220</v>
      </c>
      <c r="Q124">
        <v>-1.8678999999999999</v>
      </c>
      <c r="R124">
        <v>-0.50409999999999999</v>
      </c>
    </row>
    <row r="125" spans="1:18" x14ac:dyDescent="0.3">
      <c r="A125" t="s">
        <v>1496</v>
      </c>
      <c r="B125">
        <v>0</v>
      </c>
      <c r="C125">
        <v>0</v>
      </c>
      <c r="D125">
        <v>-121.529286375</v>
      </c>
      <c r="E125">
        <v>4.62</v>
      </c>
      <c r="F125">
        <v>12</v>
      </c>
      <c r="G125">
        <v>5</v>
      </c>
      <c r="H125">
        <v>1</v>
      </c>
      <c r="I125" t="s">
        <v>1488</v>
      </c>
      <c r="J125">
        <v>1</v>
      </c>
      <c r="P125" t="s">
        <v>2550</v>
      </c>
      <c r="Q125">
        <v>-1.5934999999999999</v>
      </c>
      <c r="R125">
        <v>-0.80349000000000004</v>
      </c>
    </row>
    <row r="126" spans="1:18" x14ac:dyDescent="0.3">
      <c r="A126" t="s">
        <v>537</v>
      </c>
      <c r="B126">
        <v>0</v>
      </c>
      <c r="C126">
        <v>0</v>
      </c>
      <c r="D126">
        <v>-121.075</v>
      </c>
      <c r="E126">
        <v>6.192243038</v>
      </c>
      <c r="F126">
        <v>12</v>
      </c>
      <c r="G126">
        <v>6</v>
      </c>
      <c r="H126">
        <v>1</v>
      </c>
      <c r="I126" t="s">
        <v>385</v>
      </c>
      <c r="J126">
        <v>1</v>
      </c>
      <c r="P126" t="s">
        <v>1882</v>
      </c>
      <c r="Q126">
        <v>-1.5271999999999999</v>
      </c>
      <c r="R126">
        <v>-1.8232999999999999</v>
      </c>
    </row>
    <row r="127" spans="1:18" x14ac:dyDescent="0.3">
      <c r="A127" t="s">
        <v>1491</v>
      </c>
      <c r="B127">
        <v>0</v>
      </c>
      <c r="C127">
        <v>0</v>
      </c>
      <c r="D127">
        <v>-119.68337700000001</v>
      </c>
      <c r="E127">
        <v>6.26</v>
      </c>
      <c r="F127">
        <v>12</v>
      </c>
      <c r="G127">
        <v>6</v>
      </c>
      <c r="H127">
        <v>1</v>
      </c>
      <c r="I127" t="s">
        <v>1488</v>
      </c>
      <c r="J127">
        <v>1</v>
      </c>
      <c r="P127" t="s">
        <v>1496</v>
      </c>
      <c r="Q127">
        <v>-1.4015</v>
      </c>
      <c r="R127">
        <v>-0.67774999999999996</v>
      </c>
    </row>
    <row r="128" spans="1:18" x14ac:dyDescent="0.3">
      <c r="A128" t="s">
        <v>2549</v>
      </c>
      <c r="B128">
        <v>0</v>
      </c>
      <c r="C128">
        <v>0</v>
      </c>
      <c r="D128">
        <v>-116.81320725</v>
      </c>
      <c r="E128">
        <v>8.1514992339999992</v>
      </c>
      <c r="F128">
        <v>12</v>
      </c>
      <c r="G128">
        <v>8</v>
      </c>
      <c r="H128">
        <v>1</v>
      </c>
      <c r="I128" t="s">
        <v>385</v>
      </c>
      <c r="J128">
        <v>1</v>
      </c>
      <c r="P128" t="s">
        <v>537</v>
      </c>
      <c r="Q128">
        <v>-1.3888</v>
      </c>
      <c r="R128">
        <v>-5.2943999999999998E-2</v>
      </c>
    </row>
    <row r="129" spans="1:18" x14ac:dyDescent="0.3">
      <c r="A129" t="s">
        <v>998</v>
      </c>
      <c r="B129">
        <v>0</v>
      </c>
      <c r="C129">
        <v>0</v>
      </c>
      <c r="D129">
        <v>-111.6125</v>
      </c>
      <c r="E129">
        <v>4.025961927</v>
      </c>
      <c r="F129">
        <v>11</v>
      </c>
      <c r="G129">
        <v>4</v>
      </c>
      <c r="H129">
        <v>1</v>
      </c>
      <c r="I129" t="s">
        <v>385</v>
      </c>
      <c r="J129">
        <v>1</v>
      </c>
      <c r="P129" t="s">
        <v>1491</v>
      </c>
      <c r="Q129">
        <v>-1.3425</v>
      </c>
      <c r="R129">
        <v>-9.7885000000000008E-4</v>
      </c>
    </row>
    <row r="130" spans="1:18" x14ac:dyDescent="0.3">
      <c r="A130" t="s">
        <v>1906</v>
      </c>
      <c r="B130">
        <v>0</v>
      </c>
      <c r="C130">
        <v>0</v>
      </c>
      <c r="D130">
        <v>-110.72341875000001</v>
      </c>
      <c r="E130">
        <v>1.4</v>
      </c>
      <c r="F130">
        <v>11</v>
      </c>
      <c r="G130">
        <v>1</v>
      </c>
      <c r="H130">
        <v>1</v>
      </c>
      <c r="I130" t="s">
        <v>13</v>
      </c>
      <c r="J130">
        <v>1</v>
      </c>
      <c r="P130" t="s">
        <v>2549</v>
      </c>
      <c r="Q130">
        <v>-1.2497</v>
      </c>
      <c r="R130">
        <v>0.79310999999999998</v>
      </c>
    </row>
    <row r="131" spans="1:18" x14ac:dyDescent="0.3">
      <c r="A131" t="s">
        <v>98</v>
      </c>
      <c r="B131">
        <v>0</v>
      </c>
      <c r="C131">
        <v>0</v>
      </c>
      <c r="D131">
        <v>-110.06250000000001</v>
      </c>
      <c r="E131">
        <v>4.8024455939999999</v>
      </c>
      <c r="F131">
        <v>11</v>
      </c>
      <c r="G131">
        <v>5</v>
      </c>
      <c r="H131">
        <v>1</v>
      </c>
      <c r="I131" t="s">
        <v>13</v>
      </c>
      <c r="J131">
        <v>1</v>
      </c>
      <c r="P131" t="s">
        <v>998</v>
      </c>
      <c r="Q131">
        <v>-1.0698000000000001</v>
      </c>
      <c r="R131">
        <v>-0.72972000000000004</v>
      </c>
    </row>
    <row r="132" spans="1:18" x14ac:dyDescent="0.3">
      <c r="A132" t="s">
        <v>2511</v>
      </c>
      <c r="B132">
        <v>0</v>
      </c>
      <c r="C132">
        <v>0</v>
      </c>
      <c r="D132">
        <v>-102.16550112500001</v>
      </c>
      <c r="E132">
        <v>4.5856357570000004</v>
      </c>
      <c r="F132">
        <v>10</v>
      </c>
      <c r="G132">
        <v>5</v>
      </c>
      <c r="H132">
        <v>1</v>
      </c>
      <c r="I132" t="s">
        <v>13</v>
      </c>
      <c r="J132">
        <v>1</v>
      </c>
      <c r="P132" t="s">
        <v>1906</v>
      </c>
      <c r="Q132">
        <v>-1.0361</v>
      </c>
      <c r="R132">
        <v>-1.7432000000000001</v>
      </c>
    </row>
    <row r="133" spans="1:18" x14ac:dyDescent="0.3">
      <c r="A133" t="s">
        <v>1890</v>
      </c>
      <c r="B133">
        <v>0</v>
      </c>
      <c r="C133">
        <v>0</v>
      </c>
      <c r="D133">
        <v>-101.916284625</v>
      </c>
      <c r="E133">
        <v>7.58</v>
      </c>
      <c r="F133">
        <v>10</v>
      </c>
      <c r="G133">
        <v>8</v>
      </c>
      <c r="H133">
        <v>1</v>
      </c>
      <c r="I133" t="s">
        <v>13</v>
      </c>
      <c r="J133">
        <v>1</v>
      </c>
      <c r="P133" t="s">
        <v>98</v>
      </c>
      <c r="Q133">
        <v>-1.0193000000000001</v>
      </c>
      <c r="R133">
        <v>-0.39695000000000003</v>
      </c>
    </row>
    <row r="134" spans="1:18" x14ac:dyDescent="0.3">
      <c r="A134" t="s">
        <v>1884</v>
      </c>
      <c r="B134">
        <v>0</v>
      </c>
      <c r="C134">
        <v>0</v>
      </c>
      <c r="D134">
        <v>-100.17855412500001</v>
      </c>
      <c r="E134">
        <v>7.63</v>
      </c>
      <c r="F134">
        <v>10</v>
      </c>
      <c r="G134">
        <v>8</v>
      </c>
      <c r="H134">
        <v>1</v>
      </c>
      <c r="I134" t="s">
        <v>13</v>
      </c>
      <c r="J134">
        <v>1</v>
      </c>
      <c r="P134" t="s">
        <v>2511</v>
      </c>
      <c r="Q134">
        <v>-0.75555000000000005</v>
      </c>
      <c r="R134">
        <v>-0.33784999999999998</v>
      </c>
    </row>
    <row r="135" spans="1:18" x14ac:dyDescent="0.3">
      <c r="A135" t="s">
        <v>217</v>
      </c>
      <c r="B135">
        <v>0</v>
      </c>
      <c r="C135">
        <v>0</v>
      </c>
      <c r="D135">
        <v>-99.25</v>
      </c>
      <c r="E135">
        <v>4.8049715869999998</v>
      </c>
      <c r="F135">
        <v>10</v>
      </c>
      <c r="G135">
        <v>5</v>
      </c>
      <c r="H135">
        <v>1</v>
      </c>
      <c r="I135" t="s">
        <v>13</v>
      </c>
      <c r="J135">
        <v>1</v>
      </c>
      <c r="P135" t="s">
        <v>1890</v>
      </c>
      <c r="Q135">
        <v>-0.75187999999999999</v>
      </c>
      <c r="R135">
        <v>0.84087000000000001</v>
      </c>
    </row>
    <row r="136" spans="1:18" x14ac:dyDescent="0.3">
      <c r="A136" t="s">
        <v>2136</v>
      </c>
      <c r="B136">
        <v>0</v>
      </c>
      <c r="C136">
        <v>0</v>
      </c>
      <c r="D136">
        <v>-98.883983000000001</v>
      </c>
      <c r="E136">
        <v>4.9491772149999997</v>
      </c>
      <c r="F136">
        <v>10</v>
      </c>
      <c r="G136">
        <v>5</v>
      </c>
      <c r="H136">
        <v>1</v>
      </c>
      <c r="I136" t="s">
        <v>385</v>
      </c>
      <c r="J136">
        <v>1</v>
      </c>
      <c r="P136" t="s">
        <v>1884</v>
      </c>
      <c r="Q136">
        <v>-0.69399999999999995</v>
      </c>
      <c r="R136">
        <v>0.89219000000000004</v>
      </c>
    </row>
    <row r="137" spans="1:18" x14ac:dyDescent="0.3">
      <c r="A137" t="s">
        <v>1133</v>
      </c>
      <c r="B137">
        <v>0</v>
      </c>
      <c r="C137">
        <v>0</v>
      </c>
      <c r="D137">
        <v>-97.55</v>
      </c>
      <c r="E137">
        <v>8.9899593289999995</v>
      </c>
      <c r="F137">
        <v>10</v>
      </c>
      <c r="G137">
        <v>9</v>
      </c>
      <c r="H137">
        <v>1</v>
      </c>
      <c r="I137" t="s">
        <v>13</v>
      </c>
      <c r="J137">
        <v>1</v>
      </c>
      <c r="P137" t="s">
        <v>217</v>
      </c>
      <c r="Q137">
        <v>-0.65864</v>
      </c>
      <c r="R137">
        <v>-0.19864000000000001</v>
      </c>
    </row>
    <row r="138" spans="1:18" x14ac:dyDescent="0.3">
      <c r="A138" t="s">
        <v>1908</v>
      </c>
      <c r="B138">
        <v>0</v>
      </c>
      <c r="C138">
        <v>0</v>
      </c>
      <c r="D138">
        <v>-97.067123625000008</v>
      </c>
      <c r="E138">
        <v>3.22</v>
      </c>
      <c r="F138">
        <v>10</v>
      </c>
      <c r="G138">
        <v>3</v>
      </c>
      <c r="H138">
        <v>1</v>
      </c>
      <c r="I138" t="s">
        <v>13</v>
      </c>
      <c r="J138">
        <v>1</v>
      </c>
      <c r="P138" t="s">
        <v>2136</v>
      </c>
      <c r="Q138">
        <v>-0.64664999999999995</v>
      </c>
      <c r="R138">
        <v>-0.13541</v>
      </c>
    </row>
    <row r="139" spans="1:18" x14ac:dyDescent="0.3">
      <c r="A139" t="s">
        <v>2473</v>
      </c>
      <c r="B139">
        <v>0</v>
      </c>
      <c r="C139">
        <v>0</v>
      </c>
      <c r="D139">
        <v>-95.257975999999999</v>
      </c>
      <c r="E139">
        <v>5.2302281119999998</v>
      </c>
      <c r="F139">
        <v>10</v>
      </c>
      <c r="G139">
        <v>5</v>
      </c>
      <c r="H139">
        <v>1</v>
      </c>
      <c r="I139" t="s">
        <v>1488</v>
      </c>
      <c r="J139">
        <v>1</v>
      </c>
      <c r="P139" t="s">
        <v>1133</v>
      </c>
      <c r="Q139">
        <v>-0.60843000000000003</v>
      </c>
      <c r="R139">
        <v>1.4734</v>
      </c>
    </row>
    <row r="140" spans="1:18" x14ac:dyDescent="0.3">
      <c r="A140" t="s">
        <v>2439</v>
      </c>
      <c r="B140">
        <v>0</v>
      </c>
      <c r="C140">
        <v>0</v>
      </c>
      <c r="D140">
        <v>-93.379548750000012</v>
      </c>
      <c r="E140">
        <v>6.4442586869999996</v>
      </c>
      <c r="F140">
        <v>9</v>
      </c>
      <c r="G140">
        <v>6</v>
      </c>
      <c r="H140">
        <v>1</v>
      </c>
      <c r="I140" t="s">
        <v>13</v>
      </c>
      <c r="J140">
        <v>1</v>
      </c>
      <c r="P140" t="s">
        <v>1908</v>
      </c>
      <c r="Q140">
        <v>-0.58337000000000006</v>
      </c>
      <c r="R140">
        <v>-0.78030999999999995</v>
      </c>
    </row>
    <row r="141" spans="1:18" x14ac:dyDescent="0.3">
      <c r="A141" t="s">
        <v>1504</v>
      </c>
      <c r="B141">
        <v>0</v>
      </c>
      <c r="C141">
        <v>0</v>
      </c>
      <c r="D141">
        <v>-89.424200249999998</v>
      </c>
      <c r="E141">
        <v>3.78</v>
      </c>
      <c r="F141">
        <v>9</v>
      </c>
      <c r="G141">
        <v>4</v>
      </c>
      <c r="H141">
        <v>1</v>
      </c>
      <c r="I141" t="s">
        <v>1488</v>
      </c>
      <c r="J141">
        <v>1</v>
      </c>
      <c r="P141" t="s">
        <v>2473</v>
      </c>
      <c r="Q141">
        <v>-0.52614000000000005</v>
      </c>
      <c r="R141">
        <v>4.0967999999999997E-2</v>
      </c>
    </row>
    <row r="142" spans="1:18" x14ac:dyDescent="0.3">
      <c r="A142" t="s">
        <v>2462</v>
      </c>
      <c r="B142">
        <v>0</v>
      </c>
      <c r="C142">
        <v>0</v>
      </c>
      <c r="D142">
        <v>-88.932072500000018</v>
      </c>
      <c r="E142">
        <v>8.4021259260000001</v>
      </c>
      <c r="F142">
        <v>9</v>
      </c>
      <c r="G142">
        <v>8</v>
      </c>
      <c r="H142">
        <v>1</v>
      </c>
      <c r="I142" t="s">
        <v>1488</v>
      </c>
      <c r="J142">
        <v>1</v>
      </c>
      <c r="P142" t="s">
        <v>2439</v>
      </c>
      <c r="Q142">
        <v>-0.46537000000000001</v>
      </c>
      <c r="R142">
        <v>0.55130000000000001</v>
      </c>
    </row>
    <row r="143" spans="1:18" x14ac:dyDescent="0.3">
      <c r="A143" t="s">
        <v>2164</v>
      </c>
      <c r="B143">
        <v>0</v>
      </c>
      <c r="C143">
        <v>0</v>
      </c>
      <c r="D143">
        <v>-88.575191500000003</v>
      </c>
      <c r="E143">
        <v>6.3032905000000001</v>
      </c>
      <c r="F143">
        <v>9</v>
      </c>
      <c r="G143">
        <v>6</v>
      </c>
      <c r="H143">
        <v>1</v>
      </c>
      <c r="I143" t="s">
        <v>385</v>
      </c>
      <c r="J143">
        <v>1</v>
      </c>
      <c r="P143" t="s">
        <v>1504</v>
      </c>
      <c r="Q143">
        <v>-0.32929999999999998</v>
      </c>
      <c r="R143">
        <v>-0.42124</v>
      </c>
    </row>
    <row r="144" spans="1:18" x14ac:dyDescent="0.3">
      <c r="A144" t="s">
        <v>2458</v>
      </c>
      <c r="B144">
        <v>0</v>
      </c>
      <c r="C144">
        <v>0</v>
      </c>
      <c r="D144">
        <v>-87.949221749999992</v>
      </c>
      <c r="E144">
        <v>4.5536058810000002</v>
      </c>
      <c r="F144">
        <v>9</v>
      </c>
      <c r="G144">
        <v>5</v>
      </c>
      <c r="H144">
        <v>1</v>
      </c>
      <c r="I144" t="s">
        <v>13</v>
      </c>
      <c r="J144">
        <v>1</v>
      </c>
      <c r="P144" t="s">
        <v>2462</v>
      </c>
      <c r="Q144">
        <v>-0.32006000000000001</v>
      </c>
      <c r="R144">
        <v>1.4001999999999999</v>
      </c>
    </row>
    <row r="145" spans="1:18" x14ac:dyDescent="0.3">
      <c r="A145" t="s">
        <v>1123</v>
      </c>
      <c r="B145">
        <v>0</v>
      </c>
      <c r="C145">
        <v>0</v>
      </c>
      <c r="D145">
        <v>-85.5</v>
      </c>
      <c r="E145">
        <v>1.147890852</v>
      </c>
      <c r="F145">
        <v>9</v>
      </c>
      <c r="G145">
        <v>1</v>
      </c>
      <c r="H145">
        <v>1</v>
      </c>
      <c r="I145" t="s">
        <v>13</v>
      </c>
      <c r="J145">
        <v>1</v>
      </c>
      <c r="P145" t="s">
        <v>2164</v>
      </c>
      <c r="Q145">
        <v>-0.3049</v>
      </c>
      <c r="R145">
        <v>0.5837</v>
      </c>
    </row>
    <row r="146" spans="1:18" x14ac:dyDescent="0.3">
      <c r="A146" t="s">
        <v>1442</v>
      </c>
      <c r="B146">
        <v>0</v>
      </c>
      <c r="C146">
        <v>0</v>
      </c>
      <c r="D146">
        <v>-84.415346624999998</v>
      </c>
      <c r="E146">
        <v>6.2</v>
      </c>
      <c r="F146">
        <v>8</v>
      </c>
      <c r="G146">
        <v>6</v>
      </c>
      <c r="H146">
        <v>1</v>
      </c>
      <c r="I146" t="s">
        <v>13</v>
      </c>
      <c r="J146">
        <v>1</v>
      </c>
      <c r="P146" t="s">
        <v>2458</v>
      </c>
      <c r="Q146">
        <v>-0.28131</v>
      </c>
      <c r="R146">
        <v>-9.0973999999999999E-2</v>
      </c>
    </row>
    <row r="147" spans="1:18" x14ac:dyDescent="0.3">
      <c r="A147" t="s">
        <v>281</v>
      </c>
      <c r="B147">
        <v>0</v>
      </c>
      <c r="C147">
        <v>0</v>
      </c>
      <c r="D147">
        <v>-83.7</v>
      </c>
      <c r="E147">
        <v>3.2503141499999999</v>
      </c>
      <c r="F147">
        <v>8</v>
      </c>
      <c r="G147">
        <v>3</v>
      </c>
      <c r="H147">
        <v>1</v>
      </c>
      <c r="I147" t="s">
        <v>13</v>
      </c>
      <c r="J147">
        <v>1</v>
      </c>
      <c r="P147" t="s">
        <v>1123</v>
      </c>
      <c r="Q147">
        <v>-0.19431999999999999</v>
      </c>
      <c r="R147">
        <v>-1.3816999999999999</v>
      </c>
    </row>
    <row r="148" spans="1:18" x14ac:dyDescent="0.3">
      <c r="A148" t="s">
        <v>2165</v>
      </c>
      <c r="B148">
        <v>0</v>
      </c>
      <c r="C148">
        <v>0</v>
      </c>
      <c r="D148">
        <v>-80.079662499999998</v>
      </c>
      <c r="E148">
        <v>8.1894783760000003</v>
      </c>
      <c r="F148">
        <v>8</v>
      </c>
      <c r="G148">
        <v>8</v>
      </c>
      <c r="H148">
        <v>1</v>
      </c>
      <c r="I148" t="s">
        <v>385</v>
      </c>
      <c r="J148">
        <v>1</v>
      </c>
      <c r="P148" t="s">
        <v>1442</v>
      </c>
      <c r="Q148">
        <v>-0.16599</v>
      </c>
      <c r="R148">
        <v>0.61911000000000005</v>
      </c>
    </row>
    <row r="149" spans="1:18" x14ac:dyDescent="0.3">
      <c r="A149" t="s">
        <v>2477</v>
      </c>
      <c r="B149">
        <v>0</v>
      </c>
      <c r="C149">
        <v>0</v>
      </c>
      <c r="D149">
        <v>-79.308128000000011</v>
      </c>
      <c r="E149">
        <v>6.2071190280000001</v>
      </c>
      <c r="F149">
        <v>8</v>
      </c>
      <c r="G149">
        <v>6</v>
      </c>
      <c r="H149">
        <v>1</v>
      </c>
      <c r="I149" t="s">
        <v>1488</v>
      </c>
      <c r="J149">
        <v>1</v>
      </c>
      <c r="P149" t="s">
        <v>281</v>
      </c>
      <c r="Q149">
        <v>-0.13755000000000001</v>
      </c>
      <c r="R149">
        <v>-0.52447999999999995</v>
      </c>
    </row>
    <row r="150" spans="1:18" x14ac:dyDescent="0.3">
      <c r="A150" t="s">
        <v>517</v>
      </c>
      <c r="B150">
        <v>0</v>
      </c>
      <c r="C150">
        <v>0</v>
      </c>
      <c r="D150">
        <v>-76.125</v>
      </c>
      <c r="E150">
        <v>5.3228368670000004</v>
      </c>
      <c r="F150">
        <v>8</v>
      </c>
      <c r="G150">
        <v>5</v>
      </c>
      <c r="H150">
        <v>1</v>
      </c>
      <c r="I150" t="s">
        <v>13</v>
      </c>
      <c r="J150">
        <v>1</v>
      </c>
      <c r="P150" t="s">
        <v>2165</v>
      </c>
      <c r="Q150">
        <v>-2.4457E-2</v>
      </c>
      <c r="R150">
        <v>1.4783999999999999</v>
      </c>
    </row>
    <row r="151" spans="1:18" x14ac:dyDescent="0.3">
      <c r="A151" t="s">
        <v>524</v>
      </c>
      <c r="B151">
        <v>0</v>
      </c>
      <c r="C151">
        <v>0</v>
      </c>
      <c r="D151">
        <v>-71.837500000000006</v>
      </c>
      <c r="E151">
        <v>6.5449959849999999</v>
      </c>
      <c r="F151">
        <v>7</v>
      </c>
      <c r="G151">
        <v>7</v>
      </c>
      <c r="H151">
        <v>1</v>
      </c>
      <c r="I151" t="s">
        <v>13</v>
      </c>
      <c r="J151">
        <v>1</v>
      </c>
      <c r="P151" t="s">
        <v>2477</v>
      </c>
      <c r="Q151">
        <v>4.3550999999999998E-3</v>
      </c>
      <c r="R151">
        <v>0.71511000000000002</v>
      </c>
    </row>
    <row r="152" spans="1:18" x14ac:dyDescent="0.3">
      <c r="A152" t="s">
        <v>2452</v>
      </c>
      <c r="B152">
        <v>0</v>
      </c>
      <c r="C152">
        <v>0</v>
      </c>
      <c r="D152">
        <v>-70.734265250000007</v>
      </c>
      <c r="E152">
        <v>9.0988914909999998</v>
      </c>
      <c r="F152">
        <v>7</v>
      </c>
      <c r="G152">
        <v>9</v>
      </c>
      <c r="H152">
        <v>1</v>
      </c>
      <c r="I152" t="s">
        <v>13</v>
      </c>
      <c r="J152">
        <v>1</v>
      </c>
      <c r="P152" t="s">
        <v>517</v>
      </c>
      <c r="Q152">
        <v>0.1119</v>
      </c>
      <c r="R152">
        <v>0.42645</v>
      </c>
    </row>
    <row r="153" spans="1:18" x14ac:dyDescent="0.3">
      <c r="A153" t="s">
        <v>2475</v>
      </c>
      <c r="B153">
        <v>0</v>
      </c>
      <c r="C153">
        <v>0</v>
      </c>
      <c r="D153">
        <v>-63.307039250000003</v>
      </c>
      <c r="E153">
        <v>2.5178868639999998</v>
      </c>
      <c r="F153">
        <v>6</v>
      </c>
      <c r="G153">
        <v>3</v>
      </c>
      <c r="H153">
        <v>1</v>
      </c>
      <c r="I153" t="s">
        <v>1488</v>
      </c>
      <c r="J153">
        <v>1</v>
      </c>
      <c r="P153" t="s">
        <v>524</v>
      </c>
      <c r="Q153">
        <v>0.25302000000000002</v>
      </c>
      <c r="R153">
        <v>0.98392999999999997</v>
      </c>
    </row>
    <row r="154" spans="1:18" x14ac:dyDescent="0.3">
      <c r="A154" t="s">
        <v>1007</v>
      </c>
      <c r="B154">
        <v>0</v>
      </c>
      <c r="C154">
        <v>0</v>
      </c>
      <c r="D154">
        <v>-59.25</v>
      </c>
      <c r="E154">
        <v>3.2257204970000002</v>
      </c>
      <c r="F154">
        <v>6</v>
      </c>
      <c r="G154">
        <v>3</v>
      </c>
      <c r="H154">
        <v>1</v>
      </c>
      <c r="I154" t="s">
        <v>385</v>
      </c>
      <c r="J154">
        <v>1</v>
      </c>
      <c r="P154" t="s">
        <v>2452</v>
      </c>
      <c r="Q154">
        <v>0.28584999999999999</v>
      </c>
      <c r="R154">
        <v>2.0055000000000001</v>
      </c>
    </row>
    <row r="155" spans="1:18" x14ac:dyDescent="0.3">
      <c r="A155" t="s">
        <v>511</v>
      </c>
      <c r="B155">
        <v>0</v>
      </c>
      <c r="C155">
        <v>0</v>
      </c>
      <c r="D155">
        <v>-58.750000000000007</v>
      </c>
      <c r="E155">
        <v>4.6050565990000001</v>
      </c>
      <c r="F155">
        <v>6</v>
      </c>
      <c r="G155">
        <v>5</v>
      </c>
      <c r="H155">
        <v>1</v>
      </c>
      <c r="I155" t="s">
        <v>13</v>
      </c>
      <c r="J155">
        <v>1</v>
      </c>
      <c r="P155" t="s">
        <v>2475</v>
      </c>
      <c r="Q155">
        <v>0.54381000000000002</v>
      </c>
      <c r="R155">
        <v>-0.43952999999999998</v>
      </c>
    </row>
    <row r="156" spans="1:18" x14ac:dyDescent="0.3">
      <c r="A156" t="s">
        <v>322</v>
      </c>
      <c r="B156">
        <v>0</v>
      </c>
      <c r="C156">
        <v>0</v>
      </c>
      <c r="D156">
        <v>-57.975000000000001</v>
      </c>
      <c r="E156">
        <v>6.554213861</v>
      </c>
      <c r="F156">
        <v>6</v>
      </c>
      <c r="G156">
        <v>7</v>
      </c>
      <c r="H156">
        <v>1</v>
      </c>
      <c r="I156" t="s">
        <v>13</v>
      </c>
      <c r="J156">
        <v>1</v>
      </c>
      <c r="P156" t="s">
        <v>1007</v>
      </c>
      <c r="Q156">
        <v>0.67803000000000002</v>
      </c>
      <c r="R156">
        <v>-8.7930999999999995E-2</v>
      </c>
    </row>
    <row r="157" spans="1:18" x14ac:dyDescent="0.3">
      <c r="A157" t="s">
        <v>521</v>
      </c>
      <c r="B157">
        <v>0</v>
      </c>
      <c r="C157">
        <v>0</v>
      </c>
      <c r="D157">
        <v>-55.787500000000001</v>
      </c>
      <c r="E157">
        <v>5.9248277380000003</v>
      </c>
      <c r="F157">
        <v>6</v>
      </c>
      <c r="G157">
        <v>6</v>
      </c>
      <c r="H157">
        <v>1</v>
      </c>
      <c r="I157" t="s">
        <v>13</v>
      </c>
      <c r="J157">
        <v>1</v>
      </c>
      <c r="P157" t="s">
        <v>511</v>
      </c>
      <c r="Q157">
        <v>0.69257000000000002</v>
      </c>
      <c r="R157">
        <v>0.46206999999999998</v>
      </c>
    </row>
    <row r="158" spans="1:18" x14ac:dyDescent="0.3">
      <c r="A158" t="s">
        <v>95</v>
      </c>
      <c r="B158">
        <v>0</v>
      </c>
      <c r="C158">
        <v>0</v>
      </c>
      <c r="D158">
        <v>-55.162500000000001</v>
      </c>
      <c r="E158">
        <v>3.4035780510000002</v>
      </c>
      <c r="F158">
        <v>6</v>
      </c>
      <c r="G158">
        <v>3</v>
      </c>
      <c r="H158">
        <v>1</v>
      </c>
      <c r="I158" t="s">
        <v>13</v>
      </c>
      <c r="J158">
        <v>1</v>
      </c>
      <c r="P158" t="s">
        <v>322</v>
      </c>
      <c r="Q158">
        <v>0.71538999999999997</v>
      </c>
      <c r="R158">
        <v>1.2404999999999999</v>
      </c>
    </row>
    <row r="159" spans="1:18" x14ac:dyDescent="0.3">
      <c r="A159" t="s">
        <v>92</v>
      </c>
      <c r="B159">
        <v>0</v>
      </c>
      <c r="C159">
        <v>0</v>
      </c>
      <c r="D159">
        <v>-54.712499999999999</v>
      </c>
      <c r="E159">
        <v>4.4643169909999996</v>
      </c>
      <c r="F159">
        <v>5</v>
      </c>
      <c r="G159">
        <v>4</v>
      </c>
      <c r="H159">
        <v>1</v>
      </c>
      <c r="I159" t="s">
        <v>13</v>
      </c>
      <c r="J159">
        <v>1</v>
      </c>
      <c r="P159" t="s">
        <v>521</v>
      </c>
      <c r="Q159">
        <v>0.78932999999999998</v>
      </c>
      <c r="R159">
        <v>1.0337000000000001</v>
      </c>
    </row>
    <row r="160" spans="1:18" x14ac:dyDescent="0.3">
      <c r="A160" t="s">
        <v>2466</v>
      </c>
      <c r="B160">
        <v>0</v>
      </c>
      <c r="C160">
        <v>0</v>
      </c>
      <c r="D160">
        <v>-53.967247999999998</v>
      </c>
      <c r="E160">
        <v>6.2372421649999996</v>
      </c>
      <c r="F160">
        <v>5</v>
      </c>
      <c r="G160">
        <v>6</v>
      </c>
      <c r="H160">
        <v>1</v>
      </c>
      <c r="I160" t="s">
        <v>1488</v>
      </c>
      <c r="J160">
        <v>1</v>
      </c>
      <c r="P160" t="s">
        <v>95</v>
      </c>
      <c r="Q160">
        <v>0.81410000000000005</v>
      </c>
      <c r="R160">
        <v>5.6405999999999998E-2</v>
      </c>
    </row>
    <row r="161" spans="1:18" x14ac:dyDescent="0.3">
      <c r="A161" t="s">
        <v>1000</v>
      </c>
      <c r="B161">
        <v>0</v>
      </c>
      <c r="C161">
        <v>0</v>
      </c>
      <c r="D161">
        <v>-53.437500000000007</v>
      </c>
      <c r="E161">
        <v>4.6951264610000001</v>
      </c>
      <c r="F161">
        <v>5</v>
      </c>
      <c r="G161">
        <v>5</v>
      </c>
      <c r="H161">
        <v>1</v>
      </c>
      <c r="I161" t="s">
        <v>385</v>
      </c>
      <c r="J161">
        <v>1</v>
      </c>
      <c r="P161" t="s">
        <v>92</v>
      </c>
      <c r="Q161">
        <v>0.82745999999999997</v>
      </c>
      <c r="R161">
        <v>0.48055999999999999</v>
      </c>
    </row>
    <row r="162" spans="1:18" x14ac:dyDescent="0.3">
      <c r="A162" t="s">
        <v>2552</v>
      </c>
      <c r="B162">
        <v>0</v>
      </c>
      <c r="C162">
        <v>0</v>
      </c>
      <c r="D162">
        <v>-50.099338000000003</v>
      </c>
      <c r="E162">
        <v>6.7541484350000003</v>
      </c>
      <c r="F162">
        <v>5</v>
      </c>
      <c r="G162">
        <v>7</v>
      </c>
      <c r="H162">
        <v>1</v>
      </c>
      <c r="I162" t="s">
        <v>385</v>
      </c>
      <c r="J162">
        <v>1</v>
      </c>
      <c r="P162" t="s">
        <v>2466</v>
      </c>
      <c r="Q162">
        <v>0.84955999999999998</v>
      </c>
      <c r="R162">
        <v>1.1894</v>
      </c>
    </row>
    <row r="163" spans="1:18" x14ac:dyDescent="0.3">
      <c r="A163" t="s">
        <v>2534</v>
      </c>
      <c r="B163">
        <v>0</v>
      </c>
      <c r="C163">
        <v>0</v>
      </c>
      <c r="D163">
        <v>-49.760336750000008</v>
      </c>
      <c r="E163">
        <v>9.3910979920000006</v>
      </c>
      <c r="F163">
        <v>5</v>
      </c>
      <c r="G163">
        <v>9</v>
      </c>
      <c r="H163">
        <v>1</v>
      </c>
      <c r="I163" t="s">
        <v>385</v>
      </c>
      <c r="J163">
        <v>1</v>
      </c>
      <c r="P163" t="s">
        <v>1000</v>
      </c>
      <c r="Q163">
        <v>0.86963000000000001</v>
      </c>
      <c r="R163">
        <v>0.59433999999999998</v>
      </c>
    </row>
    <row r="164" spans="1:18" x14ac:dyDescent="0.3">
      <c r="A164" t="s">
        <v>2506</v>
      </c>
      <c r="B164">
        <v>0</v>
      </c>
      <c r="C164">
        <v>0</v>
      </c>
      <c r="D164">
        <v>-37.17081975</v>
      </c>
      <c r="E164">
        <v>2.5285279159999998</v>
      </c>
      <c r="F164">
        <v>4</v>
      </c>
      <c r="G164">
        <v>3</v>
      </c>
      <c r="H164">
        <v>1</v>
      </c>
      <c r="I164" t="s">
        <v>13</v>
      </c>
      <c r="J164">
        <v>1</v>
      </c>
      <c r="P164" t="s">
        <v>2552</v>
      </c>
      <c r="Q164">
        <v>0.97777999999999998</v>
      </c>
      <c r="R164">
        <v>1.4626999999999999</v>
      </c>
    </row>
    <row r="165" spans="1:18" x14ac:dyDescent="0.3">
      <c r="A165" t="s">
        <v>1368</v>
      </c>
      <c r="B165">
        <v>0</v>
      </c>
      <c r="C165">
        <v>0</v>
      </c>
      <c r="D165">
        <v>-137.73750000000001</v>
      </c>
      <c r="E165">
        <v>5.7855787210000003</v>
      </c>
      <c r="F165">
        <v>14</v>
      </c>
      <c r="G165">
        <v>6</v>
      </c>
      <c r="H165">
        <v>2</v>
      </c>
      <c r="I165" t="s">
        <v>30</v>
      </c>
      <c r="J165">
        <v>2</v>
      </c>
      <c r="P165" t="s">
        <v>2534</v>
      </c>
      <c r="Q165">
        <v>0.98499000000000003</v>
      </c>
      <c r="R165">
        <v>2.5028999999999999</v>
      </c>
    </row>
    <row r="166" spans="1:18" x14ac:dyDescent="0.3">
      <c r="A166" t="s">
        <v>2572</v>
      </c>
      <c r="B166">
        <v>0</v>
      </c>
      <c r="C166">
        <v>0</v>
      </c>
      <c r="D166">
        <v>-127.01951000000001</v>
      </c>
      <c r="E166">
        <v>4.7827868699999998</v>
      </c>
      <c r="F166">
        <v>13</v>
      </c>
      <c r="G166">
        <v>5</v>
      </c>
      <c r="H166">
        <v>2</v>
      </c>
      <c r="I166" t="s">
        <v>385</v>
      </c>
      <c r="J166">
        <v>2</v>
      </c>
      <c r="P166" t="s">
        <v>2506</v>
      </c>
      <c r="Q166">
        <v>1.4156</v>
      </c>
      <c r="R166">
        <v>4.1612000000000003E-2</v>
      </c>
    </row>
    <row r="167" spans="1:18" x14ac:dyDescent="0.3">
      <c r="A167" t="s">
        <v>2120</v>
      </c>
      <c r="B167">
        <v>0</v>
      </c>
      <c r="C167">
        <v>0</v>
      </c>
      <c r="D167">
        <v>-103.5393</v>
      </c>
      <c r="E167">
        <v>5.4348119879999999</v>
      </c>
      <c r="F167">
        <v>10</v>
      </c>
      <c r="G167">
        <v>5</v>
      </c>
      <c r="H167">
        <v>2</v>
      </c>
      <c r="I167" t="s">
        <v>30</v>
      </c>
      <c r="J167">
        <v>2</v>
      </c>
      <c r="P167" t="s">
        <v>1368</v>
      </c>
      <c r="Q167">
        <v>-1.9439</v>
      </c>
      <c r="R167">
        <v>-0.51649</v>
      </c>
    </row>
    <row r="168" spans="1:18" x14ac:dyDescent="0.3">
      <c r="A168" t="s">
        <v>2578</v>
      </c>
      <c r="B168">
        <v>0</v>
      </c>
      <c r="C168">
        <v>0</v>
      </c>
      <c r="D168">
        <v>-100.92272075</v>
      </c>
      <c r="E168">
        <v>8.0096764</v>
      </c>
      <c r="F168">
        <v>10</v>
      </c>
      <c r="G168">
        <v>8</v>
      </c>
      <c r="H168">
        <v>2</v>
      </c>
      <c r="I168" t="s">
        <v>385</v>
      </c>
      <c r="J168">
        <v>2</v>
      </c>
      <c r="P168" t="s">
        <v>2572</v>
      </c>
      <c r="Q168">
        <v>-1.5849</v>
      </c>
      <c r="R168">
        <v>-0.71411000000000002</v>
      </c>
    </row>
    <row r="169" spans="1:18" x14ac:dyDescent="0.3">
      <c r="A169" t="s">
        <v>2094</v>
      </c>
      <c r="B169">
        <v>0</v>
      </c>
      <c r="C169">
        <v>0</v>
      </c>
      <c r="D169">
        <v>-98.684420000000003</v>
      </c>
      <c r="E169">
        <v>5.767877683</v>
      </c>
      <c r="F169">
        <v>10</v>
      </c>
      <c r="G169">
        <v>6</v>
      </c>
      <c r="H169">
        <v>2</v>
      </c>
      <c r="I169" t="s">
        <v>30</v>
      </c>
      <c r="J169">
        <v>2</v>
      </c>
      <c r="P169" t="s">
        <v>2120</v>
      </c>
      <c r="Q169">
        <v>-0.80269000000000001</v>
      </c>
      <c r="R169">
        <v>-2.9937999999999999E-2</v>
      </c>
    </row>
    <row r="170" spans="1:18" x14ac:dyDescent="0.3">
      <c r="A170" t="s">
        <v>1570</v>
      </c>
      <c r="B170">
        <v>0</v>
      </c>
      <c r="C170">
        <v>0</v>
      </c>
      <c r="D170">
        <v>-88.597489375000009</v>
      </c>
      <c r="E170">
        <v>-2.38</v>
      </c>
      <c r="F170">
        <v>9</v>
      </c>
      <c r="G170">
        <v>-2</v>
      </c>
      <c r="H170">
        <v>2</v>
      </c>
      <c r="I170" t="s">
        <v>30</v>
      </c>
      <c r="J170">
        <v>2</v>
      </c>
      <c r="P170" t="s">
        <v>2578</v>
      </c>
      <c r="Q170">
        <v>-0.71940999999999999</v>
      </c>
      <c r="R170">
        <v>1.0275000000000001</v>
      </c>
    </row>
    <row r="171" spans="1:18" x14ac:dyDescent="0.3">
      <c r="A171" t="s">
        <v>2582</v>
      </c>
      <c r="B171">
        <v>0</v>
      </c>
      <c r="C171">
        <v>0</v>
      </c>
      <c r="D171">
        <v>-82.736486249999999</v>
      </c>
      <c r="E171">
        <v>7.1829979780000004</v>
      </c>
      <c r="F171">
        <v>8</v>
      </c>
      <c r="G171">
        <v>7</v>
      </c>
      <c r="H171">
        <v>2</v>
      </c>
      <c r="I171" t="s">
        <v>385</v>
      </c>
      <c r="J171">
        <v>2</v>
      </c>
      <c r="P171" t="s">
        <v>2094</v>
      </c>
      <c r="Q171">
        <v>-0.64127000000000001</v>
      </c>
      <c r="R171">
        <v>0.18926000000000001</v>
      </c>
    </row>
    <row r="172" spans="1:18" x14ac:dyDescent="0.3">
      <c r="A172" t="s">
        <v>2588</v>
      </c>
      <c r="B172">
        <v>0</v>
      </c>
      <c r="C172">
        <v>0</v>
      </c>
      <c r="D172">
        <v>-80.938556000000005</v>
      </c>
      <c r="E172">
        <v>7.3712855289999997</v>
      </c>
      <c r="F172">
        <v>8</v>
      </c>
      <c r="G172">
        <v>7</v>
      </c>
      <c r="H172">
        <v>2</v>
      </c>
      <c r="I172" t="s">
        <v>30</v>
      </c>
      <c r="J172">
        <v>2</v>
      </c>
      <c r="P172" t="s">
        <v>1570</v>
      </c>
      <c r="Q172">
        <v>-0.29216999999999999</v>
      </c>
      <c r="R172">
        <v>-2.8216999999999999</v>
      </c>
    </row>
    <row r="173" spans="1:18" x14ac:dyDescent="0.3">
      <c r="A173" t="s">
        <v>2580</v>
      </c>
      <c r="B173">
        <v>0</v>
      </c>
      <c r="C173">
        <v>0</v>
      </c>
      <c r="D173">
        <v>-79.288133999999999</v>
      </c>
      <c r="E173">
        <v>6.6276773269999998</v>
      </c>
      <c r="F173">
        <v>8</v>
      </c>
      <c r="G173">
        <v>7</v>
      </c>
      <c r="H173">
        <v>2</v>
      </c>
      <c r="I173" t="s">
        <v>385</v>
      </c>
      <c r="J173">
        <v>2</v>
      </c>
      <c r="P173" t="s">
        <v>2582</v>
      </c>
      <c r="Q173">
        <v>-0.11151</v>
      </c>
      <c r="R173">
        <v>1.0351999999999999</v>
      </c>
    </row>
    <row r="174" spans="1:18" x14ac:dyDescent="0.3">
      <c r="A174" t="s">
        <v>2557</v>
      </c>
      <c r="B174">
        <v>0</v>
      </c>
      <c r="C174">
        <v>0</v>
      </c>
      <c r="D174">
        <v>-76.724073000000004</v>
      </c>
      <c r="E174">
        <v>5.4081495029999997</v>
      </c>
      <c r="F174">
        <v>8</v>
      </c>
      <c r="G174">
        <v>5</v>
      </c>
      <c r="H174">
        <v>2</v>
      </c>
      <c r="I174" t="s">
        <v>30</v>
      </c>
      <c r="J174">
        <v>2</v>
      </c>
      <c r="P174" t="s">
        <v>2588</v>
      </c>
      <c r="Q174">
        <v>-5.1836E-2</v>
      </c>
      <c r="R174">
        <v>1.1418999999999999</v>
      </c>
    </row>
    <row r="175" spans="1:18" x14ac:dyDescent="0.3">
      <c r="A175" t="s">
        <v>2556</v>
      </c>
      <c r="B175">
        <v>0</v>
      </c>
      <c r="C175">
        <v>0</v>
      </c>
      <c r="D175">
        <v>-72.028892999999997</v>
      </c>
      <c r="E175">
        <v>5.7561244809999996</v>
      </c>
      <c r="F175">
        <v>7</v>
      </c>
      <c r="G175">
        <v>6</v>
      </c>
      <c r="H175">
        <v>2</v>
      </c>
      <c r="I175" t="s">
        <v>30</v>
      </c>
      <c r="J175">
        <v>2</v>
      </c>
      <c r="P175" t="s">
        <v>2580</v>
      </c>
      <c r="Q175">
        <v>4.3690999999999999E-3</v>
      </c>
      <c r="R175">
        <v>0.88039000000000001</v>
      </c>
    </row>
    <row r="176" spans="1:18" x14ac:dyDescent="0.3">
      <c r="A176" t="s">
        <v>2558</v>
      </c>
      <c r="B176">
        <v>0</v>
      </c>
      <c r="C176">
        <v>0</v>
      </c>
      <c r="D176">
        <v>-70.633115000000004</v>
      </c>
      <c r="E176">
        <v>6.6833936920000001</v>
      </c>
      <c r="F176">
        <v>7</v>
      </c>
      <c r="G176">
        <v>7</v>
      </c>
      <c r="H176">
        <v>2</v>
      </c>
      <c r="I176" t="s">
        <v>30</v>
      </c>
      <c r="J176">
        <v>2</v>
      </c>
      <c r="P176" t="s">
        <v>2557</v>
      </c>
      <c r="Q176">
        <v>9.1787999999999995E-2</v>
      </c>
      <c r="R176">
        <v>0.44896999999999998</v>
      </c>
    </row>
    <row r="177" spans="1:18" x14ac:dyDescent="0.3">
      <c r="A177" t="s">
        <v>2562</v>
      </c>
      <c r="B177">
        <v>0</v>
      </c>
      <c r="C177">
        <v>0</v>
      </c>
      <c r="D177">
        <v>-63.505791250000001</v>
      </c>
      <c r="E177">
        <v>5.8278533020000003</v>
      </c>
      <c r="F177">
        <v>6</v>
      </c>
      <c r="G177">
        <v>6</v>
      </c>
      <c r="H177">
        <v>2</v>
      </c>
      <c r="I177" t="s">
        <v>30</v>
      </c>
      <c r="J177">
        <v>2</v>
      </c>
      <c r="P177" t="s">
        <v>2556</v>
      </c>
      <c r="Q177">
        <v>0.24786</v>
      </c>
      <c r="R177">
        <v>0.67110000000000003</v>
      </c>
    </row>
    <row r="178" spans="1:18" x14ac:dyDescent="0.3">
      <c r="A178" t="s">
        <v>2100</v>
      </c>
      <c r="B178">
        <v>0</v>
      </c>
      <c r="C178">
        <v>0</v>
      </c>
      <c r="D178">
        <v>-59.880514000000005</v>
      </c>
      <c r="E178">
        <v>4.7433851579999997</v>
      </c>
      <c r="F178">
        <v>6</v>
      </c>
      <c r="G178">
        <v>5</v>
      </c>
      <c r="H178">
        <v>2</v>
      </c>
      <c r="I178" t="s">
        <v>30</v>
      </c>
      <c r="J178">
        <v>2</v>
      </c>
      <c r="P178" t="s">
        <v>2558</v>
      </c>
      <c r="Q178">
        <v>0.29297000000000001</v>
      </c>
      <c r="R178">
        <v>1.0602</v>
      </c>
    </row>
    <row r="179" spans="1:18" x14ac:dyDescent="0.3">
      <c r="A179" t="s">
        <v>2574</v>
      </c>
      <c r="B179">
        <v>0</v>
      </c>
      <c r="C179">
        <v>0</v>
      </c>
      <c r="D179">
        <v>-59.113617750000003</v>
      </c>
      <c r="E179">
        <v>4.8630116880000003</v>
      </c>
      <c r="F179">
        <v>6</v>
      </c>
      <c r="G179">
        <v>5</v>
      </c>
      <c r="H179">
        <v>2</v>
      </c>
      <c r="I179" t="s">
        <v>385</v>
      </c>
      <c r="J179">
        <v>2</v>
      </c>
      <c r="P179" t="s">
        <v>2562</v>
      </c>
      <c r="Q179">
        <v>0.53203999999999996</v>
      </c>
      <c r="R179">
        <v>0.85477000000000003</v>
      </c>
    </row>
    <row r="180" spans="1:18" x14ac:dyDescent="0.3">
      <c r="A180" t="s">
        <v>2121</v>
      </c>
      <c r="B180">
        <v>0</v>
      </c>
      <c r="C180">
        <v>0</v>
      </c>
      <c r="D180">
        <v>-51.858783000000003</v>
      </c>
      <c r="E180">
        <v>1.0860827200000001</v>
      </c>
      <c r="F180">
        <v>5</v>
      </c>
      <c r="G180">
        <v>1</v>
      </c>
      <c r="H180">
        <v>2</v>
      </c>
      <c r="I180" t="s">
        <v>30</v>
      </c>
      <c r="J180">
        <v>2</v>
      </c>
      <c r="P180" t="s">
        <v>2100</v>
      </c>
      <c r="Q180">
        <v>0.65464</v>
      </c>
      <c r="R180">
        <v>0.49568000000000001</v>
      </c>
    </row>
    <row r="181" spans="1:18" x14ac:dyDescent="0.3">
      <c r="A181" t="s">
        <v>2104</v>
      </c>
      <c r="B181">
        <v>0</v>
      </c>
      <c r="C181">
        <v>0</v>
      </c>
      <c r="D181">
        <v>-51.550561999999999</v>
      </c>
      <c r="E181">
        <v>3.0585517100000001</v>
      </c>
      <c r="F181">
        <v>5</v>
      </c>
      <c r="G181">
        <v>3</v>
      </c>
      <c r="H181">
        <v>2</v>
      </c>
      <c r="I181" t="s">
        <v>30</v>
      </c>
      <c r="J181">
        <v>2</v>
      </c>
      <c r="P181" t="s">
        <v>2574</v>
      </c>
      <c r="Q181">
        <v>0.68003999999999998</v>
      </c>
      <c r="R181">
        <v>0.55657999999999996</v>
      </c>
    </row>
    <row r="182" spans="1:18" x14ac:dyDescent="0.3">
      <c r="A182" t="s">
        <v>2112</v>
      </c>
      <c r="B182">
        <v>0</v>
      </c>
      <c r="C182">
        <v>0</v>
      </c>
      <c r="D182">
        <v>-83.795589000000007</v>
      </c>
      <c r="E182">
        <v>5.9596984769999999</v>
      </c>
      <c r="F182">
        <v>8</v>
      </c>
      <c r="G182">
        <v>6</v>
      </c>
      <c r="H182">
        <v>3</v>
      </c>
      <c r="I182" t="s">
        <v>30</v>
      </c>
      <c r="J182">
        <v>2</v>
      </c>
      <c r="P182" t="s">
        <v>2121</v>
      </c>
      <c r="Q182">
        <v>0.92788999999999999</v>
      </c>
      <c r="R182">
        <v>-0.79205999999999999</v>
      </c>
    </row>
    <row r="183" spans="1:18" x14ac:dyDescent="0.3">
      <c r="A183" t="s">
        <v>2159</v>
      </c>
      <c r="B183">
        <v>0</v>
      </c>
      <c r="C183">
        <v>0</v>
      </c>
      <c r="D183">
        <v>-73.642634999999999</v>
      </c>
      <c r="E183">
        <v>6.6841224730000004</v>
      </c>
      <c r="F183">
        <v>7</v>
      </c>
      <c r="G183">
        <v>7</v>
      </c>
      <c r="H183">
        <v>4</v>
      </c>
      <c r="I183" t="s">
        <v>72</v>
      </c>
      <c r="J183">
        <v>6</v>
      </c>
      <c r="P183" t="s">
        <v>2104</v>
      </c>
      <c r="Q183">
        <v>0.93511</v>
      </c>
      <c r="R183">
        <v>-1.2971999999999999E-2</v>
      </c>
    </row>
    <row r="184" spans="1:18" x14ac:dyDescent="0.3">
      <c r="A184" t="s">
        <v>434</v>
      </c>
      <c r="B184">
        <v>0</v>
      </c>
      <c r="C184">
        <v>0</v>
      </c>
      <c r="D184">
        <v>-144.96249999999998</v>
      </c>
      <c r="E184">
        <v>7.3316396529999999</v>
      </c>
      <c r="F184">
        <v>14</v>
      </c>
      <c r="G184">
        <v>7</v>
      </c>
      <c r="H184">
        <v>6</v>
      </c>
      <c r="I184" t="s">
        <v>72</v>
      </c>
      <c r="J184">
        <v>6</v>
      </c>
      <c r="P184" t="s">
        <v>2112</v>
      </c>
      <c r="Q184">
        <v>-0.14494000000000001</v>
      </c>
      <c r="R184">
        <v>0.53619000000000006</v>
      </c>
    </row>
    <row r="185" spans="1:18" x14ac:dyDescent="0.3">
      <c r="A185" t="s">
        <v>440</v>
      </c>
      <c r="B185">
        <v>0</v>
      </c>
      <c r="C185">
        <v>0</v>
      </c>
      <c r="D185">
        <v>-140.32499999999999</v>
      </c>
      <c r="E185">
        <v>5.7582361449999997</v>
      </c>
      <c r="F185">
        <v>14</v>
      </c>
      <c r="G185">
        <v>6</v>
      </c>
      <c r="H185">
        <v>6</v>
      </c>
      <c r="I185" t="s">
        <v>72</v>
      </c>
      <c r="J185">
        <v>6</v>
      </c>
      <c r="P185" t="s">
        <v>2159</v>
      </c>
      <c r="Q185">
        <v>0.19259000000000001</v>
      </c>
      <c r="R185">
        <v>1.0055000000000001</v>
      </c>
    </row>
    <row r="186" spans="1:18" x14ac:dyDescent="0.3">
      <c r="A186" t="s">
        <v>727</v>
      </c>
      <c r="B186">
        <v>0</v>
      </c>
      <c r="C186">
        <v>0</v>
      </c>
      <c r="D186">
        <v>-133.78749999999999</v>
      </c>
      <c r="E186">
        <v>6.485536422</v>
      </c>
      <c r="F186">
        <v>13</v>
      </c>
      <c r="G186">
        <v>6</v>
      </c>
      <c r="H186">
        <v>6</v>
      </c>
      <c r="I186" t="s">
        <v>72</v>
      </c>
      <c r="J186">
        <v>6</v>
      </c>
      <c r="P186" t="s">
        <v>434</v>
      </c>
      <c r="Q186">
        <v>-2.1873</v>
      </c>
      <c r="R186">
        <v>-4.2088E-2</v>
      </c>
    </row>
    <row r="187" spans="1:18" x14ac:dyDescent="0.3">
      <c r="A187" t="s">
        <v>443</v>
      </c>
      <c r="B187">
        <v>0</v>
      </c>
      <c r="C187">
        <v>0</v>
      </c>
      <c r="D187">
        <v>-130.72499999999999</v>
      </c>
      <c r="E187">
        <v>7.1854624830000002</v>
      </c>
      <c r="F187">
        <v>13</v>
      </c>
      <c r="G187">
        <v>7</v>
      </c>
      <c r="H187">
        <v>6</v>
      </c>
      <c r="I187" t="s">
        <v>72</v>
      </c>
      <c r="J187">
        <v>6</v>
      </c>
      <c r="P187" t="s">
        <v>440</v>
      </c>
      <c r="Q187">
        <v>-2.0301999999999998</v>
      </c>
      <c r="R187">
        <v>-0.57443</v>
      </c>
    </row>
    <row r="188" spans="1:18" x14ac:dyDescent="0.3">
      <c r="A188" t="s">
        <v>2734</v>
      </c>
      <c r="B188">
        <v>0</v>
      </c>
      <c r="C188">
        <v>0</v>
      </c>
      <c r="D188">
        <v>-130.36249999999998</v>
      </c>
      <c r="E188">
        <v>7.0963960009999996</v>
      </c>
      <c r="F188">
        <v>13</v>
      </c>
      <c r="G188">
        <v>7</v>
      </c>
      <c r="H188">
        <v>6</v>
      </c>
      <c r="I188" t="s">
        <v>72</v>
      </c>
      <c r="J188">
        <v>6</v>
      </c>
      <c r="P188" t="s">
        <v>727</v>
      </c>
      <c r="Q188">
        <v>-1.8132999999999999</v>
      </c>
      <c r="R188">
        <v>-0.16993</v>
      </c>
    </row>
    <row r="189" spans="1:18" x14ac:dyDescent="0.3">
      <c r="A189" t="s">
        <v>425</v>
      </c>
      <c r="B189">
        <v>0</v>
      </c>
      <c r="C189">
        <v>0</v>
      </c>
      <c r="D189">
        <v>-130.02500000000001</v>
      </c>
      <c r="E189">
        <v>6.1887754749999999</v>
      </c>
      <c r="F189">
        <v>13</v>
      </c>
      <c r="G189">
        <v>6</v>
      </c>
      <c r="H189">
        <v>6</v>
      </c>
      <c r="I189" t="s">
        <v>72</v>
      </c>
      <c r="J189">
        <v>6</v>
      </c>
      <c r="P189" t="s">
        <v>443</v>
      </c>
      <c r="Q189">
        <v>-1.7121999999999999</v>
      </c>
      <c r="R189">
        <v>0.16042000000000001</v>
      </c>
    </row>
    <row r="190" spans="1:18" x14ac:dyDescent="0.3">
      <c r="A190" t="s">
        <v>175</v>
      </c>
      <c r="B190">
        <v>0</v>
      </c>
      <c r="C190">
        <v>0</v>
      </c>
      <c r="D190">
        <v>-129.75</v>
      </c>
      <c r="E190">
        <v>4.6073484660000004</v>
      </c>
      <c r="F190">
        <v>13</v>
      </c>
      <c r="G190">
        <v>5</v>
      </c>
      <c r="H190">
        <v>6</v>
      </c>
      <c r="I190" t="s">
        <v>72</v>
      </c>
      <c r="J190">
        <v>6</v>
      </c>
      <c r="P190" t="s">
        <v>2734</v>
      </c>
      <c r="Q190">
        <v>-1.7</v>
      </c>
      <c r="R190">
        <v>0.13211000000000001</v>
      </c>
    </row>
    <row r="191" spans="1:18" x14ac:dyDescent="0.3">
      <c r="A191" t="s">
        <v>353</v>
      </c>
      <c r="B191">
        <v>0</v>
      </c>
      <c r="C191">
        <v>0</v>
      </c>
      <c r="D191">
        <v>-129.66249999999999</v>
      </c>
      <c r="E191">
        <v>5.7310074320000002</v>
      </c>
      <c r="F191">
        <v>13</v>
      </c>
      <c r="G191">
        <v>6</v>
      </c>
      <c r="H191">
        <v>6</v>
      </c>
      <c r="I191" t="s">
        <v>72</v>
      </c>
      <c r="J191">
        <v>6</v>
      </c>
      <c r="P191" t="s">
        <v>425</v>
      </c>
      <c r="Q191">
        <v>-1.6873</v>
      </c>
      <c r="R191">
        <v>-0.21764</v>
      </c>
    </row>
    <row r="192" spans="1:18" x14ac:dyDescent="0.3">
      <c r="A192" t="s">
        <v>729</v>
      </c>
      <c r="B192">
        <v>0</v>
      </c>
      <c r="C192">
        <v>0</v>
      </c>
      <c r="D192">
        <v>-129.5</v>
      </c>
      <c r="E192">
        <v>6.4977060360000003</v>
      </c>
      <c r="F192">
        <v>13</v>
      </c>
      <c r="G192">
        <v>6</v>
      </c>
      <c r="H192">
        <v>6</v>
      </c>
      <c r="I192" t="s">
        <v>72</v>
      </c>
      <c r="J192">
        <v>6</v>
      </c>
      <c r="P192" t="s">
        <v>175</v>
      </c>
      <c r="Q192">
        <v>-1.6757</v>
      </c>
      <c r="R192">
        <v>-0.83274000000000004</v>
      </c>
    </row>
    <row r="193" spans="1:18" x14ac:dyDescent="0.3">
      <c r="A193" t="s">
        <v>254</v>
      </c>
      <c r="B193">
        <v>0</v>
      </c>
      <c r="C193">
        <v>0</v>
      </c>
      <c r="D193">
        <v>-128.67500000000001</v>
      </c>
      <c r="E193">
        <v>7.2560771229999999</v>
      </c>
      <c r="F193">
        <v>13</v>
      </c>
      <c r="G193">
        <v>7</v>
      </c>
      <c r="H193">
        <v>6</v>
      </c>
      <c r="I193" t="s">
        <v>72</v>
      </c>
      <c r="J193">
        <v>6</v>
      </c>
      <c r="P193" t="s">
        <v>353</v>
      </c>
      <c r="Q193">
        <v>-1.6745000000000001</v>
      </c>
      <c r="R193">
        <v>-0.39051999999999998</v>
      </c>
    </row>
    <row r="194" spans="1:18" x14ac:dyDescent="0.3">
      <c r="A194" t="s">
        <v>605</v>
      </c>
      <c r="B194">
        <v>0</v>
      </c>
      <c r="C194">
        <v>0</v>
      </c>
      <c r="D194">
        <v>-128.41249999999999</v>
      </c>
      <c r="E194">
        <v>6.2051512170000001</v>
      </c>
      <c r="F194">
        <v>13</v>
      </c>
      <c r="G194">
        <v>6</v>
      </c>
      <c r="H194">
        <v>6</v>
      </c>
      <c r="I194" t="s">
        <v>72</v>
      </c>
      <c r="J194">
        <v>6</v>
      </c>
      <c r="P194" t="s">
        <v>729</v>
      </c>
      <c r="Q194">
        <v>-1.6702999999999999</v>
      </c>
      <c r="R194">
        <v>-8.6915000000000006E-2</v>
      </c>
    </row>
    <row r="195" spans="1:18" x14ac:dyDescent="0.3">
      <c r="A195" t="s">
        <v>411</v>
      </c>
      <c r="B195">
        <v>0</v>
      </c>
      <c r="C195">
        <v>0</v>
      </c>
      <c r="D195">
        <v>-127.35000000000001</v>
      </c>
      <c r="E195">
        <v>9.5568147089999993</v>
      </c>
      <c r="F195">
        <v>13</v>
      </c>
      <c r="G195">
        <v>10</v>
      </c>
      <c r="H195">
        <v>6</v>
      </c>
      <c r="I195" t="s">
        <v>72</v>
      </c>
      <c r="J195">
        <v>6</v>
      </c>
      <c r="P195" t="s">
        <v>254</v>
      </c>
      <c r="Q195">
        <v>-1.6438999999999999</v>
      </c>
      <c r="R195">
        <v>0.22552</v>
      </c>
    </row>
    <row r="196" spans="1:18" x14ac:dyDescent="0.3">
      <c r="A196" t="s">
        <v>348</v>
      </c>
      <c r="B196">
        <v>0</v>
      </c>
      <c r="C196">
        <v>0</v>
      </c>
      <c r="D196">
        <v>-126.825</v>
      </c>
      <c r="E196">
        <v>6.2689454370000002</v>
      </c>
      <c r="F196">
        <v>13</v>
      </c>
      <c r="G196">
        <v>6</v>
      </c>
      <c r="H196">
        <v>6</v>
      </c>
      <c r="I196" t="s">
        <v>72</v>
      </c>
      <c r="J196">
        <v>6</v>
      </c>
      <c r="P196" t="s">
        <v>605</v>
      </c>
      <c r="Q196">
        <v>-1.6335</v>
      </c>
      <c r="R196">
        <v>-0.18179000000000001</v>
      </c>
    </row>
    <row r="197" spans="1:18" x14ac:dyDescent="0.3">
      <c r="A197" t="s">
        <v>79</v>
      </c>
      <c r="B197">
        <v>0</v>
      </c>
      <c r="C197">
        <v>0</v>
      </c>
      <c r="D197">
        <v>-125.425</v>
      </c>
      <c r="E197">
        <v>3.8446096700000001</v>
      </c>
      <c r="F197">
        <v>13</v>
      </c>
      <c r="G197">
        <v>4</v>
      </c>
      <c r="H197">
        <v>6</v>
      </c>
      <c r="I197" t="s">
        <v>72</v>
      </c>
      <c r="J197">
        <v>6</v>
      </c>
      <c r="P197" t="s">
        <v>411</v>
      </c>
      <c r="Q197">
        <v>-1.6032999999999999</v>
      </c>
      <c r="R197">
        <v>1.1518999999999999</v>
      </c>
    </row>
    <row r="198" spans="1:18" x14ac:dyDescent="0.3">
      <c r="A198" t="s">
        <v>309</v>
      </c>
      <c r="B198">
        <v>0</v>
      </c>
      <c r="C198">
        <v>0</v>
      </c>
      <c r="D198">
        <v>-123.175</v>
      </c>
      <c r="E198">
        <v>3.911619859</v>
      </c>
      <c r="F198">
        <v>12</v>
      </c>
      <c r="G198">
        <v>4</v>
      </c>
      <c r="H198">
        <v>6</v>
      </c>
      <c r="I198" t="s">
        <v>72</v>
      </c>
      <c r="J198">
        <v>6</v>
      </c>
      <c r="P198" t="s">
        <v>348</v>
      </c>
      <c r="Q198">
        <v>-1.5807</v>
      </c>
      <c r="R198">
        <v>-0.1278</v>
      </c>
    </row>
    <row r="199" spans="1:18" x14ac:dyDescent="0.3">
      <c r="A199" t="s">
        <v>163</v>
      </c>
      <c r="B199">
        <v>0</v>
      </c>
      <c r="C199">
        <v>0</v>
      </c>
      <c r="D199">
        <v>-122.17500000000001</v>
      </c>
      <c r="E199">
        <v>5.2861584500000003</v>
      </c>
      <c r="F199">
        <v>12</v>
      </c>
      <c r="G199">
        <v>5</v>
      </c>
      <c r="H199">
        <v>6</v>
      </c>
      <c r="I199" t="s">
        <v>72</v>
      </c>
      <c r="J199">
        <v>6</v>
      </c>
      <c r="P199" t="s">
        <v>79</v>
      </c>
      <c r="Q199">
        <v>-1.5302</v>
      </c>
      <c r="R199">
        <v>-1.0528999999999999</v>
      </c>
    </row>
    <row r="200" spans="1:18" x14ac:dyDescent="0.3">
      <c r="A200" t="s">
        <v>429</v>
      </c>
      <c r="B200">
        <v>0</v>
      </c>
      <c r="C200">
        <v>0</v>
      </c>
      <c r="D200">
        <v>-121.0125</v>
      </c>
      <c r="E200">
        <v>4.9330720860000001</v>
      </c>
      <c r="F200">
        <v>12</v>
      </c>
      <c r="G200">
        <v>5</v>
      </c>
      <c r="H200">
        <v>6</v>
      </c>
      <c r="I200" t="s">
        <v>72</v>
      </c>
      <c r="J200">
        <v>6</v>
      </c>
      <c r="P200" t="s">
        <v>309</v>
      </c>
      <c r="Q200">
        <v>-1.4553</v>
      </c>
      <c r="R200">
        <v>-0.98555999999999999</v>
      </c>
    </row>
    <row r="201" spans="1:18" x14ac:dyDescent="0.3">
      <c r="A201" t="s">
        <v>104</v>
      </c>
      <c r="B201">
        <v>0</v>
      </c>
      <c r="C201">
        <v>0</v>
      </c>
      <c r="D201">
        <v>-120.325</v>
      </c>
      <c r="E201">
        <v>6.0069001440000003</v>
      </c>
      <c r="F201">
        <v>12</v>
      </c>
      <c r="G201">
        <v>6</v>
      </c>
      <c r="H201">
        <v>6</v>
      </c>
      <c r="I201" t="s">
        <v>72</v>
      </c>
      <c r="J201">
        <v>6</v>
      </c>
      <c r="P201" t="s">
        <v>163</v>
      </c>
      <c r="Q201">
        <v>-1.4240999999999999</v>
      </c>
      <c r="R201">
        <v>-0.42831999999999998</v>
      </c>
    </row>
    <row r="202" spans="1:18" x14ac:dyDescent="0.3">
      <c r="A202" t="s">
        <v>121</v>
      </c>
      <c r="B202">
        <v>0</v>
      </c>
      <c r="C202">
        <v>0</v>
      </c>
      <c r="D202">
        <v>-120.325</v>
      </c>
      <c r="E202">
        <v>3.9600696860000002</v>
      </c>
      <c r="F202">
        <v>12</v>
      </c>
      <c r="G202">
        <v>4</v>
      </c>
      <c r="H202">
        <v>6</v>
      </c>
      <c r="I202" t="s">
        <v>72</v>
      </c>
      <c r="J202">
        <v>6</v>
      </c>
      <c r="P202" t="s">
        <v>429</v>
      </c>
      <c r="Q202">
        <v>-1.3847</v>
      </c>
      <c r="R202">
        <v>-0.54556000000000004</v>
      </c>
    </row>
    <row r="203" spans="1:18" x14ac:dyDescent="0.3">
      <c r="A203" t="s">
        <v>2518</v>
      </c>
      <c r="B203">
        <v>0</v>
      </c>
      <c r="C203">
        <v>0</v>
      </c>
      <c r="D203">
        <v>-119.541538375</v>
      </c>
      <c r="E203">
        <v>3.949742799</v>
      </c>
      <c r="F203">
        <v>12</v>
      </c>
      <c r="G203">
        <v>4</v>
      </c>
      <c r="H203">
        <v>6</v>
      </c>
      <c r="I203" t="s">
        <v>72</v>
      </c>
      <c r="J203">
        <v>6</v>
      </c>
      <c r="P203" t="s">
        <v>104</v>
      </c>
      <c r="Q203">
        <v>-1.3634999999999999</v>
      </c>
      <c r="R203">
        <v>-0.11194</v>
      </c>
    </row>
    <row r="204" spans="1:18" x14ac:dyDescent="0.3">
      <c r="A204" t="s">
        <v>733</v>
      </c>
      <c r="B204">
        <v>0</v>
      </c>
      <c r="C204">
        <v>0</v>
      </c>
      <c r="D204">
        <v>-119.02499999999999</v>
      </c>
      <c r="E204">
        <v>4.6436824469999998</v>
      </c>
      <c r="F204">
        <v>12</v>
      </c>
      <c r="G204">
        <v>5</v>
      </c>
      <c r="H204">
        <v>6</v>
      </c>
      <c r="I204" t="s">
        <v>72</v>
      </c>
      <c r="J204">
        <v>6</v>
      </c>
      <c r="P204" t="s">
        <v>121</v>
      </c>
      <c r="Q204">
        <v>-1.3603000000000001</v>
      </c>
      <c r="R204">
        <v>-0.91454999999999997</v>
      </c>
    </row>
    <row r="205" spans="1:18" x14ac:dyDescent="0.3">
      <c r="A205" t="s">
        <v>251</v>
      </c>
      <c r="B205">
        <v>0</v>
      </c>
      <c r="C205">
        <v>0</v>
      </c>
      <c r="D205">
        <v>-118.50000000000001</v>
      </c>
      <c r="E205">
        <v>4.6095004590000004</v>
      </c>
      <c r="F205">
        <v>12</v>
      </c>
      <c r="G205">
        <v>5</v>
      </c>
      <c r="H205">
        <v>6</v>
      </c>
      <c r="I205" t="s">
        <v>72</v>
      </c>
      <c r="J205">
        <v>6</v>
      </c>
      <c r="P205" t="s">
        <v>2518</v>
      </c>
      <c r="Q205">
        <v>-1.3341000000000001</v>
      </c>
      <c r="R205">
        <v>-0.90429999999999999</v>
      </c>
    </row>
    <row r="206" spans="1:18" x14ac:dyDescent="0.3">
      <c r="A206" t="s">
        <v>343</v>
      </c>
      <c r="B206">
        <v>0</v>
      </c>
      <c r="C206">
        <v>0</v>
      </c>
      <c r="D206">
        <v>-118.4875</v>
      </c>
      <c r="E206">
        <v>4.5808401099999996</v>
      </c>
      <c r="F206">
        <v>12</v>
      </c>
      <c r="G206">
        <v>5</v>
      </c>
      <c r="H206">
        <v>6</v>
      </c>
      <c r="I206" t="s">
        <v>72</v>
      </c>
      <c r="J206">
        <v>6</v>
      </c>
      <c r="P206" t="s">
        <v>733</v>
      </c>
      <c r="Q206">
        <v>-1.3180000000000001</v>
      </c>
      <c r="R206">
        <v>-0.62277000000000005</v>
      </c>
    </row>
    <row r="207" spans="1:18" x14ac:dyDescent="0.3">
      <c r="A207" t="s">
        <v>408</v>
      </c>
      <c r="B207">
        <v>0</v>
      </c>
      <c r="C207">
        <v>0</v>
      </c>
      <c r="D207">
        <v>-118.03750000000001</v>
      </c>
      <c r="E207">
        <v>2.883952989</v>
      </c>
      <c r="F207">
        <v>12</v>
      </c>
      <c r="G207">
        <v>3</v>
      </c>
      <c r="H207">
        <v>6</v>
      </c>
      <c r="I207" t="s">
        <v>72</v>
      </c>
      <c r="J207">
        <v>6</v>
      </c>
      <c r="P207" t="s">
        <v>251</v>
      </c>
      <c r="Q207">
        <v>-1.3004</v>
      </c>
      <c r="R207">
        <v>-0.62658999999999998</v>
      </c>
    </row>
    <row r="208" spans="1:18" x14ac:dyDescent="0.3">
      <c r="A208" t="s">
        <v>736</v>
      </c>
      <c r="B208">
        <v>0</v>
      </c>
      <c r="C208">
        <v>0</v>
      </c>
      <c r="D208">
        <v>-117.6375</v>
      </c>
      <c r="E208">
        <v>6.7123370570000001</v>
      </c>
      <c r="F208">
        <v>12</v>
      </c>
      <c r="G208">
        <v>7</v>
      </c>
      <c r="H208">
        <v>6</v>
      </c>
      <c r="I208" t="s">
        <v>72</v>
      </c>
      <c r="J208">
        <v>6</v>
      </c>
      <c r="P208" t="s">
        <v>343</v>
      </c>
      <c r="Q208">
        <v>-1.3</v>
      </c>
      <c r="R208">
        <v>-0.63759999999999994</v>
      </c>
    </row>
    <row r="209" spans="1:18" x14ac:dyDescent="0.3">
      <c r="A209" t="s">
        <v>168</v>
      </c>
      <c r="B209">
        <v>0</v>
      </c>
      <c r="C209">
        <v>0</v>
      </c>
      <c r="D209">
        <v>-117.41250000000001</v>
      </c>
      <c r="E209">
        <v>5.3871017190000003</v>
      </c>
      <c r="F209">
        <v>12</v>
      </c>
      <c r="G209">
        <v>5</v>
      </c>
      <c r="H209">
        <v>6</v>
      </c>
      <c r="I209" t="s">
        <v>72</v>
      </c>
      <c r="J209">
        <v>6</v>
      </c>
      <c r="P209" t="s">
        <v>408</v>
      </c>
      <c r="Q209">
        <v>-1.2823</v>
      </c>
      <c r="R209">
        <v>-1.2948</v>
      </c>
    </row>
    <row r="210" spans="1:18" x14ac:dyDescent="0.3">
      <c r="A210" t="s">
        <v>244</v>
      </c>
      <c r="B210">
        <v>0</v>
      </c>
      <c r="C210">
        <v>0</v>
      </c>
      <c r="D210">
        <v>-117.3625</v>
      </c>
      <c r="E210">
        <v>2.897610641</v>
      </c>
      <c r="F210">
        <v>12</v>
      </c>
      <c r="G210">
        <v>3</v>
      </c>
      <c r="H210">
        <v>6</v>
      </c>
      <c r="I210" t="s">
        <v>72</v>
      </c>
      <c r="J210">
        <v>6</v>
      </c>
      <c r="P210" t="s">
        <v>736</v>
      </c>
      <c r="Q210">
        <v>-1.2748999999999999</v>
      </c>
      <c r="R210">
        <v>0.21373</v>
      </c>
    </row>
    <row r="211" spans="1:18" x14ac:dyDescent="0.3">
      <c r="A211" t="s">
        <v>734</v>
      </c>
      <c r="B211">
        <v>0</v>
      </c>
      <c r="C211">
        <v>0</v>
      </c>
      <c r="D211">
        <v>-116.62500000000001</v>
      </c>
      <c r="E211">
        <v>5.7555208320000002</v>
      </c>
      <c r="F211">
        <v>12</v>
      </c>
      <c r="G211">
        <v>6</v>
      </c>
      <c r="H211">
        <v>6</v>
      </c>
      <c r="I211" t="s">
        <v>72</v>
      </c>
      <c r="J211">
        <v>6</v>
      </c>
      <c r="P211" t="s">
        <v>168</v>
      </c>
      <c r="Q211">
        <v>-1.2654000000000001</v>
      </c>
      <c r="R211">
        <v>-0.30181999999999998</v>
      </c>
    </row>
    <row r="212" spans="1:18" x14ac:dyDescent="0.3">
      <c r="A212" t="s">
        <v>115</v>
      </c>
      <c r="B212">
        <v>0</v>
      </c>
      <c r="C212">
        <v>0</v>
      </c>
      <c r="D212">
        <v>-116.53750000000001</v>
      </c>
      <c r="E212">
        <v>7.0607656189999997</v>
      </c>
      <c r="F212">
        <v>12</v>
      </c>
      <c r="G212">
        <v>7</v>
      </c>
      <c r="H212">
        <v>6</v>
      </c>
      <c r="I212" t="s">
        <v>72</v>
      </c>
      <c r="J212">
        <v>6</v>
      </c>
      <c r="P212" t="s">
        <v>244</v>
      </c>
      <c r="Q212">
        <v>-1.2598</v>
      </c>
      <c r="R212">
        <v>-1.2770999999999999</v>
      </c>
    </row>
    <row r="213" spans="1:18" x14ac:dyDescent="0.3">
      <c r="A213" t="s">
        <v>725</v>
      </c>
      <c r="B213">
        <v>0</v>
      </c>
      <c r="C213">
        <v>0</v>
      </c>
      <c r="D213">
        <v>-116.46249999999999</v>
      </c>
      <c r="E213">
        <v>6.0792648959999998</v>
      </c>
      <c r="F213">
        <v>12</v>
      </c>
      <c r="G213">
        <v>6</v>
      </c>
      <c r="H213">
        <v>6</v>
      </c>
      <c r="I213" t="s">
        <v>72</v>
      </c>
      <c r="J213">
        <v>6</v>
      </c>
      <c r="P213" t="s">
        <v>734</v>
      </c>
      <c r="Q213">
        <v>-1.2397</v>
      </c>
      <c r="R213">
        <v>-0.14299000000000001</v>
      </c>
    </row>
    <row r="214" spans="1:18" x14ac:dyDescent="0.3">
      <c r="A214" t="s">
        <v>351</v>
      </c>
      <c r="B214">
        <v>0</v>
      </c>
      <c r="C214">
        <v>0</v>
      </c>
      <c r="D214">
        <v>-116.21249999999999</v>
      </c>
      <c r="E214">
        <v>6.5388365129999997</v>
      </c>
      <c r="F214">
        <v>12</v>
      </c>
      <c r="G214">
        <v>7</v>
      </c>
      <c r="H214">
        <v>6</v>
      </c>
      <c r="I214" t="s">
        <v>72</v>
      </c>
      <c r="J214">
        <v>6</v>
      </c>
      <c r="P214" t="s">
        <v>115</v>
      </c>
      <c r="Q214">
        <v>-1.2387999999999999</v>
      </c>
      <c r="R214">
        <v>0.37042999999999998</v>
      </c>
    </row>
    <row r="215" spans="1:18" x14ac:dyDescent="0.3">
      <c r="A215" t="s">
        <v>723</v>
      </c>
      <c r="B215">
        <v>0</v>
      </c>
      <c r="C215">
        <v>0</v>
      </c>
      <c r="D215">
        <v>-115.75000000000001</v>
      </c>
      <c r="E215">
        <v>5.0939038400000003</v>
      </c>
      <c r="F215">
        <v>12</v>
      </c>
      <c r="G215">
        <v>5</v>
      </c>
      <c r="H215">
        <v>6</v>
      </c>
      <c r="I215" t="s">
        <v>72</v>
      </c>
      <c r="J215">
        <v>6</v>
      </c>
      <c r="P215" t="s">
        <v>725</v>
      </c>
      <c r="Q215">
        <v>-1.2346999999999999</v>
      </c>
      <c r="R215">
        <v>-1.3070999999999999E-2</v>
      </c>
    </row>
    <row r="216" spans="1:18" x14ac:dyDescent="0.3">
      <c r="A216" t="s">
        <v>416</v>
      </c>
      <c r="B216">
        <v>0</v>
      </c>
      <c r="C216">
        <v>0</v>
      </c>
      <c r="D216">
        <v>-115.12500000000001</v>
      </c>
      <c r="E216">
        <v>6.0350465289999997</v>
      </c>
      <c r="F216">
        <v>12</v>
      </c>
      <c r="G216">
        <v>6</v>
      </c>
      <c r="H216">
        <v>6</v>
      </c>
      <c r="I216" t="s">
        <v>72</v>
      </c>
      <c r="J216">
        <v>6</v>
      </c>
      <c r="P216" t="s">
        <v>351</v>
      </c>
      <c r="Q216">
        <v>-1.2271000000000001</v>
      </c>
      <c r="R216">
        <v>0.17169999999999999</v>
      </c>
    </row>
    <row r="217" spans="1:18" x14ac:dyDescent="0.3">
      <c r="A217" t="s">
        <v>448</v>
      </c>
      <c r="B217">
        <v>0</v>
      </c>
      <c r="C217">
        <v>0</v>
      </c>
      <c r="D217">
        <v>-114.575</v>
      </c>
      <c r="E217">
        <v>7.0150641460000003</v>
      </c>
      <c r="F217">
        <v>11</v>
      </c>
      <c r="G217">
        <v>7</v>
      </c>
      <c r="H217">
        <v>6</v>
      </c>
      <c r="I217" t="s">
        <v>72</v>
      </c>
      <c r="J217">
        <v>6</v>
      </c>
      <c r="P217" t="s">
        <v>723</v>
      </c>
      <c r="Q217">
        <v>-1.2095</v>
      </c>
      <c r="R217">
        <v>-0.38645000000000002</v>
      </c>
    </row>
    <row r="218" spans="1:18" x14ac:dyDescent="0.3">
      <c r="A218" t="s">
        <v>439</v>
      </c>
      <c r="B218">
        <v>0</v>
      </c>
      <c r="C218">
        <v>0</v>
      </c>
      <c r="D218">
        <v>-114.2375</v>
      </c>
      <c r="E218">
        <v>4.1258487749999997</v>
      </c>
      <c r="F218">
        <v>11</v>
      </c>
      <c r="G218">
        <v>4</v>
      </c>
      <c r="H218">
        <v>6</v>
      </c>
      <c r="I218" t="s">
        <v>72</v>
      </c>
      <c r="J218">
        <v>6</v>
      </c>
      <c r="P218" t="s">
        <v>416</v>
      </c>
      <c r="Q218">
        <v>-1.1900999999999999</v>
      </c>
      <c r="R218">
        <v>-6.0016999999999996E-3</v>
      </c>
    </row>
    <row r="219" spans="1:18" x14ac:dyDescent="0.3">
      <c r="A219" t="s">
        <v>138</v>
      </c>
      <c r="B219">
        <v>0</v>
      </c>
      <c r="C219">
        <v>0</v>
      </c>
      <c r="D219">
        <v>-113.66250000000001</v>
      </c>
      <c r="E219">
        <v>8.2968314440000004</v>
      </c>
      <c r="F219">
        <v>11</v>
      </c>
      <c r="G219">
        <v>8</v>
      </c>
      <c r="H219">
        <v>6</v>
      </c>
      <c r="I219" t="s">
        <v>72</v>
      </c>
      <c r="J219">
        <v>6</v>
      </c>
      <c r="P219" t="s">
        <v>448</v>
      </c>
      <c r="Q219">
        <v>-1.1732</v>
      </c>
      <c r="R219">
        <v>0.38833000000000001</v>
      </c>
    </row>
    <row r="220" spans="1:18" x14ac:dyDescent="0.3">
      <c r="A220" t="s">
        <v>403</v>
      </c>
      <c r="B220">
        <v>0</v>
      </c>
      <c r="C220">
        <v>0</v>
      </c>
      <c r="D220">
        <v>-110.5625</v>
      </c>
      <c r="E220">
        <v>8.2939478090000005</v>
      </c>
      <c r="F220">
        <v>11</v>
      </c>
      <c r="G220">
        <v>8</v>
      </c>
      <c r="H220">
        <v>6</v>
      </c>
      <c r="I220" t="s">
        <v>72</v>
      </c>
      <c r="J220">
        <v>6</v>
      </c>
      <c r="P220" t="s">
        <v>439</v>
      </c>
      <c r="Q220">
        <v>-1.1575</v>
      </c>
      <c r="R220">
        <v>-0.73845000000000005</v>
      </c>
    </row>
    <row r="221" spans="1:18" x14ac:dyDescent="0.3">
      <c r="A221" t="s">
        <v>75</v>
      </c>
      <c r="B221">
        <v>0</v>
      </c>
      <c r="C221">
        <v>0</v>
      </c>
      <c r="D221">
        <v>-110.30000000000001</v>
      </c>
      <c r="E221">
        <v>4.1794235679999998</v>
      </c>
      <c r="F221">
        <v>11</v>
      </c>
      <c r="G221">
        <v>4</v>
      </c>
      <c r="H221">
        <v>6</v>
      </c>
      <c r="I221" t="s">
        <v>72</v>
      </c>
      <c r="J221">
        <v>6</v>
      </c>
      <c r="P221" t="s">
        <v>138</v>
      </c>
      <c r="Q221">
        <v>-1.1448</v>
      </c>
      <c r="R221">
        <v>0.90759000000000001</v>
      </c>
    </row>
    <row r="222" spans="1:18" x14ac:dyDescent="0.3">
      <c r="A222" t="s">
        <v>128</v>
      </c>
      <c r="B222">
        <v>0</v>
      </c>
      <c r="C222">
        <v>0</v>
      </c>
      <c r="D222">
        <v>-110.1</v>
      </c>
      <c r="E222">
        <v>5.2192906209999999</v>
      </c>
      <c r="F222">
        <v>11</v>
      </c>
      <c r="G222">
        <v>5</v>
      </c>
      <c r="H222">
        <v>6</v>
      </c>
      <c r="I222" t="s">
        <v>72</v>
      </c>
      <c r="J222">
        <v>6</v>
      </c>
      <c r="P222" t="s">
        <v>403</v>
      </c>
      <c r="Q222">
        <v>-1.0414000000000001</v>
      </c>
      <c r="R222">
        <v>0.96304000000000001</v>
      </c>
    </row>
    <row r="223" spans="1:18" x14ac:dyDescent="0.3">
      <c r="A223" t="s">
        <v>572</v>
      </c>
      <c r="B223">
        <v>0</v>
      </c>
      <c r="C223">
        <v>0</v>
      </c>
      <c r="D223">
        <v>-109.55</v>
      </c>
      <c r="E223">
        <v>1.5300994809999999</v>
      </c>
      <c r="F223">
        <v>11</v>
      </c>
      <c r="G223">
        <v>2</v>
      </c>
      <c r="H223">
        <v>6</v>
      </c>
      <c r="I223" t="s">
        <v>72</v>
      </c>
      <c r="J223">
        <v>6</v>
      </c>
      <c r="P223" t="s">
        <v>75</v>
      </c>
      <c r="Q223">
        <v>-1.0262</v>
      </c>
      <c r="R223">
        <v>-0.64559</v>
      </c>
    </row>
    <row r="224" spans="1:18" x14ac:dyDescent="0.3">
      <c r="A224" t="s">
        <v>735</v>
      </c>
      <c r="B224">
        <v>0</v>
      </c>
      <c r="C224">
        <v>0</v>
      </c>
      <c r="D224">
        <v>-109.41249999999999</v>
      </c>
      <c r="E224">
        <v>4.6472541090000004</v>
      </c>
      <c r="F224">
        <v>11</v>
      </c>
      <c r="G224">
        <v>5</v>
      </c>
      <c r="H224">
        <v>6</v>
      </c>
      <c r="I224" t="s">
        <v>72</v>
      </c>
      <c r="J224">
        <v>6</v>
      </c>
      <c r="P224" t="s">
        <v>128</v>
      </c>
      <c r="Q224">
        <v>-1.0212000000000001</v>
      </c>
      <c r="R224">
        <v>-0.23418</v>
      </c>
    </row>
    <row r="225" spans="1:18" x14ac:dyDescent="0.3">
      <c r="A225" t="s">
        <v>70</v>
      </c>
      <c r="B225">
        <v>0</v>
      </c>
      <c r="C225">
        <v>0</v>
      </c>
      <c r="D225">
        <v>-108.33749999999999</v>
      </c>
      <c r="E225">
        <v>4.3997488000000002</v>
      </c>
      <c r="F225">
        <v>11</v>
      </c>
      <c r="G225">
        <v>4</v>
      </c>
      <c r="H225">
        <v>6</v>
      </c>
      <c r="I225" t="s">
        <v>72</v>
      </c>
      <c r="J225">
        <v>6</v>
      </c>
      <c r="P225" t="s">
        <v>572</v>
      </c>
      <c r="Q225">
        <v>-0.99712000000000001</v>
      </c>
      <c r="R225">
        <v>-1.6708000000000001</v>
      </c>
    </row>
    <row r="226" spans="1:18" x14ac:dyDescent="0.3">
      <c r="A226" t="s">
        <v>211</v>
      </c>
      <c r="B226">
        <v>0</v>
      </c>
      <c r="C226">
        <v>0</v>
      </c>
      <c r="D226">
        <v>-107.48750000000001</v>
      </c>
      <c r="E226">
        <v>3.5089685340000001</v>
      </c>
      <c r="F226">
        <v>11</v>
      </c>
      <c r="G226">
        <v>4</v>
      </c>
      <c r="H226">
        <v>6</v>
      </c>
      <c r="I226" t="s">
        <v>72</v>
      </c>
      <c r="J226">
        <v>6</v>
      </c>
      <c r="P226" t="s">
        <v>735</v>
      </c>
      <c r="Q226">
        <v>-0.99736999999999998</v>
      </c>
      <c r="R226">
        <v>-0.44594</v>
      </c>
    </row>
    <row r="227" spans="1:18" x14ac:dyDescent="0.3">
      <c r="A227" t="s">
        <v>599</v>
      </c>
      <c r="B227">
        <v>0</v>
      </c>
      <c r="C227">
        <v>0</v>
      </c>
      <c r="D227">
        <v>-107.22499999999999</v>
      </c>
      <c r="E227">
        <v>5.4715459019999999</v>
      </c>
      <c r="F227">
        <v>11</v>
      </c>
      <c r="G227">
        <v>5</v>
      </c>
      <c r="H227">
        <v>6</v>
      </c>
      <c r="I227" t="s">
        <v>72</v>
      </c>
      <c r="J227">
        <v>6</v>
      </c>
      <c r="P227" t="s">
        <v>70</v>
      </c>
      <c r="Q227">
        <v>-0.96113000000000004</v>
      </c>
      <c r="R227">
        <v>-0.52337999999999996</v>
      </c>
    </row>
    <row r="228" spans="1:18" x14ac:dyDescent="0.3">
      <c r="A228" t="s">
        <v>166</v>
      </c>
      <c r="B228">
        <v>0</v>
      </c>
      <c r="C228">
        <v>0</v>
      </c>
      <c r="D228">
        <v>-107.2</v>
      </c>
      <c r="E228">
        <v>4.8230398069999998</v>
      </c>
      <c r="F228">
        <v>11</v>
      </c>
      <c r="G228">
        <v>5</v>
      </c>
      <c r="H228">
        <v>6</v>
      </c>
      <c r="I228" t="s">
        <v>72</v>
      </c>
      <c r="J228">
        <v>6</v>
      </c>
      <c r="P228" t="s">
        <v>211</v>
      </c>
      <c r="Q228">
        <v>-0.93139000000000005</v>
      </c>
      <c r="R228">
        <v>-0.85716999999999999</v>
      </c>
    </row>
    <row r="229" spans="1:18" x14ac:dyDescent="0.3">
      <c r="A229" t="s">
        <v>731</v>
      </c>
      <c r="B229">
        <v>0</v>
      </c>
      <c r="C229">
        <v>0</v>
      </c>
      <c r="D229">
        <v>-107.1375</v>
      </c>
      <c r="E229">
        <v>9.633780475</v>
      </c>
      <c r="F229">
        <v>11</v>
      </c>
      <c r="G229">
        <v>10</v>
      </c>
      <c r="H229">
        <v>6</v>
      </c>
      <c r="I229" t="s">
        <v>72</v>
      </c>
      <c r="J229">
        <v>6</v>
      </c>
      <c r="P229" t="s">
        <v>599</v>
      </c>
      <c r="Q229">
        <v>-0.92567999999999995</v>
      </c>
      <c r="R229">
        <v>-8.2794999999999994E-2</v>
      </c>
    </row>
    <row r="230" spans="1:18" x14ac:dyDescent="0.3">
      <c r="A230" t="s">
        <v>359</v>
      </c>
      <c r="B230">
        <v>0</v>
      </c>
      <c r="C230">
        <v>0</v>
      </c>
      <c r="D230">
        <v>-106.08750000000001</v>
      </c>
      <c r="E230">
        <v>8.0870056760000004</v>
      </c>
      <c r="F230">
        <v>11</v>
      </c>
      <c r="G230">
        <v>8</v>
      </c>
      <c r="H230">
        <v>6</v>
      </c>
      <c r="I230" t="s">
        <v>72</v>
      </c>
      <c r="J230">
        <v>6</v>
      </c>
      <c r="P230" t="s">
        <v>166</v>
      </c>
      <c r="Q230">
        <v>-0.92383999999999999</v>
      </c>
      <c r="R230">
        <v>-0.33663999999999999</v>
      </c>
    </row>
    <row r="231" spans="1:18" x14ac:dyDescent="0.3">
      <c r="A231" t="s">
        <v>124</v>
      </c>
      <c r="B231">
        <v>0</v>
      </c>
      <c r="C231">
        <v>0</v>
      </c>
      <c r="D231">
        <v>-105.8</v>
      </c>
      <c r="E231">
        <v>4.088102492</v>
      </c>
      <c r="F231">
        <v>11</v>
      </c>
      <c r="G231">
        <v>4</v>
      </c>
      <c r="H231">
        <v>6</v>
      </c>
      <c r="I231" t="s">
        <v>72</v>
      </c>
      <c r="J231">
        <v>6</v>
      </c>
      <c r="P231" t="s">
        <v>731</v>
      </c>
      <c r="Q231">
        <v>-0.92923</v>
      </c>
      <c r="R231">
        <v>1.5508999999999999</v>
      </c>
    </row>
    <row r="232" spans="1:18" x14ac:dyDescent="0.3">
      <c r="A232" t="s">
        <v>187</v>
      </c>
      <c r="B232">
        <v>0</v>
      </c>
      <c r="C232">
        <v>0</v>
      </c>
      <c r="D232">
        <v>-105.8</v>
      </c>
      <c r="E232">
        <v>4.7695128450000004</v>
      </c>
      <c r="F232">
        <v>11</v>
      </c>
      <c r="G232">
        <v>5</v>
      </c>
      <c r="H232">
        <v>6</v>
      </c>
      <c r="I232" t="s">
        <v>72</v>
      </c>
      <c r="J232">
        <v>6</v>
      </c>
      <c r="P232" t="s">
        <v>359</v>
      </c>
      <c r="Q232">
        <v>-0.89180000000000004</v>
      </c>
      <c r="R232">
        <v>0.96355999999999997</v>
      </c>
    </row>
    <row r="233" spans="1:18" x14ac:dyDescent="0.3">
      <c r="A233" t="s">
        <v>426</v>
      </c>
      <c r="B233">
        <v>0</v>
      </c>
      <c r="C233">
        <v>0</v>
      </c>
      <c r="D233">
        <v>-104.72499999999999</v>
      </c>
      <c r="E233">
        <v>5.4184444909999998</v>
      </c>
      <c r="F233">
        <v>10</v>
      </c>
      <c r="G233">
        <v>5</v>
      </c>
      <c r="H233">
        <v>6</v>
      </c>
      <c r="I233" t="s">
        <v>72</v>
      </c>
      <c r="J233">
        <v>6</v>
      </c>
      <c r="P233" t="s">
        <v>124</v>
      </c>
      <c r="Q233">
        <v>-0.876</v>
      </c>
      <c r="R233">
        <v>-0.59928000000000003</v>
      </c>
    </row>
    <row r="234" spans="1:18" x14ac:dyDescent="0.3">
      <c r="A234" t="s">
        <v>178</v>
      </c>
      <c r="B234">
        <v>0</v>
      </c>
      <c r="C234">
        <v>0</v>
      </c>
      <c r="D234">
        <v>-104.55</v>
      </c>
      <c r="E234">
        <v>5.0796075639999998</v>
      </c>
      <c r="F234">
        <v>10</v>
      </c>
      <c r="G234">
        <v>5</v>
      </c>
      <c r="H234">
        <v>6</v>
      </c>
      <c r="I234" t="s">
        <v>72</v>
      </c>
      <c r="J234">
        <v>6</v>
      </c>
      <c r="P234" t="s">
        <v>187</v>
      </c>
      <c r="Q234">
        <v>-0.87705999999999995</v>
      </c>
      <c r="R234">
        <v>-0.33207999999999999</v>
      </c>
    </row>
    <row r="235" spans="1:18" x14ac:dyDescent="0.3">
      <c r="A235" t="s">
        <v>108</v>
      </c>
      <c r="B235">
        <v>0</v>
      </c>
      <c r="C235">
        <v>0</v>
      </c>
      <c r="D235">
        <v>-103.50000000000001</v>
      </c>
      <c r="E235">
        <v>2.7035807859999998</v>
      </c>
      <c r="F235">
        <v>10</v>
      </c>
      <c r="G235">
        <v>3</v>
      </c>
      <c r="H235">
        <v>6</v>
      </c>
      <c r="I235" t="s">
        <v>72</v>
      </c>
      <c r="J235">
        <v>6</v>
      </c>
      <c r="P235" t="s">
        <v>426</v>
      </c>
      <c r="Q235">
        <v>-0.84221000000000001</v>
      </c>
      <c r="R235">
        <v>-5.7994999999999998E-2</v>
      </c>
    </row>
    <row r="236" spans="1:18" x14ac:dyDescent="0.3">
      <c r="A236" t="s">
        <v>423</v>
      </c>
      <c r="B236">
        <v>0</v>
      </c>
      <c r="C236">
        <v>0</v>
      </c>
      <c r="D236">
        <v>-102.8875</v>
      </c>
      <c r="E236">
        <v>6.1836821659999996</v>
      </c>
      <c r="F236">
        <v>10</v>
      </c>
      <c r="G236">
        <v>6</v>
      </c>
      <c r="H236">
        <v>6</v>
      </c>
      <c r="I236" t="s">
        <v>72</v>
      </c>
      <c r="J236">
        <v>6</v>
      </c>
      <c r="P236" t="s">
        <v>178</v>
      </c>
      <c r="Q236">
        <v>-0.83584999999999998</v>
      </c>
      <c r="R236">
        <v>-0.18767</v>
      </c>
    </row>
    <row r="237" spans="1:18" x14ac:dyDescent="0.3">
      <c r="A237" t="s">
        <v>142</v>
      </c>
      <c r="B237">
        <v>0</v>
      </c>
      <c r="C237">
        <v>0</v>
      </c>
      <c r="D237">
        <v>-102.87500000000001</v>
      </c>
      <c r="E237">
        <v>5.5018209410000001</v>
      </c>
      <c r="F237">
        <v>10</v>
      </c>
      <c r="G237">
        <v>6</v>
      </c>
      <c r="H237">
        <v>6</v>
      </c>
      <c r="I237" t="s">
        <v>72</v>
      </c>
      <c r="J237">
        <v>6</v>
      </c>
      <c r="P237" t="s">
        <v>108</v>
      </c>
      <c r="Q237">
        <v>-0.79713999999999996</v>
      </c>
      <c r="R237">
        <v>-1.1002000000000001</v>
      </c>
    </row>
    <row r="238" spans="1:18" x14ac:dyDescent="0.3">
      <c r="A238" t="s">
        <v>300</v>
      </c>
      <c r="B238">
        <v>0</v>
      </c>
      <c r="C238">
        <v>0</v>
      </c>
      <c r="D238">
        <v>-102.65</v>
      </c>
      <c r="E238">
        <v>6.911640147</v>
      </c>
      <c r="F238">
        <v>10</v>
      </c>
      <c r="G238">
        <v>7</v>
      </c>
      <c r="H238">
        <v>6</v>
      </c>
      <c r="I238" t="s">
        <v>72</v>
      </c>
      <c r="J238">
        <v>6</v>
      </c>
      <c r="P238" t="s">
        <v>423</v>
      </c>
      <c r="Q238">
        <v>-0.78210999999999997</v>
      </c>
      <c r="R238">
        <v>0.27561000000000002</v>
      </c>
    </row>
    <row r="239" spans="1:18" x14ac:dyDescent="0.3">
      <c r="A239" t="s">
        <v>419</v>
      </c>
      <c r="B239">
        <v>0</v>
      </c>
      <c r="C239">
        <v>0</v>
      </c>
      <c r="D239">
        <v>-102.6</v>
      </c>
      <c r="E239">
        <v>5.0208826039999996</v>
      </c>
      <c r="F239">
        <v>10</v>
      </c>
      <c r="G239">
        <v>5</v>
      </c>
      <c r="H239">
        <v>6</v>
      </c>
      <c r="I239" t="s">
        <v>72</v>
      </c>
      <c r="J239">
        <v>6</v>
      </c>
      <c r="P239" t="s">
        <v>142</v>
      </c>
      <c r="Q239">
        <v>-0.78063000000000005</v>
      </c>
      <c r="R239">
        <v>8.4609999999999998E-3</v>
      </c>
    </row>
    <row r="240" spans="1:18" x14ac:dyDescent="0.3">
      <c r="A240" t="s">
        <v>721</v>
      </c>
      <c r="B240">
        <v>0</v>
      </c>
      <c r="C240">
        <v>0</v>
      </c>
      <c r="D240">
        <v>-102.46249999999999</v>
      </c>
      <c r="E240">
        <v>3.8457698059999998</v>
      </c>
      <c r="F240">
        <v>10</v>
      </c>
      <c r="G240">
        <v>4</v>
      </c>
      <c r="H240">
        <v>6</v>
      </c>
      <c r="I240" t="s">
        <v>72</v>
      </c>
      <c r="J240">
        <v>6</v>
      </c>
      <c r="P240" t="s">
        <v>300</v>
      </c>
      <c r="Q240">
        <v>-0.77532000000000001</v>
      </c>
      <c r="R240">
        <v>0.56540000000000001</v>
      </c>
    </row>
    <row r="241" spans="1:18" x14ac:dyDescent="0.3">
      <c r="A241" t="s">
        <v>596</v>
      </c>
      <c r="B241">
        <v>0</v>
      </c>
      <c r="C241">
        <v>0</v>
      </c>
      <c r="D241">
        <v>-102.325</v>
      </c>
      <c r="E241">
        <v>3.4851814609999998</v>
      </c>
      <c r="F241">
        <v>10</v>
      </c>
      <c r="G241">
        <v>3</v>
      </c>
      <c r="H241">
        <v>6</v>
      </c>
      <c r="I241" t="s">
        <v>72</v>
      </c>
      <c r="J241">
        <v>6</v>
      </c>
      <c r="P241" t="s">
        <v>419</v>
      </c>
      <c r="Q241">
        <v>-0.77071000000000001</v>
      </c>
      <c r="R241">
        <v>-0.17510999999999999</v>
      </c>
    </row>
    <row r="242" spans="1:18" x14ac:dyDescent="0.3">
      <c r="A242" t="s">
        <v>236</v>
      </c>
      <c r="B242">
        <v>0</v>
      </c>
      <c r="C242">
        <v>0</v>
      </c>
      <c r="D242">
        <v>-102.2625</v>
      </c>
      <c r="E242">
        <v>5.7517205730000001</v>
      </c>
      <c r="F242">
        <v>10</v>
      </c>
      <c r="G242">
        <v>6</v>
      </c>
      <c r="H242">
        <v>6</v>
      </c>
      <c r="I242" t="s">
        <v>72</v>
      </c>
      <c r="J242">
        <v>6</v>
      </c>
      <c r="P242" t="s">
        <v>721</v>
      </c>
      <c r="Q242">
        <v>-0.76429999999999998</v>
      </c>
      <c r="R242">
        <v>-0.63339000000000001</v>
      </c>
    </row>
    <row r="243" spans="1:18" x14ac:dyDescent="0.3">
      <c r="A243" t="s">
        <v>224</v>
      </c>
      <c r="B243">
        <v>0</v>
      </c>
      <c r="C243">
        <v>0</v>
      </c>
      <c r="D243">
        <v>-102.1875</v>
      </c>
      <c r="E243">
        <v>6.2600288869999998</v>
      </c>
      <c r="F243">
        <v>10</v>
      </c>
      <c r="G243">
        <v>6</v>
      </c>
      <c r="H243">
        <v>6</v>
      </c>
      <c r="I243" t="s">
        <v>72</v>
      </c>
      <c r="J243">
        <v>6</v>
      </c>
      <c r="P243" t="s">
        <v>596</v>
      </c>
      <c r="Q243">
        <v>-0.75915999999999995</v>
      </c>
      <c r="R243">
        <v>-0.77227999999999997</v>
      </c>
    </row>
    <row r="244" spans="1:18" x14ac:dyDescent="0.3">
      <c r="A244" t="s">
        <v>157</v>
      </c>
      <c r="B244">
        <v>0</v>
      </c>
      <c r="C244">
        <v>0</v>
      </c>
      <c r="D244">
        <v>-101.96250000000001</v>
      </c>
      <c r="E244">
        <v>5.1781479030000002</v>
      </c>
      <c r="F244">
        <v>10</v>
      </c>
      <c r="G244">
        <v>5</v>
      </c>
      <c r="H244">
        <v>6</v>
      </c>
      <c r="I244" t="s">
        <v>72</v>
      </c>
      <c r="J244">
        <v>6</v>
      </c>
      <c r="P244" t="s">
        <v>236</v>
      </c>
      <c r="Q244">
        <v>-0.76058999999999999</v>
      </c>
      <c r="R244">
        <v>0.11763</v>
      </c>
    </row>
    <row r="245" spans="1:18" x14ac:dyDescent="0.3">
      <c r="A245" t="s">
        <v>228</v>
      </c>
      <c r="B245">
        <v>0</v>
      </c>
      <c r="C245">
        <v>0</v>
      </c>
      <c r="D245">
        <v>-101.9</v>
      </c>
      <c r="E245">
        <v>8.1884790610000007</v>
      </c>
      <c r="F245">
        <v>10</v>
      </c>
      <c r="G245">
        <v>8</v>
      </c>
      <c r="H245">
        <v>6</v>
      </c>
      <c r="I245" t="s">
        <v>72</v>
      </c>
      <c r="J245">
        <v>6</v>
      </c>
      <c r="P245" t="s">
        <v>224</v>
      </c>
      <c r="Q245">
        <v>-0.75888</v>
      </c>
      <c r="R245">
        <v>0.31831999999999999</v>
      </c>
    </row>
    <row r="246" spans="1:18" x14ac:dyDescent="0.3">
      <c r="A246" t="s">
        <v>184</v>
      </c>
      <c r="B246">
        <v>0</v>
      </c>
      <c r="C246">
        <v>0</v>
      </c>
      <c r="D246">
        <v>-101.77499999999999</v>
      </c>
      <c r="E246">
        <v>4.8968051030000002</v>
      </c>
      <c r="F246">
        <v>10</v>
      </c>
      <c r="G246">
        <v>5</v>
      </c>
      <c r="H246">
        <v>6</v>
      </c>
      <c r="I246" t="s">
        <v>72</v>
      </c>
      <c r="J246">
        <v>6</v>
      </c>
      <c r="P246" t="s">
        <v>157</v>
      </c>
      <c r="Q246">
        <v>-0.74968999999999997</v>
      </c>
      <c r="R246">
        <v>-0.10181</v>
      </c>
    </row>
    <row r="247" spans="1:18" x14ac:dyDescent="0.3">
      <c r="A247" t="s">
        <v>240</v>
      </c>
      <c r="B247">
        <v>0</v>
      </c>
      <c r="C247">
        <v>0</v>
      </c>
      <c r="D247">
        <v>-101.53750000000001</v>
      </c>
      <c r="E247">
        <v>5.7862855829999997</v>
      </c>
      <c r="F247">
        <v>10</v>
      </c>
      <c r="G247">
        <v>6</v>
      </c>
      <c r="H247">
        <v>6</v>
      </c>
      <c r="I247" t="s">
        <v>72</v>
      </c>
      <c r="J247">
        <v>6</v>
      </c>
      <c r="P247" t="s">
        <v>228</v>
      </c>
      <c r="Q247">
        <v>-0.75227999999999995</v>
      </c>
      <c r="R247">
        <v>1.0798000000000001</v>
      </c>
    </row>
    <row r="248" spans="1:18" x14ac:dyDescent="0.3">
      <c r="A248" t="s">
        <v>111</v>
      </c>
      <c r="B248">
        <v>0</v>
      </c>
      <c r="C248">
        <v>0</v>
      </c>
      <c r="D248">
        <v>-100.55000000000001</v>
      </c>
      <c r="E248">
        <v>3.324742144</v>
      </c>
      <c r="F248">
        <v>10</v>
      </c>
      <c r="G248">
        <v>3</v>
      </c>
      <c r="H248">
        <v>6</v>
      </c>
      <c r="I248" t="s">
        <v>72</v>
      </c>
      <c r="J248">
        <v>6</v>
      </c>
      <c r="P248" t="s">
        <v>184</v>
      </c>
      <c r="Q248">
        <v>-0.74299999999999999</v>
      </c>
      <c r="R248">
        <v>-0.20871000000000001</v>
      </c>
    </row>
    <row r="249" spans="1:18" x14ac:dyDescent="0.3">
      <c r="A249" t="s">
        <v>2727</v>
      </c>
      <c r="B249">
        <v>0</v>
      </c>
      <c r="C249">
        <v>0</v>
      </c>
      <c r="D249">
        <v>-100.47500000000001</v>
      </c>
      <c r="E249">
        <v>6.7145772929999996</v>
      </c>
      <c r="F249">
        <v>10</v>
      </c>
      <c r="G249">
        <v>7</v>
      </c>
      <c r="H249">
        <v>6</v>
      </c>
      <c r="I249" t="s">
        <v>72</v>
      </c>
      <c r="J249">
        <v>6</v>
      </c>
      <c r="P249" t="s">
        <v>240</v>
      </c>
      <c r="Q249">
        <v>-0.73646</v>
      </c>
      <c r="R249">
        <v>0.14441999999999999</v>
      </c>
    </row>
    <row r="250" spans="1:18" x14ac:dyDescent="0.3">
      <c r="A250" t="s">
        <v>2731</v>
      </c>
      <c r="B250">
        <v>0</v>
      </c>
      <c r="C250">
        <v>0</v>
      </c>
      <c r="D250">
        <v>-100.43750000000001</v>
      </c>
      <c r="E250">
        <v>8.1267451620000006</v>
      </c>
      <c r="F250">
        <v>10</v>
      </c>
      <c r="G250">
        <v>8</v>
      </c>
      <c r="H250">
        <v>6</v>
      </c>
      <c r="I250" t="s">
        <v>72</v>
      </c>
      <c r="J250">
        <v>6</v>
      </c>
      <c r="P250" t="s">
        <v>111</v>
      </c>
      <c r="Q250">
        <v>-0.69969999999999999</v>
      </c>
      <c r="R250">
        <v>-0.80279999999999996</v>
      </c>
    </row>
    <row r="251" spans="1:18" x14ac:dyDescent="0.3">
      <c r="A251" t="s">
        <v>427</v>
      </c>
      <c r="B251">
        <v>0</v>
      </c>
      <c r="C251">
        <v>0</v>
      </c>
      <c r="D251">
        <v>-99.875</v>
      </c>
      <c r="E251">
        <v>7.6598259329999996</v>
      </c>
      <c r="F251">
        <v>10</v>
      </c>
      <c r="G251">
        <v>8</v>
      </c>
      <c r="H251">
        <v>6</v>
      </c>
      <c r="I251" t="s">
        <v>72</v>
      </c>
      <c r="J251">
        <v>6</v>
      </c>
      <c r="P251" t="s">
        <v>2727</v>
      </c>
      <c r="Q251">
        <v>-0.70245999999999997</v>
      </c>
      <c r="R251">
        <v>0.52781</v>
      </c>
    </row>
    <row r="252" spans="1:18" x14ac:dyDescent="0.3">
      <c r="A252" t="s">
        <v>398</v>
      </c>
      <c r="B252">
        <v>0</v>
      </c>
      <c r="C252">
        <v>0</v>
      </c>
      <c r="D252">
        <v>-99.787499999999994</v>
      </c>
      <c r="E252">
        <v>6.7635865040000001</v>
      </c>
      <c r="F252">
        <v>10</v>
      </c>
      <c r="G252">
        <v>7</v>
      </c>
      <c r="H252">
        <v>6</v>
      </c>
      <c r="I252" t="s">
        <v>72</v>
      </c>
      <c r="J252">
        <v>6</v>
      </c>
      <c r="P252" t="s">
        <v>2731</v>
      </c>
      <c r="Q252">
        <v>-0.70340000000000003</v>
      </c>
      <c r="R252">
        <v>1.0822000000000001</v>
      </c>
    </row>
    <row r="253" spans="1:18" x14ac:dyDescent="0.3">
      <c r="A253" t="s">
        <v>2732</v>
      </c>
      <c r="B253">
        <v>0</v>
      </c>
      <c r="C253">
        <v>0</v>
      </c>
      <c r="D253">
        <v>-99.737499999999997</v>
      </c>
      <c r="E253">
        <v>10.18752087</v>
      </c>
      <c r="F253">
        <v>10</v>
      </c>
      <c r="G253">
        <v>10</v>
      </c>
      <c r="H253">
        <v>6</v>
      </c>
      <c r="I253" t="s">
        <v>72</v>
      </c>
      <c r="J253">
        <v>6</v>
      </c>
      <c r="P253" t="s">
        <v>427</v>
      </c>
      <c r="Q253">
        <v>-0.68391999999999997</v>
      </c>
      <c r="R253">
        <v>0.90942000000000001</v>
      </c>
    </row>
    <row r="254" spans="1:18" x14ac:dyDescent="0.3">
      <c r="A254" t="s">
        <v>1121</v>
      </c>
      <c r="B254">
        <v>0</v>
      </c>
      <c r="C254">
        <v>0</v>
      </c>
      <c r="D254">
        <v>-99.375</v>
      </c>
      <c r="E254">
        <v>5.5962168300000004</v>
      </c>
      <c r="F254">
        <v>10</v>
      </c>
      <c r="G254">
        <v>6</v>
      </c>
      <c r="H254">
        <v>6</v>
      </c>
      <c r="I254" t="s">
        <v>72</v>
      </c>
      <c r="J254">
        <v>6</v>
      </c>
      <c r="P254" t="s">
        <v>398</v>
      </c>
      <c r="Q254">
        <v>-0.67961000000000005</v>
      </c>
      <c r="R254">
        <v>0.55957999999999997</v>
      </c>
    </row>
    <row r="255" spans="1:18" x14ac:dyDescent="0.3">
      <c r="A255" t="s">
        <v>421</v>
      </c>
      <c r="B255">
        <v>0</v>
      </c>
      <c r="C255">
        <v>0</v>
      </c>
      <c r="D255">
        <v>-99.3125</v>
      </c>
      <c r="E255">
        <v>5.5541803310000004</v>
      </c>
      <c r="F255">
        <v>10</v>
      </c>
      <c r="G255">
        <v>6</v>
      </c>
      <c r="H255">
        <v>6</v>
      </c>
      <c r="I255" t="s">
        <v>72</v>
      </c>
      <c r="J255">
        <v>6</v>
      </c>
      <c r="P255" t="s">
        <v>2732</v>
      </c>
      <c r="Q255">
        <v>-0.68325000000000002</v>
      </c>
      <c r="R255">
        <v>1.9031</v>
      </c>
    </row>
    <row r="256" spans="1:18" x14ac:dyDescent="0.3">
      <c r="A256" t="s">
        <v>405</v>
      </c>
      <c r="B256">
        <v>0</v>
      </c>
      <c r="C256">
        <v>0</v>
      </c>
      <c r="D256">
        <v>-98.662500000000009</v>
      </c>
      <c r="E256">
        <v>7.3671662800000002</v>
      </c>
      <c r="F256">
        <v>10</v>
      </c>
      <c r="G256">
        <v>7</v>
      </c>
      <c r="H256">
        <v>6</v>
      </c>
      <c r="I256" t="s">
        <v>72</v>
      </c>
      <c r="J256">
        <v>6</v>
      </c>
      <c r="P256" t="s">
        <v>1121</v>
      </c>
      <c r="Q256">
        <v>-0.66403999999999996</v>
      </c>
      <c r="R256">
        <v>0.10935</v>
      </c>
    </row>
    <row r="257" spans="1:18" x14ac:dyDescent="0.3">
      <c r="A257" t="s">
        <v>182</v>
      </c>
      <c r="B257">
        <v>0</v>
      </c>
      <c r="C257">
        <v>0</v>
      </c>
      <c r="D257">
        <v>-98.187500000000014</v>
      </c>
      <c r="E257">
        <v>3.6882286569999998</v>
      </c>
      <c r="F257">
        <v>10</v>
      </c>
      <c r="G257">
        <v>4</v>
      </c>
      <c r="H257">
        <v>6</v>
      </c>
      <c r="I257" t="s">
        <v>72</v>
      </c>
      <c r="J257">
        <v>6</v>
      </c>
      <c r="P257" t="s">
        <v>421</v>
      </c>
      <c r="Q257">
        <v>-0.66188999999999998</v>
      </c>
      <c r="R257">
        <v>9.4006000000000006E-2</v>
      </c>
    </row>
    <row r="258" spans="1:18" x14ac:dyDescent="0.3">
      <c r="A258" t="s">
        <v>430</v>
      </c>
      <c r="B258">
        <v>0</v>
      </c>
      <c r="C258">
        <v>0</v>
      </c>
      <c r="D258">
        <v>-97.6</v>
      </c>
      <c r="E258">
        <v>3.893231841</v>
      </c>
      <c r="F258">
        <v>10</v>
      </c>
      <c r="G258">
        <v>4</v>
      </c>
      <c r="H258">
        <v>6</v>
      </c>
      <c r="I258" t="s">
        <v>72</v>
      </c>
      <c r="J258">
        <v>6</v>
      </c>
      <c r="P258" t="s">
        <v>405</v>
      </c>
      <c r="Q258">
        <v>-0.64302000000000004</v>
      </c>
      <c r="R258">
        <v>0.81679000000000002</v>
      </c>
    </row>
    <row r="259" spans="1:18" x14ac:dyDescent="0.3">
      <c r="A259" t="s">
        <v>118</v>
      </c>
      <c r="B259">
        <v>0</v>
      </c>
      <c r="C259">
        <v>0</v>
      </c>
      <c r="D259">
        <v>-97.224999999999994</v>
      </c>
      <c r="E259">
        <v>4.6431023419999997</v>
      </c>
      <c r="F259">
        <v>10</v>
      </c>
      <c r="G259">
        <v>5</v>
      </c>
      <c r="H259">
        <v>6</v>
      </c>
      <c r="I259" t="s">
        <v>72</v>
      </c>
      <c r="J259">
        <v>6</v>
      </c>
      <c r="P259" t="s">
        <v>182</v>
      </c>
      <c r="Q259">
        <v>-0.62146000000000001</v>
      </c>
      <c r="R259">
        <v>-0.61714999999999998</v>
      </c>
    </row>
    <row r="260" spans="1:18" x14ac:dyDescent="0.3">
      <c r="A260" t="s">
        <v>450</v>
      </c>
      <c r="B260">
        <v>0</v>
      </c>
      <c r="C260">
        <v>0</v>
      </c>
      <c r="D260">
        <v>-96.912499999999994</v>
      </c>
      <c r="E260">
        <v>2.31360812</v>
      </c>
      <c r="F260">
        <v>10</v>
      </c>
      <c r="G260">
        <v>2</v>
      </c>
      <c r="H260">
        <v>6</v>
      </c>
      <c r="I260" t="s">
        <v>72</v>
      </c>
      <c r="J260">
        <v>6</v>
      </c>
      <c r="P260" t="s">
        <v>430</v>
      </c>
      <c r="Q260">
        <v>-0.60219</v>
      </c>
      <c r="R260">
        <v>-0.52603999999999995</v>
      </c>
    </row>
    <row r="261" spans="1:18" x14ac:dyDescent="0.3">
      <c r="A261" t="s">
        <v>453</v>
      </c>
      <c r="B261">
        <v>0</v>
      </c>
      <c r="C261">
        <v>0</v>
      </c>
      <c r="D261">
        <v>-96.800000000000011</v>
      </c>
      <c r="E261">
        <v>7.5257229529999998</v>
      </c>
      <c r="F261">
        <v>10</v>
      </c>
      <c r="G261">
        <v>8</v>
      </c>
      <c r="H261">
        <v>6</v>
      </c>
      <c r="I261" t="s">
        <v>72</v>
      </c>
      <c r="J261">
        <v>6</v>
      </c>
      <c r="P261" t="s">
        <v>118</v>
      </c>
      <c r="Q261">
        <v>-0.59084000000000003</v>
      </c>
      <c r="R261">
        <v>-0.22516</v>
      </c>
    </row>
    <row r="262" spans="1:18" x14ac:dyDescent="0.3">
      <c r="A262" t="s">
        <v>172</v>
      </c>
      <c r="B262">
        <v>0</v>
      </c>
      <c r="C262">
        <v>0</v>
      </c>
      <c r="D262">
        <v>-96.575000000000003</v>
      </c>
      <c r="E262">
        <v>4.5592224579999998</v>
      </c>
      <c r="F262">
        <v>10</v>
      </c>
      <c r="G262">
        <v>5</v>
      </c>
      <c r="H262">
        <v>6</v>
      </c>
      <c r="I262" t="s">
        <v>72</v>
      </c>
      <c r="J262">
        <v>6</v>
      </c>
      <c r="P262" t="s">
        <v>450</v>
      </c>
      <c r="Q262">
        <v>-0.57679999999999998</v>
      </c>
      <c r="R262">
        <v>-1.1329</v>
      </c>
    </row>
    <row r="263" spans="1:18" x14ac:dyDescent="0.3">
      <c r="A263" t="s">
        <v>2733</v>
      </c>
      <c r="B263">
        <v>0</v>
      </c>
      <c r="C263">
        <v>0</v>
      </c>
      <c r="D263">
        <v>-95.7</v>
      </c>
      <c r="E263">
        <v>0.15858729199999999</v>
      </c>
      <c r="F263">
        <v>10</v>
      </c>
      <c r="G263">
        <v>0</v>
      </c>
      <c r="H263">
        <v>6</v>
      </c>
      <c r="I263" t="s">
        <v>72</v>
      </c>
      <c r="J263">
        <v>6</v>
      </c>
      <c r="P263" t="s">
        <v>453</v>
      </c>
      <c r="Q263">
        <v>-0.58113999999999999</v>
      </c>
      <c r="R263">
        <v>0.91295000000000004</v>
      </c>
    </row>
    <row r="264" spans="1:18" x14ac:dyDescent="0.3">
      <c r="A264" t="s">
        <v>424</v>
      </c>
      <c r="B264">
        <v>0</v>
      </c>
      <c r="C264">
        <v>0</v>
      </c>
      <c r="D264">
        <v>-95.65</v>
      </c>
      <c r="E264">
        <v>8.2654915150000008</v>
      </c>
      <c r="F264">
        <v>10</v>
      </c>
      <c r="G264">
        <v>8</v>
      </c>
      <c r="H264">
        <v>6</v>
      </c>
      <c r="I264" t="s">
        <v>72</v>
      </c>
      <c r="J264">
        <v>6</v>
      </c>
      <c r="P264" t="s">
        <v>172</v>
      </c>
      <c r="Q264">
        <v>-0.56903000000000004</v>
      </c>
      <c r="R264">
        <v>-0.24618999999999999</v>
      </c>
    </row>
    <row r="265" spans="1:18" x14ac:dyDescent="0.3">
      <c r="A265" t="s">
        <v>346</v>
      </c>
      <c r="B265">
        <v>0</v>
      </c>
      <c r="C265">
        <v>0</v>
      </c>
      <c r="D265">
        <v>-95.325000000000003</v>
      </c>
      <c r="E265">
        <v>8.3733465309999993</v>
      </c>
      <c r="F265">
        <v>10</v>
      </c>
      <c r="G265">
        <v>8</v>
      </c>
      <c r="H265">
        <v>6</v>
      </c>
      <c r="I265" t="s">
        <v>72</v>
      </c>
      <c r="J265">
        <v>6</v>
      </c>
      <c r="P265" t="s">
        <v>2733</v>
      </c>
      <c r="Q265">
        <v>-0.53300999999999998</v>
      </c>
      <c r="R265">
        <v>-1.9558</v>
      </c>
    </row>
    <row r="266" spans="1:18" x14ac:dyDescent="0.3">
      <c r="A266" t="s">
        <v>459</v>
      </c>
      <c r="B266">
        <v>0</v>
      </c>
      <c r="C266">
        <v>0</v>
      </c>
      <c r="D266">
        <v>-95.05</v>
      </c>
      <c r="E266">
        <v>11.65135905</v>
      </c>
      <c r="F266">
        <v>10</v>
      </c>
      <c r="G266">
        <v>12</v>
      </c>
      <c r="H266">
        <v>6</v>
      </c>
      <c r="I266" t="s">
        <v>72</v>
      </c>
      <c r="J266">
        <v>6</v>
      </c>
      <c r="P266" t="s">
        <v>424</v>
      </c>
      <c r="Q266">
        <v>-0.54393000000000002</v>
      </c>
      <c r="R266">
        <v>1.224</v>
      </c>
    </row>
    <row r="267" spans="1:18" x14ac:dyDescent="0.3">
      <c r="A267" t="s">
        <v>132</v>
      </c>
      <c r="B267">
        <v>0</v>
      </c>
      <c r="C267">
        <v>0</v>
      </c>
      <c r="D267">
        <v>-94.45</v>
      </c>
      <c r="E267">
        <v>5.9060327719999997</v>
      </c>
      <c r="F267">
        <v>9</v>
      </c>
      <c r="G267">
        <v>6</v>
      </c>
      <c r="H267">
        <v>6</v>
      </c>
      <c r="I267" t="s">
        <v>72</v>
      </c>
      <c r="J267">
        <v>6</v>
      </c>
      <c r="P267" t="s">
        <v>346</v>
      </c>
      <c r="Q267">
        <v>-0.53325999999999996</v>
      </c>
      <c r="R267">
        <v>1.2722</v>
      </c>
    </row>
    <row r="268" spans="1:18" x14ac:dyDescent="0.3">
      <c r="A268" t="s">
        <v>153</v>
      </c>
      <c r="B268">
        <v>0</v>
      </c>
      <c r="C268">
        <v>0</v>
      </c>
      <c r="D268">
        <v>-94.25</v>
      </c>
      <c r="E268">
        <v>4.5318202300000001</v>
      </c>
      <c r="F268">
        <v>9</v>
      </c>
      <c r="G268">
        <v>5</v>
      </c>
      <c r="H268">
        <v>6</v>
      </c>
      <c r="I268" t="s">
        <v>72</v>
      </c>
      <c r="J268">
        <v>6</v>
      </c>
      <c r="P268" t="s">
        <v>459</v>
      </c>
      <c r="Q268">
        <v>-0.52917000000000003</v>
      </c>
      <c r="R268">
        <v>2.5627</v>
      </c>
    </row>
    <row r="269" spans="1:18" x14ac:dyDescent="0.3">
      <c r="A269" t="s">
        <v>362</v>
      </c>
      <c r="B269">
        <v>0</v>
      </c>
      <c r="C269">
        <v>0</v>
      </c>
      <c r="D269">
        <v>-93.737500000000011</v>
      </c>
      <c r="E269">
        <v>2.3244389860000001</v>
      </c>
      <c r="F269">
        <v>9</v>
      </c>
      <c r="G269">
        <v>2</v>
      </c>
      <c r="H269">
        <v>6</v>
      </c>
      <c r="I269" t="s">
        <v>72</v>
      </c>
      <c r="J269">
        <v>6</v>
      </c>
      <c r="P269" t="s">
        <v>132</v>
      </c>
      <c r="Q269">
        <v>-0.50024000000000002</v>
      </c>
      <c r="R269">
        <v>0.32071</v>
      </c>
    </row>
    <row r="270" spans="1:18" x14ac:dyDescent="0.3">
      <c r="A270" t="s">
        <v>2520</v>
      </c>
      <c r="B270">
        <v>0</v>
      </c>
      <c r="C270">
        <v>0</v>
      </c>
      <c r="D270">
        <v>-93.273727750000006</v>
      </c>
      <c r="E270">
        <v>5.4847364299999999</v>
      </c>
      <c r="F270">
        <v>9</v>
      </c>
      <c r="G270">
        <v>5</v>
      </c>
      <c r="H270">
        <v>6</v>
      </c>
      <c r="I270" t="s">
        <v>72</v>
      </c>
      <c r="J270">
        <v>6</v>
      </c>
      <c r="P270" t="s">
        <v>153</v>
      </c>
      <c r="Q270">
        <v>-0.49143999999999999</v>
      </c>
      <c r="R270">
        <v>-0.2145</v>
      </c>
    </row>
    <row r="271" spans="1:18" x14ac:dyDescent="0.3">
      <c r="A271" t="s">
        <v>593</v>
      </c>
      <c r="B271">
        <v>0</v>
      </c>
      <c r="C271">
        <v>0</v>
      </c>
      <c r="D271">
        <v>-91.4375</v>
      </c>
      <c r="E271">
        <v>8.350550557</v>
      </c>
      <c r="F271">
        <v>9</v>
      </c>
      <c r="G271">
        <v>8</v>
      </c>
      <c r="H271">
        <v>6</v>
      </c>
      <c r="I271" t="s">
        <v>72</v>
      </c>
      <c r="J271">
        <v>6</v>
      </c>
      <c r="P271" t="s">
        <v>362</v>
      </c>
      <c r="Q271">
        <v>-0.47092000000000001</v>
      </c>
      <c r="R271">
        <v>-1.0707</v>
      </c>
    </row>
    <row r="272" spans="1:18" x14ac:dyDescent="0.3">
      <c r="A272" t="s">
        <v>401</v>
      </c>
      <c r="B272">
        <v>0</v>
      </c>
      <c r="C272">
        <v>0</v>
      </c>
      <c r="D272">
        <v>-89.437500000000014</v>
      </c>
      <c r="E272">
        <v>-1.2788375329999999</v>
      </c>
      <c r="F272">
        <v>9</v>
      </c>
      <c r="G272">
        <v>-1</v>
      </c>
      <c r="H272">
        <v>6</v>
      </c>
      <c r="I272" t="s">
        <v>72</v>
      </c>
      <c r="J272">
        <v>6</v>
      </c>
      <c r="P272" t="s">
        <v>2520</v>
      </c>
      <c r="Q272">
        <v>-0.46034999999999998</v>
      </c>
      <c r="R272">
        <v>0.17698</v>
      </c>
    </row>
    <row r="273" spans="1:18" x14ac:dyDescent="0.3">
      <c r="A273" t="s">
        <v>2058</v>
      </c>
      <c r="B273">
        <v>0</v>
      </c>
      <c r="C273">
        <v>0</v>
      </c>
      <c r="D273">
        <v>-89.148551999999995</v>
      </c>
      <c r="E273">
        <v>8.8688167789999994</v>
      </c>
      <c r="F273">
        <v>9</v>
      </c>
      <c r="G273">
        <v>9</v>
      </c>
      <c r="H273">
        <v>6</v>
      </c>
      <c r="I273" t="s">
        <v>72</v>
      </c>
      <c r="J273">
        <v>6</v>
      </c>
      <c r="P273" t="s">
        <v>593</v>
      </c>
      <c r="Q273">
        <v>-0.40355000000000002</v>
      </c>
      <c r="R273">
        <v>1.3343</v>
      </c>
    </row>
    <row r="274" spans="1:18" x14ac:dyDescent="0.3">
      <c r="A274" t="s">
        <v>296</v>
      </c>
      <c r="B274">
        <v>0</v>
      </c>
      <c r="C274">
        <v>0</v>
      </c>
      <c r="D274">
        <v>-88.962499999999991</v>
      </c>
      <c r="E274">
        <v>3.7713615389999999</v>
      </c>
      <c r="F274">
        <v>9</v>
      </c>
      <c r="G274">
        <v>4</v>
      </c>
      <c r="H274">
        <v>6</v>
      </c>
      <c r="I274" t="s">
        <v>72</v>
      </c>
      <c r="J274">
        <v>6</v>
      </c>
      <c r="P274" t="s">
        <v>401</v>
      </c>
      <c r="Q274">
        <v>-0.32189000000000001</v>
      </c>
      <c r="R274">
        <v>-2.4051999999999998</v>
      </c>
    </row>
    <row r="275" spans="1:18" x14ac:dyDescent="0.3">
      <c r="A275" t="s">
        <v>437</v>
      </c>
      <c r="B275">
        <v>0</v>
      </c>
      <c r="C275">
        <v>0</v>
      </c>
      <c r="D275">
        <v>-88.9375</v>
      </c>
      <c r="E275">
        <v>-0.57820553799999996</v>
      </c>
      <c r="F275">
        <v>9</v>
      </c>
      <c r="G275">
        <v>-1</v>
      </c>
      <c r="H275">
        <v>6</v>
      </c>
      <c r="I275" t="s">
        <v>72</v>
      </c>
      <c r="J275">
        <v>6</v>
      </c>
      <c r="P275" t="s">
        <v>2058</v>
      </c>
      <c r="Q275">
        <v>-0.32801000000000002</v>
      </c>
      <c r="R275">
        <v>1.5791999999999999</v>
      </c>
    </row>
    <row r="276" spans="1:18" x14ac:dyDescent="0.3">
      <c r="A276" t="s">
        <v>2565</v>
      </c>
      <c r="B276">
        <v>0</v>
      </c>
      <c r="C276">
        <v>0</v>
      </c>
      <c r="D276">
        <v>-88.731828500000006</v>
      </c>
      <c r="E276">
        <v>8.9286055609999995</v>
      </c>
      <c r="F276">
        <v>9</v>
      </c>
      <c r="G276">
        <v>9</v>
      </c>
      <c r="H276">
        <v>6</v>
      </c>
      <c r="I276" t="s">
        <v>72</v>
      </c>
      <c r="J276">
        <v>6</v>
      </c>
      <c r="P276" t="s">
        <v>296</v>
      </c>
      <c r="Q276">
        <v>-0.31389</v>
      </c>
      <c r="R276">
        <v>-0.41620000000000001</v>
      </c>
    </row>
    <row r="277" spans="1:18" x14ac:dyDescent="0.3">
      <c r="A277" t="s">
        <v>2519</v>
      </c>
      <c r="B277">
        <v>0</v>
      </c>
      <c r="C277">
        <v>0</v>
      </c>
      <c r="D277">
        <v>-88.105640875000006</v>
      </c>
      <c r="E277">
        <v>5.3447673250000003</v>
      </c>
      <c r="F277">
        <v>9</v>
      </c>
      <c r="G277">
        <v>5</v>
      </c>
      <c r="H277">
        <v>6</v>
      </c>
      <c r="I277" t="s">
        <v>72</v>
      </c>
      <c r="J277">
        <v>6</v>
      </c>
      <c r="P277" t="s">
        <v>437</v>
      </c>
      <c r="Q277">
        <v>-0.30630000000000002</v>
      </c>
      <c r="R277">
        <v>-2.1213000000000002</v>
      </c>
    </row>
    <row r="278" spans="1:18" x14ac:dyDescent="0.3">
      <c r="A278" t="s">
        <v>413</v>
      </c>
      <c r="B278">
        <v>0</v>
      </c>
      <c r="C278">
        <v>0</v>
      </c>
      <c r="D278">
        <v>-87.475000000000009</v>
      </c>
      <c r="E278">
        <v>5.3730797150000003</v>
      </c>
      <c r="F278">
        <v>9</v>
      </c>
      <c r="G278">
        <v>5</v>
      </c>
      <c r="H278">
        <v>6</v>
      </c>
      <c r="I278" t="s">
        <v>72</v>
      </c>
      <c r="J278">
        <v>6</v>
      </c>
      <c r="P278" t="s">
        <v>2565</v>
      </c>
      <c r="Q278">
        <v>-0.31419999999999998</v>
      </c>
      <c r="R278">
        <v>1.6103000000000001</v>
      </c>
    </row>
    <row r="279" spans="1:18" x14ac:dyDescent="0.3">
      <c r="A279" t="s">
        <v>396</v>
      </c>
      <c r="B279">
        <v>0</v>
      </c>
      <c r="C279">
        <v>0</v>
      </c>
      <c r="D279">
        <v>-86.762500000000003</v>
      </c>
      <c r="E279">
        <v>1.274868372</v>
      </c>
      <c r="F279">
        <v>9</v>
      </c>
      <c r="G279">
        <v>1</v>
      </c>
      <c r="H279">
        <v>6</v>
      </c>
      <c r="I279" t="s">
        <v>72</v>
      </c>
      <c r="J279">
        <v>6</v>
      </c>
      <c r="P279" t="s">
        <v>2519</v>
      </c>
      <c r="Q279">
        <v>-0.28775000000000001</v>
      </c>
      <c r="R279">
        <v>0.21640999999999999</v>
      </c>
    </row>
    <row r="280" spans="1:18" x14ac:dyDescent="0.3">
      <c r="A280" t="s">
        <v>2060</v>
      </c>
      <c r="B280">
        <v>0</v>
      </c>
      <c r="C280">
        <v>0</v>
      </c>
      <c r="D280">
        <v>-86.302790000000002</v>
      </c>
      <c r="E280">
        <v>6.9332123399999999</v>
      </c>
      <c r="F280">
        <v>9</v>
      </c>
      <c r="G280">
        <v>7</v>
      </c>
      <c r="H280">
        <v>6</v>
      </c>
      <c r="I280" t="s">
        <v>72</v>
      </c>
      <c r="J280">
        <v>6</v>
      </c>
      <c r="P280" t="s">
        <v>413</v>
      </c>
      <c r="Q280">
        <v>-0.26676</v>
      </c>
      <c r="R280">
        <v>0.23902000000000001</v>
      </c>
    </row>
    <row r="281" spans="1:18" x14ac:dyDescent="0.3">
      <c r="A281" t="s">
        <v>2735</v>
      </c>
      <c r="B281">
        <v>0</v>
      </c>
      <c r="C281">
        <v>0</v>
      </c>
      <c r="D281">
        <v>-85.524999999999991</v>
      </c>
      <c r="E281">
        <v>1.4389842660000001</v>
      </c>
      <c r="F281">
        <v>9</v>
      </c>
      <c r="G281">
        <v>1</v>
      </c>
      <c r="H281">
        <v>6</v>
      </c>
      <c r="I281" t="s">
        <v>72</v>
      </c>
      <c r="J281">
        <v>6</v>
      </c>
      <c r="P281" t="s">
        <v>396</v>
      </c>
      <c r="Q281">
        <v>-0.23663000000000001</v>
      </c>
      <c r="R281">
        <v>-1.355</v>
      </c>
    </row>
    <row r="282" spans="1:18" x14ac:dyDescent="0.3">
      <c r="A282" t="s">
        <v>160</v>
      </c>
      <c r="B282">
        <v>0</v>
      </c>
      <c r="C282">
        <v>0</v>
      </c>
      <c r="D282">
        <v>-84.987499999999997</v>
      </c>
      <c r="E282">
        <v>1.718314814</v>
      </c>
      <c r="F282">
        <v>8</v>
      </c>
      <c r="G282">
        <v>2</v>
      </c>
      <c r="H282">
        <v>6</v>
      </c>
      <c r="I282" t="s">
        <v>72</v>
      </c>
      <c r="J282">
        <v>6</v>
      </c>
      <c r="P282" t="s">
        <v>2060</v>
      </c>
      <c r="Q282">
        <v>-0.23008000000000001</v>
      </c>
      <c r="R282">
        <v>0.87217999999999996</v>
      </c>
    </row>
    <row r="283" spans="1:18" x14ac:dyDescent="0.3">
      <c r="A283" t="s">
        <v>456</v>
      </c>
      <c r="B283">
        <v>0</v>
      </c>
      <c r="C283">
        <v>0</v>
      </c>
      <c r="D283">
        <v>-84.987499999999997</v>
      </c>
      <c r="E283">
        <v>9.5737913060000004</v>
      </c>
      <c r="F283">
        <v>8</v>
      </c>
      <c r="G283">
        <v>10</v>
      </c>
      <c r="H283">
        <v>6</v>
      </c>
      <c r="I283" t="s">
        <v>72</v>
      </c>
      <c r="J283">
        <v>6</v>
      </c>
      <c r="P283" t="s">
        <v>2735</v>
      </c>
      <c r="Q283">
        <v>-0.19561000000000001</v>
      </c>
      <c r="R283">
        <v>-1.2681</v>
      </c>
    </row>
    <row r="284" spans="1:18" x14ac:dyDescent="0.3">
      <c r="A284" t="s">
        <v>576</v>
      </c>
      <c r="B284">
        <v>0</v>
      </c>
      <c r="C284">
        <v>0</v>
      </c>
      <c r="D284">
        <v>-82.325000000000003</v>
      </c>
      <c r="E284">
        <v>2.654092157</v>
      </c>
      <c r="F284">
        <v>8</v>
      </c>
      <c r="G284">
        <v>3</v>
      </c>
      <c r="H284">
        <v>6</v>
      </c>
      <c r="I284" t="s">
        <v>72</v>
      </c>
      <c r="J284">
        <v>6</v>
      </c>
      <c r="P284" t="s">
        <v>160</v>
      </c>
      <c r="Q284">
        <v>-0.17810999999999999</v>
      </c>
      <c r="R284">
        <v>-1.1487000000000001</v>
      </c>
    </row>
    <row r="285" spans="1:18" x14ac:dyDescent="0.3">
      <c r="A285" t="s">
        <v>2134</v>
      </c>
      <c r="B285">
        <v>0</v>
      </c>
      <c r="C285">
        <v>0</v>
      </c>
      <c r="D285">
        <v>-77.566322999999997</v>
      </c>
      <c r="E285">
        <v>5.0227308099999997</v>
      </c>
      <c r="F285">
        <v>8</v>
      </c>
      <c r="G285">
        <v>5</v>
      </c>
      <c r="H285">
        <v>6</v>
      </c>
      <c r="I285" t="s">
        <v>72</v>
      </c>
      <c r="J285">
        <v>6</v>
      </c>
      <c r="P285" t="s">
        <v>456</v>
      </c>
      <c r="Q285">
        <v>-0.19031000000000001</v>
      </c>
      <c r="R285">
        <v>1.9316</v>
      </c>
    </row>
    <row r="286" spans="1:18" x14ac:dyDescent="0.3">
      <c r="A286" t="s">
        <v>340</v>
      </c>
      <c r="B286">
        <v>0</v>
      </c>
      <c r="C286">
        <v>0</v>
      </c>
      <c r="D286">
        <v>-76.987499999999997</v>
      </c>
      <c r="E286">
        <v>6.0646723439999999</v>
      </c>
      <c r="F286">
        <v>8</v>
      </c>
      <c r="G286">
        <v>6</v>
      </c>
      <c r="H286">
        <v>6</v>
      </c>
      <c r="I286" t="s">
        <v>72</v>
      </c>
      <c r="J286">
        <v>6</v>
      </c>
      <c r="P286" t="s">
        <v>576</v>
      </c>
      <c r="Q286">
        <v>-9.0759000000000006E-2</v>
      </c>
      <c r="R286">
        <v>-0.73319000000000001</v>
      </c>
    </row>
    <row r="287" spans="1:18" x14ac:dyDescent="0.3">
      <c r="A287" t="s">
        <v>445</v>
      </c>
      <c r="B287">
        <v>0</v>
      </c>
      <c r="C287">
        <v>0</v>
      </c>
      <c r="D287">
        <v>-75.412500000000009</v>
      </c>
      <c r="E287">
        <v>-2.3141301080000001</v>
      </c>
      <c r="F287">
        <v>8</v>
      </c>
      <c r="G287">
        <v>-2</v>
      </c>
      <c r="H287">
        <v>6</v>
      </c>
      <c r="I287" t="s">
        <v>72</v>
      </c>
      <c r="J287">
        <v>6</v>
      </c>
      <c r="P287" t="s">
        <v>2134</v>
      </c>
      <c r="Q287">
        <v>6.4292000000000002E-2</v>
      </c>
      <c r="R287">
        <v>0.28245999999999999</v>
      </c>
    </row>
    <row r="288" spans="1:18" x14ac:dyDescent="0.3">
      <c r="A288" t="s">
        <v>2157</v>
      </c>
      <c r="B288">
        <v>0</v>
      </c>
      <c r="C288">
        <v>0</v>
      </c>
      <c r="D288">
        <v>-74.674144499999997</v>
      </c>
      <c r="E288">
        <v>6.4441190510000004</v>
      </c>
      <c r="F288">
        <v>7</v>
      </c>
      <c r="G288">
        <v>6</v>
      </c>
      <c r="H288">
        <v>6</v>
      </c>
      <c r="I288" t="s">
        <v>72</v>
      </c>
      <c r="J288">
        <v>6</v>
      </c>
      <c r="P288" t="s">
        <v>340</v>
      </c>
      <c r="Q288">
        <v>8.1981999999999999E-2</v>
      </c>
      <c r="R288">
        <v>0.7016</v>
      </c>
    </row>
    <row r="289" spans="1:18" x14ac:dyDescent="0.3">
      <c r="A289" t="s">
        <v>432</v>
      </c>
      <c r="B289">
        <v>0</v>
      </c>
      <c r="C289">
        <v>0</v>
      </c>
      <c r="D289">
        <v>-74.3125</v>
      </c>
      <c r="E289">
        <v>1.2550141539999999</v>
      </c>
      <c r="F289">
        <v>7</v>
      </c>
      <c r="G289">
        <v>1</v>
      </c>
      <c r="H289">
        <v>6</v>
      </c>
      <c r="I289" t="s">
        <v>72</v>
      </c>
      <c r="J289">
        <v>6</v>
      </c>
      <c r="P289" t="s">
        <v>445</v>
      </c>
      <c r="Q289">
        <v>0.14752000000000001</v>
      </c>
      <c r="R289">
        <v>-2.5552000000000001</v>
      </c>
    </row>
    <row r="290" spans="1:18" x14ac:dyDescent="0.3">
      <c r="A290" t="s">
        <v>2545</v>
      </c>
      <c r="B290">
        <v>0</v>
      </c>
      <c r="C290">
        <v>0</v>
      </c>
      <c r="D290">
        <v>-73.840697500000005</v>
      </c>
      <c r="E290">
        <v>6.6736759040000004</v>
      </c>
      <c r="F290">
        <v>7</v>
      </c>
      <c r="G290">
        <v>7</v>
      </c>
      <c r="H290">
        <v>6</v>
      </c>
      <c r="I290" t="s">
        <v>72</v>
      </c>
      <c r="J290">
        <v>6</v>
      </c>
      <c r="P290" t="s">
        <v>2157</v>
      </c>
      <c r="Q290">
        <v>0.15856000000000001</v>
      </c>
      <c r="R290">
        <v>0.89261000000000001</v>
      </c>
    </row>
    <row r="291" spans="1:18" x14ac:dyDescent="0.3">
      <c r="A291" t="s">
        <v>2496</v>
      </c>
      <c r="B291">
        <v>0</v>
      </c>
      <c r="C291">
        <v>0</v>
      </c>
      <c r="D291">
        <v>-73.014245750000001</v>
      </c>
      <c r="E291">
        <v>6.1231649890000002</v>
      </c>
      <c r="F291">
        <v>7</v>
      </c>
      <c r="G291">
        <v>6</v>
      </c>
      <c r="H291">
        <v>6</v>
      </c>
      <c r="I291" t="s">
        <v>72</v>
      </c>
      <c r="J291">
        <v>6</v>
      </c>
      <c r="P291" t="s">
        <v>432</v>
      </c>
      <c r="Q291">
        <v>0.17867</v>
      </c>
      <c r="R291">
        <v>-1.1355999999999999</v>
      </c>
    </row>
    <row r="292" spans="1:18" x14ac:dyDescent="0.3">
      <c r="A292" t="s">
        <v>461</v>
      </c>
      <c r="B292">
        <v>0</v>
      </c>
      <c r="C292">
        <v>0</v>
      </c>
      <c r="D292">
        <v>-71.212500000000006</v>
      </c>
      <c r="E292">
        <v>4.6128611279999996</v>
      </c>
      <c r="F292">
        <v>7</v>
      </c>
      <c r="G292">
        <v>5</v>
      </c>
      <c r="H292">
        <v>6</v>
      </c>
      <c r="I292" t="s">
        <v>72</v>
      </c>
      <c r="J292">
        <v>6</v>
      </c>
      <c r="P292" t="s">
        <v>2545</v>
      </c>
      <c r="Q292">
        <v>0.186</v>
      </c>
      <c r="R292">
        <v>0.99782999999999999</v>
      </c>
    </row>
    <row r="293" spans="1:18" x14ac:dyDescent="0.3">
      <c r="A293" t="s">
        <v>2479</v>
      </c>
      <c r="B293">
        <v>0</v>
      </c>
      <c r="C293">
        <v>0</v>
      </c>
      <c r="D293">
        <v>-71.129618000000008</v>
      </c>
      <c r="E293">
        <v>8.7866986669999996</v>
      </c>
      <c r="F293">
        <v>7</v>
      </c>
      <c r="G293">
        <v>9</v>
      </c>
      <c r="H293">
        <v>6</v>
      </c>
      <c r="I293" t="s">
        <v>72</v>
      </c>
      <c r="J293">
        <v>6</v>
      </c>
      <c r="P293" t="s">
        <v>2496</v>
      </c>
      <c r="Q293">
        <v>0.21442</v>
      </c>
      <c r="R293">
        <v>0.79705000000000004</v>
      </c>
    </row>
    <row r="294" spans="1:18" x14ac:dyDescent="0.3">
      <c r="A294" t="s">
        <v>590</v>
      </c>
      <c r="B294">
        <v>0</v>
      </c>
      <c r="C294">
        <v>0</v>
      </c>
      <c r="D294">
        <v>-69.975000000000009</v>
      </c>
      <c r="E294">
        <v>5.6833118059999999</v>
      </c>
      <c r="F294">
        <v>7</v>
      </c>
      <c r="G294">
        <v>6</v>
      </c>
      <c r="H294">
        <v>6</v>
      </c>
      <c r="I294" t="s">
        <v>72</v>
      </c>
      <c r="J294">
        <v>6</v>
      </c>
      <c r="P294" t="s">
        <v>461</v>
      </c>
      <c r="Q294">
        <v>0.27685999999999999</v>
      </c>
      <c r="R294">
        <v>0.23769999999999999</v>
      </c>
    </row>
    <row r="295" spans="1:18" x14ac:dyDescent="0.3">
      <c r="A295" t="s">
        <v>337</v>
      </c>
      <c r="B295">
        <v>0</v>
      </c>
      <c r="C295">
        <v>0</v>
      </c>
      <c r="D295">
        <v>-68.2</v>
      </c>
      <c r="E295">
        <v>4.2251110140000003</v>
      </c>
      <c r="F295">
        <v>7</v>
      </c>
      <c r="G295">
        <v>4</v>
      </c>
      <c r="H295">
        <v>6</v>
      </c>
      <c r="I295" t="s">
        <v>72</v>
      </c>
      <c r="J295">
        <v>6</v>
      </c>
      <c r="P295" t="s">
        <v>2479</v>
      </c>
      <c r="Q295">
        <v>0.27315</v>
      </c>
      <c r="R295">
        <v>1.8758999999999999</v>
      </c>
    </row>
    <row r="296" spans="1:18" x14ac:dyDescent="0.3">
      <c r="A296" t="s">
        <v>333</v>
      </c>
      <c r="B296">
        <v>0</v>
      </c>
      <c r="C296">
        <v>0</v>
      </c>
      <c r="D296">
        <v>-68.0625</v>
      </c>
      <c r="E296">
        <v>2.1809722819999999</v>
      </c>
      <c r="F296">
        <v>7</v>
      </c>
      <c r="G296">
        <v>2</v>
      </c>
      <c r="H296">
        <v>6</v>
      </c>
      <c r="I296" t="s">
        <v>72</v>
      </c>
      <c r="J296">
        <v>6</v>
      </c>
      <c r="P296" t="s">
        <v>590</v>
      </c>
      <c r="Q296">
        <v>0.31647999999999998</v>
      </c>
      <c r="R296">
        <v>0.68003000000000002</v>
      </c>
    </row>
    <row r="297" spans="1:18" x14ac:dyDescent="0.3">
      <c r="A297" t="s">
        <v>247</v>
      </c>
      <c r="B297">
        <v>0</v>
      </c>
      <c r="C297">
        <v>0</v>
      </c>
      <c r="D297">
        <v>-66.087500000000006</v>
      </c>
      <c r="E297">
        <v>3.9660569749999999</v>
      </c>
      <c r="F297">
        <v>7</v>
      </c>
      <c r="G297">
        <v>4</v>
      </c>
      <c r="H297">
        <v>6</v>
      </c>
      <c r="I297" t="s">
        <v>72</v>
      </c>
      <c r="J297">
        <v>6</v>
      </c>
      <c r="P297" t="s">
        <v>337</v>
      </c>
      <c r="Q297">
        <v>0.37795000000000001</v>
      </c>
      <c r="R297">
        <v>0.14063000000000001</v>
      </c>
    </row>
    <row r="298" spans="1:18" x14ac:dyDescent="0.3">
      <c r="A298" t="s">
        <v>2125</v>
      </c>
      <c r="B298">
        <v>0</v>
      </c>
      <c r="C298">
        <v>0</v>
      </c>
      <c r="D298">
        <v>-64.74261525</v>
      </c>
      <c r="E298">
        <v>4.5723211050000003</v>
      </c>
      <c r="F298">
        <v>6</v>
      </c>
      <c r="G298">
        <v>5</v>
      </c>
      <c r="H298">
        <v>6</v>
      </c>
      <c r="I298" t="s">
        <v>72</v>
      </c>
      <c r="J298">
        <v>6</v>
      </c>
      <c r="P298" t="s">
        <v>333</v>
      </c>
      <c r="Q298">
        <v>0.38571</v>
      </c>
      <c r="R298">
        <v>-0.65842999999999996</v>
      </c>
    </row>
    <row r="299" spans="1:18" x14ac:dyDescent="0.3">
      <c r="A299" t="s">
        <v>2131</v>
      </c>
      <c r="B299">
        <v>0</v>
      </c>
      <c r="C299">
        <v>0</v>
      </c>
      <c r="D299">
        <v>-64.431995499999999</v>
      </c>
      <c r="E299">
        <v>5.0836579520000003</v>
      </c>
      <c r="F299">
        <v>6</v>
      </c>
      <c r="G299">
        <v>5</v>
      </c>
      <c r="H299">
        <v>6</v>
      </c>
      <c r="I299" t="s">
        <v>72</v>
      </c>
      <c r="J299">
        <v>6</v>
      </c>
      <c r="P299" t="s">
        <v>247</v>
      </c>
      <c r="Q299">
        <v>0.44880999999999999</v>
      </c>
      <c r="R299">
        <v>7.7594999999999997E-2</v>
      </c>
    </row>
    <row r="300" spans="1:18" x14ac:dyDescent="0.3">
      <c r="A300" t="s">
        <v>2151</v>
      </c>
      <c r="B300">
        <v>0</v>
      </c>
      <c r="C300">
        <v>0</v>
      </c>
      <c r="D300">
        <v>-60.296180249999999</v>
      </c>
      <c r="E300">
        <v>6.308539991</v>
      </c>
      <c r="F300">
        <v>6</v>
      </c>
      <c r="G300">
        <v>6</v>
      </c>
      <c r="H300">
        <v>6</v>
      </c>
      <c r="I300" t="s">
        <v>72</v>
      </c>
      <c r="J300">
        <v>6</v>
      </c>
      <c r="P300" t="s">
        <v>2125</v>
      </c>
      <c r="Q300">
        <v>0.49273</v>
      </c>
      <c r="R300">
        <v>0.33987000000000001</v>
      </c>
    </row>
    <row r="301" spans="1:18" x14ac:dyDescent="0.3">
      <c r="A301" t="s">
        <v>232</v>
      </c>
      <c r="B301">
        <v>0</v>
      </c>
      <c r="C301">
        <v>0</v>
      </c>
      <c r="D301">
        <v>-57.487499999999997</v>
      </c>
      <c r="E301">
        <v>5.6515635069999997</v>
      </c>
      <c r="F301">
        <v>6</v>
      </c>
      <c r="G301">
        <v>6</v>
      </c>
      <c r="H301">
        <v>6</v>
      </c>
      <c r="I301" t="s">
        <v>72</v>
      </c>
      <c r="J301">
        <v>6</v>
      </c>
      <c r="P301" t="s">
        <v>2131</v>
      </c>
      <c r="Q301">
        <v>0.50229999999999997</v>
      </c>
      <c r="R301">
        <v>0.54605000000000004</v>
      </c>
    </row>
    <row r="302" spans="1:18" x14ac:dyDescent="0.3">
      <c r="A302" t="s">
        <v>2485</v>
      </c>
      <c r="B302">
        <v>0</v>
      </c>
      <c r="C302">
        <v>0</v>
      </c>
      <c r="D302">
        <v>-53.598146249999999</v>
      </c>
      <c r="E302">
        <v>4.143578626</v>
      </c>
      <c r="F302">
        <v>5</v>
      </c>
      <c r="G302">
        <v>4</v>
      </c>
      <c r="H302">
        <v>6</v>
      </c>
      <c r="I302" t="s">
        <v>72</v>
      </c>
      <c r="J302">
        <v>6</v>
      </c>
      <c r="P302" t="s">
        <v>2151</v>
      </c>
      <c r="Q302">
        <v>0.63834999999999997</v>
      </c>
      <c r="R302">
        <v>1.1017999999999999</v>
      </c>
    </row>
    <row r="303" spans="1:18" x14ac:dyDescent="0.3">
      <c r="A303" t="s">
        <v>602</v>
      </c>
      <c r="B303">
        <v>0</v>
      </c>
      <c r="C303">
        <v>0</v>
      </c>
      <c r="D303">
        <v>-51.9375</v>
      </c>
      <c r="E303">
        <v>3.3433716809999998</v>
      </c>
      <c r="F303">
        <v>5</v>
      </c>
      <c r="G303">
        <v>3</v>
      </c>
      <c r="H303">
        <v>6</v>
      </c>
      <c r="I303" t="s">
        <v>72</v>
      </c>
      <c r="J303">
        <v>6</v>
      </c>
      <c r="P303" t="s">
        <v>232</v>
      </c>
      <c r="Q303">
        <v>0.73304999999999998</v>
      </c>
      <c r="R303">
        <v>0.89546999999999999</v>
      </c>
    </row>
    <row r="304" spans="1:18" x14ac:dyDescent="0.3">
      <c r="A304" t="s">
        <v>2554</v>
      </c>
      <c r="B304">
        <v>0</v>
      </c>
      <c r="C304">
        <v>0</v>
      </c>
      <c r="D304">
        <v>-51.889034500000001</v>
      </c>
      <c r="E304">
        <v>4.3369842680000001</v>
      </c>
      <c r="F304">
        <v>5</v>
      </c>
      <c r="G304">
        <v>4</v>
      </c>
      <c r="H304">
        <v>6</v>
      </c>
      <c r="I304" t="s">
        <v>72</v>
      </c>
      <c r="J304">
        <v>6</v>
      </c>
      <c r="P304" t="s">
        <v>2485</v>
      </c>
      <c r="Q304">
        <v>0.86512999999999995</v>
      </c>
      <c r="R304">
        <v>0.37513000000000002</v>
      </c>
    </row>
    <row r="305" spans="1:18" x14ac:dyDescent="0.3">
      <c r="A305" t="s">
        <v>2514</v>
      </c>
      <c r="B305">
        <v>0</v>
      </c>
      <c r="C305">
        <v>0</v>
      </c>
      <c r="D305">
        <v>-39.336625500000004</v>
      </c>
      <c r="E305">
        <v>2.1530488000000001</v>
      </c>
      <c r="F305">
        <v>4</v>
      </c>
      <c r="G305">
        <v>2</v>
      </c>
      <c r="H305">
        <v>6</v>
      </c>
      <c r="I305" t="s">
        <v>72</v>
      </c>
      <c r="J305">
        <v>6</v>
      </c>
      <c r="P305" t="s">
        <v>602</v>
      </c>
      <c r="Q305">
        <v>0.92176000000000002</v>
      </c>
      <c r="R305">
        <v>9.1651999999999997E-2</v>
      </c>
    </row>
    <row r="306" spans="1:18" x14ac:dyDescent="0.3">
      <c r="A306" t="s">
        <v>2062</v>
      </c>
      <c r="B306">
        <v>0</v>
      </c>
      <c r="C306">
        <v>0</v>
      </c>
      <c r="D306">
        <v>-37.864625000000004</v>
      </c>
      <c r="E306">
        <v>4.74909654</v>
      </c>
      <c r="F306">
        <v>4</v>
      </c>
      <c r="G306">
        <v>5</v>
      </c>
      <c r="H306">
        <v>6</v>
      </c>
      <c r="I306" t="s">
        <v>72</v>
      </c>
      <c r="J306">
        <v>6</v>
      </c>
      <c r="P306" t="s">
        <v>2554</v>
      </c>
      <c r="Q306">
        <v>0.92183000000000004</v>
      </c>
      <c r="R306">
        <v>0.48215999999999998</v>
      </c>
    </row>
    <row r="307" spans="1:18" x14ac:dyDescent="0.3">
      <c r="A307" t="s">
        <v>356</v>
      </c>
      <c r="B307">
        <v>0</v>
      </c>
      <c r="C307">
        <v>0</v>
      </c>
      <c r="D307">
        <v>-29.85</v>
      </c>
      <c r="E307">
        <v>4.448716224</v>
      </c>
      <c r="F307">
        <v>3</v>
      </c>
      <c r="G307">
        <v>4</v>
      </c>
      <c r="H307">
        <v>6</v>
      </c>
      <c r="I307" t="s">
        <v>72</v>
      </c>
      <c r="J307">
        <v>6</v>
      </c>
      <c r="P307" t="s">
        <v>2514</v>
      </c>
      <c r="Q307">
        <v>1.3439000000000001</v>
      </c>
      <c r="R307">
        <v>-0.14515</v>
      </c>
    </row>
    <row r="308" spans="1:18" x14ac:dyDescent="0.3">
      <c r="P308" t="s">
        <v>2062</v>
      </c>
      <c r="Q308">
        <v>1.389</v>
      </c>
      <c r="R308">
        <v>0.89970000000000006</v>
      </c>
    </row>
    <row r="309" spans="1:18" x14ac:dyDescent="0.3">
      <c r="P309" t="s">
        <v>356</v>
      </c>
      <c r="Q309">
        <v>1.6568000000000001</v>
      </c>
      <c r="R309">
        <v>0.92817000000000005</v>
      </c>
    </row>
  </sheetData>
  <autoFilter ref="A1:J307" xr:uid="{00000000-0009-0000-0000-000006000000}">
    <filterColumn colId="9">
      <filters>
        <filter val="0"/>
        <filter val="1"/>
        <filter val="2"/>
        <filter val="6"/>
      </filters>
    </filterColumn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58"/>
  <sheetViews>
    <sheetView workbookViewId="0">
      <pane ySplit="1" topLeftCell="A125" activePane="bottomLeft" state="frozen"/>
      <selection pane="bottomLeft" activeCell="V149" sqref="V149"/>
    </sheetView>
  </sheetViews>
  <sheetFormatPr defaultColWidth="11.5546875" defaultRowHeight="14.4" x14ac:dyDescent="0.3"/>
  <sheetData>
    <row r="1" spans="1:14" x14ac:dyDescent="0.3">
      <c r="A1" t="s">
        <v>2714</v>
      </c>
      <c r="B1" t="s">
        <v>2705</v>
      </c>
      <c r="C1" t="s">
        <v>2760</v>
      </c>
      <c r="D1" t="s">
        <v>2713</v>
      </c>
      <c r="E1" t="s">
        <v>2822</v>
      </c>
      <c r="F1" t="s">
        <v>2823</v>
      </c>
      <c r="G1" t="s">
        <v>2824</v>
      </c>
      <c r="I1" t="s">
        <v>2705</v>
      </c>
      <c r="J1" t="s">
        <v>2760</v>
      </c>
      <c r="K1" t="s">
        <v>2713</v>
      </c>
      <c r="L1" t="s">
        <v>2823</v>
      </c>
      <c r="M1" t="s">
        <v>2822</v>
      </c>
      <c r="N1" t="s">
        <v>2825</v>
      </c>
    </row>
    <row r="2" spans="1:14" x14ac:dyDescent="0.3">
      <c r="A2" t="s">
        <v>2715</v>
      </c>
      <c r="B2" t="s">
        <v>2696</v>
      </c>
      <c r="C2" t="s">
        <v>2763</v>
      </c>
      <c r="D2">
        <v>-74.114874999999984</v>
      </c>
      <c r="F2">
        <v>0.176476419</v>
      </c>
      <c r="I2" t="s">
        <v>2696</v>
      </c>
      <c r="J2" t="s">
        <v>2761</v>
      </c>
      <c r="K2">
        <v>-26.812774867499996</v>
      </c>
      <c r="L2">
        <v>-1.2541429799999999</v>
      </c>
    </row>
    <row r="3" spans="1:14" x14ac:dyDescent="0.3">
      <c r="A3" t="s">
        <v>2715</v>
      </c>
      <c r="B3" t="s">
        <v>2696</v>
      </c>
      <c r="C3" t="s">
        <v>2763</v>
      </c>
      <c r="D3">
        <v>-69.633125000000007</v>
      </c>
      <c r="F3">
        <v>0.51143717899999996</v>
      </c>
      <c r="I3" t="s">
        <v>2696</v>
      </c>
      <c r="J3" t="s">
        <v>2763</v>
      </c>
      <c r="K3">
        <v>-74.546977150000018</v>
      </c>
      <c r="L3">
        <v>-0.78862924886818908</v>
      </c>
    </row>
    <row r="4" spans="1:14" x14ac:dyDescent="0.3">
      <c r="A4" t="s">
        <v>2715</v>
      </c>
      <c r="B4" t="s">
        <v>2696</v>
      </c>
      <c r="C4" t="s">
        <v>2763</v>
      </c>
      <c r="D4">
        <v>-63.888749999999995</v>
      </c>
      <c r="F4">
        <v>1.854481058</v>
      </c>
      <c r="I4" t="s">
        <v>2696</v>
      </c>
      <c r="J4" t="s">
        <v>2763</v>
      </c>
      <c r="K4">
        <v>-68.117596187500013</v>
      </c>
      <c r="L4">
        <v>6.7388229332522256</v>
      </c>
    </row>
    <row r="5" spans="1:14" x14ac:dyDescent="0.3">
      <c r="A5" t="s">
        <v>2715</v>
      </c>
      <c r="B5" t="s">
        <v>2696</v>
      </c>
      <c r="C5" t="s">
        <v>2763</v>
      </c>
      <c r="D5">
        <v>-62.000500000000009</v>
      </c>
      <c r="F5">
        <v>2.2954539820000002</v>
      </c>
      <c r="I5" t="s">
        <v>2696</v>
      </c>
      <c r="J5" t="s">
        <v>2763</v>
      </c>
      <c r="K5">
        <v>-64.296228757500003</v>
      </c>
      <c r="L5">
        <v>-1.2004385360000001</v>
      </c>
    </row>
    <row r="6" spans="1:14" x14ac:dyDescent="0.3">
      <c r="A6" t="s">
        <v>2715</v>
      </c>
      <c r="B6" t="s">
        <v>2696</v>
      </c>
      <c r="C6" t="s">
        <v>2763</v>
      </c>
      <c r="D6">
        <v>-61.238374999999998</v>
      </c>
      <c r="F6">
        <v>0.38490365300000001</v>
      </c>
      <c r="I6" t="s">
        <v>2696</v>
      </c>
      <c r="J6" t="s">
        <v>2763</v>
      </c>
      <c r="K6">
        <v>-62.75497965000001</v>
      </c>
      <c r="L6">
        <v>-0.63101091745464055</v>
      </c>
    </row>
    <row r="7" spans="1:14" x14ac:dyDescent="0.3">
      <c r="A7" t="s">
        <v>2715</v>
      </c>
      <c r="B7" t="s">
        <v>2696</v>
      </c>
      <c r="C7" t="s">
        <v>2763</v>
      </c>
      <c r="D7">
        <v>-55.562250000000013</v>
      </c>
      <c r="F7">
        <v>0.33502243999999998</v>
      </c>
      <c r="I7" t="s">
        <v>2696</v>
      </c>
      <c r="J7" t="s">
        <v>2763</v>
      </c>
      <c r="K7">
        <v>-62.111904437500002</v>
      </c>
      <c r="L7">
        <v>1.2578462762450267</v>
      </c>
    </row>
    <row r="8" spans="1:14" x14ac:dyDescent="0.3">
      <c r="A8" t="s">
        <v>2715</v>
      </c>
      <c r="B8" t="s">
        <v>2696</v>
      </c>
      <c r="C8" t="s">
        <v>2763</v>
      </c>
      <c r="D8">
        <v>-52.512242243750002</v>
      </c>
      <c r="F8">
        <v>1.1908353991891509</v>
      </c>
      <c r="I8" t="s">
        <v>2696</v>
      </c>
      <c r="J8" t="s">
        <v>2763</v>
      </c>
      <c r="K8">
        <v>-57.434869150000004</v>
      </c>
      <c r="L8">
        <v>-1.1351922241528278</v>
      </c>
    </row>
    <row r="9" spans="1:14" x14ac:dyDescent="0.3">
      <c r="A9" t="s">
        <v>2715</v>
      </c>
      <c r="B9" t="s">
        <v>2696</v>
      </c>
      <c r="C9" t="s">
        <v>2763</v>
      </c>
      <c r="D9">
        <v>-52.218000000000025</v>
      </c>
      <c r="F9">
        <v>1.827059424</v>
      </c>
      <c r="I9" t="s">
        <v>2696</v>
      </c>
      <c r="J9" t="s">
        <v>2763</v>
      </c>
      <c r="K9">
        <v>-55.889569012500019</v>
      </c>
      <c r="L9">
        <v>1.3105372472643015</v>
      </c>
    </row>
    <row r="10" spans="1:14" x14ac:dyDescent="0.3">
      <c r="A10" t="s">
        <v>2715</v>
      </c>
      <c r="B10" t="s">
        <v>2696</v>
      </c>
      <c r="C10" t="s">
        <v>2763</v>
      </c>
      <c r="D10">
        <v>-50.932625000000009</v>
      </c>
      <c r="F10">
        <v>1.4804567340000001</v>
      </c>
      <c r="I10" t="s">
        <v>2696</v>
      </c>
      <c r="J10" t="s">
        <v>2763</v>
      </c>
      <c r="K10">
        <v>-54.803359665000009</v>
      </c>
      <c r="L10">
        <v>-1.6715452049999999</v>
      </c>
    </row>
    <row r="11" spans="1:14" x14ac:dyDescent="0.3">
      <c r="A11" t="s">
        <v>2715</v>
      </c>
      <c r="B11" t="s">
        <v>2696</v>
      </c>
      <c r="C11" t="s">
        <v>2763</v>
      </c>
      <c r="D11">
        <v>-38.98277458750001</v>
      </c>
      <c r="F11">
        <v>1.6787719117740334</v>
      </c>
      <c r="I11" t="s">
        <v>2696</v>
      </c>
      <c r="J11" t="s">
        <v>2763</v>
      </c>
      <c r="K11">
        <v>-53.400909075000008</v>
      </c>
      <c r="L11">
        <v>-5.8946983736034131E-2</v>
      </c>
    </row>
    <row r="12" spans="1:14" x14ac:dyDescent="0.3">
      <c r="A12" t="s">
        <v>2715</v>
      </c>
      <c r="B12" t="s">
        <v>2695</v>
      </c>
      <c r="C12" t="s">
        <v>2761</v>
      </c>
      <c r="D12">
        <v>-74.962500000000006</v>
      </c>
      <c r="E12">
        <v>6.1575288090000004</v>
      </c>
      <c r="I12" t="s">
        <v>2696</v>
      </c>
      <c r="J12" t="s">
        <v>2763</v>
      </c>
      <c r="K12">
        <v>-53.293540117500001</v>
      </c>
      <c r="L12">
        <v>-1.0430805439999999</v>
      </c>
    </row>
    <row r="13" spans="1:14" x14ac:dyDescent="0.3">
      <c r="A13" t="s">
        <v>2715</v>
      </c>
      <c r="B13" t="s">
        <v>2695</v>
      </c>
      <c r="C13" t="s">
        <v>2761</v>
      </c>
      <c r="D13">
        <v>-74.950000000000017</v>
      </c>
      <c r="E13">
        <v>3.8466605340000002</v>
      </c>
      <c r="I13" t="s">
        <v>2696</v>
      </c>
      <c r="J13" t="s">
        <v>2763</v>
      </c>
      <c r="K13">
        <v>-52.549250000000001</v>
      </c>
      <c r="L13">
        <v>0.60270095999999995</v>
      </c>
    </row>
    <row r="14" spans="1:14" x14ac:dyDescent="0.3">
      <c r="A14" t="s">
        <v>2715</v>
      </c>
      <c r="B14" t="s">
        <v>2695</v>
      </c>
      <c r="C14" t="s">
        <v>2761</v>
      </c>
      <c r="D14">
        <v>-74.887499999999989</v>
      </c>
      <c r="E14">
        <v>4.2834954779999999</v>
      </c>
      <c r="I14" t="s">
        <v>2696</v>
      </c>
      <c r="J14" t="s">
        <v>2763</v>
      </c>
      <c r="K14">
        <v>-52.327288837500006</v>
      </c>
      <c r="L14">
        <v>0.26806939995990509</v>
      </c>
    </row>
    <row r="15" spans="1:14" x14ac:dyDescent="0.3">
      <c r="A15" t="s">
        <v>2715</v>
      </c>
      <c r="B15" t="s">
        <v>2695</v>
      </c>
      <c r="C15" t="s">
        <v>2761</v>
      </c>
      <c r="D15">
        <v>-74.824999999999989</v>
      </c>
      <c r="E15">
        <v>5.4492899039999996</v>
      </c>
      <c r="I15" t="s">
        <v>2696</v>
      </c>
      <c r="J15" t="s">
        <v>2763</v>
      </c>
      <c r="K15">
        <v>-50.941043550000003</v>
      </c>
      <c r="L15">
        <v>-0.16429921586171181</v>
      </c>
    </row>
    <row r="16" spans="1:14" x14ac:dyDescent="0.3">
      <c r="A16" t="s">
        <v>2715</v>
      </c>
      <c r="B16" t="s">
        <v>2695</v>
      </c>
      <c r="C16" t="s">
        <v>2761</v>
      </c>
      <c r="D16">
        <v>-74.810810000000004</v>
      </c>
      <c r="E16">
        <v>6.86</v>
      </c>
      <c r="I16" t="s">
        <v>2696</v>
      </c>
      <c r="J16" t="s">
        <v>2763</v>
      </c>
      <c r="K16">
        <v>-50.326762750000007</v>
      </c>
      <c r="L16">
        <v>2.3573002094732995</v>
      </c>
    </row>
    <row r="17" spans="1:12" x14ac:dyDescent="0.3">
      <c r="A17" t="s">
        <v>2715</v>
      </c>
      <c r="B17" t="s">
        <v>2695</v>
      </c>
      <c r="C17" t="s">
        <v>2761</v>
      </c>
      <c r="D17">
        <v>-74.807071500000006</v>
      </c>
      <c r="E17">
        <v>8.24</v>
      </c>
      <c r="I17" t="s">
        <v>2696</v>
      </c>
      <c r="J17" t="s">
        <v>2763</v>
      </c>
      <c r="K17">
        <v>-50.113075432499997</v>
      </c>
      <c r="L17">
        <v>0.73120513499999995</v>
      </c>
    </row>
    <row r="18" spans="1:12" x14ac:dyDescent="0.3">
      <c r="A18" t="s">
        <v>2715</v>
      </c>
      <c r="B18" t="s">
        <v>2695</v>
      </c>
      <c r="C18" t="s">
        <v>2761</v>
      </c>
      <c r="D18">
        <v>-74.724999999999994</v>
      </c>
      <c r="E18">
        <v>8.4124316369999992</v>
      </c>
      <c r="I18" t="s">
        <v>2696</v>
      </c>
      <c r="J18" t="s">
        <v>2763</v>
      </c>
      <c r="K18">
        <v>-49.614500000000007</v>
      </c>
      <c r="L18">
        <v>-1.2849384619999999</v>
      </c>
    </row>
    <row r="19" spans="1:12" x14ac:dyDescent="0.3">
      <c r="A19" t="s">
        <v>2715</v>
      </c>
      <c r="B19" t="s">
        <v>2695</v>
      </c>
      <c r="C19" t="s">
        <v>2761</v>
      </c>
      <c r="D19">
        <v>-74.552245499999998</v>
      </c>
      <c r="E19">
        <v>3.58</v>
      </c>
      <c r="I19" t="s">
        <v>2696</v>
      </c>
      <c r="J19" t="s">
        <v>2763</v>
      </c>
      <c r="K19">
        <v>-48.19049157500001</v>
      </c>
      <c r="L19">
        <v>-1.3106764455763671</v>
      </c>
    </row>
    <row r="20" spans="1:12" x14ac:dyDescent="0.3">
      <c r="A20" t="s">
        <v>2715</v>
      </c>
      <c r="B20" t="s">
        <v>2695</v>
      </c>
      <c r="C20" t="s">
        <v>2761</v>
      </c>
      <c r="D20">
        <v>-74.537499999999994</v>
      </c>
      <c r="E20">
        <v>3.8710326269999999</v>
      </c>
      <c r="I20" t="s">
        <v>2696</v>
      </c>
      <c r="J20" t="s">
        <v>2763</v>
      </c>
      <c r="K20">
        <v>-48.163068324999998</v>
      </c>
      <c r="L20">
        <v>-0.3724813647843539</v>
      </c>
    </row>
    <row r="21" spans="1:12" x14ac:dyDescent="0.3">
      <c r="A21" t="s">
        <v>2715</v>
      </c>
      <c r="B21" t="s">
        <v>2695</v>
      </c>
      <c r="C21" t="s">
        <v>2761</v>
      </c>
      <c r="D21">
        <v>-74.525701125000012</v>
      </c>
      <c r="E21">
        <v>7.92</v>
      </c>
      <c r="I21" t="s">
        <v>2696</v>
      </c>
      <c r="J21" t="s">
        <v>2763</v>
      </c>
      <c r="K21">
        <v>-47.377653975000001</v>
      </c>
      <c r="L21">
        <v>-0.67011379999999998</v>
      </c>
    </row>
    <row r="22" spans="1:12" x14ac:dyDescent="0.3">
      <c r="A22" t="s">
        <v>2715</v>
      </c>
      <c r="B22" t="s">
        <v>2695</v>
      </c>
      <c r="C22" t="s">
        <v>2761</v>
      </c>
      <c r="D22">
        <v>-74.476274500000017</v>
      </c>
      <c r="E22">
        <v>5.7324705959999998</v>
      </c>
      <c r="I22" t="s">
        <v>2696</v>
      </c>
      <c r="J22" t="s">
        <v>2763</v>
      </c>
      <c r="K22">
        <v>-46.918052775000007</v>
      </c>
      <c r="L22">
        <v>1.5747509275122344</v>
      </c>
    </row>
    <row r="23" spans="1:12" x14ac:dyDescent="0.3">
      <c r="A23" t="s">
        <v>2715</v>
      </c>
      <c r="B23" t="s">
        <v>2695</v>
      </c>
      <c r="C23" t="s">
        <v>2761</v>
      </c>
      <c r="D23">
        <v>-74.453568000000018</v>
      </c>
      <c r="E23">
        <v>7.11</v>
      </c>
      <c r="I23" t="s">
        <v>2696</v>
      </c>
      <c r="J23" t="s">
        <v>2763</v>
      </c>
      <c r="K23">
        <v>-46.851749999999996</v>
      </c>
      <c r="L23">
        <v>2.0857327219999999</v>
      </c>
    </row>
    <row r="24" spans="1:12" x14ac:dyDescent="0.3">
      <c r="A24" t="s">
        <v>2715</v>
      </c>
      <c r="B24" t="s">
        <v>2695</v>
      </c>
      <c r="C24" t="s">
        <v>2761</v>
      </c>
      <c r="D24">
        <v>-74.433680624999994</v>
      </c>
      <c r="E24">
        <v>7.66</v>
      </c>
      <c r="I24" t="s">
        <v>2696</v>
      </c>
      <c r="J24" t="s">
        <v>2763</v>
      </c>
      <c r="K24">
        <v>-46.647500000000001</v>
      </c>
      <c r="L24">
        <v>3.0885518529999998</v>
      </c>
    </row>
    <row r="25" spans="1:12" x14ac:dyDescent="0.3">
      <c r="A25" t="s">
        <v>2715</v>
      </c>
      <c r="B25" t="s">
        <v>2695</v>
      </c>
      <c r="C25" t="s">
        <v>2761</v>
      </c>
      <c r="D25">
        <v>-74.322751000000011</v>
      </c>
      <c r="E25">
        <v>10.26</v>
      </c>
      <c r="I25" t="s">
        <v>2696</v>
      </c>
      <c r="J25" t="s">
        <v>2763</v>
      </c>
      <c r="K25">
        <v>-45.568366087500003</v>
      </c>
      <c r="L25">
        <v>2.6561990980000001</v>
      </c>
    </row>
    <row r="26" spans="1:12" x14ac:dyDescent="0.3">
      <c r="A26" t="s">
        <v>2715</v>
      </c>
      <c r="B26" t="s">
        <v>2695</v>
      </c>
      <c r="C26" t="s">
        <v>2761</v>
      </c>
      <c r="D26">
        <v>-74.249639624999986</v>
      </c>
      <c r="E26">
        <v>6.79</v>
      </c>
      <c r="I26" t="s">
        <v>2696</v>
      </c>
      <c r="J26" t="s">
        <v>2763</v>
      </c>
      <c r="K26">
        <v>-43.110750000000003</v>
      </c>
      <c r="L26">
        <v>1.887067598</v>
      </c>
    </row>
    <row r="27" spans="1:12" x14ac:dyDescent="0.3">
      <c r="A27" t="s">
        <v>2715</v>
      </c>
      <c r="B27" t="s">
        <v>2695</v>
      </c>
      <c r="C27" t="s">
        <v>2761</v>
      </c>
      <c r="D27">
        <v>-74.16217850000001</v>
      </c>
      <c r="E27">
        <v>5.15</v>
      </c>
      <c r="I27" t="s">
        <v>2696</v>
      </c>
      <c r="J27" t="s">
        <v>2763</v>
      </c>
      <c r="K27">
        <v>-42.193026800000005</v>
      </c>
      <c r="L27">
        <v>2.0479478071630148</v>
      </c>
    </row>
    <row r="28" spans="1:12" x14ac:dyDescent="0.3">
      <c r="A28" t="s">
        <v>2715</v>
      </c>
      <c r="B28" t="s">
        <v>2695</v>
      </c>
      <c r="C28" t="s">
        <v>2761</v>
      </c>
      <c r="D28">
        <v>-74.0625</v>
      </c>
      <c r="E28">
        <v>2.0945182710000001</v>
      </c>
      <c r="I28" t="s">
        <v>2696</v>
      </c>
      <c r="J28" t="s">
        <v>2763</v>
      </c>
      <c r="K28">
        <v>-42.057281712500007</v>
      </c>
      <c r="L28">
        <v>-0.37463331092662133</v>
      </c>
    </row>
    <row r="29" spans="1:12" x14ac:dyDescent="0.3">
      <c r="A29" t="s">
        <v>2715</v>
      </c>
      <c r="B29" t="s">
        <v>2695</v>
      </c>
      <c r="C29" t="s">
        <v>2761</v>
      </c>
      <c r="D29">
        <v>-74.049999999999983</v>
      </c>
      <c r="E29">
        <v>6.5984804869999998</v>
      </c>
      <c r="I29" t="s">
        <v>2696</v>
      </c>
      <c r="J29" t="s">
        <v>2763</v>
      </c>
      <c r="K29">
        <v>-41.400765022499996</v>
      </c>
      <c r="L29">
        <v>-1.1691658789999999</v>
      </c>
    </row>
    <row r="30" spans="1:12" x14ac:dyDescent="0.3">
      <c r="A30" t="s">
        <v>2715</v>
      </c>
      <c r="B30" t="s">
        <v>2695</v>
      </c>
      <c r="C30" t="s">
        <v>2761</v>
      </c>
      <c r="D30">
        <v>-73.867115499999983</v>
      </c>
      <c r="E30">
        <v>4.4800000000000004</v>
      </c>
      <c r="I30" t="s">
        <v>2696</v>
      </c>
      <c r="J30" t="s">
        <v>2763</v>
      </c>
      <c r="K30">
        <v>-41.394625267500004</v>
      </c>
      <c r="L30">
        <v>0.39691395899999998</v>
      </c>
    </row>
    <row r="31" spans="1:12" x14ac:dyDescent="0.3">
      <c r="A31" t="s">
        <v>2715</v>
      </c>
      <c r="B31" t="s">
        <v>2695</v>
      </c>
      <c r="C31" t="s">
        <v>2761</v>
      </c>
      <c r="D31">
        <v>-73.787499999999994</v>
      </c>
      <c r="E31">
        <v>6.4983951089999996</v>
      </c>
      <c r="I31" t="s">
        <v>2696</v>
      </c>
      <c r="J31" t="s">
        <v>2763</v>
      </c>
      <c r="K31">
        <v>-40.753306175000006</v>
      </c>
      <c r="L31">
        <v>2.5328247165417843</v>
      </c>
    </row>
    <row r="32" spans="1:12" x14ac:dyDescent="0.3">
      <c r="A32" t="s">
        <v>2715</v>
      </c>
      <c r="B32" t="s">
        <v>2695</v>
      </c>
      <c r="C32" t="s">
        <v>2761</v>
      </c>
      <c r="D32">
        <v>-73.787499999999994</v>
      </c>
      <c r="E32">
        <v>4.8986809850000004</v>
      </c>
      <c r="I32" t="s">
        <v>2696</v>
      </c>
      <c r="J32" t="s">
        <v>2763</v>
      </c>
      <c r="K32">
        <v>-40.431652200000002</v>
      </c>
      <c r="L32">
        <v>-1.3365580610000001</v>
      </c>
    </row>
    <row r="33" spans="1:12" x14ac:dyDescent="0.3">
      <c r="A33" t="s">
        <v>2715</v>
      </c>
      <c r="B33" t="s">
        <v>2695</v>
      </c>
      <c r="C33" t="s">
        <v>2761</v>
      </c>
      <c r="D33">
        <v>-73.674999999999983</v>
      </c>
      <c r="E33">
        <v>5.9053070239999998</v>
      </c>
      <c r="I33" t="s">
        <v>2696</v>
      </c>
      <c r="J33" t="s">
        <v>2763</v>
      </c>
      <c r="K33">
        <v>-40.407773225000007</v>
      </c>
      <c r="L33">
        <v>0.65172609636182832</v>
      </c>
    </row>
    <row r="34" spans="1:12" x14ac:dyDescent="0.3">
      <c r="A34" t="s">
        <v>2715</v>
      </c>
      <c r="B34" t="s">
        <v>2695</v>
      </c>
      <c r="C34" t="s">
        <v>2761</v>
      </c>
      <c r="D34">
        <v>-73.650000000000006</v>
      </c>
      <c r="E34">
        <v>3.9089561320000001</v>
      </c>
      <c r="I34" t="s">
        <v>2696</v>
      </c>
      <c r="J34" t="s">
        <v>2763</v>
      </c>
      <c r="K34">
        <v>-39.964426132500002</v>
      </c>
      <c r="L34">
        <v>-0.79126873200000003</v>
      </c>
    </row>
    <row r="35" spans="1:12" x14ac:dyDescent="0.3">
      <c r="A35" t="s">
        <v>2715</v>
      </c>
      <c r="B35" t="s">
        <v>2695</v>
      </c>
      <c r="C35" t="s">
        <v>2761</v>
      </c>
      <c r="D35">
        <v>-73.599999999999994</v>
      </c>
      <c r="E35">
        <v>4.1124055869999996</v>
      </c>
      <c r="I35" t="s">
        <v>2696</v>
      </c>
      <c r="J35" t="s">
        <v>2763</v>
      </c>
      <c r="K35">
        <v>-39.815431025000002</v>
      </c>
      <c r="L35">
        <v>4.303145512077255</v>
      </c>
    </row>
    <row r="36" spans="1:12" x14ac:dyDescent="0.3">
      <c r="A36" t="s">
        <v>2715</v>
      </c>
      <c r="B36" t="s">
        <v>2695</v>
      </c>
      <c r="C36" t="s">
        <v>2761</v>
      </c>
      <c r="D36">
        <v>-73.489610874999983</v>
      </c>
      <c r="E36">
        <v>6.44</v>
      </c>
      <c r="I36" t="s">
        <v>2696</v>
      </c>
      <c r="J36" t="s">
        <v>2763</v>
      </c>
      <c r="K36">
        <v>-39.613659975000004</v>
      </c>
      <c r="L36">
        <v>-0.81615113100000003</v>
      </c>
    </row>
    <row r="37" spans="1:12" x14ac:dyDescent="0.3">
      <c r="A37" t="s">
        <v>2715</v>
      </c>
      <c r="B37" t="s">
        <v>2695</v>
      </c>
      <c r="C37" t="s">
        <v>2761</v>
      </c>
      <c r="D37">
        <v>-73.433842499999997</v>
      </c>
      <c r="E37">
        <v>4.6100000000000003</v>
      </c>
      <c r="I37" t="s">
        <v>2696</v>
      </c>
      <c r="J37" t="s">
        <v>2763</v>
      </c>
      <c r="K37">
        <v>-39.594249990000002</v>
      </c>
      <c r="L37">
        <v>-1.3236157209999999</v>
      </c>
    </row>
    <row r="38" spans="1:12" x14ac:dyDescent="0.3">
      <c r="A38" t="s">
        <v>2715</v>
      </c>
      <c r="B38" t="s">
        <v>2695</v>
      </c>
      <c r="C38" t="s">
        <v>2761</v>
      </c>
      <c r="D38">
        <v>-73.400000000000006</v>
      </c>
      <c r="E38">
        <v>7.2520396729999996</v>
      </c>
      <c r="I38" t="s">
        <v>2696</v>
      </c>
      <c r="J38" t="s">
        <v>2763</v>
      </c>
      <c r="K38">
        <v>-37.934696272500005</v>
      </c>
      <c r="L38">
        <v>-0.47035755200000001</v>
      </c>
    </row>
    <row r="39" spans="1:12" x14ac:dyDescent="0.3">
      <c r="A39" t="s">
        <v>2715</v>
      </c>
      <c r="B39" t="s">
        <v>2695</v>
      </c>
      <c r="C39" t="s">
        <v>2761</v>
      </c>
      <c r="D39">
        <v>-73.387500000000017</v>
      </c>
      <c r="E39">
        <v>5.7103306700000003</v>
      </c>
      <c r="I39" t="s">
        <v>2696</v>
      </c>
      <c r="J39" t="s">
        <v>2763</v>
      </c>
      <c r="K39">
        <v>-36.180865485000005</v>
      </c>
      <c r="L39">
        <v>0.100789875</v>
      </c>
    </row>
    <row r="40" spans="1:12" x14ac:dyDescent="0.3">
      <c r="A40" t="s">
        <v>2715</v>
      </c>
      <c r="B40" t="s">
        <v>2695</v>
      </c>
      <c r="C40" t="s">
        <v>2761</v>
      </c>
      <c r="D40">
        <v>-73.375</v>
      </c>
      <c r="E40">
        <v>3.4225468210000001</v>
      </c>
      <c r="I40" t="s">
        <v>2696</v>
      </c>
      <c r="J40" t="s">
        <v>2763</v>
      </c>
      <c r="K40">
        <v>-35.716412272500001</v>
      </c>
      <c r="L40">
        <v>-0.92334619100000004</v>
      </c>
    </row>
    <row r="41" spans="1:12" x14ac:dyDescent="0.3">
      <c r="A41" t="s">
        <v>2715</v>
      </c>
      <c r="B41" t="s">
        <v>2695</v>
      </c>
      <c r="C41" t="s">
        <v>2761</v>
      </c>
      <c r="D41">
        <v>-73.322356124999999</v>
      </c>
      <c r="E41">
        <v>6.97</v>
      </c>
      <c r="I41" t="s">
        <v>2696</v>
      </c>
      <c r="J41" t="s">
        <v>2763</v>
      </c>
      <c r="K41">
        <v>-34.894203252499999</v>
      </c>
      <c r="L41">
        <v>-0.27530228699999998</v>
      </c>
    </row>
    <row r="42" spans="1:12" x14ac:dyDescent="0.3">
      <c r="A42" t="s">
        <v>2715</v>
      </c>
      <c r="B42" t="s">
        <v>2695</v>
      </c>
      <c r="C42" t="s">
        <v>2761</v>
      </c>
      <c r="D42">
        <v>-73.199999999999989</v>
      </c>
      <c r="E42">
        <v>3.7908441449999999</v>
      </c>
      <c r="I42" t="s">
        <v>2696</v>
      </c>
      <c r="J42" t="s">
        <v>2763</v>
      </c>
      <c r="K42">
        <v>-34.544881035000003</v>
      </c>
      <c r="L42">
        <v>4.1568201020000002</v>
      </c>
    </row>
    <row r="43" spans="1:12" x14ac:dyDescent="0.3">
      <c r="A43" t="s">
        <v>2715</v>
      </c>
      <c r="B43" t="s">
        <v>2695</v>
      </c>
      <c r="C43" t="s">
        <v>2761</v>
      </c>
      <c r="D43">
        <v>-73.171938000000011</v>
      </c>
      <c r="E43">
        <v>7.66</v>
      </c>
      <c r="I43" t="s">
        <v>2696</v>
      </c>
      <c r="J43" t="s">
        <v>2763</v>
      </c>
      <c r="K43">
        <v>-33.670045282500006</v>
      </c>
      <c r="L43">
        <v>1.0884486019999999</v>
      </c>
    </row>
    <row r="44" spans="1:12" x14ac:dyDescent="0.3">
      <c r="A44" t="s">
        <v>2715</v>
      </c>
      <c r="B44" t="s">
        <v>2695</v>
      </c>
      <c r="C44" t="s">
        <v>2761</v>
      </c>
      <c r="D44">
        <v>-73.141852999999998</v>
      </c>
      <c r="E44">
        <v>4.4400000000000004</v>
      </c>
      <c r="I44" t="s">
        <v>2696</v>
      </c>
      <c r="J44" t="s">
        <v>2763</v>
      </c>
      <c r="K44">
        <v>-33.202314287500002</v>
      </c>
      <c r="L44">
        <v>0.12422535017686376</v>
      </c>
    </row>
    <row r="45" spans="1:12" x14ac:dyDescent="0.3">
      <c r="A45" t="s">
        <v>2715</v>
      </c>
      <c r="B45" t="s">
        <v>2695</v>
      </c>
      <c r="C45" t="s">
        <v>2761</v>
      </c>
      <c r="D45">
        <v>-73.099999999999994</v>
      </c>
      <c r="E45">
        <v>5.3107569200000002</v>
      </c>
      <c r="I45" t="s">
        <v>2696</v>
      </c>
      <c r="J45" t="s">
        <v>2763</v>
      </c>
      <c r="K45">
        <v>-32.651106962499995</v>
      </c>
      <c r="L45">
        <v>2.0368459365255687</v>
      </c>
    </row>
    <row r="46" spans="1:12" x14ac:dyDescent="0.3">
      <c r="A46" t="s">
        <v>2715</v>
      </c>
      <c r="B46" t="s">
        <v>2695</v>
      </c>
      <c r="C46" t="s">
        <v>2761</v>
      </c>
      <c r="D46">
        <v>-73.025000000000006</v>
      </c>
      <c r="E46">
        <v>6.1105903169999998</v>
      </c>
      <c r="I46" t="s">
        <v>2696</v>
      </c>
      <c r="J46" t="s">
        <v>2763</v>
      </c>
      <c r="K46">
        <v>-32.598336824999997</v>
      </c>
      <c r="L46">
        <v>-1.413145592</v>
      </c>
    </row>
    <row r="47" spans="1:12" x14ac:dyDescent="0.3">
      <c r="A47" t="s">
        <v>2715</v>
      </c>
      <c r="B47" t="s">
        <v>2695</v>
      </c>
      <c r="C47" t="s">
        <v>2761</v>
      </c>
      <c r="D47">
        <v>-72.912499999999994</v>
      </c>
      <c r="E47">
        <v>6.7305649059999997</v>
      </c>
      <c r="I47" t="s">
        <v>2696</v>
      </c>
      <c r="J47" t="s">
        <v>2763</v>
      </c>
      <c r="K47">
        <v>-32.411169112499998</v>
      </c>
      <c r="L47">
        <v>0.43389958299999998</v>
      </c>
    </row>
    <row r="48" spans="1:12" x14ac:dyDescent="0.3">
      <c r="A48" t="s">
        <v>2715</v>
      </c>
      <c r="B48" t="s">
        <v>2695</v>
      </c>
      <c r="C48" t="s">
        <v>2761</v>
      </c>
      <c r="D48">
        <v>-72.837500000000006</v>
      </c>
      <c r="E48">
        <v>5.9908380079999999</v>
      </c>
      <c r="I48" t="s">
        <v>2696</v>
      </c>
      <c r="J48" t="s">
        <v>2763</v>
      </c>
      <c r="K48">
        <v>-32.077961037500003</v>
      </c>
      <c r="L48">
        <v>1.4755743795724348</v>
      </c>
    </row>
    <row r="49" spans="1:12" x14ac:dyDescent="0.3">
      <c r="A49" t="s">
        <v>2715</v>
      </c>
      <c r="B49" t="s">
        <v>2695</v>
      </c>
      <c r="C49" t="s">
        <v>2761</v>
      </c>
      <c r="D49">
        <v>-72.737499999999983</v>
      </c>
      <c r="E49">
        <v>4.28199752</v>
      </c>
      <c r="I49" t="s">
        <v>2696</v>
      </c>
      <c r="J49" t="s">
        <v>2763</v>
      </c>
      <c r="K49">
        <v>-30.630996202499997</v>
      </c>
      <c r="L49">
        <v>9.886901E-3</v>
      </c>
    </row>
    <row r="50" spans="1:12" x14ac:dyDescent="0.3">
      <c r="A50" t="s">
        <v>2715</v>
      </c>
      <c r="B50" t="s">
        <v>2695</v>
      </c>
      <c r="C50" t="s">
        <v>2761</v>
      </c>
      <c r="D50">
        <v>-72.737499999999983</v>
      </c>
      <c r="E50">
        <v>4.4308366399999999</v>
      </c>
      <c r="I50" t="s">
        <v>2696</v>
      </c>
      <c r="J50" t="s">
        <v>2763</v>
      </c>
      <c r="K50">
        <v>-30.554749999999995</v>
      </c>
      <c r="L50">
        <v>2.2135804690000001</v>
      </c>
    </row>
    <row r="51" spans="1:12" x14ac:dyDescent="0.3">
      <c r="A51" t="s">
        <v>2715</v>
      </c>
      <c r="B51" t="s">
        <v>2695</v>
      </c>
      <c r="C51" t="s">
        <v>2761</v>
      </c>
      <c r="D51">
        <v>-72.724999999999994</v>
      </c>
      <c r="E51">
        <v>5.588437206</v>
      </c>
      <c r="I51" t="s">
        <v>2696</v>
      </c>
      <c r="J51" t="s">
        <v>2763</v>
      </c>
      <c r="K51">
        <v>-30.551857174999999</v>
      </c>
      <c r="L51">
        <v>0.6062469160672852</v>
      </c>
    </row>
    <row r="52" spans="1:12" x14ac:dyDescent="0.3">
      <c r="A52" t="s">
        <v>2715</v>
      </c>
      <c r="B52" t="s">
        <v>2695</v>
      </c>
      <c r="C52" t="s">
        <v>2761</v>
      </c>
      <c r="D52">
        <v>-72.675000000000011</v>
      </c>
      <c r="E52">
        <v>4.2139024129999996</v>
      </c>
      <c r="I52" t="s">
        <v>2696</v>
      </c>
      <c r="J52" t="s">
        <v>2763</v>
      </c>
      <c r="K52">
        <v>-29.100380242500002</v>
      </c>
      <c r="L52">
        <v>-0.76427224599999999</v>
      </c>
    </row>
    <row r="53" spans="1:12" x14ac:dyDescent="0.3">
      <c r="A53" t="s">
        <v>2715</v>
      </c>
      <c r="B53" t="s">
        <v>2695</v>
      </c>
      <c r="C53" t="s">
        <v>2761</v>
      </c>
      <c r="D53">
        <v>-72.657207</v>
      </c>
      <c r="E53">
        <v>7.27</v>
      </c>
      <c r="I53" t="s">
        <v>2696</v>
      </c>
      <c r="J53" t="s">
        <v>2763</v>
      </c>
      <c r="K53">
        <v>-28.900977525000002</v>
      </c>
      <c r="L53">
        <v>4.3163520451468553</v>
      </c>
    </row>
    <row r="54" spans="1:12" x14ac:dyDescent="0.3">
      <c r="A54" t="s">
        <v>2715</v>
      </c>
      <c r="B54" t="s">
        <v>2695</v>
      </c>
      <c r="C54" t="s">
        <v>2761</v>
      </c>
      <c r="D54">
        <v>-72.559536250000008</v>
      </c>
      <c r="E54">
        <v>7.97</v>
      </c>
      <c r="I54" t="s">
        <v>2696</v>
      </c>
      <c r="J54" t="s">
        <v>2763</v>
      </c>
      <c r="K54">
        <v>-28.282388017499997</v>
      </c>
      <c r="L54">
        <v>-1.5456571690000001</v>
      </c>
    </row>
    <row r="55" spans="1:12" x14ac:dyDescent="0.3">
      <c r="A55" t="s">
        <v>2715</v>
      </c>
      <c r="B55" t="s">
        <v>2695</v>
      </c>
      <c r="C55" t="s">
        <v>2761</v>
      </c>
      <c r="D55">
        <v>-72.503019749999993</v>
      </c>
      <c r="E55">
        <v>6.65</v>
      </c>
      <c r="I55" t="s">
        <v>2696</v>
      </c>
      <c r="J55" t="s">
        <v>2763</v>
      </c>
      <c r="K55">
        <v>-27.939940425</v>
      </c>
      <c r="L55">
        <v>1.1488561859999999</v>
      </c>
    </row>
    <row r="56" spans="1:12" x14ac:dyDescent="0.3">
      <c r="A56" t="s">
        <v>2715</v>
      </c>
      <c r="B56" t="s">
        <v>2695</v>
      </c>
      <c r="C56" t="s">
        <v>2761</v>
      </c>
      <c r="D56">
        <v>-72.450000000000017</v>
      </c>
      <c r="E56">
        <v>4.0277481269999997</v>
      </c>
      <c r="I56" t="s">
        <v>2696</v>
      </c>
      <c r="J56" t="s">
        <v>2763</v>
      </c>
      <c r="K56">
        <v>-27.682014062499999</v>
      </c>
      <c r="L56">
        <v>1.3894092580109372</v>
      </c>
    </row>
    <row r="57" spans="1:12" x14ac:dyDescent="0.3">
      <c r="A57" t="s">
        <v>2715</v>
      </c>
      <c r="B57" t="s">
        <v>2695</v>
      </c>
      <c r="C57" t="s">
        <v>2761</v>
      </c>
      <c r="D57">
        <v>-72.332972000000012</v>
      </c>
      <c r="E57">
        <v>5.93</v>
      </c>
      <c r="I57" t="s">
        <v>2696</v>
      </c>
      <c r="J57" t="s">
        <v>2763</v>
      </c>
      <c r="K57">
        <v>-26.927848349999994</v>
      </c>
      <c r="L57">
        <v>3.5803873999999999E-2</v>
      </c>
    </row>
    <row r="58" spans="1:12" x14ac:dyDescent="0.3">
      <c r="A58" t="s">
        <v>2715</v>
      </c>
      <c r="B58" t="s">
        <v>2695</v>
      </c>
      <c r="C58" t="s">
        <v>2761</v>
      </c>
      <c r="D58">
        <v>-72.09965200000002</v>
      </c>
      <c r="E58">
        <v>5.6464658249999999</v>
      </c>
      <c r="I58" t="s">
        <v>2696</v>
      </c>
      <c r="J58" t="s">
        <v>2763</v>
      </c>
      <c r="K58">
        <v>-25.732220987500003</v>
      </c>
      <c r="L58">
        <v>1.5919531131477958</v>
      </c>
    </row>
    <row r="59" spans="1:12" x14ac:dyDescent="0.3">
      <c r="A59" t="s">
        <v>2715</v>
      </c>
      <c r="B59" t="s">
        <v>2695</v>
      </c>
      <c r="C59" t="s">
        <v>2761</v>
      </c>
      <c r="D59">
        <v>-72.08352124999999</v>
      </c>
      <c r="E59">
        <v>6.5498429930000004</v>
      </c>
      <c r="I59" t="s">
        <v>2696</v>
      </c>
      <c r="J59" t="s">
        <v>2763</v>
      </c>
      <c r="K59">
        <v>-25.078176474999996</v>
      </c>
      <c r="L59">
        <v>2.7406756114669628</v>
      </c>
    </row>
    <row r="60" spans="1:12" x14ac:dyDescent="0.3">
      <c r="A60" t="s">
        <v>2715</v>
      </c>
      <c r="B60" t="s">
        <v>2695</v>
      </c>
      <c r="C60" t="s">
        <v>2761</v>
      </c>
      <c r="D60">
        <v>-72.074999999999989</v>
      </c>
      <c r="E60">
        <v>7.2794638330000003</v>
      </c>
      <c r="I60" t="s">
        <v>2696</v>
      </c>
      <c r="J60" t="s">
        <v>2763</v>
      </c>
      <c r="K60">
        <v>-24.049157664999999</v>
      </c>
      <c r="L60">
        <v>-1.1691658789999999</v>
      </c>
    </row>
    <row r="61" spans="1:12" x14ac:dyDescent="0.3">
      <c r="A61" t="s">
        <v>2715</v>
      </c>
      <c r="B61" t="s">
        <v>2695</v>
      </c>
      <c r="C61" t="s">
        <v>2761</v>
      </c>
      <c r="D61">
        <v>-71.875</v>
      </c>
      <c r="E61">
        <v>7.3975176219999996</v>
      </c>
      <c r="I61" t="s">
        <v>2696</v>
      </c>
      <c r="J61" t="s">
        <v>2763</v>
      </c>
      <c r="K61">
        <v>-74.114874999999984</v>
      </c>
      <c r="L61">
        <v>0.176476419</v>
      </c>
    </row>
    <row r="62" spans="1:12" x14ac:dyDescent="0.3">
      <c r="A62" t="s">
        <v>2715</v>
      </c>
      <c r="B62" t="s">
        <v>2695</v>
      </c>
      <c r="C62" t="s">
        <v>2761</v>
      </c>
      <c r="D62">
        <v>-71.850032499999998</v>
      </c>
      <c r="E62">
        <v>4.33</v>
      </c>
      <c r="I62" t="s">
        <v>2696</v>
      </c>
      <c r="J62" t="s">
        <v>2763</v>
      </c>
      <c r="K62">
        <v>-69.633125000000007</v>
      </c>
      <c r="L62">
        <v>0.51143717899999996</v>
      </c>
    </row>
    <row r="63" spans="1:12" x14ac:dyDescent="0.3">
      <c r="A63" t="s">
        <v>2715</v>
      </c>
      <c r="B63" t="s">
        <v>2695</v>
      </c>
      <c r="C63" t="s">
        <v>2761</v>
      </c>
      <c r="D63">
        <v>-71.788962499999997</v>
      </c>
      <c r="E63">
        <v>5.5284481730000001</v>
      </c>
      <c r="I63" t="s">
        <v>2696</v>
      </c>
      <c r="J63" t="s">
        <v>2763</v>
      </c>
      <c r="K63">
        <v>-63.888749999999995</v>
      </c>
      <c r="L63">
        <v>1.854481058</v>
      </c>
    </row>
    <row r="64" spans="1:12" x14ac:dyDescent="0.3">
      <c r="A64" t="s">
        <v>2715</v>
      </c>
      <c r="B64" t="s">
        <v>2695</v>
      </c>
      <c r="C64" t="s">
        <v>2761</v>
      </c>
      <c r="D64">
        <v>-71.72969362500001</v>
      </c>
      <c r="E64">
        <v>9</v>
      </c>
      <c r="I64" t="s">
        <v>2696</v>
      </c>
      <c r="J64" t="s">
        <v>2763</v>
      </c>
      <c r="K64">
        <v>-62.000500000000009</v>
      </c>
      <c r="L64">
        <v>2.2954539820000002</v>
      </c>
    </row>
    <row r="65" spans="1:13" x14ac:dyDescent="0.3">
      <c r="A65" t="s">
        <v>2715</v>
      </c>
      <c r="B65" t="s">
        <v>2695</v>
      </c>
      <c r="C65" t="s">
        <v>2761</v>
      </c>
      <c r="D65">
        <v>-71.675000000000011</v>
      </c>
      <c r="E65">
        <v>4.8752136559999997</v>
      </c>
      <c r="I65" t="s">
        <v>2696</v>
      </c>
      <c r="J65" t="s">
        <v>2763</v>
      </c>
      <c r="K65">
        <v>-61.238374999999998</v>
      </c>
      <c r="L65">
        <v>0.38490365300000001</v>
      </c>
    </row>
    <row r="66" spans="1:13" x14ac:dyDescent="0.3">
      <c r="A66" t="s">
        <v>2715</v>
      </c>
      <c r="B66" t="s">
        <v>2695</v>
      </c>
      <c r="C66" t="s">
        <v>2761</v>
      </c>
      <c r="D66">
        <v>-71.575000000000017</v>
      </c>
      <c r="E66">
        <v>4.8121593779999996</v>
      </c>
      <c r="I66" t="s">
        <v>2696</v>
      </c>
      <c r="J66" t="s">
        <v>2763</v>
      </c>
      <c r="K66">
        <v>-55.562250000000013</v>
      </c>
      <c r="L66">
        <v>0.33502243999999998</v>
      </c>
    </row>
    <row r="67" spans="1:13" x14ac:dyDescent="0.3">
      <c r="A67" t="s">
        <v>2715</v>
      </c>
      <c r="B67" t="s">
        <v>2695</v>
      </c>
      <c r="C67" t="s">
        <v>2761</v>
      </c>
      <c r="D67">
        <v>-71.575000000000017</v>
      </c>
      <c r="E67">
        <v>4.6291487790000003</v>
      </c>
      <c r="I67" t="s">
        <v>2696</v>
      </c>
      <c r="J67" t="s">
        <v>2763</v>
      </c>
      <c r="K67">
        <v>-52.512242243750002</v>
      </c>
      <c r="L67">
        <v>1.1908353991891509</v>
      </c>
    </row>
    <row r="68" spans="1:13" x14ac:dyDescent="0.3">
      <c r="A68" t="s">
        <v>2715</v>
      </c>
      <c r="B68" t="s">
        <v>2695</v>
      </c>
      <c r="C68" t="s">
        <v>2761</v>
      </c>
      <c r="D68">
        <v>-71.548536374999998</v>
      </c>
      <c r="E68">
        <v>8.4768643539999999</v>
      </c>
      <c r="I68" t="s">
        <v>2696</v>
      </c>
      <c r="J68" t="s">
        <v>2763</v>
      </c>
      <c r="K68">
        <v>-52.218000000000025</v>
      </c>
      <c r="L68">
        <v>1.827059424</v>
      </c>
    </row>
    <row r="69" spans="1:13" x14ac:dyDescent="0.3">
      <c r="A69" t="s">
        <v>2715</v>
      </c>
      <c r="B69" t="s">
        <v>2695</v>
      </c>
      <c r="C69" t="s">
        <v>2761</v>
      </c>
      <c r="D69">
        <v>-71.483715750000016</v>
      </c>
      <c r="E69">
        <v>7.79</v>
      </c>
      <c r="I69" t="s">
        <v>2696</v>
      </c>
      <c r="J69" t="s">
        <v>2763</v>
      </c>
      <c r="K69">
        <v>-50.932625000000009</v>
      </c>
      <c r="L69">
        <v>1.4804567340000001</v>
      </c>
    </row>
    <row r="70" spans="1:13" x14ac:dyDescent="0.3">
      <c r="A70" t="s">
        <v>2715</v>
      </c>
      <c r="B70" t="s">
        <v>2695</v>
      </c>
      <c r="C70" t="s">
        <v>2761</v>
      </c>
      <c r="D70">
        <v>-71.362500000000011</v>
      </c>
      <c r="E70">
        <v>4.2572328800000001</v>
      </c>
      <c r="I70" t="s">
        <v>2696</v>
      </c>
      <c r="J70" t="s">
        <v>2763</v>
      </c>
      <c r="K70">
        <v>-38.98277458750001</v>
      </c>
      <c r="L70">
        <v>1.6787719117740334</v>
      </c>
    </row>
    <row r="71" spans="1:13" x14ac:dyDescent="0.3">
      <c r="A71" t="s">
        <v>2715</v>
      </c>
      <c r="B71" t="s">
        <v>2695</v>
      </c>
      <c r="C71" t="s">
        <v>2761</v>
      </c>
      <c r="D71">
        <v>-71.256077500000004</v>
      </c>
      <c r="E71">
        <v>4.51</v>
      </c>
      <c r="I71" t="s">
        <v>2696</v>
      </c>
      <c r="J71" t="s">
        <v>2762</v>
      </c>
      <c r="K71">
        <v>-40.116933157500007</v>
      </c>
      <c r="L71">
        <v>-1.2479256569999999</v>
      </c>
    </row>
    <row r="72" spans="1:13" x14ac:dyDescent="0.3">
      <c r="A72" t="s">
        <v>2715</v>
      </c>
      <c r="B72" t="s">
        <v>2695</v>
      </c>
      <c r="C72" t="s">
        <v>2761</v>
      </c>
      <c r="D72">
        <v>-71.241277125000011</v>
      </c>
      <c r="E72">
        <v>3.93</v>
      </c>
      <c r="I72" t="s">
        <v>2696</v>
      </c>
      <c r="J72" t="s">
        <v>2762</v>
      </c>
      <c r="K72">
        <v>-31.044151597500001</v>
      </c>
      <c r="L72">
        <v>1.180864336</v>
      </c>
    </row>
    <row r="73" spans="1:13" x14ac:dyDescent="0.3">
      <c r="A73" t="s">
        <v>2715</v>
      </c>
      <c r="B73" t="s">
        <v>2695</v>
      </c>
      <c r="C73" t="s">
        <v>2761</v>
      </c>
      <c r="D73">
        <v>-71.200000000000017</v>
      </c>
      <c r="E73">
        <v>8.8315914969999998</v>
      </c>
      <c r="I73" t="s">
        <v>2695</v>
      </c>
      <c r="J73" t="s">
        <v>2761</v>
      </c>
      <c r="K73">
        <v>-74.674144499999997</v>
      </c>
      <c r="M73">
        <v>6.4441190510000004</v>
      </c>
    </row>
    <row r="74" spans="1:13" x14ac:dyDescent="0.3">
      <c r="A74" t="s">
        <v>2715</v>
      </c>
      <c r="B74" t="s">
        <v>2695</v>
      </c>
      <c r="C74" t="s">
        <v>2761</v>
      </c>
      <c r="D74">
        <v>-71.108260000000001</v>
      </c>
      <c r="E74">
        <v>6.2458319260000001</v>
      </c>
      <c r="I74" t="s">
        <v>2695</v>
      </c>
      <c r="J74" t="s">
        <v>2761</v>
      </c>
      <c r="K74">
        <v>-74.3125</v>
      </c>
      <c r="M74">
        <v>1.2550141539999999</v>
      </c>
    </row>
    <row r="75" spans="1:13" x14ac:dyDescent="0.3">
      <c r="A75" t="s">
        <v>2715</v>
      </c>
      <c r="B75" t="s">
        <v>2695</v>
      </c>
      <c r="C75" t="s">
        <v>2761</v>
      </c>
      <c r="D75">
        <v>-70.974999999999994</v>
      </c>
      <c r="E75">
        <v>7.7614681299999999</v>
      </c>
      <c r="I75" t="s">
        <v>2695</v>
      </c>
      <c r="J75" t="s">
        <v>2761</v>
      </c>
      <c r="K75">
        <v>-73.840697500000005</v>
      </c>
      <c r="M75">
        <v>6.6736759040000004</v>
      </c>
    </row>
    <row r="76" spans="1:13" x14ac:dyDescent="0.3">
      <c r="A76" t="s">
        <v>2715</v>
      </c>
      <c r="B76" t="s">
        <v>2695</v>
      </c>
      <c r="C76" t="s">
        <v>2761</v>
      </c>
      <c r="D76">
        <v>-70.959407374999984</v>
      </c>
      <c r="E76">
        <v>5.39</v>
      </c>
      <c r="I76" t="s">
        <v>2695</v>
      </c>
      <c r="J76" t="s">
        <v>2761</v>
      </c>
      <c r="K76">
        <v>-73.642634999999999</v>
      </c>
      <c r="M76">
        <v>6.6841224730000004</v>
      </c>
    </row>
    <row r="77" spans="1:13" x14ac:dyDescent="0.3">
      <c r="A77" t="s">
        <v>2715</v>
      </c>
      <c r="B77" t="s">
        <v>2695</v>
      </c>
      <c r="C77" t="s">
        <v>2761</v>
      </c>
      <c r="D77">
        <v>-70.9375</v>
      </c>
      <c r="E77">
        <v>7.6255582730000002</v>
      </c>
      <c r="I77" t="s">
        <v>2695</v>
      </c>
      <c r="J77" t="s">
        <v>2761</v>
      </c>
      <c r="K77">
        <v>-73.014245750000001</v>
      </c>
      <c r="M77">
        <v>6.1231649890000002</v>
      </c>
    </row>
    <row r="78" spans="1:13" x14ac:dyDescent="0.3">
      <c r="A78" t="s">
        <v>2715</v>
      </c>
      <c r="B78" t="s">
        <v>2695</v>
      </c>
      <c r="C78" t="s">
        <v>2761</v>
      </c>
      <c r="D78">
        <v>-70.912499999999994</v>
      </c>
      <c r="E78">
        <v>4.8755664679999997</v>
      </c>
      <c r="I78" t="s">
        <v>2695</v>
      </c>
      <c r="J78" t="s">
        <v>2761</v>
      </c>
      <c r="K78">
        <v>-72.028892999999997</v>
      </c>
      <c r="M78">
        <v>5.7561244809999996</v>
      </c>
    </row>
    <row r="79" spans="1:13" x14ac:dyDescent="0.3">
      <c r="A79" t="s">
        <v>2715</v>
      </c>
      <c r="B79" t="s">
        <v>2695</v>
      </c>
      <c r="C79" t="s">
        <v>2761</v>
      </c>
      <c r="D79">
        <v>-70.778350500000016</v>
      </c>
      <c r="E79">
        <v>7.36</v>
      </c>
      <c r="I79" t="s">
        <v>2695</v>
      </c>
      <c r="J79" t="s">
        <v>2761</v>
      </c>
      <c r="K79">
        <v>-71.837500000000006</v>
      </c>
      <c r="M79">
        <v>6.5449959849999999</v>
      </c>
    </row>
    <row r="80" spans="1:13" x14ac:dyDescent="0.3">
      <c r="A80" t="s">
        <v>2715</v>
      </c>
      <c r="B80" t="s">
        <v>2695</v>
      </c>
      <c r="C80" t="s">
        <v>2761</v>
      </c>
      <c r="D80">
        <v>-70.675000000000011</v>
      </c>
      <c r="E80">
        <v>5.1336446750000002</v>
      </c>
      <c r="I80" t="s">
        <v>2695</v>
      </c>
      <c r="J80" t="s">
        <v>2761</v>
      </c>
      <c r="K80">
        <v>-71.212500000000006</v>
      </c>
      <c r="M80">
        <v>4.6128611279999996</v>
      </c>
    </row>
    <row r="81" spans="1:13" x14ac:dyDescent="0.3">
      <c r="A81" t="s">
        <v>2715</v>
      </c>
      <c r="B81" t="s">
        <v>2695</v>
      </c>
      <c r="C81" t="s">
        <v>2761</v>
      </c>
      <c r="D81">
        <v>-70.662499999999994</v>
      </c>
      <c r="E81">
        <v>6.156201727</v>
      </c>
      <c r="I81" t="s">
        <v>2695</v>
      </c>
      <c r="J81" t="s">
        <v>2761</v>
      </c>
      <c r="K81">
        <v>-71.129618000000008</v>
      </c>
      <c r="M81">
        <v>8.7866986669999996</v>
      </c>
    </row>
    <row r="82" spans="1:13" x14ac:dyDescent="0.3">
      <c r="A82" t="s">
        <v>2715</v>
      </c>
      <c r="B82" t="s">
        <v>2695</v>
      </c>
      <c r="C82" t="s">
        <v>2761</v>
      </c>
      <c r="D82">
        <v>-70.549999999999983</v>
      </c>
      <c r="E82">
        <v>7.6439117999999997</v>
      </c>
      <c r="I82" t="s">
        <v>2695</v>
      </c>
      <c r="J82" t="s">
        <v>2761</v>
      </c>
      <c r="K82">
        <v>-70.734265250000007</v>
      </c>
      <c r="M82">
        <v>9.0988914909999998</v>
      </c>
    </row>
    <row r="83" spans="1:13" x14ac:dyDescent="0.3">
      <c r="A83" t="s">
        <v>2715</v>
      </c>
      <c r="B83" t="s">
        <v>2695</v>
      </c>
      <c r="C83" t="s">
        <v>2761</v>
      </c>
      <c r="D83">
        <v>-70.537499999999994</v>
      </c>
      <c r="E83">
        <v>2.872987578</v>
      </c>
      <c r="I83" t="s">
        <v>2695</v>
      </c>
      <c r="J83" t="s">
        <v>2761</v>
      </c>
      <c r="K83">
        <v>-70.633115000000004</v>
      </c>
      <c r="M83">
        <v>6.6833936920000001</v>
      </c>
    </row>
    <row r="84" spans="1:13" x14ac:dyDescent="0.3">
      <c r="A84" t="s">
        <v>2715</v>
      </c>
      <c r="B84" t="s">
        <v>2695</v>
      </c>
      <c r="C84" t="s">
        <v>2761</v>
      </c>
      <c r="D84">
        <v>-70.394822000000005</v>
      </c>
      <c r="E84">
        <v>6.6764693030000002</v>
      </c>
      <c r="I84" t="s">
        <v>2695</v>
      </c>
      <c r="J84" t="s">
        <v>2761</v>
      </c>
      <c r="K84">
        <v>-69.975000000000009</v>
      </c>
      <c r="M84">
        <v>5.6833118059999999</v>
      </c>
    </row>
    <row r="85" spans="1:13" x14ac:dyDescent="0.3">
      <c r="A85" t="s">
        <v>2715</v>
      </c>
      <c r="B85" t="s">
        <v>2695</v>
      </c>
      <c r="C85" t="s">
        <v>2761</v>
      </c>
      <c r="D85">
        <v>-70.325000000000017</v>
      </c>
      <c r="E85" t="s">
        <v>16</v>
      </c>
      <c r="I85" t="s">
        <v>2695</v>
      </c>
      <c r="J85" t="s">
        <v>2761</v>
      </c>
      <c r="K85">
        <v>-68.2</v>
      </c>
      <c r="M85">
        <v>4.2251110140000003</v>
      </c>
    </row>
    <row r="86" spans="1:13" x14ac:dyDescent="0.3">
      <c r="A86" t="s">
        <v>2715</v>
      </c>
      <c r="B86" t="s">
        <v>2695</v>
      </c>
      <c r="C86" t="s">
        <v>2761</v>
      </c>
      <c r="D86">
        <v>-70.301606249999992</v>
      </c>
      <c r="E86">
        <v>6.76</v>
      </c>
      <c r="I86" t="s">
        <v>2695</v>
      </c>
      <c r="J86" t="s">
        <v>2761</v>
      </c>
      <c r="K86">
        <v>-68.0625</v>
      </c>
      <c r="M86">
        <v>2.1809722819999999</v>
      </c>
    </row>
    <row r="87" spans="1:13" x14ac:dyDescent="0.3">
      <c r="A87" t="s">
        <v>2715</v>
      </c>
      <c r="B87" t="s">
        <v>2695</v>
      </c>
      <c r="C87" t="s">
        <v>2761</v>
      </c>
      <c r="D87">
        <v>-70.287499999999994</v>
      </c>
      <c r="E87">
        <v>3.9245630650000001</v>
      </c>
      <c r="I87" t="s">
        <v>2695</v>
      </c>
      <c r="J87" t="s">
        <v>2761</v>
      </c>
      <c r="K87">
        <v>-66.087500000000006</v>
      </c>
      <c r="M87">
        <v>3.9660569749999999</v>
      </c>
    </row>
    <row r="88" spans="1:13" x14ac:dyDescent="0.3">
      <c r="A88" t="s">
        <v>2715</v>
      </c>
      <c r="B88" t="s">
        <v>2695</v>
      </c>
      <c r="C88" t="s">
        <v>2761</v>
      </c>
      <c r="D88">
        <v>-70.137499999999989</v>
      </c>
      <c r="E88">
        <v>5.5383834839999997</v>
      </c>
      <c r="I88" t="s">
        <v>2695</v>
      </c>
      <c r="J88" t="s">
        <v>2761</v>
      </c>
      <c r="K88">
        <v>-64.74261525</v>
      </c>
      <c r="M88">
        <v>4.5723211050000003</v>
      </c>
    </row>
    <row r="89" spans="1:13" x14ac:dyDescent="0.3">
      <c r="A89" t="s">
        <v>2715</v>
      </c>
      <c r="B89" t="s">
        <v>2695</v>
      </c>
      <c r="C89" t="s">
        <v>2761</v>
      </c>
      <c r="D89">
        <v>-70.074999999999989</v>
      </c>
      <c r="E89">
        <v>8.0738753039999995</v>
      </c>
      <c r="I89" t="s">
        <v>2695</v>
      </c>
      <c r="J89" t="s">
        <v>2761</v>
      </c>
      <c r="K89">
        <v>-64.431995499999999</v>
      </c>
      <c r="M89">
        <v>5.0836579520000003</v>
      </c>
    </row>
    <row r="90" spans="1:13" x14ac:dyDescent="0.3">
      <c r="A90" t="s">
        <v>2715</v>
      </c>
      <c r="B90" t="s">
        <v>2695</v>
      </c>
      <c r="C90" t="s">
        <v>2761</v>
      </c>
      <c r="D90">
        <v>-70.0625</v>
      </c>
      <c r="E90">
        <v>4.3856015810000004</v>
      </c>
      <c r="I90" t="s">
        <v>2695</v>
      </c>
      <c r="J90" t="s">
        <v>2761</v>
      </c>
      <c r="K90">
        <v>-63.505791250000001</v>
      </c>
      <c r="M90">
        <v>5.8278533020000003</v>
      </c>
    </row>
    <row r="91" spans="1:13" x14ac:dyDescent="0.3">
      <c r="A91" t="s">
        <v>2715</v>
      </c>
      <c r="B91" t="s">
        <v>2695</v>
      </c>
      <c r="C91" t="s">
        <v>2761</v>
      </c>
      <c r="D91">
        <v>-70.018157000000002</v>
      </c>
      <c r="E91">
        <v>5.4933990130000003</v>
      </c>
      <c r="I91" t="s">
        <v>2695</v>
      </c>
      <c r="J91" t="s">
        <v>2761</v>
      </c>
      <c r="K91">
        <v>-63.307039250000003</v>
      </c>
      <c r="M91">
        <v>2.5178868639999998</v>
      </c>
    </row>
    <row r="92" spans="1:13" x14ac:dyDescent="0.3">
      <c r="A92" t="s">
        <v>2715</v>
      </c>
      <c r="B92" t="s">
        <v>2695</v>
      </c>
      <c r="C92" t="s">
        <v>2761</v>
      </c>
      <c r="D92">
        <v>-69.924999999999983</v>
      </c>
      <c r="E92">
        <v>5.0935032119999999</v>
      </c>
      <c r="I92" t="s">
        <v>2695</v>
      </c>
      <c r="J92" t="s">
        <v>2761</v>
      </c>
      <c r="K92">
        <v>-60.296180249999999</v>
      </c>
      <c r="M92">
        <v>6.308539991</v>
      </c>
    </row>
    <row r="93" spans="1:13" x14ac:dyDescent="0.3">
      <c r="A93" t="s">
        <v>2715</v>
      </c>
      <c r="B93" t="s">
        <v>2695</v>
      </c>
      <c r="C93" t="s">
        <v>2761</v>
      </c>
      <c r="D93">
        <v>-69.88751400000001</v>
      </c>
      <c r="E93">
        <v>8.07</v>
      </c>
      <c r="I93" t="s">
        <v>2695</v>
      </c>
      <c r="J93" t="s">
        <v>2761</v>
      </c>
      <c r="K93">
        <v>-59.880514000000005</v>
      </c>
      <c r="M93">
        <v>4.7433851579999997</v>
      </c>
    </row>
    <row r="94" spans="1:13" x14ac:dyDescent="0.3">
      <c r="A94" t="s">
        <v>2715</v>
      </c>
      <c r="B94" t="s">
        <v>2695</v>
      </c>
      <c r="C94" t="s">
        <v>2761</v>
      </c>
      <c r="D94">
        <v>-69.8125</v>
      </c>
      <c r="E94">
        <v>4.1153342579999999</v>
      </c>
      <c r="I94" t="s">
        <v>2695</v>
      </c>
      <c r="J94" t="s">
        <v>2761</v>
      </c>
      <c r="K94">
        <v>-59.25</v>
      </c>
      <c r="M94">
        <v>3.2257204970000002</v>
      </c>
    </row>
    <row r="95" spans="1:13" x14ac:dyDescent="0.3">
      <c r="A95" t="s">
        <v>2715</v>
      </c>
      <c r="B95" t="s">
        <v>2695</v>
      </c>
      <c r="C95" t="s">
        <v>2761</v>
      </c>
      <c r="D95">
        <v>-69.625368000000009</v>
      </c>
      <c r="E95">
        <v>7.5331980180000002</v>
      </c>
      <c r="I95" t="s">
        <v>2695</v>
      </c>
      <c r="J95" t="s">
        <v>2761</v>
      </c>
      <c r="K95">
        <v>-59.113617750000003</v>
      </c>
      <c r="M95">
        <v>4.8630116880000003</v>
      </c>
    </row>
    <row r="96" spans="1:13" x14ac:dyDescent="0.3">
      <c r="A96" t="s">
        <v>2715</v>
      </c>
      <c r="B96" t="s">
        <v>2695</v>
      </c>
      <c r="C96" t="s">
        <v>2761</v>
      </c>
      <c r="D96">
        <v>-69.612499999999983</v>
      </c>
      <c r="E96" t="s">
        <v>16</v>
      </c>
      <c r="I96" t="s">
        <v>2695</v>
      </c>
      <c r="J96" t="s">
        <v>2761</v>
      </c>
      <c r="K96">
        <v>-58.750000000000007</v>
      </c>
      <c r="M96">
        <v>4.6050565990000001</v>
      </c>
    </row>
    <row r="97" spans="1:13" x14ac:dyDescent="0.3">
      <c r="A97" t="s">
        <v>2715</v>
      </c>
      <c r="B97" t="s">
        <v>2695</v>
      </c>
      <c r="C97" t="s">
        <v>2761</v>
      </c>
      <c r="D97">
        <v>-69.362499999999983</v>
      </c>
      <c r="E97">
        <v>2.317942435</v>
      </c>
      <c r="I97" t="s">
        <v>2695</v>
      </c>
      <c r="J97" t="s">
        <v>2761</v>
      </c>
      <c r="K97">
        <v>-57.975000000000001</v>
      </c>
      <c r="M97">
        <v>6.554213861</v>
      </c>
    </row>
    <row r="98" spans="1:13" x14ac:dyDescent="0.3">
      <c r="A98" t="s">
        <v>2715</v>
      </c>
      <c r="B98" t="s">
        <v>2695</v>
      </c>
      <c r="C98" t="s">
        <v>2761</v>
      </c>
      <c r="D98">
        <v>-69.351716500000009</v>
      </c>
      <c r="E98">
        <v>4.8099999999999996</v>
      </c>
      <c r="I98" t="s">
        <v>2695</v>
      </c>
      <c r="J98" t="s">
        <v>2761</v>
      </c>
      <c r="K98">
        <v>-57.487499999999997</v>
      </c>
      <c r="M98">
        <v>5.6515635069999997</v>
      </c>
    </row>
    <row r="99" spans="1:13" x14ac:dyDescent="0.3">
      <c r="A99" t="s">
        <v>2715</v>
      </c>
      <c r="B99" t="s">
        <v>2695</v>
      </c>
      <c r="C99" t="s">
        <v>2761</v>
      </c>
      <c r="D99">
        <v>-69.121266375000005</v>
      </c>
      <c r="E99">
        <v>5.03</v>
      </c>
      <c r="I99" t="s">
        <v>2695</v>
      </c>
      <c r="J99" t="s">
        <v>2761</v>
      </c>
      <c r="K99">
        <v>-55.787500000000001</v>
      </c>
      <c r="M99">
        <v>5.9248277380000003</v>
      </c>
    </row>
    <row r="100" spans="1:13" x14ac:dyDescent="0.3">
      <c r="A100" t="s">
        <v>2715</v>
      </c>
      <c r="B100" t="s">
        <v>2695</v>
      </c>
      <c r="C100" t="s">
        <v>2761</v>
      </c>
      <c r="D100">
        <v>-69.112500000000011</v>
      </c>
      <c r="E100">
        <v>4.230405448</v>
      </c>
      <c r="I100" t="s">
        <v>2695</v>
      </c>
      <c r="J100" t="s">
        <v>2761</v>
      </c>
      <c r="K100">
        <v>-55.162500000000001</v>
      </c>
      <c r="M100">
        <v>3.4035780510000002</v>
      </c>
    </row>
    <row r="101" spans="1:13" x14ac:dyDescent="0.3">
      <c r="A101" t="s">
        <v>2715</v>
      </c>
      <c r="B101" t="s">
        <v>2695</v>
      </c>
      <c r="C101" t="s">
        <v>2761</v>
      </c>
      <c r="D101">
        <v>-69.0625</v>
      </c>
      <c r="E101">
        <v>8.8438989180000007</v>
      </c>
      <c r="I101" t="s">
        <v>2695</v>
      </c>
      <c r="J101" t="s">
        <v>2761</v>
      </c>
      <c r="K101">
        <v>-54.712499999999999</v>
      </c>
      <c r="M101">
        <v>4.4643169909999996</v>
      </c>
    </row>
    <row r="102" spans="1:13" x14ac:dyDescent="0.3">
      <c r="A102" t="s">
        <v>2715</v>
      </c>
      <c r="B102" t="s">
        <v>2695</v>
      </c>
      <c r="C102" t="s">
        <v>2761</v>
      </c>
      <c r="D102">
        <v>-69.049999999999983</v>
      </c>
      <c r="E102">
        <v>6.1469806570000003</v>
      </c>
      <c r="I102" t="s">
        <v>2695</v>
      </c>
      <c r="J102" t="s">
        <v>2761</v>
      </c>
      <c r="K102">
        <v>-53.967247999999998</v>
      </c>
      <c r="M102">
        <v>6.2372421649999996</v>
      </c>
    </row>
    <row r="103" spans="1:13" x14ac:dyDescent="0.3">
      <c r="A103" t="s">
        <v>2715</v>
      </c>
      <c r="B103" t="s">
        <v>2695</v>
      </c>
      <c r="C103" t="s">
        <v>2761</v>
      </c>
      <c r="D103">
        <v>-68.98500525</v>
      </c>
      <c r="E103">
        <v>5.24</v>
      </c>
      <c r="I103" t="s">
        <v>2695</v>
      </c>
      <c r="J103" t="s">
        <v>2761</v>
      </c>
      <c r="K103">
        <v>-53.598146249999999</v>
      </c>
      <c r="M103">
        <v>4.143578626</v>
      </c>
    </row>
    <row r="104" spans="1:13" x14ac:dyDescent="0.3">
      <c r="A104" t="s">
        <v>2715</v>
      </c>
      <c r="B104" t="s">
        <v>2695</v>
      </c>
      <c r="C104" t="s">
        <v>2761</v>
      </c>
      <c r="D104">
        <v>-68.962500000000006</v>
      </c>
      <c r="E104">
        <v>5.1349042999999996</v>
      </c>
      <c r="I104" t="s">
        <v>2695</v>
      </c>
      <c r="J104" t="s">
        <v>2761</v>
      </c>
      <c r="K104">
        <v>-53.437500000000007</v>
      </c>
      <c r="M104">
        <v>4.6951264610000001</v>
      </c>
    </row>
    <row r="105" spans="1:13" x14ac:dyDescent="0.3">
      <c r="A105" t="s">
        <v>2715</v>
      </c>
      <c r="B105" t="s">
        <v>2695</v>
      </c>
      <c r="C105" t="s">
        <v>2761</v>
      </c>
      <c r="D105">
        <v>-68.950195250000007</v>
      </c>
      <c r="E105">
        <v>1.55</v>
      </c>
      <c r="I105" t="s">
        <v>2695</v>
      </c>
      <c r="J105" t="s">
        <v>2761</v>
      </c>
      <c r="K105">
        <v>-51.9375</v>
      </c>
      <c r="M105">
        <v>3.3433716809999998</v>
      </c>
    </row>
    <row r="106" spans="1:13" x14ac:dyDescent="0.3">
      <c r="A106" t="s">
        <v>2715</v>
      </c>
      <c r="B106" t="s">
        <v>2695</v>
      </c>
      <c r="C106" t="s">
        <v>2761</v>
      </c>
      <c r="D106">
        <v>-68.9375</v>
      </c>
      <c r="E106">
        <v>4.8688173519999998</v>
      </c>
      <c r="I106" t="s">
        <v>2695</v>
      </c>
      <c r="J106" t="s">
        <v>2761</v>
      </c>
      <c r="K106">
        <v>-51.889034500000001</v>
      </c>
      <c r="M106">
        <v>4.3369842680000001</v>
      </c>
    </row>
    <row r="107" spans="1:13" x14ac:dyDescent="0.3">
      <c r="A107" t="s">
        <v>2715</v>
      </c>
      <c r="B107" t="s">
        <v>2695</v>
      </c>
      <c r="C107" t="s">
        <v>2761</v>
      </c>
      <c r="D107">
        <v>-68.849999999999994</v>
      </c>
      <c r="E107">
        <v>3.9994609560000001</v>
      </c>
      <c r="I107" t="s">
        <v>2695</v>
      </c>
      <c r="J107" t="s">
        <v>2761</v>
      </c>
      <c r="K107">
        <v>-51.858783000000003</v>
      </c>
      <c r="M107">
        <v>1.0860827200000001</v>
      </c>
    </row>
    <row r="108" spans="1:13" x14ac:dyDescent="0.3">
      <c r="A108" t="s">
        <v>2715</v>
      </c>
      <c r="B108" t="s">
        <v>2695</v>
      </c>
      <c r="C108" t="s">
        <v>2761</v>
      </c>
      <c r="D108">
        <v>-68.737376500000011</v>
      </c>
      <c r="E108">
        <v>5.38</v>
      </c>
      <c r="I108" t="s">
        <v>2695</v>
      </c>
      <c r="J108" t="s">
        <v>2761</v>
      </c>
      <c r="K108">
        <v>-51.550561999999999</v>
      </c>
      <c r="M108">
        <v>3.0585517100000001</v>
      </c>
    </row>
    <row r="109" spans="1:13" x14ac:dyDescent="0.3">
      <c r="A109" t="s">
        <v>2715</v>
      </c>
      <c r="B109" t="s">
        <v>2695</v>
      </c>
      <c r="C109" t="s">
        <v>2761</v>
      </c>
      <c r="D109">
        <v>-68.700000000000017</v>
      </c>
      <c r="E109">
        <v>5.6361808890000002</v>
      </c>
      <c r="I109" t="s">
        <v>2695</v>
      </c>
      <c r="J109" t="s">
        <v>2761</v>
      </c>
      <c r="K109">
        <v>-50.099338000000003</v>
      </c>
      <c r="M109">
        <v>6.7541484350000003</v>
      </c>
    </row>
    <row r="110" spans="1:13" x14ac:dyDescent="0.3">
      <c r="A110" t="s">
        <v>2715</v>
      </c>
      <c r="B110" t="s">
        <v>2695</v>
      </c>
      <c r="C110" t="s">
        <v>2761</v>
      </c>
      <c r="D110">
        <v>-68.6875</v>
      </c>
      <c r="E110">
        <v>7.7058101160000003</v>
      </c>
      <c r="I110" t="s">
        <v>2695</v>
      </c>
      <c r="J110" t="s">
        <v>2761</v>
      </c>
      <c r="K110">
        <v>-49.760336750000008</v>
      </c>
      <c r="M110">
        <v>9.3910979920000006</v>
      </c>
    </row>
    <row r="111" spans="1:13" x14ac:dyDescent="0.3">
      <c r="A111" t="s">
        <v>2715</v>
      </c>
      <c r="B111" t="s">
        <v>2695</v>
      </c>
      <c r="C111" t="s">
        <v>2761</v>
      </c>
      <c r="D111">
        <v>-68.683532624999998</v>
      </c>
      <c r="E111">
        <v>4.4628602700000002</v>
      </c>
      <c r="I111" t="s">
        <v>2695</v>
      </c>
      <c r="J111" t="s">
        <v>2761</v>
      </c>
      <c r="K111">
        <v>-39.336625500000004</v>
      </c>
      <c r="M111">
        <v>2.1530488000000001</v>
      </c>
    </row>
    <row r="112" spans="1:13" x14ac:dyDescent="0.3">
      <c r="A112" t="s">
        <v>2715</v>
      </c>
      <c r="B112" t="s">
        <v>2695</v>
      </c>
      <c r="C112" t="s">
        <v>2761</v>
      </c>
      <c r="D112">
        <v>-68.677090499999991</v>
      </c>
      <c r="E112">
        <v>6.07</v>
      </c>
      <c r="I112" t="s">
        <v>2695</v>
      </c>
      <c r="J112" t="s">
        <v>2761</v>
      </c>
      <c r="K112">
        <v>-37.864625000000004</v>
      </c>
      <c r="M112">
        <v>4.74909654</v>
      </c>
    </row>
    <row r="113" spans="1:13" x14ac:dyDescent="0.3">
      <c r="A113" t="s">
        <v>2715</v>
      </c>
      <c r="B113" t="s">
        <v>2695</v>
      </c>
      <c r="C113" t="s">
        <v>2761</v>
      </c>
      <c r="D113">
        <v>-68.600856499999992</v>
      </c>
      <c r="E113">
        <v>6.24</v>
      </c>
      <c r="I113" t="s">
        <v>2695</v>
      </c>
      <c r="J113" t="s">
        <v>2761</v>
      </c>
      <c r="K113">
        <v>-37.17081975</v>
      </c>
      <c r="M113">
        <v>2.5285279159999998</v>
      </c>
    </row>
    <row r="114" spans="1:13" x14ac:dyDescent="0.3">
      <c r="A114" t="s">
        <v>2715</v>
      </c>
      <c r="B114" t="s">
        <v>2695</v>
      </c>
      <c r="C114" t="s">
        <v>2761</v>
      </c>
      <c r="D114">
        <v>-68.599999999999994</v>
      </c>
      <c r="E114">
        <v>4.379715461</v>
      </c>
      <c r="I114" t="s">
        <v>2695</v>
      </c>
      <c r="J114" t="s">
        <v>2761</v>
      </c>
      <c r="K114">
        <v>-29.85</v>
      </c>
      <c r="M114">
        <v>4.448716224</v>
      </c>
    </row>
    <row r="115" spans="1:13" x14ac:dyDescent="0.3">
      <c r="A115" t="s">
        <v>2715</v>
      </c>
      <c r="B115" t="s">
        <v>2695</v>
      </c>
      <c r="C115" t="s">
        <v>2761</v>
      </c>
      <c r="D115">
        <v>-68.598360500000013</v>
      </c>
      <c r="E115">
        <v>4.1500000000000004</v>
      </c>
      <c r="I115" t="s">
        <v>2695</v>
      </c>
      <c r="J115" t="s">
        <v>2761</v>
      </c>
      <c r="K115">
        <v>-74.962500000000006</v>
      </c>
      <c r="M115">
        <v>6.1575288090000004</v>
      </c>
    </row>
    <row r="116" spans="1:13" x14ac:dyDescent="0.3">
      <c r="A116" t="s">
        <v>2715</v>
      </c>
      <c r="B116" t="s">
        <v>2695</v>
      </c>
      <c r="C116" t="s">
        <v>2761</v>
      </c>
      <c r="D116">
        <v>-68.564789499999989</v>
      </c>
      <c r="E116">
        <v>2.09</v>
      </c>
      <c r="I116" t="s">
        <v>2695</v>
      </c>
      <c r="J116" t="s">
        <v>2761</v>
      </c>
      <c r="K116">
        <v>-74.950000000000017</v>
      </c>
      <c r="M116">
        <v>3.8466605340000002</v>
      </c>
    </row>
    <row r="117" spans="1:13" x14ac:dyDescent="0.3">
      <c r="A117" t="s">
        <v>2715</v>
      </c>
      <c r="B117" t="s">
        <v>2695</v>
      </c>
      <c r="C117" t="s">
        <v>2761</v>
      </c>
      <c r="D117">
        <v>-68.549172249999998</v>
      </c>
      <c r="E117">
        <v>4.24</v>
      </c>
      <c r="I117" t="s">
        <v>2695</v>
      </c>
      <c r="J117" t="s">
        <v>2761</v>
      </c>
      <c r="K117">
        <v>-74.887499999999989</v>
      </c>
      <c r="M117">
        <v>4.2834954779999999</v>
      </c>
    </row>
    <row r="118" spans="1:13" x14ac:dyDescent="0.3">
      <c r="A118" t="s">
        <v>2715</v>
      </c>
      <c r="B118" t="s">
        <v>2695</v>
      </c>
      <c r="C118" t="s">
        <v>2761</v>
      </c>
      <c r="D118">
        <v>-68.527477000000005</v>
      </c>
      <c r="E118">
        <v>7.12</v>
      </c>
      <c r="I118" t="s">
        <v>2695</v>
      </c>
      <c r="J118" t="s">
        <v>2761</v>
      </c>
      <c r="K118">
        <v>-74.824999999999989</v>
      </c>
      <c r="M118">
        <v>5.4492899039999996</v>
      </c>
    </row>
    <row r="119" spans="1:13" x14ac:dyDescent="0.3">
      <c r="A119" t="s">
        <v>2715</v>
      </c>
      <c r="B119" t="s">
        <v>2695</v>
      </c>
      <c r="C119" t="s">
        <v>2761</v>
      </c>
      <c r="D119">
        <v>-68.526241249999998</v>
      </c>
      <c r="E119">
        <v>4</v>
      </c>
      <c r="I119" t="s">
        <v>2695</v>
      </c>
      <c r="J119" t="s">
        <v>2761</v>
      </c>
      <c r="K119">
        <v>-74.810810000000004</v>
      </c>
      <c r="M119">
        <v>6.86</v>
      </c>
    </row>
    <row r="120" spans="1:13" x14ac:dyDescent="0.3">
      <c r="A120" t="s">
        <v>2715</v>
      </c>
      <c r="B120" t="s">
        <v>2695</v>
      </c>
      <c r="C120" t="s">
        <v>2761</v>
      </c>
      <c r="D120">
        <v>-68.512499999999989</v>
      </c>
      <c r="E120">
        <v>5.8259069879999998</v>
      </c>
      <c r="I120" t="s">
        <v>2695</v>
      </c>
      <c r="J120" t="s">
        <v>2761</v>
      </c>
      <c r="K120">
        <v>-74.807071500000006</v>
      </c>
      <c r="M120">
        <v>8.24</v>
      </c>
    </row>
    <row r="121" spans="1:13" x14ac:dyDescent="0.3">
      <c r="A121" t="s">
        <v>2715</v>
      </c>
      <c r="B121" t="s">
        <v>2695</v>
      </c>
      <c r="C121" t="s">
        <v>2761</v>
      </c>
      <c r="D121">
        <v>-68.480662125000009</v>
      </c>
      <c r="E121">
        <v>5.61</v>
      </c>
      <c r="I121" t="s">
        <v>2695</v>
      </c>
      <c r="J121" t="s">
        <v>2761</v>
      </c>
      <c r="K121">
        <v>-74.724999999999994</v>
      </c>
      <c r="M121">
        <v>8.4124316369999992</v>
      </c>
    </row>
    <row r="122" spans="1:13" x14ac:dyDescent="0.3">
      <c r="A122" t="s">
        <v>2715</v>
      </c>
      <c r="B122" t="s">
        <v>2695</v>
      </c>
      <c r="C122" t="s">
        <v>2761</v>
      </c>
      <c r="D122">
        <v>-68.390294624999996</v>
      </c>
      <c r="E122">
        <v>14.86</v>
      </c>
      <c r="I122" t="s">
        <v>2695</v>
      </c>
      <c r="J122" t="s">
        <v>2761</v>
      </c>
      <c r="K122">
        <v>-74.552245499999998</v>
      </c>
      <c r="M122">
        <v>3.58</v>
      </c>
    </row>
    <row r="123" spans="1:13" x14ac:dyDescent="0.3">
      <c r="A123" t="s">
        <v>2715</v>
      </c>
      <c r="B123" t="s">
        <v>2695</v>
      </c>
      <c r="C123" t="s">
        <v>2761</v>
      </c>
      <c r="D123">
        <v>-68.375</v>
      </c>
      <c r="E123">
        <v>4.1164420819999998</v>
      </c>
      <c r="I123" t="s">
        <v>2695</v>
      </c>
      <c r="J123" t="s">
        <v>2761</v>
      </c>
      <c r="K123">
        <v>-74.537499999999994</v>
      </c>
      <c r="M123">
        <v>3.8710326269999999</v>
      </c>
    </row>
    <row r="124" spans="1:13" x14ac:dyDescent="0.3">
      <c r="A124" t="s">
        <v>2715</v>
      </c>
      <c r="B124" t="s">
        <v>2695</v>
      </c>
      <c r="C124" t="s">
        <v>2761</v>
      </c>
      <c r="D124">
        <v>-68.337500000000006</v>
      </c>
      <c r="E124">
        <v>5.617299848</v>
      </c>
      <c r="I124" t="s">
        <v>2695</v>
      </c>
      <c r="J124" t="s">
        <v>2761</v>
      </c>
      <c r="K124">
        <v>-74.525701125000012</v>
      </c>
      <c r="M124">
        <v>7.92</v>
      </c>
    </row>
    <row r="125" spans="1:13" x14ac:dyDescent="0.3">
      <c r="A125" t="s">
        <v>2715</v>
      </c>
      <c r="B125" t="s">
        <v>2695</v>
      </c>
      <c r="C125" t="s">
        <v>2761</v>
      </c>
      <c r="D125">
        <v>-68.287499999999994</v>
      </c>
      <c r="E125">
        <v>4.8131399889999997</v>
      </c>
      <c r="I125" t="s">
        <v>2695</v>
      </c>
      <c r="J125" t="s">
        <v>2761</v>
      </c>
      <c r="K125">
        <v>-74.476274500000017</v>
      </c>
      <c r="M125">
        <v>5.7324705959999998</v>
      </c>
    </row>
    <row r="126" spans="1:13" x14ac:dyDescent="0.3">
      <c r="A126" t="s">
        <v>2715</v>
      </c>
      <c r="B126" t="s">
        <v>2695</v>
      </c>
      <c r="C126" t="s">
        <v>2761</v>
      </c>
      <c r="D126">
        <v>-68.25</v>
      </c>
      <c r="E126">
        <v>3.6856636429999998</v>
      </c>
      <c r="I126" t="s">
        <v>2695</v>
      </c>
      <c r="J126" t="s">
        <v>2761</v>
      </c>
      <c r="K126">
        <v>-74.453568000000018</v>
      </c>
      <c r="M126">
        <v>7.11</v>
      </c>
    </row>
    <row r="127" spans="1:13" x14ac:dyDescent="0.3">
      <c r="A127" t="s">
        <v>2715</v>
      </c>
      <c r="B127" t="s">
        <v>2695</v>
      </c>
      <c r="C127" t="s">
        <v>2761</v>
      </c>
      <c r="D127">
        <v>-68.25</v>
      </c>
      <c r="E127">
        <v>6.3993178049999999</v>
      </c>
      <c r="I127" t="s">
        <v>2695</v>
      </c>
      <c r="J127" t="s">
        <v>2761</v>
      </c>
      <c r="K127">
        <v>-74.433680624999994</v>
      </c>
      <c r="M127">
        <v>7.66</v>
      </c>
    </row>
    <row r="128" spans="1:13" x14ac:dyDescent="0.3">
      <c r="A128" t="s">
        <v>2715</v>
      </c>
      <c r="B128" t="s">
        <v>2695</v>
      </c>
      <c r="C128" t="s">
        <v>2761</v>
      </c>
      <c r="D128">
        <v>-68.220884000000012</v>
      </c>
      <c r="E128">
        <v>7.1919720040000001</v>
      </c>
      <c r="I128" t="s">
        <v>2695</v>
      </c>
      <c r="J128" t="s">
        <v>2761</v>
      </c>
      <c r="K128">
        <v>-74.322751000000011</v>
      </c>
      <c r="M128">
        <v>10.26</v>
      </c>
    </row>
    <row r="129" spans="1:13" x14ac:dyDescent="0.3">
      <c r="A129" t="s">
        <v>2715</v>
      </c>
      <c r="B129" t="s">
        <v>2695</v>
      </c>
      <c r="C129" t="s">
        <v>2761</v>
      </c>
      <c r="D129">
        <v>-68.112499999999983</v>
      </c>
      <c r="E129">
        <v>5.0772408249999996</v>
      </c>
      <c r="I129" t="s">
        <v>2695</v>
      </c>
      <c r="J129" t="s">
        <v>2761</v>
      </c>
      <c r="K129">
        <v>-74.249639624999986</v>
      </c>
      <c r="M129">
        <v>6.79</v>
      </c>
    </row>
    <row r="130" spans="1:13" x14ac:dyDescent="0.3">
      <c r="A130" t="s">
        <v>2715</v>
      </c>
      <c r="B130" t="s">
        <v>2695</v>
      </c>
      <c r="C130" t="s">
        <v>2761</v>
      </c>
      <c r="D130">
        <v>-68.087500000000006</v>
      </c>
      <c r="E130">
        <v>4.6084822760000002</v>
      </c>
      <c r="I130" t="s">
        <v>2695</v>
      </c>
      <c r="J130" t="s">
        <v>2761</v>
      </c>
      <c r="K130">
        <v>-74.16217850000001</v>
      </c>
      <c r="M130">
        <v>5.15</v>
      </c>
    </row>
    <row r="131" spans="1:13" x14ac:dyDescent="0.3">
      <c r="A131" t="s">
        <v>2715</v>
      </c>
      <c r="B131" t="s">
        <v>2695</v>
      </c>
      <c r="C131" t="s">
        <v>2761</v>
      </c>
      <c r="D131">
        <v>-68.049999999999983</v>
      </c>
      <c r="E131">
        <v>9.4546056459999992</v>
      </c>
      <c r="I131" t="s">
        <v>2695</v>
      </c>
      <c r="J131" t="s">
        <v>2761</v>
      </c>
      <c r="K131">
        <v>-74.0625</v>
      </c>
      <c r="M131">
        <v>2.0945182710000001</v>
      </c>
    </row>
    <row r="132" spans="1:13" x14ac:dyDescent="0.3">
      <c r="A132" t="s">
        <v>2715</v>
      </c>
      <c r="B132" t="s">
        <v>2695</v>
      </c>
      <c r="C132" t="s">
        <v>2761</v>
      </c>
      <c r="D132">
        <v>-68</v>
      </c>
      <c r="E132">
        <v>4.6594792079999996</v>
      </c>
      <c r="I132" t="s">
        <v>2695</v>
      </c>
      <c r="J132" t="s">
        <v>2761</v>
      </c>
      <c r="K132">
        <v>-74.049999999999983</v>
      </c>
      <c r="M132">
        <v>6.5984804869999998</v>
      </c>
    </row>
    <row r="133" spans="1:13" x14ac:dyDescent="0.3">
      <c r="A133" t="s">
        <v>2715</v>
      </c>
      <c r="B133" t="s">
        <v>2695</v>
      </c>
      <c r="C133" t="s">
        <v>2761</v>
      </c>
      <c r="D133">
        <v>-67.843597125000002</v>
      </c>
      <c r="E133">
        <v>7.26</v>
      </c>
      <c r="I133" t="s">
        <v>2695</v>
      </c>
      <c r="J133" t="s">
        <v>2761</v>
      </c>
      <c r="K133">
        <v>-73.867115499999983</v>
      </c>
      <c r="M133">
        <v>4.4800000000000004</v>
      </c>
    </row>
    <row r="134" spans="1:13" x14ac:dyDescent="0.3">
      <c r="A134" t="s">
        <v>2715</v>
      </c>
      <c r="B134" t="s">
        <v>2695</v>
      </c>
      <c r="C134" t="s">
        <v>2761</v>
      </c>
      <c r="D134">
        <v>-67.825000000000017</v>
      </c>
      <c r="E134">
        <v>5.7384713749999996</v>
      </c>
      <c r="I134" t="s">
        <v>2695</v>
      </c>
      <c r="J134" t="s">
        <v>2761</v>
      </c>
      <c r="K134">
        <v>-73.787499999999994</v>
      </c>
      <c r="M134">
        <v>6.4983951089999996</v>
      </c>
    </row>
    <row r="135" spans="1:13" x14ac:dyDescent="0.3">
      <c r="A135" t="s">
        <v>2715</v>
      </c>
      <c r="B135" t="s">
        <v>2695</v>
      </c>
      <c r="C135" t="s">
        <v>2761</v>
      </c>
      <c r="D135">
        <v>-67.812598000000008</v>
      </c>
      <c r="E135">
        <v>6.07</v>
      </c>
      <c r="I135" t="s">
        <v>2695</v>
      </c>
      <c r="J135" t="s">
        <v>2761</v>
      </c>
      <c r="K135">
        <v>-73.787499999999994</v>
      </c>
      <c r="M135">
        <v>4.8986809850000004</v>
      </c>
    </row>
    <row r="136" spans="1:13" x14ac:dyDescent="0.3">
      <c r="A136" t="s">
        <v>2715</v>
      </c>
      <c r="B136" t="s">
        <v>2695</v>
      </c>
      <c r="C136" t="s">
        <v>2761</v>
      </c>
      <c r="D136">
        <v>-67.762500000000017</v>
      </c>
      <c r="E136">
        <v>8.3990171500000006</v>
      </c>
      <c r="I136" t="s">
        <v>2695</v>
      </c>
      <c r="J136" t="s">
        <v>2761</v>
      </c>
      <c r="K136">
        <v>-73.674999999999983</v>
      </c>
      <c r="M136">
        <v>5.9053070239999998</v>
      </c>
    </row>
    <row r="137" spans="1:13" x14ac:dyDescent="0.3">
      <c r="A137" t="s">
        <v>2715</v>
      </c>
      <c r="B137" t="s">
        <v>2695</v>
      </c>
      <c r="C137" t="s">
        <v>2761</v>
      </c>
      <c r="D137">
        <v>-67.737499999999983</v>
      </c>
      <c r="E137">
        <v>5.8449120849999998</v>
      </c>
      <c r="I137" t="s">
        <v>2695</v>
      </c>
      <c r="J137" t="s">
        <v>2761</v>
      </c>
      <c r="K137">
        <v>-73.650000000000006</v>
      </c>
      <c r="M137">
        <v>3.9089561320000001</v>
      </c>
    </row>
    <row r="138" spans="1:13" x14ac:dyDescent="0.3">
      <c r="A138" t="s">
        <v>2715</v>
      </c>
      <c r="B138" t="s">
        <v>2695</v>
      </c>
      <c r="C138" t="s">
        <v>2761</v>
      </c>
      <c r="D138">
        <v>-67.724999999999994</v>
      </c>
      <c r="E138">
        <v>5.2781259159999996</v>
      </c>
      <c r="I138" t="s">
        <v>2695</v>
      </c>
      <c r="J138" t="s">
        <v>2761</v>
      </c>
      <c r="K138">
        <v>-73.599999999999994</v>
      </c>
      <c r="M138">
        <v>4.1124055869999996</v>
      </c>
    </row>
    <row r="139" spans="1:13" x14ac:dyDescent="0.3">
      <c r="A139" t="s">
        <v>2715</v>
      </c>
      <c r="B139" t="s">
        <v>2695</v>
      </c>
      <c r="C139" t="s">
        <v>2761</v>
      </c>
      <c r="D139">
        <v>-67.699999999999989</v>
      </c>
      <c r="E139">
        <v>4.7065184760000003</v>
      </c>
      <c r="I139" t="s">
        <v>2695</v>
      </c>
      <c r="J139" t="s">
        <v>2761</v>
      </c>
      <c r="K139">
        <v>-73.489610874999983</v>
      </c>
      <c r="M139">
        <v>6.44</v>
      </c>
    </row>
    <row r="140" spans="1:13" x14ac:dyDescent="0.3">
      <c r="A140" t="s">
        <v>2715</v>
      </c>
      <c r="B140" t="s">
        <v>2695</v>
      </c>
      <c r="C140" t="s">
        <v>2761</v>
      </c>
      <c r="D140">
        <v>-67.699999999999989</v>
      </c>
      <c r="E140">
        <v>7.9569574410000001</v>
      </c>
      <c r="I140" t="s">
        <v>2695</v>
      </c>
      <c r="J140" t="s">
        <v>2761</v>
      </c>
      <c r="K140">
        <v>-73.433842499999997</v>
      </c>
      <c r="M140">
        <v>4.6100000000000003</v>
      </c>
    </row>
    <row r="141" spans="1:13" x14ac:dyDescent="0.3">
      <c r="A141" t="s">
        <v>2715</v>
      </c>
      <c r="B141" t="s">
        <v>2695</v>
      </c>
      <c r="C141" t="s">
        <v>2761</v>
      </c>
      <c r="D141">
        <v>-67.699824500000005</v>
      </c>
      <c r="E141">
        <v>8.16</v>
      </c>
      <c r="I141" t="s">
        <v>2695</v>
      </c>
      <c r="J141" t="s">
        <v>2761</v>
      </c>
      <c r="K141">
        <v>-73.400000000000006</v>
      </c>
      <c r="M141">
        <v>7.2520396729999996</v>
      </c>
    </row>
    <row r="142" spans="1:13" x14ac:dyDescent="0.3">
      <c r="A142" t="s">
        <v>2715</v>
      </c>
      <c r="B142" t="s">
        <v>2695</v>
      </c>
      <c r="C142" t="s">
        <v>2761</v>
      </c>
      <c r="D142">
        <v>-67.67537387500002</v>
      </c>
      <c r="E142">
        <v>1.76</v>
      </c>
      <c r="I142" t="s">
        <v>2695</v>
      </c>
      <c r="J142" t="s">
        <v>2761</v>
      </c>
      <c r="K142">
        <v>-73.387500000000017</v>
      </c>
      <c r="M142">
        <v>5.7103306700000003</v>
      </c>
    </row>
    <row r="143" spans="1:13" x14ac:dyDescent="0.3">
      <c r="A143" t="s">
        <v>2715</v>
      </c>
      <c r="B143" t="s">
        <v>2695</v>
      </c>
      <c r="C143" t="s">
        <v>2761</v>
      </c>
      <c r="D143">
        <v>-67.675000000000011</v>
      </c>
      <c r="E143">
        <v>6.1629435580000003</v>
      </c>
      <c r="I143" t="s">
        <v>2695</v>
      </c>
      <c r="J143" t="s">
        <v>2761</v>
      </c>
      <c r="K143">
        <v>-73.375</v>
      </c>
      <c r="M143">
        <v>3.4225468210000001</v>
      </c>
    </row>
    <row r="144" spans="1:13" x14ac:dyDescent="0.3">
      <c r="A144" t="s">
        <v>2715</v>
      </c>
      <c r="B144" t="s">
        <v>2695</v>
      </c>
      <c r="C144" t="s">
        <v>2761</v>
      </c>
      <c r="D144">
        <v>-67.612500000000011</v>
      </c>
      <c r="E144">
        <v>4.7865454959999996</v>
      </c>
      <c r="I144" t="s">
        <v>2695</v>
      </c>
      <c r="J144" t="s">
        <v>2761</v>
      </c>
      <c r="K144">
        <v>-73.322356124999999</v>
      </c>
      <c r="M144">
        <v>6.97</v>
      </c>
    </row>
    <row r="145" spans="1:13" x14ac:dyDescent="0.3">
      <c r="A145" t="s">
        <v>2715</v>
      </c>
      <c r="B145" t="s">
        <v>2695</v>
      </c>
      <c r="C145" t="s">
        <v>2761</v>
      </c>
      <c r="D145">
        <v>-67.599999999999994</v>
      </c>
      <c r="E145">
        <v>7.542489711</v>
      </c>
      <c r="I145" t="s">
        <v>2695</v>
      </c>
      <c r="J145" t="s">
        <v>2761</v>
      </c>
      <c r="K145">
        <v>-73.199999999999989</v>
      </c>
      <c r="M145">
        <v>3.7908441449999999</v>
      </c>
    </row>
    <row r="146" spans="1:13" x14ac:dyDescent="0.3">
      <c r="A146" t="s">
        <v>2715</v>
      </c>
      <c r="B146" t="s">
        <v>2695</v>
      </c>
      <c r="C146" t="s">
        <v>2761</v>
      </c>
      <c r="D146">
        <v>-67.537499999999994</v>
      </c>
      <c r="E146">
        <v>6.0682074530000003</v>
      </c>
      <c r="I146" t="s">
        <v>2695</v>
      </c>
      <c r="J146" t="s">
        <v>2761</v>
      </c>
      <c r="K146">
        <v>-73.171938000000011</v>
      </c>
      <c r="M146">
        <v>7.66</v>
      </c>
    </row>
    <row r="147" spans="1:13" x14ac:dyDescent="0.3">
      <c r="A147" t="s">
        <v>2715</v>
      </c>
      <c r="B147" t="s">
        <v>2695</v>
      </c>
      <c r="C147" t="s">
        <v>2761</v>
      </c>
      <c r="D147">
        <v>-67.512737874999999</v>
      </c>
      <c r="E147">
        <v>4.13</v>
      </c>
      <c r="I147" t="s">
        <v>2695</v>
      </c>
      <c r="J147" t="s">
        <v>2761</v>
      </c>
      <c r="K147">
        <v>-73.141852999999998</v>
      </c>
      <c r="M147">
        <v>4.4400000000000004</v>
      </c>
    </row>
    <row r="148" spans="1:13" x14ac:dyDescent="0.3">
      <c r="A148" t="s">
        <v>2715</v>
      </c>
      <c r="B148" t="s">
        <v>2695</v>
      </c>
      <c r="C148" t="s">
        <v>2761</v>
      </c>
      <c r="D148">
        <v>-67.5</v>
      </c>
      <c r="E148">
        <v>5.6042188250000002</v>
      </c>
      <c r="I148" t="s">
        <v>2695</v>
      </c>
      <c r="J148" t="s">
        <v>2761</v>
      </c>
      <c r="K148">
        <v>-73.099999999999994</v>
      </c>
      <c r="M148">
        <v>5.3107569200000002</v>
      </c>
    </row>
    <row r="149" spans="1:13" x14ac:dyDescent="0.3">
      <c r="A149" t="s">
        <v>2715</v>
      </c>
      <c r="B149" t="s">
        <v>2695</v>
      </c>
      <c r="C149" t="s">
        <v>2761</v>
      </c>
      <c r="D149">
        <v>-67.5</v>
      </c>
      <c r="E149">
        <v>7.2568986689999999</v>
      </c>
      <c r="I149" t="s">
        <v>2695</v>
      </c>
      <c r="J149" t="s">
        <v>2761</v>
      </c>
      <c r="K149">
        <v>-73.025000000000006</v>
      </c>
      <c r="M149">
        <v>6.1105903169999998</v>
      </c>
    </row>
    <row r="150" spans="1:13" x14ac:dyDescent="0.3">
      <c r="A150" t="s">
        <v>2715</v>
      </c>
      <c r="B150" t="s">
        <v>2695</v>
      </c>
      <c r="C150" t="s">
        <v>2761</v>
      </c>
      <c r="D150">
        <v>-67.499184874999997</v>
      </c>
      <c r="E150">
        <v>6.94</v>
      </c>
      <c r="I150" t="s">
        <v>2695</v>
      </c>
      <c r="J150" t="s">
        <v>2761</v>
      </c>
      <c r="K150">
        <v>-72.912499999999994</v>
      </c>
      <c r="M150">
        <v>6.7305649059999997</v>
      </c>
    </row>
    <row r="151" spans="1:13" x14ac:dyDescent="0.3">
      <c r="A151" t="s">
        <v>2715</v>
      </c>
      <c r="B151" t="s">
        <v>2695</v>
      </c>
      <c r="C151" t="s">
        <v>2761</v>
      </c>
      <c r="D151">
        <v>-67.324999999999989</v>
      </c>
      <c r="E151">
        <v>5.3918595820000004</v>
      </c>
      <c r="I151" t="s">
        <v>2695</v>
      </c>
      <c r="J151" t="s">
        <v>2761</v>
      </c>
      <c r="K151">
        <v>-72.837500000000006</v>
      </c>
      <c r="M151">
        <v>5.9908380079999999</v>
      </c>
    </row>
    <row r="152" spans="1:13" x14ac:dyDescent="0.3">
      <c r="A152" t="s">
        <v>2715</v>
      </c>
      <c r="B152" t="s">
        <v>2695</v>
      </c>
      <c r="C152" t="s">
        <v>2761</v>
      </c>
      <c r="D152">
        <v>-67.240154999999987</v>
      </c>
      <c r="E152">
        <v>3.86</v>
      </c>
      <c r="I152" t="s">
        <v>2695</v>
      </c>
      <c r="J152" t="s">
        <v>2761</v>
      </c>
      <c r="K152">
        <v>-72.737499999999983</v>
      </c>
      <c r="M152">
        <v>4.28199752</v>
      </c>
    </row>
    <row r="153" spans="1:13" x14ac:dyDescent="0.3">
      <c r="A153" t="s">
        <v>2715</v>
      </c>
      <c r="B153" t="s">
        <v>2695</v>
      </c>
      <c r="C153" t="s">
        <v>2761</v>
      </c>
      <c r="D153">
        <v>-67.052574749999991</v>
      </c>
      <c r="E153">
        <v>8.01</v>
      </c>
      <c r="I153" t="s">
        <v>2695</v>
      </c>
      <c r="J153" t="s">
        <v>2761</v>
      </c>
      <c r="K153">
        <v>-72.737499999999983</v>
      </c>
      <c r="M153">
        <v>4.4308366399999999</v>
      </c>
    </row>
    <row r="154" spans="1:13" x14ac:dyDescent="0.3">
      <c r="A154" t="s">
        <v>2715</v>
      </c>
      <c r="B154" t="s">
        <v>2695</v>
      </c>
      <c r="C154" t="s">
        <v>2761</v>
      </c>
      <c r="D154">
        <v>-67.008691999999996</v>
      </c>
      <c r="E154">
        <v>7.09</v>
      </c>
      <c r="I154" t="s">
        <v>2695</v>
      </c>
      <c r="J154" t="s">
        <v>2761</v>
      </c>
      <c r="K154">
        <v>-72.724999999999994</v>
      </c>
      <c r="M154">
        <v>5.588437206</v>
      </c>
    </row>
    <row r="155" spans="1:13" x14ac:dyDescent="0.3">
      <c r="A155" t="s">
        <v>2715</v>
      </c>
      <c r="B155" t="s">
        <v>2695</v>
      </c>
      <c r="C155" t="s">
        <v>2761</v>
      </c>
      <c r="D155">
        <v>-66.962500000000006</v>
      </c>
      <c r="E155">
        <v>7.5658294890000004</v>
      </c>
      <c r="I155" t="s">
        <v>2695</v>
      </c>
      <c r="J155" t="s">
        <v>2761</v>
      </c>
      <c r="K155">
        <v>-72.675000000000011</v>
      </c>
      <c r="M155">
        <v>4.2139024129999996</v>
      </c>
    </row>
    <row r="156" spans="1:13" x14ac:dyDescent="0.3">
      <c r="A156" t="s">
        <v>2715</v>
      </c>
      <c r="B156" t="s">
        <v>2695</v>
      </c>
      <c r="C156" t="s">
        <v>2761</v>
      </c>
      <c r="D156">
        <v>-66.9375</v>
      </c>
      <c r="E156">
        <v>8.259712232</v>
      </c>
      <c r="I156" t="s">
        <v>2695</v>
      </c>
      <c r="J156" t="s">
        <v>2761</v>
      </c>
      <c r="K156">
        <v>-72.657207</v>
      </c>
      <c r="M156">
        <v>7.27</v>
      </c>
    </row>
    <row r="157" spans="1:13" x14ac:dyDescent="0.3">
      <c r="A157" t="s">
        <v>2715</v>
      </c>
      <c r="B157" t="s">
        <v>2695</v>
      </c>
      <c r="C157" t="s">
        <v>2761</v>
      </c>
      <c r="D157">
        <v>-66.862499999999983</v>
      </c>
      <c r="E157">
        <v>5.9527155970000001</v>
      </c>
      <c r="I157" t="s">
        <v>2695</v>
      </c>
      <c r="J157" t="s">
        <v>2761</v>
      </c>
      <c r="K157">
        <v>-72.559536250000008</v>
      </c>
      <c r="M157">
        <v>7.97</v>
      </c>
    </row>
    <row r="158" spans="1:13" x14ac:dyDescent="0.3">
      <c r="A158" t="s">
        <v>2715</v>
      </c>
      <c r="B158" t="s">
        <v>2695</v>
      </c>
      <c r="C158" t="s">
        <v>2761</v>
      </c>
      <c r="D158">
        <v>-66.724999999999994</v>
      </c>
      <c r="E158">
        <v>5.3046593949999998</v>
      </c>
      <c r="I158" t="s">
        <v>2695</v>
      </c>
      <c r="J158" t="s">
        <v>2761</v>
      </c>
      <c r="K158">
        <v>-72.503019749999993</v>
      </c>
      <c r="M158">
        <v>6.65</v>
      </c>
    </row>
    <row r="159" spans="1:13" x14ac:dyDescent="0.3">
      <c r="A159" t="s">
        <v>2715</v>
      </c>
      <c r="B159" t="s">
        <v>2695</v>
      </c>
      <c r="C159" t="s">
        <v>2761</v>
      </c>
      <c r="D159">
        <v>-66.721542874999983</v>
      </c>
      <c r="E159">
        <v>5.53</v>
      </c>
      <c r="I159" t="s">
        <v>2695</v>
      </c>
      <c r="J159" t="s">
        <v>2761</v>
      </c>
      <c r="K159">
        <v>-72.450000000000017</v>
      </c>
      <c r="M159">
        <v>4.0277481269999997</v>
      </c>
    </row>
    <row r="160" spans="1:13" x14ac:dyDescent="0.3">
      <c r="A160" t="s">
        <v>2715</v>
      </c>
      <c r="B160" t="s">
        <v>2695</v>
      </c>
      <c r="C160" t="s">
        <v>2761</v>
      </c>
      <c r="D160">
        <v>-66.604686874999999</v>
      </c>
      <c r="E160">
        <v>9.58</v>
      </c>
      <c r="I160" t="s">
        <v>2695</v>
      </c>
      <c r="J160" t="s">
        <v>2761</v>
      </c>
      <c r="K160">
        <v>-72.332972000000012</v>
      </c>
      <c r="M160">
        <v>5.93</v>
      </c>
    </row>
    <row r="161" spans="1:13" x14ac:dyDescent="0.3">
      <c r="A161" t="s">
        <v>2715</v>
      </c>
      <c r="B161" t="s">
        <v>2695</v>
      </c>
      <c r="C161" t="s">
        <v>2761</v>
      </c>
      <c r="D161">
        <v>-66.599999999999994</v>
      </c>
      <c r="E161">
        <v>3.3966480020000001</v>
      </c>
      <c r="I161" t="s">
        <v>2695</v>
      </c>
      <c r="J161" t="s">
        <v>2761</v>
      </c>
      <c r="K161">
        <v>-72.09965200000002</v>
      </c>
      <c r="M161">
        <v>5.6464658249999999</v>
      </c>
    </row>
    <row r="162" spans="1:13" x14ac:dyDescent="0.3">
      <c r="A162" t="s">
        <v>2715</v>
      </c>
      <c r="B162" t="s">
        <v>2695</v>
      </c>
      <c r="C162" t="s">
        <v>2761</v>
      </c>
      <c r="D162">
        <v>-66.587500000000006</v>
      </c>
      <c r="E162">
        <v>4.4258503400000002</v>
      </c>
      <c r="I162" t="s">
        <v>2695</v>
      </c>
      <c r="J162" t="s">
        <v>2761</v>
      </c>
      <c r="K162">
        <v>-72.08352124999999</v>
      </c>
      <c r="M162">
        <v>6.5498429930000004</v>
      </c>
    </row>
    <row r="163" spans="1:13" x14ac:dyDescent="0.3">
      <c r="A163" t="s">
        <v>2715</v>
      </c>
      <c r="B163" t="s">
        <v>2695</v>
      </c>
      <c r="C163" t="s">
        <v>2761</v>
      </c>
      <c r="D163">
        <v>-66.587500000000006</v>
      </c>
      <c r="E163">
        <v>6.7400721319999999</v>
      </c>
      <c r="I163" t="s">
        <v>2695</v>
      </c>
      <c r="J163" t="s">
        <v>2761</v>
      </c>
      <c r="K163">
        <v>-72.074999999999989</v>
      </c>
      <c r="M163">
        <v>7.2794638330000003</v>
      </c>
    </row>
    <row r="164" spans="1:13" x14ac:dyDescent="0.3">
      <c r="A164" t="s">
        <v>2715</v>
      </c>
      <c r="B164" t="s">
        <v>2695</v>
      </c>
      <c r="C164" t="s">
        <v>2761</v>
      </c>
      <c r="D164">
        <v>-66.572779999999995</v>
      </c>
      <c r="E164">
        <v>6.3994302440000004</v>
      </c>
      <c r="I164" t="s">
        <v>2695</v>
      </c>
      <c r="J164" t="s">
        <v>2761</v>
      </c>
      <c r="K164">
        <v>-71.875</v>
      </c>
      <c r="M164">
        <v>7.3975176219999996</v>
      </c>
    </row>
    <row r="165" spans="1:13" x14ac:dyDescent="0.3">
      <c r="A165" t="s">
        <v>2715</v>
      </c>
      <c r="B165" t="s">
        <v>2695</v>
      </c>
      <c r="C165" t="s">
        <v>2761</v>
      </c>
      <c r="D165">
        <v>-66.525000000000006</v>
      </c>
      <c r="E165">
        <v>4.2071453480000001</v>
      </c>
      <c r="I165" t="s">
        <v>2695</v>
      </c>
      <c r="J165" t="s">
        <v>2761</v>
      </c>
      <c r="K165">
        <v>-71.850032499999998</v>
      </c>
      <c r="M165">
        <v>4.33</v>
      </c>
    </row>
    <row r="166" spans="1:13" x14ac:dyDescent="0.3">
      <c r="A166" t="s">
        <v>2715</v>
      </c>
      <c r="B166" t="s">
        <v>2695</v>
      </c>
      <c r="C166" t="s">
        <v>2761</v>
      </c>
      <c r="D166">
        <v>-66.518926499999992</v>
      </c>
      <c r="E166">
        <v>1.59</v>
      </c>
      <c r="I166" t="s">
        <v>2695</v>
      </c>
      <c r="J166" t="s">
        <v>2761</v>
      </c>
      <c r="K166">
        <v>-71.788962499999997</v>
      </c>
      <c r="M166">
        <v>5.5284481730000001</v>
      </c>
    </row>
    <row r="167" spans="1:13" x14ac:dyDescent="0.3">
      <c r="A167" t="s">
        <v>2715</v>
      </c>
      <c r="B167" t="s">
        <v>2695</v>
      </c>
      <c r="C167" t="s">
        <v>2761</v>
      </c>
      <c r="D167">
        <v>-66.5</v>
      </c>
      <c r="E167">
        <v>4.8850943579999999</v>
      </c>
      <c r="I167" t="s">
        <v>2695</v>
      </c>
      <c r="J167" t="s">
        <v>2761</v>
      </c>
      <c r="K167">
        <v>-71.72969362500001</v>
      </c>
      <c r="M167">
        <v>9</v>
      </c>
    </row>
    <row r="168" spans="1:13" x14ac:dyDescent="0.3">
      <c r="A168" t="s">
        <v>2715</v>
      </c>
      <c r="B168" t="s">
        <v>2695</v>
      </c>
      <c r="C168" t="s">
        <v>2761</v>
      </c>
      <c r="D168">
        <v>-66.316685624999991</v>
      </c>
      <c r="E168">
        <v>4.1900000000000004</v>
      </c>
      <c r="I168" t="s">
        <v>2695</v>
      </c>
      <c r="J168" t="s">
        <v>2761</v>
      </c>
      <c r="K168">
        <v>-71.675000000000011</v>
      </c>
      <c r="M168">
        <v>4.8752136559999997</v>
      </c>
    </row>
    <row r="169" spans="1:13" x14ac:dyDescent="0.3">
      <c r="A169" t="s">
        <v>2715</v>
      </c>
      <c r="B169" t="s">
        <v>2695</v>
      </c>
      <c r="C169" t="s">
        <v>2761</v>
      </c>
      <c r="D169">
        <v>-66.262500000000017</v>
      </c>
      <c r="E169">
        <v>4.3176607819999999</v>
      </c>
      <c r="I169" t="s">
        <v>2695</v>
      </c>
      <c r="J169" t="s">
        <v>2761</v>
      </c>
      <c r="K169">
        <v>-71.575000000000017</v>
      </c>
      <c r="M169">
        <v>4.8121593779999996</v>
      </c>
    </row>
    <row r="170" spans="1:13" x14ac:dyDescent="0.3">
      <c r="A170" t="s">
        <v>2715</v>
      </c>
      <c r="B170" t="s">
        <v>2695</v>
      </c>
      <c r="C170" t="s">
        <v>2761</v>
      </c>
      <c r="D170">
        <v>-66.112500000000011</v>
      </c>
      <c r="E170">
        <v>8.5253865520000005</v>
      </c>
      <c r="I170" t="s">
        <v>2695</v>
      </c>
      <c r="J170" t="s">
        <v>2761</v>
      </c>
      <c r="K170">
        <v>-71.575000000000017</v>
      </c>
      <c r="M170">
        <v>4.6291487790000003</v>
      </c>
    </row>
    <row r="171" spans="1:13" x14ac:dyDescent="0.3">
      <c r="A171" t="s">
        <v>2715</v>
      </c>
      <c r="B171" t="s">
        <v>2695</v>
      </c>
      <c r="C171" t="s">
        <v>2761</v>
      </c>
      <c r="D171">
        <v>-66.037499999999994</v>
      </c>
      <c r="E171">
        <v>5.2344030349999997</v>
      </c>
      <c r="I171" t="s">
        <v>2695</v>
      </c>
      <c r="J171" t="s">
        <v>2761</v>
      </c>
      <c r="K171">
        <v>-71.548536374999998</v>
      </c>
      <c r="M171">
        <v>8.4768643539999999</v>
      </c>
    </row>
    <row r="172" spans="1:13" x14ac:dyDescent="0.3">
      <c r="A172" t="s">
        <v>2715</v>
      </c>
      <c r="B172" t="s">
        <v>2695</v>
      </c>
      <c r="C172" t="s">
        <v>2761</v>
      </c>
      <c r="D172">
        <v>-66.031501125000005</v>
      </c>
      <c r="E172">
        <v>5.1100000000000003</v>
      </c>
      <c r="I172" t="s">
        <v>2695</v>
      </c>
      <c r="J172" t="s">
        <v>2761</v>
      </c>
      <c r="K172">
        <v>-71.483715750000016</v>
      </c>
      <c r="M172">
        <v>7.79</v>
      </c>
    </row>
    <row r="173" spans="1:13" x14ac:dyDescent="0.3">
      <c r="A173" t="s">
        <v>2715</v>
      </c>
      <c r="B173" t="s">
        <v>2695</v>
      </c>
      <c r="C173" t="s">
        <v>2761</v>
      </c>
      <c r="D173">
        <v>-66.025000000000006</v>
      </c>
      <c r="E173">
        <v>8.5218273240000002</v>
      </c>
      <c r="I173" t="s">
        <v>2695</v>
      </c>
      <c r="J173" t="s">
        <v>2761</v>
      </c>
      <c r="K173">
        <v>-71.362500000000011</v>
      </c>
      <c r="M173">
        <v>4.2572328800000001</v>
      </c>
    </row>
    <row r="174" spans="1:13" x14ac:dyDescent="0.3">
      <c r="A174" t="s">
        <v>2715</v>
      </c>
      <c r="B174" t="s">
        <v>2695</v>
      </c>
      <c r="C174" t="s">
        <v>2761</v>
      </c>
      <c r="D174">
        <v>-66.011743124999981</v>
      </c>
      <c r="E174">
        <v>7.97</v>
      </c>
      <c r="I174" t="s">
        <v>2695</v>
      </c>
      <c r="J174" t="s">
        <v>2761</v>
      </c>
      <c r="K174">
        <v>-71.256077500000004</v>
      </c>
      <c r="M174">
        <v>4.51</v>
      </c>
    </row>
    <row r="175" spans="1:13" x14ac:dyDescent="0.3">
      <c r="A175" t="s">
        <v>2715</v>
      </c>
      <c r="B175" t="s">
        <v>2695</v>
      </c>
      <c r="C175" t="s">
        <v>2761</v>
      </c>
      <c r="D175">
        <v>-65.887500000000017</v>
      </c>
      <c r="E175">
        <v>5.0833498390000003</v>
      </c>
      <c r="I175" t="s">
        <v>2695</v>
      </c>
      <c r="J175" t="s">
        <v>2761</v>
      </c>
      <c r="K175">
        <v>-71.241277125000011</v>
      </c>
      <c r="M175">
        <v>3.93</v>
      </c>
    </row>
    <row r="176" spans="1:13" x14ac:dyDescent="0.3">
      <c r="A176" t="s">
        <v>2715</v>
      </c>
      <c r="B176" t="s">
        <v>2695</v>
      </c>
      <c r="C176" t="s">
        <v>2761</v>
      </c>
      <c r="D176">
        <v>-65.863560124999992</v>
      </c>
      <c r="E176">
        <v>7.676698902</v>
      </c>
      <c r="I176" t="s">
        <v>2695</v>
      </c>
      <c r="J176" t="s">
        <v>2761</v>
      </c>
      <c r="K176">
        <v>-71.200000000000017</v>
      </c>
      <c r="M176">
        <v>8.8315914969999998</v>
      </c>
    </row>
    <row r="177" spans="1:13" x14ac:dyDescent="0.3">
      <c r="A177" t="s">
        <v>2715</v>
      </c>
      <c r="B177" t="s">
        <v>2695</v>
      </c>
      <c r="C177" t="s">
        <v>2761</v>
      </c>
      <c r="D177">
        <v>-65.8125</v>
      </c>
      <c r="E177">
        <v>7.0992954099999999</v>
      </c>
      <c r="I177" t="s">
        <v>2695</v>
      </c>
      <c r="J177" t="s">
        <v>2761</v>
      </c>
      <c r="K177">
        <v>-71.108260000000001</v>
      </c>
      <c r="M177">
        <v>6.2458319260000001</v>
      </c>
    </row>
    <row r="178" spans="1:13" x14ac:dyDescent="0.3">
      <c r="A178" t="s">
        <v>2715</v>
      </c>
      <c r="B178" t="s">
        <v>2695</v>
      </c>
      <c r="C178" t="s">
        <v>2761</v>
      </c>
      <c r="D178">
        <v>-65.715642000000003</v>
      </c>
      <c r="E178">
        <v>6.2033232380000003</v>
      </c>
      <c r="I178" t="s">
        <v>2695</v>
      </c>
      <c r="J178" t="s">
        <v>2761</v>
      </c>
      <c r="K178">
        <v>-70.974999999999994</v>
      </c>
      <c r="M178">
        <v>7.7614681299999999</v>
      </c>
    </row>
    <row r="179" spans="1:13" x14ac:dyDescent="0.3">
      <c r="A179" t="s">
        <v>2715</v>
      </c>
      <c r="B179" t="s">
        <v>2695</v>
      </c>
      <c r="C179" t="s">
        <v>2761</v>
      </c>
      <c r="D179">
        <v>-65.680057000000005</v>
      </c>
      <c r="E179">
        <v>6.4244729820000002</v>
      </c>
      <c r="I179" t="s">
        <v>2695</v>
      </c>
      <c r="J179" t="s">
        <v>2761</v>
      </c>
      <c r="K179">
        <v>-70.959407374999984</v>
      </c>
      <c r="M179">
        <v>5.39</v>
      </c>
    </row>
    <row r="180" spans="1:13" x14ac:dyDescent="0.3">
      <c r="A180" t="s">
        <v>2715</v>
      </c>
      <c r="B180" t="s">
        <v>2695</v>
      </c>
      <c r="C180" t="s">
        <v>2761</v>
      </c>
      <c r="D180">
        <v>-65.662499999999994</v>
      </c>
      <c r="E180">
        <v>1.9093675530000001</v>
      </c>
      <c r="I180" t="s">
        <v>2695</v>
      </c>
      <c r="J180" t="s">
        <v>2761</v>
      </c>
      <c r="K180">
        <v>-70.9375</v>
      </c>
      <c r="M180">
        <v>7.6255582730000002</v>
      </c>
    </row>
    <row r="181" spans="1:13" x14ac:dyDescent="0.3">
      <c r="A181" t="s">
        <v>2715</v>
      </c>
      <c r="B181" t="s">
        <v>2695</v>
      </c>
      <c r="C181" t="s">
        <v>2761</v>
      </c>
      <c r="D181">
        <v>-65.594988374999986</v>
      </c>
      <c r="E181">
        <v>5.81</v>
      </c>
      <c r="I181" t="s">
        <v>2695</v>
      </c>
      <c r="J181" t="s">
        <v>2761</v>
      </c>
      <c r="K181">
        <v>-70.912499999999994</v>
      </c>
      <c r="M181">
        <v>4.8755664679999997</v>
      </c>
    </row>
    <row r="182" spans="1:13" x14ac:dyDescent="0.3">
      <c r="A182" t="s">
        <v>2715</v>
      </c>
      <c r="B182" t="s">
        <v>2695</v>
      </c>
      <c r="C182" t="s">
        <v>2761</v>
      </c>
      <c r="D182">
        <v>-65.51379799999998</v>
      </c>
      <c r="E182">
        <v>6.15</v>
      </c>
      <c r="I182" t="s">
        <v>2695</v>
      </c>
      <c r="J182" t="s">
        <v>2761</v>
      </c>
      <c r="K182">
        <v>-70.778350500000016</v>
      </c>
      <c r="M182">
        <v>7.36</v>
      </c>
    </row>
    <row r="183" spans="1:13" x14ac:dyDescent="0.3">
      <c r="A183" t="s">
        <v>2715</v>
      </c>
      <c r="B183" t="s">
        <v>2695</v>
      </c>
      <c r="C183" t="s">
        <v>2761</v>
      </c>
      <c r="D183">
        <v>-65.438676749999985</v>
      </c>
      <c r="E183">
        <v>2.89</v>
      </c>
      <c r="I183" t="s">
        <v>2695</v>
      </c>
      <c r="J183" t="s">
        <v>2761</v>
      </c>
      <c r="K183">
        <v>-70.675000000000011</v>
      </c>
      <c r="M183">
        <v>5.1336446750000002</v>
      </c>
    </row>
    <row r="184" spans="1:13" x14ac:dyDescent="0.3">
      <c r="A184" t="s">
        <v>2715</v>
      </c>
      <c r="B184" t="s">
        <v>2695</v>
      </c>
      <c r="C184" t="s">
        <v>2761</v>
      </c>
      <c r="D184">
        <v>-65.369669750000014</v>
      </c>
      <c r="E184">
        <v>6.47</v>
      </c>
      <c r="I184" t="s">
        <v>2695</v>
      </c>
      <c r="J184" t="s">
        <v>2761</v>
      </c>
      <c r="K184">
        <v>-70.662499999999994</v>
      </c>
      <c r="M184">
        <v>6.156201727</v>
      </c>
    </row>
    <row r="185" spans="1:13" x14ac:dyDescent="0.3">
      <c r="A185" t="s">
        <v>2715</v>
      </c>
      <c r="B185" t="s">
        <v>2695</v>
      </c>
      <c r="C185" t="s">
        <v>2761</v>
      </c>
      <c r="D185">
        <v>-65.349999999999994</v>
      </c>
      <c r="E185">
        <v>3.948775355</v>
      </c>
      <c r="I185" t="s">
        <v>2695</v>
      </c>
      <c r="J185" t="s">
        <v>2761</v>
      </c>
      <c r="K185">
        <v>-70.549999999999983</v>
      </c>
      <c r="M185">
        <v>7.6439117999999997</v>
      </c>
    </row>
    <row r="186" spans="1:13" x14ac:dyDescent="0.3">
      <c r="A186" t="s">
        <v>2715</v>
      </c>
      <c r="B186" t="s">
        <v>2695</v>
      </c>
      <c r="C186" t="s">
        <v>2761</v>
      </c>
      <c r="D186">
        <v>-65.342563750000011</v>
      </c>
      <c r="E186">
        <v>6.3</v>
      </c>
      <c r="I186" t="s">
        <v>2695</v>
      </c>
      <c r="J186" t="s">
        <v>2761</v>
      </c>
      <c r="K186">
        <v>-70.537499999999994</v>
      </c>
      <c r="M186">
        <v>2.872987578</v>
      </c>
    </row>
    <row r="187" spans="1:13" x14ac:dyDescent="0.3">
      <c r="A187" t="s">
        <v>2715</v>
      </c>
      <c r="B187" t="s">
        <v>2695</v>
      </c>
      <c r="C187" t="s">
        <v>2761</v>
      </c>
      <c r="D187">
        <v>-65.298778999999996</v>
      </c>
      <c r="E187">
        <v>4.79</v>
      </c>
      <c r="I187" t="s">
        <v>2695</v>
      </c>
      <c r="J187" t="s">
        <v>2761</v>
      </c>
      <c r="K187">
        <v>-70.394822000000005</v>
      </c>
      <c r="M187">
        <v>6.6764693030000002</v>
      </c>
    </row>
    <row r="188" spans="1:13" x14ac:dyDescent="0.3">
      <c r="A188" t="s">
        <v>2715</v>
      </c>
      <c r="B188" t="s">
        <v>2695</v>
      </c>
      <c r="C188" t="s">
        <v>2761</v>
      </c>
      <c r="D188">
        <v>-65.169084999999995</v>
      </c>
      <c r="E188">
        <v>5.97</v>
      </c>
      <c r="I188" t="s">
        <v>2695</v>
      </c>
      <c r="J188" t="s">
        <v>2761</v>
      </c>
      <c r="K188">
        <v>-70.325000000000017</v>
      </c>
      <c r="M188" t="s">
        <v>16</v>
      </c>
    </row>
    <row r="189" spans="1:13" x14ac:dyDescent="0.3">
      <c r="A189" t="s">
        <v>2715</v>
      </c>
      <c r="B189" t="s">
        <v>2695</v>
      </c>
      <c r="C189" t="s">
        <v>2761</v>
      </c>
      <c r="D189">
        <v>-64.962500000000006</v>
      </c>
      <c r="E189">
        <v>5.7458810219999998</v>
      </c>
      <c r="I189" t="s">
        <v>2695</v>
      </c>
      <c r="J189" t="s">
        <v>2761</v>
      </c>
      <c r="K189">
        <v>-70.301606249999992</v>
      </c>
      <c r="M189">
        <v>6.76</v>
      </c>
    </row>
    <row r="190" spans="1:13" x14ac:dyDescent="0.3">
      <c r="A190" t="s">
        <v>2715</v>
      </c>
      <c r="B190" t="s">
        <v>2695</v>
      </c>
      <c r="C190" t="s">
        <v>2761</v>
      </c>
      <c r="D190">
        <v>-64.912499999999994</v>
      </c>
      <c r="E190">
        <v>3.7377188330000002</v>
      </c>
      <c r="I190" t="s">
        <v>2695</v>
      </c>
      <c r="J190" t="s">
        <v>2761</v>
      </c>
      <c r="K190">
        <v>-70.287499999999994</v>
      </c>
      <c r="M190">
        <v>3.9245630650000001</v>
      </c>
    </row>
    <row r="191" spans="1:13" x14ac:dyDescent="0.3">
      <c r="A191" t="s">
        <v>2715</v>
      </c>
      <c r="B191" t="s">
        <v>2695</v>
      </c>
      <c r="C191" t="s">
        <v>2761</v>
      </c>
      <c r="D191">
        <v>-64.87329112499998</v>
      </c>
      <c r="E191">
        <v>6.96</v>
      </c>
      <c r="I191" t="s">
        <v>2695</v>
      </c>
      <c r="J191" t="s">
        <v>2761</v>
      </c>
      <c r="K191">
        <v>-70.137499999999989</v>
      </c>
      <c r="M191">
        <v>5.5383834839999997</v>
      </c>
    </row>
    <row r="192" spans="1:13" x14ac:dyDescent="0.3">
      <c r="A192" t="s">
        <v>2715</v>
      </c>
      <c r="B192" t="s">
        <v>2695</v>
      </c>
      <c r="C192" t="s">
        <v>2761</v>
      </c>
      <c r="D192">
        <v>-64.801611750000006</v>
      </c>
      <c r="E192">
        <v>6.04</v>
      </c>
      <c r="I192" t="s">
        <v>2695</v>
      </c>
      <c r="J192" t="s">
        <v>2761</v>
      </c>
      <c r="K192">
        <v>-70.074999999999989</v>
      </c>
      <c r="M192">
        <v>8.0738753039999995</v>
      </c>
    </row>
    <row r="193" spans="1:13" x14ac:dyDescent="0.3">
      <c r="A193" t="s">
        <v>2715</v>
      </c>
      <c r="B193" t="s">
        <v>2695</v>
      </c>
      <c r="C193" t="s">
        <v>2761</v>
      </c>
      <c r="D193">
        <v>-64.737500000000011</v>
      </c>
      <c r="E193">
        <v>5.548889258</v>
      </c>
      <c r="I193" t="s">
        <v>2695</v>
      </c>
      <c r="J193" t="s">
        <v>2761</v>
      </c>
      <c r="K193">
        <v>-70.0625</v>
      </c>
      <c r="M193">
        <v>4.3856015810000004</v>
      </c>
    </row>
    <row r="194" spans="1:13" x14ac:dyDescent="0.3">
      <c r="A194" t="s">
        <v>2715</v>
      </c>
      <c r="B194" t="s">
        <v>2695</v>
      </c>
      <c r="C194" t="s">
        <v>2761</v>
      </c>
      <c r="D194">
        <v>-64.729057124999997</v>
      </c>
      <c r="E194">
        <v>5.58</v>
      </c>
      <c r="I194" t="s">
        <v>2695</v>
      </c>
      <c r="J194" t="s">
        <v>2761</v>
      </c>
      <c r="K194">
        <v>-70.018157000000002</v>
      </c>
      <c r="M194">
        <v>5.4933990130000003</v>
      </c>
    </row>
    <row r="195" spans="1:13" x14ac:dyDescent="0.3">
      <c r="A195" t="s">
        <v>2715</v>
      </c>
      <c r="B195" t="s">
        <v>2695</v>
      </c>
      <c r="C195" t="s">
        <v>2761</v>
      </c>
      <c r="D195">
        <v>-64.712500000000006</v>
      </c>
      <c r="E195">
        <v>4.1034937109999996</v>
      </c>
      <c r="I195" t="s">
        <v>2695</v>
      </c>
      <c r="J195" t="s">
        <v>2761</v>
      </c>
      <c r="K195">
        <v>-69.924999999999983</v>
      </c>
      <c r="M195">
        <v>5.0935032119999999</v>
      </c>
    </row>
    <row r="196" spans="1:13" x14ac:dyDescent="0.3">
      <c r="A196" t="s">
        <v>2715</v>
      </c>
      <c r="B196" t="s">
        <v>2695</v>
      </c>
      <c r="C196" t="s">
        <v>2761</v>
      </c>
      <c r="D196">
        <v>-64.637500000000017</v>
      </c>
      <c r="E196">
        <v>5.7660586900000004</v>
      </c>
      <c r="I196" t="s">
        <v>2695</v>
      </c>
      <c r="J196" t="s">
        <v>2761</v>
      </c>
      <c r="K196">
        <v>-69.88751400000001</v>
      </c>
      <c r="M196">
        <v>8.07</v>
      </c>
    </row>
    <row r="197" spans="1:13" x14ac:dyDescent="0.3">
      <c r="A197" t="s">
        <v>2715</v>
      </c>
      <c r="B197" t="s">
        <v>2695</v>
      </c>
      <c r="C197" t="s">
        <v>2761</v>
      </c>
      <c r="D197">
        <v>-64.537499999999994</v>
      </c>
      <c r="E197">
        <v>4.515502991</v>
      </c>
      <c r="I197" t="s">
        <v>2695</v>
      </c>
      <c r="J197" t="s">
        <v>2761</v>
      </c>
      <c r="K197">
        <v>-69.8125</v>
      </c>
      <c r="M197">
        <v>4.1153342579999999</v>
      </c>
    </row>
    <row r="198" spans="1:13" x14ac:dyDescent="0.3">
      <c r="A198" t="s">
        <v>2715</v>
      </c>
      <c r="B198" t="s">
        <v>2695</v>
      </c>
      <c r="C198" t="s">
        <v>2761</v>
      </c>
      <c r="D198">
        <v>-64.51037599999998</v>
      </c>
      <c r="E198">
        <v>6.03</v>
      </c>
      <c r="I198" t="s">
        <v>2695</v>
      </c>
      <c r="J198" t="s">
        <v>2761</v>
      </c>
      <c r="K198">
        <v>-69.625368000000009</v>
      </c>
      <c r="M198">
        <v>7.5331980180000002</v>
      </c>
    </row>
    <row r="199" spans="1:13" x14ac:dyDescent="0.3">
      <c r="A199" t="s">
        <v>2715</v>
      </c>
      <c r="B199" t="s">
        <v>2695</v>
      </c>
      <c r="C199" t="s">
        <v>2761</v>
      </c>
      <c r="D199">
        <v>-64.421638000000002</v>
      </c>
      <c r="E199">
        <v>7.18</v>
      </c>
      <c r="I199" t="s">
        <v>2695</v>
      </c>
      <c r="J199" t="s">
        <v>2761</v>
      </c>
      <c r="K199">
        <v>-69.612499999999983</v>
      </c>
      <c r="M199" t="s">
        <v>16</v>
      </c>
    </row>
    <row r="200" spans="1:13" x14ac:dyDescent="0.3">
      <c r="A200" t="s">
        <v>2715</v>
      </c>
      <c r="B200" t="s">
        <v>2695</v>
      </c>
      <c r="C200" t="s">
        <v>2761</v>
      </c>
      <c r="D200">
        <v>-64.415877375000008</v>
      </c>
      <c r="E200">
        <v>6.12</v>
      </c>
      <c r="I200" t="s">
        <v>2695</v>
      </c>
      <c r="J200" t="s">
        <v>2761</v>
      </c>
      <c r="K200">
        <v>-69.362499999999983</v>
      </c>
      <c r="M200">
        <v>2.317942435</v>
      </c>
    </row>
    <row r="201" spans="1:13" x14ac:dyDescent="0.3">
      <c r="A201" t="s">
        <v>2715</v>
      </c>
      <c r="B201" t="s">
        <v>2695</v>
      </c>
      <c r="C201" t="s">
        <v>2761</v>
      </c>
      <c r="D201">
        <v>-64.325877749999989</v>
      </c>
      <c r="E201">
        <v>3.9188431449999999</v>
      </c>
      <c r="I201" t="s">
        <v>2695</v>
      </c>
      <c r="J201" t="s">
        <v>2761</v>
      </c>
      <c r="K201">
        <v>-69.351716500000009</v>
      </c>
      <c r="M201">
        <v>4.8099999999999996</v>
      </c>
    </row>
    <row r="202" spans="1:13" x14ac:dyDescent="0.3">
      <c r="A202" t="s">
        <v>2715</v>
      </c>
      <c r="B202" t="s">
        <v>2695</v>
      </c>
      <c r="C202" t="s">
        <v>2761</v>
      </c>
      <c r="D202">
        <v>-64.3125</v>
      </c>
      <c r="E202">
        <v>5.3700300009999999</v>
      </c>
      <c r="I202" t="s">
        <v>2695</v>
      </c>
      <c r="J202" t="s">
        <v>2761</v>
      </c>
      <c r="K202">
        <v>-69.121266375000005</v>
      </c>
      <c r="M202">
        <v>5.03</v>
      </c>
    </row>
    <row r="203" spans="1:13" x14ac:dyDescent="0.3">
      <c r="A203" t="s">
        <v>2715</v>
      </c>
      <c r="B203" t="s">
        <v>2695</v>
      </c>
      <c r="C203" t="s">
        <v>2761</v>
      </c>
      <c r="D203">
        <v>-64.287499999999994</v>
      </c>
      <c r="E203">
        <v>5.1445727290000001</v>
      </c>
      <c r="I203" t="s">
        <v>2695</v>
      </c>
      <c r="J203" t="s">
        <v>2761</v>
      </c>
      <c r="K203">
        <v>-69.112500000000011</v>
      </c>
      <c r="M203">
        <v>4.230405448</v>
      </c>
    </row>
    <row r="204" spans="1:13" x14ac:dyDescent="0.3">
      <c r="A204" t="s">
        <v>2715</v>
      </c>
      <c r="B204" t="s">
        <v>2695</v>
      </c>
      <c r="C204" t="s">
        <v>2761</v>
      </c>
      <c r="D204">
        <v>-64.275000000000006</v>
      </c>
      <c r="E204">
        <v>2.922561001</v>
      </c>
      <c r="I204" t="s">
        <v>2695</v>
      </c>
      <c r="J204" t="s">
        <v>2761</v>
      </c>
      <c r="K204">
        <v>-69.0625</v>
      </c>
      <c r="M204">
        <v>8.8438989180000007</v>
      </c>
    </row>
    <row r="205" spans="1:13" x14ac:dyDescent="0.3">
      <c r="A205" t="s">
        <v>2715</v>
      </c>
      <c r="B205" t="s">
        <v>2695</v>
      </c>
      <c r="C205" t="s">
        <v>2761</v>
      </c>
      <c r="D205">
        <v>-64.215970625000011</v>
      </c>
      <c r="E205">
        <v>2.35</v>
      </c>
      <c r="I205" t="s">
        <v>2695</v>
      </c>
      <c r="J205" t="s">
        <v>2761</v>
      </c>
      <c r="K205">
        <v>-69.049999999999983</v>
      </c>
      <c r="M205">
        <v>6.1469806570000003</v>
      </c>
    </row>
    <row r="206" spans="1:13" x14ac:dyDescent="0.3">
      <c r="A206" t="s">
        <v>2715</v>
      </c>
      <c r="B206" t="s">
        <v>2695</v>
      </c>
      <c r="C206" t="s">
        <v>2761</v>
      </c>
      <c r="D206">
        <v>-64.212500000000006</v>
      </c>
      <c r="E206">
        <v>6.0193783420000004</v>
      </c>
      <c r="I206" t="s">
        <v>2695</v>
      </c>
      <c r="J206" t="s">
        <v>2761</v>
      </c>
      <c r="K206">
        <v>-68.98500525</v>
      </c>
      <c r="M206">
        <v>5.24</v>
      </c>
    </row>
    <row r="207" spans="1:13" x14ac:dyDescent="0.3">
      <c r="A207" t="s">
        <v>2715</v>
      </c>
      <c r="B207" t="s">
        <v>2695</v>
      </c>
      <c r="C207" t="s">
        <v>2761</v>
      </c>
      <c r="D207">
        <v>-64.083091749999994</v>
      </c>
      <c r="E207">
        <v>8.2072744239999995</v>
      </c>
      <c r="I207" t="s">
        <v>2695</v>
      </c>
      <c r="J207" t="s">
        <v>2761</v>
      </c>
      <c r="K207">
        <v>-68.962500000000006</v>
      </c>
      <c r="M207">
        <v>5.1349042999999996</v>
      </c>
    </row>
    <row r="208" spans="1:13" x14ac:dyDescent="0.3">
      <c r="A208" t="s">
        <v>2715</v>
      </c>
      <c r="B208" t="s">
        <v>2695</v>
      </c>
      <c r="C208" t="s">
        <v>2761</v>
      </c>
      <c r="D208">
        <v>-63.977099000000003</v>
      </c>
      <c r="E208">
        <v>3.54</v>
      </c>
      <c r="I208" t="s">
        <v>2695</v>
      </c>
      <c r="J208" t="s">
        <v>2761</v>
      </c>
      <c r="K208">
        <v>-68.950195250000007</v>
      </c>
      <c r="M208">
        <v>1.55</v>
      </c>
    </row>
    <row r="209" spans="1:13" x14ac:dyDescent="0.3">
      <c r="A209" t="s">
        <v>2715</v>
      </c>
      <c r="B209" t="s">
        <v>2695</v>
      </c>
      <c r="C209" t="s">
        <v>2761</v>
      </c>
      <c r="D209">
        <v>-63.975000000000001</v>
      </c>
      <c r="E209">
        <v>6.5283767529999999</v>
      </c>
      <c r="I209" t="s">
        <v>2695</v>
      </c>
      <c r="J209" t="s">
        <v>2761</v>
      </c>
      <c r="K209">
        <v>-68.9375</v>
      </c>
      <c r="M209">
        <v>4.8688173519999998</v>
      </c>
    </row>
    <row r="210" spans="1:13" x14ac:dyDescent="0.3">
      <c r="A210" t="s">
        <v>2715</v>
      </c>
      <c r="B210" t="s">
        <v>2695</v>
      </c>
      <c r="C210" t="s">
        <v>2761</v>
      </c>
      <c r="D210">
        <v>-63.949999999999996</v>
      </c>
      <c r="E210">
        <v>7.4653630150000003</v>
      </c>
      <c r="I210" t="s">
        <v>2695</v>
      </c>
      <c r="J210" t="s">
        <v>2761</v>
      </c>
      <c r="K210">
        <v>-68.849999999999994</v>
      </c>
      <c r="M210">
        <v>3.9994609560000001</v>
      </c>
    </row>
    <row r="211" spans="1:13" x14ac:dyDescent="0.3">
      <c r="A211" t="s">
        <v>2715</v>
      </c>
      <c r="B211" t="s">
        <v>2695</v>
      </c>
      <c r="C211" t="s">
        <v>2761</v>
      </c>
      <c r="D211">
        <v>-63.860204375000002</v>
      </c>
      <c r="E211">
        <v>5.83</v>
      </c>
      <c r="I211" t="s">
        <v>2695</v>
      </c>
      <c r="J211" t="s">
        <v>2761</v>
      </c>
      <c r="K211">
        <v>-68.737376500000011</v>
      </c>
      <c r="M211">
        <v>5.38</v>
      </c>
    </row>
    <row r="212" spans="1:13" x14ac:dyDescent="0.3">
      <c r="A212" t="s">
        <v>2715</v>
      </c>
      <c r="B212" t="s">
        <v>2695</v>
      </c>
      <c r="C212" t="s">
        <v>2761</v>
      </c>
      <c r="D212">
        <v>-63.822352124999988</v>
      </c>
      <c r="E212">
        <v>7.7719955619999999</v>
      </c>
      <c r="I212" t="s">
        <v>2695</v>
      </c>
      <c r="J212" t="s">
        <v>2761</v>
      </c>
      <c r="K212">
        <v>-68.700000000000017</v>
      </c>
      <c r="M212">
        <v>5.6361808890000002</v>
      </c>
    </row>
    <row r="213" spans="1:13" x14ac:dyDescent="0.3">
      <c r="A213" t="s">
        <v>2715</v>
      </c>
      <c r="B213" t="s">
        <v>2695</v>
      </c>
      <c r="C213" t="s">
        <v>2761</v>
      </c>
      <c r="D213">
        <v>-63.774999999999999</v>
      </c>
      <c r="E213">
        <v>7.8015503500000003</v>
      </c>
      <c r="I213" t="s">
        <v>2695</v>
      </c>
      <c r="J213" t="s">
        <v>2761</v>
      </c>
      <c r="K213">
        <v>-68.6875</v>
      </c>
      <c r="M213">
        <v>7.7058101160000003</v>
      </c>
    </row>
    <row r="214" spans="1:13" x14ac:dyDescent="0.3">
      <c r="A214" t="s">
        <v>2715</v>
      </c>
      <c r="B214" t="s">
        <v>2695</v>
      </c>
      <c r="C214" t="s">
        <v>2761</v>
      </c>
      <c r="D214">
        <v>-63.754396500000006</v>
      </c>
      <c r="E214">
        <v>5.15</v>
      </c>
      <c r="I214" t="s">
        <v>2695</v>
      </c>
      <c r="J214" t="s">
        <v>2761</v>
      </c>
      <c r="K214">
        <v>-68.683532624999998</v>
      </c>
      <c r="M214">
        <v>4.4628602700000002</v>
      </c>
    </row>
    <row r="215" spans="1:13" x14ac:dyDescent="0.3">
      <c r="A215" t="s">
        <v>2715</v>
      </c>
      <c r="B215" t="s">
        <v>2695</v>
      </c>
      <c r="C215" t="s">
        <v>2761</v>
      </c>
      <c r="D215">
        <v>-63.637499999999996</v>
      </c>
      <c r="E215">
        <v>4.0708941650000003</v>
      </c>
      <c r="I215" t="s">
        <v>2695</v>
      </c>
      <c r="J215" t="s">
        <v>2761</v>
      </c>
      <c r="K215">
        <v>-68.677090499999991</v>
      </c>
      <c r="M215">
        <v>6.07</v>
      </c>
    </row>
    <row r="216" spans="1:13" x14ac:dyDescent="0.3">
      <c r="A216" t="s">
        <v>2715</v>
      </c>
      <c r="B216" t="s">
        <v>2695</v>
      </c>
      <c r="C216" t="s">
        <v>2761</v>
      </c>
      <c r="D216">
        <v>-63.587500000000013</v>
      </c>
      <c r="E216">
        <v>2.8765267209999998</v>
      </c>
      <c r="I216" t="s">
        <v>2695</v>
      </c>
      <c r="J216" t="s">
        <v>2761</v>
      </c>
      <c r="K216">
        <v>-68.600856499999992</v>
      </c>
      <c r="M216">
        <v>6.24</v>
      </c>
    </row>
    <row r="217" spans="1:13" x14ac:dyDescent="0.3">
      <c r="A217" t="s">
        <v>2715</v>
      </c>
      <c r="B217" t="s">
        <v>2695</v>
      </c>
      <c r="C217" t="s">
        <v>2761</v>
      </c>
      <c r="D217">
        <v>-63.5590695</v>
      </c>
      <c r="E217">
        <v>3.7097121980000001</v>
      </c>
      <c r="I217" t="s">
        <v>2695</v>
      </c>
      <c r="J217" t="s">
        <v>2761</v>
      </c>
      <c r="K217">
        <v>-68.599999999999994</v>
      </c>
      <c r="M217">
        <v>4.379715461</v>
      </c>
    </row>
    <row r="218" spans="1:13" x14ac:dyDescent="0.3">
      <c r="A218" t="s">
        <v>2715</v>
      </c>
      <c r="B218" t="s">
        <v>2695</v>
      </c>
      <c r="C218" t="s">
        <v>2761</v>
      </c>
      <c r="D218">
        <v>-63.531274500000002</v>
      </c>
      <c r="E218">
        <v>5.7858879239999998</v>
      </c>
      <c r="I218" t="s">
        <v>2695</v>
      </c>
      <c r="J218" t="s">
        <v>2761</v>
      </c>
      <c r="K218">
        <v>-68.598360500000013</v>
      </c>
      <c r="M218">
        <v>4.1500000000000004</v>
      </c>
    </row>
    <row r="219" spans="1:13" x14ac:dyDescent="0.3">
      <c r="A219" t="s">
        <v>2715</v>
      </c>
      <c r="B219" t="s">
        <v>2695</v>
      </c>
      <c r="C219" t="s">
        <v>2761</v>
      </c>
      <c r="D219">
        <v>-63.525000000000013</v>
      </c>
      <c r="E219">
        <v>6.1037358299999998</v>
      </c>
      <c r="I219" t="s">
        <v>2695</v>
      </c>
      <c r="J219" t="s">
        <v>2761</v>
      </c>
      <c r="K219">
        <v>-68.564789499999989</v>
      </c>
      <c r="M219">
        <v>2.09</v>
      </c>
    </row>
    <row r="220" spans="1:13" x14ac:dyDescent="0.3">
      <c r="A220" t="s">
        <v>2715</v>
      </c>
      <c r="B220" t="s">
        <v>2695</v>
      </c>
      <c r="C220" t="s">
        <v>2761</v>
      </c>
      <c r="D220">
        <v>-63.487500000000004</v>
      </c>
      <c r="E220">
        <v>3.7441635230000001</v>
      </c>
      <c r="I220" t="s">
        <v>2695</v>
      </c>
      <c r="J220" t="s">
        <v>2761</v>
      </c>
      <c r="K220">
        <v>-68.549172249999998</v>
      </c>
      <c r="M220">
        <v>4.24</v>
      </c>
    </row>
    <row r="221" spans="1:13" x14ac:dyDescent="0.3">
      <c r="A221" t="s">
        <v>2715</v>
      </c>
      <c r="B221" t="s">
        <v>2695</v>
      </c>
      <c r="C221" t="s">
        <v>2761</v>
      </c>
      <c r="D221">
        <v>-63.462499999999999</v>
      </c>
      <c r="E221">
        <v>5.0462848190000003</v>
      </c>
      <c r="I221" t="s">
        <v>2695</v>
      </c>
      <c r="J221" t="s">
        <v>2761</v>
      </c>
      <c r="K221">
        <v>-68.527477000000005</v>
      </c>
      <c r="M221">
        <v>7.12</v>
      </c>
    </row>
    <row r="222" spans="1:13" x14ac:dyDescent="0.3">
      <c r="A222" t="s">
        <v>2715</v>
      </c>
      <c r="B222" t="s">
        <v>2695</v>
      </c>
      <c r="C222" t="s">
        <v>2761</v>
      </c>
      <c r="D222">
        <v>-63.448531999999993</v>
      </c>
      <c r="E222">
        <v>6.94</v>
      </c>
      <c r="I222" t="s">
        <v>2695</v>
      </c>
      <c r="J222" t="s">
        <v>2761</v>
      </c>
      <c r="K222">
        <v>-68.526241249999998</v>
      </c>
      <c r="M222">
        <v>4</v>
      </c>
    </row>
    <row r="223" spans="1:13" x14ac:dyDescent="0.3">
      <c r="A223" t="s">
        <v>2715</v>
      </c>
      <c r="B223" t="s">
        <v>2695</v>
      </c>
      <c r="C223" t="s">
        <v>2761</v>
      </c>
      <c r="D223">
        <v>-63.381605499999999</v>
      </c>
      <c r="E223">
        <v>5.1604925460000004</v>
      </c>
      <c r="I223" t="s">
        <v>2695</v>
      </c>
      <c r="J223" t="s">
        <v>2761</v>
      </c>
      <c r="K223">
        <v>-68.512499999999989</v>
      </c>
      <c r="M223">
        <v>5.8259069879999998</v>
      </c>
    </row>
    <row r="224" spans="1:13" x14ac:dyDescent="0.3">
      <c r="A224" t="s">
        <v>2715</v>
      </c>
      <c r="B224" t="s">
        <v>2695</v>
      </c>
      <c r="C224" t="s">
        <v>2761</v>
      </c>
      <c r="D224">
        <v>-63.375000000000007</v>
      </c>
      <c r="E224">
        <v>6.846395223</v>
      </c>
      <c r="I224" t="s">
        <v>2695</v>
      </c>
      <c r="J224" t="s">
        <v>2761</v>
      </c>
      <c r="K224">
        <v>-68.480662125000009</v>
      </c>
      <c r="M224">
        <v>5.61</v>
      </c>
    </row>
    <row r="225" spans="1:13" x14ac:dyDescent="0.3">
      <c r="A225" t="s">
        <v>2715</v>
      </c>
      <c r="B225" t="s">
        <v>2695</v>
      </c>
      <c r="C225" t="s">
        <v>2761</v>
      </c>
      <c r="D225">
        <v>-63.199999999999996</v>
      </c>
      <c r="E225">
        <v>6.4519132680000002</v>
      </c>
      <c r="I225" t="s">
        <v>2695</v>
      </c>
      <c r="J225" t="s">
        <v>2761</v>
      </c>
      <c r="K225">
        <v>-68.390294624999996</v>
      </c>
      <c r="M225">
        <v>14.86</v>
      </c>
    </row>
    <row r="226" spans="1:13" x14ac:dyDescent="0.3">
      <c r="A226" t="s">
        <v>2715</v>
      </c>
      <c r="B226" t="s">
        <v>2695</v>
      </c>
      <c r="C226" t="s">
        <v>2761</v>
      </c>
      <c r="D226">
        <v>-63.169067000000005</v>
      </c>
      <c r="E226">
        <v>3.83</v>
      </c>
      <c r="I226" t="s">
        <v>2695</v>
      </c>
      <c r="J226" t="s">
        <v>2761</v>
      </c>
      <c r="K226">
        <v>-68.375</v>
      </c>
      <c r="M226">
        <v>4.1164420819999998</v>
      </c>
    </row>
    <row r="227" spans="1:13" x14ac:dyDescent="0.3">
      <c r="A227" t="s">
        <v>2715</v>
      </c>
      <c r="B227" t="s">
        <v>2695</v>
      </c>
      <c r="C227" t="s">
        <v>2761</v>
      </c>
      <c r="D227">
        <v>-63.1</v>
      </c>
      <c r="E227">
        <v>7.2879859309999997</v>
      </c>
      <c r="I227" t="s">
        <v>2695</v>
      </c>
      <c r="J227" t="s">
        <v>2761</v>
      </c>
      <c r="K227">
        <v>-68.337500000000006</v>
      </c>
      <c r="M227">
        <v>5.617299848</v>
      </c>
    </row>
    <row r="228" spans="1:13" x14ac:dyDescent="0.3">
      <c r="A228" t="s">
        <v>2715</v>
      </c>
      <c r="B228" t="s">
        <v>2695</v>
      </c>
      <c r="C228" t="s">
        <v>2761</v>
      </c>
      <c r="D228">
        <v>-62.975000000000001</v>
      </c>
      <c r="E228" t="s">
        <v>16</v>
      </c>
      <c r="I228" t="s">
        <v>2695</v>
      </c>
      <c r="J228" t="s">
        <v>2761</v>
      </c>
      <c r="K228">
        <v>-68.287499999999994</v>
      </c>
      <c r="M228">
        <v>4.8131399889999997</v>
      </c>
    </row>
    <row r="229" spans="1:13" x14ac:dyDescent="0.3">
      <c r="A229" t="s">
        <v>2715</v>
      </c>
      <c r="B229" t="s">
        <v>2695</v>
      </c>
      <c r="C229" t="s">
        <v>2761</v>
      </c>
      <c r="D229">
        <v>-62.874999999999993</v>
      </c>
      <c r="E229">
        <v>6.0350240069999996</v>
      </c>
      <c r="I229" t="s">
        <v>2695</v>
      </c>
      <c r="J229" t="s">
        <v>2761</v>
      </c>
      <c r="K229">
        <v>-68.25</v>
      </c>
      <c r="M229">
        <v>3.6856636429999998</v>
      </c>
    </row>
    <row r="230" spans="1:13" x14ac:dyDescent="0.3">
      <c r="A230" t="s">
        <v>2715</v>
      </c>
      <c r="B230" t="s">
        <v>2695</v>
      </c>
      <c r="C230" t="s">
        <v>2761</v>
      </c>
      <c r="D230">
        <v>-62.855071000000002</v>
      </c>
      <c r="E230">
        <v>4.7300000000000004</v>
      </c>
      <c r="I230" t="s">
        <v>2695</v>
      </c>
      <c r="J230" t="s">
        <v>2761</v>
      </c>
      <c r="K230">
        <v>-68.25</v>
      </c>
      <c r="M230">
        <v>6.3993178049999999</v>
      </c>
    </row>
    <row r="231" spans="1:13" x14ac:dyDescent="0.3">
      <c r="A231" t="s">
        <v>2715</v>
      </c>
      <c r="B231" t="s">
        <v>2695</v>
      </c>
      <c r="C231" t="s">
        <v>2761</v>
      </c>
      <c r="D231">
        <v>-62.813235124999999</v>
      </c>
      <c r="E231">
        <v>5.47</v>
      </c>
      <c r="I231" t="s">
        <v>2695</v>
      </c>
      <c r="J231" t="s">
        <v>2761</v>
      </c>
      <c r="K231">
        <v>-68.220884000000012</v>
      </c>
      <c r="M231">
        <v>7.1919720040000001</v>
      </c>
    </row>
    <row r="232" spans="1:13" x14ac:dyDescent="0.3">
      <c r="A232" t="s">
        <v>2715</v>
      </c>
      <c r="B232" t="s">
        <v>2695</v>
      </c>
      <c r="C232" t="s">
        <v>2761</v>
      </c>
      <c r="D232">
        <v>-62.79999999999999</v>
      </c>
      <c r="E232">
        <v>4.8131155190000001</v>
      </c>
      <c r="I232" t="s">
        <v>2695</v>
      </c>
      <c r="J232" t="s">
        <v>2761</v>
      </c>
      <c r="K232">
        <v>-68.112499999999983</v>
      </c>
      <c r="M232">
        <v>5.0772408249999996</v>
      </c>
    </row>
    <row r="233" spans="1:13" x14ac:dyDescent="0.3">
      <c r="A233" t="s">
        <v>2715</v>
      </c>
      <c r="B233" t="s">
        <v>2695</v>
      </c>
      <c r="C233" t="s">
        <v>2761</v>
      </c>
      <c r="D233">
        <v>-62.687500000000007</v>
      </c>
      <c r="E233">
        <v>5.8382261010000001</v>
      </c>
      <c r="I233" t="s">
        <v>2695</v>
      </c>
      <c r="J233" t="s">
        <v>2761</v>
      </c>
      <c r="K233">
        <v>-68.087500000000006</v>
      </c>
      <c r="M233">
        <v>4.6084822760000002</v>
      </c>
    </row>
    <row r="234" spans="1:13" x14ac:dyDescent="0.3">
      <c r="A234" t="s">
        <v>2715</v>
      </c>
      <c r="B234" t="s">
        <v>2695</v>
      </c>
      <c r="C234" t="s">
        <v>2761</v>
      </c>
      <c r="D234">
        <v>-62.612500000000004</v>
      </c>
      <c r="E234">
        <v>3.8442051319999999</v>
      </c>
      <c r="I234" t="s">
        <v>2695</v>
      </c>
      <c r="J234" t="s">
        <v>2761</v>
      </c>
      <c r="K234">
        <v>-68.049999999999983</v>
      </c>
      <c r="M234">
        <v>9.4546056459999992</v>
      </c>
    </row>
    <row r="235" spans="1:13" x14ac:dyDescent="0.3">
      <c r="A235" t="s">
        <v>2715</v>
      </c>
      <c r="B235" t="s">
        <v>2695</v>
      </c>
      <c r="C235" t="s">
        <v>2761</v>
      </c>
      <c r="D235">
        <v>-62.612500000000004</v>
      </c>
      <c r="E235">
        <v>6.7644265079999997</v>
      </c>
      <c r="I235" t="s">
        <v>2695</v>
      </c>
      <c r="J235" t="s">
        <v>2761</v>
      </c>
      <c r="K235">
        <v>-68</v>
      </c>
      <c r="M235">
        <v>4.6594792079999996</v>
      </c>
    </row>
    <row r="236" spans="1:13" x14ac:dyDescent="0.3">
      <c r="A236" t="s">
        <v>2715</v>
      </c>
      <c r="B236" t="s">
        <v>2695</v>
      </c>
      <c r="C236" t="s">
        <v>2761</v>
      </c>
      <c r="D236">
        <v>-62.612500000000004</v>
      </c>
      <c r="E236">
        <v>8.0410906050000008</v>
      </c>
      <c r="I236" t="s">
        <v>2695</v>
      </c>
      <c r="J236" t="s">
        <v>2761</v>
      </c>
      <c r="K236">
        <v>-67.843597125000002</v>
      </c>
      <c r="M236">
        <v>7.26</v>
      </c>
    </row>
    <row r="237" spans="1:13" x14ac:dyDescent="0.3">
      <c r="A237" t="s">
        <v>2715</v>
      </c>
      <c r="B237" t="s">
        <v>2695</v>
      </c>
      <c r="C237" t="s">
        <v>2761</v>
      </c>
      <c r="D237">
        <v>-62.6</v>
      </c>
      <c r="E237">
        <v>5.1767454129999999</v>
      </c>
      <c r="I237" t="s">
        <v>2695</v>
      </c>
      <c r="J237" t="s">
        <v>2761</v>
      </c>
      <c r="K237">
        <v>-67.825000000000017</v>
      </c>
      <c r="M237">
        <v>5.7384713749999996</v>
      </c>
    </row>
    <row r="238" spans="1:13" x14ac:dyDescent="0.3">
      <c r="A238" t="s">
        <v>2715</v>
      </c>
      <c r="B238" t="s">
        <v>2695</v>
      </c>
      <c r="C238" t="s">
        <v>2761</v>
      </c>
      <c r="D238">
        <v>-62.425033000000006</v>
      </c>
      <c r="E238">
        <v>5.01</v>
      </c>
      <c r="I238" t="s">
        <v>2695</v>
      </c>
      <c r="J238" t="s">
        <v>2761</v>
      </c>
      <c r="K238">
        <v>-67.812598000000008</v>
      </c>
      <c r="M238">
        <v>6.07</v>
      </c>
    </row>
    <row r="239" spans="1:13" x14ac:dyDescent="0.3">
      <c r="A239" t="s">
        <v>2715</v>
      </c>
      <c r="B239" t="s">
        <v>2695</v>
      </c>
      <c r="C239" t="s">
        <v>2761</v>
      </c>
      <c r="D239">
        <v>-62.341414500000006</v>
      </c>
      <c r="E239">
        <v>5.79</v>
      </c>
      <c r="I239" t="s">
        <v>2695</v>
      </c>
      <c r="J239" t="s">
        <v>2761</v>
      </c>
      <c r="K239">
        <v>-67.762500000000017</v>
      </c>
      <c r="M239">
        <v>8.3990171500000006</v>
      </c>
    </row>
    <row r="240" spans="1:13" x14ac:dyDescent="0.3">
      <c r="A240" t="s">
        <v>2715</v>
      </c>
      <c r="B240" t="s">
        <v>2695</v>
      </c>
      <c r="C240" t="s">
        <v>2761</v>
      </c>
      <c r="D240">
        <v>-62.312499999999993</v>
      </c>
      <c r="E240">
        <v>7.2537320149999998</v>
      </c>
      <c r="I240" t="s">
        <v>2695</v>
      </c>
      <c r="J240" t="s">
        <v>2761</v>
      </c>
      <c r="K240">
        <v>-67.737499999999983</v>
      </c>
      <c r="M240">
        <v>5.8449120849999998</v>
      </c>
    </row>
    <row r="241" spans="1:13" x14ac:dyDescent="0.3">
      <c r="A241" t="s">
        <v>2715</v>
      </c>
      <c r="B241" t="s">
        <v>2695</v>
      </c>
      <c r="C241" t="s">
        <v>2761</v>
      </c>
      <c r="D241">
        <v>-62.125000000000007</v>
      </c>
      <c r="E241">
        <v>4.7383537110000002</v>
      </c>
      <c r="I241" t="s">
        <v>2695</v>
      </c>
      <c r="J241" t="s">
        <v>2761</v>
      </c>
      <c r="K241">
        <v>-67.724999999999994</v>
      </c>
      <c r="M241">
        <v>5.2781259159999996</v>
      </c>
    </row>
    <row r="242" spans="1:13" x14ac:dyDescent="0.3">
      <c r="A242" t="s">
        <v>2715</v>
      </c>
      <c r="B242" t="s">
        <v>2695</v>
      </c>
      <c r="C242" t="s">
        <v>2761</v>
      </c>
      <c r="D242">
        <v>-62.11249999999999</v>
      </c>
      <c r="E242" t="s">
        <v>16</v>
      </c>
      <c r="I242" t="s">
        <v>2695</v>
      </c>
      <c r="J242" t="s">
        <v>2761</v>
      </c>
      <c r="K242">
        <v>-67.699999999999989</v>
      </c>
      <c r="M242">
        <v>4.7065184760000003</v>
      </c>
    </row>
    <row r="243" spans="1:13" x14ac:dyDescent="0.3">
      <c r="A243" t="s">
        <v>2715</v>
      </c>
      <c r="B243" t="s">
        <v>2695</v>
      </c>
      <c r="C243" t="s">
        <v>2761</v>
      </c>
      <c r="D243">
        <v>-61.987500000000004</v>
      </c>
      <c r="E243">
        <v>4.322283315</v>
      </c>
      <c r="I243" t="s">
        <v>2695</v>
      </c>
      <c r="J243" t="s">
        <v>2761</v>
      </c>
      <c r="K243">
        <v>-67.699999999999989</v>
      </c>
      <c r="M243">
        <v>7.9569574410000001</v>
      </c>
    </row>
    <row r="244" spans="1:13" x14ac:dyDescent="0.3">
      <c r="A244" t="s">
        <v>2715</v>
      </c>
      <c r="B244" t="s">
        <v>2695</v>
      </c>
      <c r="C244" t="s">
        <v>2761</v>
      </c>
      <c r="D244">
        <v>-61.937499999999993</v>
      </c>
      <c r="E244">
        <v>6.5896696109999997</v>
      </c>
      <c r="I244" t="s">
        <v>2695</v>
      </c>
      <c r="J244" t="s">
        <v>2761</v>
      </c>
      <c r="K244">
        <v>-67.699824500000005</v>
      </c>
      <c r="M244">
        <v>8.16</v>
      </c>
    </row>
    <row r="245" spans="1:13" x14ac:dyDescent="0.3">
      <c r="A245" t="s">
        <v>2715</v>
      </c>
      <c r="B245" t="s">
        <v>2695</v>
      </c>
      <c r="C245" t="s">
        <v>2761</v>
      </c>
      <c r="D245">
        <v>-61.930596000000001</v>
      </c>
      <c r="E245">
        <v>5.36</v>
      </c>
      <c r="I245" t="s">
        <v>2695</v>
      </c>
      <c r="J245" t="s">
        <v>2761</v>
      </c>
      <c r="K245">
        <v>-67.67537387500002</v>
      </c>
      <c r="M245">
        <v>1.76</v>
      </c>
    </row>
    <row r="246" spans="1:13" x14ac:dyDescent="0.3">
      <c r="A246" t="s">
        <v>2715</v>
      </c>
      <c r="B246" t="s">
        <v>2695</v>
      </c>
      <c r="C246" t="s">
        <v>2761</v>
      </c>
      <c r="D246">
        <v>-61.927207750000001</v>
      </c>
      <c r="E246">
        <v>4.16</v>
      </c>
      <c r="I246" t="s">
        <v>2695</v>
      </c>
      <c r="J246" t="s">
        <v>2761</v>
      </c>
      <c r="K246">
        <v>-67.675000000000011</v>
      </c>
      <c r="M246">
        <v>6.1629435580000003</v>
      </c>
    </row>
    <row r="247" spans="1:13" x14ac:dyDescent="0.3">
      <c r="A247" t="s">
        <v>2715</v>
      </c>
      <c r="B247" t="s">
        <v>2695</v>
      </c>
      <c r="C247" t="s">
        <v>2761</v>
      </c>
      <c r="D247">
        <v>-61.908503250000003</v>
      </c>
      <c r="E247">
        <v>7.09</v>
      </c>
      <c r="I247" t="s">
        <v>2695</v>
      </c>
      <c r="J247" t="s">
        <v>2761</v>
      </c>
      <c r="K247">
        <v>-67.612500000000011</v>
      </c>
      <c r="M247">
        <v>4.7865454959999996</v>
      </c>
    </row>
    <row r="248" spans="1:13" x14ac:dyDescent="0.3">
      <c r="A248" t="s">
        <v>2715</v>
      </c>
      <c r="B248" t="s">
        <v>2695</v>
      </c>
      <c r="C248" t="s">
        <v>2761</v>
      </c>
      <c r="D248">
        <v>-61.9</v>
      </c>
      <c r="E248">
        <v>5.15136314</v>
      </c>
      <c r="I248" t="s">
        <v>2695</v>
      </c>
      <c r="J248" t="s">
        <v>2761</v>
      </c>
      <c r="K248">
        <v>-67.599999999999994</v>
      </c>
      <c r="M248">
        <v>7.542489711</v>
      </c>
    </row>
    <row r="249" spans="1:13" x14ac:dyDescent="0.3">
      <c r="A249" t="s">
        <v>2715</v>
      </c>
      <c r="B249" t="s">
        <v>2695</v>
      </c>
      <c r="C249" t="s">
        <v>2761</v>
      </c>
      <c r="D249">
        <v>-61.82500000000001</v>
      </c>
      <c r="E249">
        <v>3.7625710840000002</v>
      </c>
      <c r="I249" t="s">
        <v>2695</v>
      </c>
      <c r="J249" t="s">
        <v>2761</v>
      </c>
      <c r="K249">
        <v>-67.537499999999994</v>
      </c>
      <c r="M249">
        <v>6.0682074530000003</v>
      </c>
    </row>
    <row r="250" spans="1:13" x14ac:dyDescent="0.3">
      <c r="A250" t="s">
        <v>2715</v>
      </c>
      <c r="B250" t="s">
        <v>2695</v>
      </c>
      <c r="C250" t="s">
        <v>2761</v>
      </c>
      <c r="D250">
        <v>-61.7782695</v>
      </c>
      <c r="E250">
        <v>4.75</v>
      </c>
      <c r="I250" t="s">
        <v>2695</v>
      </c>
      <c r="J250" t="s">
        <v>2761</v>
      </c>
      <c r="K250">
        <v>-67.512737874999999</v>
      </c>
      <c r="M250">
        <v>4.13</v>
      </c>
    </row>
    <row r="251" spans="1:13" x14ac:dyDescent="0.3">
      <c r="A251" t="s">
        <v>2715</v>
      </c>
      <c r="B251" t="s">
        <v>2695</v>
      </c>
      <c r="C251" t="s">
        <v>2761</v>
      </c>
      <c r="D251">
        <v>-61.699999999999996</v>
      </c>
      <c r="E251">
        <v>4.9925662529999997</v>
      </c>
      <c r="I251" t="s">
        <v>2695</v>
      </c>
      <c r="J251" t="s">
        <v>2761</v>
      </c>
      <c r="K251">
        <v>-67.5</v>
      </c>
      <c r="M251">
        <v>5.6042188250000002</v>
      </c>
    </row>
    <row r="252" spans="1:13" x14ac:dyDescent="0.3">
      <c r="A252" t="s">
        <v>2715</v>
      </c>
      <c r="B252" t="s">
        <v>2695</v>
      </c>
      <c r="C252" t="s">
        <v>2761</v>
      </c>
      <c r="D252">
        <v>-61.612747500000005</v>
      </c>
      <c r="E252">
        <v>6.38</v>
      </c>
      <c r="I252" t="s">
        <v>2695</v>
      </c>
      <c r="J252" t="s">
        <v>2761</v>
      </c>
      <c r="K252">
        <v>-67.5</v>
      </c>
      <c r="M252">
        <v>7.2568986689999999</v>
      </c>
    </row>
    <row r="253" spans="1:13" x14ac:dyDescent="0.3">
      <c r="A253" t="s">
        <v>2715</v>
      </c>
      <c r="B253" t="s">
        <v>2695</v>
      </c>
      <c r="C253" t="s">
        <v>2761</v>
      </c>
      <c r="D253">
        <v>-61.429421499999997</v>
      </c>
      <c r="E253">
        <v>7.2778163569999998</v>
      </c>
      <c r="I253" t="s">
        <v>2695</v>
      </c>
      <c r="J253" t="s">
        <v>2761</v>
      </c>
      <c r="K253">
        <v>-67.499184874999997</v>
      </c>
      <c r="M253">
        <v>6.94</v>
      </c>
    </row>
    <row r="254" spans="1:13" x14ac:dyDescent="0.3">
      <c r="A254" t="s">
        <v>2715</v>
      </c>
      <c r="B254" t="s">
        <v>2695</v>
      </c>
      <c r="C254" t="s">
        <v>2761</v>
      </c>
      <c r="D254">
        <v>-61.380005375000003</v>
      </c>
      <c r="E254">
        <v>3.39</v>
      </c>
      <c r="I254" t="s">
        <v>2695</v>
      </c>
      <c r="J254" t="s">
        <v>2761</v>
      </c>
      <c r="K254">
        <v>-67.324999999999989</v>
      </c>
      <c r="M254">
        <v>5.3918595820000004</v>
      </c>
    </row>
    <row r="255" spans="1:13" x14ac:dyDescent="0.3">
      <c r="A255" t="s">
        <v>2715</v>
      </c>
      <c r="B255" t="s">
        <v>2695</v>
      </c>
      <c r="C255" t="s">
        <v>2761</v>
      </c>
      <c r="D255">
        <v>-61.337500000000013</v>
      </c>
      <c r="E255">
        <v>4.246373889</v>
      </c>
      <c r="I255" t="s">
        <v>2695</v>
      </c>
      <c r="J255" t="s">
        <v>2761</v>
      </c>
      <c r="K255">
        <v>-67.240154999999987</v>
      </c>
      <c r="M255">
        <v>3.86</v>
      </c>
    </row>
    <row r="256" spans="1:13" x14ac:dyDescent="0.3">
      <c r="A256" t="s">
        <v>2715</v>
      </c>
      <c r="B256" t="s">
        <v>2695</v>
      </c>
      <c r="C256" t="s">
        <v>2761</v>
      </c>
      <c r="D256">
        <v>-61.250000000000007</v>
      </c>
      <c r="E256">
        <v>4.4785697989999997</v>
      </c>
      <c r="I256" t="s">
        <v>2695</v>
      </c>
      <c r="J256" t="s">
        <v>2761</v>
      </c>
      <c r="K256">
        <v>-67.052574749999991</v>
      </c>
      <c r="M256">
        <v>8.01</v>
      </c>
    </row>
    <row r="257" spans="1:13" x14ac:dyDescent="0.3">
      <c r="A257" t="s">
        <v>2715</v>
      </c>
      <c r="B257" t="s">
        <v>2695</v>
      </c>
      <c r="C257" t="s">
        <v>2761</v>
      </c>
      <c r="D257">
        <v>-61.193651624999994</v>
      </c>
      <c r="E257">
        <v>8.0399999999999991</v>
      </c>
      <c r="I257" t="s">
        <v>2695</v>
      </c>
      <c r="J257" t="s">
        <v>2761</v>
      </c>
      <c r="K257">
        <v>-67.008691999999996</v>
      </c>
      <c r="M257">
        <v>7.09</v>
      </c>
    </row>
    <row r="258" spans="1:13" x14ac:dyDescent="0.3">
      <c r="A258" t="s">
        <v>2715</v>
      </c>
      <c r="B258" t="s">
        <v>2695</v>
      </c>
      <c r="C258" t="s">
        <v>2761</v>
      </c>
      <c r="D258">
        <v>-61.074999999999996</v>
      </c>
      <c r="E258">
        <v>5.1865954820000004</v>
      </c>
      <c r="I258" t="s">
        <v>2695</v>
      </c>
      <c r="J258" t="s">
        <v>2761</v>
      </c>
      <c r="K258">
        <v>-66.962500000000006</v>
      </c>
      <c r="M258">
        <v>7.5658294890000004</v>
      </c>
    </row>
    <row r="259" spans="1:13" x14ac:dyDescent="0.3">
      <c r="A259" t="s">
        <v>2715</v>
      </c>
      <c r="B259" t="s">
        <v>2695</v>
      </c>
      <c r="C259" t="s">
        <v>2761</v>
      </c>
      <c r="D259">
        <v>-61.072472249999997</v>
      </c>
      <c r="E259">
        <v>10.83</v>
      </c>
      <c r="I259" t="s">
        <v>2695</v>
      </c>
      <c r="J259" t="s">
        <v>2761</v>
      </c>
      <c r="K259">
        <v>-66.9375</v>
      </c>
      <c r="M259">
        <v>8.259712232</v>
      </c>
    </row>
    <row r="260" spans="1:13" x14ac:dyDescent="0.3">
      <c r="A260" t="s">
        <v>2715</v>
      </c>
      <c r="B260" t="s">
        <v>2695</v>
      </c>
      <c r="C260" t="s">
        <v>2761</v>
      </c>
      <c r="D260">
        <v>-61.050000000000004</v>
      </c>
      <c r="E260">
        <v>9.0827475179999997</v>
      </c>
      <c r="I260" t="s">
        <v>2695</v>
      </c>
      <c r="J260" t="s">
        <v>2761</v>
      </c>
      <c r="K260">
        <v>-66.862499999999983</v>
      </c>
      <c r="M260">
        <v>5.9527155970000001</v>
      </c>
    </row>
    <row r="261" spans="1:13" x14ac:dyDescent="0.3">
      <c r="A261" t="s">
        <v>2715</v>
      </c>
      <c r="B261" t="s">
        <v>2695</v>
      </c>
      <c r="C261" t="s">
        <v>2761</v>
      </c>
      <c r="D261">
        <v>-61.037500000000001</v>
      </c>
      <c r="E261">
        <v>4.6983978000000004</v>
      </c>
      <c r="I261" t="s">
        <v>2695</v>
      </c>
      <c r="J261" t="s">
        <v>2761</v>
      </c>
      <c r="K261">
        <v>-66.724999999999994</v>
      </c>
      <c r="M261">
        <v>5.3046593949999998</v>
      </c>
    </row>
    <row r="262" spans="1:13" x14ac:dyDescent="0.3">
      <c r="A262" t="s">
        <v>2715</v>
      </c>
      <c r="B262" t="s">
        <v>2695</v>
      </c>
      <c r="C262" t="s">
        <v>2761</v>
      </c>
      <c r="D262">
        <v>-60.912500000000001</v>
      </c>
      <c r="E262">
        <v>3.945912544</v>
      </c>
      <c r="I262" t="s">
        <v>2695</v>
      </c>
      <c r="J262" t="s">
        <v>2761</v>
      </c>
      <c r="K262">
        <v>-66.721542874999983</v>
      </c>
      <c r="M262">
        <v>5.53</v>
      </c>
    </row>
    <row r="263" spans="1:13" x14ac:dyDescent="0.3">
      <c r="A263" t="s">
        <v>2715</v>
      </c>
      <c r="B263" t="s">
        <v>2695</v>
      </c>
      <c r="C263" t="s">
        <v>2761</v>
      </c>
      <c r="D263">
        <v>-60.85</v>
      </c>
      <c r="E263">
        <v>8.0739581870000006</v>
      </c>
      <c r="I263" t="s">
        <v>2695</v>
      </c>
      <c r="J263" t="s">
        <v>2761</v>
      </c>
      <c r="K263">
        <v>-66.604686874999999</v>
      </c>
      <c r="M263">
        <v>9.58</v>
      </c>
    </row>
    <row r="264" spans="1:13" x14ac:dyDescent="0.3">
      <c r="A264" t="s">
        <v>2715</v>
      </c>
      <c r="B264" t="s">
        <v>2695</v>
      </c>
      <c r="C264" t="s">
        <v>2761</v>
      </c>
      <c r="D264">
        <v>-60.819216500000003</v>
      </c>
      <c r="E264">
        <v>6.12</v>
      </c>
      <c r="I264" t="s">
        <v>2695</v>
      </c>
      <c r="J264" t="s">
        <v>2761</v>
      </c>
      <c r="K264">
        <v>-66.599999999999994</v>
      </c>
      <c r="M264">
        <v>3.3966480020000001</v>
      </c>
    </row>
    <row r="265" spans="1:13" x14ac:dyDescent="0.3">
      <c r="A265" t="s">
        <v>2715</v>
      </c>
      <c r="B265" t="s">
        <v>2695</v>
      </c>
      <c r="C265" t="s">
        <v>2761</v>
      </c>
      <c r="D265">
        <v>-60.752663000000005</v>
      </c>
      <c r="E265">
        <v>5.58</v>
      </c>
      <c r="I265" t="s">
        <v>2695</v>
      </c>
      <c r="J265" t="s">
        <v>2761</v>
      </c>
      <c r="K265">
        <v>-66.587500000000006</v>
      </c>
      <c r="M265">
        <v>4.4258503400000002</v>
      </c>
    </row>
    <row r="266" spans="1:13" x14ac:dyDescent="0.3">
      <c r="A266" t="s">
        <v>2715</v>
      </c>
      <c r="B266" t="s">
        <v>2695</v>
      </c>
      <c r="C266" t="s">
        <v>2761</v>
      </c>
      <c r="D266">
        <v>-60.639672749999995</v>
      </c>
      <c r="E266">
        <v>5.48</v>
      </c>
      <c r="I266" t="s">
        <v>2695</v>
      </c>
      <c r="J266" t="s">
        <v>2761</v>
      </c>
      <c r="K266">
        <v>-66.587500000000006</v>
      </c>
      <c r="M266">
        <v>6.7400721319999999</v>
      </c>
    </row>
    <row r="267" spans="1:13" x14ac:dyDescent="0.3">
      <c r="A267" t="s">
        <v>2715</v>
      </c>
      <c r="B267" t="s">
        <v>2695</v>
      </c>
      <c r="C267" t="s">
        <v>2761</v>
      </c>
      <c r="D267">
        <v>-60.57500000000001</v>
      </c>
      <c r="E267">
        <v>6.0101096390000004</v>
      </c>
      <c r="I267" t="s">
        <v>2695</v>
      </c>
      <c r="J267" t="s">
        <v>2761</v>
      </c>
      <c r="K267">
        <v>-66.572779999999995</v>
      </c>
      <c r="M267">
        <v>6.3994302440000004</v>
      </c>
    </row>
    <row r="268" spans="1:13" x14ac:dyDescent="0.3">
      <c r="A268" t="s">
        <v>2715</v>
      </c>
      <c r="B268" t="s">
        <v>2695</v>
      </c>
      <c r="C268" t="s">
        <v>2761</v>
      </c>
      <c r="D268">
        <v>-60.337499999999999</v>
      </c>
      <c r="E268">
        <v>5.860929574</v>
      </c>
      <c r="I268" t="s">
        <v>2695</v>
      </c>
      <c r="J268" t="s">
        <v>2761</v>
      </c>
      <c r="K268">
        <v>-66.525000000000006</v>
      </c>
      <c r="M268">
        <v>4.2071453480000001</v>
      </c>
    </row>
    <row r="269" spans="1:13" x14ac:dyDescent="0.3">
      <c r="A269" t="s">
        <v>2715</v>
      </c>
      <c r="B269" t="s">
        <v>2695</v>
      </c>
      <c r="C269" t="s">
        <v>2761</v>
      </c>
      <c r="D269">
        <v>-60.274999999999999</v>
      </c>
      <c r="E269">
        <v>5.330528932</v>
      </c>
      <c r="I269" t="s">
        <v>2695</v>
      </c>
      <c r="J269" t="s">
        <v>2761</v>
      </c>
      <c r="K269">
        <v>-66.518926499999992</v>
      </c>
      <c r="M269">
        <v>1.59</v>
      </c>
    </row>
    <row r="270" spans="1:13" x14ac:dyDescent="0.3">
      <c r="A270" t="s">
        <v>2715</v>
      </c>
      <c r="B270" t="s">
        <v>2695</v>
      </c>
      <c r="C270" t="s">
        <v>2761</v>
      </c>
      <c r="D270">
        <v>-60.23749999999999</v>
      </c>
      <c r="E270">
        <v>7.9386607079999996</v>
      </c>
      <c r="I270" t="s">
        <v>2695</v>
      </c>
      <c r="J270" t="s">
        <v>2761</v>
      </c>
      <c r="K270">
        <v>-66.5</v>
      </c>
      <c r="M270">
        <v>4.8850943579999999</v>
      </c>
    </row>
    <row r="271" spans="1:13" x14ac:dyDescent="0.3">
      <c r="A271" t="s">
        <v>2715</v>
      </c>
      <c r="B271" t="s">
        <v>2695</v>
      </c>
      <c r="C271" t="s">
        <v>2761</v>
      </c>
      <c r="D271">
        <v>-60.212499999999999</v>
      </c>
      <c r="E271">
        <v>4.9942213019999997</v>
      </c>
      <c r="I271" t="s">
        <v>2695</v>
      </c>
      <c r="J271" t="s">
        <v>2761</v>
      </c>
      <c r="K271">
        <v>-66.316685624999991</v>
      </c>
      <c r="M271">
        <v>4.1900000000000004</v>
      </c>
    </row>
    <row r="272" spans="1:13" x14ac:dyDescent="0.3">
      <c r="A272" t="s">
        <v>2715</v>
      </c>
      <c r="B272" t="s">
        <v>2695</v>
      </c>
      <c r="C272" t="s">
        <v>2761</v>
      </c>
      <c r="D272">
        <v>-60.199999999999996</v>
      </c>
      <c r="E272">
        <v>4.8248623640000003</v>
      </c>
      <c r="I272" t="s">
        <v>2695</v>
      </c>
      <c r="J272" t="s">
        <v>2761</v>
      </c>
      <c r="K272">
        <v>-66.262500000000017</v>
      </c>
      <c r="M272">
        <v>4.3176607819999999</v>
      </c>
    </row>
    <row r="273" spans="1:13" x14ac:dyDescent="0.3">
      <c r="A273" t="s">
        <v>2715</v>
      </c>
      <c r="B273" t="s">
        <v>2695</v>
      </c>
      <c r="C273" t="s">
        <v>2761</v>
      </c>
      <c r="D273">
        <v>-59.860163500000006</v>
      </c>
      <c r="E273">
        <v>-1.76</v>
      </c>
      <c r="I273" t="s">
        <v>2695</v>
      </c>
      <c r="J273" t="s">
        <v>2761</v>
      </c>
      <c r="K273">
        <v>-66.112500000000011</v>
      </c>
      <c r="M273">
        <v>8.5253865520000005</v>
      </c>
    </row>
    <row r="274" spans="1:13" x14ac:dyDescent="0.3">
      <c r="A274" t="s">
        <v>2715</v>
      </c>
      <c r="B274" t="s">
        <v>2695</v>
      </c>
      <c r="C274" t="s">
        <v>2761</v>
      </c>
      <c r="D274">
        <v>-59.798881874999999</v>
      </c>
      <c r="E274">
        <v>6.32</v>
      </c>
      <c r="I274" t="s">
        <v>2695</v>
      </c>
      <c r="J274" t="s">
        <v>2761</v>
      </c>
      <c r="K274">
        <v>-66.037499999999994</v>
      </c>
      <c r="M274">
        <v>5.2344030349999997</v>
      </c>
    </row>
    <row r="275" spans="1:13" x14ac:dyDescent="0.3">
      <c r="A275" t="s">
        <v>2715</v>
      </c>
      <c r="B275" t="s">
        <v>2695</v>
      </c>
      <c r="C275" t="s">
        <v>2761</v>
      </c>
      <c r="D275">
        <v>-59.74225387500001</v>
      </c>
      <c r="E275">
        <v>4.1500000000000004</v>
      </c>
      <c r="I275" t="s">
        <v>2695</v>
      </c>
      <c r="J275" t="s">
        <v>2761</v>
      </c>
      <c r="K275">
        <v>-66.031501125000005</v>
      </c>
      <c r="M275">
        <v>5.1100000000000003</v>
      </c>
    </row>
    <row r="276" spans="1:13" x14ac:dyDescent="0.3">
      <c r="A276" t="s">
        <v>2715</v>
      </c>
      <c r="B276" t="s">
        <v>2695</v>
      </c>
      <c r="C276" t="s">
        <v>2761</v>
      </c>
      <c r="D276">
        <v>-59.61249999999999</v>
      </c>
      <c r="E276">
        <v>5.9628827610000004</v>
      </c>
      <c r="I276" t="s">
        <v>2695</v>
      </c>
      <c r="J276" t="s">
        <v>2761</v>
      </c>
      <c r="K276">
        <v>-66.025000000000006</v>
      </c>
      <c r="M276">
        <v>8.5218273240000002</v>
      </c>
    </row>
    <row r="277" spans="1:13" x14ac:dyDescent="0.3">
      <c r="A277" t="s">
        <v>2715</v>
      </c>
      <c r="B277" t="s">
        <v>2695</v>
      </c>
      <c r="C277" t="s">
        <v>2761</v>
      </c>
      <c r="D277">
        <v>-59.512499999999996</v>
      </c>
      <c r="E277">
        <v>5.7749290369999997</v>
      </c>
      <c r="I277" t="s">
        <v>2695</v>
      </c>
      <c r="J277" t="s">
        <v>2761</v>
      </c>
      <c r="K277">
        <v>-66.011743124999981</v>
      </c>
      <c r="M277">
        <v>7.97</v>
      </c>
    </row>
    <row r="278" spans="1:13" x14ac:dyDescent="0.3">
      <c r="A278" t="s">
        <v>2715</v>
      </c>
      <c r="B278" t="s">
        <v>2695</v>
      </c>
      <c r="C278" t="s">
        <v>2761</v>
      </c>
      <c r="D278">
        <v>-59.512499999999996</v>
      </c>
      <c r="E278">
        <v>4.1762939799999996</v>
      </c>
      <c r="I278" t="s">
        <v>2695</v>
      </c>
      <c r="J278" t="s">
        <v>2761</v>
      </c>
      <c r="K278">
        <v>-65.887500000000017</v>
      </c>
      <c r="M278">
        <v>5.0833498390000003</v>
      </c>
    </row>
    <row r="279" spans="1:13" x14ac:dyDescent="0.3">
      <c r="A279" t="s">
        <v>2715</v>
      </c>
      <c r="B279" t="s">
        <v>2695</v>
      </c>
      <c r="C279" t="s">
        <v>2761</v>
      </c>
      <c r="D279">
        <v>-59.449999999999996</v>
      </c>
      <c r="E279" t="s">
        <v>16</v>
      </c>
      <c r="I279" t="s">
        <v>2695</v>
      </c>
      <c r="J279" t="s">
        <v>2761</v>
      </c>
      <c r="K279">
        <v>-65.863560124999992</v>
      </c>
      <c r="M279">
        <v>7.676698902</v>
      </c>
    </row>
    <row r="280" spans="1:13" x14ac:dyDescent="0.3">
      <c r="A280" t="s">
        <v>2715</v>
      </c>
      <c r="B280" t="s">
        <v>2695</v>
      </c>
      <c r="C280" t="s">
        <v>2761</v>
      </c>
      <c r="D280">
        <v>-59.439369499999991</v>
      </c>
      <c r="E280">
        <v>2.9757540730000001</v>
      </c>
      <c r="I280" t="s">
        <v>2695</v>
      </c>
      <c r="J280" t="s">
        <v>2761</v>
      </c>
      <c r="K280">
        <v>-65.8125</v>
      </c>
      <c r="M280">
        <v>7.0992954099999999</v>
      </c>
    </row>
    <row r="281" spans="1:13" x14ac:dyDescent="0.3">
      <c r="A281" t="s">
        <v>2715</v>
      </c>
      <c r="B281" t="s">
        <v>2695</v>
      </c>
      <c r="C281" t="s">
        <v>2761</v>
      </c>
      <c r="D281">
        <v>-59.402821499999995</v>
      </c>
      <c r="E281">
        <v>6.84</v>
      </c>
      <c r="I281" t="s">
        <v>2695</v>
      </c>
      <c r="J281" t="s">
        <v>2761</v>
      </c>
      <c r="K281">
        <v>-65.715642000000003</v>
      </c>
      <c r="M281">
        <v>6.2033232380000003</v>
      </c>
    </row>
    <row r="282" spans="1:13" x14ac:dyDescent="0.3">
      <c r="A282" t="s">
        <v>2715</v>
      </c>
      <c r="B282" t="s">
        <v>2695</v>
      </c>
      <c r="C282" t="s">
        <v>2761</v>
      </c>
      <c r="D282">
        <v>-59.398946625000001</v>
      </c>
      <c r="E282">
        <v>6.21</v>
      </c>
      <c r="I282" t="s">
        <v>2695</v>
      </c>
      <c r="J282" t="s">
        <v>2761</v>
      </c>
      <c r="K282">
        <v>-65.680057000000005</v>
      </c>
      <c r="M282">
        <v>6.4244729820000002</v>
      </c>
    </row>
    <row r="283" spans="1:13" x14ac:dyDescent="0.3">
      <c r="A283" t="s">
        <v>2715</v>
      </c>
      <c r="B283" t="s">
        <v>2695</v>
      </c>
      <c r="C283" t="s">
        <v>2761</v>
      </c>
      <c r="D283">
        <v>-59.137499999999996</v>
      </c>
      <c r="E283">
        <v>2.4463352700000001</v>
      </c>
      <c r="I283" t="s">
        <v>2695</v>
      </c>
      <c r="J283" t="s">
        <v>2761</v>
      </c>
      <c r="K283">
        <v>-65.662499999999994</v>
      </c>
      <c r="M283">
        <v>1.9093675530000001</v>
      </c>
    </row>
    <row r="284" spans="1:13" x14ac:dyDescent="0.3">
      <c r="A284" t="s">
        <v>2715</v>
      </c>
      <c r="B284" t="s">
        <v>2695</v>
      </c>
      <c r="C284" t="s">
        <v>2761</v>
      </c>
      <c r="D284">
        <v>-59.104183999999997</v>
      </c>
      <c r="E284">
        <v>5.73</v>
      </c>
      <c r="I284" t="s">
        <v>2695</v>
      </c>
      <c r="J284" t="s">
        <v>2761</v>
      </c>
      <c r="K284">
        <v>-65.594988374999986</v>
      </c>
      <c r="M284">
        <v>5.81</v>
      </c>
    </row>
    <row r="285" spans="1:13" x14ac:dyDescent="0.3">
      <c r="A285" t="s">
        <v>2715</v>
      </c>
      <c r="B285" t="s">
        <v>2695</v>
      </c>
      <c r="C285" t="s">
        <v>2761</v>
      </c>
      <c r="D285">
        <v>-59.093944999999998</v>
      </c>
      <c r="E285">
        <v>9.51</v>
      </c>
      <c r="I285" t="s">
        <v>2695</v>
      </c>
      <c r="J285" t="s">
        <v>2761</v>
      </c>
      <c r="K285">
        <v>-65.51379799999998</v>
      </c>
      <c r="M285">
        <v>6.15</v>
      </c>
    </row>
    <row r="286" spans="1:13" x14ac:dyDescent="0.3">
      <c r="A286" t="s">
        <v>2715</v>
      </c>
      <c r="B286" t="s">
        <v>2695</v>
      </c>
      <c r="C286" t="s">
        <v>2761</v>
      </c>
      <c r="D286">
        <v>-59.05641275</v>
      </c>
      <c r="E286">
        <v>1.9317109560000001</v>
      </c>
      <c r="I286" t="s">
        <v>2695</v>
      </c>
      <c r="J286" t="s">
        <v>2761</v>
      </c>
      <c r="K286">
        <v>-65.438676749999985</v>
      </c>
      <c r="M286">
        <v>2.89</v>
      </c>
    </row>
    <row r="287" spans="1:13" x14ac:dyDescent="0.3">
      <c r="A287" t="s">
        <v>2715</v>
      </c>
      <c r="B287" t="s">
        <v>2695</v>
      </c>
      <c r="C287" t="s">
        <v>2761</v>
      </c>
      <c r="D287">
        <v>-59.000780999999996</v>
      </c>
      <c r="E287">
        <v>8.1999999999999993</v>
      </c>
      <c r="I287" t="s">
        <v>2695</v>
      </c>
      <c r="J287" t="s">
        <v>2761</v>
      </c>
      <c r="K287">
        <v>-65.369669750000014</v>
      </c>
      <c r="M287">
        <v>6.47</v>
      </c>
    </row>
    <row r="288" spans="1:13" x14ac:dyDescent="0.3">
      <c r="A288" t="s">
        <v>2715</v>
      </c>
      <c r="B288" t="s">
        <v>2695</v>
      </c>
      <c r="C288" t="s">
        <v>2761</v>
      </c>
      <c r="D288">
        <v>-58.884559250000002</v>
      </c>
      <c r="E288">
        <v>1.26</v>
      </c>
      <c r="I288" t="s">
        <v>2695</v>
      </c>
      <c r="J288" t="s">
        <v>2761</v>
      </c>
      <c r="K288">
        <v>-65.349999999999994</v>
      </c>
      <c r="M288">
        <v>3.948775355</v>
      </c>
    </row>
    <row r="289" spans="1:13" x14ac:dyDescent="0.3">
      <c r="A289" t="s">
        <v>2715</v>
      </c>
      <c r="B289" t="s">
        <v>2695</v>
      </c>
      <c r="C289" t="s">
        <v>2761</v>
      </c>
      <c r="D289">
        <v>-58.824999999999996</v>
      </c>
      <c r="E289">
        <v>2.5315689880000001</v>
      </c>
      <c r="I289" t="s">
        <v>2695</v>
      </c>
      <c r="J289" t="s">
        <v>2761</v>
      </c>
      <c r="K289">
        <v>-65.342563750000011</v>
      </c>
      <c r="M289">
        <v>6.3</v>
      </c>
    </row>
    <row r="290" spans="1:13" x14ac:dyDescent="0.3">
      <c r="A290" t="s">
        <v>2715</v>
      </c>
      <c r="B290" t="s">
        <v>2695</v>
      </c>
      <c r="C290" t="s">
        <v>2761</v>
      </c>
      <c r="D290">
        <v>-58.64961125</v>
      </c>
      <c r="E290">
        <v>2.2027457859999999</v>
      </c>
      <c r="I290" t="s">
        <v>2695</v>
      </c>
      <c r="J290" t="s">
        <v>2761</v>
      </c>
      <c r="K290">
        <v>-65.298778999999996</v>
      </c>
      <c r="M290">
        <v>4.79</v>
      </c>
    </row>
    <row r="291" spans="1:13" x14ac:dyDescent="0.3">
      <c r="A291" t="s">
        <v>2715</v>
      </c>
      <c r="B291" t="s">
        <v>2695</v>
      </c>
      <c r="C291" t="s">
        <v>2761</v>
      </c>
      <c r="D291">
        <v>-58.42499999999999</v>
      </c>
      <c r="E291">
        <v>10.89504812</v>
      </c>
      <c r="I291" t="s">
        <v>2695</v>
      </c>
      <c r="J291" t="s">
        <v>2761</v>
      </c>
      <c r="K291">
        <v>-65.169084999999995</v>
      </c>
      <c r="M291">
        <v>5.97</v>
      </c>
    </row>
    <row r="292" spans="1:13" x14ac:dyDescent="0.3">
      <c r="A292" t="s">
        <v>2715</v>
      </c>
      <c r="B292" t="s">
        <v>2695</v>
      </c>
      <c r="C292" t="s">
        <v>2761</v>
      </c>
      <c r="D292">
        <v>-58.384092500000001</v>
      </c>
      <c r="E292">
        <v>5.6689400120000002</v>
      </c>
      <c r="I292" t="s">
        <v>2695</v>
      </c>
      <c r="J292" t="s">
        <v>2761</v>
      </c>
      <c r="K292">
        <v>-64.962500000000006</v>
      </c>
      <c r="M292">
        <v>5.7458810219999998</v>
      </c>
    </row>
    <row r="293" spans="1:13" x14ac:dyDescent="0.3">
      <c r="A293" t="s">
        <v>2715</v>
      </c>
      <c r="B293" t="s">
        <v>2695</v>
      </c>
      <c r="C293" t="s">
        <v>2761</v>
      </c>
      <c r="D293">
        <v>-58.375000000000007</v>
      </c>
      <c r="E293">
        <v>6.1634281870000001</v>
      </c>
      <c r="I293" t="s">
        <v>2695</v>
      </c>
      <c r="J293" t="s">
        <v>2761</v>
      </c>
      <c r="K293">
        <v>-64.912499999999994</v>
      </c>
      <c r="M293">
        <v>3.7377188330000002</v>
      </c>
    </row>
    <row r="294" spans="1:13" x14ac:dyDescent="0.3">
      <c r="A294" t="s">
        <v>2715</v>
      </c>
      <c r="B294" t="s">
        <v>2695</v>
      </c>
      <c r="C294" t="s">
        <v>2761</v>
      </c>
      <c r="D294">
        <v>-58.085190749999988</v>
      </c>
      <c r="E294">
        <v>2.78</v>
      </c>
      <c r="I294" t="s">
        <v>2695</v>
      </c>
      <c r="J294" t="s">
        <v>2761</v>
      </c>
      <c r="K294">
        <v>-64.87329112499998</v>
      </c>
      <c r="M294">
        <v>6.96</v>
      </c>
    </row>
    <row r="295" spans="1:13" x14ac:dyDescent="0.3">
      <c r="A295" t="s">
        <v>2715</v>
      </c>
      <c r="B295" t="s">
        <v>2695</v>
      </c>
      <c r="C295" t="s">
        <v>2761</v>
      </c>
      <c r="D295">
        <v>-57.900000000000013</v>
      </c>
      <c r="E295">
        <v>-1.258331195</v>
      </c>
      <c r="I295" t="s">
        <v>2695</v>
      </c>
      <c r="J295" t="s">
        <v>2761</v>
      </c>
      <c r="K295">
        <v>-64.801611750000006</v>
      </c>
      <c r="M295">
        <v>6.04</v>
      </c>
    </row>
    <row r="296" spans="1:13" x14ac:dyDescent="0.3">
      <c r="A296" t="s">
        <v>2715</v>
      </c>
      <c r="B296" t="s">
        <v>2695</v>
      </c>
      <c r="C296" t="s">
        <v>2761</v>
      </c>
      <c r="D296">
        <v>-57.789373875000003</v>
      </c>
      <c r="E296">
        <v>10.35901451</v>
      </c>
      <c r="I296" t="s">
        <v>2695</v>
      </c>
      <c r="J296" t="s">
        <v>2761</v>
      </c>
      <c r="K296">
        <v>-64.737500000000011</v>
      </c>
      <c r="M296">
        <v>5.548889258</v>
      </c>
    </row>
    <row r="297" spans="1:13" x14ac:dyDescent="0.3">
      <c r="A297" t="s">
        <v>2715</v>
      </c>
      <c r="B297" t="s">
        <v>2695</v>
      </c>
      <c r="C297" t="s">
        <v>2761</v>
      </c>
      <c r="D297">
        <v>-57.750929499999991</v>
      </c>
      <c r="E297">
        <v>3.24</v>
      </c>
      <c r="I297" t="s">
        <v>2695</v>
      </c>
      <c r="J297" t="s">
        <v>2761</v>
      </c>
      <c r="K297">
        <v>-64.729057124999997</v>
      </c>
      <c r="M297">
        <v>5.58</v>
      </c>
    </row>
    <row r="298" spans="1:13" x14ac:dyDescent="0.3">
      <c r="A298" t="s">
        <v>2715</v>
      </c>
      <c r="B298" t="s">
        <v>2695</v>
      </c>
      <c r="C298" t="s">
        <v>2761</v>
      </c>
      <c r="D298">
        <v>-57.698336999999988</v>
      </c>
      <c r="E298">
        <v>4.9000000000000004</v>
      </c>
      <c r="I298" t="s">
        <v>2695</v>
      </c>
      <c r="J298" t="s">
        <v>2761</v>
      </c>
      <c r="K298">
        <v>-64.712500000000006</v>
      </c>
      <c r="M298">
        <v>4.1034937109999996</v>
      </c>
    </row>
    <row r="299" spans="1:13" x14ac:dyDescent="0.3">
      <c r="A299" t="s">
        <v>2715</v>
      </c>
      <c r="B299" t="s">
        <v>2695</v>
      </c>
      <c r="C299" t="s">
        <v>2761</v>
      </c>
      <c r="D299">
        <v>-57.605494875000012</v>
      </c>
      <c r="E299">
        <v>1.06</v>
      </c>
      <c r="I299" t="s">
        <v>2695</v>
      </c>
      <c r="J299" t="s">
        <v>2761</v>
      </c>
      <c r="K299">
        <v>-64.637500000000017</v>
      </c>
      <c r="M299">
        <v>5.7660586900000004</v>
      </c>
    </row>
    <row r="300" spans="1:13" x14ac:dyDescent="0.3">
      <c r="A300" t="s">
        <v>2715</v>
      </c>
      <c r="B300" t="s">
        <v>2695</v>
      </c>
      <c r="C300" t="s">
        <v>2761</v>
      </c>
      <c r="D300">
        <v>-57.524999999999999</v>
      </c>
      <c r="E300">
        <v>1.322790006</v>
      </c>
      <c r="I300" t="s">
        <v>2695</v>
      </c>
      <c r="J300" t="s">
        <v>2761</v>
      </c>
      <c r="K300">
        <v>-64.537499999999994</v>
      </c>
      <c r="M300">
        <v>4.515502991</v>
      </c>
    </row>
    <row r="301" spans="1:13" x14ac:dyDescent="0.3">
      <c r="A301" t="s">
        <v>2715</v>
      </c>
      <c r="B301" t="s">
        <v>2695</v>
      </c>
      <c r="C301" t="s">
        <v>2761</v>
      </c>
      <c r="D301">
        <v>-57.42499999999999</v>
      </c>
      <c r="E301">
        <v>5.7995827579999997</v>
      </c>
      <c r="I301" t="s">
        <v>2695</v>
      </c>
      <c r="J301" t="s">
        <v>2761</v>
      </c>
      <c r="K301">
        <v>-64.51037599999998</v>
      </c>
      <c r="M301">
        <v>6.03</v>
      </c>
    </row>
    <row r="302" spans="1:13" x14ac:dyDescent="0.3">
      <c r="A302" t="s">
        <v>2715</v>
      </c>
      <c r="B302" t="s">
        <v>2695</v>
      </c>
      <c r="C302" t="s">
        <v>2761</v>
      </c>
      <c r="D302">
        <v>-57.312499999999993</v>
      </c>
      <c r="E302">
        <v>1.168013886</v>
      </c>
      <c r="I302" t="s">
        <v>2695</v>
      </c>
      <c r="J302" t="s">
        <v>2761</v>
      </c>
      <c r="K302">
        <v>-64.421638000000002</v>
      </c>
      <c r="M302">
        <v>7.18</v>
      </c>
    </row>
    <row r="303" spans="1:13" x14ac:dyDescent="0.3">
      <c r="A303" t="s">
        <v>2715</v>
      </c>
      <c r="B303" t="s">
        <v>2695</v>
      </c>
      <c r="C303" t="s">
        <v>2761</v>
      </c>
      <c r="D303">
        <v>-57.09048087499999</v>
      </c>
      <c r="E303">
        <v>4.58</v>
      </c>
      <c r="I303" t="s">
        <v>2695</v>
      </c>
      <c r="J303" t="s">
        <v>2761</v>
      </c>
      <c r="K303">
        <v>-64.415877375000008</v>
      </c>
      <c r="M303">
        <v>6.12</v>
      </c>
    </row>
    <row r="304" spans="1:13" x14ac:dyDescent="0.3">
      <c r="A304" t="s">
        <v>2715</v>
      </c>
      <c r="B304" t="s">
        <v>2695</v>
      </c>
      <c r="C304" t="s">
        <v>2761</v>
      </c>
      <c r="D304">
        <v>-56.949999999999996</v>
      </c>
      <c r="E304">
        <v>4.4847655980000001</v>
      </c>
      <c r="I304" t="s">
        <v>2695</v>
      </c>
      <c r="J304" t="s">
        <v>2761</v>
      </c>
      <c r="K304">
        <v>-64.325877749999989</v>
      </c>
      <c r="M304">
        <v>3.9188431449999999</v>
      </c>
    </row>
    <row r="305" spans="1:13" x14ac:dyDescent="0.3">
      <c r="A305" t="s">
        <v>2715</v>
      </c>
      <c r="B305" t="s">
        <v>2695</v>
      </c>
      <c r="C305" t="s">
        <v>2761</v>
      </c>
      <c r="D305">
        <v>-56.943091999999986</v>
      </c>
      <c r="E305">
        <v>7.31</v>
      </c>
      <c r="I305" t="s">
        <v>2695</v>
      </c>
      <c r="J305" t="s">
        <v>2761</v>
      </c>
      <c r="K305">
        <v>-64.3125</v>
      </c>
      <c r="M305">
        <v>5.3700300009999999</v>
      </c>
    </row>
    <row r="306" spans="1:13" x14ac:dyDescent="0.3">
      <c r="A306" t="s">
        <v>2715</v>
      </c>
      <c r="B306" t="s">
        <v>2695</v>
      </c>
      <c r="C306" t="s">
        <v>2761</v>
      </c>
      <c r="D306">
        <v>-56.837499999999999</v>
      </c>
      <c r="E306">
        <v>6.0756205960000003</v>
      </c>
      <c r="I306" t="s">
        <v>2695</v>
      </c>
      <c r="J306" t="s">
        <v>2761</v>
      </c>
      <c r="K306">
        <v>-64.287499999999994</v>
      </c>
      <c r="M306">
        <v>5.1445727290000001</v>
      </c>
    </row>
    <row r="307" spans="1:13" x14ac:dyDescent="0.3">
      <c r="A307" t="s">
        <v>2715</v>
      </c>
      <c r="B307" t="s">
        <v>2695</v>
      </c>
      <c r="C307" t="s">
        <v>2761</v>
      </c>
      <c r="D307">
        <v>-56.79999999999999</v>
      </c>
      <c r="E307">
        <v>5.8003834210000003</v>
      </c>
      <c r="I307" t="s">
        <v>2695</v>
      </c>
      <c r="J307" t="s">
        <v>2761</v>
      </c>
      <c r="K307">
        <v>-64.275000000000006</v>
      </c>
      <c r="M307">
        <v>2.922561001</v>
      </c>
    </row>
    <row r="308" spans="1:13" x14ac:dyDescent="0.3">
      <c r="A308" t="s">
        <v>2715</v>
      </c>
      <c r="B308" t="s">
        <v>2695</v>
      </c>
      <c r="C308" t="s">
        <v>2761</v>
      </c>
      <c r="D308">
        <v>-56.79999999999999</v>
      </c>
      <c r="E308">
        <v>3.9561567200000001</v>
      </c>
      <c r="I308" t="s">
        <v>2695</v>
      </c>
      <c r="J308" t="s">
        <v>2761</v>
      </c>
      <c r="K308">
        <v>-64.215970625000011</v>
      </c>
      <c r="M308">
        <v>2.35</v>
      </c>
    </row>
    <row r="309" spans="1:13" x14ac:dyDescent="0.3">
      <c r="A309" t="s">
        <v>2715</v>
      </c>
      <c r="B309" t="s">
        <v>2695</v>
      </c>
      <c r="C309" t="s">
        <v>2761</v>
      </c>
      <c r="D309">
        <v>-56.758666124999998</v>
      </c>
      <c r="E309">
        <v>5.24</v>
      </c>
      <c r="I309" t="s">
        <v>2695</v>
      </c>
      <c r="J309" t="s">
        <v>2761</v>
      </c>
      <c r="K309">
        <v>-64.212500000000006</v>
      </c>
      <c r="M309">
        <v>6.0193783420000004</v>
      </c>
    </row>
    <row r="310" spans="1:13" x14ac:dyDescent="0.3">
      <c r="A310" t="s">
        <v>2715</v>
      </c>
      <c r="B310" t="s">
        <v>2695</v>
      </c>
      <c r="C310" t="s">
        <v>2761</v>
      </c>
      <c r="D310">
        <v>-56.54999999999999</v>
      </c>
      <c r="E310">
        <v>6.4380572340000004</v>
      </c>
      <c r="I310" t="s">
        <v>2695</v>
      </c>
      <c r="J310" t="s">
        <v>2761</v>
      </c>
      <c r="K310">
        <v>-64.083091749999994</v>
      </c>
      <c r="M310">
        <v>8.2072744239999995</v>
      </c>
    </row>
    <row r="311" spans="1:13" x14ac:dyDescent="0.3">
      <c r="A311" t="s">
        <v>2715</v>
      </c>
      <c r="B311" t="s">
        <v>2695</v>
      </c>
      <c r="C311" t="s">
        <v>2761</v>
      </c>
      <c r="D311">
        <v>-56.400000000000013</v>
      </c>
      <c r="E311">
        <v>3.1352992230000001</v>
      </c>
      <c r="I311" t="s">
        <v>2695</v>
      </c>
      <c r="J311" t="s">
        <v>2761</v>
      </c>
      <c r="K311">
        <v>-63.977099000000003</v>
      </c>
      <c r="M311">
        <v>3.54</v>
      </c>
    </row>
    <row r="312" spans="1:13" x14ac:dyDescent="0.3">
      <c r="A312" t="s">
        <v>2715</v>
      </c>
      <c r="B312" t="s">
        <v>2695</v>
      </c>
      <c r="C312" t="s">
        <v>2761</v>
      </c>
      <c r="D312">
        <v>-56.35</v>
      </c>
      <c r="E312">
        <v>4.764547254</v>
      </c>
      <c r="I312" t="s">
        <v>2695</v>
      </c>
      <c r="J312" t="s">
        <v>2761</v>
      </c>
      <c r="K312">
        <v>-63.975000000000001</v>
      </c>
      <c r="M312">
        <v>6.5283767529999999</v>
      </c>
    </row>
    <row r="313" spans="1:13" x14ac:dyDescent="0.3">
      <c r="A313" t="s">
        <v>2715</v>
      </c>
      <c r="B313" t="s">
        <v>2695</v>
      </c>
      <c r="C313" t="s">
        <v>2761</v>
      </c>
      <c r="D313">
        <v>-55.95000000000001</v>
      </c>
      <c r="E313">
        <v>0.37729802800000001</v>
      </c>
      <c r="I313" t="s">
        <v>2695</v>
      </c>
      <c r="J313" t="s">
        <v>2761</v>
      </c>
      <c r="K313">
        <v>-63.949999999999996</v>
      </c>
      <c r="M313">
        <v>7.4653630150000003</v>
      </c>
    </row>
    <row r="314" spans="1:13" x14ac:dyDescent="0.3">
      <c r="A314" t="s">
        <v>2715</v>
      </c>
      <c r="B314" t="s">
        <v>2695</v>
      </c>
      <c r="C314" t="s">
        <v>2761</v>
      </c>
      <c r="D314">
        <v>-55.837499999999999</v>
      </c>
      <c r="E314">
        <v>0.61832394099999999</v>
      </c>
      <c r="I314" t="s">
        <v>2695</v>
      </c>
      <c r="J314" t="s">
        <v>2761</v>
      </c>
      <c r="K314">
        <v>-63.860204375000002</v>
      </c>
      <c r="M314">
        <v>5.83</v>
      </c>
    </row>
    <row r="315" spans="1:13" x14ac:dyDescent="0.3">
      <c r="A315" t="s">
        <v>2715</v>
      </c>
      <c r="B315" t="s">
        <v>2695</v>
      </c>
      <c r="C315" t="s">
        <v>2761</v>
      </c>
      <c r="D315">
        <v>-55.787500000000001</v>
      </c>
      <c r="E315">
        <v>5.1072790489999997</v>
      </c>
      <c r="I315" t="s">
        <v>2695</v>
      </c>
      <c r="J315" t="s">
        <v>2761</v>
      </c>
      <c r="K315">
        <v>-63.822352124999988</v>
      </c>
      <c r="M315">
        <v>7.7719955619999999</v>
      </c>
    </row>
    <row r="316" spans="1:13" x14ac:dyDescent="0.3">
      <c r="A316" t="s">
        <v>2715</v>
      </c>
      <c r="B316" t="s">
        <v>2695</v>
      </c>
      <c r="C316" t="s">
        <v>2761</v>
      </c>
      <c r="D316">
        <v>-55.749999999999993</v>
      </c>
      <c r="E316">
        <v>3.2442603160000001</v>
      </c>
      <c r="I316" t="s">
        <v>2695</v>
      </c>
      <c r="J316" t="s">
        <v>2761</v>
      </c>
      <c r="K316">
        <v>-63.774999999999999</v>
      </c>
      <c r="M316">
        <v>7.8015503500000003</v>
      </c>
    </row>
    <row r="317" spans="1:13" x14ac:dyDescent="0.3">
      <c r="A317" t="s">
        <v>2715</v>
      </c>
      <c r="B317" t="s">
        <v>2695</v>
      </c>
      <c r="C317" t="s">
        <v>2761</v>
      </c>
      <c r="D317">
        <v>-55.724462999999993</v>
      </c>
      <c r="E317">
        <v>1.9911728580000001</v>
      </c>
      <c r="I317" t="s">
        <v>2695</v>
      </c>
      <c r="J317" t="s">
        <v>2761</v>
      </c>
      <c r="K317">
        <v>-63.754396500000006</v>
      </c>
      <c r="M317">
        <v>5.15</v>
      </c>
    </row>
    <row r="318" spans="1:13" x14ac:dyDescent="0.3">
      <c r="A318" t="s">
        <v>2715</v>
      </c>
      <c r="B318" t="s">
        <v>2695</v>
      </c>
      <c r="C318" t="s">
        <v>2761</v>
      </c>
      <c r="D318">
        <v>-55.587499999999999</v>
      </c>
      <c r="E318">
        <v>5.1687043819999996</v>
      </c>
      <c r="I318" t="s">
        <v>2695</v>
      </c>
      <c r="J318" t="s">
        <v>2761</v>
      </c>
      <c r="K318">
        <v>-63.637499999999996</v>
      </c>
      <c r="M318">
        <v>4.0708941650000003</v>
      </c>
    </row>
    <row r="319" spans="1:13" x14ac:dyDescent="0.3">
      <c r="A319" t="s">
        <v>2715</v>
      </c>
      <c r="B319" t="s">
        <v>2695</v>
      </c>
      <c r="C319" t="s">
        <v>2761</v>
      </c>
      <c r="D319">
        <v>-55.556027750000005</v>
      </c>
      <c r="E319">
        <v>6.0310133510000004</v>
      </c>
      <c r="I319" t="s">
        <v>2695</v>
      </c>
      <c r="J319" t="s">
        <v>2761</v>
      </c>
      <c r="K319">
        <v>-63.587500000000013</v>
      </c>
      <c r="M319">
        <v>2.8765267209999998</v>
      </c>
    </row>
    <row r="320" spans="1:13" x14ac:dyDescent="0.3">
      <c r="A320" t="s">
        <v>2715</v>
      </c>
      <c r="B320" t="s">
        <v>2695</v>
      </c>
      <c r="C320" t="s">
        <v>2761</v>
      </c>
      <c r="D320">
        <v>-55.387499999999996</v>
      </c>
      <c r="E320">
        <v>6.0800078160000002</v>
      </c>
      <c r="I320" t="s">
        <v>2695</v>
      </c>
      <c r="J320" t="s">
        <v>2761</v>
      </c>
      <c r="K320">
        <v>-63.5590695</v>
      </c>
      <c r="M320">
        <v>3.7097121980000001</v>
      </c>
    </row>
    <row r="321" spans="1:13" x14ac:dyDescent="0.3">
      <c r="A321" t="s">
        <v>2715</v>
      </c>
      <c r="B321" t="s">
        <v>2695</v>
      </c>
      <c r="C321" t="s">
        <v>2761</v>
      </c>
      <c r="D321">
        <v>-55.29999999999999</v>
      </c>
      <c r="E321">
        <v>0.111754046</v>
      </c>
      <c r="I321" t="s">
        <v>2695</v>
      </c>
      <c r="J321" t="s">
        <v>2761</v>
      </c>
      <c r="K321">
        <v>-63.531274500000002</v>
      </c>
      <c r="M321">
        <v>5.7858879239999998</v>
      </c>
    </row>
    <row r="322" spans="1:13" x14ac:dyDescent="0.3">
      <c r="A322" t="s">
        <v>2715</v>
      </c>
      <c r="B322" t="s">
        <v>2695</v>
      </c>
      <c r="C322" t="s">
        <v>2761</v>
      </c>
      <c r="D322">
        <v>-55.037500000000001</v>
      </c>
      <c r="E322">
        <v>1.7512861669999999</v>
      </c>
      <c r="I322" t="s">
        <v>2695</v>
      </c>
      <c r="J322" t="s">
        <v>2761</v>
      </c>
      <c r="K322">
        <v>-63.525000000000013</v>
      </c>
      <c r="M322">
        <v>6.1037358299999998</v>
      </c>
    </row>
    <row r="323" spans="1:13" x14ac:dyDescent="0.3">
      <c r="A323" t="s">
        <v>2715</v>
      </c>
      <c r="B323" t="s">
        <v>2695</v>
      </c>
      <c r="C323" t="s">
        <v>2761</v>
      </c>
      <c r="D323">
        <v>-55.01250000000001</v>
      </c>
      <c r="E323">
        <v>4.5743700990000002</v>
      </c>
      <c r="I323" t="s">
        <v>2695</v>
      </c>
      <c r="J323" t="s">
        <v>2761</v>
      </c>
      <c r="K323">
        <v>-63.487500000000004</v>
      </c>
      <c r="M323">
        <v>3.7441635230000001</v>
      </c>
    </row>
    <row r="324" spans="1:13" x14ac:dyDescent="0.3">
      <c r="A324" t="s">
        <v>2715</v>
      </c>
      <c r="B324" t="s">
        <v>2695</v>
      </c>
      <c r="C324" t="s">
        <v>2761</v>
      </c>
      <c r="D324">
        <v>-54.465232125000007</v>
      </c>
      <c r="E324">
        <v>8.2100000000000009</v>
      </c>
      <c r="I324" t="s">
        <v>2695</v>
      </c>
      <c r="J324" t="s">
        <v>2761</v>
      </c>
      <c r="K324">
        <v>-63.462499999999999</v>
      </c>
      <c r="M324">
        <v>5.0462848190000003</v>
      </c>
    </row>
    <row r="325" spans="1:13" x14ac:dyDescent="0.3">
      <c r="A325" t="s">
        <v>2715</v>
      </c>
      <c r="B325" t="s">
        <v>2695</v>
      </c>
      <c r="C325" t="s">
        <v>2761</v>
      </c>
      <c r="D325">
        <v>-54.32500000000001</v>
      </c>
      <c r="E325">
        <v>7.5041806329999998</v>
      </c>
      <c r="I325" t="s">
        <v>2695</v>
      </c>
      <c r="J325" t="s">
        <v>2761</v>
      </c>
      <c r="K325">
        <v>-63.448531999999993</v>
      </c>
      <c r="M325">
        <v>6.94</v>
      </c>
    </row>
    <row r="326" spans="1:13" x14ac:dyDescent="0.3">
      <c r="A326" t="s">
        <v>2715</v>
      </c>
      <c r="B326" t="s">
        <v>2695</v>
      </c>
      <c r="C326" t="s">
        <v>2761</v>
      </c>
      <c r="D326">
        <v>-54.304196250000011</v>
      </c>
      <c r="E326">
        <v>6.89</v>
      </c>
      <c r="I326" t="s">
        <v>2695</v>
      </c>
      <c r="J326" t="s">
        <v>2761</v>
      </c>
      <c r="K326">
        <v>-63.381605499999999</v>
      </c>
      <c r="M326">
        <v>5.1604925460000004</v>
      </c>
    </row>
    <row r="327" spans="1:13" x14ac:dyDescent="0.3">
      <c r="A327" t="s">
        <v>2715</v>
      </c>
      <c r="B327" t="s">
        <v>2695</v>
      </c>
      <c r="C327" t="s">
        <v>2761</v>
      </c>
      <c r="D327">
        <v>-54.225000000000001</v>
      </c>
      <c r="E327">
        <v>1.949211655</v>
      </c>
      <c r="I327" t="s">
        <v>2695</v>
      </c>
      <c r="J327" t="s">
        <v>2761</v>
      </c>
      <c r="K327">
        <v>-63.375000000000007</v>
      </c>
      <c r="M327">
        <v>6.846395223</v>
      </c>
    </row>
    <row r="328" spans="1:13" x14ac:dyDescent="0.3">
      <c r="A328" t="s">
        <v>2715</v>
      </c>
      <c r="B328" t="s">
        <v>2695</v>
      </c>
      <c r="C328" t="s">
        <v>2761</v>
      </c>
      <c r="D328">
        <v>-53.962499999999999</v>
      </c>
      <c r="E328">
        <v>4.7742457500000004</v>
      </c>
      <c r="I328" t="s">
        <v>2695</v>
      </c>
      <c r="J328" t="s">
        <v>2761</v>
      </c>
      <c r="K328">
        <v>-63.199999999999996</v>
      </c>
      <c r="M328">
        <v>6.4519132680000002</v>
      </c>
    </row>
    <row r="329" spans="1:13" x14ac:dyDescent="0.3">
      <c r="A329" t="s">
        <v>2715</v>
      </c>
      <c r="B329" t="s">
        <v>2695</v>
      </c>
      <c r="C329" t="s">
        <v>2761</v>
      </c>
      <c r="D329">
        <v>-53.694579000000012</v>
      </c>
      <c r="E329">
        <v>7.13</v>
      </c>
      <c r="I329" t="s">
        <v>2695</v>
      </c>
      <c r="J329" t="s">
        <v>2761</v>
      </c>
      <c r="K329">
        <v>-63.169067000000005</v>
      </c>
      <c r="M329">
        <v>3.83</v>
      </c>
    </row>
    <row r="330" spans="1:13" x14ac:dyDescent="0.3">
      <c r="A330" t="s">
        <v>2715</v>
      </c>
      <c r="B330" t="s">
        <v>2695</v>
      </c>
      <c r="C330" t="s">
        <v>2761</v>
      </c>
      <c r="D330">
        <v>-53.66215549999999</v>
      </c>
      <c r="E330">
        <v>-1.53</v>
      </c>
      <c r="I330" t="s">
        <v>2695</v>
      </c>
      <c r="J330" t="s">
        <v>2761</v>
      </c>
      <c r="K330">
        <v>-63.1</v>
      </c>
      <c r="M330">
        <v>7.2879859309999997</v>
      </c>
    </row>
    <row r="331" spans="1:13" x14ac:dyDescent="0.3">
      <c r="A331" t="s">
        <v>2715</v>
      </c>
      <c r="B331" t="s">
        <v>2695</v>
      </c>
      <c r="C331" t="s">
        <v>2761</v>
      </c>
      <c r="D331">
        <v>-53.612500000000004</v>
      </c>
      <c r="E331">
        <v>0.467414779</v>
      </c>
      <c r="I331" t="s">
        <v>2695</v>
      </c>
      <c r="J331" t="s">
        <v>2761</v>
      </c>
      <c r="K331">
        <v>-62.975000000000001</v>
      </c>
      <c r="M331" t="s">
        <v>16</v>
      </c>
    </row>
    <row r="332" spans="1:13" x14ac:dyDescent="0.3">
      <c r="A332" t="s">
        <v>2715</v>
      </c>
      <c r="B332" t="s">
        <v>2695</v>
      </c>
      <c r="C332" t="s">
        <v>2761</v>
      </c>
      <c r="D332">
        <v>-53.143600250000013</v>
      </c>
      <c r="E332">
        <v>3.5387406850000001</v>
      </c>
      <c r="I332" t="s">
        <v>2695</v>
      </c>
      <c r="J332" t="s">
        <v>2761</v>
      </c>
      <c r="K332">
        <v>-62.874999999999993</v>
      </c>
      <c r="M332">
        <v>6.0350240069999996</v>
      </c>
    </row>
    <row r="333" spans="1:13" x14ac:dyDescent="0.3">
      <c r="A333" t="s">
        <v>2715</v>
      </c>
      <c r="B333" t="s">
        <v>2695</v>
      </c>
      <c r="C333" t="s">
        <v>2761</v>
      </c>
      <c r="D333">
        <v>-52.927428000000013</v>
      </c>
      <c r="E333">
        <v>7.96</v>
      </c>
      <c r="I333" t="s">
        <v>2695</v>
      </c>
      <c r="J333" t="s">
        <v>2761</v>
      </c>
      <c r="K333">
        <v>-62.855071000000002</v>
      </c>
      <c r="M333">
        <v>4.7300000000000004</v>
      </c>
    </row>
    <row r="334" spans="1:13" x14ac:dyDescent="0.3">
      <c r="A334" t="s">
        <v>2715</v>
      </c>
      <c r="B334" t="s">
        <v>2695</v>
      </c>
      <c r="C334" t="s">
        <v>2761</v>
      </c>
      <c r="D334">
        <v>-52.687500000000007</v>
      </c>
      <c r="E334">
        <v>1.796711046</v>
      </c>
      <c r="I334" t="s">
        <v>2695</v>
      </c>
      <c r="J334" t="s">
        <v>2761</v>
      </c>
      <c r="K334">
        <v>-62.813235124999999</v>
      </c>
      <c r="M334">
        <v>5.47</v>
      </c>
    </row>
    <row r="335" spans="1:13" x14ac:dyDescent="0.3">
      <c r="A335" t="s">
        <v>2715</v>
      </c>
      <c r="B335" t="s">
        <v>2695</v>
      </c>
      <c r="C335" t="s">
        <v>2761</v>
      </c>
      <c r="D335">
        <v>-52.675000000000004</v>
      </c>
      <c r="E335">
        <v>6.0893230389999999</v>
      </c>
      <c r="I335" t="s">
        <v>2695</v>
      </c>
      <c r="J335" t="s">
        <v>2761</v>
      </c>
      <c r="K335">
        <v>-62.79999999999999</v>
      </c>
      <c r="M335">
        <v>4.8131155190000001</v>
      </c>
    </row>
    <row r="336" spans="1:13" x14ac:dyDescent="0.3">
      <c r="A336" t="s">
        <v>2715</v>
      </c>
      <c r="B336" t="s">
        <v>2695</v>
      </c>
      <c r="C336" t="s">
        <v>2761</v>
      </c>
      <c r="D336">
        <v>-52.574999999999996</v>
      </c>
      <c r="E336">
        <v>2.5792410480000001</v>
      </c>
      <c r="I336" t="s">
        <v>2695</v>
      </c>
      <c r="J336" t="s">
        <v>2761</v>
      </c>
      <c r="K336">
        <v>-62.687500000000007</v>
      </c>
      <c r="M336">
        <v>5.8382261010000001</v>
      </c>
    </row>
    <row r="337" spans="1:13" x14ac:dyDescent="0.3">
      <c r="A337" t="s">
        <v>2715</v>
      </c>
      <c r="B337" t="s">
        <v>2695</v>
      </c>
      <c r="C337" t="s">
        <v>2761</v>
      </c>
      <c r="D337">
        <v>-52.550000000000004</v>
      </c>
      <c r="E337">
        <v>6.6044703440000001</v>
      </c>
      <c r="I337" t="s">
        <v>2695</v>
      </c>
      <c r="J337" t="s">
        <v>2761</v>
      </c>
      <c r="K337">
        <v>-62.612500000000004</v>
      </c>
      <c r="M337">
        <v>3.8442051319999999</v>
      </c>
    </row>
    <row r="338" spans="1:13" x14ac:dyDescent="0.3">
      <c r="A338" t="s">
        <v>2715</v>
      </c>
      <c r="B338" t="s">
        <v>2695</v>
      </c>
      <c r="C338" t="s">
        <v>2761</v>
      </c>
      <c r="D338">
        <v>-52.524999999999999</v>
      </c>
      <c r="E338">
        <v>7.9635402119999998</v>
      </c>
      <c r="I338" t="s">
        <v>2695</v>
      </c>
      <c r="J338" t="s">
        <v>2761</v>
      </c>
      <c r="K338">
        <v>-62.612500000000004</v>
      </c>
      <c r="M338">
        <v>6.7644265079999997</v>
      </c>
    </row>
    <row r="339" spans="1:13" x14ac:dyDescent="0.3">
      <c r="A339" t="s">
        <v>2715</v>
      </c>
      <c r="B339" t="s">
        <v>2695</v>
      </c>
      <c r="C339" t="s">
        <v>2761</v>
      </c>
      <c r="D339">
        <v>-52.250365750000007</v>
      </c>
      <c r="E339">
        <v>2.25</v>
      </c>
      <c r="I339" t="s">
        <v>2695</v>
      </c>
      <c r="J339" t="s">
        <v>2761</v>
      </c>
      <c r="K339">
        <v>-62.612500000000004</v>
      </c>
      <c r="M339">
        <v>8.0410906050000008</v>
      </c>
    </row>
    <row r="340" spans="1:13" x14ac:dyDescent="0.3">
      <c r="A340" t="s">
        <v>2715</v>
      </c>
      <c r="B340" t="s">
        <v>2695</v>
      </c>
      <c r="C340" t="s">
        <v>2761</v>
      </c>
      <c r="D340">
        <v>-52.223576000000001</v>
      </c>
      <c r="E340">
        <v>-0.2</v>
      </c>
      <c r="I340" t="s">
        <v>2695</v>
      </c>
      <c r="J340" t="s">
        <v>2761</v>
      </c>
      <c r="K340">
        <v>-62.6</v>
      </c>
      <c r="M340">
        <v>5.1767454129999999</v>
      </c>
    </row>
    <row r="341" spans="1:13" x14ac:dyDescent="0.3">
      <c r="A341" t="s">
        <v>2715</v>
      </c>
      <c r="B341" t="s">
        <v>2695</v>
      </c>
      <c r="C341" t="s">
        <v>2761</v>
      </c>
      <c r="D341">
        <v>-51.936438000000003</v>
      </c>
      <c r="E341">
        <v>5.7</v>
      </c>
      <c r="I341" t="s">
        <v>2695</v>
      </c>
      <c r="J341" t="s">
        <v>2761</v>
      </c>
      <c r="K341">
        <v>-62.425033000000006</v>
      </c>
      <c r="M341">
        <v>5.01</v>
      </c>
    </row>
    <row r="342" spans="1:13" x14ac:dyDescent="0.3">
      <c r="A342" t="s">
        <v>2715</v>
      </c>
      <c r="B342" t="s">
        <v>2695</v>
      </c>
      <c r="C342" t="s">
        <v>2761</v>
      </c>
      <c r="D342">
        <v>-51.81850475000001</v>
      </c>
      <c r="E342">
        <v>4.3163154549999998</v>
      </c>
      <c r="I342" t="s">
        <v>2695</v>
      </c>
      <c r="J342" t="s">
        <v>2761</v>
      </c>
      <c r="K342">
        <v>-62.341414500000006</v>
      </c>
      <c r="M342">
        <v>5.79</v>
      </c>
    </row>
    <row r="343" spans="1:13" x14ac:dyDescent="0.3">
      <c r="A343" t="s">
        <v>2715</v>
      </c>
      <c r="B343" t="s">
        <v>2695</v>
      </c>
      <c r="C343" t="s">
        <v>2761</v>
      </c>
      <c r="D343">
        <v>-51.664608750000006</v>
      </c>
      <c r="E343">
        <v>-0.46485831999999999</v>
      </c>
      <c r="I343" t="s">
        <v>2695</v>
      </c>
      <c r="J343" t="s">
        <v>2761</v>
      </c>
      <c r="K343">
        <v>-62.312499999999993</v>
      </c>
      <c r="M343">
        <v>7.2537320149999998</v>
      </c>
    </row>
    <row r="344" spans="1:13" x14ac:dyDescent="0.3">
      <c r="A344" t="s">
        <v>2715</v>
      </c>
      <c r="B344" t="s">
        <v>2695</v>
      </c>
      <c r="C344" t="s">
        <v>2761</v>
      </c>
      <c r="D344">
        <v>-51.4437055</v>
      </c>
      <c r="E344">
        <v>5.16</v>
      </c>
      <c r="I344" t="s">
        <v>2695</v>
      </c>
      <c r="J344" t="s">
        <v>2761</v>
      </c>
      <c r="K344">
        <v>-62.125000000000007</v>
      </c>
      <c r="M344">
        <v>4.7383537110000002</v>
      </c>
    </row>
    <row r="345" spans="1:13" x14ac:dyDescent="0.3">
      <c r="A345" t="s">
        <v>2715</v>
      </c>
      <c r="B345" t="s">
        <v>2695</v>
      </c>
      <c r="C345" t="s">
        <v>2761</v>
      </c>
      <c r="D345">
        <v>-51.387499999999996</v>
      </c>
      <c r="E345">
        <v>-0.81580938400000003</v>
      </c>
      <c r="I345" t="s">
        <v>2695</v>
      </c>
      <c r="J345" t="s">
        <v>2761</v>
      </c>
      <c r="K345">
        <v>-62.11249999999999</v>
      </c>
      <c r="M345" t="s">
        <v>16</v>
      </c>
    </row>
    <row r="346" spans="1:13" x14ac:dyDescent="0.3">
      <c r="A346" t="s">
        <v>2715</v>
      </c>
      <c r="B346" t="s">
        <v>2695</v>
      </c>
      <c r="C346" t="s">
        <v>2761</v>
      </c>
      <c r="D346">
        <v>-50.88750000000001</v>
      </c>
      <c r="E346">
        <v>3.2468357640000001</v>
      </c>
      <c r="I346" t="s">
        <v>2695</v>
      </c>
      <c r="J346" t="s">
        <v>2761</v>
      </c>
      <c r="K346">
        <v>-61.987500000000004</v>
      </c>
      <c r="M346">
        <v>4.322283315</v>
      </c>
    </row>
    <row r="347" spans="1:13" x14ac:dyDescent="0.3">
      <c r="A347" t="s">
        <v>2715</v>
      </c>
      <c r="B347" t="s">
        <v>2695</v>
      </c>
      <c r="C347" t="s">
        <v>2761</v>
      </c>
      <c r="D347">
        <v>-50.554360875000008</v>
      </c>
      <c r="E347">
        <v>1.75</v>
      </c>
      <c r="I347" t="s">
        <v>2695</v>
      </c>
      <c r="J347" t="s">
        <v>2761</v>
      </c>
      <c r="K347">
        <v>-61.937499999999993</v>
      </c>
      <c r="M347">
        <v>6.5896696109999997</v>
      </c>
    </row>
    <row r="348" spans="1:13" x14ac:dyDescent="0.3">
      <c r="A348" t="s">
        <v>2715</v>
      </c>
      <c r="B348" t="s">
        <v>2695</v>
      </c>
      <c r="C348" t="s">
        <v>2761</v>
      </c>
      <c r="D348">
        <v>-49.844715000000001</v>
      </c>
      <c r="E348">
        <v>8.09</v>
      </c>
      <c r="I348" t="s">
        <v>2695</v>
      </c>
      <c r="J348" t="s">
        <v>2761</v>
      </c>
      <c r="K348">
        <v>-61.930596000000001</v>
      </c>
      <c r="M348">
        <v>5.36</v>
      </c>
    </row>
    <row r="349" spans="1:13" x14ac:dyDescent="0.3">
      <c r="A349" t="s">
        <v>2715</v>
      </c>
      <c r="B349" t="s">
        <v>2695</v>
      </c>
      <c r="C349" t="s">
        <v>2761</v>
      </c>
      <c r="D349">
        <v>-49.682072250000012</v>
      </c>
      <c r="E349">
        <v>5.21</v>
      </c>
      <c r="I349" t="s">
        <v>2695</v>
      </c>
      <c r="J349" t="s">
        <v>2761</v>
      </c>
      <c r="K349">
        <v>-61.927207750000001</v>
      </c>
      <c r="M349">
        <v>4.16</v>
      </c>
    </row>
    <row r="350" spans="1:13" x14ac:dyDescent="0.3">
      <c r="A350" t="s">
        <v>2715</v>
      </c>
      <c r="B350" t="s">
        <v>2695</v>
      </c>
      <c r="C350" t="s">
        <v>2761</v>
      </c>
      <c r="D350">
        <v>-49.537500000000001</v>
      </c>
      <c r="E350">
        <v>5.401063486</v>
      </c>
      <c r="I350" t="s">
        <v>2695</v>
      </c>
      <c r="J350" t="s">
        <v>2761</v>
      </c>
      <c r="K350">
        <v>-61.908503250000003</v>
      </c>
      <c r="M350">
        <v>7.09</v>
      </c>
    </row>
    <row r="351" spans="1:13" x14ac:dyDescent="0.3">
      <c r="A351" t="s">
        <v>2715</v>
      </c>
      <c r="B351" t="s">
        <v>2695</v>
      </c>
      <c r="C351" t="s">
        <v>2761</v>
      </c>
      <c r="D351">
        <v>-49.449999999999996</v>
      </c>
      <c r="E351">
        <v>2.897333508</v>
      </c>
      <c r="I351" t="s">
        <v>2695</v>
      </c>
      <c r="J351" t="s">
        <v>2761</v>
      </c>
      <c r="K351">
        <v>-61.9</v>
      </c>
      <c r="M351">
        <v>5.15136314</v>
      </c>
    </row>
    <row r="352" spans="1:13" x14ac:dyDescent="0.3">
      <c r="A352" t="s">
        <v>2715</v>
      </c>
      <c r="B352" t="s">
        <v>2695</v>
      </c>
      <c r="C352" t="s">
        <v>2761</v>
      </c>
      <c r="D352">
        <v>-49.425000000000004</v>
      </c>
      <c r="E352">
        <v>5.072076161</v>
      </c>
      <c r="I352" t="s">
        <v>2695</v>
      </c>
      <c r="J352" t="s">
        <v>2761</v>
      </c>
      <c r="K352">
        <v>-61.82500000000001</v>
      </c>
      <c r="M352">
        <v>3.7625710840000002</v>
      </c>
    </row>
    <row r="353" spans="1:13" x14ac:dyDescent="0.3">
      <c r="A353" t="s">
        <v>2715</v>
      </c>
      <c r="B353" t="s">
        <v>2695</v>
      </c>
      <c r="C353" t="s">
        <v>2761</v>
      </c>
      <c r="D353">
        <v>-48.714509499999998</v>
      </c>
      <c r="E353">
        <v>7.6493825000000001E-2</v>
      </c>
      <c r="I353" t="s">
        <v>2695</v>
      </c>
      <c r="J353" t="s">
        <v>2761</v>
      </c>
      <c r="K353">
        <v>-61.7782695</v>
      </c>
      <c r="M353">
        <v>4.75</v>
      </c>
    </row>
    <row r="354" spans="1:13" x14ac:dyDescent="0.3">
      <c r="A354" t="s">
        <v>2715</v>
      </c>
      <c r="B354" t="s">
        <v>2695</v>
      </c>
      <c r="C354" t="s">
        <v>2761</v>
      </c>
      <c r="D354">
        <v>-48.512499999999996</v>
      </c>
      <c r="E354">
        <v>7.1451345750000002</v>
      </c>
      <c r="I354" t="s">
        <v>2695</v>
      </c>
      <c r="J354" t="s">
        <v>2761</v>
      </c>
      <c r="K354">
        <v>-61.699999999999996</v>
      </c>
      <c r="M354">
        <v>4.9925662529999997</v>
      </c>
    </row>
    <row r="355" spans="1:13" x14ac:dyDescent="0.3">
      <c r="A355" t="s">
        <v>2715</v>
      </c>
      <c r="B355" t="s">
        <v>2695</v>
      </c>
      <c r="C355" t="s">
        <v>2761</v>
      </c>
      <c r="D355">
        <v>-48.437500000000007</v>
      </c>
      <c r="E355">
        <v>6.106018154</v>
      </c>
      <c r="I355" t="s">
        <v>2695</v>
      </c>
      <c r="J355" t="s">
        <v>2761</v>
      </c>
      <c r="K355">
        <v>-61.612747500000005</v>
      </c>
      <c r="M355">
        <v>6.38</v>
      </c>
    </row>
    <row r="356" spans="1:13" x14ac:dyDescent="0.3">
      <c r="A356" t="s">
        <v>2715</v>
      </c>
      <c r="B356" t="s">
        <v>2695</v>
      </c>
      <c r="C356" t="s">
        <v>2761</v>
      </c>
      <c r="D356">
        <v>-48.262499999999996</v>
      </c>
      <c r="E356">
        <v>6.4322336260000004</v>
      </c>
      <c r="I356" t="s">
        <v>2695</v>
      </c>
      <c r="J356" t="s">
        <v>2761</v>
      </c>
      <c r="K356">
        <v>-61.429421499999997</v>
      </c>
      <c r="M356">
        <v>7.2778163569999998</v>
      </c>
    </row>
    <row r="357" spans="1:13" x14ac:dyDescent="0.3">
      <c r="A357" t="s">
        <v>2715</v>
      </c>
      <c r="B357" t="s">
        <v>2695</v>
      </c>
      <c r="C357" t="s">
        <v>2761</v>
      </c>
      <c r="D357">
        <v>-48.221211375000003</v>
      </c>
      <c r="E357">
        <v>1.4538079669999999</v>
      </c>
      <c r="I357" t="s">
        <v>2695</v>
      </c>
      <c r="J357" t="s">
        <v>2761</v>
      </c>
      <c r="K357">
        <v>-61.380005375000003</v>
      </c>
      <c r="M357">
        <v>3.39</v>
      </c>
    </row>
    <row r="358" spans="1:13" x14ac:dyDescent="0.3">
      <c r="A358" t="s">
        <v>2715</v>
      </c>
      <c r="B358" t="s">
        <v>2695</v>
      </c>
      <c r="C358" t="s">
        <v>2761</v>
      </c>
      <c r="D358">
        <v>-48.175260999999999</v>
      </c>
      <c r="E358">
        <v>3.752539466</v>
      </c>
      <c r="I358" t="s">
        <v>2695</v>
      </c>
      <c r="J358" t="s">
        <v>2761</v>
      </c>
      <c r="K358">
        <v>-61.337500000000013</v>
      </c>
      <c r="M358">
        <v>4.246373889</v>
      </c>
    </row>
    <row r="359" spans="1:13" x14ac:dyDescent="0.3">
      <c r="A359" t="s">
        <v>2715</v>
      </c>
      <c r="B359" t="s">
        <v>2695</v>
      </c>
      <c r="C359" t="s">
        <v>2761</v>
      </c>
      <c r="D359">
        <v>-48.085386249999992</v>
      </c>
      <c r="E359">
        <v>7.2953639150000003</v>
      </c>
      <c r="I359" t="s">
        <v>2695</v>
      </c>
      <c r="J359" t="s">
        <v>2761</v>
      </c>
      <c r="K359">
        <v>-61.250000000000007</v>
      </c>
      <c r="M359">
        <v>4.4785697989999997</v>
      </c>
    </row>
    <row r="360" spans="1:13" x14ac:dyDescent="0.3">
      <c r="A360" t="s">
        <v>2715</v>
      </c>
      <c r="B360" t="s">
        <v>2695</v>
      </c>
      <c r="C360" t="s">
        <v>2761</v>
      </c>
      <c r="D360">
        <v>-47.855180749999995</v>
      </c>
      <c r="E360">
        <v>-0.91725109500000002</v>
      </c>
      <c r="I360" t="s">
        <v>2695</v>
      </c>
      <c r="J360" t="s">
        <v>2761</v>
      </c>
      <c r="K360">
        <v>-61.193651624999994</v>
      </c>
      <c r="M360">
        <v>8.0399999999999991</v>
      </c>
    </row>
    <row r="361" spans="1:13" x14ac:dyDescent="0.3">
      <c r="A361" t="s">
        <v>2715</v>
      </c>
      <c r="B361" t="s">
        <v>2695</v>
      </c>
      <c r="C361" t="s">
        <v>2761</v>
      </c>
      <c r="D361">
        <v>-47.725357874999993</v>
      </c>
      <c r="E361">
        <v>5.41</v>
      </c>
      <c r="I361" t="s">
        <v>2695</v>
      </c>
      <c r="J361" t="s">
        <v>2761</v>
      </c>
      <c r="K361">
        <v>-61.074999999999996</v>
      </c>
      <c r="M361">
        <v>5.1865954820000004</v>
      </c>
    </row>
    <row r="362" spans="1:13" x14ac:dyDescent="0.3">
      <c r="A362" t="s">
        <v>2715</v>
      </c>
      <c r="B362" t="s">
        <v>2695</v>
      </c>
      <c r="C362" t="s">
        <v>2761</v>
      </c>
      <c r="D362">
        <v>-47.660550625000006</v>
      </c>
      <c r="E362">
        <v>-1.3268812729999999</v>
      </c>
      <c r="I362" t="s">
        <v>2695</v>
      </c>
      <c r="J362" t="s">
        <v>2761</v>
      </c>
      <c r="K362">
        <v>-61.072472249999997</v>
      </c>
      <c r="M362">
        <v>10.83</v>
      </c>
    </row>
    <row r="363" spans="1:13" x14ac:dyDescent="0.3">
      <c r="A363" t="s">
        <v>2715</v>
      </c>
      <c r="B363" t="s">
        <v>2695</v>
      </c>
      <c r="C363" t="s">
        <v>2761</v>
      </c>
      <c r="D363">
        <v>-47.5397745</v>
      </c>
      <c r="E363">
        <v>0.56348616100000004</v>
      </c>
      <c r="I363" t="s">
        <v>2695</v>
      </c>
      <c r="J363" t="s">
        <v>2761</v>
      </c>
      <c r="K363">
        <v>-61.050000000000004</v>
      </c>
      <c r="M363">
        <v>9.0827475179999997</v>
      </c>
    </row>
    <row r="364" spans="1:13" x14ac:dyDescent="0.3">
      <c r="A364" t="s">
        <v>2715</v>
      </c>
      <c r="B364" t="s">
        <v>2695</v>
      </c>
      <c r="C364" t="s">
        <v>2761</v>
      </c>
      <c r="D364">
        <v>-47.512499999999996</v>
      </c>
      <c r="E364">
        <v>-0.16115733600000001</v>
      </c>
      <c r="I364" t="s">
        <v>2695</v>
      </c>
      <c r="J364" t="s">
        <v>2761</v>
      </c>
      <c r="K364">
        <v>-61.037500000000001</v>
      </c>
      <c r="M364">
        <v>4.6983978000000004</v>
      </c>
    </row>
    <row r="365" spans="1:13" x14ac:dyDescent="0.3">
      <c r="A365" t="s">
        <v>2715</v>
      </c>
      <c r="B365" t="s">
        <v>2695</v>
      </c>
      <c r="C365" t="s">
        <v>2761</v>
      </c>
      <c r="D365">
        <v>-47.462499999999999</v>
      </c>
      <c r="E365">
        <v>-2.895262486</v>
      </c>
      <c r="I365" t="s">
        <v>2695</v>
      </c>
      <c r="J365" t="s">
        <v>2761</v>
      </c>
      <c r="K365">
        <v>-60.912500000000001</v>
      </c>
      <c r="M365">
        <v>3.945912544</v>
      </c>
    </row>
    <row r="366" spans="1:13" x14ac:dyDescent="0.3">
      <c r="A366" t="s">
        <v>2715</v>
      </c>
      <c r="B366" t="s">
        <v>2695</v>
      </c>
      <c r="C366" t="s">
        <v>2761</v>
      </c>
      <c r="D366">
        <v>-47.449999999999996</v>
      </c>
      <c r="E366">
        <v>1.547400069</v>
      </c>
      <c r="I366" t="s">
        <v>2695</v>
      </c>
      <c r="J366" t="s">
        <v>2761</v>
      </c>
      <c r="K366">
        <v>-60.85</v>
      </c>
      <c r="M366">
        <v>8.0739581870000006</v>
      </c>
    </row>
    <row r="367" spans="1:13" x14ac:dyDescent="0.3">
      <c r="A367" t="s">
        <v>2715</v>
      </c>
      <c r="B367" t="s">
        <v>2695</v>
      </c>
      <c r="C367" t="s">
        <v>2761</v>
      </c>
      <c r="D367">
        <v>-47.087499999999999</v>
      </c>
      <c r="E367">
        <v>1.433289115</v>
      </c>
      <c r="I367" t="s">
        <v>2695</v>
      </c>
      <c r="J367" t="s">
        <v>2761</v>
      </c>
      <c r="K367">
        <v>-60.819216500000003</v>
      </c>
      <c r="M367">
        <v>6.12</v>
      </c>
    </row>
    <row r="368" spans="1:13" x14ac:dyDescent="0.3">
      <c r="A368" t="s">
        <v>2715</v>
      </c>
      <c r="B368" t="s">
        <v>2695</v>
      </c>
      <c r="C368" t="s">
        <v>2761</v>
      </c>
      <c r="D368">
        <v>-46.949999999999996</v>
      </c>
      <c r="E368">
        <v>-0.34689896599999998</v>
      </c>
      <c r="I368" t="s">
        <v>2695</v>
      </c>
      <c r="J368" t="s">
        <v>2761</v>
      </c>
      <c r="K368">
        <v>-60.752663000000005</v>
      </c>
      <c r="M368">
        <v>5.58</v>
      </c>
    </row>
    <row r="369" spans="1:13" x14ac:dyDescent="0.3">
      <c r="A369" t="s">
        <v>2715</v>
      </c>
      <c r="B369" t="s">
        <v>2695</v>
      </c>
      <c r="C369" t="s">
        <v>2761</v>
      </c>
      <c r="D369">
        <v>-46.871518875</v>
      </c>
      <c r="E369">
        <v>5.64</v>
      </c>
      <c r="I369" t="s">
        <v>2695</v>
      </c>
      <c r="J369" t="s">
        <v>2761</v>
      </c>
      <c r="K369">
        <v>-60.639672749999995</v>
      </c>
      <c r="M369">
        <v>5.48</v>
      </c>
    </row>
    <row r="370" spans="1:13" x14ac:dyDescent="0.3">
      <c r="A370" t="s">
        <v>2715</v>
      </c>
      <c r="B370" t="s">
        <v>2695</v>
      </c>
      <c r="C370" t="s">
        <v>2761</v>
      </c>
      <c r="D370">
        <v>-46.65</v>
      </c>
      <c r="E370">
        <v>4.8262735890000004</v>
      </c>
      <c r="I370" t="s">
        <v>2695</v>
      </c>
      <c r="J370" t="s">
        <v>2761</v>
      </c>
      <c r="K370">
        <v>-60.57500000000001</v>
      </c>
      <c r="M370">
        <v>6.0101096390000004</v>
      </c>
    </row>
    <row r="371" spans="1:13" x14ac:dyDescent="0.3">
      <c r="A371" t="s">
        <v>2715</v>
      </c>
      <c r="B371" t="s">
        <v>2695</v>
      </c>
      <c r="C371" t="s">
        <v>2761</v>
      </c>
      <c r="D371">
        <v>-46.489532250000003</v>
      </c>
      <c r="E371">
        <v>2.21</v>
      </c>
      <c r="I371" t="s">
        <v>2695</v>
      </c>
      <c r="J371" t="s">
        <v>2761</v>
      </c>
      <c r="K371">
        <v>-60.337499999999999</v>
      </c>
      <c r="M371">
        <v>5.860929574</v>
      </c>
    </row>
    <row r="372" spans="1:13" x14ac:dyDescent="0.3">
      <c r="A372" t="s">
        <v>2715</v>
      </c>
      <c r="B372" t="s">
        <v>2695</v>
      </c>
      <c r="C372" t="s">
        <v>2761</v>
      </c>
      <c r="D372">
        <v>-46.375000000000007</v>
      </c>
      <c r="E372">
        <v>6.5694843069999997</v>
      </c>
      <c r="I372" t="s">
        <v>2695</v>
      </c>
      <c r="J372" t="s">
        <v>2761</v>
      </c>
      <c r="K372">
        <v>-60.274999999999999</v>
      </c>
      <c r="M372">
        <v>5.330528932</v>
      </c>
    </row>
    <row r="373" spans="1:13" x14ac:dyDescent="0.3">
      <c r="A373" t="s">
        <v>2715</v>
      </c>
      <c r="B373" t="s">
        <v>2695</v>
      </c>
      <c r="C373" t="s">
        <v>2761</v>
      </c>
      <c r="D373">
        <v>-45.773006000000002</v>
      </c>
      <c r="E373">
        <v>3.52</v>
      </c>
      <c r="I373" t="s">
        <v>2695</v>
      </c>
      <c r="J373" t="s">
        <v>2761</v>
      </c>
      <c r="K373">
        <v>-60.23749999999999</v>
      </c>
      <c r="M373">
        <v>7.9386607079999996</v>
      </c>
    </row>
    <row r="374" spans="1:13" x14ac:dyDescent="0.3">
      <c r="A374" t="s">
        <v>2715</v>
      </c>
      <c r="B374" t="s">
        <v>2695</v>
      </c>
      <c r="C374" t="s">
        <v>2761</v>
      </c>
      <c r="D374">
        <v>-45.65</v>
      </c>
      <c r="E374">
        <v>-2.4557819830000001</v>
      </c>
      <c r="I374" t="s">
        <v>2695</v>
      </c>
      <c r="J374" t="s">
        <v>2761</v>
      </c>
      <c r="K374">
        <v>-60.212499999999999</v>
      </c>
      <c r="M374">
        <v>4.9942213019999997</v>
      </c>
    </row>
    <row r="375" spans="1:13" x14ac:dyDescent="0.3">
      <c r="A375" t="s">
        <v>2715</v>
      </c>
      <c r="B375" t="s">
        <v>2695</v>
      </c>
      <c r="C375" t="s">
        <v>2761</v>
      </c>
      <c r="D375">
        <v>-45.529474499999999</v>
      </c>
      <c r="E375">
        <v>-0.92919099999999999</v>
      </c>
      <c r="I375" t="s">
        <v>2695</v>
      </c>
      <c r="J375" t="s">
        <v>2761</v>
      </c>
      <c r="K375">
        <v>-60.199999999999996</v>
      </c>
      <c r="M375">
        <v>4.8248623640000003</v>
      </c>
    </row>
    <row r="376" spans="1:13" x14ac:dyDescent="0.3">
      <c r="A376" t="s">
        <v>2715</v>
      </c>
      <c r="B376" t="s">
        <v>2695</v>
      </c>
      <c r="C376" t="s">
        <v>2761</v>
      </c>
      <c r="D376">
        <v>-45.487500000000004</v>
      </c>
      <c r="E376">
        <v>3.2952063969999998</v>
      </c>
      <c r="I376" t="s">
        <v>2695</v>
      </c>
      <c r="J376" t="s">
        <v>2761</v>
      </c>
      <c r="K376">
        <v>-59.860163500000006</v>
      </c>
      <c r="M376">
        <v>-1.76</v>
      </c>
    </row>
    <row r="377" spans="1:13" x14ac:dyDescent="0.3">
      <c r="A377" t="s">
        <v>2715</v>
      </c>
      <c r="B377" t="s">
        <v>2695</v>
      </c>
      <c r="C377" t="s">
        <v>2761</v>
      </c>
      <c r="D377">
        <v>-44.92499999999999</v>
      </c>
      <c r="E377">
        <v>0.40681997800000003</v>
      </c>
      <c r="I377" t="s">
        <v>2695</v>
      </c>
      <c r="J377" t="s">
        <v>2761</v>
      </c>
      <c r="K377">
        <v>-59.798881874999999</v>
      </c>
      <c r="M377">
        <v>6.32</v>
      </c>
    </row>
    <row r="378" spans="1:13" x14ac:dyDescent="0.3">
      <c r="A378" t="s">
        <v>2715</v>
      </c>
      <c r="B378" t="s">
        <v>2695</v>
      </c>
      <c r="C378" t="s">
        <v>2761</v>
      </c>
      <c r="D378">
        <v>-44.912500000000001</v>
      </c>
      <c r="E378">
        <v>-5.6964437999999999E-2</v>
      </c>
      <c r="I378" t="s">
        <v>2695</v>
      </c>
      <c r="J378" t="s">
        <v>2761</v>
      </c>
      <c r="K378">
        <v>-59.74225387500001</v>
      </c>
      <c r="M378">
        <v>4.1500000000000004</v>
      </c>
    </row>
    <row r="379" spans="1:13" x14ac:dyDescent="0.3">
      <c r="A379" t="s">
        <v>2715</v>
      </c>
      <c r="B379" t="s">
        <v>2695</v>
      </c>
      <c r="C379" t="s">
        <v>2761</v>
      </c>
      <c r="D379">
        <v>-44.525000000000013</v>
      </c>
      <c r="E379">
        <v>0.91960012700000004</v>
      </c>
      <c r="I379" t="s">
        <v>2695</v>
      </c>
      <c r="J379" t="s">
        <v>2761</v>
      </c>
      <c r="K379">
        <v>-59.61249999999999</v>
      </c>
      <c r="M379">
        <v>5.9628827610000004</v>
      </c>
    </row>
    <row r="380" spans="1:13" x14ac:dyDescent="0.3">
      <c r="A380" t="s">
        <v>2715</v>
      </c>
      <c r="B380" t="s">
        <v>2695</v>
      </c>
      <c r="C380" t="s">
        <v>2761</v>
      </c>
      <c r="D380">
        <v>-44.525000000000013</v>
      </c>
      <c r="E380">
        <v>0.90360723799999998</v>
      </c>
      <c r="I380" t="s">
        <v>2695</v>
      </c>
      <c r="J380" t="s">
        <v>2761</v>
      </c>
      <c r="K380">
        <v>-59.512499999999996</v>
      </c>
      <c r="M380">
        <v>5.7749290369999997</v>
      </c>
    </row>
    <row r="381" spans="1:13" x14ac:dyDescent="0.3">
      <c r="A381" t="s">
        <v>2715</v>
      </c>
      <c r="B381" t="s">
        <v>2695</v>
      </c>
      <c r="C381" t="s">
        <v>2761</v>
      </c>
      <c r="D381">
        <v>-44.500000000000007</v>
      </c>
      <c r="E381">
        <v>2.7737799769999998</v>
      </c>
      <c r="I381" t="s">
        <v>2695</v>
      </c>
      <c r="J381" t="s">
        <v>2761</v>
      </c>
      <c r="K381">
        <v>-59.512499999999996</v>
      </c>
      <c r="M381">
        <v>4.1762939799999996</v>
      </c>
    </row>
    <row r="382" spans="1:13" x14ac:dyDescent="0.3">
      <c r="A382" t="s">
        <v>2715</v>
      </c>
      <c r="B382" t="s">
        <v>2695</v>
      </c>
      <c r="C382" t="s">
        <v>2761</v>
      </c>
      <c r="D382">
        <v>-44.203600999999999</v>
      </c>
      <c r="E382">
        <v>4.9877749109999998</v>
      </c>
      <c r="I382" t="s">
        <v>2695</v>
      </c>
      <c r="J382" t="s">
        <v>2761</v>
      </c>
      <c r="K382">
        <v>-59.449999999999996</v>
      </c>
      <c r="M382" t="s">
        <v>16</v>
      </c>
    </row>
    <row r="383" spans="1:13" x14ac:dyDescent="0.3">
      <c r="A383" t="s">
        <v>2715</v>
      </c>
      <c r="B383" t="s">
        <v>2695</v>
      </c>
      <c r="C383" t="s">
        <v>2761</v>
      </c>
      <c r="D383">
        <v>-43.886470625000008</v>
      </c>
      <c r="E383">
        <v>-0.73</v>
      </c>
      <c r="I383" t="s">
        <v>2695</v>
      </c>
      <c r="J383" t="s">
        <v>2761</v>
      </c>
      <c r="K383">
        <v>-59.439369499999991</v>
      </c>
      <c r="M383">
        <v>2.9757540730000001</v>
      </c>
    </row>
    <row r="384" spans="1:13" x14ac:dyDescent="0.3">
      <c r="A384" t="s">
        <v>2715</v>
      </c>
      <c r="B384" t="s">
        <v>2695</v>
      </c>
      <c r="C384" t="s">
        <v>2761</v>
      </c>
      <c r="D384">
        <v>-43.776128500000006</v>
      </c>
      <c r="E384">
        <v>-0.122695718</v>
      </c>
      <c r="I384" t="s">
        <v>2695</v>
      </c>
      <c r="J384" t="s">
        <v>2761</v>
      </c>
      <c r="K384">
        <v>-59.402821499999995</v>
      </c>
      <c r="M384">
        <v>6.84</v>
      </c>
    </row>
    <row r="385" spans="1:13" x14ac:dyDescent="0.3">
      <c r="A385" t="s">
        <v>2715</v>
      </c>
      <c r="B385" t="s">
        <v>2695</v>
      </c>
      <c r="C385" t="s">
        <v>2761</v>
      </c>
      <c r="D385">
        <v>-43.687500000000007</v>
      </c>
      <c r="E385">
        <v>5.0049874790000004</v>
      </c>
      <c r="I385" t="s">
        <v>2695</v>
      </c>
      <c r="J385" t="s">
        <v>2761</v>
      </c>
      <c r="K385">
        <v>-59.398946625000001</v>
      </c>
      <c r="M385">
        <v>6.21</v>
      </c>
    </row>
    <row r="386" spans="1:13" x14ac:dyDescent="0.3">
      <c r="A386" t="s">
        <v>2715</v>
      </c>
      <c r="B386" t="s">
        <v>2695</v>
      </c>
      <c r="C386" t="s">
        <v>2761</v>
      </c>
      <c r="D386">
        <v>-43.63750000000001</v>
      </c>
      <c r="E386">
        <v>0.81650156399999996</v>
      </c>
      <c r="I386" t="s">
        <v>2695</v>
      </c>
      <c r="J386" t="s">
        <v>2761</v>
      </c>
      <c r="K386">
        <v>-59.137499999999996</v>
      </c>
      <c r="M386">
        <v>2.4463352700000001</v>
      </c>
    </row>
    <row r="387" spans="1:13" x14ac:dyDescent="0.3">
      <c r="A387" t="s">
        <v>2715</v>
      </c>
      <c r="B387" t="s">
        <v>2695</v>
      </c>
      <c r="C387" t="s">
        <v>2761</v>
      </c>
      <c r="D387">
        <v>-43.631587875000001</v>
      </c>
      <c r="E387">
        <v>5.27</v>
      </c>
      <c r="I387" t="s">
        <v>2695</v>
      </c>
      <c r="J387" t="s">
        <v>2761</v>
      </c>
      <c r="K387">
        <v>-59.104183999999997</v>
      </c>
      <c r="M387">
        <v>5.73</v>
      </c>
    </row>
    <row r="388" spans="1:13" x14ac:dyDescent="0.3">
      <c r="A388" t="s">
        <v>2715</v>
      </c>
      <c r="B388" t="s">
        <v>2695</v>
      </c>
      <c r="C388" t="s">
        <v>2761</v>
      </c>
      <c r="D388">
        <v>-43.437500000000007</v>
      </c>
      <c r="E388">
        <v>5.7892292049999998</v>
      </c>
      <c r="I388" t="s">
        <v>2695</v>
      </c>
      <c r="J388" t="s">
        <v>2761</v>
      </c>
      <c r="K388">
        <v>-59.093944999999998</v>
      </c>
      <c r="M388">
        <v>9.51</v>
      </c>
    </row>
    <row r="389" spans="1:13" x14ac:dyDescent="0.3">
      <c r="A389" t="s">
        <v>2715</v>
      </c>
      <c r="B389" t="s">
        <v>2695</v>
      </c>
      <c r="C389" t="s">
        <v>2761</v>
      </c>
      <c r="D389">
        <v>-42.925000000000004</v>
      </c>
      <c r="E389">
        <v>4.0697583960000001</v>
      </c>
      <c r="I389" t="s">
        <v>2695</v>
      </c>
      <c r="J389" t="s">
        <v>2761</v>
      </c>
      <c r="K389">
        <v>-59.05641275</v>
      </c>
      <c r="M389">
        <v>1.9317109560000001</v>
      </c>
    </row>
    <row r="390" spans="1:13" x14ac:dyDescent="0.3">
      <c r="A390" t="s">
        <v>2715</v>
      </c>
      <c r="B390" t="s">
        <v>2695</v>
      </c>
      <c r="C390" t="s">
        <v>2761</v>
      </c>
      <c r="D390">
        <v>-42.366652875000007</v>
      </c>
      <c r="E390">
        <v>5.846348087</v>
      </c>
      <c r="I390" t="s">
        <v>2695</v>
      </c>
      <c r="J390" t="s">
        <v>2761</v>
      </c>
      <c r="K390">
        <v>-59.000780999999996</v>
      </c>
      <c r="M390">
        <v>8.1999999999999993</v>
      </c>
    </row>
    <row r="391" spans="1:13" x14ac:dyDescent="0.3">
      <c r="A391" t="s">
        <v>2715</v>
      </c>
      <c r="B391" t="s">
        <v>2695</v>
      </c>
      <c r="C391" t="s">
        <v>2761</v>
      </c>
      <c r="D391">
        <v>-41.329012499999997</v>
      </c>
      <c r="E391">
        <v>1.733371789</v>
      </c>
      <c r="I391" t="s">
        <v>2695</v>
      </c>
      <c r="J391" t="s">
        <v>2761</v>
      </c>
      <c r="K391">
        <v>-58.884559250000002</v>
      </c>
      <c r="M391">
        <v>1.26</v>
      </c>
    </row>
    <row r="392" spans="1:13" x14ac:dyDescent="0.3">
      <c r="A392" t="s">
        <v>2715</v>
      </c>
      <c r="B392" t="s">
        <v>2695</v>
      </c>
      <c r="C392" t="s">
        <v>2761</v>
      </c>
      <c r="D392">
        <v>-40.842344250000004</v>
      </c>
      <c r="E392">
        <v>3.9924647470000001</v>
      </c>
      <c r="I392" t="s">
        <v>2695</v>
      </c>
      <c r="J392" t="s">
        <v>2761</v>
      </c>
      <c r="K392">
        <v>-58.824999999999996</v>
      </c>
      <c r="M392">
        <v>2.5315689880000001</v>
      </c>
    </row>
    <row r="393" spans="1:13" x14ac:dyDescent="0.3">
      <c r="A393" t="s">
        <v>2715</v>
      </c>
      <c r="B393" t="s">
        <v>2695</v>
      </c>
      <c r="C393" t="s">
        <v>2761</v>
      </c>
      <c r="D393">
        <v>-40.583539499999993</v>
      </c>
      <c r="E393">
        <v>6.63</v>
      </c>
      <c r="I393" t="s">
        <v>2695</v>
      </c>
      <c r="J393" t="s">
        <v>2761</v>
      </c>
      <c r="K393">
        <v>-58.64961125</v>
      </c>
      <c r="M393">
        <v>2.2027457859999999</v>
      </c>
    </row>
    <row r="394" spans="1:13" x14ac:dyDescent="0.3">
      <c r="A394" t="s">
        <v>2715</v>
      </c>
      <c r="B394" t="s">
        <v>2695</v>
      </c>
      <c r="C394" t="s">
        <v>2761</v>
      </c>
      <c r="D394">
        <v>-40.300000000000004</v>
      </c>
      <c r="E394">
        <v>3.5513198770000001</v>
      </c>
      <c r="I394" t="s">
        <v>2695</v>
      </c>
      <c r="J394" t="s">
        <v>2761</v>
      </c>
      <c r="K394">
        <v>-58.42499999999999</v>
      </c>
      <c r="M394">
        <v>10.89504812</v>
      </c>
    </row>
    <row r="395" spans="1:13" x14ac:dyDescent="0.3">
      <c r="A395" t="s">
        <v>2715</v>
      </c>
      <c r="B395" t="s">
        <v>2695</v>
      </c>
      <c r="C395" t="s">
        <v>2761</v>
      </c>
      <c r="D395">
        <v>-40.250000000000007</v>
      </c>
      <c r="E395">
        <v>1.5997057779999999</v>
      </c>
      <c r="I395" t="s">
        <v>2695</v>
      </c>
      <c r="J395" t="s">
        <v>2761</v>
      </c>
      <c r="K395">
        <v>-58.384092500000001</v>
      </c>
      <c r="M395">
        <v>5.6689400120000002</v>
      </c>
    </row>
    <row r="396" spans="1:13" x14ac:dyDescent="0.3">
      <c r="A396" t="s">
        <v>2715</v>
      </c>
      <c r="B396" t="s">
        <v>2695</v>
      </c>
      <c r="C396" t="s">
        <v>2761</v>
      </c>
      <c r="D396">
        <v>-40.212499999999999</v>
      </c>
      <c r="E396">
        <v>5.067095804</v>
      </c>
      <c r="I396" t="s">
        <v>2695</v>
      </c>
      <c r="J396" t="s">
        <v>2761</v>
      </c>
      <c r="K396">
        <v>-58.375000000000007</v>
      </c>
      <c r="M396">
        <v>6.1634281870000001</v>
      </c>
    </row>
    <row r="397" spans="1:13" x14ac:dyDescent="0.3">
      <c r="A397" t="s">
        <v>2715</v>
      </c>
      <c r="B397" t="s">
        <v>2695</v>
      </c>
      <c r="C397" t="s">
        <v>2761</v>
      </c>
      <c r="D397">
        <v>-39.024999999999999</v>
      </c>
      <c r="E397">
        <v>0.53595062599999999</v>
      </c>
      <c r="I397" t="s">
        <v>2695</v>
      </c>
      <c r="J397" t="s">
        <v>2761</v>
      </c>
      <c r="K397">
        <v>-58.085190749999988</v>
      </c>
      <c r="M397">
        <v>2.78</v>
      </c>
    </row>
    <row r="398" spans="1:13" x14ac:dyDescent="0.3">
      <c r="A398" t="s">
        <v>2715</v>
      </c>
      <c r="B398" t="s">
        <v>2695</v>
      </c>
      <c r="C398" t="s">
        <v>2761</v>
      </c>
      <c r="D398">
        <v>-38.863387499999995</v>
      </c>
      <c r="E398">
        <v>-0.84</v>
      </c>
      <c r="I398" t="s">
        <v>2695</v>
      </c>
      <c r="J398" t="s">
        <v>2761</v>
      </c>
      <c r="K398">
        <v>-57.900000000000013</v>
      </c>
      <c r="M398">
        <v>-1.258331195</v>
      </c>
    </row>
    <row r="399" spans="1:13" x14ac:dyDescent="0.3">
      <c r="A399" t="s">
        <v>2715</v>
      </c>
      <c r="B399" t="s">
        <v>2695</v>
      </c>
      <c r="C399" t="s">
        <v>2761</v>
      </c>
      <c r="D399">
        <v>-38.800000000000004</v>
      </c>
      <c r="E399">
        <v>6.6429678399999998</v>
      </c>
      <c r="I399" t="s">
        <v>2695</v>
      </c>
      <c r="J399" t="s">
        <v>2761</v>
      </c>
      <c r="K399">
        <v>-57.789373875000003</v>
      </c>
      <c r="M399">
        <v>10.35901451</v>
      </c>
    </row>
    <row r="400" spans="1:13" x14ac:dyDescent="0.3">
      <c r="A400" t="s">
        <v>2715</v>
      </c>
      <c r="B400" t="s">
        <v>2695</v>
      </c>
      <c r="C400" t="s">
        <v>2761</v>
      </c>
      <c r="D400">
        <v>-38.387499999999996</v>
      </c>
      <c r="E400">
        <v>6.8856542919999999</v>
      </c>
      <c r="I400" t="s">
        <v>2695</v>
      </c>
      <c r="J400" t="s">
        <v>2761</v>
      </c>
      <c r="K400">
        <v>-57.750929499999991</v>
      </c>
      <c r="M400">
        <v>3.24</v>
      </c>
    </row>
    <row r="401" spans="1:13" x14ac:dyDescent="0.3">
      <c r="A401" t="s">
        <v>2715</v>
      </c>
      <c r="B401" t="s">
        <v>2695</v>
      </c>
      <c r="C401" t="s">
        <v>2761</v>
      </c>
      <c r="D401">
        <v>-37.712499999999999</v>
      </c>
      <c r="E401">
        <v>6.1196805550000004</v>
      </c>
      <c r="I401" t="s">
        <v>2695</v>
      </c>
      <c r="J401" t="s">
        <v>2761</v>
      </c>
      <c r="K401">
        <v>-57.698336999999988</v>
      </c>
      <c r="M401">
        <v>4.9000000000000004</v>
      </c>
    </row>
    <row r="402" spans="1:13" x14ac:dyDescent="0.3">
      <c r="A402" t="s">
        <v>2715</v>
      </c>
      <c r="B402" t="s">
        <v>2695</v>
      </c>
      <c r="C402" t="s">
        <v>2761</v>
      </c>
      <c r="D402">
        <v>-37.287500000000001</v>
      </c>
      <c r="E402">
        <v>6.6186021530000003</v>
      </c>
      <c r="I402" t="s">
        <v>2695</v>
      </c>
      <c r="J402" t="s">
        <v>2761</v>
      </c>
      <c r="K402">
        <v>-57.605494875000012</v>
      </c>
      <c r="M402">
        <v>1.06</v>
      </c>
    </row>
    <row r="403" spans="1:13" x14ac:dyDescent="0.3">
      <c r="A403" t="s">
        <v>2715</v>
      </c>
      <c r="B403" t="s">
        <v>2695</v>
      </c>
      <c r="C403" t="s">
        <v>2761</v>
      </c>
      <c r="D403">
        <v>-37.009187500000003</v>
      </c>
      <c r="E403">
        <v>5.5599126349999999</v>
      </c>
      <c r="I403" t="s">
        <v>2695</v>
      </c>
      <c r="J403" t="s">
        <v>2761</v>
      </c>
      <c r="K403">
        <v>-57.524999999999999</v>
      </c>
      <c r="M403">
        <v>1.322790006</v>
      </c>
    </row>
    <row r="404" spans="1:13" x14ac:dyDescent="0.3">
      <c r="A404" t="s">
        <v>2715</v>
      </c>
      <c r="B404" t="s">
        <v>2695</v>
      </c>
      <c r="C404" t="s">
        <v>2761</v>
      </c>
      <c r="D404">
        <v>-36.550000000000004</v>
      </c>
      <c r="E404">
        <v>4.1106608509999996</v>
      </c>
      <c r="I404" t="s">
        <v>2695</v>
      </c>
      <c r="J404" t="s">
        <v>2761</v>
      </c>
      <c r="K404">
        <v>-57.42499999999999</v>
      </c>
      <c r="M404">
        <v>5.7995827579999997</v>
      </c>
    </row>
    <row r="405" spans="1:13" x14ac:dyDescent="0.3">
      <c r="A405" t="s">
        <v>2715</v>
      </c>
      <c r="B405" t="s">
        <v>2695</v>
      </c>
      <c r="C405" t="s">
        <v>2761</v>
      </c>
      <c r="D405">
        <v>-36.087676499999993</v>
      </c>
      <c r="E405">
        <v>2.79</v>
      </c>
      <c r="I405" t="s">
        <v>2695</v>
      </c>
      <c r="J405" t="s">
        <v>2761</v>
      </c>
      <c r="K405">
        <v>-57.312499999999993</v>
      </c>
      <c r="M405">
        <v>1.168013886</v>
      </c>
    </row>
    <row r="406" spans="1:13" x14ac:dyDescent="0.3">
      <c r="A406" t="s">
        <v>2715</v>
      </c>
      <c r="B406" t="s">
        <v>2695</v>
      </c>
      <c r="C406" t="s">
        <v>2761</v>
      </c>
      <c r="D406">
        <v>-35.687401000000001</v>
      </c>
      <c r="E406">
        <v>8.1565766830000008</v>
      </c>
      <c r="I406" t="s">
        <v>2695</v>
      </c>
      <c r="J406" t="s">
        <v>2761</v>
      </c>
      <c r="K406">
        <v>-57.09048087499999</v>
      </c>
      <c r="M406">
        <v>4.58</v>
      </c>
    </row>
    <row r="407" spans="1:13" x14ac:dyDescent="0.3">
      <c r="A407" t="s">
        <v>2715</v>
      </c>
      <c r="B407" t="s">
        <v>2695</v>
      </c>
      <c r="C407" t="s">
        <v>2761</v>
      </c>
      <c r="D407">
        <v>-35.448034</v>
      </c>
      <c r="E407">
        <v>5.67</v>
      </c>
      <c r="I407" t="s">
        <v>2695</v>
      </c>
      <c r="J407" t="s">
        <v>2761</v>
      </c>
      <c r="K407">
        <v>-56.949999999999996</v>
      </c>
      <c r="M407">
        <v>4.4847655980000001</v>
      </c>
    </row>
    <row r="408" spans="1:13" x14ac:dyDescent="0.3">
      <c r="A408" t="s">
        <v>2715</v>
      </c>
      <c r="B408" t="s">
        <v>2695</v>
      </c>
      <c r="C408" t="s">
        <v>2761</v>
      </c>
      <c r="D408">
        <v>-35.162500000000001</v>
      </c>
      <c r="E408">
        <v>6.509839586</v>
      </c>
      <c r="I408" t="s">
        <v>2695</v>
      </c>
      <c r="J408" t="s">
        <v>2761</v>
      </c>
      <c r="K408">
        <v>-56.943091999999986</v>
      </c>
      <c r="M408">
        <v>7.31</v>
      </c>
    </row>
    <row r="409" spans="1:13" x14ac:dyDescent="0.3">
      <c r="A409" t="s">
        <v>2715</v>
      </c>
      <c r="B409" t="s">
        <v>2695</v>
      </c>
      <c r="C409" t="s">
        <v>2761</v>
      </c>
      <c r="D409">
        <v>-34.88750000000001</v>
      </c>
      <c r="E409">
        <v>6.6481148829999999</v>
      </c>
      <c r="I409" t="s">
        <v>2695</v>
      </c>
      <c r="J409" t="s">
        <v>2761</v>
      </c>
      <c r="K409">
        <v>-56.837499999999999</v>
      </c>
      <c r="M409">
        <v>6.0756205960000003</v>
      </c>
    </row>
    <row r="410" spans="1:13" x14ac:dyDescent="0.3">
      <c r="A410" t="s">
        <v>2715</v>
      </c>
      <c r="B410" t="s">
        <v>2695</v>
      </c>
      <c r="C410" t="s">
        <v>2761</v>
      </c>
      <c r="D410">
        <v>-34.874999999999993</v>
      </c>
      <c r="E410">
        <v>3.7017147690000001</v>
      </c>
      <c r="I410" t="s">
        <v>2695</v>
      </c>
      <c r="J410" t="s">
        <v>2761</v>
      </c>
      <c r="K410">
        <v>-56.79999999999999</v>
      </c>
      <c r="M410">
        <v>5.8003834210000003</v>
      </c>
    </row>
    <row r="411" spans="1:13" x14ac:dyDescent="0.3">
      <c r="A411" t="s">
        <v>2715</v>
      </c>
      <c r="B411" t="s">
        <v>2695</v>
      </c>
      <c r="C411" t="s">
        <v>2761</v>
      </c>
      <c r="D411">
        <v>-34.537500000000001</v>
      </c>
      <c r="E411">
        <v>6.9645427370000004</v>
      </c>
      <c r="I411" t="s">
        <v>2695</v>
      </c>
      <c r="J411" t="s">
        <v>2761</v>
      </c>
      <c r="K411">
        <v>-56.79999999999999</v>
      </c>
      <c r="M411">
        <v>3.9561567200000001</v>
      </c>
    </row>
    <row r="412" spans="1:13" x14ac:dyDescent="0.3">
      <c r="A412" t="s">
        <v>2715</v>
      </c>
      <c r="B412" t="s">
        <v>2695</v>
      </c>
      <c r="C412" t="s">
        <v>2761</v>
      </c>
      <c r="D412">
        <v>-34.500000000000007</v>
      </c>
      <c r="E412">
        <v>5.344649457</v>
      </c>
      <c r="I412" t="s">
        <v>2695</v>
      </c>
      <c r="J412" t="s">
        <v>2761</v>
      </c>
      <c r="K412">
        <v>-56.758666124999998</v>
      </c>
      <c r="M412">
        <v>5.24</v>
      </c>
    </row>
    <row r="413" spans="1:13" x14ac:dyDescent="0.3">
      <c r="A413" t="s">
        <v>2715</v>
      </c>
      <c r="B413" t="s">
        <v>2695</v>
      </c>
      <c r="C413" t="s">
        <v>2761</v>
      </c>
      <c r="D413">
        <v>-34.061771749999998</v>
      </c>
      <c r="E413">
        <v>1.0004153469999999</v>
      </c>
      <c r="I413" t="s">
        <v>2695</v>
      </c>
      <c r="J413" t="s">
        <v>2761</v>
      </c>
      <c r="K413">
        <v>-56.54999999999999</v>
      </c>
      <c r="M413">
        <v>6.4380572340000004</v>
      </c>
    </row>
    <row r="414" spans="1:13" x14ac:dyDescent="0.3">
      <c r="A414" t="s">
        <v>2715</v>
      </c>
      <c r="B414" t="s">
        <v>2695</v>
      </c>
      <c r="C414" t="s">
        <v>2761</v>
      </c>
      <c r="D414">
        <v>-33.824999999999996</v>
      </c>
      <c r="E414">
        <v>5.8582856139999997</v>
      </c>
      <c r="I414" t="s">
        <v>2695</v>
      </c>
      <c r="J414" t="s">
        <v>2761</v>
      </c>
      <c r="K414">
        <v>-56.400000000000013</v>
      </c>
      <c r="M414">
        <v>3.1352992230000001</v>
      </c>
    </row>
    <row r="415" spans="1:13" x14ac:dyDescent="0.3">
      <c r="A415" t="s">
        <v>2715</v>
      </c>
      <c r="B415" t="s">
        <v>2695</v>
      </c>
      <c r="C415" t="s">
        <v>2761</v>
      </c>
      <c r="D415">
        <v>-33.125</v>
      </c>
      <c r="E415">
        <v>5.5379307840000003</v>
      </c>
      <c r="I415" t="s">
        <v>2695</v>
      </c>
      <c r="J415" t="s">
        <v>2761</v>
      </c>
      <c r="K415">
        <v>-56.35</v>
      </c>
      <c r="M415">
        <v>4.764547254</v>
      </c>
    </row>
    <row r="416" spans="1:13" x14ac:dyDescent="0.3">
      <c r="A416" t="s">
        <v>2715</v>
      </c>
      <c r="B416" t="s">
        <v>2695</v>
      </c>
      <c r="C416" t="s">
        <v>2761</v>
      </c>
      <c r="D416">
        <v>-32.574970874999998</v>
      </c>
      <c r="E416">
        <v>6.34</v>
      </c>
      <c r="I416" t="s">
        <v>2695</v>
      </c>
      <c r="J416" t="s">
        <v>2761</v>
      </c>
      <c r="K416">
        <v>-55.95000000000001</v>
      </c>
      <c r="M416">
        <v>0.37729802800000001</v>
      </c>
    </row>
    <row r="417" spans="1:13" x14ac:dyDescent="0.3">
      <c r="A417" t="s">
        <v>2715</v>
      </c>
      <c r="B417" t="s">
        <v>2695</v>
      </c>
      <c r="C417" t="s">
        <v>2761</v>
      </c>
      <c r="D417">
        <v>-31.472535999999998</v>
      </c>
      <c r="E417">
        <v>6.23</v>
      </c>
      <c r="I417" t="s">
        <v>2695</v>
      </c>
      <c r="J417" t="s">
        <v>2761</v>
      </c>
      <c r="K417">
        <v>-55.837499999999999</v>
      </c>
      <c r="M417">
        <v>0.61832394099999999</v>
      </c>
    </row>
    <row r="418" spans="1:13" x14ac:dyDescent="0.3">
      <c r="A418" t="s">
        <v>2715</v>
      </c>
      <c r="B418" t="s">
        <v>2695</v>
      </c>
      <c r="C418" t="s">
        <v>2761</v>
      </c>
      <c r="D418">
        <v>-31.15</v>
      </c>
      <c r="E418">
        <v>6.4770186030000003</v>
      </c>
      <c r="I418" t="s">
        <v>2695</v>
      </c>
      <c r="J418" t="s">
        <v>2761</v>
      </c>
      <c r="K418">
        <v>-55.787500000000001</v>
      </c>
      <c r="M418">
        <v>5.1072790489999997</v>
      </c>
    </row>
    <row r="419" spans="1:13" x14ac:dyDescent="0.3">
      <c r="A419" t="s">
        <v>2715</v>
      </c>
      <c r="B419" t="s">
        <v>2695</v>
      </c>
      <c r="C419" t="s">
        <v>2761</v>
      </c>
      <c r="D419">
        <v>-31.051323750000002</v>
      </c>
      <c r="E419">
        <v>3.73</v>
      </c>
      <c r="I419" t="s">
        <v>2695</v>
      </c>
      <c r="J419" t="s">
        <v>2761</v>
      </c>
      <c r="K419">
        <v>-55.749999999999993</v>
      </c>
      <c r="M419">
        <v>3.2442603160000001</v>
      </c>
    </row>
    <row r="420" spans="1:13" x14ac:dyDescent="0.3">
      <c r="A420" t="s">
        <v>2715</v>
      </c>
      <c r="B420" t="s">
        <v>2695</v>
      </c>
      <c r="C420" t="s">
        <v>2761</v>
      </c>
      <c r="D420">
        <v>-30.912500000000001</v>
      </c>
      <c r="E420">
        <v>-0.47793729800000001</v>
      </c>
      <c r="I420" t="s">
        <v>2695</v>
      </c>
      <c r="J420" t="s">
        <v>2761</v>
      </c>
      <c r="K420">
        <v>-55.724462999999993</v>
      </c>
      <c r="M420">
        <v>1.9911728580000001</v>
      </c>
    </row>
    <row r="421" spans="1:13" x14ac:dyDescent="0.3">
      <c r="A421" t="s">
        <v>2715</v>
      </c>
      <c r="B421" t="s">
        <v>2695</v>
      </c>
      <c r="C421" t="s">
        <v>2761</v>
      </c>
      <c r="D421">
        <v>-30.825000000000003</v>
      </c>
      <c r="E421">
        <v>4.464710288</v>
      </c>
      <c r="I421" t="s">
        <v>2695</v>
      </c>
      <c r="J421" t="s">
        <v>2761</v>
      </c>
      <c r="K421">
        <v>-55.587499999999999</v>
      </c>
      <c r="M421">
        <v>5.1687043819999996</v>
      </c>
    </row>
    <row r="422" spans="1:13" x14ac:dyDescent="0.3">
      <c r="A422" t="s">
        <v>2715</v>
      </c>
      <c r="B422" t="s">
        <v>2695</v>
      </c>
      <c r="C422" t="s">
        <v>2761</v>
      </c>
      <c r="D422">
        <v>-28.300000000000004</v>
      </c>
      <c r="E422">
        <v>4.9823085220000003</v>
      </c>
      <c r="I422" t="s">
        <v>2695</v>
      </c>
      <c r="J422" t="s">
        <v>2761</v>
      </c>
      <c r="K422">
        <v>-55.556027750000005</v>
      </c>
      <c r="M422">
        <v>6.0310133510000004</v>
      </c>
    </row>
    <row r="423" spans="1:13" x14ac:dyDescent="0.3">
      <c r="A423" t="s">
        <v>2715</v>
      </c>
      <c r="B423" t="s">
        <v>2695</v>
      </c>
      <c r="C423" t="s">
        <v>2761</v>
      </c>
      <c r="D423">
        <v>-26.769421999999999</v>
      </c>
      <c r="E423">
        <v>5.18</v>
      </c>
      <c r="I423" t="s">
        <v>2695</v>
      </c>
      <c r="J423" t="s">
        <v>2761</v>
      </c>
      <c r="K423">
        <v>-55.387499999999996</v>
      </c>
      <c r="M423">
        <v>6.0800078160000002</v>
      </c>
    </row>
    <row r="424" spans="1:13" x14ac:dyDescent="0.3">
      <c r="A424" t="s">
        <v>2715</v>
      </c>
      <c r="B424" t="s">
        <v>2695</v>
      </c>
      <c r="C424" t="s">
        <v>2761</v>
      </c>
      <c r="D424">
        <v>-25.792159999999999</v>
      </c>
      <c r="E424">
        <v>6.977617306</v>
      </c>
      <c r="I424" t="s">
        <v>2695</v>
      </c>
      <c r="J424" t="s">
        <v>2761</v>
      </c>
      <c r="K424">
        <v>-55.29999999999999</v>
      </c>
      <c r="M424">
        <v>0.111754046</v>
      </c>
    </row>
    <row r="425" spans="1:13" x14ac:dyDescent="0.3">
      <c r="A425" t="s">
        <v>2715</v>
      </c>
      <c r="B425" t="s">
        <v>2695</v>
      </c>
      <c r="C425" t="s">
        <v>2761</v>
      </c>
      <c r="D425">
        <v>-25.212499999999999</v>
      </c>
      <c r="E425">
        <v>5.1503156480000003</v>
      </c>
      <c r="I425" t="s">
        <v>2695</v>
      </c>
      <c r="J425" t="s">
        <v>2761</v>
      </c>
      <c r="K425">
        <v>-55.037500000000001</v>
      </c>
      <c r="M425">
        <v>1.7512861669999999</v>
      </c>
    </row>
    <row r="426" spans="1:13" x14ac:dyDescent="0.3">
      <c r="A426" t="s">
        <v>2715</v>
      </c>
      <c r="B426" t="s">
        <v>2695</v>
      </c>
      <c r="C426" t="s">
        <v>2761</v>
      </c>
      <c r="D426">
        <v>-24.550000000000004</v>
      </c>
      <c r="E426">
        <v>3.393167032</v>
      </c>
      <c r="I426" t="s">
        <v>2695</v>
      </c>
      <c r="J426" t="s">
        <v>2761</v>
      </c>
      <c r="K426">
        <v>-55.01250000000001</v>
      </c>
      <c r="M426">
        <v>4.5743700990000002</v>
      </c>
    </row>
    <row r="427" spans="1:13" x14ac:dyDescent="0.3">
      <c r="A427" t="s">
        <v>2715</v>
      </c>
      <c r="B427" t="s">
        <v>2695</v>
      </c>
      <c r="C427" t="s">
        <v>2761</v>
      </c>
      <c r="D427">
        <v>-23.35</v>
      </c>
      <c r="E427">
        <v>4.9566857960000004</v>
      </c>
      <c r="I427" t="s">
        <v>2695</v>
      </c>
      <c r="J427" t="s">
        <v>2761</v>
      </c>
      <c r="K427">
        <v>-54.465232125000007</v>
      </c>
      <c r="M427">
        <v>8.2100000000000009</v>
      </c>
    </row>
    <row r="428" spans="1:13" x14ac:dyDescent="0.3">
      <c r="A428" t="s">
        <v>2715</v>
      </c>
      <c r="B428" t="s">
        <v>2695</v>
      </c>
      <c r="C428" t="s">
        <v>2761</v>
      </c>
      <c r="D428">
        <v>-18.947088749999999</v>
      </c>
      <c r="E428">
        <v>6.19</v>
      </c>
      <c r="I428" t="s">
        <v>2695</v>
      </c>
      <c r="J428" t="s">
        <v>2761</v>
      </c>
      <c r="K428">
        <v>-54.32500000000001</v>
      </c>
      <c r="M428">
        <v>7.5041806329999998</v>
      </c>
    </row>
    <row r="429" spans="1:13" x14ac:dyDescent="0.3">
      <c r="A429" t="s">
        <v>2715</v>
      </c>
      <c r="B429" t="s">
        <v>2695</v>
      </c>
      <c r="C429" t="s">
        <v>2761</v>
      </c>
      <c r="D429">
        <v>-17.0625</v>
      </c>
      <c r="E429">
        <v>5.5760675280000003</v>
      </c>
      <c r="I429" t="s">
        <v>2695</v>
      </c>
      <c r="J429" t="s">
        <v>2761</v>
      </c>
      <c r="K429">
        <v>-54.304196250000011</v>
      </c>
      <c r="M429">
        <v>6.89</v>
      </c>
    </row>
    <row r="430" spans="1:13" x14ac:dyDescent="0.3">
      <c r="A430" t="s">
        <v>2715</v>
      </c>
      <c r="B430" t="s">
        <v>2695</v>
      </c>
      <c r="C430" t="s">
        <v>2761</v>
      </c>
      <c r="D430">
        <v>-16.799999999999997</v>
      </c>
      <c r="E430">
        <v>3.800112435</v>
      </c>
      <c r="I430" t="s">
        <v>2695</v>
      </c>
      <c r="J430" t="s">
        <v>2761</v>
      </c>
      <c r="K430">
        <v>-54.225000000000001</v>
      </c>
      <c r="M430">
        <v>1.949211655</v>
      </c>
    </row>
    <row r="431" spans="1:13" x14ac:dyDescent="0.3">
      <c r="A431" t="s">
        <v>2715</v>
      </c>
      <c r="B431" t="s">
        <v>2695</v>
      </c>
      <c r="C431" t="s">
        <v>2761</v>
      </c>
      <c r="D431">
        <v>-16.174999999999997</v>
      </c>
      <c r="E431">
        <v>2.1625607549999999</v>
      </c>
      <c r="I431" t="s">
        <v>2695</v>
      </c>
      <c r="J431" t="s">
        <v>2761</v>
      </c>
      <c r="K431">
        <v>-53.962499999999999</v>
      </c>
      <c r="M431">
        <v>4.7742457500000004</v>
      </c>
    </row>
    <row r="432" spans="1:13" x14ac:dyDescent="0.3">
      <c r="A432" t="s">
        <v>2715</v>
      </c>
      <c r="B432" t="s">
        <v>2695</v>
      </c>
      <c r="C432" t="s">
        <v>2761</v>
      </c>
      <c r="D432">
        <v>-15.612500000000004</v>
      </c>
      <c r="E432">
        <v>6.3810811520000001</v>
      </c>
      <c r="I432" t="s">
        <v>2695</v>
      </c>
      <c r="J432" t="s">
        <v>2761</v>
      </c>
      <c r="K432">
        <v>-53.694579000000012</v>
      </c>
      <c r="M432">
        <v>7.13</v>
      </c>
    </row>
    <row r="433" spans="1:13" x14ac:dyDescent="0.3">
      <c r="A433" t="s">
        <v>2715</v>
      </c>
      <c r="B433" t="s">
        <v>2695</v>
      </c>
      <c r="C433" t="s">
        <v>2761</v>
      </c>
      <c r="D433">
        <v>-12.487500000000004</v>
      </c>
      <c r="E433">
        <v>10.207648839999999</v>
      </c>
      <c r="I433" t="s">
        <v>2695</v>
      </c>
      <c r="J433" t="s">
        <v>2761</v>
      </c>
      <c r="K433">
        <v>-53.66215549999999</v>
      </c>
      <c r="M433">
        <v>-1.53</v>
      </c>
    </row>
    <row r="434" spans="1:13" x14ac:dyDescent="0.3">
      <c r="A434" t="s">
        <v>2715</v>
      </c>
      <c r="B434" t="s">
        <v>2695</v>
      </c>
      <c r="C434" t="s">
        <v>2762</v>
      </c>
      <c r="D434">
        <v>-77.120460082499989</v>
      </c>
      <c r="G434">
        <v>6.5984784019999996</v>
      </c>
      <c r="I434" t="s">
        <v>2695</v>
      </c>
      <c r="J434" t="s">
        <v>2761</v>
      </c>
      <c r="K434">
        <v>-53.612500000000004</v>
      </c>
      <c r="M434">
        <v>0.467414779</v>
      </c>
    </row>
    <row r="435" spans="1:13" x14ac:dyDescent="0.3">
      <c r="A435" t="s">
        <v>2715</v>
      </c>
      <c r="B435" t="s">
        <v>2695</v>
      </c>
      <c r="C435" t="s">
        <v>2762</v>
      </c>
      <c r="D435">
        <v>-76.925954862499992</v>
      </c>
      <c r="G435">
        <v>7.07</v>
      </c>
      <c r="I435" t="s">
        <v>2695</v>
      </c>
      <c r="J435" t="s">
        <v>2761</v>
      </c>
      <c r="K435">
        <v>-53.143600250000013</v>
      </c>
      <c r="M435">
        <v>3.5387406850000001</v>
      </c>
    </row>
    <row r="436" spans="1:13" x14ac:dyDescent="0.3">
      <c r="A436" t="s">
        <v>2715</v>
      </c>
      <c r="B436" t="s">
        <v>2695</v>
      </c>
      <c r="C436" t="s">
        <v>2762</v>
      </c>
      <c r="D436">
        <v>-75.858995787500021</v>
      </c>
      <c r="G436">
        <v>5.39</v>
      </c>
      <c r="I436" t="s">
        <v>2695</v>
      </c>
      <c r="J436" t="s">
        <v>2761</v>
      </c>
      <c r="K436">
        <v>-52.927428000000013</v>
      </c>
      <c r="M436">
        <v>7.96</v>
      </c>
    </row>
    <row r="437" spans="1:13" x14ac:dyDescent="0.3">
      <c r="A437" t="s">
        <v>2715</v>
      </c>
      <c r="B437" t="s">
        <v>2695</v>
      </c>
      <c r="C437" t="s">
        <v>2762</v>
      </c>
      <c r="D437">
        <v>-75.293043582500019</v>
      </c>
      <c r="G437">
        <v>9.56</v>
      </c>
      <c r="I437" t="s">
        <v>2695</v>
      </c>
      <c r="J437" t="s">
        <v>2761</v>
      </c>
      <c r="K437">
        <v>-52.687500000000007</v>
      </c>
      <c r="M437">
        <v>1.796711046</v>
      </c>
    </row>
    <row r="438" spans="1:13" x14ac:dyDescent="0.3">
      <c r="A438" t="s">
        <v>2715</v>
      </c>
      <c r="B438" t="s">
        <v>2695</v>
      </c>
      <c r="C438" t="s">
        <v>2762</v>
      </c>
      <c r="D438">
        <v>-74.16830747000003</v>
      </c>
      <c r="G438">
        <v>7.2065769839999998</v>
      </c>
      <c r="I438" t="s">
        <v>2695</v>
      </c>
      <c r="J438" t="s">
        <v>2761</v>
      </c>
      <c r="K438">
        <v>-52.675000000000004</v>
      </c>
      <c r="M438">
        <v>6.0893230389999999</v>
      </c>
    </row>
    <row r="439" spans="1:13" x14ac:dyDescent="0.3">
      <c r="A439" t="s">
        <v>2715</v>
      </c>
      <c r="B439" t="s">
        <v>2695</v>
      </c>
      <c r="C439" t="s">
        <v>2762</v>
      </c>
      <c r="D439">
        <v>-74.13535113750001</v>
      </c>
      <c r="G439">
        <v>4.3391124400000001</v>
      </c>
      <c r="I439" t="s">
        <v>2695</v>
      </c>
      <c r="J439" t="s">
        <v>2761</v>
      </c>
      <c r="K439">
        <v>-52.574999999999996</v>
      </c>
      <c r="M439">
        <v>2.5792410480000001</v>
      </c>
    </row>
    <row r="440" spans="1:13" x14ac:dyDescent="0.3">
      <c r="A440" t="s">
        <v>2715</v>
      </c>
      <c r="B440" t="s">
        <v>2695</v>
      </c>
      <c r="C440" t="s">
        <v>2762</v>
      </c>
      <c r="D440">
        <v>-72.759417260000021</v>
      </c>
      <c r="G440">
        <v>2.9108217700000001</v>
      </c>
      <c r="I440" t="s">
        <v>2695</v>
      </c>
      <c r="J440" t="s">
        <v>2761</v>
      </c>
      <c r="K440">
        <v>-52.550000000000004</v>
      </c>
      <c r="M440">
        <v>6.6044703440000001</v>
      </c>
    </row>
    <row r="441" spans="1:13" x14ac:dyDescent="0.3">
      <c r="A441" t="s">
        <v>2715</v>
      </c>
      <c r="B441" t="s">
        <v>2695</v>
      </c>
      <c r="C441" t="s">
        <v>2762</v>
      </c>
      <c r="D441">
        <v>-72.195769630000001</v>
      </c>
      <c r="G441">
        <v>6.92</v>
      </c>
      <c r="I441" t="s">
        <v>2695</v>
      </c>
      <c r="J441" t="s">
        <v>2761</v>
      </c>
      <c r="K441">
        <v>-52.524999999999999</v>
      </c>
      <c r="M441">
        <v>7.9635402119999998</v>
      </c>
    </row>
    <row r="442" spans="1:13" x14ac:dyDescent="0.3">
      <c r="A442" t="s">
        <v>2715</v>
      </c>
      <c r="B442" t="s">
        <v>2695</v>
      </c>
      <c r="C442" t="s">
        <v>2762</v>
      </c>
      <c r="D442">
        <v>-72.041137880000008</v>
      </c>
      <c r="G442">
        <v>5.13</v>
      </c>
      <c r="I442" t="s">
        <v>2695</v>
      </c>
      <c r="J442" t="s">
        <v>2761</v>
      </c>
      <c r="K442">
        <v>-52.250365750000007</v>
      </c>
      <c r="M442">
        <v>2.25</v>
      </c>
    </row>
    <row r="443" spans="1:13" x14ac:dyDescent="0.3">
      <c r="A443" t="s">
        <v>2715</v>
      </c>
      <c r="B443" t="s">
        <v>2695</v>
      </c>
      <c r="C443" t="s">
        <v>2762</v>
      </c>
      <c r="D443">
        <v>-71.622085837500009</v>
      </c>
      <c r="G443">
        <v>7.76</v>
      </c>
      <c r="I443" t="s">
        <v>2695</v>
      </c>
      <c r="J443" t="s">
        <v>2761</v>
      </c>
      <c r="K443">
        <v>-52.223576000000001</v>
      </c>
      <c r="M443">
        <v>-0.2</v>
      </c>
    </row>
    <row r="444" spans="1:13" x14ac:dyDescent="0.3">
      <c r="A444" t="s">
        <v>2715</v>
      </c>
      <c r="B444" t="s">
        <v>2695</v>
      </c>
      <c r="C444" t="s">
        <v>2762</v>
      </c>
      <c r="D444">
        <v>-71.561463912500017</v>
      </c>
      <c r="G444">
        <v>6.3888282790000002</v>
      </c>
      <c r="I444" t="s">
        <v>2695</v>
      </c>
      <c r="J444" t="s">
        <v>2761</v>
      </c>
      <c r="K444">
        <v>-51.936438000000003</v>
      </c>
      <c r="M444">
        <v>5.7</v>
      </c>
    </row>
    <row r="445" spans="1:13" x14ac:dyDescent="0.3">
      <c r="A445" t="s">
        <v>2715</v>
      </c>
      <c r="B445" t="s">
        <v>2695</v>
      </c>
      <c r="C445" t="s">
        <v>2762</v>
      </c>
      <c r="D445">
        <v>-68.952759632500005</v>
      </c>
      <c r="G445">
        <v>6.4573177370000003</v>
      </c>
      <c r="I445" t="s">
        <v>2695</v>
      </c>
      <c r="J445" t="s">
        <v>2761</v>
      </c>
      <c r="K445">
        <v>-51.81850475000001</v>
      </c>
      <c r="M445">
        <v>4.3163154549999998</v>
      </c>
    </row>
    <row r="446" spans="1:13" x14ac:dyDescent="0.3">
      <c r="A446" t="s">
        <v>2715</v>
      </c>
      <c r="B446" t="s">
        <v>2695</v>
      </c>
      <c r="C446" t="s">
        <v>2762</v>
      </c>
      <c r="D446">
        <v>-68.091799646249996</v>
      </c>
      <c r="G446">
        <v>6.2189635689999996</v>
      </c>
      <c r="I446" t="s">
        <v>2695</v>
      </c>
      <c r="J446" t="s">
        <v>2761</v>
      </c>
      <c r="K446">
        <v>-51.664608750000006</v>
      </c>
      <c r="M446">
        <v>-0.46485831999999999</v>
      </c>
    </row>
    <row r="447" spans="1:13" x14ac:dyDescent="0.3">
      <c r="A447" t="s">
        <v>2715</v>
      </c>
      <c r="B447" t="s">
        <v>2695</v>
      </c>
      <c r="C447" t="s">
        <v>2762</v>
      </c>
      <c r="D447">
        <v>-67.450121222500002</v>
      </c>
      <c r="G447">
        <v>5.25</v>
      </c>
      <c r="I447" t="s">
        <v>2695</v>
      </c>
      <c r="J447" t="s">
        <v>2761</v>
      </c>
      <c r="K447">
        <v>-51.4437055</v>
      </c>
      <c r="M447">
        <v>5.16</v>
      </c>
    </row>
    <row r="448" spans="1:13" x14ac:dyDescent="0.3">
      <c r="A448" t="s">
        <v>2715</v>
      </c>
      <c r="B448" t="s">
        <v>2695</v>
      </c>
      <c r="C448" t="s">
        <v>2762</v>
      </c>
      <c r="D448">
        <v>-66.445014847500005</v>
      </c>
      <c r="G448">
        <v>5.68</v>
      </c>
      <c r="I448" t="s">
        <v>2695</v>
      </c>
      <c r="J448" t="s">
        <v>2761</v>
      </c>
      <c r="K448">
        <v>-51.387499999999996</v>
      </c>
      <c r="M448">
        <v>-0.81580938400000003</v>
      </c>
    </row>
    <row r="449" spans="1:13" x14ac:dyDescent="0.3">
      <c r="A449" t="s">
        <v>2715</v>
      </c>
      <c r="B449" t="s">
        <v>2695</v>
      </c>
      <c r="C449" t="s">
        <v>2762</v>
      </c>
      <c r="D449">
        <v>-65.945554294999994</v>
      </c>
      <c r="G449">
        <v>4.3600000000000003</v>
      </c>
      <c r="I449" t="s">
        <v>2695</v>
      </c>
      <c r="J449" t="s">
        <v>2761</v>
      </c>
      <c r="K449">
        <v>-50.88750000000001</v>
      </c>
      <c r="M449">
        <v>3.2468357640000001</v>
      </c>
    </row>
    <row r="450" spans="1:13" x14ac:dyDescent="0.3">
      <c r="A450" t="s">
        <v>2715</v>
      </c>
      <c r="B450" t="s">
        <v>2695</v>
      </c>
      <c r="C450" t="s">
        <v>2762</v>
      </c>
      <c r="D450">
        <v>-65.926998485000013</v>
      </c>
      <c r="G450">
        <v>5.89</v>
      </c>
      <c r="I450" t="s">
        <v>2695</v>
      </c>
      <c r="J450" t="s">
        <v>2761</v>
      </c>
      <c r="K450">
        <v>-50.554360875000008</v>
      </c>
      <c r="M450">
        <v>1.75</v>
      </c>
    </row>
    <row r="451" spans="1:13" x14ac:dyDescent="0.3">
      <c r="A451" t="s">
        <v>2715</v>
      </c>
      <c r="B451" t="s">
        <v>2695</v>
      </c>
      <c r="C451" t="s">
        <v>2762</v>
      </c>
      <c r="D451">
        <v>-65.877892154999984</v>
      </c>
      <c r="G451">
        <v>6.4167942839999998</v>
      </c>
      <c r="I451" t="s">
        <v>2695</v>
      </c>
      <c r="J451" t="s">
        <v>2761</v>
      </c>
      <c r="K451">
        <v>-49.844715000000001</v>
      </c>
      <c r="M451">
        <v>8.09</v>
      </c>
    </row>
    <row r="452" spans="1:13" x14ac:dyDescent="0.3">
      <c r="A452" t="s">
        <v>2715</v>
      </c>
      <c r="B452" t="s">
        <v>2695</v>
      </c>
      <c r="C452" t="s">
        <v>2762</v>
      </c>
      <c r="D452">
        <v>-63.995647927499995</v>
      </c>
      <c r="G452">
        <v>8.42</v>
      </c>
      <c r="I452" t="s">
        <v>2695</v>
      </c>
      <c r="J452" t="s">
        <v>2761</v>
      </c>
      <c r="K452">
        <v>-49.682072250000012</v>
      </c>
      <c r="M452">
        <v>5.21</v>
      </c>
    </row>
    <row r="453" spans="1:13" x14ac:dyDescent="0.3">
      <c r="A453" t="s">
        <v>2715</v>
      </c>
      <c r="B453" t="s">
        <v>2695</v>
      </c>
      <c r="C453" t="s">
        <v>2762</v>
      </c>
      <c r="D453">
        <v>-63.973999482500012</v>
      </c>
      <c r="G453">
        <v>6.02</v>
      </c>
      <c r="I453" t="s">
        <v>2695</v>
      </c>
      <c r="J453" t="s">
        <v>2761</v>
      </c>
      <c r="K453">
        <v>-49.537500000000001</v>
      </c>
      <c r="M453">
        <v>5.401063486</v>
      </c>
    </row>
    <row r="454" spans="1:13" x14ac:dyDescent="0.3">
      <c r="A454" t="s">
        <v>2715</v>
      </c>
      <c r="B454" t="s">
        <v>2695</v>
      </c>
      <c r="C454" t="s">
        <v>2762</v>
      </c>
      <c r="D454">
        <v>-62.916318312500017</v>
      </c>
      <c r="G454">
        <v>5.0599999999999996</v>
      </c>
      <c r="I454" t="s">
        <v>2695</v>
      </c>
      <c r="J454" t="s">
        <v>2761</v>
      </c>
      <c r="K454">
        <v>-49.449999999999996</v>
      </c>
      <c r="M454">
        <v>2.897333508</v>
      </c>
    </row>
    <row r="455" spans="1:13" x14ac:dyDescent="0.3">
      <c r="A455" t="s">
        <v>2715</v>
      </c>
      <c r="B455" t="s">
        <v>2695</v>
      </c>
      <c r="C455" t="s">
        <v>2762</v>
      </c>
      <c r="D455">
        <v>-61.191635124999998</v>
      </c>
      <c r="G455">
        <v>6.7974347110000002</v>
      </c>
      <c r="I455" t="s">
        <v>2695</v>
      </c>
      <c r="J455" t="s">
        <v>2761</v>
      </c>
      <c r="K455">
        <v>-49.425000000000004</v>
      </c>
      <c r="M455">
        <v>5.072076161</v>
      </c>
    </row>
    <row r="456" spans="1:13" x14ac:dyDescent="0.3">
      <c r="A456" t="s">
        <v>2715</v>
      </c>
      <c r="B456" t="s">
        <v>2695</v>
      </c>
      <c r="C456" t="s">
        <v>2762</v>
      </c>
      <c r="D456">
        <v>-61.037542550000005</v>
      </c>
      <c r="G456">
        <v>7.1</v>
      </c>
      <c r="I456" t="s">
        <v>2695</v>
      </c>
      <c r="J456" t="s">
        <v>2761</v>
      </c>
      <c r="K456">
        <v>-48.714509499999998</v>
      </c>
      <c r="M456">
        <v>7.6493825000000001E-2</v>
      </c>
    </row>
    <row r="457" spans="1:13" x14ac:dyDescent="0.3">
      <c r="A457" t="s">
        <v>2715</v>
      </c>
      <c r="B457" t="s">
        <v>2695</v>
      </c>
      <c r="C457" t="s">
        <v>2762</v>
      </c>
      <c r="D457">
        <v>-60.969504579999999</v>
      </c>
      <c r="G457">
        <v>5.14</v>
      </c>
      <c r="I457" t="s">
        <v>2695</v>
      </c>
      <c r="J457" t="s">
        <v>2761</v>
      </c>
      <c r="K457">
        <v>-48.512499999999996</v>
      </c>
      <c r="M457">
        <v>7.1451345750000002</v>
      </c>
    </row>
    <row r="458" spans="1:13" x14ac:dyDescent="0.3">
      <c r="A458" t="s">
        <v>2715</v>
      </c>
      <c r="B458" t="s">
        <v>2695</v>
      </c>
      <c r="C458" t="s">
        <v>2762</v>
      </c>
      <c r="D458">
        <v>-60.96903775000002</v>
      </c>
      <c r="G458">
        <v>6.5312558430000003</v>
      </c>
      <c r="I458" t="s">
        <v>2695</v>
      </c>
      <c r="J458" t="s">
        <v>2761</v>
      </c>
      <c r="K458">
        <v>-48.437500000000007</v>
      </c>
      <c r="M458">
        <v>6.106018154</v>
      </c>
    </row>
    <row r="459" spans="1:13" x14ac:dyDescent="0.3">
      <c r="A459" t="s">
        <v>2715</v>
      </c>
      <c r="B459" t="s">
        <v>2695</v>
      </c>
      <c r="C459" t="s">
        <v>2762</v>
      </c>
      <c r="D459">
        <v>-60.725186415000003</v>
      </c>
      <c r="G459">
        <v>2.75</v>
      </c>
      <c r="I459" t="s">
        <v>2695</v>
      </c>
      <c r="J459" t="s">
        <v>2761</v>
      </c>
      <c r="K459">
        <v>-48.262499999999996</v>
      </c>
      <c r="M459">
        <v>6.4322336260000004</v>
      </c>
    </row>
    <row r="460" spans="1:13" x14ac:dyDescent="0.3">
      <c r="A460" t="s">
        <v>2715</v>
      </c>
      <c r="B460" t="s">
        <v>2695</v>
      </c>
      <c r="C460" t="s">
        <v>2762</v>
      </c>
      <c r="D460">
        <v>-60.112101215000003</v>
      </c>
      <c r="G460">
        <v>5.5919840189999999</v>
      </c>
      <c r="I460" t="s">
        <v>2695</v>
      </c>
      <c r="J460" t="s">
        <v>2761</v>
      </c>
      <c r="K460">
        <v>-48.221211375000003</v>
      </c>
      <c r="M460">
        <v>1.4538079669999999</v>
      </c>
    </row>
    <row r="461" spans="1:13" x14ac:dyDescent="0.3">
      <c r="A461" t="s">
        <v>2715</v>
      </c>
      <c r="B461" t="s">
        <v>2695</v>
      </c>
      <c r="C461" t="s">
        <v>2762</v>
      </c>
      <c r="D461">
        <v>-60.015426682499999</v>
      </c>
      <c r="G461">
        <v>8.77</v>
      </c>
      <c r="I461" t="s">
        <v>2695</v>
      </c>
      <c r="J461" t="s">
        <v>2761</v>
      </c>
      <c r="K461">
        <v>-48.175260999999999</v>
      </c>
      <c r="M461">
        <v>3.752539466</v>
      </c>
    </row>
    <row r="462" spans="1:13" x14ac:dyDescent="0.3">
      <c r="A462" t="s">
        <v>2715</v>
      </c>
      <c r="B462" t="s">
        <v>2695</v>
      </c>
      <c r="C462" t="s">
        <v>2762</v>
      </c>
      <c r="D462">
        <v>-59.985828250000004</v>
      </c>
      <c r="G462">
        <v>5.4664398790000002</v>
      </c>
      <c r="I462" t="s">
        <v>2695</v>
      </c>
      <c r="J462" t="s">
        <v>2761</v>
      </c>
      <c r="K462">
        <v>-48.085386249999992</v>
      </c>
      <c r="M462">
        <v>7.2953639150000003</v>
      </c>
    </row>
    <row r="463" spans="1:13" x14ac:dyDescent="0.3">
      <c r="A463" t="s">
        <v>2715</v>
      </c>
      <c r="B463" t="s">
        <v>2695</v>
      </c>
      <c r="C463" t="s">
        <v>2762</v>
      </c>
      <c r="D463">
        <v>-59.695338960000022</v>
      </c>
      <c r="G463">
        <v>4.59</v>
      </c>
      <c r="I463" t="s">
        <v>2695</v>
      </c>
      <c r="J463" t="s">
        <v>2761</v>
      </c>
      <c r="K463">
        <v>-47.855180749999995</v>
      </c>
      <c r="M463">
        <v>-0.91725109500000002</v>
      </c>
    </row>
    <row r="464" spans="1:13" x14ac:dyDescent="0.3">
      <c r="A464" t="s">
        <v>2715</v>
      </c>
      <c r="B464" t="s">
        <v>2695</v>
      </c>
      <c r="C464" t="s">
        <v>2762</v>
      </c>
      <c r="D464">
        <v>-59.660208410000003</v>
      </c>
      <c r="G464">
        <v>-2.0447229469999999</v>
      </c>
      <c r="I464" t="s">
        <v>2695</v>
      </c>
      <c r="J464" t="s">
        <v>2761</v>
      </c>
      <c r="K464">
        <v>-47.725357874999993</v>
      </c>
      <c r="M464">
        <v>5.41</v>
      </c>
    </row>
    <row r="465" spans="1:13" x14ac:dyDescent="0.3">
      <c r="A465" t="s">
        <v>2715</v>
      </c>
      <c r="B465" t="s">
        <v>2695</v>
      </c>
      <c r="C465" t="s">
        <v>2762</v>
      </c>
      <c r="D465">
        <v>-58.320662702499995</v>
      </c>
      <c r="G465">
        <v>6.65</v>
      </c>
      <c r="I465" t="s">
        <v>2695</v>
      </c>
      <c r="J465" t="s">
        <v>2761</v>
      </c>
      <c r="K465">
        <v>-47.660550625000006</v>
      </c>
      <c r="M465">
        <v>-1.3268812729999999</v>
      </c>
    </row>
    <row r="466" spans="1:13" x14ac:dyDescent="0.3">
      <c r="A466" t="s">
        <v>2715</v>
      </c>
      <c r="B466" t="s">
        <v>2695</v>
      </c>
      <c r="C466" t="s">
        <v>2762</v>
      </c>
      <c r="D466">
        <v>-58.042402220000007</v>
      </c>
      <c r="G466">
        <v>7.21</v>
      </c>
      <c r="I466" t="s">
        <v>2695</v>
      </c>
      <c r="J466" t="s">
        <v>2761</v>
      </c>
      <c r="K466">
        <v>-47.5397745</v>
      </c>
      <c r="M466">
        <v>0.56348616100000004</v>
      </c>
    </row>
    <row r="467" spans="1:13" x14ac:dyDescent="0.3">
      <c r="A467" t="s">
        <v>2715</v>
      </c>
      <c r="B467" t="s">
        <v>2695</v>
      </c>
      <c r="C467" t="s">
        <v>2762</v>
      </c>
      <c r="D467">
        <v>-57.694404115000005</v>
      </c>
      <c r="G467">
        <v>6.27</v>
      </c>
      <c r="I467" t="s">
        <v>2695</v>
      </c>
      <c r="J467" t="s">
        <v>2761</v>
      </c>
      <c r="K467">
        <v>-47.512499999999996</v>
      </c>
      <c r="M467">
        <v>-0.16115733600000001</v>
      </c>
    </row>
    <row r="468" spans="1:13" x14ac:dyDescent="0.3">
      <c r="A468" t="s">
        <v>2715</v>
      </c>
      <c r="B468" t="s">
        <v>2695</v>
      </c>
      <c r="C468" t="s">
        <v>2762</v>
      </c>
      <c r="D468">
        <v>-57.601195772500013</v>
      </c>
      <c r="G468">
        <v>9.4985162150000004</v>
      </c>
      <c r="I468" t="s">
        <v>2695</v>
      </c>
      <c r="J468" t="s">
        <v>2761</v>
      </c>
      <c r="K468">
        <v>-47.462499999999999</v>
      </c>
      <c r="M468">
        <v>-2.895262486</v>
      </c>
    </row>
    <row r="469" spans="1:13" x14ac:dyDescent="0.3">
      <c r="A469" t="s">
        <v>2715</v>
      </c>
      <c r="B469" t="s">
        <v>2695</v>
      </c>
      <c r="C469" t="s">
        <v>2762</v>
      </c>
      <c r="D469">
        <v>-56.737233582500018</v>
      </c>
      <c r="G469">
        <v>6.86</v>
      </c>
      <c r="I469" t="s">
        <v>2695</v>
      </c>
      <c r="J469" t="s">
        <v>2761</v>
      </c>
      <c r="K469">
        <v>-47.449999999999996</v>
      </c>
      <c r="M469">
        <v>1.547400069</v>
      </c>
    </row>
    <row r="470" spans="1:13" x14ac:dyDescent="0.3">
      <c r="A470" t="s">
        <v>2715</v>
      </c>
      <c r="B470" t="s">
        <v>2695</v>
      </c>
      <c r="C470" t="s">
        <v>2762</v>
      </c>
      <c r="D470">
        <v>-56.098479330000011</v>
      </c>
      <c r="G470">
        <v>3.3765352310000001</v>
      </c>
      <c r="I470" t="s">
        <v>2695</v>
      </c>
      <c r="J470" t="s">
        <v>2761</v>
      </c>
      <c r="K470">
        <v>-47.087499999999999</v>
      </c>
      <c r="M470">
        <v>1.433289115</v>
      </c>
    </row>
    <row r="471" spans="1:13" x14ac:dyDescent="0.3">
      <c r="A471" t="s">
        <v>2715</v>
      </c>
      <c r="B471" t="s">
        <v>2695</v>
      </c>
      <c r="C471" t="s">
        <v>2762</v>
      </c>
      <c r="D471">
        <v>-54.811928837500012</v>
      </c>
      <c r="G471">
        <v>6.3167777620000001</v>
      </c>
      <c r="I471" t="s">
        <v>2695</v>
      </c>
      <c r="J471" t="s">
        <v>2761</v>
      </c>
      <c r="K471">
        <v>-46.949999999999996</v>
      </c>
      <c r="M471">
        <v>-0.34689896599999998</v>
      </c>
    </row>
    <row r="472" spans="1:13" x14ac:dyDescent="0.3">
      <c r="A472" t="s">
        <v>2715</v>
      </c>
      <c r="B472" t="s">
        <v>2695</v>
      </c>
      <c r="C472" t="s">
        <v>2762</v>
      </c>
      <c r="D472">
        <v>-54.485795302500016</v>
      </c>
      <c r="G472">
        <v>9.16</v>
      </c>
      <c r="I472" t="s">
        <v>2695</v>
      </c>
      <c r="J472" t="s">
        <v>2761</v>
      </c>
      <c r="K472">
        <v>-46.871518875</v>
      </c>
      <c r="M472">
        <v>5.64</v>
      </c>
    </row>
    <row r="473" spans="1:13" x14ac:dyDescent="0.3">
      <c r="A473" t="s">
        <v>2715</v>
      </c>
      <c r="B473" t="s">
        <v>2695</v>
      </c>
      <c r="C473" t="s">
        <v>2762</v>
      </c>
      <c r="D473">
        <v>-54.417701139999998</v>
      </c>
      <c r="G473">
        <v>3.2054728350000001</v>
      </c>
      <c r="I473" t="s">
        <v>2695</v>
      </c>
      <c r="J473" t="s">
        <v>2761</v>
      </c>
      <c r="K473">
        <v>-46.65</v>
      </c>
      <c r="M473">
        <v>4.8262735890000004</v>
      </c>
    </row>
    <row r="474" spans="1:13" x14ac:dyDescent="0.3">
      <c r="A474" t="s">
        <v>2715</v>
      </c>
      <c r="B474" t="s">
        <v>2695</v>
      </c>
      <c r="C474" t="s">
        <v>2762</v>
      </c>
      <c r="D474">
        <v>-54.349719362500004</v>
      </c>
      <c r="G474">
        <v>3.92</v>
      </c>
      <c r="I474" t="s">
        <v>2695</v>
      </c>
      <c r="J474" t="s">
        <v>2761</v>
      </c>
      <c r="K474">
        <v>-46.489532250000003</v>
      </c>
      <c r="M474">
        <v>2.21</v>
      </c>
    </row>
    <row r="475" spans="1:13" x14ac:dyDescent="0.3">
      <c r="A475" t="s">
        <v>2715</v>
      </c>
      <c r="B475" t="s">
        <v>2695</v>
      </c>
      <c r="C475" t="s">
        <v>2762</v>
      </c>
      <c r="D475">
        <v>-54.280639897500016</v>
      </c>
      <c r="G475">
        <v>4.4177687639999998</v>
      </c>
      <c r="I475" t="s">
        <v>2695</v>
      </c>
      <c r="J475" t="s">
        <v>2761</v>
      </c>
      <c r="K475">
        <v>-46.375000000000007</v>
      </c>
      <c r="M475">
        <v>6.5694843069999997</v>
      </c>
    </row>
    <row r="476" spans="1:13" x14ac:dyDescent="0.3">
      <c r="A476" t="s">
        <v>2715</v>
      </c>
      <c r="B476" t="s">
        <v>2695</v>
      </c>
      <c r="C476" t="s">
        <v>2762</v>
      </c>
      <c r="D476">
        <v>-54.179984115000003</v>
      </c>
      <c r="G476">
        <v>5.0156221590000003</v>
      </c>
      <c r="I476" t="s">
        <v>2695</v>
      </c>
      <c r="J476" t="s">
        <v>2761</v>
      </c>
      <c r="K476">
        <v>-45.773006000000002</v>
      </c>
      <c r="M476">
        <v>3.52</v>
      </c>
    </row>
    <row r="477" spans="1:13" x14ac:dyDescent="0.3">
      <c r="A477" t="s">
        <v>2715</v>
      </c>
      <c r="B477" t="s">
        <v>2695</v>
      </c>
      <c r="C477" t="s">
        <v>2762</v>
      </c>
      <c r="D477">
        <v>-54.106947514999995</v>
      </c>
      <c r="G477">
        <v>8</v>
      </c>
      <c r="I477" t="s">
        <v>2695</v>
      </c>
      <c r="J477" t="s">
        <v>2761</v>
      </c>
      <c r="K477">
        <v>-45.65</v>
      </c>
      <c r="M477">
        <v>-2.4557819830000001</v>
      </c>
    </row>
    <row r="478" spans="1:13" x14ac:dyDescent="0.3">
      <c r="A478" t="s">
        <v>2715</v>
      </c>
      <c r="B478" t="s">
        <v>2695</v>
      </c>
      <c r="C478" t="s">
        <v>2762</v>
      </c>
      <c r="D478">
        <v>-53.494416960000002</v>
      </c>
      <c r="G478">
        <v>3.9466699350000001</v>
      </c>
      <c r="I478" t="s">
        <v>2695</v>
      </c>
      <c r="J478" t="s">
        <v>2761</v>
      </c>
      <c r="K478">
        <v>-45.529474499999999</v>
      </c>
      <c r="M478">
        <v>-0.92919099999999999</v>
      </c>
    </row>
    <row r="479" spans="1:13" x14ac:dyDescent="0.3">
      <c r="A479" t="s">
        <v>2715</v>
      </c>
      <c r="B479" t="s">
        <v>2695</v>
      </c>
      <c r="C479" t="s">
        <v>2762</v>
      </c>
      <c r="D479">
        <v>-53.457494165000007</v>
      </c>
      <c r="G479">
        <v>9.19</v>
      </c>
      <c r="I479" t="s">
        <v>2695</v>
      </c>
      <c r="J479" t="s">
        <v>2761</v>
      </c>
      <c r="K479">
        <v>-45.487500000000004</v>
      </c>
      <c r="M479">
        <v>3.2952063969999998</v>
      </c>
    </row>
    <row r="480" spans="1:13" x14ac:dyDescent="0.3">
      <c r="A480" t="s">
        <v>2715</v>
      </c>
      <c r="B480" t="s">
        <v>2695</v>
      </c>
      <c r="C480" t="s">
        <v>2762</v>
      </c>
      <c r="D480">
        <v>-53.353890892500011</v>
      </c>
      <c r="G480">
        <v>5.43</v>
      </c>
      <c r="I480" t="s">
        <v>2695</v>
      </c>
      <c r="J480" t="s">
        <v>2761</v>
      </c>
      <c r="K480">
        <v>-44.92499999999999</v>
      </c>
      <c r="M480">
        <v>0.40681997800000003</v>
      </c>
    </row>
    <row r="481" spans="1:13" x14ac:dyDescent="0.3">
      <c r="A481" t="s">
        <v>2715</v>
      </c>
      <c r="B481" t="s">
        <v>2695</v>
      </c>
      <c r="C481" t="s">
        <v>2762</v>
      </c>
      <c r="D481">
        <v>-52.869893515000008</v>
      </c>
      <c r="G481">
        <v>4.05</v>
      </c>
      <c r="I481" t="s">
        <v>2695</v>
      </c>
      <c r="J481" t="s">
        <v>2761</v>
      </c>
      <c r="K481">
        <v>-44.912500000000001</v>
      </c>
      <c r="M481">
        <v>-5.6964437999999999E-2</v>
      </c>
    </row>
    <row r="482" spans="1:13" x14ac:dyDescent="0.3">
      <c r="A482" t="s">
        <v>2715</v>
      </c>
      <c r="B482" t="s">
        <v>2695</v>
      </c>
      <c r="C482" t="s">
        <v>2762</v>
      </c>
      <c r="D482">
        <v>-52.295673049999998</v>
      </c>
      <c r="G482">
        <v>7.1330110549999999</v>
      </c>
      <c r="I482" t="s">
        <v>2695</v>
      </c>
      <c r="J482" t="s">
        <v>2761</v>
      </c>
      <c r="K482">
        <v>-44.525000000000013</v>
      </c>
      <c r="M482">
        <v>0.91960012700000004</v>
      </c>
    </row>
    <row r="483" spans="1:13" x14ac:dyDescent="0.3">
      <c r="A483" t="s">
        <v>2715</v>
      </c>
      <c r="B483" t="s">
        <v>2695</v>
      </c>
      <c r="C483" t="s">
        <v>2762</v>
      </c>
      <c r="D483">
        <v>-51.305451203750003</v>
      </c>
      <c r="G483">
        <v>5.4245378830000002</v>
      </c>
      <c r="I483" t="s">
        <v>2695</v>
      </c>
      <c r="J483" t="s">
        <v>2761</v>
      </c>
      <c r="K483">
        <v>-44.525000000000013</v>
      </c>
      <c r="M483">
        <v>0.90360723799999998</v>
      </c>
    </row>
    <row r="484" spans="1:13" x14ac:dyDescent="0.3">
      <c r="A484" t="s">
        <v>2715</v>
      </c>
      <c r="B484" t="s">
        <v>2695</v>
      </c>
      <c r="C484" t="s">
        <v>2762</v>
      </c>
      <c r="D484">
        <v>-50.701685199999993</v>
      </c>
      <c r="G484">
        <v>4.7867650050000004</v>
      </c>
      <c r="I484" t="s">
        <v>2695</v>
      </c>
      <c r="J484" t="s">
        <v>2761</v>
      </c>
      <c r="K484">
        <v>-44.500000000000007</v>
      </c>
      <c r="M484">
        <v>2.7737799769999998</v>
      </c>
    </row>
    <row r="485" spans="1:13" x14ac:dyDescent="0.3">
      <c r="A485" t="s">
        <v>2715</v>
      </c>
      <c r="B485" t="s">
        <v>2695</v>
      </c>
      <c r="C485" t="s">
        <v>2762</v>
      </c>
      <c r="D485">
        <v>-50.470615270000003</v>
      </c>
      <c r="G485">
        <v>5.2436956700000001</v>
      </c>
      <c r="I485" t="s">
        <v>2695</v>
      </c>
      <c r="J485" t="s">
        <v>2761</v>
      </c>
      <c r="K485">
        <v>-44.203600999999999</v>
      </c>
      <c r="M485">
        <v>4.9877749109999998</v>
      </c>
    </row>
    <row r="486" spans="1:13" x14ac:dyDescent="0.3">
      <c r="A486" t="s">
        <v>2715</v>
      </c>
      <c r="B486" t="s">
        <v>2695</v>
      </c>
      <c r="C486" t="s">
        <v>2762</v>
      </c>
      <c r="D486">
        <v>-49.273822400000007</v>
      </c>
      <c r="G486">
        <v>7.2220788010000003</v>
      </c>
      <c r="I486" t="s">
        <v>2695</v>
      </c>
      <c r="J486" t="s">
        <v>2761</v>
      </c>
      <c r="K486">
        <v>-43.886470625000008</v>
      </c>
      <c r="M486">
        <v>-0.73</v>
      </c>
    </row>
    <row r="487" spans="1:13" x14ac:dyDescent="0.3">
      <c r="A487" t="s">
        <v>2715</v>
      </c>
      <c r="B487" t="s">
        <v>2695</v>
      </c>
      <c r="C487" t="s">
        <v>2762</v>
      </c>
      <c r="D487">
        <v>-49.234501072500002</v>
      </c>
      <c r="G487">
        <v>5.29</v>
      </c>
      <c r="I487" t="s">
        <v>2695</v>
      </c>
      <c r="J487" t="s">
        <v>2761</v>
      </c>
      <c r="K487">
        <v>-43.776128500000006</v>
      </c>
      <c r="M487">
        <v>-0.122695718</v>
      </c>
    </row>
    <row r="488" spans="1:13" x14ac:dyDescent="0.3">
      <c r="A488" t="s">
        <v>2715</v>
      </c>
      <c r="B488" t="s">
        <v>2695</v>
      </c>
      <c r="C488" t="s">
        <v>2762</v>
      </c>
      <c r="D488">
        <v>-48.968308555</v>
      </c>
      <c r="G488">
        <v>-1.2188266489999999</v>
      </c>
      <c r="I488" t="s">
        <v>2695</v>
      </c>
      <c r="J488" t="s">
        <v>2761</v>
      </c>
      <c r="K488">
        <v>-43.687500000000007</v>
      </c>
      <c r="M488">
        <v>5.0049874790000004</v>
      </c>
    </row>
    <row r="489" spans="1:13" x14ac:dyDescent="0.3">
      <c r="A489" t="s">
        <v>2715</v>
      </c>
      <c r="B489" t="s">
        <v>2695</v>
      </c>
      <c r="C489" t="s">
        <v>2762</v>
      </c>
      <c r="D489">
        <v>-48.851075757500006</v>
      </c>
      <c r="G489">
        <v>4.1836923280000002</v>
      </c>
      <c r="I489" t="s">
        <v>2695</v>
      </c>
      <c r="J489" t="s">
        <v>2761</v>
      </c>
      <c r="K489">
        <v>-43.63750000000001</v>
      </c>
      <c r="M489">
        <v>0.81650156399999996</v>
      </c>
    </row>
    <row r="490" spans="1:13" x14ac:dyDescent="0.3">
      <c r="A490" t="s">
        <v>2715</v>
      </c>
      <c r="B490" t="s">
        <v>2695</v>
      </c>
      <c r="C490" t="s">
        <v>2762</v>
      </c>
      <c r="D490">
        <v>-48.062546880000006</v>
      </c>
      <c r="G490">
        <v>5.372867243</v>
      </c>
      <c r="I490" t="s">
        <v>2695</v>
      </c>
      <c r="J490" t="s">
        <v>2761</v>
      </c>
      <c r="K490">
        <v>-43.631587875000001</v>
      </c>
      <c r="M490">
        <v>5.27</v>
      </c>
    </row>
    <row r="491" spans="1:13" x14ac:dyDescent="0.3">
      <c r="A491" t="s">
        <v>2715</v>
      </c>
      <c r="B491" t="s">
        <v>2695</v>
      </c>
      <c r="C491" t="s">
        <v>2762</v>
      </c>
      <c r="D491">
        <v>-47.981137938750003</v>
      </c>
      <c r="G491">
        <v>6.9397719420000001</v>
      </c>
      <c r="I491" t="s">
        <v>2695</v>
      </c>
      <c r="J491" t="s">
        <v>2761</v>
      </c>
      <c r="K491">
        <v>-43.437500000000007</v>
      </c>
      <c r="M491">
        <v>5.7892292049999998</v>
      </c>
    </row>
    <row r="492" spans="1:13" x14ac:dyDescent="0.3">
      <c r="A492" t="s">
        <v>2715</v>
      </c>
      <c r="B492" t="s">
        <v>2695</v>
      </c>
      <c r="C492" t="s">
        <v>2762</v>
      </c>
      <c r="D492">
        <v>-47.949503836249995</v>
      </c>
      <c r="G492">
        <v>4.4551010150000003</v>
      </c>
      <c r="I492" t="s">
        <v>2695</v>
      </c>
      <c r="J492" t="s">
        <v>2761</v>
      </c>
      <c r="K492">
        <v>-42.925000000000004</v>
      </c>
      <c r="M492">
        <v>4.0697583960000001</v>
      </c>
    </row>
    <row r="493" spans="1:13" x14ac:dyDescent="0.3">
      <c r="A493" t="s">
        <v>2715</v>
      </c>
      <c r="B493" t="s">
        <v>2695</v>
      </c>
      <c r="C493" t="s">
        <v>2762</v>
      </c>
      <c r="D493">
        <v>-47.906489842500001</v>
      </c>
      <c r="G493">
        <v>10.365879319999999</v>
      </c>
      <c r="I493" t="s">
        <v>2695</v>
      </c>
      <c r="J493" t="s">
        <v>2761</v>
      </c>
      <c r="K493">
        <v>-42.366652875000007</v>
      </c>
      <c r="M493">
        <v>5.846348087</v>
      </c>
    </row>
    <row r="494" spans="1:13" x14ac:dyDescent="0.3">
      <c r="A494" t="s">
        <v>2715</v>
      </c>
      <c r="B494" t="s">
        <v>2695</v>
      </c>
      <c r="C494" t="s">
        <v>2762</v>
      </c>
      <c r="D494">
        <v>-46.909005855000011</v>
      </c>
      <c r="G494">
        <v>1.9905319109999999</v>
      </c>
      <c r="I494" t="s">
        <v>2695</v>
      </c>
      <c r="J494" t="s">
        <v>2761</v>
      </c>
      <c r="K494">
        <v>-41.329012499999997</v>
      </c>
      <c r="M494">
        <v>1.733371789</v>
      </c>
    </row>
    <row r="495" spans="1:13" x14ac:dyDescent="0.3">
      <c r="A495" t="s">
        <v>2715</v>
      </c>
      <c r="B495" t="s">
        <v>2695</v>
      </c>
      <c r="C495" t="s">
        <v>2762</v>
      </c>
      <c r="D495">
        <v>-44.834492050000001</v>
      </c>
      <c r="G495">
        <v>1.6365028129999999</v>
      </c>
      <c r="I495" t="s">
        <v>2695</v>
      </c>
      <c r="J495" t="s">
        <v>2761</v>
      </c>
      <c r="K495">
        <v>-40.842344250000004</v>
      </c>
      <c r="M495">
        <v>3.9924647470000001</v>
      </c>
    </row>
    <row r="496" spans="1:13" x14ac:dyDescent="0.3">
      <c r="A496" t="s">
        <v>2715</v>
      </c>
      <c r="B496" t="s">
        <v>2695</v>
      </c>
      <c r="C496" t="s">
        <v>2762</v>
      </c>
      <c r="D496">
        <v>-44.293538227500001</v>
      </c>
      <c r="G496">
        <v>5.9534398639999999</v>
      </c>
      <c r="I496" t="s">
        <v>2695</v>
      </c>
      <c r="J496" t="s">
        <v>2761</v>
      </c>
      <c r="K496">
        <v>-40.583539499999993</v>
      </c>
      <c r="M496">
        <v>6.63</v>
      </c>
    </row>
    <row r="497" spans="1:13" x14ac:dyDescent="0.3">
      <c r="A497" t="s">
        <v>2715</v>
      </c>
      <c r="B497" t="s">
        <v>2695</v>
      </c>
      <c r="C497" t="s">
        <v>2762</v>
      </c>
      <c r="D497">
        <v>-44.063615352500001</v>
      </c>
      <c r="G497">
        <v>6.02</v>
      </c>
      <c r="I497" t="s">
        <v>2695</v>
      </c>
      <c r="J497" t="s">
        <v>2761</v>
      </c>
      <c r="K497">
        <v>-40.300000000000004</v>
      </c>
      <c r="M497">
        <v>3.5513198770000001</v>
      </c>
    </row>
    <row r="498" spans="1:13" x14ac:dyDescent="0.3">
      <c r="A498" t="s">
        <v>2715</v>
      </c>
      <c r="B498" t="s">
        <v>2695</v>
      </c>
      <c r="C498" t="s">
        <v>2762</v>
      </c>
      <c r="D498">
        <v>-43.930632047500005</v>
      </c>
      <c r="G498">
        <v>8.31</v>
      </c>
      <c r="I498" t="s">
        <v>2695</v>
      </c>
      <c r="J498" t="s">
        <v>2761</v>
      </c>
      <c r="K498">
        <v>-40.250000000000007</v>
      </c>
      <c r="M498">
        <v>1.5997057779999999</v>
      </c>
    </row>
    <row r="499" spans="1:13" x14ac:dyDescent="0.3">
      <c r="A499" t="s">
        <v>2715</v>
      </c>
      <c r="B499" t="s">
        <v>2695</v>
      </c>
      <c r="C499" t="s">
        <v>2762</v>
      </c>
      <c r="D499">
        <v>-43.732703407500004</v>
      </c>
      <c r="G499">
        <v>4.96</v>
      </c>
      <c r="I499" t="s">
        <v>2695</v>
      </c>
      <c r="J499" t="s">
        <v>2761</v>
      </c>
      <c r="K499">
        <v>-40.212499999999999</v>
      </c>
      <c r="M499">
        <v>5.067095804</v>
      </c>
    </row>
    <row r="500" spans="1:13" x14ac:dyDescent="0.3">
      <c r="A500" t="s">
        <v>2715</v>
      </c>
      <c r="B500" t="s">
        <v>2695</v>
      </c>
      <c r="C500" t="s">
        <v>2762</v>
      </c>
      <c r="D500">
        <v>-41.807857985000005</v>
      </c>
      <c r="G500">
        <v>4.6741738919999998</v>
      </c>
      <c r="I500" t="s">
        <v>2695</v>
      </c>
      <c r="J500" t="s">
        <v>2761</v>
      </c>
      <c r="K500">
        <v>-39.024999999999999</v>
      </c>
      <c r="M500">
        <v>0.53595062599999999</v>
      </c>
    </row>
    <row r="501" spans="1:13" x14ac:dyDescent="0.3">
      <c r="A501" t="s">
        <v>2715</v>
      </c>
      <c r="B501" t="s">
        <v>2695</v>
      </c>
      <c r="C501" t="s">
        <v>2762</v>
      </c>
      <c r="D501">
        <v>-40.666274587500006</v>
      </c>
      <c r="G501">
        <v>7.2391474010000003</v>
      </c>
      <c r="I501" t="s">
        <v>2695</v>
      </c>
      <c r="J501" t="s">
        <v>2761</v>
      </c>
      <c r="K501">
        <v>-38.863387499999995</v>
      </c>
      <c r="M501">
        <v>-0.84</v>
      </c>
    </row>
    <row r="502" spans="1:13" x14ac:dyDescent="0.3">
      <c r="A502" t="s">
        <v>2715</v>
      </c>
      <c r="B502" t="s">
        <v>2695</v>
      </c>
      <c r="C502" t="s">
        <v>2762</v>
      </c>
      <c r="D502">
        <v>-39.731826755000007</v>
      </c>
      <c r="G502">
        <v>-0.17496372299999999</v>
      </c>
      <c r="I502" t="s">
        <v>2695</v>
      </c>
      <c r="J502" t="s">
        <v>2761</v>
      </c>
      <c r="K502">
        <v>-38.800000000000004</v>
      </c>
      <c r="M502">
        <v>6.6429678399999998</v>
      </c>
    </row>
    <row r="503" spans="1:13" x14ac:dyDescent="0.3">
      <c r="A503" t="s">
        <v>2715</v>
      </c>
      <c r="B503" t="s">
        <v>2695</v>
      </c>
      <c r="C503" t="s">
        <v>2762</v>
      </c>
      <c r="D503">
        <v>-39.339045274999997</v>
      </c>
      <c r="G503">
        <v>4.7682935710000001</v>
      </c>
      <c r="I503" t="s">
        <v>2695</v>
      </c>
      <c r="J503" t="s">
        <v>2761</v>
      </c>
      <c r="K503">
        <v>-38.387499999999996</v>
      </c>
      <c r="M503">
        <v>6.8856542919999999</v>
      </c>
    </row>
    <row r="504" spans="1:13" x14ac:dyDescent="0.3">
      <c r="A504" t="s">
        <v>2715</v>
      </c>
      <c r="B504" t="s">
        <v>2695</v>
      </c>
      <c r="C504" t="s">
        <v>2762</v>
      </c>
      <c r="D504">
        <v>-38.592927174999993</v>
      </c>
      <c r="G504">
        <v>5.6599003440000004</v>
      </c>
      <c r="I504" t="s">
        <v>2695</v>
      </c>
      <c r="J504" t="s">
        <v>2761</v>
      </c>
      <c r="K504">
        <v>-37.712499999999999</v>
      </c>
      <c r="M504">
        <v>6.1196805550000004</v>
      </c>
    </row>
    <row r="505" spans="1:13" x14ac:dyDescent="0.3">
      <c r="A505" t="s">
        <v>2715</v>
      </c>
      <c r="B505" t="s">
        <v>2695</v>
      </c>
      <c r="C505" t="s">
        <v>2762</v>
      </c>
      <c r="D505">
        <v>-37.97757198</v>
      </c>
      <c r="G505">
        <v>4.1919834649999999</v>
      </c>
      <c r="I505" t="s">
        <v>2695</v>
      </c>
      <c r="J505" t="s">
        <v>2761</v>
      </c>
      <c r="K505">
        <v>-37.287500000000001</v>
      </c>
      <c r="M505">
        <v>6.6186021530000003</v>
      </c>
    </row>
    <row r="506" spans="1:13" x14ac:dyDescent="0.3">
      <c r="A506" t="s">
        <v>2715</v>
      </c>
      <c r="B506" t="s">
        <v>2695</v>
      </c>
      <c r="C506" t="s">
        <v>2762</v>
      </c>
      <c r="D506">
        <v>-36.838744290000001</v>
      </c>
      <c r="G506">
        <v>6.2343631159999999</v>
      </c>
      <c r="I506" t="s">
        <v>2695</v>
      </c>
      <c r="J506" t="s">
        <v>2761</v>
      </c>
      <c r="K506">
        <v>-37.009187500000003</v>
      </c>
      <c r="M506">
        <v>5.5599126349999999</v>
      </c>
    </row>
    <row r="507" spans="1:13" x14ac:dyDescent="0.3">
      <c r="A507" t="s">
        <v>2715</v>
      </c>
      <c r="B507" t="s">
        <v>2695</v>
      </c>
      <c r="C507" t="s">
        <v>2762</v>
      </c>
      <c r="D507">
        <v>-36.282545692500001</v>
      </c>
      <c r="G507">
        <v>4.55</v>
      </c>
      <c r="I507" t="s">
        <v>2695</v>
      </c>
      <c r="J507" t="s">
        <v>2761</v>
      </c>
      <c r="K507">
        <v>-36.550000000000004</v>
      </c>
      <c r="M507">
        <v>4.1106608509999996</v>
      </c>
    </row>
    <row r="508" spans="1:13" x14ac:dyDescent="0.3">
      <c r="A508" t="s">
        <v>2715</v>
      </c>
      <c r="B508" t="s">
        <v>2695</v>
      </c>
      <c r="C508" t="s">
        <v>2762</v>
      </c>
      <c r="D508">
        <v>-33.335017245000003</v>
      </c>
      <c r="G508">
        <v>8.01</v>
      </c>
      <c r="I508" t="s">
        <v>2695</v>
      </c>
      <c r="J508" t="s">
        <v>2761</v>
      </c>
      <c r="K508">
        <v>-36.087676499999993</v>
      </c>
      <c r="M508">
        <v>2.79</v>
      </c>
    </row>
    <row r="509" spans="1:13" x14ac:dyDescent="0.3">
      <c r="A509" t="s">
        <v>2715</v>
      </c>
      <c r="B509" t="s">
        <v>2695</v>
      </c>
      <c r="C509" t="s">
        <v>2762</v>
      </c>
      <c r="D509">
        <v>-32.68426487</v>
      </c>
      <c r="G509">
        <v>4.24</v>
      </c>
      <c r="I509" t="s">
        <v>2695</v>
      </c>
      <c r="J509" t="s">
        <v>2761</v>
      </c>
      <c r="K509">
        <v>-35.687401000000001</v>
      </c>
      <c r="M509">
        <v>8.1565766830000008</v>
      </c>
    </row>
    <row r="510" spans="1:13" x14ac:dyDescent="0.3">
      <c r="A510" t="s">
        <v>2715</v>
      </c>
      <c r="B510" t="s">
        <v>2695</v>
      </c>
      <c r="C510" t="s">
        <v>2762</v>
      </c>
      <c r="D510">
        <v>-32.127526870000004</v>
      </c>
      <c r="G510">
        <v>7.1613572760000004</v>
      </c>
      <c r="I510" t="s">
        <v>2695</v>
      </c>
      <c r="J510" t="s">
        <v>2761</v>
      </c>
      <c r="K510">
        <v>-35.448034</v>
      </c>
      <c r="M510">
        <v>5.67</v>
      </c>
    </row>
    <row r="511" spans="1:13" x14ac:dyDescent="0.3">
      <c r="A511" t="s">
        <v>2715</v>
      </c>
      <c r="B511" t="s">
        <v>2695</v>
      </c>
      <c r="C511" t="s">
        <v>2762</v>
      </c>
      <c r="D511">
        <v>-31.731274650000003</v>
      </c>
      <c r="G511">
        <v>5.9508671089999998</v>
      </c>
      <c r="I511" t="s">
        <v>2695</v>
      </c>
      <c r="J511" t="s">
        <v>2761</v>
      </c>
      <c r="K511">
        <v>-35.162500000000001</v>
      </c>
      <c r="M511">
        <v>6.509839586</v>
      </c>
    </row>
    <row r="512" spans="1:13" x14ac:dyDescent="0.3">
      <c r="A512" t="s">
        <v>2715</v>
      </c>
      <c r="B512" t="s">
        <v>2695</v>
      </c>
      <c r="C512" t="s">
        <v>2762</v>
      </c>
      <c r="D512">
        <v>-29.938845830000005</v>
      </c>
      <c r="G512">
        <v>0.80374987600000003</v>
      </c>
      <c r="I512" t="s">
        <v>2695</v>
      </c>
      <c r="J512" t="s">
        <v>2761</v>
      </c>
      <c r="K512">
        <v>-34.88750000000001</v>
      </c>
      <c r="M512">
        <v>6.6481148829999999</v>
      </c>
    </row>
    <row r="513" spans="1:13" x14ac:dyDescent="0.3">
      <c r="A513" t="s">
        <v>2715</v>
      </c>
      <c r="B513" t="s">
        <v>2695</v>
      </c>
      <c r="C513" t="s">
        <v>2762</v>
      </c>
      <c r="D513">
        <v>-29.846169723750002</v>
      </c>
      <c r="G513">
        <v>4.5339866860000004</v>
      </c>
      <c r="I513" t="s">
        <v>2695</v>
      </c>
      <c r="J513" t="s">
        <v>2761</v>
      </c>
      <c r="K513">
        <v>-34.874999999999993</v>
      </c>
      <c r="M513">
        <v>3.7017147690000001</v>
      </c>
    </row>
    <row r="514" spans="1:13" x14ac:dyDescent="0.3">
      <c r="A514" t="s">
        <v>2715</v>
      </c>
      <c r="B514" t="s">
        <v>2695</v>
      </c>
      <c r="C514" t="s">
        <v>2762</v>
      </c>
      <c r="D514">
        <v>-24.938453615</v>
      </c>
      <c r="G514">
        <v>0.36959094199999998</v>
      </c>
      <c r="I514" t="s">
        <v>2695</v>
      </c>
      <c r="J514" t="s">
        <v>2761</v>
      </c>
      <c r="K514">
        <v>-34.537500000000001</v>
      </c>
      <c r="M514">
        <v>6.9645427370000004</v>
      </c>
    </row>
    <row r="515" spans="1:13" x14ac:dyDescent="0.3">
      <c r="A515" t="s">
        <v>2715</v>
      </c>
      <c r="B515" t="s">
        <v>2695</v>
      </c>
      <c r="C515" t="s">
        <v>2762</v>
      </c>
      <c r="D515">
        <v>-23.893925585000012</v>
      </c>
      <c r="G515">
        <v>0.69313988800000004</v>
      </c>
      <c r="I515" t="s">
        <v>2695</v>
      </c>
      <c r="J515" t="s">
        <v>2761</v>
      </c>
      <c r="K515">
        <v>-34.500000000000007</v>
      </c>
      <c r="M515">
        <v>5.344649457</v>
      </c>
    </row>
    <row r="516" spans="1:13" x14ac:dyDescent="0.3">
      <c r="A516" t="s">
        <v>2715</v>
      </c>
      <c r="B516" t="s">
        <v>2695</v>
      </c>
      <c r="C516" t="s">
        <v>2762</v>
      </c>
      <c r="D516">
        <v>-19.939516035000004</v>
      </c>
      <c r="G516">
        <v>1.91</v>
      </c>
      <c r="I516" t="s">
        <v>2695</v>
      </c>
      <c r="J516" t="s">
        <v>2761</v>
      </c>
      <c r="K516">
        <v>-34.061771749999998</v>
      </c>
      <c r="M516">
        <v>1.0004153469999999</v>
      </c>
    </row>
    <row r="517" spans="1:13" x14ac:dyDescent="0.3">
      <c r="A517" t="s">
        <v>2715</v>
      </c>
      <c r="B517" t="s">
        <v>2695</v>
      </c>
      <c r="C517" t="s">
        <v>2762</v>
      </c>
      <c r="D517">
        <v>-19.69162282125</v>
      </c>
      <c r="G517">
        <v>-1.4201788950000001</v>
      </c>
      <c r="I517" t="s">
        <v>2695</v>
      </c>
      <c r="J517" t="s">
        <v>2761</v>
      </c>
      <c r="K517">
        <v>-33.824999999999996</v>
      </c>
      <c r="M517">
        <v>5.8582856139999997</v>
      </c>
    </row>
    <row r="518" spans="1:13" x14ac:dyDescent="0.3">
      <c r="A518" t="s">
        <v>2715</v>
      </c>
      <c r="B518" t="s">
        <v>2695</v>
      </c>
      <c r="C518" t="s">
        <v>2762</v>
      </c>
      <c r="D518">
        <v>-19.395412588749998</v>
      </c>
      <c r="G518">
        <v>3.9501788630000001</v>
      </c>
      <c r="I518" t="s">
        <v>2695</v>
      </c>
      <c r="J518" t="s">
        <v>2761</v>
      </c>
      <c r="K518">
        <v>-33.125</v>
      </c>
      <c r="M518">
        <v>5.5379307840000003</v>
      </c>
    </row>
    <row r="519" spans="1:13" x14ac:dyDescent="0.3">
      <c r="A519" t="s">
        <v>2715</v>
      </c>
      <c r="B519" t="s">
        <v>2695</v>
      </c>
      <c r="C519" t="s">
        <v>2762</v>
      </c>
      <c r="D519">
        <v>-15.436639475000007</v>
      </c>
      <c r="G519">
        <v>-1</v>
      </c>
      <c r="I519" t="s">
        <v>2695</v>
      </c>
      <c r="J519" t="s">
        <v>2761</v>
      </c>
      <c r="K519">
        <v>-32.574970874999998</v>
      </c>
      <c r="M519">
        <v>6.34</v>
      </c>
    </row>
    <row r="520" spans="1:13" x14ac:dyDescent="0.3">
      <c r="A520" t="s">
        <v>2715</v>
      </c>
      <c r="B520" t="s">
        <v>2695</v>
      </c>
      <c r="C520" t="s">
        <v>2762</v>
      </c>
      <c r="D520">
        <v>-14.067943396249994</v>
      </c>
      <c r="G520">
        <v>3.5821031269999999</v>
      </c>
      <c r="I520" t="s">
        <v>2695</v>
      </c>
      <c r="J520" t="s">
        <v>2761</v>
      </c>
      <c r="K520">
        <v>-31.472535999999998</v>
      </c>
      <c r="M520">
        <v>6.23</v>
      </c>
    </row>
    <row r="521" spans="1:13" x14ac:dyDescent="0.3">
      <c r="I521" t="s">
        <v>2695</v>
      </c>
      <c r="J521" t="s">
        <v>2761</v>
      </c>
      <c r="K521">
        <v>-31.15</v>
      </c>
      <c r="M521">
        <v>6.4770186030000003</v>
      </c>
    </row>
    <row r="522" spans="1:13" x14ac:dyDescent="0.3">
      <c r="I522" t="s">
        <v>2695</v>
      </c>
      <c r="J522" t="s">
        <v>2761</v>
      </c>
      <c r="K522">
        <v>-31.051323750000002</v>
      </c>
      <c r="M522">
        <v>3.73</v>
      </c>
    </row>
    <row r="523" spans="1:13" x14ac:dyDescent="0.3">
      <c r="I523" t="s">
        <v>2695</v>
      </c>
      <c r="J523" t="s">
        <v>2761</v>
      </c>
      <c r="K523">
        <v>-30.912500000000001</v>
      </c>
      <c r="M523">
        <v>-0.47793729800000001</v>
      </c>
    </row>
    <row r="524" spans="1:13" x14ac:dyDescent="0.3">
      <c r="I524" t="s">
        <v>2695</v>
      </c>
      <c r="J524" t="s">
        <v>2761</v>
      </c>
      <c r="K524">
        <v>-30.825000000000003</v>
      </c>
      <c r="M524">
        <v>4.464710288</v>
      </c>
    </row>
    <row r="525" spans="1:13" x14ac:dyDescent="0.3">
      <c r="I525" t="s">
        <v>2695</v>
      </c>
      <c r="J525" t="s">
        <v>2761</v>
      </c>
      <c r="K525">
        <v>-28.300000000000004</v>
      </c>
      <c r="M525">
        <v>4.9823085220000003</v>
      </c>
    </row>
    <row r="526" spans="1:13" x14ac:dyDescent="0.3">
      <c r="I526" t="s">
        <v>2695</v>
      </c>
      <c r="J526" t="s">
        <v>2761</v>
      </c>
      <c r="K526">
        <v>-26.769421999999999</v>
      </c>
      <c r="M526">
        <v>5.18</v>
      </c>
    </row>
    <row r="527" spans="1:13" x14ac:dyDescent="0.3">
      <c r="I527" t="s">
        <v>2695</v>
      </c>
      <c r="J527" t="s">
        <v>2761</v>
      </c>
      <c r="K527">
        <v>-25.792159999999999</v>
      </c>
      <c r="M527">
        <v>6.977617306</v>
      </c>
    </row>
    <row r="528" spans="1:13" x14ac:dyDescent="0.3">
      <c r="I528" t="s">
        <v>2695</v>
      </c>
      <c r="J528" t="s">
        <v>2761</v>
      </c>
      <c r="K528">
        <v>-25.212499999999999</v>
      </c>
      <c r="M528">
        <v>5.1503156480000003</v>
      </c>
    </row>
    <row r="529" spans="9:14" x14ac:dyDescent="0.3">
      <c r="I529" t="s">
        <v>2695</v>
      </c>
      <c r="J529" t="s">
        <v>2761</v>
      </c>
      <c r="K529">
        <v>-24.550000000000004</v>
      </c>
      <c r="M529">
        <v>3.393167032</v>
      </c>
    </row>
    <row r="530" spans="9:14" x14ac:dyDescent="0.3">
      <c r="I530" t="s">
        <v>2695</v>
      </c>
      <c r="J530" t="s">
        <v>2761</v>
      </c>
      <c r="K530">
        <v>-23.35</v>
      </c>
      <c r="M530">
        <v>4.9566857960000004</v>
      </c>
    </row>
    <row r="531" spans="9:14" x14ac:dyDescent="0.3">
      <c r="I531" t="s">
        <v>2695</v>
      </c>
      <c r="J531" t="s">
        <v>2761</v>
      </c>
      <c r="K531">
        <v>-18.947088749999999</v>
      </c>
      <c r="M531">
        <v>6.19</v>
      </c>
    </row>
    <row r="532" spans="9:14" x14ac:dyDescent="0.3">
      <c r="I532" t="s">
        <v>2695</v>
      </c>
      <c r="J532" t="s">
        <v>2761</v>
      </c>
      <c r="K532">
        <v>-17.0625</v>
      </c>
      <c r="M532">
        <v>5.5760675280000003</v>
      </c>
    </row>
    <row r="533" spans="9:14" x14ac:dyDescent="0.3">
      <c r="I533" t="s">
        <v>2695</v>
      </c>
      <c r="J533" t="s">
        <v>2761</v>
      </c>
      <c r="K533">
        <v>-16.799999999999997</v>
      </c>
      <c r="M533">
        <v>3.800112435</v>
      </c>
    </row>
    <row r="534" spans="9:14" x14ac:dyDescent="0.3">
      <c r="I534" t="s">
        <v>2695</v>
      </c>
      <c r="J534" t="s">
        <v>2761</v>
      </c>
      <c r="K534">
        <v>-16.174999999999997</v>
      </c>
      <c r="M534">
        <v>2.1625607549999999</v>
      </c>
    </row>
    <row r="535" spans="9:14" x14ac:dyDescent="0.3">
      <c r="I535" t="s">
        <v>2695</v>
      </c>
      <c r="J535" t="s">
        <v>2761</v>
      </c>
      <c r="K535">
        <v>-15.612500000000004</v>
      </c>
      <c r="M535">
        <v>6.3810811520000001</v>
      </c>
    </row>
    <row r="536" spans="9:14" x14ac:dyDescent="0.3">
      <c r="I536" t="s">
        <v>2695</v>
      </c>
      <c r="J536" t="s">
        <v>2761</v>
      </c>
      <c r="K536">
        <v>-12.487500000000004</v>
      </c>
      <c r="M536">
        <v>10.207648839999999</v>
      </c>
    </row>
    <row r="537" spans="9:14" x14ac:dyDescent="0.3">
      <c r="I537" t="s">
        <v>2695</v>
      </c>
      <c r="J537" t="s">
        <v>2763</v>
      </c>
      <c r="K537">
        <v>-73.763801917500004</v>
      </c>
      <c r="N537">
        <v>5.5331506380000004</v>
      </c>
    </row>
    <row r="538" spans="9:14" x14ac:dyDescent="0.3">
      <c r="I538" t="s">
        <v>2695</v>
      </c>
      <c r="J538" t="s">
        <v>2763</v>
      </c>
      <c r="K538">
        <v>-70.735145400000007</v>
      </c>
      <c r="N538">
        <v>4.6636115257952433</v>
      </c>
    </row>
    <row r="539" spans="9:14" x14ac:dyDescent="0.3">
      <c r="I539" t="s">
        <v>2695</v>
      </c>
      <c r="J539" t="s">
        <v>2762</v>
      </c>
      <c r="K539">
        <v>-74.861131280000009</v>
      </c>
      <c r="N539">
        <v>6.4195077019999998</v>
      </c>
    </row>
    <row r="540" spans="9:14" x14ac:dyDescent="0.3">
      <c r="I540" t="s">
        <v>2695</v>
      </c>
      <c r="J540" t="s">
        <v>2762</v>
      </c>
      <c r="K540">
        <v>-74.443255667499997</v>
      </c>
      <c r="N540">
        <v>6.2494094899999997</v>
      </c>
    </row>
    <row r="541" spans="9:14" x14ac:dyDescent="0.3">
      <c r="I541" t="s">
        <v>2695</v>
      </c>
      <c r="J541" t="s">
        <v>2762</v>
      </c>
      <c r="K541">
        <v>-74.005879877500007</v>
      </c>
      <c r="N541">
        <v>8.603591539</v>
      </c>
    </row>
    <row r="542" spans="9:14" x14ac:dyDescent="0.3">
      <c r="I542" t="s">
        <v>2695</v>
      </c>
      <c r="J542" t="s">
        <v>2762</v>
      </c>
      <c r="K542">
        <v>-73.333406425000007</v>
      </c>
      <c r="N542">
        <v>6.0384375830000003</v>
      </c>
    </row>
    <row r="543" spans="9:14" x14ac:dyDescent="0.3">
      <c r="I543" t="s">
        <v>2695</v>
      </c>
      <c r="J543" t="s">
        <v>2762</v>
      </c>
      <c r="K543">
        <v>-72.533239205000001</v>
      </c>
      <c r="N543">
        <v>5.7328943819999996</v>
      </c>
    </row>
    <row r="544" spans="9:14" x14ac:dyDescent="0.3">
      <c r="I544" t="s">
        <v>2695</v>
      </c>
      <c r="J544" t="s">
        <v>2762</v>
      </c>
      <c r="K544">
        <v>-72.080425340000005</v>
      </c>
      <c r="N544">
        <v>6.99</v>
      </c>
    </row>
    <row r="545" spans="9:14" x14ac:dyDescent="0.3">
      <c r="I545" t="s">
        <v>2695</v>
      </c>
      <c r="J545" t="s">
        <v>2762</v>
      </c>
      <c r="K545">
        <v>-71.544705969999995</v>
      </c>
      <c r="N545">
        <v>9.0923998259999994</v>
      </c>
    </row>
    <row r="546" spans="9:14" x14ac:dyDescent="0.3">
      <c r="I546" t="s">
        <v>2695</v>
      </c>
      <c r="J546" t="s">
        <v>2762</v>
      </c>
      <c r="K546">
        <v>-71.003055180000004</v>
      </c>
      <c r="N546">
        <v>4.5338786420000003</v>
      </c>
    </row>
    <row r="547" spans="9:14" x14ac:dyDescent="0.3">
      <c r="I547" t="s">
        <v>2695</v>
      </c>
      <c r="J547" t="s">
        <v>2762</v>
      </c>
      <c r="K547">
        <v>-69.559342112500005</v>
      </c>
      <c r="N547">
        <v>3.9123731039999998</v>
      </c>
    </row>
    <row r="548" spans="9:14" x14ac:dyDescent="0.3">
      <c r="I548" t="s">
        <v>2695</v>
      </c>
      <c r="J548" t="s">
        <v>2762</v>
      </c>
      <c r="K548">
        <v>-66.805007320000001</v>
      </c>
      <c r="N548">
        <v>6.3007440209999999</v>
      </c>
    </row>
    <row r="549" spans="9:14" x14ac:dyDescent="0.3">
      <c r="I549" t="s">
        <v>2695</v>
      </c>
      <c r="J549" t="s">
        <v>2762</v>
      </c>
      <c r="K549">
        <v>-65.138989089999995</v>
      </c>
      <c r="N549">
        <v>7.73</v>
      </c>
    </row>
    <row r="550" spans="9:14" x14ac:dyDescent="0.3">
      <c r="I550" t="s">
        <v>2695</v>
      </c>
      <c r="J550" t="s">
        <v>2762</v>
      </c>
      <c r="K550">
        <v>-65.062998629999996</v>
      </c>
      <c r="N550">
        <v>6.18</v>
      </c>
    </row>
    <row r="551" spans="9:14" x14ac:dyDescent="0.3">
      <c r="I551" t="s">
        <v>2695</v>
      </c>
      <c r="J551" t="s">
        <v>2762</v>
      </c>
      <c r="K551">
        <v>-64.630900014999995</v>
      </c>
      <c r="N551">
        <v>-0.25282767299999998</v>
      </c>
    </row>
    <row r="552" spans="9:14" x14ac:dyDescent="0.3">
      <c r="I552" t="s">
        <v>2695</v>
      </c>
      <c r="J552" t="s">
        <v>2762</v>
      </c>
      <c r="K552">
        <v>-64.455507422500006</v>
      </c>
      <c r="N552">
        <v>0.10775367299999999</v>
      </c>
    </row>
    <row r="553" spans="9:14" x14ac:dyDescent="0.3">
      <c r="I553" t="s">
        <v>2695</v>
      </c>
      <c r="J553" t="s">
        <v>2762</v>
      </c>
      <c r="K553">
        <v>-62.794700577499995</v>
      </c>
      <c r="N553">
        <v>6.4356554460000002</v>
      </c>
    </row>
    <row r="554" spans="9:14" x14ac:dyDescent="0.3">
      <c r="I554" t="s">
        <v>2695</v>
      </c>
      <c r="J554" t="s">
        <v>2762</v>
      </c>
      <c r="K554">
        <v>-62.671889459999996</v>
      </c>
      <c r="N554">
        <v>6.7982294169999999</v>
      </c>
    </row>
    <row r="555" spans="9:14" x14ac:dyDescent="0.3">
      <c r="I555" t="s">
        <v>2695</v>
      </c>
      <c r="J555" t="s">
        <v>2762</v>
      </c>
      <c r="K555">
        <v>-60.978943877500001</v>
      </c>
      <c r="N555">
        <v>5.7212481039999998</v>
      </c>
    </row>
    <row r="556" spans="9:14" x14ac:dyDescent="0.3">
      <c r="I556" t="s">
        <v>2695</v>
      </c>
      <c r="J556" t="s">
        <v>2762</v>
      </c>
      <c r="K556">
        <v>-60.391046695</v>
      </c>
      <c r="N556">
        <v>5.92</v>
      </c>
    </row>
    <row r="557" spans="9:14" x14ac:dyDescent="0.3">
      <c r="I557" t="s">
        <v>2695</v>
      </c>
      <c r="J557" t="s">
        <v>2762</v>
      </c>
      <c r="K557">
        <v>-57.613010840000001</v>
      </c>
      <c r="N557">
        <v>6.55</v>
      </c>
    </row>
    <row r="558" spans="9:14" x14ac:dyDescent="0.3">
      <c r="I558" t="s">
        <v>2695</v>
      </c>
      <c r="J558" t="s">
        <v>2762</v>
      </c>
      <c r="K558">
        <v>-57.316151095000002</v>
      </c>
      <c r="N558">
        <v>3.893059037</v>
      </c>
    </row>
    <row r="559" spans="9:14" x14ac:dyDescent="0.3">
      <c r="I559" t="s">
        <v>2695</v>
      </c>
      <c r="J559" t="s">
        <v>2762</v>
      </c>
      <c r="K559">
        <v>-52.556722539999996</v>
      </c>
      <c r="N559">
        <v>-1.33</v>
      </c>
    </row>
    <row r="560" spans="9:14" x14ac:dyDescent="0.3">
      <c r="I560" t="s">
        <v>2695</v>
      </c>
      <c r="J560" t="s">
        <v>2762</v>
      </c>
      <c r="K560">
        <v>-51.923955825</v>
      </c>
      <c r="N560">
        <v>8.75</v>
      </c>
    </row>
    <row r="561" spans="9:14" x14ac:dyDescent="0.3">
      <c r="I561" t="s">
        <v>2695</v>
      </c>
      <c r="J561" t="s">
        <v>2762</v>
      </c>
      <c r="K561">
        <v>-51.558553864999993</v>
      </c>
      <c r="N561">
        <v>10.515709879999999</v>
      </c>
    </row>
    <row r="562" spans="9:14" x14ac:dyDescent="0.3">
      <c r="I562" t="s">
        <v>2695</v>
      </c>
      <c r="J562" t="s">
        <v>2762</v>
      </c>
      <c r="K562">
        <v>-48.019215265000007</v>
      </c>
      <c r="N562">
        <v>4.2699999999999996</v>
      </c>
    </row>
    <row r="563" spans="9:14" x14ac:dyDescent="0.3">
      <c r="I563" t="s">
        <v>2695</v>
      </c>
      <c r="J563" t="s">
        <v>2762</v>
      </c>
      <c r="K563">
        <v>-47.279769635000001</v>
      </c>
      <c r="N563">
        <v>7.25</v>
      </c>
    </row>
    <row r="564" spans="9:14" x14ac:dyDescent="0.3">
      <c r="I564" t="s">
        <v>2695</v>
      </c>
      <c r="J564" t="s">
        <v>2762</v>
      </c>
      <c r="K564">
        <v>-44.321822855000001</v>
      </c>
      <c r="N564">
        <v>7.6500159810000001</v>
      </c>
    </row>
    <row r="565" spans="9:14" x14ac:dyDescent="0.3">
      <c r="I565" t="s">
        <v>2695</v>
      </c>
      <c r="J565" t="s">
        <v>2762</v>
      </c>
      <c r="K565">
        <v>-43.942034815000007</v>
      </c>
      <c r="N565">
        <v>2.95</v>
      </c>
    </row>
    <row r="566" spans="9:14" x14ac:dyDescent="0.3">
      <c r="I566" t="s">
        <v>2695</v>
      </c>
      <c r="J566" t="s">
        <v>2762</v>
      </c>
      <c r="K566">
        <v>-43.676117439999999</v>
      </c>
      <c r="N566">
        <v>5.6548415350000001</v>
      </c>
    </row>
    <row r="567" spans="9:14" x14ac:dyDescent="0.3">
      <c r="I567" t="s">
        <v>2695</v>
      </c>
      <c r="J567" t="s">
        <v>2762</v>
      </c>
      <c r="K567">
        <v>-42.990986400000004</v>
      </c>
      <c r="N567">
        <v>7.1977436279999996</v>
      </c>
    </row>
    <row r="568" spans="9:14" x14ac:dyDescent="0.3">
      <c r="I568" t="s">
        <v>2695</v>
      </c>
      <c r="J568" t="s">
        <v>2762</v>
      </c>
      <c r="K568">
        <v>-42.357925995000002</v>
      </c>
      <c r="N568">
        <v>3.81</v>
      </c>
    </row>
    <row r="569" spans="9:14" x14ac:dyDescent="0.3">
      <c r="I569" t="s">
        <v>2695</v>
      </c>
      <c r="J569" t="s">
        <v>2762</v>
      </c>
      <c r="K569">
        <v>-38.068849069999999</v>
      </c>
      <c r="N569">
        <v>1.0900000000000001</v>
      </c>
    </row>
    <row r="570" spans="9:14" x14ac:dyDescent="0.3">
      <c r="I570" t="s">
        <v>2695</v>
      </c>
      <c r="J570" t="s">
        <v>2762</v>
      </c>
      <c r="K570">
        <v>-37.865720725000003</v>
      </c>
      <c r="N570">
        <v>1.3</v>
      </c>
    </row>
    <row r="571" spans="9:14" x14ac:dyDescent="0.3">
      <c r="I571" t="s">
        <v>2695</v>
      </c>
      <c r="J571" t="s">
        <v>2762</v>
      </c>
      <c r="K571">
        <v>-34.964931049999997</v>
      </c>
      <c r="N571">
        <v>0.19</v>
      </c>
    </row>
    <row r="572" spans="9:14" x14ac:dyDescent="0.3">
      <c r="I572" t="s">
        <v>2695</v>
      </c>
      <c r="J572" t="s">
        <v>2762</v>
      </c>
      <c r="K572">
        <v>-77.120460082499989</v>
      </c>
      <c r="N572">
        <v>6.5984784019999996</v>
      </c>
    </row>
    <row r="573" spans="9:14" x14ac:dyDescent="0.3">
      <c r="I573" t="s">
        <v>2695</v>
      </c>
      <c r="J573" t="s">
        <v>2762</v>
      </c>
      <c r="K573">
        <v>-76.925954862499992</v>
      </c>
      <c r="N573">
        <v>7.07</v>
      </c>
    </row>
    <row r="574" spans="9:14" x14ac:dyDescent="0.3">
      <c r="I574" t="s">
        <v>2695</v>
      </c>
      <c r="J574" t="s">
        <v>2762</v>
      </c>
      <c r="K574">
        <v>-75.858995787500021</v>
      </c>
      <c r="N574">
        <v>5.39</v>
      </c>
    </row>
    <row r="575" spans="9:14" x14ac:dyDescent="0.3">
      <c r="I575" t="s">
        <v>2695</v>
      </c>
      <c r="J575" t="s">
        <v>2762</v>
      </c>
      <c r="K575">
        <v>-75.293043582500019</v>
      </c>
      <c r="N575">
        <v>9.56</v>
      </c>
    </row>
    <row r="576" spans="9:14" x14ac:dyDescent="0.3">
      <c r="I576" t="s">
        <v>2695</v>
      </c>
      <c r="J576" t="s">
        <v>2762</v>
      </c>
      <c r="K576">
        <v>-74.16830747000003</v>
      </c>
      <c r="N576">
        <v>7.2065769839999998</v>
      </c>
    </row>
    <row r="577" spans="9:14" x14ac:dyDescent="0.3">
      <c r="I577" t="s">
        <v>2695</v>
      </c>
      <c r="J577" t="s">
        <v>2762</v>
      </c>
      <c r="K577">
        <v>-74.13535113750001</v>
      </c>
      <c r="N577">
        <v>4.3391124400000001</v>
      </c>
    </row>
    <row r="578" spans="9:14" x14ac:dyDescent="0.3">
      <c r="I578" t="s">
        <v>2695</v>
      </c>
      <c r="J578" t="s">
        <v>2762</v>
      </c>
      <c r="K578">
        <v>-72.759417260000021</v>
      </c>
      <c r="N578">
        <v>2.9108217700000001</v>
      </c>
    </row>
    <row r="579" spans="9:14" x14ac:dyDescent="0.3">
      <c r="I579" t="s">
        <v>2695</v>
      </c>
      <c r="J579" t="s">
        <v>2762</v>
      </c>
      <c r="K579">
        <v>-72.195769630000001</v>
      </c>
      <c r="N579">
        <v>6.92</v>
      </c>
    </row>
    <row r="580" spans="9:14" x14ac:dyDescent="0.3">
      <c r="I580" t="s">
        <v>2695</v>
      </c>
      <c r="J580" t="s">
        <v>2762</v>
      </c>
      <c r="K580">
        <v>-72.041137880000008</v>
      </c>
      <c r="N580">
        <v>5.13</v>
      </c>
    </row>
    <row r="581" spans="9:14" x14ac:dyDescent="0.3">
      <c r="I581" t="s">
        <v>2695</v>
      </c>
      <c r="J581" t="s">
        <v>2762</v>
      </c>
      <c r="K581">
        <v>-71.622085837500009</v>
      </c>
      <c r="N581">
        <v>7.76</v>
      </c>
    </row>
    <row r="582" spans="9:14" x14ac:dyDescent="0.3">
      <c r="I582" t="s">
        <v>2695</v>
      </c>
      <c r="J582" t="s">
        <v>2762</v>
      </c>
      <c r="K582">
        <v>-71.561463912500017</v>
      </c>
      <c r="N582">
        <v>6.3888282790000002</v>
      </c>
    </row>
    <row r="583" spans="9:14" x14ac:dyDescent="0.3">
      <c r="I583" t="s">
        <v>2695</v>
      </c>
      <c r="J583" t="s">
        <v>2762</v>
      </c>
      <c r="K583">
        <v>-68.952759632500005</v>
      </c>
      <c r="N583">
        <v>6.4573177370000003</v>
      </c>
    </row>
    <row r="584" spans="9:14" x14ac:dyDescent="0.3">
      <c r="I584" t="s">
        <v>2695</v>
      </c>
      <c r="J584" t="s">
        <v>2762</v>
      </c>
      <c r="K584">
        <v>-68.091799646249996</v>
      </c>
      <c r="N584">
        <v>6.2189635689999996</v>
      </c>
    </row>
    <row r="585" spans="9:14" x14ac:dyDescent="0.3">
      <c r="I585" t="s">
        <v>2695</v>
      </c>
      <c r="J585" t="s">
        <v>2762</v>
      </c>
      <c r="K585">
        <v>-67.450121222500002</v>
      </c>
      <c r="N585">
        <v>5.25</v>
      </c>
    </row>
    <row r="586" spans="9:14" x14ac:dyDescent="0.3">
      <c r="I586" t="s">
        <v>2695</v>
      </c>
      <c r="J586" t="s">
        <v>2762</v>
      </c>
      <c r="K586">
        <v>-66.445014847500005</v>
      </c>
      <c r="N586">
        <v>5.68</v>
      </c>
    </row>
    <row r="587" spans="9:14" x14ac:dyDescent="0.3">
      <c r="I587" t="s">
        <v>2695</v>
      </c>
      <c r="J587" t="s">
        <v>2762</v>
      </c>
      <c r="K587">
        <v>-65.945554294999994</v>
      </c>
      <c r="N587">
        <v>4.3600000000000003</v>
      </c>
    </row>
    <row r="588" spans="9:14" x14ac:dyDescent="0.3">
      <c r="I588" t="s">
        <v>2695</v>
      </c>
      <c r="J588" t="s">
        <v>2762</v>
      </c>
      <c r="K588">
        <v>-65.926998485000013</v>
      </c>
      <c r="N588">
        <v>5.89</v>
      </c>
    </row>
    <row r="589" spans="9:14" x14ac:dyDescent="0.3">
      <c r="I589" t="s">
        <v>2695</v>
      </c>
      <c r="J589" t="s">
        <v>2762</v>
      </c>
      <c r="K589">
        <v>-65.877892154999984</v>
      </c>
      <c r="N589">
        <v>6.4167942839999998</v>
      </c>
    </row>
    <row r="590" spans="9:14" x14ac:dyDescent="0.3">
      <c r="I590" t="s">
        <v>2695</v>
      </c>
      <c r="J590" t="s">
        <v>2762</v>
      </c>
      <c r="K590">
        <v>-63.995647927499995</v>
      </c>
      <c r="N590">
        <v>8.42</v>
      </c>
    </row>
    <row r="591" spans="9:14" x14ac:dyDescent="0.3">
      <c r="I591" t="s">
        <v>2695</v>
      </c>
      <c r="J591" t="s">
        <v>2762</v>
      </c>
      <c r="K591">
        <v>-63.973999482500012</v>
      </c>
      <c r="N591">
        <v>6.02</v>
      </c>
    </row>
    <row r="592" spans="9:14" x14ac:dyDescent="0.3">
      <c r="I592" t="s">
        <v>2695</v>
      </c>
      <c r="J592" t="s">
        <v>2762</v>
      </c>
      <c r="K592">
        <v>-62.916318312500017</v>
      </c>
      <c r="N592">
        <v>5.0599999999999996</v>
      </c>
    </row>
    <row r="593" spans="9:14" x14ac:dyDescent="0.3">
      <c r="I593" t="s">
        <v>2695</v>
      </c>
      <c r="J593" t="s">
        <v>2762</v>
      </c>
      <c r="K593">
        <v>-61.191635124999998</v>
      </c>
      <c r="N593">
        <v>6.7974347110000002</v>
      </c>
    </row>
    <row r="594" spans="9:14" x14ac:dyDescent="0.3">
      <c r="I594" t="s">
        <v>2695</v>
      </c>
      <c r="J594" t="s">
        <v>2762</v>
      </c>
      <c r="K594">
        <v>-61.037542550000005</v>
      </c>
      <c r="N594">
        <v>7.1</v>
      </c>
    </row>
    <row r="595" spans="9:14" x14ac:dyDescent="0.3">
      <c r="I595" t="s">
        <v>2695</v>
      </c>
      <c r="J595" t="s">
        <v>2762</v>
      </c>
      <c r="K595">
        <v>-60.969504579999999</v>
      </c>
      <c r="N595">
        <v>5.14</v>
      </c>
    </row>
    <row r="596" spans="9:14" x14ac:dyDescent="0.3">
      <c r="I596" t="s">
        <v>2695</v>
      </c>
      <c r="J596" t="s">
        <v>2762</v>
      </c>
      <c r="K596">
        <v>-60.96903775000002</v>
      </c>
      <c r="N596">
        <v>6.5312558430000003</v>
      </c>
    </row>
    <row r="597" spans="9:14" x14ac:dyDescent="0.3">
      <c r="I597" t="s">
        <v>2695</v>
      </c>
      <c r="J597" t="s">
        <v>2762</v>
      </c>
      <c r="K597">
        <v>-60.725186415000003</v>
      </c>
      <c r="N597">
        <v>2.75</v>
      </c>
    </row>
    <row r="598" spans="9:14" x14ac:dyDescent="0.3">
      <c r="I598" t="s">
        <v>2695</v>
      </c>
      <c r="J598" t="s">
        <v>2762</v>
      </c>
      <c r="K598">
        <v>-60.112101215000003</v>
      </c>
      <c r="N598">
        <v>5.5919840189999999</v>
      </c>
    </row>
    <row r="599" spans="9:14" x14ac:dyDescent="0.3">
      <c r="I599" t="s">
        <v>2695</v>
      </c>
      <c r="J599" t="s">
        <v>2762</v>
      </c>
      <c r="K599">
        <v>-60.015426682499999</v>
      </c>
      <c r="N599">
        <v>8.77</v>
      </c>
    </row>
    <row r="600" spans="9:14" x14ac:dyDescent="0.3">
      <c r="I600" t="s">
        <v>2695</v>
      </c>
      <c r="J600" t="s">
        <v>2762</v>
      </c>
      <c r="K600">
        <v>-59.985828250000004</v>
      </c>
      <c r="N600">
        <v>5.4664398790000002</v>
      </c>
    </row>
    <row r="601" spans="9:14" x14ac:dyDescent="0.3">
      <c r="I601" t="s">
        <v>2695</v>
      </c>
      <c r="J601" t="s">
        <v>2762</v>
      </c>
      <c r="K601">
        <v>-59.695338960000022</v>
      </c>
      <c r="N601">
        <v>4.59</v>
      </c>
    </row>
    <row r="602" spans="9:14" x14ac:dyDescent="0.3">
      <c r="I602" t="s">
        <v>2695</v>
      </c>
      <c r="J602" t="s">
        <v>2762</v>
      </c>
      <c r="K602">
        <v>-59.660208410000003</v>
      </c>
      <c r="N602">
        <v>-2.0447229469999999</v>
      </c>
    </row>
    <row r="603" spans="9:14" x14ac:dyDescent="0.3">
      <c r="I603" t="s">
        <v>2695</v>
      </c>
      <c r="J603" t="s">
        <v>2762</v>
      </c>
      <c r="K603">
        <v>-58.320662702499995</v>
      </c>
      <c r="N603">
        <v>6.65</v>
      </c>
    </row>
    <row r="604" spans="9:14" x14ac:dyDescent="0.3">
      <c r="I604" t="s">
        <v>2695</v>
      </c>
      <c r="J604" t="s">
        <v>2762</v>
      </c>
      <c r="K604">
        <v>-58.042402220000007</v>
      </c>
      <c r="N604">
        <v>7.21</v>
      </c>
    </row>
    <row r="605" spans="9:14" x14ac:dyDescent="0.3">
      <c r="I605" t="s">
        <v>2695</v>
      </c>
      <c r="J605" t="s">
        <v>2762</v>
      </c>
      <c r="K605">
        <v>-57.694404115000005</v>
      </c>
      <c r="N605">
        <v>6.27</v>
      </c>
    </row>
    <row r="606" spans="9:14" x14ac:dyDescent="0.3">
      <c r="I606" t="s">
        <v>2695</v>
      </c>
      <c r="J606" t="s">
        <v>2762</v>
      </c>
      <c r="K606">
        <v>-57.601195772500013</v>
      </c>
      <c r="N606">
        <v>9.4985162150000004</v>
      </c>
    </row>
    <row r="607" spans="9:14" x14ac:dyDescent="0.3">
      <c r="I607" t="s">
        <v>2695</v>
      </c>
      <c r="J607" t="s">
        <v>2762</v>
      </c>
      <c r="K607">
        <v>-56.737233582500018</v>
      </c>
      <c r="N607">
        <v>6.86</v>
      </c>
    </row>
    <row r="608" spans="9:14" x14ac:dyDescent="0.3">
      <c r="I608" t="s">
        <v>2695</v>
      </c>
      <c r="J608" t="s">
        <v>2762</v>
      </c>
      <c r="K608">
        <v>-56.098479330000011</v>
      </c>
      <c r="N608">
        <v>3.3765352310000001</v>
      </c>
    </row>
    <row r="609" spans="9:14" x14ac:dyDescent="0.3">
      <c r="I609" t="s">
        <v>2695</v>
      </c>
      <c r="J609" t="s">
        <v>2762</v>
      </c>
      <c r="K609">
        <v>-54.811928837500012</v>
      </c>
      <c r="N609">
        <v>6.3167777620000001</v>
      </c>
    </row>
    <row r="610" spans="9:14" x14ac:dyDescent="0.3">
      <c r="I610" t="s">
        <v>2695</v>
      </c>
      <c r="J610" t="s">
        <v>2762</v>
      </c>
      <c r="K610">
        <v>-54.485795302500016</v>
      </c>
      <c r="N610">
        <v>9.16</v>
      </c>
    </row>
    <row r="611" spans="9:14" x14ac:dyDescent="0.3">
      <c r="I611" t="s">
        <v>2695</v>
      </c>
      <c r="J611" t="s">
        <v>2762</v>
      </c>
      <c r="K611">
        <v>-54.417701139999998</v>
      </c>
      <c r="N611">
        <v>3.2054728350000001</v>
      </c>
    </row>
    <row r="612" spans="9:14" x14ac:dyDescent="0.3">
      <c r="I612" t="s">
        <v>2695</v>
      </c>
      <c r="J612" t="s">
        <v>2762</v>
      </c>
      <c r="K612">
        <v>-54.349719362500004</v>
      </c>
      <c r="N612">
        <v>3.92</v>
      </c>
    </row>
    <row r="613" spans="9:14" x14ac:dyDescent="0.3">
      <c r="I613" t="s">
        <v>2695</v>
      </c>
      <c r="J613" t="s">
        <v>2762</v>
      </c>
      <c r="K613">
        <v>-54.280639897500016</v>
      </c>
      <c r="N613">
        <v>4.4177687639999998</v>
      </c>
    </row>
    <row r="614" spans="9:14" x14ac:dyDescent="0.3">
      <c r="I614" t="s">
        <v>2695</v>
      </c>
      <c r="J614" t="s">
        <v>2762</v>
      </c>
      <c r="K614">
        <v>-54.179984115000003</v>
      </c>
      <c r="N614">
        <v>5.0156221590000003</v>
      </c>
    </row>
    <row r="615" spans="9:14" x14ac:dyDescent="0.3">
      <c r="I615" t="s">
        <v>2695</v>
      </c>
      <c r="J615" t="s">
        <v>2762</v>
      </c>
      <c r="K615">
        <v>-54.106947514999995</v>
      </c>
      <c r="N615">
        <v>8</v>
      </c>
    </row>
    <row r="616" spans="9:14" x14ac:dyDescent="0.3">
      <c r="I616" t="s">
        <v>2695</v>
      </c>
      <c r="J616" t="s">
        <v>2762</v>
      </c>
      <c r="K616">
        <v>-53.494416960000002</v>
      </c>
      <c r="N616">
        <v>3.9466699350000001</v>
      </c>
    </row>
    <row r="617" spans="9:14" x14ac:dyDescent="0.3">
      <c r="I617" t="s">
        <v>2695</v>
      </c>
      <c r="J617" t="s">
        <v>2762</v>
      </c>
      <c r="K617">
        <v>-53.457494165000007</v>
      </c>
      <c r="N617">
        <v>9.19</v>
      </c>
    </row>
    <row r="618" spans="9:14" x14ac:dyDescent="0.3">
      <c r="I618" t="s">
        <v>2695</v>
      </c>
      <c r="J618" t="s">
        <v>2762</v>
      </c>
      <c r="K618">
        <v>-53.353890892500011</v>
      </c>
      <c r="N618">
        <v>5.43</v>
      </c>
    </row>
    <row r="619" spans="9:14" x14ac:dyDescent="0.3">
      <c r="I619" t="s">
        <v>2695</v>
      </c>
      <c r="J619" t="s">
        <v>2762</v>
      </c>
      <c r="K619">
        <v>-52.869893515000008</v>
      </c>
      <c r="N619">
        <v>4.05</v>
      </c>
    </row>
    <row r="620" spans="9:14" x14ac:dyDescent="0.3">
      <c r="I620" t="s">
        <v>2695</v>
      </c>
      <c r="J620" t="s">
        <v>2762</v>
      </c>
      <c r="K620">
        <v>-52.295673049999998</v>
      </c>
      <c r="N620">
        <v>7.1330110549999999</v>
      </c>
    </row>
    <row r="621" spans="9:14" x14ac:dyDescent="0.3">
      <c r="I621" t="s">
        <v>2695</v>
      </c>
      <c r="J621" t="s">
        <v>2762</v>
      </c>
      <c r="K621">
        <v>-51.305451203750003</v>
      </c>
      <c r="N621">
        <v>5.4245378830000002</v>
      </c>
    </row>
    <row r="622" spans="9:14" x14ac:dyDescent="0.3">
      <c r="I622" t="s">
        <v>2695</v>
      </c>
      <c r="J622" t="s">
        <v>2762</v>
      </c>
      <c r="K622">
        <v>-50.701685199999993</v>
      </c>
      <c r="N622">
        <v>4.7867650050000004</v>
      </c>
    </row>
    <row r="623" spans="9:14" x14ac:dyDescent="0.3">
      <c r="I623" t="s">
        <v>2695</v>
      </c>
      <c r="J623" t="s">
        <v>2762</v>
      </c>
      <c r="K623">
        <v>-50.470615270000003</v>
      </c>
      <c r="N623">
        <v>5.2436956700000001</v>
      </c>
    </row>
    <row r="624" spans="9:14" x14ac:dyDescent="0.3">
      <c r="I624" t="s">
        <v>2695</v>
      </c>
      <c r="J624" t="s">
        <v>2762</v>
      </c>
      <c r="K624">
        <v>-49.273822400000007</v>
      </c>
      <c r="N624">
        <v>7.2220788010000003</v>
      </c>
    </row>
    <row r="625" spans="9:14" x14ac:dyDescent="0.3">
      <c r="I625" t="s">
        <v>2695</v>
      </c>
      <c r="J625" t="s">
        <v>2762</v>
      </c>
      <c r="K625">
        <v>-49.234501072500002</v>
      </c>
      <c r="N625">
        <v>5.29</v>
      </c>
    </row>
    <row r="626" spans="9:14" x14ac:dyDescent="0.3">
      <c r="I626" t="s">
        <v>2695</v>
      </c>
      <c r="J626" t="s">
        <v>2762</v>
      </c>
      <c r="K626">
        <v>-48.968308555</v>
      </c>
      <c r="N626">
        <v>-1.2188266489999999</v>
      </c>
    </row>
    <row r="627" spans="9:14" x14ac:dyDescent="0.3">
      <c r="I627" t="s">
        <v>2695</v>
      </c>
      <c r="J627" t="s">
        <v>2762</v>
      </c>
      <c r="K627">
        <v>-48.851075757500006</v>
      </c>
      <c r="N627">
        <v>4.1836923280000002</v>
      </c>
    </row>
    <row r="628" spans="9:14" x14ac:dyDescent="0.3">
      <c r="I628" t="s">
        <v>2695</v>
      </c>
      <c r="J628" t="s">
        <v>2762</v>
      </c>
      <c r="K628">
        <v>-48.062546880000006</v>
      </c>
      <c r="N628">
        <v>5.372867243</v>
      </c>
    </row>
    <row r="629" spans="9:14" x14ac:dyDescent="0.3">
      <c r="I629" t="s">
        <v>2695</v>
      </c>
      <c r="J629" t="s">
        <v>2762</v>
      </c>
      <c r="K629">
        <v>-47.981137938750003</v>
      </c>
      <c r="N629">
        <v>6.9397719420000001</v>
      </c>
    </row>
    <row r="630" spans="9:14" x14ac:dyDescent="0.3">
      <c r="I630" t="s">
        <v>2695</v>
      </c>
      <c r="J630" t="s">
        <v>2762</v>
      </c>
      <c r="K630">
        <v>-47.949503836249995</v>
      </c>
      <c r="N630">
        <v>4.4551010150000003</v>
      </c>
    </row>
    <row r="631" spans="9:14" x14ac:dyDescent="0.3">
      <c r="I631" t="s">
        <v>2695</v>
      </c>
      <c r="J631" t="s">
        <v>2762</v>
      </c>
      <c r="K631">
        <v>-47.906489842500001</v>
      </c>
      <c r="N631">
        <v>10.365879319999999</v>
      </c>
    </row>
    <row r="632" spans="9:14" x14ac:dyDescent="0.3">
      <c r="I632" t="s">
        <v>2695</v>
      </c>
      <c r="J632" t="s">
        <v>2762</v>
      </c>
      <c r="K632">
        <v>-46.909005855000011</v>
      </c>
      <c r="N632">
        <v>1.9905319109999999</v>
      </c>
    </row>
    <row r="633" spans="9:14" x14ac:dyDescent="0.3">
      <c r="I633" t="s">
        <v>2695</v>
      </c>
      <c r="J633" t="s">
        <v>2762</v>
      </c>
      <c r="K633">
        <v>-44.834492050000001</v>
      </c>
      <c r="N633">
        <v>1.6365028129999999</v>
      </c>
    </row>
    <row r="634" spans="9:14" x14ac:dyDescent="0.3">
      <c r="I634" t="s">
        <v>2695</v>
      </c>
      <c r="J634" t="s">
        <v>2762</v>
      </c>
      <c r="K634">
        <v>-44.293538227500001</v>
      </c>
      <c r="N634">
        <v>5.9534398639999999</v>
      </c>
    </row>
    <row r="635" spans="9:14" x14ac:dyDescent="0.3">
      <c r="I635" t="s">
        <v>2695</v>
      </c>
      <c r="J635" t="s">
        <v>2762</v>
      </c>
      <c r="K635">
        <v>-44.063615352500001</v>
      </c>
      <c r="N635">
        <v>6.02</v>
      </c>
    </row>
    <row r="636" spans="9:14" x14ac:dyDescent="0.3">
      <c r="I636" t="s">
        <v>2695</v>
      </c>
      <c r="J636" t="s">
        <v>2762</v>
      </c>
      <c r="K636">
        <v>-43.930632047500005</v>
      </c>
      <c r="N636">
        <v>8.31</v>
      </c>
    </row>
    <row r="637" spans="9:14" x14ac:dyDescent="0.3">
      <c r="I637" t="s">
        <v>2695</v>
      </c>
      <c r="J637" t="s">
        <v>2762</v>
      </c>
      <c r="K637">
        <v>-43.732703407500004</v>
      </c>
      <c r="N637">
        <v>4.96</v>
      </c>
    </row>
    <row r="638" spans="9:14" x14ac:dyDescent="0.3">
      <c r="I638" t="s">
        <v>2695</v>
      </c>
      <c r="J638" t="s">
        <v>2762</v>
      </c>
      <c r="K638">
        <v>-41.807857985000005</v>
      </c>
      <c r="N638">
        <v>4.6741738919999998</v>
      </c>
    </row>
    <row r="639" spans="9:14" x14ac:dyDescent="0.3">
      <c r="I639" t="s">
        <v>2695</v>
      </c>
      <c r="J639" t="s">
        <v>2762</v>
      </c>
      <c r="K639">
        <v>-40.666274587500006</v>
      </c>
      <c r="N639">
        <v>7.2391474010000003</v>
      </c>
    </row>
    <row r="640" spans="9:14" x14ac:dyDescent="0.3">
      <c r="I640" t="s">
        <v>2695</v>
      </c>
      <c r="J640" t="s">
        <v>2762</v>
      </c>
      <c r="K640">
        <v>-39.731826755000007</v>
      </c>
      <c r="N640">
        <v>-0.17496372299999999</v>
      </c>
    </row>
    <row r="641" spans="9:14" x14ac:dyDescent="0.3">
      <c r="I641" t="s">
        <v>2695</v>
      </c>
      <c r="J641" t="s">
        <v>2762</v>
      </c>
      <c r="K641">
        <v>-39.339045274999997</v>
      </c>
      <c r="N641">
        <v>4.7682935710000001</v>
      </c>
    </row>
    <row r="642" spans="9:14" x14ac:dyDescent="0.3">
      <c r="I642" t="s">
        <v>2695</v>
      </c>
      <c r="J642" t="s">
        <v>2762</v>
      </c>
      <c r="K642">
        <v>-38.592927174999993</v>
      </c>
      <c r="N642">
        <v>5.6599003440000004</v>
      </c>
    </row>
    <row r="643" spans="9:14" x14ac:dyDescent="0.3">
      <c r="I643" t="s">
        <v>2695</v>
      </c>
      <c r="J643" t="s">
        <v>2762</v>
      </c>
      <c r="K643">
        <v>-37.97757198</v>
      </c>
      <c r="N643">
        <v>4.1919834649999999</v>
      </c>
    </row>
    <row r="644" spans="9:14" x14ac:dyDescent="0.3">
      <c r="I644" t="s">
        <v>2695</v>
      </c>
      <c r="J644" t="s">
        <v>2762</v>
      </c>
      <c r="K644">
        <v>-36.838744290000001</v>
      </c>
      <c r="N644">
        <v>6.2343631159999999</v>
      </c>
    </row>
    <row r="645" spans="9:14" x14ac:dyDescent="0.3">
      <c r="I645" t="s">
        <v>2695</v>
      </c>
      <c r="J645" t="s">
        <v>2762</v>
      </c>
      <c r="K645">
        <v>-36.282545692500001</v>
      </c>
      <c r="N645">
        <v>4.55</v>
      </c>
    </row>
    <row r="646" spans="9:14" x14ac:dyDescent="0.3">
      <c r="I646" t="s">
        <v>2695</v>
      </c>
      <c r="J646" t="s">
        <v>2762</v>
      </c>
      <c r="K646">
        <v>-33.335017245000003</v>
      </c>
      <c r="N646">
        <v>8.01</v>
      </c>
    </row>
    <row r="647" spans="9:14" x14ac:dyDescent="0.3">
      <c r="I647" t="s">
        <v>2695</v>
      </c>
      <c r="J647" t="s">
        <v>2762</v>
      </c>
      <c r="K647">
        <v>-32.68426487</v>
      </c>
      <c r="N647">
        <v>4.24</v>
      </c>
    </row>
    <row r="648" spans="9:14" x14ac:dyDescent="0.3">
      <c r="I648" t="s">
        <v>2695</v>
      </c>
      <c r="J648" t="s">
        <v>2762</v>
      </c>
      <c r="K648">
        <v>-32.127526870000004</v>
      </c>
      <c r="N648">
        <v>7.1613572760000004</v>
      </c>
    </row>
    <row r="649" spans="9:14" x14ac:dyDescent="0.3">
      <c r="I649" t="s">
        <v>2695</v>
      </c>
      <c r="J649" t="s">
        <v>2762</v>
      </c>
      <c r="K649">
        <v>-31.731274650000003</v>
      </c>
      <c r="N649">
        <v>5.9508671089999998</v>
      </c>
    </row>
    <row r="650" spans="9:14" x14ac:dyDescent="0.3">
      <c r="I650" t="s">
        <v>2695</v>
      </c>
      <c r="J650" t="s">
        <v>2762</v>
      </c>
      <c r="K650">
        <v>-29.938845830000005</v>
      </c>
      <c r="N650">
        <v>0.80374987600000003</v>
      </c>
    </row>
    <row r="651" spans="9:14" x14ac:dyDescent="0.3">
      <c r="I651" t="s">
        <v>2695</v>
      </c>
      <c r="J651" t="s">
        <v>2762</v>
      </c>
      <c r="K651">
        <v>-29.846169723750002</v>
      </c>
      <c r="N651">
        <v>4.5339866860000004</v>
      </c>
    </row>
    <row r="652" spans="9:14" x14ac:dyDescent="0.3">
      <c r="I652" t="s">
        <v>2695</v>
      </c>
      <c r="J652" t="s">
        <v>2762</v>
      </c>
      <c r="K652">
        <v>-24.938453615</v>
      </c>
      <c r="N652">
        <v>0.36959094199999998</v>
      </c>
    </row>
    <row r="653" spans="9:14" x14ac:dyDescent="0.3">
      <c r="I653" t="s">
        <v>2695</v>
      </c>
      <c r="J653" t="s">
        <v>2762</v>
      </c>
      <c r="K653">
        <v>-23.893925585000012</v>
      </c>
      <c r="N653">
        <v>0.69313988800000004</v>
      </c>
    </row>
    <row r="654" spans="9:14" x14ac:dyDescent="0.3">
      <c r="I654" t="s">
        <v>2695</v>
      </c>
      <c r="J654" t="s">
        <v>2762</v>
      </c>
      <c r="K654">
        <v>-19.939516035000004</v>
      </c>
      <c r="N654">
        <v>1.91</v>
      </c>
    </row>
    <row r="655" spans="9:14" x14ac:dyDescent="0.3">
      <c r="I655" t="s">
        <v>2695</v>
      </c>
      <c r="J655" t="s">
        <v>2762</v>
      </c>
      <c r="K655">
        <v>-19.69162282125</v>
      </c>
      <c r="N655">
        <v>-1.4201788950000001</v>
      </c>
    </row>
    <row r="656" spans="9:14" x14ac:dyDescent="0.3">
      <c r="I656" t="s">
        <v>2695</v>
      </c>
      <c r="J656" t="s">
        <v>2762</v>
      </c>
      <c r="K656">
        <v>-19.395412588749998</v>
      </c>
      <c r="N656">
        <v>3.9501788630000001</v>
      </c>
    </row>
    <row r="657" spans="9:14" x14ac:dyDescent="0.3">
      <c r="I657" t="s">
        <v>2695</v>
      </c>
      <c r="J657" t="s">
        <v>2762</v>
      </c>
      <c r="K657">
        <v>-15.436639475000007</v>
      </c>
      <c r="N657">
        <v>-1</v>
      </c>
    </row>
    <row r="658" spans="9:14" x14ac:dyDescent="0.3">
      <c r="I658" t="s">
        <v>2695</v>
      </c>
      <c r="J658" t="s">
        <v>2762</v>
      </c>
      <c r="K658">
        <v>-14.067943396249994</v>
      </c>
      <c r="N658">
        <v>3.5821031269999999</v>
      </c>
    </row>
  </sheetData>
  <sortState xmlns:xlrd2="http://schemas.microsoft.com/office/spreadsheetml/2017/richdata2" ref="I2:L658">
    <sortCondition ref="I2:I658"/>
    <sortCondition ref="J2:J658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9"/>
  <sheetViews>
    <sheetView showGridLines="0" workbookViewId="0">
      <selection activeCell="E1" sqref="E1:H1048576"/>
    </sheetView>
  </sheetViews>
  <sheetFormatPr defaultColWidth="11.5546875" defaultRowHeight="14.4" x14ac:dyDescent="0.3"/>
  <cols>
    <col min="1" max="1" width="21.44140625" bestFit="1" customWidth="1"/>
    <col min="2" max="2" width="11.33203125" bestFit="1" customWidth="1"/>
    <col min="3" max="3" width="11.33203125" customWidth="1"/>
    <col min="4" max="4" width="21.6640625" bestFit="1" customWidth="1"/>
    <col min="5" max="6" width="12.6640625" bestFit="1" customWidth="1"/>
  </cols>
  <sheetData>
    <row r="1" spans="1:8" x14ac:dyDescent="0.3">
      <c r="A1" t="s">
        <v>2749</v>
      </c>
      <c r="B1" t="s">
        <v>2760</v>
      </c>
      <c r="C1" t="s">
        <v>2705</v>
      </c>
      <c r="D1" t="s">
        <v>2747</v>
      </c>
      <c r="E1" t="s">
        <v>2713</v>
      </c>
      <c r="F1" t="s">
        <v>2716</v>
      </c>
      <c r="G1" t="s">
        <v>2710</v>
      </c>
      <c r="H1" t="s">
        <v>2804</v>
      </c>
    </row>
    <row r="2" spans="1:8" x14ac:dyDescent="0.3">
      <c r="A2" t="s">
        <v>2750</v>
      </c>
      <c r="B2" t="s">
        <v>2761</v>
      </c>
      <c r="C2" t="s">
        <v>2696</v>
      </c>
      <c r="D2">
        <v>3</v>
      </c>
      <c r="E2">
        <v>-26.812774867499996</v>
      </c>
      <c r="G2">
        <v>-1.2541429799999999</v>
      </c>
    </row>
    <row r="3" spans="1:8" x14ac:dyDescent="0.3">
      <c r="A3" t="s">
        <v>2750</v>
      </c>
      <c r="B3" t="s">
        <v>2761</v>
      </c>
      <c r="C3" t="s">
        <v>2695</v>
      </c>
      <c r="D3">
        <v>4</v>
      </c>
      <c r="E3">
        <v>-37.17081975</v>
      </c>
      <c r="F3">
        <v>2.5285279159999998</v>
      </c>
    </row>
    <row r="4" spans="1:8" x14ac:dyDescent="0.3">
      <c r="A4" t="s">
        <v>2750</v>
      </c>
      <c r="B4" t="s">
        <v>2761</v>
      </c>
      <c r="C4" t="s">
        <v>2695</v>
      </c>
      <c r="D4">
        <v>5</v>
      </c>
      <c r="E4">
        <v>-54.712499999999999</v>
      </c>
      <c r="F4">
        <v>4.4643169909999996</v>
      </c>
    </row>
    <row r="5" spans="1:8" x14ac:dyDescent="0.3">
      <c r="A5" t="s">
        <v>2750</v>
      </c>
      <c r="B5" t="s">
        <v>2761</v>
      </c>
      <c r="C5" t="s">
        <v>2695</v>
      </c>
      <c r="D5">
        <v>5</v>
      </c>
      <c r="E5">
        <v>-53.967247999999998</v>
      </c>
      <c r="F5">
        <v>6.2372421649999996</v>
      </c>
    </row>
    <row r="6" spans="1:8" x14ac:dyDescent="0.3">
      <c r="A6" t="s">
        <v>2750</v>
      </c>
      <c r="B6" t="s">
        <v>2761</v>
      </c>
      <c r="C6" t="s">
        <v>2695</v>
      </c>
      <c r="D6">
        <v>5</v>
      </c>
      <c r="E6">
        <v>-53.437500000000007</v>
      </c>
      <c r="F6">
        <v>4.6951264610000001</v>
      </c>
    </row>
    <row r="7" spans="1:8" x14ac:dyDescent="0.3">
      <c r="A7" t="s">
        <v>2750</v>
      </c>
      <c r="B7" t="s">
        <v>2761</v>
      </c>
      <c r="C7" t="s">
        <v>2695</v>
      </c>
      <c r="D7">
        <v>5</v>
      </c>
      <c r="E7">
        <v>-50.099338000000003</v>
      </c>
      <c r="F7">
        <v>6.7541484350000003</v>
      </c>
    </row>
    <row r="8" spans="1:8" x14ac:dyDescent="0.3">
      <c r="A8" t="s">
        <v>2750</v>
      </c>
      <c r="B8" t="s">
        <v>2761</v>
      </c>
      <c r="C8" t="s">
        <v>2695</v>
      </c>
      <c r="D8">
        <v>5</v>
      </c>
      <c r="E8">
        <v>-49.760336750000008</v>
      </c>
      <c r="F8">
        <v>9.3910979920000006</v>
      </c>
    </row>
    <row r="9" spans="1:8" x14ac:dyDescent="0.3">
      <c r="A9" t="s">
        <v>2750</v>
      </c>
      <c r="B9" t="s">
        <v>2761</v>
      </c>
      <c r="C9" t="s">
        <v>2695</v>
      </c>
      <c r="D9">
        <v>6</v>
      </c>
      <c r="E9">
        <v>-63.307039250000003</v>
      </c>
      <c r="F9">
        <v>2.5178868639999998</v>
      </c>
    </row>
    <row r="10" spans="1:8" x14ac:dyDescent="0.3">
      <c r="A10" t="s">
        <v>2750</v>
      </c>
      <c r="B10" t="s">
        <v>2761</v>
      </c>
      <c r="C10" t="s">
        <v>2695</v>
      </c>
      <c r="D10">
        <v>6</v>
      </c>
      <c r="E10">
        <v>-59.25</v>
      </c>
      <c r="F10">
        <v>3.2257204970000002</v>
      </c>
    </row>
    <row r="11" spans="1:8" x14ac:dyDescent="0.3">
      <c r="A11" t="s">
        <v>2750</v>
      </c>
      <c r="B11" t="s">
        <v>2761</v>
      </c>
      <c r="C11" t="s">
        <v>2695</v>
      </c>
      <c r="D11">
        <v>6</v>
      </c>
      <c r="E11">
        <v>-58.750000000000007</v>
      </c>
      <c r="F11">
        <v>4.6050565990000001</v>
      </c>
    </row>
    <row r="12" spans="1:8" x14ac:dyDescent="0.3">
      <c r="A12" t="s">
        <v>2750</v>
      </c>
      <c r="B12" t="s">
        <v>2761</v>
      </c>
      <c r="C12" t="s">
        <v>2695</v>
      </c>
      <c r="D12">
        <v>6</v>
      </c>
      <c r="E12">
        <v>-57.975000000000001</v>
      </c>
      <c r="F12">
        <v>6.554213861</v>
      </c>
    </row>
    <row r="13" spans="1:8" x14ac:dyDescent="0.3">
      <c r="A13" t="s">
        <v>2750</v>
      </c>
      <c r="B13" t="s">
        <v>2761</v>
      </c>
      <c r="C13" t="s">
        <v>2695</v>
      </c>
      <c r="D13">
        <v>6</v>
      </c>
      <c r="E13">
        <v>-55.787500000000001</v>
      </c>
      <c r="F13">
        <v>5.9248277380000003</v>
      </c>
    </row>
    <row r="14" spans="1:8" x14ac:dyDescent="0.3">
      <c r="A14" t="s">
        <v>2750</v>
      </c>
      <c r="B14" t="s">
        <v>2761</v>
      </c>
      <c r="C14" t="s">
        <v>2695</v>
      </c>
      <c r="D14">
        <v>6</v>
      </c>
      <c r="E14">
        <v>-55.162500000000001</v>
      </c>
      <c r="F14">
        <v>3.4035780510000002</v>
      </c>
    </row>
    <row r="15" spans="1:8" x14ac:dyDescent="0.3">
      <c r="A15" t="s">
        <v>2750</v>
      </c>
      <c r="B15" t="s">
        <v>2761</v>
      </c>
      <c r="C15" t="s">
        <v>2695</v>
      </c>
      <c r="D15">
        <v>7</v>
      </c>
      <c r="E15">
        <v>-71.837500000000006</v>
      </c>
      <c r="F15">
        <v>6.5449959849999999</v>
      </c>
    </row>
    <row r="16" spans="1:8" x14ac:dyDescent="0.3">
      <c r="A16" t="s">
        <v>2750</v>
      </c>
      <c r="B16" t="s">
        <v>2761</v>
      </c>
      <c r="C16" t="s">
        <v>2695</v>
      </c>
      <c r="D16">
        <v>7</v>
      </c>
      <c r="E16">
        <v>-70.734265250000007</v>
      </c>
      <c r="F16">
        <v>9.0988914909999998</v>
      </c>
    </row>
    <row r="17" spans="1:6" x14ac:dyDescent="0.3">
      <c r="A17" t="s">
        <v>2751</v>
      </c>
      <c r="B17" t="s">
        <v>2761</v>
      </c>
      <c r="C17" t="s">
        <v>2695</v>
      </c>
      <c r="D17">
        <v>5</v>
      </c>
      <c r="E17">
        <v>-51.858783000000003</v>
      </c>
      <c r="F17">
        <v>1.0860827200000001</v>
      </c>
    </row>
    <row r="18" spans="1:6" x14ac:dyDescent="0.3">
      <c r="A18" t="s">
        <v>2751</v>
      </c>
      <c r="B18" t="s">
        <v>2761</v>
      </c>
      <c r="C18" t="s">
        <v>2695</v>
      </c>
      <c r="D18">
        <v>5</v>
      </c>
      <c r="E18">
        <v>-51.550561999999999</v>
      </c>
      <c r="F18">
        <v>3.0585517100000001</v>
      </c>
    </row>
    <row r="19" spans="1:6" x14ac:dyDescent="0.3">
      <c r="A19" t="s">
        <v>2751</v>
      </c>
      <c r="B19" t="s">
        <v>2761</v>
      </c>
      <c r="C19" t="s">
        <v>2695</v>
      </c>
      <c r="D19">
        <v>6</v>
      </c>
      <c r="E19">
        <v>-63.505791250000001</v>
      </c>
      <c r="F19">
        <v>5.8278533020000003</v>
      </c>
    </row>
    <row r="20" spans="1:6" x14ac:dyDescent="0.3">
      <c r="A20" t="s">
        <v>2751</v>
      </c>
      <c r="B20" t="s">
        <v>2761</v>
      </c>
      <c r="C20" t="s">
        <v>2695</v>
      </c>
      <c r="D20">
        <v>6</v>
      </c>
      <c r="E20">
        <v>-59.880514000000005</v>
      </c>
      <c r="F20">
        <v>4.7433851579999997</v>
      </c>
    </row>
    <row r="21" spans="1:6" x14ac:dyDescent="0.3">
      <c r="A21" t="s">
        <v>2751</v>
      </c>
      <c r="B21" t="s">
        <v>2761</v>
      </c>
      <c r="C21" t="s">
        <v>2695</v>
      </c>
      <c r="D21">
        <v>6</v>
      </c>
      <c r="E21">
        <v>-59.113617750000003</v>
      </c>
      <c r="F21">
        <v>4.8630116880000003</v>
      </c>
    </row>
    <row r="22" spans="1:6" x14ac:dyDescent="0.3">
      <c r="A22" t="s">
        <v>2751</v>
      </c>
      <c r="B22" t="s">
        <v>2761</v>
      </c>
      <c r="C22" t="s">
        <v>2695</v>
      </c>
      <c r="D22">
        <v>7</v>
      </c>
      <c r="E22">
        <v>-72.028892999999997</v>
      </c>
      <c r="F22">
        <v>5.7561244809999996</v>
      </c>
    </row>
    <row r="23" spans="1:6" x14ac:dyDescent="0.3">
      <c r="A23" t="s">
        <v>2751</v>
      </c>
      <c r="B23" t="s">
        <v>2761</v>
      </c>
      <c r="C23" t="s">
        <v>2695</v>
      </c>
      <c r="D23">
        <v>7</v>
      </c>
      <c r="E23">
        <v>-70.633115000000004</v>
      </c>
      <c r="F23">
        <v>6.6833936920000001</v>
      </c>
    </row>
    <row r="24" spans="1:6" x14ac:dyDescent="0.3">
      <c r="A24" t="s">
        <v>2753</v>
      </c>
      <c r="B24" t="s">
        <v>2761</v>
      </c>
      <c r="C24" t="s">
        <v>2695</v>
      </c>
      <c r="D24">
        <v>7</v>
      </c>
      <c r="E24">
        <v>-73.642634999999999</v>
      </c>
      <c r="F24">
        <v>6.6841224730000004</v>
      </c>
    </row>
    <row r="25" spans="1:6" x14ac:dyDescent="0.3">
      <c r="A25" t="s">
        <v>2754</v>
      </c>
      <c r="B25" t="s">
        <v>2761</v>
      </c>
      <c r="C25" t="s">
        <v>2695</v>
      </c>
      <c r="D25">
        <v>3</v>
      </c>
      <c r="E25">
        <v>-29.85</v>
      </c>
      <c r="F25">
        <v>4.448716224</v>
      </c>
    </row>
    <row r="26" spans="1:6" x14ac:dyDescent="0.3">
      <c r="A26" t="s">
        <v>2754</v>
      </c>
      <c r="B26" t="s">
        <v>2761</v>
      </c>
      <c r="C26" t="s">
        <v>2695</v>
      </c>
      <c r="D26">
        <v>4</v>
      </c>
      <c r="E26">
        <v>-39.336625500000004</v>
      </c>
      <c r="F26">
        <v>2.1530488000000001</v>
      </c>
    </row>
    <row r="27" spans="1:6" x14ac:dyDescent="0.3">
      <c r="A27" t="s">
        <v>2754</v>
      </c>
      <c r="B27" t="s">
        <v>2761</v>
      </c>
      <c r="C27" t="s">
        <v>2695</v>
      </c>
      <c r="D27">
        <v>4</v>
      </c>
      <c r="E27">
        <v>-37.864625000000004</v>
      </c>
      <c r="F27">
        <v>4.74909654</v>
      </c>
    </row>
    <row r="28" spans="1:6" x14ac:dyDescent="0.3">
      <c r="A28" t="s">
        <v>2754</v>
      </c>
      <c r="B28" t="s">
        <v>2761</v>
      </c>
      <c r="C28" t="s">
        <v>2695</v>
      </c>
      <c r="D28">
        <v>5</v>
      </c>
      <c r="E28">
        <v>-53.598146249999999</v>
      </c>
      <c r="F28">
        <v>4.143578626</v>
      </c>
    </row>
    <row r="29" spans="1:6" x14ac:dyDescent="0.3">
      <c r="A29" t="s">
        <v>2754</v>
      </c>
      <c r="B29" t="s">
        <v>2761</v>
      </c>
      <c r="C29" t="s">
        <v>2695</v>
      </c>
      <c r="D29">
        <v>5</v>
      </c>
      <c r="E29">
        <v>-51.9375</v>
      </c>
      <c r="F29">
        <v>3.3433716809999998</v>
      </c>
    </row>
    <row r="30" spans="1:6" x14ac:dyDescent="0.3">
      <c r="A30" t="s">
        <v>2754</v>
      </c>
      <c r="B30" t="s">
        <v>2761</v>
      </c>
      <c r="C30" t="s">
        <v>2695</v>
      </c>
      <c r="D30">
        <v>5</v>
      </c>
      <c r="E30">
        <v>-51.889034500000001</v>
      </c>
      <c r="F30">
        <v>4.3369842680000001</v>
      </c>
    </row>
    <row r="31" spans="1:6" x14ac:dyDescent="0.3">
      <c r="A31" t="s">
        <v>2754</v>
      </c>
      <c r="B31" t="s">
        <v>2761</v>
      </c>
      <c r="C31" t="s">
        <v>2695</v>
      </c>
      <c r="D31">
        <v>6</v>
      </c>
      <c r="E31">
        <v>-64.74261525</v>
      </c>
      <c r="F31">
        <v>4.5723211050000003</v>
      </c>
    </row>
    <row r="32" spans="1:6" x14ac:dyDescent="0.3">
      <c r="A32" t="s">
        <v>2754</v>
      </c>
      <c r="B32" t="s">
        <v>2761</v>
      </c>
      <c r="C32" t="s">
        <v>2695</v>
      </c>
      <c r="D32">
        <v>6</v>
      </c>
      <c r="E32">
        <v>-64.431995499999999</v>
      </c>
      <c r="F32">
        <v>5.0836579520000003</v>
      </c>
    </row>
    <row r="33" spans="1:7" x14ac:dyDescent="0.3">
      <c r="A33" t="s">
        <v>2754</v>
      </c>
      <c r="B33" t="s">
        <v>2761</v>
      </c>
      <c r="C33" t="s">
        <v>2695</v>
      </c>
      <c r="D33">
        <v>6</v>
      </c>
      <c r="E33">
        <v>-60.296180249999999</v>
      </c>
      <c r="F33">
        <v>6.308539991</v>
      </c>
    </row>
    <row r="34" spans="1:7" x14ac:dyDescent="0.3">
      <c r="A34" t="s">
        <v>2754</v>
      </c>
      <c r="B34" t="s">
        <v>2761</v>
      </c>
      <c r="C34" t="s">
        <v>2695</v>
      </c>
      <c r="D34">
        <v>6</v>
      </c>
      <c r="E34">
        <v>-57.487499999999997</v>
      </c>
      <c r="F34">
        <v>5.6515635069999997</v>
      </c>
    </row>
    <row r="35" spans="1:7" x14ac:dyDescent="0.3">
      <c r="A35" t="s">
        <v>2754</v>
      </c>
      <c r="B35" t="s">
        <v>2761</v>
      </c>
      <c r="C35" t="s">
        <v>2695</v>
      </c>
      <c r="D35">
        <v>7</v>
      </c>
      <c r="E35">
        <v>-74.674144499999997</v>
      </c>
      <c r="F35">
        <v>6.4441190510000004</v>
      </c>
    </row>
    <row r="36" spans="1:7" x14ac:dyDescent="0.3">
      <c r="A36" t="s">
        <v>2754</v>
      </c>
      <c r="B36" t="s">
        <v>2761</v>
      </c>
      <c r="C36" t="s">
        <v>2695</v>
      </c>
      <c r="D36">
        <v>7</v>
      </c>
      <c r="E36">
        <v>-74.3125</v>
      </c>
      <c r="F36">
        <v>1.2550141539999999</v>
      </c>
    </row>
    <row r="37" spans="1:7" x14ac:dyDescent="0.3">
      <c r="A37" t="s">
        <v>2754</v>
      </c>
      <c r="B37" t="s">
        <v>2761</v>
      </c>
      <c r="C37" t="s">
        <v>2695</v>
      </c>
      <c r="D37">
        <v>7</v>
      </c>
      <c r="E37">
        <v>-73.840697500000005</v>
      </c>
      <c r="F37">
        <v>6.6736759040000004</v>
      </c>
    </row>
    <row r="38" spans="1:7" x14ac:dyDescent="0.3">
      <c r="A38" t="s">
        <v>2754</v>
      </c>
      <c r="B38" t="s">
        <v>2761</v>
      </c>
      <c r="C38" t="s">
        <v>2695</v>
      </c>
      <c r="D38">
        <v>7</v>
      </c>
      <c r="E38">
        <v>-73.014245750000001</v>
      </c>
      <c r="F38">
        <v>6.1231649890000002</v>
      </c>
    </row>
    <row r="39" spans="1:7" x14ac:dyDescent="0.3">
      <c r="A39" t="s">
        <v>2754</v>
      </c>
      <c r="B39" t="s">
        <v>2761</v>
      </c>
      <c r="C39" t="s">
        <v>2695</v>
      </c>
      <c r="D39">
        <v>7</v>
      </c>
      <c r="E39">
        <v>-71.212500000000006</v>
      </c>
      <c r="F39">
        <v>4.6128611279999996</v>
      </c>
    </row>
    <row r="40" spans="1:7" x14ac:dyDescent="0.3">
      <c r="A40" t="s">
        <v>2754</v>
      </c>
      <c r="B40" t="s">
        <v>2761</v>
      </c>
      <c r="C40" t="s">
        <v>2695</v>
      </c>
      <c r="D40">
        <v>7</v>
      </c>
      <c r="E40">
        <v>-71.129618000000008</v>
      </c>
      <c r="F40">
        <v>8.7866986669999996</v>
      </c>
    </row>
    <row r="41" spans="1:7" x14ac:dyDescent="0.3">
      <c r="A41" t="s">
        <v>2754</v>
      </c>
      <c r="B41" t="s">
        <v>2761</v>
      </c>
      <c r="C41" t="s">
        <v>2695</v>
      </c>
      <c r="D41">
        <v>7</v>
      </c>
      <c r="E41">
        <v>-69.975000000000009</v>
      </c>
      <c r="F41">
        <v>5.6833118059999999</v>
      </c>
    </row>
    <row r="42" spans="1:7" x14ac:dyDescent="0.3">
      <c r="A42" t="s">
        <v>2754</v>
      </c>
      <c r="B42" t="s">
        <v>2761</v>
      </c>
      <c r="C42" t="s">
        <v>2695</v>
      </c>
      <c r="D42">
        <v>7</v>
      </c>
      <c r="E42">
        <v>-68.2</v>
      </c>
      <c r="F42">
        <v>4.2251110140000003</v>
      </c>
    </row>
    <row r="43" spans="1:7" x14ac:dyDescent="0.3">
      <c r="A43" t="s">
        <v>2754</v>
      </c>
      <c r="B43" t="s">
        <v>2761</v>
      </c>
      <c r="C43" t="s">
        <v>2695</v>
      </c>
      <c r="D43">
        <v>7</v>
      </c>
      <c r="E43">
        <v>-68.0625</v>
      </c>
      <c r="F43">
        <v>2.1809722819999999</v>
      </c>
    </row>
    <row r="44" spans="1:7" x14ac:dyDescent="0.3">
      <c r="A44" t="s">
        <v>2754</v>
      </c>
      <c r="B44" t="s">
        <v>2761</v>
      </c>
      <c r="C44" t="s">
        <v>2695</v>
      </c>
      <c r="D44">
        <v>7</v>
      </c>
      <c r="E44">
        <v>-66.087500000000006</v>
      </c>
      <c r="F44">
        <v>3.9660569749999999</v>
      </c>
    </row>
    <row r="45" spans="1:7" x14ac:dyDescent="0.3">
      <c r="A45" t="s">
        <v>2750</v>
      </c>
      <c r="B45" t="s">
        <v>2763</v>
      </c>
      <c r="C45" t="s">
        <v>2696</v>
      </c>
      <c r="D45">
        <v>2</v>
      </c>
      <c r="E45">
        <v>-24.049157664999999</v>
      </c>
      <c r="G45">
        <v>-1.1691658789999999</v>
      </c>
    </row>
    <row r="46" spans="1:7" x14ac:dyDescent="0.3">
      <c r="A46" t="s">
        <v>2750</v>
      </c>
      <c r="B46" t="s">
        <v>2763</v>
      </c>
      <c r="C46" t="s">
        <v>2696</v>
      </c>
      <c r="D46">
        <v>3</v>
      </c>
      <c r="E46">
        <v>-34.894203252499999</v>
      </c>
      <c r="G46">
        <v>-0.27530228699999998</v>
      </c>
    </row>
    <row r="47" spans="1:7" x14ac:dyDescent="0.3">
      <c r="A47" t="s">
        <v>2750</v>
      </c>
      <c r="B47" t="s">
        <v>2763</v>
      </c>
      <c r="C47" t="s">
        <v>2696</v>
      </c>
      <c r="D47">
        <v>3</v>
      </c>
      <c r="E47">
        <v>-34.544881035000003</v>
      </c>
      <c r="G47">
        <v>4.1568201020000002</v>
      </c>
    </row>
    <row r="48" spans="1:7" x14ac:dyDescent="0.3">
      <c r="A48" t="s">
        <v>2750</v>
      </c>
      <c r="B48" t="s">
        <v>2763</v>
      </c>
      <c r="C48" t="s">
        <v>2696</v>
      </c>
      <c r="D48">
        <v>3</v>
      </c>
      <c r="E48">
        <v>-33.670045282500006</v>
      </c>
      <c r="G48">
        <v>1.0884486019999999</v>
      </c>
    </row>
    <row r="49" spans="1:7" x14ac:dyDescent="0.3">
      <c r="A49" t="s">
        <v>2750</v>
      </c>
      <c r="B49" t="s">
        <v>2763</v>
      </c>
      <c r="C49" t="s">
        <v>2696</v>
      </c>
      <c r="D49">
        <v>3</v>
      </c>
      <c r="E49">
        <v>-33.202314287500002</v>
      </c>
      <c r="G49">
        <v>0.12422535017686376</v>
      </c>
    </row>
    <row r="50" spans="1:7" x14ac:dyDescent="0.3">
      <c r="A50" t="s">
        <v>2750</v>
      </c>
      <c r="B50" t="s">
        <v>2763</v>
      </c>
      <c r="C50" t="s">
        <v>2696</v>
      </c>
      <c r="D50">
        <v>3</v>
      </c>
      <c r="E50">
        <v>-32.651106962499995</v>
      </c>
      <c r="G50">
        <v>2.0368459365255687</v>
      </c>
    </row>
    <row r="51" spans="1:7" x14ac:dyDescent="0.3">
      <c r="A51" t="s">
        <v>2750</v>
      </c>
      <c r="B51" t="s">
        <v>2763</v>
      </c>
      <c r="C51" t="s">
        <v>2696</v>
      </c>
      <c r="D51">
        <v>3</v>
      </c>
      <c r="E51">
        <v>-32.598336824999997</v>
      </c>
      <c r="G51">
        <v>-1.413145592</v>
      </c>
    </row>
    <row r="52" spans="1:7" x14ac:dyDescent="0.3">
      <c r="A52" t="s">
        <v>2750</v>
      </c>
      <c r="B52" t="s">
        <v>2763</v>
      </c>
      <c r="C52" t="s">
        <v>2696</v>
      </c>
      <c r="D52">
        <v>3</v>
      </c>
      <c r="E52">
        <v>-32.411169112499998</v>
      </c>
      <c r="G52">
        <v>0.43389958299999998</v>
      </c>
    </row>
    <row r="53" spans="1:7" x14ac:dyDescent="0.3">
      <c r="A53" t="s">
        <v>2750</v>
      </c>
      <c r="B53" t="s">
        <v>2763</v>
      </c>
      <c r="C53" t="s">
        <v>2696</v>
      </c>
      <c r="D53">
        <v>3</v>
      </c>
      <c r="E53">
        <v>-32.077961037500003</v>
      </c>
      <c r="G53">
        <v>1.4755743795724348</v>
      </c>
    </row>
    <row r="54" spans="1:7" x14ac:dyDescent="0.3">
      <c r="A54" t="s">
        <v>2750</v>
      </c>
      <c r="B54" t="s">
        <v>2763</v>
      </c>
      <c r="C54" t="s">
        <v>2696</v>
      </c>
      <c r="D54">
        <v>3</v>
      </c>
      <c r="E54">
        <v>-30.630996202499997</v>
      </c>
      <c r="G54">
        <v>9.886901E-3</v>
      </c>
    </row>
    <row r="55" spans="1:7" x14ac:dyDescent="0.3">
      <c r="A55" t="s">
        <v>2750</v>
      </c>
      <c r="B55" t="s">
        <v>2763</v>
      </c>
      <c r="C55" t="s">
        <v>2696</v>
      </c>
      <c r="D55">
        <v>3</v>
      </c>
      <c r="E55">
        <v>-30.554749999999995</v>
      </c>
      <c r="G55">
        <v>2.2135804690000001</v>
      </c>
    </row>
    <row r="56" spans="1:7" x14ac:dyDescent="0.3">
      <c r="A56" t="s">
        <v>2750</v>
      </c>
      <c r="B56" t="s">
        <v>2763</v>
      </c>
      <c r="C56" t="s">
        <v>2696</v>
      </c>
      <c r="D56">
        <v>3</v>
      </c>
      <c r="E56">
        <v>-30.551857174999999</v>
      </c>
      <c r="G56">
        <v>0.6062469160672852</v>
      </c>
    </row>
    <row r="57" spans="1:7" x14ac:dyDescent="0.3">
      <c r="A57" t="s">
        <v>2750</v>
      </c>
      <c r="B57" t="s">
        <v>2763</v>
      </c>
      <c r="C57" t="s">
        <v>2696</v>
      </c>
      <c r="D57">
        <v>3</v>
      </c>
      <c r="E57">
        <v>-29.100380242500002</v>
      </c>
      <c r="G57">
        <v>-0.76427224599999999</v>
      </c>
    </row>
    <row r="58" spans="1:7" x14ac:dyDescent="0.3">
      <c r="A58" t="s">
        <v>2750</v>
      </c>
      <c r="B58" t="s">
        <v>2763</v>
      </c>
      <c r="C58" t="s">
        <v>2696</v>
      </c>
      <c r="D58">
        <v>3</v>
      </c>
      <c r="E58">
        <v>-28.900977525000002</v>
      </c>
      <c r="G58">
        <v>4.3163520451468553</v>
      </c>
    </row>
    <row r="59" spans="1:7" x14ac:dyDescent="0.3">
      <c r="A59" t="s">
        <v>2750</v>
      </c>
      <c r="B59" t="s">
        <v>2763</v>
      </c>
      <c r="C59" t="s">
        <v>2696</v>
      </c>
      <c r="D59">
        <v>3</v>
      </c>
      <c r="E59">
        <v>-28.282388017499997</v>
      </c>
      <c r="G59">
        <v>-1.5456571690000001</v>
      </c>
    </row>
    <row r="60" spans="1:7" x14ac:dyDescent="0.3">
      <c r="A60" t="s">
        <v>2750</v>
      </c>
      <c r="B60" t="s">
        <v>2763</v>
      </c>
      <c r="C60" t="s">
        <v>2696</v>
      </c>
      <c r="D60">
        <v>3</v>
      </c>
      <c r="E60">
        <v>-27.939940425</v>
      </c>
      <c r="G60">
        <v>1.1488561859999999</v>
      </c>
    </row>
    <row r="61" spans="1:7" x14ac:dyDescent="0.3">
      <c r="A61" t="s">
        <v>2750</v>
      </c>
      <c r="B61" t="s">
        <v>2763</v>
      </c>
      <c r="C61" t="s">
        <v>2696</v>
      </c>
      <c r="D61">
        <v>3</v>
      </c>
      <c r="E61">
        <v>-27.682014062499999</v>
      </c>
      <c r="G61">
        <v>1.3894092580109372</v>
      </c>
    </row>
    <row r="62" spans="1:7" x14ac:dyDescent="0.3">
      <c r="A62" t="s">
        <v>2750</v>
      </c>
      <c r="B62" t="s">
        <v>2763</v>
      </c>
      <c r="C62" t="s">
        <v>2696</v>
      </c>
      <c r="D62">
        <v>3</v>
      </c>
      <c r="E62">
        <v>-26.927848349999994</v>
      </c>
      <c r="G62">
        <v>3.5803873999999999E-2</v>
      </c>
    </row>
    <row r="63" spans="1:7" x14ac:dyDescent="0.3">
      <c r="A63" t="s">
        <v>2750</v>
      </c>
      <c r="B63" t="s">
        <v>2763</v>
      </c>
      <c r="C63" t="s">
        <v>2696</v>
      </c>
      <c r="D63">
        <v>3</v>
      </c>
      <c r="E63">
        <v>-25.732220987500003</v>
      </c>
      <c r="G63">
        <v>1.5919531131477958</v>
      </c>
    </row>
    <row r="64" spans="1:7" x14ac:dyDescent="0.3">
      <c r="A64" t="s">
        <v>2750</v>
      </c>
      <c r="B64" t="s">
        <v>2763</v>
      </c>
      <c r="C64" t="s">
        <v>2696</v>
      </c>
      <c r="D64">
        <v>3</v>
      </c>
      <c r="E64">
        <v>-25.078176474999996</v>
      </c>
      <c r="G64">
        <v>2.7406756114669628</v>
      </c>
    </row>
    <row r="65" spans="1:7" x14ac:dyDescent="0.3">
      <c r="A65" t="s">
        <v>2750</v>
      </c>
      <c r="B65" t="s">
        <v>2763</v>
      </c>
      <c r="C65" t="s">
        <v>2696</v>
      </c>
      <c r="D65">
        <v>4</v>
      </c>
      <c r="E65">
        <v>-42.193026800000005</v>
      </c>
      <c r="G65">
        <v>2.0479478071630148</v>
      </c>
    </row>
    <row r="66" spans="1:7" x14ac:dyDescent="0.3">
      <c r="A66" t="s">
        <v>2750</v>
      </c>
      <c r="B66" t="s">
        <v>2763</v>
      </c>
      <c r="C66" t="s">
        <v>2696</v>
      </c>
      <c r="D66">
        <v>4</v>
      </c>
      <c r="E66">
        <v>-42.057281712500007</v>
      </c>
      <c r="G66">
        <v>-0.37463331092662133</v>
      </c>
    </row>
    <row r="67" spans="1:7" x14ac:dyDescent="0.3">
      <c r="A67" t="s">
        <v>2750</v>
      </c>
      <c r="B67" t="s">
        <v>2763</v>
      </c>
      <c r="C67" t="s">
        <v>2696</v>
      </c>
      <c r="D67">
        <v>4</v>
      </c>
      <c r="E67">
        <v>-41.400765022499996</v>
      </c>
      <c r="G67">
        <v>-1.1691658789999999</v>
      </c>
    </row>
    <row r="68" spans="1:7" x14ac:dyDescent="0.3">
      <c r="A68" t="s">
        <v>2750</v>
      </c>
      <c r="B68" t="s">
        <v>2763</v>
      </c>
      <c r="C68" t="s">
        <v>2696</v>
      </c>
      <c r="D68">
        <v>4</v>
      </c>
      <c r="E68">
        <v>-41.394625267500004</v>
      </c>
      <c r="G68">
        <v>0.39691395899999998</v>
      </c>
    </row>
    <row r="69" spans="1:7" x14ac:dyDescent="0.3">
      <c r="A69" t="s">
        <v>2750</v>
      </c>
      <c r="B69" t="s">
        <v>2763</v>
      </c>
      <c r="C69" t="s">
        <v>2696</v>
      </c>
      <c r="D69">
        <v>4</v>
      </c>
      <c r="E69">
        <v>-40.753306175000006</v>
      </c>
      <c r="G69">
        <v>2.5328247165417843</v>
      </c>
    </row>
    <row r="70" spans="1:7" x14ac:dyDescent="0.3">
      <c r="A70" t="s">
        <v>2750</v>
      </c>
      <c r="B70" t="s">
        <v>2763</v>
      </c>
      <c r="C70" t="s">
        <v>2696</v>
      </c>
      <c r="D70">
        <v>4</v>
      </c>
      <c r="E70">
        <v>-40.431652200000002</v>
      </c>
      <c r="G70">
        <v>-1.3365580610000001</v>
      </c>
    </row>
    <row r="71" spans="1:7" x14ac:dyDescent="0.3">
      <c r="A71" t="s">
        <v>2750</v>
      </c>
      <c r="B71" t="s">
        <v>2763</v>
      </c>
      <c r="C71" t="s">
        <v>2696</v>
      </c>
      <c r="D71">
        <v>4</v>
      </c>
      <c r="E71">
        <v>-40.407773225000007</v>
      </c>
      <c r="G71">
        <v>0.65172609636182832</v>
      </c>
    </row>
    <row r="72" spans="1:7" x14ac:dyDescent="0.3">
      <c r="A72" t="s">
        <v>2750</v>
      </c>
      <c r="B72" t="s">
        <v>2763</v>
      </c>
      <c r="C72" t="s">
        <v>2696</v>
      </c>
      <c r="D72">
        <v>4</v>
      </c>
      <c r="E72">
        <v>-39.964426132500002</v>
      </c>
      <c r="G72">
        <v>-0.79126873200000003</v>
      </c>
    </row>
    <row r="73" spans="1:7" x14ac:dyDescent="0.3">
      <c r="A73" t="s">
        <v>2750</v>
      </c>
      <c r="B73" t="s">
        <v>2763</v>
      </c>
      <c r="C73" t="s">
        <v>2696</v>
      </c>
      <c r="D73">
        <v>4</v>
      </c>
      <c r="E73">
        <v>-39.815431025000002</v>
      </c>
      <c r="G73">
        <v>4.303145512077255</v>
      </c>
    </row>
    <row r="74" spans="1:7" x14ac:dyDescent="0.3">
      <c r="A74" t="s">
        <v>2750</v>
      </c>
      <c r="B74" t="s">
        <v>2763</v>
      </c>
      <c r="C74" t="s">
        <v>2696</v>
      </c>
      <c r="D74">
        <v>4</v>
      </c>
      <c r="E74">
        <v>-39.613659975000004</v>
      </c>
      <c r="G74">
        <v>-0.81615113100000003</v>
      </c>
    </row>
    <row r="75" spans="1:7" x14ac:dyDescent="0.3">
      <c r="A75" t="s">
        <v>2750</v>
      </c>
      <c r="B75" t="s">
        <v>2763</v>
      </c>
      <c r="C75" t="s">
        <v>2696</v>
      </c>
      <c r="D75">
        <v>4</v>
      </c>
      <c r="E75">
        <v>-39.594249990000002</v>
      </c>
      <c r="G75">
        <v>-1.3236157209999999</v>
      </c>
    </row>
    <row r="76" spans="1:7" x14ac:dyDescent="0.3">
      <c r="A76" t="s">
        <v>2750</v>
      </c>
      <c r="B76" t="s">
        <v>2763</v>
      </c>
      <c r="C76" t="s">
        <v>2696</v>
      </c>
      <c r="D76">
        <v>4</v>
      </c>
      <c r="E76">
        <v>-37.934696272500005</v>
      </c>
      <c r="G76">
        <v>-0.47035755200000001</v>
      </c>
    </row>
    <row r="77" spans="1:7" x14ac:dyDescent="0.3">
      <c r="A77" t="s">
        <v>2750</v>
      </c>
      <c r="B77" t="s">
        <v>2763</v>
      </c>
      <c r="C77" t="s">
        <v>2696</v>
      </c>
      <c r="D77">
        <v>4</v>
      </c>
      <c r="E77">
        <v>-36.180865485000005</v>
      </c>
      <c r="G77">
        <v>0.100789875</v>
      </c>
    </row>
    <row r="78" spans="1:7" x14ac:dyDescent="0.3">
      <c r="A78" t="s">
        <v>2750</v>
      </c>
      <c r="B78" t="s">
        <v>2763</v>
      </c>
      <c r="C78" t="s">
        <v>2696</v>
      </c>
      <c r="D78">
        <v>4</v>
      </c>
      <c r="E78">
        <v>-35.716412272500001</v>
      </c>
      <c r="G78">
        <v>-0.92334619100000004</v>
      </c>
    </row>
    <row r="79" spans="1:7" x14ac:dyDescent="0.3">
      <c r="A79" t="s">
        <v>2750</v>
      </c>
      <c r="B79" t="s">
        <v>2763</v>
      </c>
      <c r="C79" t="s">
        <v>2696</v>
      </c>
      <c r="D79">
        <v>5</v>
      </c>
      <c r="E79">
        <v>-54.803359665000009</v>
      </c>
      <c r="G79">
        <v>-1.6715452049999999</v>
      </c>
    </row>
    <row r="80" spans="1:7" x14ac:dyDescent="0.3">
      <c r="A80" t="s">
        <v>2750</v>
      </c>
      <c r="B80" t="s">
        <v>2763</v>
      </c>
      <c r="C80" t="s">
        <v>2696</v>
      </c>
      <c r="D80">
        <v>5</v>
      </c>
      <c r="E80">
        <v>-53.400909075000008</v>
      </c>
      <c r="G80">
        <v>-5.8946983736034131E-2</v>
      </c>
    </row>
    <row r="81" spans="1:7" x14ac:dyDescent="0.3">
      <c r="A81" t="s">
        <v>2750</v>
      </c>
      <c r="B81" t="s">
        <v>2763</v>
      </c>
      <c r="C81" t="s">
        <v>2696</v>
      </c>
      <c r="D81">
        <v>5</v>
      </c>
      <c r="E81">
        <v>-53.293540117500001</v>
      </c>
      <c r="G81">
        <v>-1.0430805439999999</v>
      </c>
    </row>
    <row r="82" spans="1:7" x14ac:dyDescent="0.3">
      <c r="A82" t="s">
        <v>2750</v>
      </c>
      <c r="B82" t="s">
        <v>2763</v>
      </c>
      <c r="C82" t="s">
        <v>2696</v>
      </c>
      <c r="D82">
        <v>5</v>
      </c>
      <c r="E82">
        <v>-52.549250000000001</v>
      </c>
      <c r="G82">
        <v>0.60270095999999995</v>
      </c>
    </row>
    <row r="83" spans="1:7" x14ac:dyDescent="0.3">
      <c r="A83" t="s">
        <v>2750</v>
      </c>
      <c r="B83" t="s">
        <v>2763</v>
      </c>
      <c r="C83" t="s">
        <v>2696</v>
      </c>
      <c r="D83">
        <v>5</v>
      </c>
      <c r="E83">
        <v>-52.327288837500006</v>
      </c>
      <c r="G83">
        <v>0.26806939995990509</v>
      </c>
    </row>
    <row r="84" spans="1:7" x14ac:dyDescent="0.3">
      <c r="A84" t="s">
        <v>2750</v>
      </c>
      <c r="B84" t="s">
        <v>2763</v>
      </c>
      <c r="C84" t="s">
        <v>2696</v>
      </c>
      <c r="D84">
        <v>5</v>
      </c>
      <c r="E84">
        <v>-50.941043550000003</v>
      </c>
      <c r="G84">
        <v>-0.16429921586171181</v>
      </c>
    </row>
    <row r="85" spans="1:7" x14ac:dyDescent="0.3">
      <c r="A85" t="s">
        <v>2750</v>
      </c>
      <c r="B85" t="s">
        <v>2763</v>
      </c>
      <c r="C85" t="s">
        <v>2696</v>
      </c>
      <c r="D85">
        <v>5</v>
      </c>
      <c r="E85">
        <v>-50.326762750000007</v>
      </c>
      <c r="G85">
        <v>2.3573002094732995</v>
      </c>
    </row>
    <row r="86" spans="1:7" x14ac:dyDescent="0.3">
      <c r="A86" t="s">
        <v>2750</v>
      </c>
      <c r="B86" t="s">
        <v>2763</v>
      </c>
      <c r="C86" t="s">
        <v>2696</v>
      </c>
      <c r="D86">
        <v>5</v>
      </c>
      <c r="E86">
        <v>-50.113075432499997</v>
      </c>
      <c r="G86">
        <v>0.73120513499999995</v>
      </c>
    </row>
    <row r="87" spans="1:7" x14ac:dyDescent="0.3">
      <c r="A87" t="s">
        <v>2750</v>
      </c>
      <c r="B87" t="s">
        <v>2763</v>
      </c>
      <c r="C87" t="s">
        <v>2696</v>
      </c>
      <c r="D87">
        <v>5</v>
      </c>
      <c r="E87">
        <v>-49.614500000000007</v>
      </c>
      <c r="G87">
        <v>-1.2849384619999999</v>
      </c>
    </row>
    <row r="88" spans="1:7" x14ac:dyDescent="0.3">
      <c r="A88" t="s">
        <v>2750</v>
      </c>
      <c r="B88" t="s">
        <v>2763</v>
      </c>
      <c r="C88" t="s">
        <v>2696</v>
      </c>
      <c r="D88">
        <v>5</v>
      </c>
      <c r="E88">
        <v>-48.19049157500001</v>
      </c>
      <c r="G88">
        <v>-1.3106764455763671</v>
      </c>
    </row>
    <row r="89" spans="1:7" x14ac:dyDescent="0.3">
      <c r="A89" t="s">
        <v>2750</v>
      </c>
      <c r="B89" t="s">
        <v>2763</v>
      </c>
      <c r="C89" t="s">
        <v>2696</v>
      </c>
      <c r="D89">
        <v>5</v>
      </c>
      <c r="E89">
        <v>-48.163068324999998</v>
      </c>
      <c r="G89">
        <v>-0.3724813647843539</v>
      </c>
    </row>
    <row r="90" spans="1:7" x14ac:dyDescent="0.3">
      <c r="A90" t="s">
        <v>2750</v>
      </c>
      <c r="B90" t="s">
        <v>2763</v>
      </c>
      <c r="C90" t="s">
        <v>2696</v>
      </c>
      <c r="D90">
        <v>5</v>
      </c>
      <c r="E90">
        <v>-47.377653975000001</v>
      </c>
      <c r="G90">
        <v>-0.67011379999999998</v>
      </c>
    </row>
    <row r="91" spans="1:7" x14ac:dyDescent="0.3">
      <c r="A91" t="s">
        <v>2750</v>
      </c>
      <c r="B91" t="s">
        <v>2763</v>
      </c>
      <c r="C91" t="s">
        <v>2696</v>
      </c>
      <c r="D91">
        <v>5</v>
      </c>
      <c r="E91">
        <v>-46.918052775000007</v>
      </c>
      <c r="G91">
        <v>1.5747509275122344</v>
      </c>
    </row>
    <row r="92" spans="1:7" x14ac:dyDescent="0.3">
      <c r="A92" t="s">
        <v>2750</v>
      </c>
      <c r="B92" t="s">
        <v>2763</v>
      </c>
      <c r="C92" t="s">
        <v>2696</v>
      </c>
      <c r="D92">
        <v>5</v>
      </c>
      <c r="E92">
        <v>-45.568366087500003</v>
      </c>
      <c r="G92">
        <v>2.6561990980000001</v>
      </c>
    </row>
    <row r="93" spans="1:7" x14ac:dyDescent="0.3">
      <c r="A93" t="s">
        <v>2750</v>
      </c>
      <c r="B93" t="s">
        <v>2763</v>
      </c>
      <c r="C93" t="s">
        <v>2696</v>
      </c>
      <c r="D93">
        <v>6</v>
      </c>
      <c r="E93">
        <v>-64.296228757500003</v>
      </c>
      <c r="G93">
        <v>-1.2004385360000001</v>
      </c>
    </row>
    <row r="94" spans="1:7" x14ac:dyDescent="0.3">
      <c r="A94" t="s">
        <v>2750</v>
      </c>
      <c r="B94" t="s">
        <v>2763</v>
      </c>
      <c r="C94" t="s">
        <v>2696</v>
      </c>
      <c r="D94">
        <v>6</v>
      </c>
      <c r="E94">
        <v>-62.75497965000001</v>
      </c>
      <c r="G94">
        <v>-0.63101091745464055</v>
      </c>
    </row>
    <row r="95" spans="1:7" x14ac:dyDescent="0.3">
      <c r="A95" t="s">
        <v>2750</v>
      </c>
      <c r="B95" t="s">
        <v>2763</v>
      </c>
      <c r="C95" t="s">
        <v>2696</v>
      </c>
      <c r="D95">
        <v>6</v>
      </c>
      <c r="E95">
        <v>-62.111904437500002</v>
      </c>
      <c r="G95">
        <v>1.2578462762450267</v>
      </c>
    </row>
    <row r="96" spans="1:7" x14ac:dyDescent="0.3">
      <c r="A96" t="s">
        <v>2750</v>
      </c>
      <c r="B96" t="s">
        <v>2763</v>
      </c>
      <c r="C96" t="s">
        <v>2696</v>
      </c>
      <c r="D96">
        <v>6</v>
      </c>
      <c r="E96">
        <v>-57.434869150000004</v>
      </c>
      <c r="G96">
        <v>-1.1351922241528278</v>
      </c>
    </row>
    <row r="97" spans="1:8" x14ac:dyDescent="0.3">
      <c r="A97" t="s">
        <v>2750</v>
      </c>
      <c r="B97" t="s">
        <v>2763</v>
      </c>
      <c r="C97" t="s">
        <v>2696</v>
      </c>
      <c r="D97">
        <v>6</v>
      </c>
      <c r="E97">
        <v>-55.889569012500019</v>
      </c>
      <c r="G97">
        <v>1.3105372472643015</v>
      </c>
    </row>
    <row r="98" spans="1:8" x14ac:dyDescent="0.3">
      <c r="A98" t="s">
        <v>2750</v>
      </c>
      <c r="B98" t="s">
        <v>2763</v>
      </c>
      <c r="C98" t="s">
        <v>2696</v>
      </c>
      <c r="D98">
        <v>7</v>
      </c>
      <c r="E98">
        <v>-74.546977150000018</v>
      </c>
      <c r="G98">
        <v>-0.78862924886818908</v>
      </c>
    </row>
    <row r="99" spans="1:8" x14ac:dyDescent="0.3">
      <c r="A99" t="s">
        <v>2750</v>
      </c>
      <c r="B99" t="s">
        <v>2763</v>
      </c>
      <c r="C99" t="s">
        <v>2696</v>
      </c>
      <c r="D99">
        <v>7</v>
      </c>
      <c r="E99">
        <v>-68.117596187500013</v>
      </c>
      <c r="G99">
        <v>6.7388229332522256</v>
      </c>
    </row>
    <row r="100" spans="1:8" x14ac:dyDescent="0.3">
      <c r="A100" t="s">
        <v>2752</v>
      </c>
      <c r="B100" t="s">
        <v>2763</v>
      </c>
      <c r="C100" t="s">
        <v>2696</v>
      </c>
      <c r="D100">
        <v>4</v>
      </c>
      <c r="E100">
        <v>-43.110750000000003</v>
      </c>
      <c r="G100">
        <v>1.887067598</v>
      </c>
    </row>
    <row r="101" spans="1:8" x14ac:dyDescent="0.3">
      <c r="A101" t="s">
        <v>2752</v>
      </c>
      <c r="B101" t="s">
        <v>2763</v>
      </c>
      <c r="C101" t="s">
        <v>2696</v>
      </c>
      <c r="D101">
        <v>5</v>
      </c>
      <c r="E101">
        <v>-46.851749999999996</v>
      </c>
      <c r="G101">
        <v>2.0857327219999999</v>
      </c>
    </row>
    <row r="102" spans="1:8" x14ac:dyDescent="0.3">
      <c r="A102" t="s">
        <v>2752</v>
      </c>
      <c r="B102" t="s">
        <v>2763</v>
      </c>
      <c r="C102" t="s">
        <v>2696</v>
      </c>
      <c r="D102">
        <v>5</v>
      </c>
      <c r="E102">
        <v>-46.647500000000001</v>
      </c>
      <c r="G102">
        <v>3.0885518529999998</v>
      </c>
    </row>
    <row r="103" spans="1:8" x14ac:dyDescent="0.3">
      <c r="A103" t="s">
        <v>2750</v>
      </c>
      <c r="B103" t="s">
        <v>2763</v>
      </c>
      <c r="C103" t="s">
        <v>2695</v>
      </c>
      <c r="D103">
        <v>7</v>
      </c>
      <c r="E103">
        <v>-73.763801917500004</v>
      </c>
      <c r="H103">
        <v>5.5331506380000004</v>
      </c>
    </row>
    <row r="104" spans="1:8" x14ac:dyDescent="0.3">
      <c r="A104" t="s">
        <v>2750</v>
      </c>
      <c r="B104" t="s">
        <v>2763</v>
      </c>
      <c r="C104" t="s">
        <v>2695</v>
      </c>
      <c r="D104">
        <v>7</v>
      </c>
      <c r="E104">
        <v>-70.735145400000007</v>
      </c>
      <c r="H104">
        <v>4.6636115257952433</v>
      </c>
    </row>
    <row r="105" spans="1:8" x14ac:dyDescent="0.3">
      <c r="A105" t="s">
        <v>2750</v>
      </c>
      <c r="B105" t="s">
        <v>2762</v>
      </c>
      <c r="C105" t="s">
        <v>2696</v>
      </c>
      <c r="D105">
        <v>3</v>
      </c>
      <c r="E105">
        <v>-31.044151597500001</v>
      </c>
      <c r="G105">
        <v>1.180864336</v>
      </c>
    </row>
    <row r="106" spans="1:8" x14ac:dyDescent="0.3">
      <c r="A106" t="s">
        <v>2750</v>
      </c>
      <c r="B106" t="s">
        <v>2762</v>
      </c>
      <c r="C106" t="s">
        <v>2696</v>
      </c>
      <c r="D106">
        <v>4</v>
      </c>
      <c r="E106">
        <v>-40.116933157500007</v>
      </c>
      <c r="G106">
        <v>-1.2479256569999999</v>
      </c>
    </row>
    <row r="107" spans="1:8" x14ac:dyDescent="0.3">
      <c r="A107" t="s">
        <v>2750</v>
      </c>
      <c r="B107" t="s">
        <v>2762</v>
      </c>
      <c r="C107" t="s">
        <v>2695</v>
      </c>
      <c r="D107">
        <v>3</v>
      </c>
      <c r="E107">
        <v>-34.964931049999997</v>
      </c>
      <c r="H107">
        <v>0.19</v>
      </c>
    </row>
    <row r="108" spans="1:8" x14ac:dyDescent="0.3">
      <c r="A108" t="s">
        <v>2750</v>
      </c>
      <c r="B108" t="s">
        <v>2762</v>
      </c>
      <c r="C108" t="s">
        <v>2695</v>
      </c>
      <c r="D108">
        <v>4</v>
      </c>
      <c r="E108">
        <v>-44.321822855000001</v>
      </c>
      <c r="H108">
        <v>7.6500159810000001</v>
      </c>
    </row>
    <row r="109" spans="1:8" x14ac:dyDescent="0.3">
      <c r="A109" t="s">
        <v>2750</v>
      </c>
      <c r="B109" t="s">
        <v>2762</v>
      </c>
      <c r="C109" t="s">
        <v>2695</v>
      </c>
      <c r="D109">
        <v>4</v>
      </c>
      <c r="E109">
        <v>-43.942034815000007</v>
      </c>
      <c r="H109">
        <v>2.95</v>
      </c>
    </row>
    <row r="110" spans="1:8" x14ac:dyDescent="0.3">
      <c r="A110" t="s">
        <v>2750</v>
      </c>
      <c r="B110" t="s">
        <v>2762</v>
      </c>
      <c r="C110" t="s">
        <v>2695</v>
      </c>
      <c r="D110">
        <v>4</v>
      </c>
      <c r="E110">
        <v>-43.676117439999999</v>
      </c>
      <c r="H110">
        <v>5.6548415350000001</v>
      </c>
    </row>
    <row r="111" spans="1:8" x14ac:dyDescent="0.3">
      <c r="A111" t="s">
        <v>2750</v>
      </c>
      <c r="B111" t="s">
        <v>2762</v>
      </c>
      <c r="C111" t="s">
        <v>2695</v>
      </c>
      <c r="D111">
        <v>4</v>
      </c>
      <c r="E111">
        <v>-42.990986400000004</v>
      </c>
      <c r="H111">
        <v>7.1977436279999996</v>
      </c>
    </row>
    <row r="112" spans="1:8" x14ac:dyDescent="0.3">
      <c r="A112" t="s">
        <v>2750</v>
      </c>
      <c r="B112" t="s">
        <v>2762</v>
      </c>
      <c r="C112" t="s">
        <v>2695</v>
      </c>
      <c r="D112">
        <v>4</v>
      </c>
      <c r="E112">
        <v>-42.357925995000002</v>
      </c>
      <c r="H112">
        <v>3.81</v>
      </c>
    </row>
    <row r="113" spans="1:8" x14ac:dyDescent="0.3">
      <c r="A113" t="s">
        <v>2750</v>
      </c>
      <c r="B113" t="s">
        <v>2762</v>
      </c>
      <c r="C113" t="s">
        <v>2695</v>
      </c>
      <c r="D113">
        <v>4</v>
      </c>
      <c r="E113">
        <v>-38.068849069999999</v>
      </c>
      <c r="H113">
        <v>1.0900000000000001</v>
      </c>
    </row>
    <row r="114" spans="1:8" x14ac:dyDescent="0.3">
      <c r="A114" t="s">
        <v>2750</v>
      </c>
      <c r="B114" t="s">
        <v>2762</v>
      </c>
      <c r="C114" t="s">
        <v>2695</v>
      </c>
      <c r="D114">
        <v>4</v>
      </c>
      <c r="E114">
        <v>-37.865720725000003</v>
      </c>
      <c r="H114">
        <v>1.3</v>
      </c>
    </row>
    <row r="115" spans="1:8" x14ac:dyDescent="0.3">
      <c r="A115" t="s">
        <v>2750</v>
      </c>
      <c r="B115" t="s">
        <v>2762</v>
      </c>
      <c r="C115" t="s">
        <v>2695</v>
      </c>
      <c r="D115">
        <v>5</v>
      </c>
      <c r="E115">
        <v>-52.556722539999996</v>
      </c>
      <c r="H115">
        <v>-1.33</v>
      </c>
    </row>
    <row r="116" spans="1:8" x14ac:dyDescent="0.3">
      <c r="A116" t="s">
        <v>2750</v>
      </c>
      <c r="B116" t="s">
        <v>2762</v>
      </c>
      <c r="C116" t="s">
        <v>2695</v>
      </c>
      <c r="D116">
        <v>5</v>
      </c>
      <c r="E116">
        <v>-51.923955825</v>
      </c>
      <c r="H116">
        <v>8.75</v>
      </c>
    </row>
    <row r="117" spans="1:8" x14ac:dyDescent="0.3">
      <c r="A117" t="s">
        <v>2750</v>
      </c>
      <c r="B117" t="s">
        <v>2762</v>
      </c>
      <c r="C117" t="s">
        <v>2695</v>
      </c>
      <c r="D117">
        <v>5</v>
      </c>
      <c r="E117">
        <v>-51.558553864999993</v>
      </c>
      <c r="H117">
        <v>10.515709879999999</v>
      </c>
    </row>
    <row r="118" spans="1:8" x14ac:dyDescent="0.3">
      <c r="A118" t="s">
        <v>2750</v>
      </c>
      <c r="B118" t="s">
        <v>2762</v>
      </c>
      <c r="C118" t="s">
        <v>2695</v>
      </c>
      <c r="D118">
        <v>5</v>
      </c>
      <c r="E118">
        <v>-48.019215265000007</v>
      </c>
      <c r="H118">
        <v>4.2699999999999996</v>
      </c>
    </row>
    <row r="119" spans="1:8" x14ac:dyDescent="0.3">
      <c r="A119" t="s">
        <v>2750</v>
      </c>
      <c r="B119" t="s">
        <v>2762</v>
      </c>
      <c r="C119" t="s">
        <v>2695</v>
      </c>
      <c r="D119">
        <v>5</v>
      </c>
      <c r="E119">
        <v>-47.279769635000001</v>
      </c>
      <c r="H119">
        <v>7.25</v>
      </c>
    </row>
    <row r="120" spans="1:8" x14ac:dyDescent="0.3">
      <c r="A120" t="s">
        <v>2750</v>
      </c>
      <c r="B120" t="s">
        <v>2762</v>
      </c>
      <c r="C120" t="s">
        <v>2695</v>
      </c>
      <c r="D120">
        <v>6</v>
      </c>
      <c r="E120">
        <v>-64.630900014999995</v>
      </c>
      <c r="H120">
        <v>-0.25282767299999998</v>
      </c>
    </row>
    <row r="121" spans="1:8" x14ac:dyDescent="0.3">
      <c r="A121" t="s">
        <v>2750</v>
      </c>
      <c r="B121" t="s">
        <v>2762</v>
      </c>
      <c r="C121" t="s">
        <v>2695</v>
      </c>
      <c r="D121">
        <v>6</v>
      </c>
      <c r="E121">
        <v>-64.455507422500006</v>
      </c>
      <c r="H121">
        <v>0.10775367299999999</v>
      </c>
    </row>
    <row r="122" spans="1:8" x14ac:dyDescent="0.3">
      <c r="A122" t="s">
        <v>2750</v>
      </c>
      <c r="B122" t="s">
        <v>2762</v>
      </c>
      <c r="C122" t="s">
        <v>2695</v>
      </c>
      <c r="D122">
        <v>6</v>
      </c>
      <c r="E122">
        <v>-62.794700577499995</v>
      </c>
      <c r="H122">
        <v>6.4356554460000002</v>
      </c>
    </row>
    <row r="123" spans="1:8" x14ac:dyDescent="0.3">
      <c r="A123" t="s">
        <v>2750</v>
      </c>
      <c r="B123" t="s">
        <v>2762</v>
      </c>
      <c r="C123" t="s">
        <v>2695</v>
      </c>
      <c r="D123">
        <v>6</v>
      </c>
      <c r="E123">
        <v>-62.671889459999996</v>
      </c>
      <c r="H123">
        <v>6.7982294169999999</v>
      </c>
    </row>
    <row r="124" spans="1:8" x14ac:dyDescent="0.3">
      <c r="A124" t="s">
        <v>2750</v>
      </c>
      <c r="B124" t="s">
        <v>2762</v>
      </c>
      <c r="C124" t="s">
        <v>2695</v>
      </c>
      <c r="D124">
        <v>6</v>
      </c>
      <c r="E124">
        <v>-60.978943877500001</v>
      </c>
      <c r="H124">
        <v>5.7212481039999998</v>
      </c>
    </row>
    <row r="125" spans="1:8" x14ac:dyDescent="0.3">
      <c r="A125" t="s">
        <v>2750</v>
      </c>
      <c r="B125" t="s">
        <v>2762</v>
      </c>
      <c r="C125" t="s">
        <v>2695</v>
      </c>
      <c r="D125">
        <v>6</v>
      </c>
      <c r="E125">
        <v>-60.391046695</v>
      </c>
      <c r="H125">
        <v>5.92</v>
      </c>
    </row>
    <row r="126" spans="1:8" x14ac:dyDescent="0.3">
      <c r="A126" t="s">
        <v>2750</v>
      </c>
      <c r="B126" t="s">
        <v>2762</v>
      </c>
      <c r="C126" t="s">
        <v>2695</v>
      </c>
      <c r="D126">
        <v>6</v>
      </c>
      <c r="E126">
        <v>-57.613010840000001</v>
      </c>
      <c r="H126">
        <v>6.55</v>
      </c>
    </row>
    <row r="127" spans="1:8" x14ac:dyDescent="0.3">
      <c r="A127" t="s">
        <v>2750</v>
      </c>
      <c r="B127" t="s">
        <v>2762</v>
      </c>
      <c r="C127" t="s">
        <v>2695</v>
      </c>
      <c r="D127">
        <v>6</v>
      </c>
      <c r="E127">
        <v>-57.316151095000002</v>
      </c>
      <c r="H127">
        <v>3.893059037</v>
      </c>
    </row>
    <row r="128" spans="1:8" x14ac:dyDescent="0.3">
      <c r="A128" t="s">
        <v>2750</v>
      </c>
      <c r="B128" t="s">
        <v>2762</v>
      </c>
      <c r="C128" t="s">
        <v>2695</v>
      </c>
      <c r="D128">
        <v>7</v>
      </c>
      <c r="E128">
        <v>-74.861131280000009</v>
      </c>
      <c r="H128">
        <v>6.4195077019999998</v>
      </c>
    </row>
    <row r="129" spans="1:8" x14ac:dyDescent="0.3">
      <c r="A129" t="s">
        <v>2750</v>
      </c>
      <c r="B129" t="s">
        <v>2762</v>
      </c>
      <c r="C129" t="s">
        <v>2695</v>
      </c>
      <c r="D129">
        <v>7</v>
      </c>
      <c r="E129">
        <v>-74.443255667499997</v>
      </c>
      <c r="H129">
        <v>6.2494094899999997</v>
      </c>
    </row>
    <row r="130" spans="1:8" x14ac:dyDescent="0.3">
      <c r="A130" t="s">
        <v>2750</v>
      </c>
      <c r="B130" t="s">
        <v>2762</v>
      </c>
      <c r="C130" t="s">
        <v>2695</v>
      </c>
      <c r="D130">
        <v>7</v>
      </c>
      <c r="E130">
        <v>-74.005879877500007</v>
      </c>
      <c r="H130">
        <v>8.603591539</v>
      </c>
    </row>
    <row r="131" spans="1:8" x14ac:dyDescent="0.3">
      <c r="A131" t="s">
        <v>2750</v>
      </c>
      <c r="B131" t="s">
        <v>2762</v>
      </c>
      <c r="C131" t="s">
        <v>2695</v>
      </c>
      <c r="D131">
        <v>7</v>
      </c>
      <c r="E131">
        <v>-73.333406425000007</v>
      </c>
      <c r="H131">
        <v>6.0384375830000003</v>
      </c>
    </row>
    <row r="132" spans="1:8" x14ac:dyDescent="0.3">
      <c r="A132" t="s">
        <v>2750</v>
      </c>
      <c r="B132" t="s">
        <v>2762</v>
      </c>
      <c r="C132" t="s">
        <v>2695</v>
      </c>
      <c r="D132">
        <v>7</v>
      </c>
      <c r="E132">
        <v>-72.533239205000001</v>
      </c>
      <c r="H132">
        <v>5.7328943819999996</v>
      </c>
    </row>
    <row r="133" spans="1:8" x14ac:dyDescent="0.3">
      <c r="A133" t="s">
        <v>2750</v>
      </c>
      <c r="B133" t="s">
        <v>2762</v>
      </c>
      <c r="C133" t="s">
        <v>2695</v>
      </c>
      <c r="D133">
        <v>7</v>
      </c>
      <c r="E133">
        <v>-72.080425340000005</v>
      </c>
      <c r="H133">
        <v>6.99</v>
      </c>
    </row>
    <row r="134" spans="1:8" x14ac:dyDescent="0.3">
      <c r="A134" t="s">
        <v>2750</v>
      </c>
      <c r="B134" t="s">
        <v>2762</v>
      </c>
      <c r="C134" t="s">
        <v>2695</v>
      </c>
      <c r="D134">
        <v>7</v>
      </c>
      <c r="E134">
        <v>-71.544705969999995</v>
      </c>
      <c r="H134">
        <v>9.0923998259999994</v>
      </c>
    </row>
    <row r="135" spans="1:8" x14ac:dyDescent="0.3">
      <c r="A135" t="s">
        <v>2750</v>
      </c>
      <c r="B135" t="s">
        <v>2762</v>
      </c>
      <c r="C135" t="s">
        <v>2695</v>
      </c>
      <c r="D135">
        <v>7</v>
      </c>
      <c r="E135">
        <v>-71.003055180000004</v>
      </c>
      <c r="H135">
        <v>4.5338786420000003</v>
      </c>
    </row>
    <row r="136" spans="1:8" x14ac:dyDescent="0.3">
      <c r="A136" t="s">
        <v>2750</v>
      </c>
      <c r="B136" t="s">
        <v>2762</v>
      </c>
      <c r="C136" t="s">
        <v>2695</v>
      </c>
      <c r="D136">
        <v>7</v>
      </c>
      <c r="E136">
        <v>-69.559342112500005</v>
      </c>
      <c r="H136">
        <v>3.9123731039999998</v>
      </c>
    </row>
    <row r="137" spans="1:8" x14ac:dyDescent="0.3">
      <c r="A137" t="s">
        <v>2750</v>
      </c>
      <c r="B137" t="s">
        <v>2762</v>
      </c>
      <c r="C137" t="s">
        <v>2695</v>
      </c>
      <c r="D137">
        <v>7</v>
      </c>
      <c r="E137">
        <v>-66.805007320000001</v>
      </c>
      <c r="H137">
        <v>6.3007440209999999</v>
      </c>
    </row>
    <row r="138" spans="1:8" x14ac:dyDescent="0.3">
      <c r="A138" t="s">
        <v>2750</v>
      </c>
      <c r="B138" t="s">
        <v>2762</v>
      </c>
      <c r="C138" t="s">
        <v>2695</v>
      </c>
      <c r="D138">
        <v>7</v>
      </c>
      <c r="E138">
        <v>-65.138989089999995</v>
      </c>
      <c r="H138">
        <v>7.73</v>
      </c>
    </row>
    <row r="139" spans="1:8" x14ac:dyDescent="0.3">
      <c r="A139" t="s">
        <v>2750</v>
      </c>
      <c r="B139" t="s">
        <v>2762</v>
      </c>
      <c r="C139" t="s">
        <v>2695</v>
      </c>
      <c r="D139">
        <v>7</v>
      </c>
      <c r="E139">
        <v>-65.062998629999996</v>
      </c>
      <c r="H139">
        <v>6.18</v>
      </c>
    </row>
  </sheetData>
  <sortState xmlns:xlrd2="http://schemas.microsoft.com/office/spreadsheetml/2017/richdata2" ref="A2:I1047639">
    <sortCondition ref="B2:B1047639"/>
    <sortCondition ref="C2:C1047639"/>
    <sortCondition ref="A2:A1047639"/>
    <sortCondition ref="D2:D1047639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062"/>
  <sheetViews>
    <sheetView showGridLines="0" topLeftCell="S1" workbookViewId="0">
      <selection activeCell="Z29" sqref="Z29:AI34"/>
    </sheetView>
  </sheetViews>
  <sheetFormatPr defaultColWidth="11.44140625" defaultRowHeight="14.4" x14ac:dyDescent="0.3"/>
  <cols>
    <col min="1" max="1" width="21.6640625" bestFit="1" customWidth="1"/>
    <col min="2" max="2" width="23.88671875" customWidth="1"/>
    <col min="3" max="3" width="12.6640625" customWidth="1"/>
    <col min="4" max="4" width="21.44140625" customWidth="1"/>
    <col min="5" max="5" width="12.6640625" customWidth="1"/>
    <col min="6" max="6" width="14.109375" customWidth="1"/>
    <col min="7" max="7" width="12.6640625" bestFit="1" customWidth="1"/>
    <col min="8" max="8" width="12.88671875" customWidth="1"/>
    <col min="9" max="9" width="21.44140625" bestFit="1" customWidth="1"/>
    <col min="10" max="10" width="20.44140625" bestFit="1" customWidth="1"/>
    <col min="11" max="11" width="12" customWidth="1"/>
    <col min="12" max="12" width="12.6640625" bestFit="1" customWidth="1"/>
    <col min="13" max="13" width="12" bestFit="1" customWidth="1"/>
    <col min="25" max="25" width="35.109375" bestFit="1" customWidth="1"/>
    <col min="31" max="31" width="34.5546875" bestFit="1" customWidth="1"/>
  </cols>
  <sheetData>
    <row r="1" spans="1:31" x14ac:dyDescent="0.3">
      <c r="A1" s="8" t="s">
        <v>2747</v>
      </c>
      <c r="B1" t="s">
        <v>2766</v>
      </c>
    </row>
    <row r="2" spans="1:31" x14ac:dyDescent="0.3">
      <c r="A2" s="8" t="s">
        <v>11</v>
      </c>
      <c r="B2" t="s">
        <v>2756</v>
      </c>
    </row>
    <row r="3" spans="1:31" x14ac:dyDescent="0.3">
      <c r="A3" s="8" t="s">
        <v>2714</v>
      </c>
      <c r="B3" t="s">
        <v>2756</v>
      </c>
    </row>
    <row r="5" spans="1:31" x14ac:dyDescent="0.3">
      <c r="A5" s="8" t="s">
        <v>2758</v>
      </c>
      <c r="B5" s="8" t="s">
        <v>2699</v>
      </c>
    </row>
    <row r="6" spans="1:31" x14ac:dyDescent="0.3">
      <c r="B6" t="s">
        <v>2696</v>
      </c>
      <c r="F6" t="s">
        <v>2695</v>
      </c>
    </row>
    <row r="7" spans="1:31" x14ac:dyDescent="0.3">
      <c r="B7" t="s">
        <v>2761</v>
      </c>
      <c r="C7" t="s">
        <v>2763</v>
      </c>
      <c r="E7" t="s">
        <v>2762</v>
      </c>
      <c r="F7" t="s">
        <v>2761</v>
      </c>
      <c r="K7" t="s">
        <v>2763</v>
      </c>
      <c r="L7" t="s">
        <v>2762</v>
      </c>
    </row>
    <row r="8" spans="1:31" x14ac:dyDescent="0.3">
      <c r="A8" s="8" t="s">
        <v>2748</v>
      </c>
      <c r="B8" t="s">
        <v>2750</v>
      </c>
      <c r="C8" t="s">
        <v>2750</v>
      </c>
      <c r="D8" t="s">
        <v>2752</v>
      </c>
      <c r="E8" t="s">
        <v>2750</v>
      </c>
      <c r="F8" t="s">
        <v>2750</v>
      </c>
      <c r="G8" t="s">
        <v>2751</v>
      </c>
      <c r="H8" t="s">
        <v>2753</v>
      </c>
      <c r="I8" t="s">
        <v>2752</v>
      </c>
      <c r="J8" t="s">
        <v>2754</v>
      </c>
      <c r="K8" t="s">
        <v>2750</v>
      </c>
      <c r="L8" t="s">
        <v>2750</v>
      </c>
      <c r="N8" t="s">
        <v>2818</v>
      </c>
      <c r="O8" t="s">
        <v>2819</v>
      </c>
      <c r="P8" t="s">
        <v>2820</v>
      </c>
      <c r="Q8" t="s">
        <v>2821</v>
      </c>
      <c r="R8" t="s">
        <v>2855</v>
      </c>
      <c r="S8" t="s">
        <v>2856</v>
      </c>
      <c r="T8" t="s">
        <v>2857</v>
      </c>
    </row>
    <row r="9" spans="1:31" x14ac:dyDescent="0.3">
      <c r="A9" s="15" t="s">
        <v>70</v>
      </c>
      <c r="J9">
        <v>4.3997488000000002</v>
      </c>
      <c r="N9">
        <v>-1.6715452049999999</v>
      </c>
      <c r="O9">
        <v>-2.0447229469999999</v>
      </c>
      <c r="P9">
        <v>-1.3268812729999999</v>
      </c>
      <c r="Q9">
        <v>-2.895262486</v>
      </c>
      <c r="R9">
        <v>1.322790006</v>
      </c>
      <c r="S9">
        <v>1.4538079669999999</v>
      </c>
      <c r="T9">
        <v>-2.4557819830000001</v>
      </c>
      <c r="Y9" t="s">
        <v>2858</v>
      </c>
    </row>
    <row r="10" spans="1:31" x14ac:dyDescent="0.3">
      <c r="A10" s="15" t="s">
        <v>75</v>
      </c>
      <c r="J10">
        <v>4.1794235679999998</v>
      </c>
      <c r="N10">
        <v>-1.5456571690000001</v>
      </c>
      <c r="O10">
        <v>-1.4201788950000001</v>
      </c>
      <c r="P10">
        <v>-1.2541429799999999</v>
      </c>
      <c r="Q10">
        <v>-2.38</v>
      </c>
      <c r="R10">
        <v>4.4885053389999996</v>
      </c>
      <c r="S10">
        <v>5.9</v>
      </c>
      <c r="T10">
        <v>-2.3141301080000001</v>
      </c>
      <c r="Z10" t="s">
        <v>2818</v>
      </c>
      <c r="AA10" t="s">
        <v>2819</v>
      </c>
      <c r="AB10" t="s">
        <v>2820</v>
      </c>
      <c r="AC10" t="s">
        <v>2821</v>
      </c>
      <c r="AD10" t="s">
        <v>2855</v>
      </c>
      <c r="AE10" t="s">
        <v>2857</v>
      </c>
    </row>
    <row r="11" spans="1:31" x14ac:dyDescent="0.3">
      <c r="A11" s="15" t="s">
        <v>79</v>
      </c>
      <c r="J11">
        <v>3.8446096700000001</v>
      </c>
      <c r="N11">
        <v>-1.413145592</v>
      </c>
      <c r="O11">
        <v>-1.33</v>
      </c>
      <c r="P11">
        <v>-0.92919099999999999</v>
      </c>
      <c r="Q11">
        <v>0.467414779</v>
      </c>
      <c r="R11">
        <v>4.51</v>
      </c>
      <c r="S11">
        <v>6.6841224730000004</v>
      </c>
      <c r="T11">
        <v>-1.76</v>
      </c>
      <c r="Y11" t="s">
        <v>2818</v>
      </c>
      <c r="AA11" s="11">
        <v>2.14E-23</v>
      </c>
      <c r="AB11" s="11">
        <v>1.2599999999999999E-24</v>
      </c>
      <c r="AC11" s="11">
        <v>2.124E-23</v>
      </c>
      <c r="AD11" s="11">
        <v>4.5940000000000004E-6</v>
      </c>
      <c r="AE11" s="11">
        <v>9.1810000000000002E-34</v>
      </c>
    </row>
    <row r="12" spans="1:31" x14ac:dyDescent="0.3">
      <c r="A12" s="15" t="s">
        <v>82</v>
      </c>
      <c r="F12">
        <v>3.948775355</v>
      </c>
      <c r="N12">
        <v>-1.37</v>
      </c>
      <c r="O12">
        <v>-1.2188266489999999</v>
      </c>
      <c r="P12">
        <v>-0.91725109500000002</v>
      </c>
      <c r="Q12">
        <v>1.0860827200000001</v>
      </c>
      <c r="R12">
        <v>5.0833498390000003</v>
      </c>
      <c r="S12">
        <v>7.6439117999999997</v>
      </c>
      <c r="T12">
        <v>-1.53</v>
      </c>
      <c r="Y12" t="s">
        <v>2819</v>
      </c>
      <c r="Z12" s="11">
        <v>2.14E-23</v>
      </c>
      <c r="AB12">
        <v>0.216</v>
      </c>
      <c r="AC12">
        <v>1</v>
      </c>
      <c r="AD12">
        <v>1</v>
      </c>
      <c r="AE12">
        <v>1</v>
      </c>
    </row>
    <row r="13" spans="1:31" x14ac:dyDescent="0.3">
      <c r="A13" s="15" t="s">
        <v>86</v>
      </c>
      <c r="F13">
        <v>4.9823085220000003</v>
      </c>
      <c r="N13">
        <v>-1.3365580610000001</v>
      </c>
      <c r="O13">
        <v>-1</v>
      </c>
      <c r="P13">
        <v>-0.84</v>
      </c>
      <c r="Q13">
        <v>1.59</v>
      </c>
      <c r="R13">
        <v>5.2005087730000001</v>
      </c>
      <c r="S13">
        <v>8.1397045049999992</v>
      </c>
      <c r="T13">
        <v>-1.2788375329999999</v>
      </c>
      <c r="Y13" t="s">
        <v>2820</v>
      </c>
      <c r="Z13" s="11">
        <v>1.2599999999999999E-24</v>
      </c>
      <c r="AA13">
        <v>0.216</v>
      </c>
      <c r="AC13">
        <v>0.61199999999999999</v>
      </c>
      <c r="AD13">
        <v>1</v>
      </c>
      <c r="AE13">
        <v>1.873E-2</v>
      </c>
    </row>
    <row r="14" spans="1:31" x14ac:dyDescent="0.3">
      <c r="A14" s="15" t="s">
        <v>88</v>
      </c>
      <c r="F14">
        <v>5.9628827610000004</v>
      </c>
      <c r="N14">
        <v>-1.3236157209999999</v>
      </c>
      <c r="O14">
        <v>-0.25282767299999998</v>
      </c>
      <c r="P14">
        <v>-0.81580938400000003</v>
      </c>
      <c r="Q14">
        <v>1.796711046</v>
      </c>
      <c r="R14">
        <v>5.39</v>
      </c>
      <c r="T14">
        <v>-1.258331195</v>
      </c>
      <c r="Y14" t="s">
        <v>2821</v>
      </c>
      <c r="Z14" s="11">
        <v>2.124E-23</v>
      </c>
      <c r="AA14">
        <v>1</v>
      </c>
      <c r="AB14">
        <v>0.61199999999999999</v>
      </c>
      <c r="AD14">
        <v>1</v>
      </c>
      <c r="AE14">
        <v>1</v>
      </c>
    </row>
    <row r="15" spans="1:31" x14ac:dyDescent="0.3">
      <c r="A15" s="15" t="s">
        <v>90</v>
      </c>
      <c r="F15">
        <v>6.0764559</v>
      </c>
      <c r="N15">
        <v>-1.3106764455763671</v>
      </c>
      <c r="O15">
        <v>-0.17496372299999999</v>
      </c>
      <c r="P15">
        <v>-0.46485831999999999</v>
      </c>
      <c r="Q15">
        <v>1.9911728580000001</v>
      </c>
      <c r="R15">
        <v>5.5105255639999999</v>
      </c>
      <c r="T15">
        <v>-0.73</v>
      </c>
      <c r="Y15" t="s">
        <v>2855</v>
      </c>
      <c r="Z15" s="11">
        <v>4.5940000000000004E-6</v>
      </c>
      <c r="AA15">
        <v>1</v>
      </c>
      <c r="AB15">
        <v>1</v>
      </c>
      <c r="AC15">
        <v>1</v>
      </c>
      <c r="AE15">
        <v>1</v>
      </c>
    </row>
    <row r="16" spans="1:31" x14ac:dyDescent="0.3">
      <c r="A16" s="15" t="s">
        <v>92</v>
      </c>
      <c r="F16">
        <v>4.4643169909999996</v>
      </c>
      <c r="N16">
        <v>-1.2849384619999999</v>
      </c>
      <c r="O16">
        <v>0.10775367299999999</v>
      </c>
      <c r="P16">
        <v>-0.16115733600000001</v>
      </c>
      <c r="Q16">
        <v>2.851524135</v>
      </c>
      <c r="R16">
        <v>5.93</v>
      </c>
      <c r="T16">
        <v>-0.57820553799999996</v>
      </c>
      <c r="Y16" t="s">
        <v>2857</v>
      </c>
      <c r="Z16" s="11">
        <v>9.1810000000000002E-34</v>
      </c>
      <c r="AA16">
        <v>1</v>
      </c>
      <c r="AB16">
        <v>1.873E-2</v>
      </c>
      <c r="AC16">
        <v>1</v>
      </c>
      <c r="AD16">
        <v>1</v>
      </c>
    </row>
    <row r="17" spans="1:35" x14ac:dyDescent="0.3">
      <c r="A17" s="15" t="s">
        <v>95</v>
      </c>
      <c r="F17">
        <v>3.4035780510000002</v>
      </c>
      <c r="N17">
        <v>-1.2479256569999999</v>
      </c>
      <c r="O17">
        <v>0.19</v>
      </c>
      <c r="P17">
        <v>-0.122695718</v>
      </c>
      <c r="Q17">
        <v>2.922561001</v>
      </c>
      <c r="R17">
        <v>5.9596984769999999</v>
      </c>
      <c r="T17">
        <v>-0.47793729800000001</v>
      </c>
      <c r="Y17" t="s">
        <v>2719</v>
      </c>
    </row>
    <row r="18" spans="1:35" x14ac:dyDescent="0.3">
      <c r="A18" s="15" t="s">
        <v>98</v>
      </c>
      <c r="F18">
        <v>4.8024455939999999</v>
      </c>
      <c r="N18">
        <v>-1.2004385360000001</v>
      </c>
      <c r="O18">
        <v>0.36959094199999998</v>
      </c>
      <c r="P18">
        <v>-5.6964437999999999E-2</v>
      </c>
      <c r="Q18">
        <v>3.0585517100000001</v>
      </c>
      <c r="R18">
        <v>7.66</v>
      </c>
      <c r="T18">
        <v>-0.34689896599999998</v>
      </c>
      <c r="Z18" t="s">
        <v>2818</v>
      </c>
      <c r="AA18" t="s">
        <v>2819</v>
      </c>
      <c r="AB18" t="s">
        <v>2820</v>
      </c>
      <c r="AC18" t="s">
        <v>2821</v>
      </c>
      <c r="AD18" t="s">
        <v>2855</v>
      </c>
      <c r="AE18" t="s">
        <v>2857</v>
      </c>
    </row>
    <row r="19" spans="1:35" x14ac:dyDescent="0.3">
      <c r="A19" s="15" t="s">
        <v>100</v>
      </c>
      <c r="G19">
        <v>3.952182455</v>
      </c>
      <c r="N19">
        <v>-1.1691658789999999</v>
      </c>
      <c r="O19">
        <v>0.69313988800000004</v>
      </c>
      <c r="P19">
        <v>0.111754046</v>
      </c>
      <c r="Q19">
        <v>3.4225468210000001</v>
      </c>
      <c r="R19">
        <v>7.66</v>
      </c>
      <c r="T19">
        <v>-0.2</v>
      </c>
      <c r="Y19" t="s">
        <v>2818</v>
      </c>
      <c r="AA19">
        <v>847</v>
      </c>
      <c r="AB19">
        <v>1248</v>
      </c>
      <c r="AC19">
        <v>373</v>
      </c>
      <c r="AD19">
        <v>31</v>
      </c>
      <c r="AE19">
        <v>1820</v>
      </c>
    </row>
    <row r="20" spans="1:35" x14ac:dyDescent="0.3">
      <c r="A20" s="15" t="s">
        <v>102</v>
      </c>
      <c r="G20">
        <v>5.1865954820000004</v>
      </c>
      <c r="N20">
        <v>-1.1691658789999999</v>
      </c>
      <c r="O20">
        <v>0.80374987600000003</v>
      </c>
      <c r="P20">
        <v>0.40681997800000003</v>
      </c>
      <c r="Q20">
        <v>3.8710326269999999</v>
      </c>
      <c r="R20">
        <v>8.4072565679999993</v>
      </c>
      <c r="T20">
        <v>7.6493825000000001E-2</v>
      </c>
      <c r="Y20" t="s">
        <v>2819</v>
      </c>
      <c r="Z20">
        <v>847</v>
      </c>
      <c r="AB20" s="11">
        <v>13380</v>
      </c>
      <c r="AC20">
        <v>7842</v>
      </c>
      <c r="AD20">
        <v>906.5</v>
      </c>
      <c r="AE20" s="11">
        <v>37940</v>
      </c>
    </row>
    <row r="21" spans="1:35" x14ac:dyDescent="0.3">
      <c r="A21" s="15" t="s">
        <v>104</v>
      </c>
      <c r="J21">
        <v>6.0069001440000003</v>
      </c>
      <c r="N21">
        <v>-1.1351922241528278</v>
      </c>
      <c r="O21">
        <v>1.0900000000000001</v>
      </c>
      <c r="P21">
        <v>0.53595062599999999</v>
      </c>
      <c r="Q21">
        <v>3.952182455</v>
      </c>
      <c r="T21">
        <v>0.15858729199999999</v>
      </c>
      <c r="Y21" t="s">
        <v>2820</v>
      </c>
      <c r="Z21">
        <v>1248</v>
      </c>
      <c r="AA21" s="11">
        <v>13380</v>
      </c>
      <c r="AC21">
        <v>9467</v>
      </c>
      <c r="AD21">
        <v>1023</v>
      </c>
      <c r="AE21" s="11">
        <v>43370</v>
      </c>
    </row>
    <row r="22" spans="1:35" x14ac:dyDescent="0.3">
      <c r="A22" s="15" t="s">
        <v>108</v>
      </c>
      <c r="J22">
        <v>2.7035807859999998</v>
      </c>
      <c r="N22">
        <v>-1.0430805439999999</v>
      </c>
      <c r="O22">
        <v>1.3</v>
      </c>
      <c r="P22">
        <v>0.61832394099999999</v>
      </c>
      <c r="Q22">
        <v>4.0168064179999998</v>
      </c>
      <c r="T22">
        <v>0.37729802800000001</v>
      </c>
      <c r="Y22" t="s">
        <v>2821</v>
      </c>
      <c r="Z22">
        <v>373</v>
      </c>
      <c r="AA22">
        <v>7842</v>
      </c>
      <c r="AB22">
        <v>9467</v>
      </c>
      <c r="AD22">
        <v>627</v>
      </c>
      <c r="AE22" s="11">
        <v>25850</v>
      </c>
    </row>
    <row r="23" spans="1:35" x14ac:dyDescent="0.3">
      <c r="A23" s="15" t="s">
        <v>111</v>
      </c>
      <c r="J23">
        <v>3.324742144</v>
      </c>
      <c r="N23">
        <v>-0.92334619100000004</v>
      </c>
      <c r="O23">
        <v>1.6365028129999999</v>
      </c>
      <c r="P23">
        <v>1.0004153469999999</v>
      </c>
      <c r="Q23">
        <v>4.1120330669999996</v>
      </c>
      <c r="T23">
        <v>0.56348616100000004</v>
      </c>
      <c r="Y23" t="s">
        <v>2855</v>
      </c>
      <c r="Z23">
        <v>31</v>
      </c>
      <c r="AA23">
        <v>906.5</v>
      </c>
      <c r="AB23">
        <v>1023</v>
      </c>
      <c r="AC23">
        <v>627</v>
      </c>
      <c r="AE23">
        <v>2973</v>
      </c>
    </row>
    <row r="24" spans="1:35" x14ac:dyDescent="0.3">
      <c r="A24" s="15" t="s">
        <v>115</v>
      </c>
      <c r="J24">
        <v>7.0607656189999997</v>
      </c>
      <c r="N24">
        <v>-0.81615113100000003</v>
      </c>
      <c r="O24">
        <v>1.91</v>
      </c>
      <c r="P24">
        <v>1.147890852</v>
      </c>
      <c r="Q24">
        <v>4.1124055869999996</v>
      </c>
      <c r="T24">
        <v>0.81650156399999996</v>
      </c>
      <c r="Y24" t="s">
        <v>2857</v>
      </c>
      <c r="Z24">
        <v>1820</v>
      </c>
      <c r="AA24" s="11">
        <v>37940</v>
      </c>
      <c r="AB24" s="11">
        <v>43370</v>
      </c>
      <c r="AC24" s="11">
        <v>25850</v>
      </c>
      <c r="AD24">
        <v>2973</v>
      </c>
    </row>
    <row r="25" spans="1:35" x14ac:dyDescent="0.3">
      <c r="A25" s="15" t="s">
        <v>118</v>
      </c>
      <c r="J25">
        <v>4.6431023419999997</v>
      </c>
      <c r="N25">
        <v>-0.79126873200000003</v>
      </c>
      <c r="O25">
        <v>1.9905319109999999</v>
      </c>
      <c r="P25">
        <v>1.168013886</v>
      </c>
      <c r="Q25">
        <v>4.1153342579999999</v>
      </c>
      <c r="T25">
        <v>0.90360723799999998</v>
      </c>
    </row>
    <row r="26" spans="1:35" x14ac:dyDescent="0.3">
      <c r="A26" s="15" t="s">
        <v>121</v>
      </c>
      <c r="J26">
        <v>3.9600696860000002</v>
      </c>
      <c r="N26">
        <v>-0.78862924886818908</v>
      </c>
      <c r="O26">
        <v>2.75</v>
      </c>
      <c r="P26">
        <v>1.172703692</v>
      </c>
      <c r="Q26">
        <v>4.28199752</v>
      </c>
      <c r="T26">
        <v>0.91960012700000004</v>
      </c>
    </row>
    <row r="27" spans="1:35" x14ac:dyDescent="0.3">
      <c r="A27" s="15" t="s">
        <v>124</v>
      </c>
      <c r="J27">
        <v>4.088102492</v>
      </c>
      <c r="N27">
        <v>-0.76427224599999999</v>
      </c>
      <c r="O27">
        <v>2.9108217700000001</v>
      </c>
      <c r="P27">
        <v>1.4</v>
      </c>
      <c r="Q27">
        <v>4.3151897259999998</v>
      </c>
      <c r="T27">
        <v>1.06</v>
      </c>
      <c r="Y27" s="48"/>
      <c r="Z27" s="69" t="s">
        <v>2860</v>
      </c>
      <c r="AA27" s="69"/>
      <c r="AB27" s="48" t="s">
        <v>2861</v>
      </c>
      <c r="AC27" s="48"/>
      <c r="AD27" s="48" t="s">
        <v>2862</v>
      </c>
      <c r="AE27" s="48"/>
      <c r="AF27" s="48" t="s">
        <v>2863</v>
      </c>
      <c r="AG27" s="48"/>
      <c r="AH27" s="48" t="s">
        <v>2864</v>
      </c>
      <c r="AI27" s="48"/>
    </row>
    <row r="28" spans="1:35" x14ac:dyDescent="0.3">
      <c r="A28" s="15" t="s">
        <v>128</v>
      </c>
      <c r="J28">
        <v>5.2192906209999999</v>
      </c>
      <c r="N28">
        <v>-0.67011379999999998</v>
      </c>
      <c r="O28">
        <v>2.95</v>
      </c>
      <c r="P28">
        <v>1.4</v>
      </c>
      <c r="Q28">
        <v>4.38</v>
      </c>
      <c r="T28">
        <v>1.2550141539999999</v>
      </c>
      <c r="Y28" s="48"/>
      <c r="Z28" s="48" t="s">
        <v>2774</v>
      </c>
      <c r="AA28" s="48" t="s">
        <v>2775</v>
      </c>
      <c r="AB28" s="48" t="s">
        <v>2774</v>
      </c>
      <c r="AC28" s="48" t="s">
        <v>2775</v>
      </c>
      <c r="AD28" s="48" t="s">
        <v>2774</v>
      </c>
      <c r="AE28" s="48" t="s">
        <v>2775</v>
      </c>
      <c r="AF28" s="48" t="s">
        <v>2774</v>
      </c>
      <c r="AG28" s="48" t="s">
        <v>2775</v>
      </c>
      <c r="AH28" s="48" t="s">
        <v>2774</v>
      </c>
      <c r="AI28" s="48" t="s">
        <v>2775</v>
      </c>
    </row>
    <row r="29" spans="1:35" x14ac:dyDescent="0.3">
      <c r="A29" s="15" t="s">
        <v>132</v>
      </c>
      <c r="J29">
        <v>5.9060327719999997</v>
      </c>
      <c r="N29">
        <v>-0.63101091745464055</v>
      </c>
      <c r="O29">
        <v>3.2054728350000001</v>
      </c>
      <c r="P29">
        <v>1.433289115</v>
      </c>
      <c r="Q29">
        <v>4.515502991</v>
      </c>
      <c r="T29">
        <v>1.26</v>
      </c>
      <c r="Y29" s="48" t="s">
        <v>2859</v>
      </c>
      <c r="Z29" s="48">
        <v>847</v>
      </c>
      <c r="AA29" s="49" t="s">
        <v>2866</v>
      </c>
      <c r="AB29" s="48">
        <v>1248</v>
      </c>
      <c r="AC29" s="49" t="s">
        <v>2866</v>
      </c>
      <c r="AD29" s="48">
        <v>373</v>
      </c>
      <c r="AE29" s="49" t="s">
        <v>2866</v>
      </c>
      <c r="AF29" s="48">
        <v>31</v>
      </c>
      <c r="AG29" s="49" t="s">
        <v>2866</v>
      </c>
      <c r="AH29" s="48">
        <v>1820</v>
      </c>
      <c r="AI29" s="49" t="s">
        <v>2866</v>
      </c>
    </row>
    <row r="30" spans="1:35" x14ac:dyDescent="0.3">
      <c r="A30" s="15" t="s">
        <v>135</v>
      </c>
      <c r="G30">
        <v>5.7995827579999997</v>
      </c>
      <c r="N30">
        <v>-0.47035755200000001</v>
      </c>
      <c r="O30">
        <v>3.3</v>
      </c>
      <c r="P30">
        <v>1.55</v>
      </c>
      <c r="Q30">
        <v>4.5326032730000003</v>
      </c>
      <c r="T30">
        <v>1.274868372</v>
      </c>
      <c r="Y30" s="48" t="s">
        <v>2860</v>
      </c>
      <c r="Z30" s="48"/>
      <c r="AA30" s="48"/>
      <c r="AB30" s="49">
        <v>13380</v>
      </c>
      <c r="AC30" s="48">
        <v>0.216</v>
      </c>
      <c r="AD30" s="48">
        <v>7842</v>
      </c>
      <c r="AE30" s="48" t="s">
        <v>2865</v>
      </c>
      <c r="AF30" s="48">
        <v>906.5</v>
      </c>
      <c r="AG30" s="48" t="s">
        <v>2865</v>
      </c>
      <c r="AH30" s="49">
        <v>37940</v>
      </c>
      <c r="AI30" s="48" t="s">
        <v>2865</v>
      </c>
    </row>
    <row r="31" spans="1:35" x14ac:dyDescent="0.3">
      <c r="A31" s="15" t="s">
        <v>137</v>
      </c>
      <c r="I31">
        <v>5.5105255639999999</v>
      </c>
      <c r="N31">
        <v>-0.37463331092662133</v>
      </c>
      <c r="O31">
        <v>3.32</v>
      </c>
      <c r="P31">
        <v>1.5997057779999999</v>
      </c>
      <c r="Q31">
        <v>4.556827996</v>
      </c>
      <c r="T31">
        <v>1.4389842660000001</v>
      </c>
      <c r="Y31" s="48" t="s">
        <v>2861</v>
      </c>
      <c r="Z31" s="49"/>
      <c r="AA31" s="48"/>
      <c r="AB31" s="48"/>
      <c r="AC31" s="48"/>
      <c r="AD31" s="48">
        <v>9467</v>
      </c>
      <c r="AE31" s="48" t="s">
        <v>2865</v>
      </c>
      <c r="AF31" s="48">
        <v>1023</v>
      </c>
      <c r="AG31" s="48" t="s">
        <v>2865</v>
      </c>
      <c r="AH31" s="49">
        <v>43370</v>
      </c>
      <c r="AI31" s="48">
        <v>1.8700000000000001E-2</v>
      </c>
    </row>
    <row r="32" spans="1:35" x14ac:dyDescent="0.3">
      <c r="A32" s="15" t="s">
        <v>138</v>
      </c>
      <c r="J32">
        <v>8.2968314440000004</v>
      </c>
      <c r="N32">
        <v>-0.3724813647843539</v>
      </c>
      <c r="O32">
        <v>3.3765352310000001</v>
      </c>
      <c r="P32">
        <v>1.733371789</v>
      </c>
      <c r="Q32">
        <v>4.5743700990000002</v>
      </c>
      <c r="T32">
        <v>1.5300994809999999</v>
      </c>
      <c r="Y32" s="48" t="s">
        <v>2862</v>
      </c>
      <c r="Z32" s="48"/>
      <c r="AA32" s="48"/>
      <c r="AB32" s="48"/>
      <c r="AC32" s="48"/>
      <c r="AD32" s="48"/>
      <c r="AE32" s="48"/>
      <c r="AF32" s="48">
        <v>627</v>
      </c>
      <c r="AG32" s="48" t="s">
        <v>2865</v>
      </c>
      <c r="AH32" s="49">
        <v>25850</v>
      </c>
      <c r="AI32" s="48" t="s">
        <v>2865</v>
      </c>
    </row>
    <row r="33" spans="1:35" x14ac:dyDescent="0.3">
      <c r="A33" s="15" t="s">
        <v>142</v>
      </c>
      <c r="J33">
        <v>5.5018209410000001</v>
      </c>
      <c r="N33">
        <v>-0.27530228699999998</v>
      </c>
      <c r="O33">
        <v>3.5821031269999999</v>
      </c>
      <c r="P33">
        <v>1.7512861669999999</v>
      </c>
      <c r="Q33">
        <v>4.6109550500000003</v>
      </c>
      <c r="T33">
        <v>1.547400069</v>
      </c>
      <c r="Y33" s="48" t="s">
        <v>2863</v>
      </c>
      <c r="Z33" s="48"/>
      <c r="AA33" s="48"/>
      <c r="AB33" s="48"/>
      <c r="AC33" s="48"/>
      <c r="AD33" s="48"/>
      <c r="AE33" s="48"/>
      <c r="AF33" s="48"/>
      <c r="AG33" s="48"/>
      <c r="AH33" s="48">
        <v>2973</v>
      </c>
      <c r="AI33" s="48" t="s">
        <v>2865</v>
      </c>
    </row>
    <row r="34" spans="1:35" x14ac:dyDescent="0.3">
      <c r="A34" s="15" t="s">
        <v>145</v>
      </c>
      <c r="F34">
        <v>-0.81580938400000003</v>
      </c>
      <c r="N34">
        <v>-0.17834451207978974</v>
      </c>
      <c r="O34">
        <v>3.81</v>
      </c>
      <c r="P34">
        <v>1.88</v>
      </c>
      <c r="Q34">
        <v>4.6983978000000004</v>
      </c>
      <c r="T34">
        <v>1.718314814</v>
      </c>
      <c r="Y34" s="48" t="s">
        <v>2864</v>
      </c>
      <c r="Z34" s="49"/>
      <c r="AA34" s="48"/>
      <c r="AB34" s="49"/>
      <c r="AC34" s="48"/>
      <c r="AD34" s="49"/>
      <c r="AE34" s="48"/>
      <c r="AF34" s="48"/>
      <c r="AG34" s="48"/>
      <c r="AH34" s="48"/>
      <c r="AI34" s="48"/>
    </row>
    <row r="35" spans="1:35" x14ac:dyDescent="0.3">
      <c r="A35" s="15" t="s">
        <v>149</v>
      </c>
      <c r="F35">
        <v>3.5513198770000001</v>
      </c>
      <c r="N35">
        <v>-0.16429921586171181</v>
      </c>
      <c r="O35">
        <v>3.893059037</v>
      </c>
      <c r="P35">
        <v>1.9093675530000001</v>
      </c>
      <c r="Q35">
        <v>4.7065184760000003</v>
      </c>
      <c r="T35">
        <v>1.75</v>
      </c>
    </row>
    <row r="36" spans="1:35" x14ac:dyDescent="0.3">
      <c r="A36" s="15" t="s">
        <v>153</v>
      </c>
      <c r="J36">
        <v>4.5318202300000001</v>
      </c>
      <c r="N36">
        <v>-5.8946983736034131E-2</v>
      </c>
      <c r="O36">
        <v>3.9123731039999998</v>
      </c>
      <c r="P36">
        <v>1.949211655</v>
      </c>
      <c r="Q36">
        <v>4.7383537110000002</v>
      </c>
      <c r="T36">
        <v>1.76</v>
      </c>
    </row>
    <row r="37" spans="1:35" x14ac:dyDescent="0.3">
      <c r="A37" s="15" t="s">
        <v>157</v>
      </c>
      <c r="J37">
        <v>5.1781479030000002</v>
      </c>
      <c r="N37">
        <v>9.886901E-3</v>
      </c>
      <c r="O37">
        <v>3.92</v>
      </c>
      <c r="P37">
        <v>2.0945182710000001</v>
      </c>
      <c r="Q37">
        <v>4.7433851579999997</v>
      </c>
      <c r="T37">
        <v>1.9317109560000001</v>
      </c>
    </row>
    <row r="38" spans="1:35" x14ac:dyDescent="0.3">
      <c r="A38" s="15" t="s">
        <v>160</v>
      </c>
      <c r="J38">
        <v>1.718314814</v>
      </c>
      <c r="N38">
        <v>3.5803873999999999E-2</v>
      </c>
      <c r="O38">
        <v>3.9466699350000001</v>
      </c>
      <c r="P38">
        <v>2.2027457859999999</v>
      </c>
      <c r="Q38">
        <v>4.78</v>
      </c>
      <c r="T38">
        <v>2.09</v>
      </c>
    </row>
    <row r="39" spans="1:35" x14ac:dyDescent="0.3">
      <c r="A39" s="15" t="s">
        <v>163</v>
      </c>
      <c r="J39">
        <v>5.2861584500000003</v>
      </c>
      <c r="N39">
        <v>0.100789875</v>
      </c>
      <c r="O39">
        <v>3.9501788630000001</v>
      </c>
      <c r="P39">
        <v>2.5178868639999998</v>
      </c>
      <c r="Q39">
        <v>4.7827868699999998</v>
      </c>
      <c r="T39">
        <v>2.1530488000000001</v>
      </c>
    </row>
    <row r="40" spans="1:35" x14ac:dyDescent="0.3">
      <c r="A40" s="15" t="s">
        <v>166</v>
      </c>
      <c r="J40">
        <v>4.8230398069999998</v>
      </c>
      <c r="N40">
        <v>0.12422535017686376</v>
      </c>
      <c r="O40">
        <v>4.05</v>
      </c>
      <c r="P40">
        <v>2.5285279159999998</v>
      </c>
      <c r="Q40">
        <v>4.7865454959999996</v>
      </c>
      <c r="T40">
        <v>2.1625607549999999</v>
      </c>
    </row>
    <row r="41" spans="1:35" x14ac:dyDescent="0.3">
      <c r="A41" s="15" t="s">
        <v>168</v>
      </c>
      <c r="J41">
        <v>5.3871017190000003</v>
      </c>
      <c r="N41">
        <v>0.176476419</v>
      </c>
      <c r="O41">
        <v>4.1836923280000002</v>
      </c>
      <c r="P41">
        <v>2.78</v>
      </c>
      <c r="Q41">
        <v>4.79</v>
      </c>
      <c r="T41">
        <v>2.1809722819999999</v>
      </c>
    </row>
    <row r="42" spans="1:35" x14ac:dyDescent="0.3">
      <c r="A42" s="15" t="s">
        <v>172</v>
      </c>
      <c r="J42">
        <v>4.5592224579999998</v>
      </c>
      <c r="N42">
        <v>0.26806939995990509</v>
      </c>
      <c r="O42">
        <v>4.1919834649999999</v>
      </c>
      <c r="P42">
        <v>2.872987578</v>
      </c>
      <c r="Q42">
        <v>4.8099999999999996</v>
      </c>
      <c r="T42">
        <v>2.21</v>
      </c>
    </row>
    <row r="43" spans="1:35" x14ac:dyDescent="0.3">
      <c r="A43" s="15" t="s">
        <v>175</v>
      </c>
      <c r="J43">
        <v>4.6073484660000004</v>
      </c>
      <c r="N43">
        <v>0.33502243999999998</v>
      </c>
      <c r="O43">
        <v>4.24</v>
      </c>
      <c r="P43">
        <v>2.8765267209999998</v>
      </c>
      <c r="Q43">
        <v>4.8121593779999996</v>
      </c>
      <c r="T43">
        <v>2.25</v>
      </c>
    </row>
    <row r="44" spans="1:35" x14ac:dyDescent="0.3">
      <c r="A44" s="15" t="s">
        <v>178</v>
      </c>
      <c r="J44">
        <v>5.0796075639999998</v>
      </c>
      <c r="N44">
        <v>0.38490365300000001</v>
      </c>
      <c r="O44">
        <v>4.2654212060000001</v>
      </c>
      <c r="P44">
        <v>3.1352992230000001</v>
      </c>
      <c r="Q44">
        <v>4.8630116880000003</v>
      </c>
      <c r="T44">
        <v>2.31360812</v>
      </c>
    </row>
    <row r="45" spans="1:35" x14ac:dyDescent="0.3">
      <c r="A45" s="15" t="s">
        <v>182</v>
      </c>
      <c r="J45">
        <v>3.6882286569999998</v>
      </c>
      <c r="N45">
        <v>0.39691395899999998</v>
      </c>
      <c r="O45">
        <v>4.2699999999999996</v>
      </c>
      <c r="P45">
        <v>3.22</v>
      </c>
      <c r="Q45">
        <v>4.8688173519999998</v>
      </c>
      <c r="T45">
        <v>2.317942435</v>
      </c>
    </row>
    <row r="46" spans="1:35" x14ac:dyDescent="0.3">
      <c r="A46" s="15" t="s">
        <v>184</v>
      </c>
      <c r="J46">
        <v>4.8968051030000002</v>
      </c>
      <c r="N46">
        <v>0.43389958299999998</v>
      </c>
      <c r="O46">
        <v>4.3391124400000001</v>
      </c>
      <c r="P46">
        <v>3.2257204970000002</v>
      </c>
      <c r="Q46">
        <v>4.9877749109999998</v>
      </c>
      <c r="T46">
        <v>2.3244389860000001</v>
      </c>
    </row>
    <row r="47" spans="1:35" x14ac:dyDescent="0.3">
      <c r="A47" s="15" t="s">
        <v>187</v>
      </c>
      <c r="J47">
        <v>4.7695128450000004</v>
      </c>
      <c r="N47">
        <v>0.51143717899999996</v>
      </c>
      <c r="O47">
        <v>4.3600000000000003</v>
      </c>
      <c r="P47">
        <v>3.2442603160000001</v>
      </c>
      <c r="Q47">
        <v>5.0935032119999999</v>
      </c>
      <c r="T47">
        <v>2.35</v>
      </c>
    </row>
    <row r="48" spans="1:35" x14ac:dyDescent="0.3">
      <c r="A48" s="15" t="s">
        <v>189</v>
      </c>
      <c r="F48">
        <v>4.2139024129999996</v>
      </c>
      <c r="N48">
        <v>0.60270095999999995</v>
      </c>
      <c r="O48">
        <v>4.4177687639999998</v>
      </c>
      <c r="P48">
        <v>3.2468357640000001</v>
      </c>
      <c r="Q48">
        <v>5.1445727290000001</v>
      </c>
      <c r="T48">
        <v>2.4463352700000001</v>
      </c>
    </row>
    <row r="49" spans="1:20" x14ac:dyDescent="0.3">
      <c r="A49" s="15" t="s">
        <v>191</v>
      </c>
      <c r="F49">
        <v>7.2537320149999998</v>
      </c>
      <c r="N49">
        <v>0.6062469160672852</v>
      </c>
      <c r="O49">
        <v>4.4551010150000003</v>
      </c>
      <c r="P49">
        <v>3.2503141499999999</v>
      </c>
      <c r="Q49">
        <v>5.15</v>
      </c>
      <c r="T49">
        <v>2.5315689880000001</v>
      </c>
    </row>
    <row r="50" spans="1:20" x14ac:dyDescent="0.3">
      <c r="A50" s="15" t="s">
        <v>193</v>
      </c>
      <c r="F50">
        <v>5.1336446750000002</v>
      </c>
      <c r="N50">
        <v>0.65172609636182832</v>
      </c>
      <c r="O50">
        <v>4.4813557011342304</v>
      </c>
      <c r="P50">
        <v>3.3415363149999999</v>
      </c>
      <c r="Q50">
        <v>5.16</v>
      </c>
      <c r="T50">
        <v>2.5792410480000001</v>
      </c>
    </row>
    <row r="51" spans="1:20" x14ac:dyDescent="0.3">
      <c r="A51" s="15" t="s">
        <v>195</v>
      </c>
      <c r="F51">
        <v>2.8765267209999998</v>
      </c>
      <c r="N51">
        <v>0.73120513499999995</v>
      </c>
      <c r="O51">
        <v>4.5338786420000003</v>
      </c>
      <c r="P51">
        <v>3.3866399129999998</v>
      </c>
      <c r="Q51">
        <v>5.18</v>
      </c>
      <c r="T51">
        <v>2.654092157</v>
      </c>
    </row>
    <row r="52" spans="1:20" x14ac:dyDescent="0.3">
      <c r="A52" s="15" t="s">
        <v>197</v>
      </c>
      <c r="F52">
        <v>3.7441635230000001</v>
      </c>
      <c r="N52">
        <v>1.0884486019999999</v>
      </c>
      <c r="O52">
        <v>4.5339866860000004</v>
      </c>
      <c r="P52">
        <v>3.393167032</v>
      </c>
      <c r="Q52">
        <v>5.1865954820000004</v>
      </c>
      <c r="T52">
        <v>2.7035807859999998</v>
      </c>
    </row>
    <row r="53" spans="1:20" x14ac:dyDescent="0.3">
      <c r="A53" s="15" t="s">
        <v>199</v>
      </c>
      <c r="F53">
        <v>5.8903332739999996</v>
      </c>
      <c r="N53">
        <v>1.1488561859999999</v>
      </c>
      <c r="O53">
        <v>4.55</v>
      </c>
      <c r="P53">
        <v>3.4035780510000002</v>
      </c>
      <c r="Q53">
        <v>5.2198509839999998</v>
      </c>
      <c r="T53">
        <v>2.7737799769999998</v>
      </c>
    </row>
    <row r="54" spans="1:20" x14ac:dyDescent="0.3">
      <c r="A54" s="15" t="s">
        <v>202</v>
      </c>
      <c r="F54">
        <v>6.6044703440000001</v>
      </c>
      <c r="N54">
        <v>1.180864336</v>
      </c>
      <c r="O54">
        <v>4.59</v>
      </c>
      <c r="P54">
        <v>3.5387406850000001</v>
      </c>
      <c r="Q54">
        <v>5.3107569200000002</v>
      </c>
      <c r="T54">
        <v>2.79</v>
      </c>
    </row>
    <row r="55" spans="1:20" x14ac:dyDescent="0.3">
      <c r="A55" s="15" t="s">
        <v>204</v>
      </c>
      <c r="F55">
        <v>5.443776164</v>
      </c>
      <c r="N55">
        <v>1.1908353991891509</v>
      </c>
      <c r="O55">
        <v>4.6636115257952433</v>
      </c>
      <c r="P55">
        <v>3.5513198770000001</v>
      </c>
      <c r="Q55">
        <v>5.330528932</v>
      </c>
      <c r="T55">
        <v>2.883952989</v>
      </c>
    </row>
    <row r="56" spans="1:20" x14ac:dyDescent="0.3">
      <c r="A56" s="15" t="s">
        <v>207</v>
      </c>
      <c r="F56">
        <v>5.7431126629999998</v>
      </c>
      <c r="N56">
        <v>1.2578462762450267</v>
      </c>
      <c r="O56">
        <v>4.6741738919999998</v>
      </c>
      <c r="P56">
        <v>3.6856636429999998</v>
      </c>
      <c r="Q56">
        <v>5.3700300009999999</v>
      </c>
      <c r="T56">
        <v>2.89</v>
      </c>
    </row>
    <row r="57" spans="1:20" x14ac:dyDescent="0.3">
      <c r="A57" s="15" t="s">
        <v>211</v>
      </c>
      <c r="J57">
        <v>3.5089685340000001</v>
      </c>
      <c r="N57">
        <v>1.3105372472643015</v>
      </c>
      <c r="O57">
        <v>4.7507726830000001</v>
      </c>
      <c r="P57">
        <v>3.7017147690000001</v>
      </c>
      <c r="Q57">
        <v>5.4081495029999997</v>
      </c>
      <c r="T57">
        <v>2.897333508</v>
      </c>
    </row>
    <row r="58" spans="1:20" x14ac:dyDescent="0.3">
      <c r="A58" s="15" t="s">
        <v>215</v>
      </c>
      <c r="F58">
        <v>4.4258503400000002</v>
      </c>
      <c r="N58">
        <v>1.3894092580109372</v>
      </c>
      <c r="O58">
        <v>4.7682935710000001</v>
      </c>
      <c r="P58">
        <v>3.7441635230000001</v>
      </c>
      <c r="Q58">
        <v>5.4348119879999999</v>
      </c>
      <c r="T58">
        <v>2.897610641</v>
      </c>
    </row>
    <row r="59" spans="1:20" x14ac:dyDescent="0.3">
      <c r="A59" s="15" t="s">
        <v>217</v>
      </c>
      <c r="F59">
        <v>4.8049715869999998</v>
      </c>
      <c r="N59">
        <v>1.4755743795724348</v>
      </c>
      <c r="O59">
        <v>4.7867650050000004</v>
      </c>
      <c r="P59">
        <v>3.78</v>
      </c>
      <c r="Q59">
        <v>5.4439821329999996</v>
      </c>
      <c r="T59">
        <v>2.95</v>
      </c>
    </row>
    <row r="60" spans="1:20" x14ac:dyDescent="0.3">
      <c r="A60" s="15" t="s">
        <v>220</v>
      </c>
      <c r="F60">
        <v>5.7112848139999999</v>
      </c>
      <c r="N60">
        <v>1.4804567340000001</v>
      </c>
      <c r="O60">
        <v>4.96</v>
      </c>
      <c r="P60">
        <v>3.8405516149999999</v>
      </c>
      <c r="Q60">
        <v>5.49</v>
      </c>
      <c r="T60">
        <v>2.9757540730000001</v>
      </c>
    </row>
    <row r="61" spans="1:20" x14ac:dyDescent="0.3">
      <c r="A61" s="15" t="s">
        <v>224</v>
      </c>
      <c r="J61">
        <v>6.2600288869999998</v>
      </c>
      <c r="N61">
        <v>1.5747509275122344</v>
      </c>
      <c r="O61">
        <v>5.0156221590000003</v>
      </c>
      <c r="P61">
        <v>3.9089561320000001</v>
      </c>
      <c r="Q61">
        <v>5.5113824869999997</v>
      </c>
      <c r="T61">
        <v>3.24</v>
      </c>
    </row>
    <row r="62" spans="1:20" x14ac:dyDescent="0.3">
      <c r="A62" s="15" t="s">
        <v>228</v>
      </c>
      <c r="J62">
        <v>8.1884790610000007</v>
      </c>
      <c r="N62">
        <v>1.5919531131477958</v>
      </c>
      <c r="O62">
        <v>5.0599999999999996</v>
      </c>
      <c r="P62">
        <v>3.933242618</v>
      </c>
      <c r="Q62">
        <v>5.5383834839999997</v>
      </c>
      <c r="T62">
        <v>3.2952063969999998</v>
      </c>
    </row>
    <row r="63" spans="1:20" x14ac:dyDescent="0.3">
      <c r="A63" s="15" t="s">
        <v>232</v>
      </c>
      <c r="J63">
        <v>5.6515635069999997</v>
      </c>
      <c r="N63">
        <v>1.6787719117740334</v>
      </c>
      <c r="O63">
        <v>5.13</v>
      </c>
      <c r="P63">
        <v>3.948775355</v>
      </c>
      <c r="Q63">
        <v>5.58</v>
      </c>
      <c r="T63">
        <v>3.324742144</v>
      </c>
    </row>
    <row r="64" spans="1:20" x14ac:dyDescent="0.3">
      <c r="A64" s="15" t="s">
        <v>236</v>
      </c>
      <c r="J64">
        <v>5.7517205730000001</v>
      </c>
      <c r="N64">
        <v>1.827059424</v>
      </c>
      <c r="O64">
        <v>5.14</v>
      </c>
      <c r="P64">
        <v>3.9638846239999999</v>
      </c>
      <c r="Q64">
        <v>5.6042188250000002</v>
      </c>
      <c r="T64">
        <v>3.3433716809999998</v>
      </c>
    </row>
    <row r="65" spans="1:20" x14ac:dyDescent="0.3">
      <c r="A65" s="15" t="s">
        <v>240</v>
      </c>
      <c r="J65">
        <v>5.7862855829999997</v>
      </c>
      <c r="N65">
        <v>1.854481058</v>
      </c>
      <c r="O65">
        <v>5.2105283419999999</v>
      </c>
      <c r="P65">
        <v>4.025961927</v>
      </c>
      <c r="Q65">
        <v>5.7234815609999998</v>
      </c>
      <c r="T65">
        <v>3.39</v>
      </c>
    </row>
    <row r="66" spans="1:20" x14ac:dyDescent="0.3">
      <c r="A66" s="15" t="s">
        <v>244</v>
      </c>
      <c r="J66">
        <v>2.897610641</v>
      </c>
      <c r="N66">
        <v>1.887067598</v>
      </c>
      <c r="O66">
        <v>5.2436956700000001</v>
      </c>
      <c r="P66">
        <v>4.0697583960000001</v>
      </c>
      <c r="Q66">
        <v>5.73</v>
      </c>
      <c r="T66">
        <v>3.3966480020000001</v>
      </c>
    </row>
    <row r="67" spans="1:20" x14ac:dyDescent="0.3">
      <c r="A67" s="15" t="s">
        <v>247</v>
      </c>
      <c r="J67">
        <v>3.9660569749999999</v>
      </c>
      <c r="N67">
        <v>2.0368459365255687</v>
      </c>
      <c r="O67">
        <v>5.25</v>
      </c>
      <c r="P67">
        <v>4.1106608509999996</v>
      </c>
      <c r="Q67">
        <v>5.7539430449999998</v>
      </c>
      <c r="T67">
        <v>3.4300006820000002</v>
      </c>
    </row>
    <row r="68" spans="1:20" x14ac:dyDescent="0.3">
      <c r="A68" s="15" t="s">
        <v>251</v>
      </c>
      <c r="J68">
        <v>4.6095004590000004</v>
      </c>
      <c r="N68">
        <v>2.0479478071630148</v>
      </c>
      <c r="O68">
        <v>5.29</v>
      </c>
      <c r="P68">
        <v>4.1164420819999998</v>
      </c>
      <c r="Q68">
        <v>5.7561244809999996</v>
      </c>
      <c r="T68">
        <v>3.45</v>
      </c>
    </row>
    <row r="69" spans="1:20" x14ac:dyDescent="0.3">
      <c r="A69" s="15" t="s">
        <v>254</v>
      </c>
      <c r="J69">
        <v>7.2560771229999999</v>
      </c>
      <c r="N69">
        <v>2.0857327219999999</v>
      </c>
      <c r="O69">
        <v>5.3668877330000004</v>
      </c>
      <c r="P69">
        <v>4.1500000000000004</v>
      </c>
      <c r="Q69">
        <v>5.7660586900000004</v>
      </c>
      <c r="T69">
        <v>3.4851814609999998</v>
      </c>
    </row>
    <row r="70" spans="1:20" x14ac:dyDescent="0.3">
      <c r="A70" s="15" t="s">
        <v>257</v>
      </c>
      <c r="G70">
        <v>5.5113824869999997</v>
      </c>
      <c r="N70">
        <v>2.2135804690000001</v>
      </c>
      <c r="O70">
        <v>5.372867243</v>
      </c>
      <c r="P70">
        <v>4.2139024129999996</v>
      </c>
      <c r="Q70">
        <v>5.7664671910000003</v>
      </c>
      <c r="T70">
        <v>3.5089685340000001</v>
      </c>
    </row>
    <row r="71" spans="1:20" x14ac:dyDescent="0.3">
      <c r="A71" s="15" t="s">
        <v>260</v>
      </c>
      <c r="G71">
        <v>2.922561001</v>
      </c>
      <c r="N71">
        <v>2.2954539820000002</v>
      </c>
      <c r="O71">
        <v>5.39</v>
      </c>
      <c r="P71">
        <v>4.230405448</v>
      </c>
      <c r="Q71">
        <v>5.767877683</v>
      </c>
      <c r="T71">
        <v>3.52</v>
      </c>
    </row>
    <row r="72" spans="1:20" x14ac:dyDescent="0.3">
      <c r="A72" s="15" t="s">
        <v>262</v>
      </c>
      <c r="G72">
        <v>4.7383537110000002</v>
      </c>
      <c r="N72">
        <v>2.3573002094732995</v>
      </c>
      <c r="O72">
        <v>5.4245378830000002</v>
      </c>
      <c r="P72">
        <v>4.24</v>
      </c>
      <c r="Q72">
        <v>5.7855787210000003</v>
      </c>
      <c r="T72">
        <v>3.54</v>
      </c>
    </row>
    <row r="73" spans="1:20" x14ac:dyDescent="0.3">
      <c r="A73" s="15" t="s">
        <v>266</v>
      </c>
      <c r="G73">
        <v>5.8449120849999998</v>
      </c>
      <c r="N73">
        <v>2.5328247165417843</v>
      </c>
      <c r="O73">
        <v>5.43</v>
      </c>
      <c r="P73">
        <v>4.246373889</v>
      </c>
      <c r="Q73">
        <v>5.7995827579999997</v>
      </c>
      <c r="T73">
        <v>3.56</v>
      </c>
    </row>
    <row r="74" spans="1:20" x14ac:dyDescent="0.3">
      <c r="A74" s="15" t="s">
        <v>270</v>
      </c>
      <c r="G74">
        <v>0.467414779</v>
      </c>
      <c r="N74">
        <v>2.6561990980000001</v>
      </c>
      <c r="O74">
        <v>5.4664398790000002</v>
      </c>
      <c r="P74">
        <v>4.2834954779999999</v>
      </c>
      <c r="Q74">
        <v>5.8278533020000003</v>
      </c>
      <c r="T74">
        <v>3.58</v>
      </c>
    </row>
    <row r="75" spans="1:20" x14ac:dyDescent="0.3">
      <c r="A75" s="15" t="s">
        <v>273</v>
      </c>
      <c r="G75">
        <v>4.6983978000000004</v>
      </c>
      <c r="N75">
        <v>2.7406756114669628</v>
      </c>
      <c r="O75">
        <v>5.4825289420000001</v>
      </c>
      <c r="P75">
        <v>4.3163154549999998</v>
      </c>
      <c r="Q75">
        <v>5.8449120849999998</v>
      </c>
      <c r="T75">
        <v>3.6882286569999998</v>
      </c>
    </row>
    <row r="76" spans="1:20" x14ac:dyDescent="0.3">
      <c r="A76" s="15" t="s">
        <v>274</v>
      </c>
      <c r="F76">
        <v>3.3866399129999998</v>
      </c>
      <c r="N76">
        <v>3.0885518529999998</v>
      </c>
      <c r="O76">
        <v>5.5331506380000004</v>
      </c>
      <c r="P76">
        <v>4.322283315</v>
      </c>
      <c r="Q76">
        <v>5.860929574</v>
      </c>
      <c r="T76">
        <v>3.7097121980000001</v>
      </c>
    </row>
    <row r="77" spans="1:20" x14ac:dyDescent="0.3">
      <c r="A77" s="15" t="s">
        <v>277</v>
      </c>
      <c r="F77">
        <v>5.344649457</v>
      </c>
      <c r="N77">
        <v>4.1568201020000002</v>
      </c>
      <c r="O77">
        <v>5.5919840189999999</v>
      </c>
      <c r="P77">
        <v>4.3528436389999996</v>
      </c>
      <c r="Q77">
        <v>5.9527155970000001</v>
      </c>
      <c r="T77">
        <v>3.73</v>
      </c>
    </row>
    <row r="78" spans="1:20" x14ac:dyDescent="0.3">
      <c r="A78" s="15" t="s">
        <v>281</v>
      </c>
      <c r="F78">
        <v>3.2503141499999999</v>
      </c>
      <c r="N78">
        <v>4.303145512077255</v>
      </c>
      <c r="O78">
        <v>5.5928286270000003</v>
      </c>
      <c r="P78">
        <v>4.3584891429999999</v>
      </c>
      <c r="Q78">
        <v>5.9642307929999996</v>
      </c>
      <c r="T78">
        <v>3.7377188330000002</v>
      </c>
    </row>
    <row r="79" spans="1:20" x14ac:dyDescent="0.3">
      <c r="A79" s="15" t="s">
        <v>284</v>
      </c>
      <c r="G79">
        <v>6.1371202760000001</v>
      </c>
      <c r="N79">
        <v>4.3163520451468553</v>
      </c>
      <c r="O79">
        <v>5.6548415350000001</v>
      </c>
      <c r="P79">
        <v>4.379715461</v>
      </c>
      <c r="Q79">
        <v>6.0193783420000004</v>
      </c>
      <c r="T79">
        <v>3.7404578640000001</v>
      </c>
    </row>
    <row r="80" spans="1:20" x14ac:dyDescent="0.3">
      <c r="A80" s="15" t="s">
        <v>288</v>
      </c>
      <c r="G80">
        <v>-2.895262486</v>
      </c>
      <c r="N80">
        <v>6.7388229332522256</v>
      </c>
      <c r="O80">
        <v>5.6599003440000004</v>
      </c>
      <c r="P80">
        <v>4.4258503400000002</v>
      </c>
      <c r="Q80">
        <v>6.1037358299999998</v>
      </c>
      <c r="T80">
        <v>3.752539466</v>
      </c>
    </row>
    <row r="81" spans="1:20" x14ac:dyDescent="0.3">
      <c r="A81" s="15" t="s">
        <v>290</v>
      </c>
      <c r="I81">
        <v>5.2005087730000001</v>
      </c>
      <c r="O81">
        <v>5.68</v>
      </c>
      <c r="P81">
        <v>4.4356855120000001</v>
      </c>
      <c r="Q81">
        <v>6.12</v>
      </c>
      <c r="T81">
        <v>3.7625710840000002</v>
      </c>
    </row>
    <row r="82" spans="1:20" x14ac:dyDescent="0.3">
      <c r="A82" s="15" t="s">
        <v>293</v>
      </c>
      <c r="G82">
        <v>4.5326032730000003</v>
      </c>
      <c r="O82">
        <v>5.7212481039999998</v>
      </c>
      <c r="P82">
        <v>4.4643169909999996</v>
      </c>
      <c r="Q82">
        <v>6.1371202760000001</v>
      </c>
      <c r="T82">
        <v>3.7713615389999999</v>
      </c>
    </row>
    <row r="83" spans="1:20" x14ac:dyDescent="0.3">
      <c r="A83" s="15" t="s">
        <v>296</v>
      </c>
      <c r="J83">
        <v>3.7713615389999999</v>
      </c>
      <c r="O83">
        <v>5.7328943819999996</v>
      </c>
      <c r="P83">
        <v>4.464710288</v>
      </c>
      <c r="Q83">
        <v>6.23</v>
      </c>
      <c r="T83">
        <v>3.7895234439999999</v>
      </c>
    </row>
    <row r="84" spans="1:20" x14ac:dyDescent="0.3">
      <c r="A84" s="15" t="s">
        <v>300</v>
      </c>
      <c r="J84">
        <v>6.911640147</v>
      </c>
      <c r="O84">
        <v>5.7633601329999999</v>
      </c>
      <c r="P84">
        <v>4.4810051189999998</v>
      </c>
      <c r="Q84">
        <v>6.24</v>
      </c>
      <c r="T84">
        <v>3.7908441449999999</v>
      </c>
    </row>
    <row r="85" spans="1:20" x14ac:dyDescent="0.3">
      <c r="A85" s="15" t="s">
        <v>303</v>
      </c>
      <c r="J85">
        <v>5.8756138020000002</v>
      </c>
      <c r="O85">
        <v>5.78</v>
      </c>
      <c r="P85">
        <v>4.51</v>
      </c>
      <c r="Q85">
        <v>6.2458319260000001</v>
      </c>
      <c r="T85">
        <v>3.8</v>
      </c>
    </row>
    <row r="86" spans="1:20" x14ac:dyDescent="0.3">
      <c r="A86" s="15" t="s">
        <v>304</v>
      </c>
      <c r="J86">
        <v>5.1767454129999999</v>
      </c>
      <c r="O86">
        <v>5.83</v>
      </c>
      <c r="P86">
        <v>4.531469821</v>
      </c>
      <c r="Q86">
        <v>6.362445471</v>
      </c>
      <c r="T86">
        <v>3.800112435</v>
      </c>
    </row>
    <row r="87" spans="1:20" x14ac:dyDescent="0.3">
      <c r="A87" s="15" t="s">
        <v>309</v>
      </c>
      <c r="J87">
        <v>3.911619859</v>
      </c>
      <c r="O87">
        <v>5.89</v>
      </c>
      <c r="P87">
        <v>4.5536058810000002</v>
      </c>
      <c r="Q87">
        <v>6.3993178049999999</v>
      </c>
      <c r="T87">
        <v>3.83</v>
      </c>
    </row>
    <row r="88" spans="1:20" x14ac:dyDescent="0.3">
      <c r="A88" s="15" t="s">
        <v>313</v>
      </c>
      <c r="F88">
        <v>6.8961018080000001</v>
      </c>
      <c r="O88">
        <v>5.92</v>
      </c>
      <c r="P88">
        <v>4.5674128239999998</v>
      </c>
      <c r="Q88">
        <v>6.4244729820000002</v>
      </c>
      <c r="T88">
        <v>3.83</v>
      </c>
    </row>
    <row r="89" spans="1:20" x14ac:dyDescent="0.3">
      <c r="A89" s="15" t="s">
        <v>314</v>
      </c>
      <c r="F89">
        <v>5.8003058950000002</v>
      </c>
      <c r="O89">
        <v>5.9358978100000002</v>
      </c>
      <c r="P89">
        <v>4.57</v>
      </c>
      <c r="Q89">
        <v>6.4662387350000001</v>
      </c>
      <c r="T89">
        <v>3.8442051319999999</v>
      </c>
    </row>
    <row r="90" spans="1:20" x14ac:dyDescent="0.3">
      <c r="A90" s="15" t="s">
        <v>317</v>
      </c>
      <c r="F90">
        <v>1.168013886</v>
      </c>
      <c r="O90">
        <v>5.9508671089999998</v>
      </c>
      <c r="P90">
        <v>4.5856357570000004</v>
      </c>
      <c r="Q90">
        <v>6.4983951089999996</v>
      </c>
      <c r="T90">
        <v>3.8446096700000001</v>
      </c>
    </row>
    <row r="91" spans="1:20" x14ac:dyDescent="0.3">
      <c r="A91" s="15" t="s">
        <v>319</v>
      </c>
      <c r="F91">
        <v>8.3990171500000006</v>
      </c>
      <c r="O91">
        <v>5.9523365699999999</v>
      </c>
      <c r="P91">
        <v>4.6050565990000001</v>
      </c>
      <c r="Q91">
        <v>6.6276773269999998</v>
      </c>
      <c r="T91">
        <v>3.8457698059999998</v>
      </c>
    </row>
    <row r="92" spans="1:20" x14ac:dyDescent="0.3">
      <c r="A92" s="15" t="s">
        <v>321</v>
      </c>
      <c r="F92">
        <v>3.3415363149999999</v>
      </c>
      <c r="O92">
        <v>5.9534398639999999</v>
      </c>
      <c r="P92">
        <v>4.6084822760000002</v>
      </c>
      <c r="Q92">
        <v>6.63</v>
      </c>
      <c r="T92">
        <v>3.8466605340000002</v>
      </c>
    </row>
    <row r="93" spans="1:20" x14ac:dyDescent="0.3">
      <c r="A93" s="15" t="s">
        <v>322</v>
      </c>
      <c r="F93">
        <v>6.554213861</v>
      </c>
      <c r="O93">
        <v>5.9723008990000004</v>
      </c>
      <c r="P93">
        <v>4.62</v>
      </c>
      <c r="Q93">
        <v>6.6358109839999999</v>
      </c>
      <c r="T93">
        <v>3.86</v>
      </c>
    </row>
    <row r="94" spans="1:20" x14ac:dyDescent="0.3">
      <c r="A94" s="15" t="s">
        <v>2727</v>
      </c>
      <c r="J94">
        <v>6.7145772929999996</v>
      </c>
      <c r="O94">
        <v>5.9873324280000002</v>
      </c>
      <c r="P94">
        <v>4.63</v>
      </c>
      <c r="Q94">
        <v>6.6833936920000001</v>
      </c>
      <c r="T94">
        <v>3.89</v>
      </c>
    </row>
    <row r="95" spans="1:20" x14ac:dyDescent="0.3">
      <c r="A95" s="15" t="s">
        <v>333</v>
      </c>
      <c r="J95">
        <v>2.1809722819999999</v>
      </c>
      <c r="O95">
        <v>6.02</v>
      </c>
      <c r="P95">
        <v>4.6594792079999996</v>
      </c>
      <c r="Q95">
        <v>6.7289763999999996</v>
      </c>
      <c r="T95">
        <v>3.893231841</v>
      </c>
    </row>
    <row r="96" spans="1:20" x14ac:dyDescent="0.3">
      <c r="A96" s="15" t="s">
        <v>337</v>
      </c>
      <c r="J96">
        <v>4.2251110140000003</v>
      </c>
      <c r="O96">
        <v>6.02</v>
      </c>
      <c r="P96">
        <v>4.6857405649999997</v>
      </c>
      <c r="Q96">
        <v>6.86</v>
      </c>
      <c r="T96">
        <v>3.911619859</v>
      </c>
    </row>
    <row r="97" spans="1:20" x14ac:dyDescent="0.3">
      <c r="A97" s="15" t="s">
        <v>340</v>
      </c>
      <c r="J97">
        <v>6.0646723439999999</v>
      </c>
      <c r="O97">
        <v>6.0384375830000003</v>
      </c>
      <c r="P97">
        <v>4.6951264610000001</v>
      </c>
      <c r="Q97">
        <v>7.0451623860000003</v>
      </c>
      <c r="T97">
        <v>3.9188431449999999</v>
      </c>
    </row>
    <row r="98" spans="1:20" x14ac:dyDescent="0.3">
      <c r="A98" s="15" t="s">
        <v>343</v>
      </c>
      <c r="J98">
        <v>4.5808401099999996</v>
      </c>
      <c r="O98">
        <v>6.18</v>
      </c>
      <c r="P98">
        <v>4.7742457500000004</v>
      </c>
      <c r="Q98">
        <v>7.1829979780000004</v>
      </c>
      <c r="T98">
        <v>3.9245630650000001</v>
      </c>
    </row>
    <row r="99" spans="1:20" x14ac:dyDescent="0.3">
      <c r="A99" s="15" t="s">
        <v>346</v>
      </c>
      <c r="J99">
        <v>8.3733465309999993</v>
      </c>
      <c r="O99">
        <v>6.2189635689999996</v>
      </c>
      <c r="P99">
        <v>4.8024455939999999</v>
      </c>
      <c r="Q99">
        <v>7.1919720040000001</v>
      </c>
      <c r="T99">
        <v>3.93</v>
      </c>
    </row>
    <row r="100" spans="1:20" x14ac:dyDescent="0.3">
      <c r="A100" s="15" t="s">
        <v>348</v>
      </c>
      <c r="J100">
        <v>6.2689454370000002</v>
      </c>
      <c r="O100">
        <v>6.2343631159999999</v>
      </c>
      <c r="P100">
        <v>4.8049715869999998</v>
      </c>
      <c r="Q100">
        <v>7.23</v>
      </c>
      <c r="T100">
        <v>3.94</v>
      </c>
    </row>
    <row r="101" spans="1:20" x14ac:dyDescent="0.3">
      <c r="A101" s="15" t="s">
        <v>351</v>
      </c>
      <c r="J101">
        <v>6.5388365129999997</v>
      </c>
      <c r="O101">
        <v>6.2494094899999997</v>
      </c>
      <c r="P101">
        <v>4.808334544</v>
      </c>
      <c r="Q101">
        <v>7.2495956589999997</v>
      </c>
      <c r="T101">
        <v>3.945912544</v>
      </c>
    </row>
    <row r="102" spans="1:20" x14ac:dyDescent="0.3">
      <c r="A102" s="15" t="s">
        <v>353</v>
      </c>
      <c r="J102">
        <v>5.7310074320000002</v>
      </c>
      <c r="O102">
        <v>6.27</v>
      </c>
      <c r="P102">
        <v>4.8131155190000001</v>
      </c>
      <c r="Q102">
        <v>7.36</v>
      </c>
      <c r="T102">
        <v>3.949742799</v>
      </c>
    </row>
    <row r="103" spans="1:20" x14ac:dyDescent="0.3">
      <c r="A103" s="15" t="s">
        <v>356</v>
      </c>
      <c r="J103">
        <v>4.448716224</v>
      </c>
      <c r="O103">
        <v>6.2884790529999997</v>
      </c>
      <c r="P103">
        <v>4.8752136559999997</v>
      </c>
      <c r="Q103">
        <v>7.3712855289999997</v>
      </c>
      <c r="T103">
        <v>3.9561567200000001</v>
      </c>
    </row>
    <row r="104" spans="1:20" x14ac:dyDescent="0.3">
      <c r="A104" s="15" t="s">
        <v>359</v>
      </c>
      <c r="J104">
        <v>8.0870056760000004</v>
      </c>
      <c r="O104">
        <v>6.3007440209999999</v>
      </c>
      <c r="P104">
        <v>4.9491772149999997</v>
      </c>
      <c r="Q104">
        <v>7.5123970419999999</v>
      </c>
      <c r="T104">
        <v>3.9600696860000002</v>
      </c>
    </row>
    <row r="105" spans="1:20" x14ac:dyDescent="0.3">
      <c r="A105" s="15" t="s">
        <v>362</v>
      </c>
      <c r="J105">
        <v>2.3244389860000001</v>
      </c>
      <c r="O105">
        <v>6.3167777620000001</v>
      </c>
      <c r="P105">
        <v>4.9566857960000004</v>
      </c>
      <c r="Q105">
        <v>7.7058101160000003</v>
      </c>
      <c r="T105">
        <v>3.9660569749999999</v>
      </c>
    </row>
    <row r="106" spans="1:20" x14ac:dyDescent="0.3">
      <c r="A106" s="15" t="s">
        <v>369</v>
      </c>
      <c r="G106">
        <v>4.1120330669999996</v>
      </c>
      <c r="O106">
        <v>6.3187365340000001</v>
      </c>
      <c r="P106">
        <v>4.9823085220000003</v>
      </c>
      <c r="Q106">
        <v>7.7614681299999999</v>
      </c>
      <c r="T106">
        <v>3.9924647470000001</v>
      </c>
    </row>
    <row r="107" spans="1:20" x14ac:dyDescent="0.3">
      <c r="A107" s="15" t="s">
        <v>372</v>
      </c>
      <c r="G107">
        <v>10.37520372</v>
      </c>
      <c r="O107">
        <v>6.3888282790000002</v>
      </c>
      <c r="P107">
        <v>4.9925662529999997</v>
      </c>
      <c r="Q107">
        <v>8.0096764</v>
      </c>
      <c r="T107">
        <v>3.9994609560000001</v>
      </c>
    </row>
    <row r="108" spans="1:20" x14ac:dyDescent="0.3">
      <c r="A108" s="15" t="s">
        <v>376</v>
      </c>
      <c r="G108">
        <v>5.9527155970000001</v>
      </c>
      <c r="O108">
        <v>6.4167942839999998</v>
      </c>
      <c r="P108">
        <v>5.0406416030000001</v>
      </c>
      <c r="Q108">
        <v>8.1074579090000007</v>
      </c>
      <c r="T108">
        <v>4</v>
      </c>
    </row>
    <row r="109" spans="1:20" x14ac:dyDescent="0.3">
      <c r="A109" s="15" t="s">
        <v>380</v>
      </c>
      <c r="G109">
        <v>5.2198509839999998</v>
      </c>
      <c r="O109">
        <v>6.4195077019999998</v>
      </c>
      <c r="P109">
        <v>5.0462848190000003</v>
      </c>
      <c r="Q109">
        <v>8.1499823199999994</v>
      </c>
      <c r="T109">
        <v>4.01</v>
      </c>
    </row>
    <row r="110" spans="1:20" x14ac:dyDescent="0.3">
      <c r="A110" s="15" t="s">
        <v>383</v>
      </c>
      <c r="F110">
        <v>4.4356855120000001</v>
      </c>
      <c r="O110">
        <v>6.4356554460000002</v>
      </c>
      <c r="P110">
        <v>5.067095804</v>
      </c>
      <c r="Q110">
        <v>8.259712232</v>
      </c>
      <c r="T110">
        <v>4.0277481269999997</v>
      </c>
    </row>
    <row r="111" spans="1:20" x14ac:dyDescent="0.3">
      <c r="A111" s="15" t="s">
        <v>388</v>
      </c>
      <c r="F111">
        <v>3.8405516149999999</v>
      </c>
      <c r="O111">
        <v>6.4512236940000003</v>
      </c>
      <c r="P111">
        <v>5.072076161</v>
      </c>
      <c r="Q111">
        <v>8.5001566569999998</v>
      </c>
      <c r="T111">
        <v>4.0325196060000001</v>
      </c>
    </row>
    <row r="112" spans="1:20" x14ac:dyDescent="0.3">
      <c r="A112" s="15" t="s">
        <v>390</v>
      </c>
      <c r="F112">
        <v>4.379715461</v>
      </c>
      <c r="O112">
        <v>6.4573177370000003</v>
      </c>
      <c r="P112">
        <v>5.0772408249999996</v>
      </c>
      <c r="Q112">
        <v>8.6048152160000004</v>
      </c>
      <c r="T112">
        <v>4.05</v>
      </c>
    </row>
    <row r="113" spans="1:20" x14ac:dyDescent="0.3">
      <c r="A113" s="15" t="s">
        <v>394</v>
      </c>
      <c r="F113">
        <v>6.0682074530000003</v>
      </c>
      <c r="O113">
        <v>6.5312558430000003</v>
      </c>
      <c r="P113">
        <v>5.1072790489999997</v>
      </c>
      <c r="Q113">
        <v>9.0187124189999999</v>
      </c>
      <c r="T113">
        <v>4.0599999999999996</v>
      </c>
    </row>
    <row r="114" spans="1:20" x14ac:dyDescent="0.3">
      <c r="A114" s="15" t="s">
        <v>396</v>
      </c>
      <c r="J114">
        <v>1.274868372</v>
      </c>
      <c r="O114">
        <v>6.55</v>
      </c>
      <c r="P114">
        <v>5.1336446750000002</v>
      </c>
      <c r="Q114">
        <v>10.26</v>
      </c>
      <c r="T114">
        <v>4.0708941650000003</v>
      </c>
    </row>
    <row r="115" spans="1:20" x14ac:dyDescent="0.3">
      <c r="A115" s="15" t="s">
        <v>398</v>
      </c>
      <c r="J115">
        <v>6.7635865040000001</v>
      </c>
      <c r="O115">
        <v>6.5984784019999996</v>
      </c>
      <c r="P115">
        <v>5.1503156480000003</v>
      </c>
      <c r="Q115">
        <v>10.37520372</v>
      </c>
      <c r="T115">
        <v>4.088102492</v>
      </c>
    </row>
    <row r="116" spans="1:20" x14ac:dyDescent="0.3">
      <c r="A116" s="15" t="s">
        <v>401</v>
      </c>
      <c r="J116">
        <v>-1.2788375329999999</v>
      </c>
      <c r="O116">
        <v>6.65</v>
      </c>
      <c r="P116">
        <v>5.1604925460000004</v>
      </c>
      <c r="T116">
        <v>4.0917650529999996</v>
      </c>
    </row>
    <row r="117" spans="1:20" x14ac:dyDescent="0.3">
      <c r="A117" s="15" t="s">
        <v>403</v>
      </c>
      <c r="J117">
        <v>8.2939478090000005</v>
      </c>
      <c r="O117">
        <v>6.7294726100000002</v>
      </c>
      <c r="P117">
        <v>5.1625018530000002</v>
      </c>
      <c r="T117">
        <v>4.1034937109999996</v>
      </c>
    </row>
    <row r="118" spans="1:20" x14ac:dyDescent="0.3">
      <c r="A118" s="15" t="s">
        <v>405</v>
      </c>
      <c r="J118">
        <v>7.3671662800000002</v>
      </c>
      <c r="O118">
        <v>6.751118806</v>
      </c>
      <c r="P118">
        <v>5.1691810089999999</v>
      </c>
      <c r="T118">
        <v>4.1258487749999997</v>
      </c>
    </row>
    <row r="119" spans="1:20" x14ac:dyDescent="0.3">
      <c r="A119" s="15" t="s">
        <v>408</v>
      </c>
      <c r="J119">
        <v>2.883952989</v>
      </c>
      <c r="O119">
        <v>6.7974347110000002</v>
      </c>
      <c r="P119">
        <v>5.2302281119999998</v>
      </c>
      <c r="T119">
        <v>4.13</v>
      </c>
    </row>
    <row r="120" spans="1:20" x14ac:dyDescent="0.3">
      <c r="A120" s="15" t="s">
        <v>411</v>
      </c>
      <c r="J120">
        <v>9.5568147089999993</v>
      </c>
      <c r="O120">
        <v>6.7982294169999999</v>
      </c>
      <c r="P120">
        <v>5.2616707260000002</v>
      </c>
      <c r="T120">
        <v>4.13</v>
      </c>
    </row>
    <row r="121" spans="1:20" x14ac:dyDescent="0.3">
      <c r="A121" s="15" t="s">
        <v>413</v>
      </c>
      <c r="J121">
        <v>5.3730797150000003</v>
      </c>
      <c r="O121">
        <v>6.8160371270000004</v>
      </c>
      <c r="P121">
        <v>5.2781259159999996</v>
      </c>
      <c r="T121">
        <v>4.143578626</v>
      </c>
    </row>
    <row r="122" spans="1:20" x14ac:dyDescent="0.3">
      <c r="A122" s="15" t="s">
        <v>416</v>
      </c>
      <c r="J122">
        <v>6.0350465289999997</v>
      </c>
      <c r="O122">
        <v>6.8170682840000003</v>
      </c>
      <c r="P122">
        <v>5.3228368670000004</v>
      </c>
      <c r="T122">
        <v>4.1500000000000004</v>
      </c>
    </row>
    <row r="123" spans="1:20" x14ac:dyDescent="0.3">
      <c r="A123" s="15" t="s">
        <v>419</v>
      </c>
      <c r="J123">
        <v>5.0208826039999996</v>
      </c>
      <c r="O123">
        <v>6.86</v>
      </c>
      <c r="P123">
        <v>5.344649457</v>
      </c>
      <c r="T123">
        <v>4.16</v>
      </c>
    </row>
    <row r="124" spans="1:20" x14ac:dyDescent="0.3">
      <c r="A124" s="15" t="s">
        <v>421</v>
      </c>
      <c r="J124">
        <v>5.5541803310000004</v>
      </c>
      <c r="O124">
        <v>6.92</v>
      </c>
      <c r="P124">
        <v>5.36</v>
      </c>
      <c r="T124">
        <v>4.1762939799999996</v>
      </c>
    </row>
    <row r="125" spans="1:20" x14ac:dyDescent="0.3">
      <c r="A125" s="15" t="s">
        <v>423</v>
      </c>
      <c r="J125">
        <v>6.1836821659999996</v>
      </c>
      <c r="O125">
        <v>6.9397719420000001</v>
      </c>
      <c r="P125">
        <v>5.443776164</v>
      </c>
      <c r="T125">
        <v>4.1794235679999998</v>
      </c>
    </row>
    <row r="126" spans="1:20" x14ac:dyDescent="0.3">
      <c r="A126" s="15" t="s">
        <v>424</v>
      </c>
      <c r="J126">
        <v>8.2654915150000008</v>
      </c>
      <c r="O126">
        <v>6.99</v>
      </c>
      <c r="P126">
        <v>5.4780394870000002</v>
      </c>
      <c r="T126">
        <v>4.1900000000000004</v>
      </c>
    </row>
    <row r="127" spans="1:20" x14ac:dyDescent="0.3">
      <c r="A127" s="15" t="s">
        <v>425</v>
      </c>
      <c r="J127">
        <v>6.1887754749999999</v>
      </c>
      <c r="O127">
        <v>7.07</v>
      </c>
      <c r="P127">
        <v>5.48</v>
      </c>
      <c r="T127">
        <v>4.2071453480000001</v>
      </c>
    </row>
    <row r="128" spans="1:20" x14ac:dyDescent="0.3">
      <c r="A128" s="15" t="s">
        <v>426</v>
      </c>
      <c r="J128">
        <v>5.4184444909999998</v>
      </c>
      <c r="O128">
        <v>7.1</v>
      </c>
      <c r="P128">
        <v>5.4933990130000003</v>
      </c>
      <c r="T128">
        <v>4.21</v>
      </c>
    </row>
    <row r="129" spans="1:20" x14ac:dyDescent="0.3">
      <c r="A129" s="15" t="s">
        <v>427</v>
      </c>
      <c r="J129">
        <v>7.6598259329999996</v>
      </c>
      <c r="O129">
        <v>7.1116463679999997</v>
      </c>
      <c r="P129">
        <v>5.5760675280000003</v>
      </c>
      <c r="T129">
        <v>4.2251110140000003</v>
      </c>
    </row>
    <row r="130" spans="1:20" x14ac:dyDescent="0.3">
      <c r="A130" s="15" t="s">
        <v>429</v>
      </c>
      <c r="J130">
        <v>4.9330720860000001</v>
      </c>
      <c r="O130">
        <v>7.1330110549999999</v>
      </c>
      <c r="P130">
        <v>5.6464658249999999</v>
      </c>
      <c r="T130">
        <v>4.2364595129999998</v>
      </c>
    </row>
    <row r="131" spans="1:20" x14ac:dyDescent="0.3">
      <c r="A131" s="15" t="s">
        <v>430</v>
      </c>
      <c r="J131">
        <v>3.893231841</v>
      </c>
      <c r="O131">
        <v>7.1613572760000004</v>
      </c>
      <c r="P131">
        <v>5.66600898</v>
      </c>
      <c r="T131">
        <v>4.2572328800000001</v>
      </c>
    </row>
    <row r="132" spans="1:20" x14ac:dyDescent="0.3">
      <c r="A132" s="15" t="s">
        <v>432</v>
      </c>
      <c r="J132">
        <v>1.2550141539999999</v>
      </c>
      <c r="O132">
        <v>7.1977436279999996</v>
      </c>
      <c r="P132">
        <v>5.7112848139999999</v>
      </c>
      <c r="T132">
        <v>4.3176607819999999</v>
      </c>
    </row>
    <row r="133" spans="1:20" x14ac:dyDescent="0.3">
      <c r="A133" s="15" t="s">
        <v>434</v>
      </c>
      <c r="J133">
        <v>7.3316396529999999</v>
      </c>
      <c r="O133">
        <v>7.2065769839999998</v>
      </c>
      <c r="P133">
        <v>5.7302107219999998</v>
      </c>
      <c r="T133">
        <v>4.33</v>
      </c>
    </row>
    <row r="134" spans="1:20" x14ac:dyDescent="0.3">
      <c r="A134" s="15" t="s">
        <v>437</v>
      </c>
      <c r="J134">
        <v>-0.57820553799999996</v>
      </c>
      <c r="O134">
        <v>7.21</v>
      </c>
      <c r="P134">
        <v>5.7384713749999996</v>
      </c>
      <c r="T134">
        <v>4.3369842680000001</v>
      </c>
    </row>
    <row r="135" spans="1:20" x14ac:dyDescent="0.3">
      <c r="A135" s="15" t="s">
        <v>439</v>
      </c>
      <c r="J135">
        <v>4.1258487749999997</v>
      </c>
      <c r="O135">
        <v>7.2220788010000003</v>
      </c>
      <c r="P135">
        <v>5.7410995170000003</v>
      </c>
      <c r="T135">
        <v>4.3856015810000004</v>
      </c>
    </row>
    <row r="136" spans="1:20" x14ac:dyDescent="0.3">
      <c r="A136" s="15" t="s">
        <v>440</v>
      </c>
      <c r="J136">
        <v>5.7582361449999997</v>
      </c>
      <c r="O136">
        <v>7.2391474010000003</v>
      </c>
      <c r="P136">
        <v>5.7431126629999998</v>
      </c>
      <c r="T136">
        <v>4.3997488000000002</v>
      </c>
    </row>
    <row r="137" spans="1:20" x14ac:dyDescent="0.3">
      <c r="A137" s="15" t="s">
        <v>443</v>
      </c>
      <c r="J137">
        <v>7.1854624830000002</v>
      </c>
      <c r="O137">
        <v>7.25</v>
      </c>
      <c r="P137">
        <v>5.7749290369999997</v>
      </c>
      <c r="T137">
        <v>4.4308366399999999</v>
      </c>
    </row>
    <row r="138" spans="1:20" x14ac:dyDescent="0.3">
      <c r="A138" s="15" t="s">
        <v>445</v>
      </c>
      <c r="J138">
        <v>-2.3141301080000001</v>
      </c>
      <c r="O138">
        <v>7.5137012109999999</v>
      </c>
      <c r="P138">
        <v>5.8003058950000002</v>
      </c>
      <c r="T138">
        <v>4.4349076820000004</v>
      </c>
    </row>
    <row r="139" spans="1:20" x14ac:dyDescent="0.3">
      <c r="A139" s="15" t="s">
        <v>448</v>
      </c>
      <c r="J139">
        <v>7.0150641460000003</v>
      </c>
      <c r="O139">
        <v>7.5561050859999996</v>
      </c>
      <c r="P139">
        <v>5.8003834210000003</v>
      </c>
      <c r="T139">
        <v>4.4400000000000004</v>
      </c>
    </row>
    <row r="140" spans="1:20" x14ac:dyDescent="0.3">
      <c r="A140" s="15" t="s">
        <v>450</v>
      </c>
      <c r="J140">
        <v>2.31360812</v>
      </c>
      <c r="O140">
        <v>7.638830596</v>
      </c>
      <c r="P140">
        <v>5.8259069879999998</v>
      </c>
      <c r="T140">
        <v>4.448716224</v>
      </c>
    </row>
    <row r="141" spans="1:20" x14ac:dyDescent="0.3">
      <c r="A141" s="15" t="s">
        <v>453</v>
      </c>
      <c r="J141">
        <v>7.5257229529999998</v>
      </c>
      <c r="O141">
        <v>7.6500159810000001</v>
      </c>
      <c r="P141">
        <v>5.8582856139999997</v>
      </c>
      <c r="T141">
        <v>4.4628602700000002</v>
      </c>
    </row>
    <row r="142" spans="1:20" x14ac:dyDescent="0.3">
      <c r="A142" s="15" t="s">
        <v>456</v>
      </c>
      <c r="J142">
        <v>9.5737913060000004</v>
      </c>
      <c r="O142">
        <v>7.73</v>
      </c>
      <c r="P142">
        <v>5.8903332739999996</v>
      </c>
      <c r="T142">
        <v>4.4785697989999997</v>
      </c>
    </row>
    <row r="143" spans="1:20" x14ac:dyDescent="0.3">
      <c r="A143" s="15" t="s">
        <v>459</v>
      </c>
      <c r="J143">
        <v>11.65135905</v>
      </c>
      <c r="O143">
        <v>7.73</v>
      </c>
      <c r="P143">
        <v>5.9248277380000003</v>
      </c>
      <c r="T143">
        <v>4.4800000000000004</v>
      </c>
    </row>
    <row r="144" spans="1:20" x14ac:dyDescent="0.3">
      <c r="A144" s="15" t="s">
        <v>461</v>
      </c>
      <c r="J144">
        <v>4.6128611279999996</v>
      </c>
      <c r="O144">
        <v>7.76</v>
      </c>
      <c r="P144">
        <v>5.9628827610000004</v>
      </c>
      <c r="T144">
        <v>4.4847655980000001</v>
      </c>
    </row>
    <row r="145" spans="1:20" x14ac:dyDescent="0.3">
      <c r="A145" s="15" t="s">
        <v>464</v>
      </c>
      <c r="F145">
        <v>6.4770186030000003</v>
      </c>
      <c r="O145">
        <v>8</v>
      </c>
      <c r="P145">
        <v>6.0310133510000004</v>
      </c>
      <c r="T145">
        <v>4.5</v>
      </c>
    </row>
    <row r="146" spans="1:20" x14ac:dyDescent="0.3">
      <c r="A146" s="15" t="s">
        <v>468</v>
      </c>
      <c r="F146">
        <v>6.7603138889999999</v>
      </c>
      <c r="O146">
        <v>8.01</v>
      </c>
      <c r="P146">
        <v>6.0350240069999996</v>
      </c>
      <c r="T146">
        <v>4.508045869</v>
      </c>
    </row>
    <row r="147" spans="1:20" x14ac:dyDescent="0.3">
      <c r="A147" s="15" t="s">
        <v>471</v>
      </c>
      <c r="F147">
        <v>4.0697583960000001</v>
      </c>
      <c r="O147">
        <v>8.31</v>
      </c>
      <c r="P147">
        <v>6.0682074530000003</v>
      </c>
      <c r="T147">
        <v>4.5318202300000001</v>
      </c>
    </row>
    <row r="148" spans="1:20" x14ac:dyDescent="0.3">
      <c r="A148" s="15" t="s">
        <v>474</v>
      </c>
      <c r="F148">
        <v>0.111754046</v>
      </c>
      <c r="O148">
        <v>8.42</v>
      </c>
      <c r="P148">
        <v>6.0756205960000003</v>
      </c>
      <c r="T148">
        <v>4.5592224579999998</v>
      </c>
    </row>
    <row r="149" spans="1:20" x14ac:dyDescent="0.3">
      <c r="A149" s="15" t="s">
        <v>477</v>
      </c>
      <c r="F149">
        <v>4.8131155190000001</v>
      </c>
      <c r="O149">
        <v>8.5299999999999994</v>
      </c>
      <c r="P149">
        <v>6.0764559</v>
      </c>
      <c r="T149">
        <v>4.5723211050000003</v>
      </c>
    </row>
    <row r="150" spans="1:20" x14ac:dyDescent="0.3">
      <c r="A150" s="15" t="s">
        <v>479</v>
      </c>
      <c r="F150">
        <v>5.7410995170000003</v>
      </c>
      <c r="O150">
        <v>8.603591539</v>
      </c>
      <c r="P150">
        <v>6.0800078160000002</v>
      </c>
      <c r="T150">
        <v>4.58</v>
      </c>
    </row>
    <row r="151" spans="1:20" x14ac:dyDescent="0.3">
      <c r="A151" s="15" t="s">
        <v>481</v>
      </c>
      <c r="F151">
        <v>7.9814159839999999</v>
      </c>
      <c r="O151">
        <v>8.75</v>
      </c>
      <c r="P151">
        <v>6.0893230389999999</v>
      </c>
      <c r="T151">
        <v>4.5808401099999996</v>
      </c>
    </row>
    <row r="152" spans="1:20" x14ac:dyDescent="0.3">
      <c r="A152" s="15" t="s">
        <v>483</v>
      </c>
      <c r="F152">
        <v>6.8188227599999998</v>
      </c>
      <c r="O152">
        <v>8.77</v>
      </c>
      <c r="P152">
        <v>6.1105903169999998</v>
      </c>
      <c r="T152">
        <v>4.6002380890000003</v>
      </c>
    </row>
    <row r="153" spans="1:20" x14ac:dyDescent="0.3">
      <c r="A153" s="15" t="s">
        <v>485</v>
      </c>
      <c r="F153">
        <v>4.808334544</v>
      </c>
      <c r="O153">
        <v>8.8922701620000009</v>
      </c>
      <c r="P153">
        <v>6.1196805550000004</v>
      </c>
      <c r="T153">
        <v>4.6073484660000004</v>
      </c>
    </row>
    <row r="154" spans="1:20" x14ac:dyDescent="0.3">
      <c r="A154" s="15" t="s">
        <v>489</v>
      </c>
      <c r="F154">
        <v>6.5896696109999997</v>
      </c>
      <c r="O154">
        <v>9.0923998259999994</v>
      </c>
      <c r="P154">
        <v>6.1386799749999996</v>
      </c>
      <c r="T154">
        <v>4.6095004590000004</v>
      </c>
    </row>
    <row r="155" spans="1:20" x14ac:dyDescent="0.3">
      <c r="A155" s="15" t="s">
        <v>491</v>
      </c>
      <c r="F155">
        <v>6.9645427370000004</v>
      </c>
      <c r="O155">
        <v>9.1052703650000009</v>
      </c>
      <c r="P155">
        <v>6.156201727</v>
      </c>
      <c r="T155">
        <v>4.6100000000000003</v>
      </c>
    </row>
    <row r="156" spans="1:20" x14ac:dyDescent="0.3">
      <c r="A156" s="15" t="s">
        <v>494</v>
      </c>
      <c r="F156">
        <v>8.0739581870000006</v>
      </c>
      <c r="O156">
        <v>9.16</v>
      </c>
      <c r="P156">
        <v>6.1575288090000004</v>
      </c>
      <c r="T156">
        <v>4.6128611279999996</v>
      </c>
    </row>
    <row r="157" spans="1:20" x14ac:dyDescent="0.3">
      <c r="A157" s="15" t="s">
        <v>2728</v>
      </c>
      <c r="F157">
        <v>5.8582856139999997</v>
      </c>
      <c r="O157">
        <v>9.19</v>
      </c>
      <c r="P157">
        <v>6.1629435580000003</v>
      </c>
      <c r="T157">
        <v>4.6291487790000003</v>
      </c>
    </row>
    <row r="158" spans="1:20" x14ac:dyDescent="0.3">
      <c r="A158" s="15" t="s">
        <v>2729</v>
      </c>
      <c r="F158">
        <v>4.1106608509999996</v>
      </c>
      <c r="O158">
        <v>9.4985162150000004</v>
      </c>
      <c r="P158">
        <v>6.192243038</v>
      </c>
      <c r="T158">
        <v>4.6431023419999997</v>
      </c>
    </row>
    <row r="159" spans="1:20" x14ac:dyDescent="0.3">
      <c r="A159" s="15" t="s">
        <v>2730</v>
      </c>
      <c r="F159">
        <v>5.072076161</v>
      </c>
      <c r="O159">
        <v>9.56</v>
      </c>
      <c r="P159">
        <v>6.2</v>
      </c>
      <c r="T159">
        <v>4.6436824469999998</v>
      </c>
    </row>
    <row r="160" spans="1:20" x14ac:dyDescent="0.3">
      <c r="A160" s="15" t="s">
        <v>501</v>
      </c>
      <c r="F160">
        <v>1.9093675530000001</v>
      </c>
      <c r="O160">
        <v>10.365879319999999</v>
      </c>
      <c r="P160">
        <v>6.2071190280000001</v>
      </c>
      <c r="T160">
        <v>4.6472541090000004</v>
      </c>
    </row>
    <row r="161" spans="1:20" x14ac:dyDescent="0.3">
      <c r="A161" s="15" t="s">
        <v>505</v>
      </c>
      <c r="F161">
        <v>6.5694843069999997</v>
      </c>
      <c r="O161">
        <v>10.515709879999999</v>
      </c>
      <c r="P161">
        <v>6.2372421649999996</v>
      </c>
      <c r="T161">
        <v>4.6618520219999997</v>
      </c>
    </row>
    <row r="162" spans="1:20" x14ac:dyDescent="0.3">
      <c r="A162" s="15" t="s">
        <v>507</v>
      </c>
      <c r="F162">
        <v>7.0540299370000001</v>
      </c>
      <c r="P162">
        <v>6.26</v>
      </c>
      <c r="T162">
        <v>4.6810544759999999</v>
      </c>
    </row>
    <row r="163" spans="1:20" x14ac:dyDescent="0.3">
      <c r="A163" s="15" t="s">
        <v>511</v>
      </c>
      <c r="F163">
        <v>4.6050565990000001</v>
      </c>
      <c r="P163">
        <v>6.3032905000000001</v>
      </c>
      <c r="T163">
        <v>4.7300000000000004</v>
      </c>
    </row>
    <row r="164" spans="1:20" x14ac:dyDescent="0.3">
      <c r="A164" s="15" t="s">
        <v>514</v>
      </c>
      <c r="F164">
        <v>6.8856542919999999</v>
      </c>
      <c r="P164">
        <v>6.3133655749999997</v>
      </c>
      <c r="T164">
        <v>4.7446859269999999</v>
      </c>
    </row>
    <row r="165" spans="1:20" x14ac:dyDescent="0.3">
      <c r="A165" s="15" t="s">
        <v>517</v>
      </c>
      <c r="F165">
        <v>5.3228368670000004</v>
      </c>
      <c r="P165">
        <v>6.4322336260000004</v>
      </c>
      <c r="T165">
        <v>4.74909654</v>
      </c>
    </row>
    <row r="166" spans="1:20" x14ac:dyDescent="0.3">
      <c r="A166" s="15" t="s">
        <v>521</v>
      </c>
      <c r="F166">
        <v>5.9248277380000003</v>
      </c>
      <c r="P166">
        <v>6.4442586869999996</v>
      </c>
      <c r="T166">
        <v>4.75</v>
      </c>
    </row>
    <row r="167" spans="1:20" x14ac:dyDescent="0.3">
      <c r="A167" s="15" t="s">
        <v>524</v>
      </c>
      <c r="F167">
        <v>6.5449959849999999</v>
      </c>
      <c r="P167">
        <v>6.4770186030000003</v>
      </c>
      <c r="T167">
        <v>4.764547254</v>
      </c>
    </row>
    <row r="168" spans="1:20" x14ac:dyDescent="0.3">
      <c r="A168" s="15" t="s">
        <v>526</v>
      </c>
      <c r="F168">
        <v>4.9925662529999997</v>
      </c>
      <c r="P168">
        <v>6.5449959849999999</v>
      </c>
      <c r="T168">
        <v>4.7695128450000004</v>
      </c>
    </row>
    <row r="169" spans="1:20" x14ac:dyDescent="0.3">
      <c r="A169" s="15" t="s">
        <v>529</v>
      </c>
      <c r="F169">
        <v>6.1629435580000003</v>
      </c>
      <c r="P169">
        <v>6.554213861</v>
      </c>
      <c r="T169">
        <v>4.7699999999999996</v>
      </c>
    </row>
    <row r="170" spans="1:20" x14ac:dyDescent="0.3">
      <c r="A170" s="15" t="s">
        <v>531</v>
      </c>
      <c r="F170">
        <v>4.464710288</v>
      </c>
      <c r="P170">
        <v>6.5694843069999997</v>
      </c>
      <c r="T170">
        <v>4.8131399889999997</v>
      </c>
    </row>
    <row r="171" spans="1:20" x14ac:dyDescent="0.3">
      <c r="A171" s="15" t="s">
        <v>534</v>
      </c>
      <c r="F171">
        <v>6.0893230389999999</v>
      </c>
      <c r="P171">
        <v>6.5896696109999997</v>
      </c>
      <c r="T171">
        <v>4.82</v>
      </c>
    </row>
    <row r="172" spans="1:20" x14ac:dyDescent="0.3">
      <c r="A172" s="15" t="s">
        <v>537</v>
      </c>
      <c r="F172">
        <v>6.192243038</v>
      </c>
      <c r="P172">
        <v>6.6044703440000001</v>
      </c>
      <c r="T172">
        <v>4.8230398069999998</v>
      </c>
    </row>
    <row r="173" spans="1:20" x14ac:dyDescent="0.3">
      <c r="A173" s="15" t="s">
        <v>541</v>
      </c>
      <c r="G173">
        <v>4.6109550500000003</v>
      </c>
      <c r="P173">
        <v>6.6429678399999998</v>
      </c>
      <c r="T173">
        <v>4.8248623640000003</v>
      </c>
    </row>
    <row r="174" spans="1:20" x14ac:dyDescent="0.3">
      <c r="A174" s="15" t="s">
        <v>545</v>
      </c>
      <c r="F174">
        <v>5.66600898</v>
      </c>
      <c r="P174">
        <v>6.6764693030000002</v>
      </c>
      <c r="T174">
        <v>4.8262735890000004</v>
      </c>
    </row>
    <row r="175" spans="1:20" x14ac:dyDescent="0.3">
      <c r="A175" s="15" t="s">
        <v>547</v>
      </c>
      <c r="F175">
        <v>8.0738753039999995</v>
      </c>
      <c r="P175">
        <v>6.7541484350000003</v>
      </c>
      <c r="T175">
        <v>4.8291091240000004</v>
      </c>
    </row>
    <row r="176" spans="1:20" x14ac:dyDescent="0.3">
      <c r="A176" s="15" t="s">
        <v>550</v>
      </c>
      <c r="F176">
        <v>4.7742457500000004</v>
      </c>
      <c r="P176">
        <v>6.7603138889999999</v>
      </c>
      <c r="T176">
        <v>4.8600000000000003</v>
      </c>
    </row>
    <row r="177" spans="1:20" x14ac:dyDescent="0.3">
      <c r="A177" s="15" t="s">
        <v>554</v>
      </c>
      <c r="F177">
        <v>6.4322336260000004</v>
      </c>
      <c r="P177">
        <v>6.8188227599999998</v>
      </c>
      <c r="T177">
        <v>4.8755664679999997</v>
      </c>
    </row>
    <row r="178" spans="1:20" x14ac:dyDescent="0.3">
      <c r="A178" s="15" t="s">
        <v>556</v>
      </c>
      <c r="F178">
        <v>5.0462848190000003</v>
      </c>
      <c r="P178">
        <v>6.8856542919999999</v>
      </c>
      <c r="T178">
        <v>4.8850943579999999</v>
      </c>
    </row>
    <row r="179" spans="1:20" x14ac:dyDescent="0.3">
      <c r="A179" s="15" t="s">
        <v>560</v>
      </c>
      <c r="F179">
        <v>3.9089561320000001</v>
      </c>
      <c r="P179">
        <v>6.8961018080000001</v>
      </c>
      <c r="T179">
        <v>4.8888735219999999</v>
      </c>
    </row>
    <row r="180" spans="1:20" x14ac:dyDescent="0.3">
      <c r="A180" s="15" t="s">
        <v>563</v>
      </c>
      <c r="F180">
        <v>9.3064498990000004</v>
      </c>
      <c r="P180">
        <v>6.9645427370000004</v>
      </c>
      <c r="T180">
        <v>4.8968051030000002</v>
      </c>
    </row>
    <row r="181" spans="1:20" x14ac:dyDescent="0.3">
      <c r="A181" s="15" t="s">
        <v>566</v>
      </c>
      <c r="F181">
        <v>5.067095804</v>
      </c>
      <c r="P181">
        <v>7.0540299370000001</v>
      </c>
      <c r="T181">
        <v>4.8986809850000004</v>
      </c>
    </row>
    <row r="182" spans="1:20" x14ac:dyDescent="0.3">
      <c r="A182" s="15" t="s">
        <v>568</v>
      </c>
      <c r="F182">
        <v>3.7017147690000001</v>
      </c>
      <c r="P182">
        <v>7.09</v>
      </c>
      <c r="T182">
        <v>4.9000000000000004</v>
      </c>
    </row>
    <row r="183" spans="1:20" x14ac:dyDescent="0.3">
      <c r="A183" s="15" t="s">
        <v>570</v>
      </c>
      <c r="F183">
        <v>6.1575288090000004</v>
      </c>
      <c r="P183">
        <v>7.16</v>
      </c>
      <c r="T183">
        <v>4.9330720860000001</v>
      </c>
    </row>
    <row r="184" spans="1:20" x14ac:dyDescent="0.3">
      <c r="A184" s="15" t="s">
        <v>572</v>
      </c>
      <c r="J184">
        <v>1.5300994809999999</v>
      </c>
      <c r="P184">
        <v>7.2537320149999998</v>
      </c>
      <c r="T184">
        <v>4.9734529280000004</v>
      </c>
    </row>
    <row r="185" spans="1:20" x14ac:dyDescent="0.3">
      <c r="A185" s="15" t="s">
        <v>576</v>
      </c>
      <c r="J185">
        <v>2.654092157</v>
      </c>
      <c r="P185">
        <v>7.3450926489999997</v>
      </c>
      <c r="T185">
        <v>4.9800000000000004</v>
      </c>
    </row>
    <row r="186" spans="1:20" x14ac:dyDescent="0.3">
      <c r="A186" s="15" t="s">
        <v>2731</v>
      </c>
      <c r="J186">
        <v>8.1267451620000006</v>
      </c>
      <c r="P186">
        <v>7.5331980180000002</v>
      </c>
      <c r="T186">
        <v>4.9800000000000004</v>
      </c>
    </row>
    <row r="187" spans="1:20" x14ac:dyDescent="0.3">
      <c r="A187" s="15" t="s">
        <v>2732</v>
      </c>
      <c r="J187">
        <v>10.18752087</v>
      </c>
      <c r="P187">
        <v>7.58</v>
      </c>
      <c r="T187">
        <v>4.9942213019999997</v>
      </c>
    </row>
    <row r="188" spans="1:20" x14ac:dyDescent="0.3">
      <c r="A188" s="15" t="s">
        <v>2733</v>
      </c>
      <c r="J188">
        <v>0.15858729199999999</v>
      </c>
      <c r="P188">
        <v>7.63</v>
      </c>
      <c r="T188">
        <v>5.0049874790000004</v>
      </c>
    </row>
    <row r="189" spans="1:20" x14ac:dyDescent="0.3">
      <c r="A189" s="15" t="s">
        <v>2734</v>
      </c>
      <c r="J189">
        <v>7.0963960009999996</v>
      </c>
      <c r="P189">
        <v>7.6557207829999996</v>
      </c>
      <c r="T189">
        <v>5.01</v>
      </c>
    </row>
    <row r="190" spans="1:20" x14ac:dyDescent="0.3">
      <c r="A190" s="15" t="s">
        <v>2735</v>
      </c>
      <c r="J190">
        <v>1.4389842660000001</v>
      </c>
      <c r="P190">
        <v>7.676698902</v>
      </c>
      <c r="T190">
        <v>5.0208826039999996</v>
      </c>
    </row>
    <row r="191" spans="1:20" x14ac:dyDescent="0.3">
      <c r="A191" s="15" t="s">
        <v>590</v>
      </c>
      <c r="J191">
        <v>5.6833118059999999</v>
      </c>
      <c r="P191">
        <v>7.76</v>
      </c>
      <c r="T191">
        <v>5.0227308099999997</v>
      </c>
    </row>
    <row r="192" spans="1:20" x14ac:dyDescent="0.3">
      <c r="A192" s="15" t="s">
        <v>593</v>
      </c>
      <c r="J192">
        <v>8.350550557</v>
      </c>
      <c r="P192">
        <v>7.7719955619999999</v>
      </c>
      <c r="T192">
        <v>5.03</v>
      </c>
    </row>
    <row r="193" spans="1:20" x14ac:dyDescent="0.3">
      <c r="A193" s="15" t="s">
        <v>596</v>
      </c>
      <c r="J193">
        <v>3.4851814609999998</v>
      </c>
      <c r="P193">
        <v>7.8600513840000001</v>
      </c>
      <c r="T193">
        <v>5.04</v>
      </c>
    </row>
    <row r="194" spans="1:20" x14ac:dyDescent="0.3">
      <c r="A194" s="15" t="s">
        <v>599</v>
      </c>
      <c r="J194">
        <v>5.4715459019999999</v>
      </c>
      <c r="P194">
        <v>7.9045893879999998</v>
      </c>
      <c r="T194">
        <v>5.0796075639999998</v>
      </c>
    </row>
    <row r="195" spans="1:20" x14ac:dyDescent="0.3">
      <c r="A195" s="15" t="s">
        <v>602</v>
      </c>
      <c r="J195">
        <v>3.3433716809999998</v>
      </c>
      <c r="P195">
        <v>7.9814159839999999</v>
      </c>
      <c r="T195">
        <v>5.0836579520000003</v>
      </c>
    </row>
    <row r="196" spans="1:20" x14ac:dyDescent="0.3">
      <c r="A196" s="15" t="s">
        <v>605</v>
      </c>
      <c r="J196">
        <v>6.2051512170000001</v>
      </c>
      <c r="P196">
        <v>8.056160234</v>
      </c>
      <c r="T196">
        <v>5.0939038400000003</v>
      </c>
    </row>
    <row r="197" spans="1:20" x14ac:dyDescent="0.3">
      <c r="A197" s="15" t="s">
        <v>2736</v>
      </c>
      <c r="G197">
        <v>4.8688173519999998</v>
      </c>
      <c r="P197">
        <v>8.0738753039999995</v>
      </c>
      <c r="T197">
        <v>5.1100000000000003</v>
      </c>
    </row>
    <row r="198" spans="1:20" x14ac:dyDescent="0.3">
      <c r="A198" s="15" t="s">
        <v>615</v>
      </c>
      <c r="G198">
        <v>6.3993178049999999</v>
      </c>
      <c r="P198">
        <v>8.0739581870000006</v>
      </c>
      <c r="T198">
        <v>5.1349042999999996</v>
      </c>
    </row>
    <row r="199" spans="1:20" x14ac:dyDescent="0.3">
      <c r="A199" s="15" t="s">
        <v>2737</v>
      </c>
      <c r="G199">
        <v>4.8121593779999996</v>
      </c>
      <c r="P199">
        <v>8.1514992339999992</v>
      </c>
      <c r="T199">
        <v>5.144553449</v>
      </c>
    </row>
    <row r="200" spans="1:20" x14ac:dyDescent="0.3">
      <c r="A200" s="15" t="s">
        <v>2738</v>
      </c>
      <c r="G200">
        <v>5.6042188250000002</v>
      </c>
      <c r="P200">
        <v>8.1565766830000008</v>
      </c>
      <c r="T200">
        <v>5.15</v>
      </c>
    </row>
    <row r="201" spans="1:20" x14ac:dyDescent="0.3">
      <c r="A201" s="15" t="s">
        <v>622</v>
      </c>
      <c r="G201">
        <v>4.7065184760000003</v>
      </c>
      <c r="P201">
        <v>8.1894783760000003</v>
      </c>
      <c r="T201">
        <v>5.15136314</v>
      </c>
    </row>
    <row r="202" spans="1:20" x14ac:dyDescent="0.3">
      <c r="A202" s="15" t="s">
        <v>648</v>
      </c>
      <c r="J202">
        <v>7.9386607079999996</v>
      </c>
      <c r="P202">
        <v>8.1999999999999993</v>
      </c>
      <c r="T202">
        <v>5.16</v>
      </c>
    </row>
    <row r="203" spans="1:20" x14ac:dyDescent="0.3">
      <c r="A203" s="15" t="s">
        <v>651</v>
      </c>
      <c r="J203">
        <v>7.1807014259999997</v>
      </c>
      <c r="P203">
        <v>8.2072744239999995</v>
      </c>
      <c r="T203">
        <v>5.1648260700000002</v>
      </c>
    </row>
    <row r="204" spans="1:20" x14ac:dyDescent="0.3">
      <c r="A204" s="15" t="s">
        <v>653</v>
      </c>
      <c r="J204">
        <v>4.4308366399999999</v>
      </c>
      <c r="P204">
        <v>8.3990171500000006</v>
      </c>
      <c r="T204">
        <v>5.1687043819999996</v>
      </c>
    </row>
    <row r="205" spans="1:20" x14ac:dyDescent="0.3">
      <c r="A205" s="15" t="s">
        <v>655</v>
      </c>
      <c r="J205">
        <v>5.0049874790000004</v>
      </c>
      <c r="P205">
        <v>8.4021259260000001</v>
      </c>
      <c r="T205">
        <v>5.1767454129999999</v>
      </c>
    </row>
    <row r="206" spans="1:20" x14ac:dyDescent="0.3">
      <c r="A206" s="15" t="s">
        <v>659</v>
      </c>
      <c r="J206">
        <v>0.81650156399999996</v>
      </c>
      <c r="P206">
        <v>8.5253865520000005</v>
      </c>
      <c r="T206">
        <v>5.1781479030000002</v>
      </c>
    </row>
    <row r="207" spans="1:20" x14ac:dyDescent="0.3">
      <c r="A207" s="15" t="s">
        <v>660</v>
      </c>
      <c r="J207">
        <v>6.7644265079999997</v>
      </c>
      <c r="P207">
        <v>8.9899593289999995</v>
      </c>
      <c r="T207">
        <v>5.21</v>
      </c>
    </row>
    <row r="208" spans="1:20" x14ac:dyDescent="0.3">
      <c r="A208" s="15" t="s">
        <v>662</v>
      </c>
      <c r="J208">
        <v>2.897333508</v>
      </c>
      <c r="P208">
        <v>9.0827475179999997</v>
      </c>
      <c r="T208">
        <v>5.2192906209999999</v>
      </c>
    </row>
    <row r="209" spans="1:20" x14ac:dyDescent="0.3">
      <c r="A209" s="15" t="s">
        <v>663</v>
      </c>
      <c r="J209">
        <v>0.37729802800000001</v>
      </c>
      <c r="P209">
        <v>9.0988914909999998</v>
      </c>
      <c r="T209">
        <v>5.22</v>
      </c>
    </row>
    <row r="210" spans="1:20" x14ac:dyDescent="0.3">
      <c r="A210" s="15" t="s">
        <v>666</v>
      </c>
      <c r="J210">
        <v>7.8015503500000003</v>
      </c>
      <c r="P210">
        <v>9.3064498990000004</v>
      </c>
      <c r="T210">
        <v>5.2227978259999999</v>
      </c>
    </row>
    <row r="211" spans="1:20" x14ac:dyDescent="0.3">
      <c r="A211" s="15" t="s">
        <v>669</v>
      </c>
      <c r="J211">
        <v>0.90360723799999998</v>
      </c>
      <c r="P211">
        <v>9.3910979920000006</v>
      </c>
      <c r="T211">
        <v>5.2344030349999997</v>
      </c>
    </row>
    <row r="212" spans="1:20" x14ac:dyDescent="0.3">
      <c r="A212" s="15" t="s">
        <v>671</v>
      </c>
      <c r="J212">
        <v>2.317942435</v>
      </c>
      <c r="P212">
        <v>10.35901451</v>
      </c>
      <c r="T212">
        <v>5.24</v>
      </c>
    </row>
    <row r="213" spans="1:20" x14ac:dyDescent="0.3">
      <c r="A213" s="15" t="s">
        <v>674</v>
      </c>
      <c r="J213">
        <v>8.2694332910000004</v>
      </c>
      <c r="P213">
        <v>10.63</v>
      </c>
      <c r="T213">
        <v>5.24</v>
      </c>
    </row>
    <row r="214" spans="1:20" x14ac:dyDescent="0.3">
      <c r="A214" s="15" t="s">
        <v>677</v>
      </c>
      <c r="F214">
        <v>5.1503156480000003</v>
      </c>
      <c r="P214">
        <v>10.83</v>
      </c>
      <c r="T214">
        <v>5.26</v>
      </c>
    </row>
    <row r="215" spans="1:20" x14ac:dyDescent="0.3">
      <c r="A215" s="15" t="s">
        <v>679</v>
      </c>
      <c r="F215">
        <v>-5.6964437999999999E-2</v>
      </c>
      <c r="T215">
        <v>5.27</v>
      </c>
    </row>
    <row r="216" spans="1:20" x14ac:dyDescent="0.3">
      <c r="A216" s="15" t="s">
        <v>681</v>
      </c>
      <c r="F216">
        <v>5.5760675280000003</v>
      </c>
      <c r="T216">
        <v>5.2861584500000003</v>
      </c>
    </row>
    <row r="217" spans="1:20" x14ac:dyDescent="0.3">
      <c r="A217" s="15" t="s">
        <v>682</v>
      </c>
      <c r="F217">
        <v>7.6557207829999996</v>
      </c>
      <c r="T217">
        <v>5.3046593949999998</v>
      </c>
    </row>
    <row r="218" spans="1:20" x14ac:dyDescent="0.3">
      <c r="A218" s="15" t="s">
        <v>683</v>
      </c>
      <c r="F218">
        <v>3.6856636429999998</v>
      </c>
      <c r="T218">
        <v>5.34</v>
      </c>
    </row>
    <row r="219" spans="1:20" x14ac:dyDescent="0.3">
      <c r="A219" s="15" t="s">
        <v>686</v>
      </c>
      <c r="F219">
        <v>5.8003834210000003</v>
      </c>
      <c r="T219">
        <v>5.3447673250000003</v>
      </c>
    </row>
    <row r="220" spans="1:20" x14ac:dyDescent="0.3">
      <c r="A220" s="15" t="s">
        <v>688</v>
      </c>
      <c r="F220">
        <v>4.9566857960000004</v>
      </c>
      <c r="T220">
        <v>5.3478659930000001</v>
      </c>
    </row>
    <row r="221" spans="1:20" x14ac:dyDescent="0.3">
      <c r="A221" s="15" t="s">
        <v>690</v>
      </c>
      <c r="F221">
        <v>0.61832394099999999</v>
      </c>
      <c r="T221">
        <v>5.36</v>
      </c>
    </row>
    <row r="222" spans="1:20" x14ac:dyDescent="0.3">
      <c r="A222" s="15" t="s">
        <v>692</v>
      </c>
      <c r="J222">
        <v>6.509839586</v>
      </c>
      <c r="T222">
        <v>5.3730797150000003</v>
      </c>
    </row>
    <row r="223" spans="1:20" x14ac:dyDescent="0.3">
      <c r="A223" s="15" t="s">
        <v>696</v>
      </c>
      <c r="J223">
        <v>7.1451345750000002</v>
      </c>
      <c r="T223">
        <v>5.38</v>
      </c>
    </row>
    <row r="224" spans="1:20" x14ac:dyDescent="0.3">
      <c r="A224" s="15" t="s">
        <v>699</v>
      </c>
      <c r="J224">
        <v>7.542489711</v>
      </c>
      <c r="T224">
        <v>5.3871017190000003</v>
      </c>
    </row>
    <row r="225" spans="1:20" x14ac:dyDescent="0.3">
      <c r="A225" s="15" t="s">
        <v>702</v>
      </c>
      <c r="J225">
        <v>5.7892292049999998</v>
      </c>
      <c r="T225">
        <v>5.3918595820000004</v>
      </c>
    </row>
    <row r="226" spans="1:20" x14ac:dyDescent="0.3">
      <c r="A226" s="15" t="s">
        <v>706</v>
      </c>
      <c r="J226">
        <v>5.617299848</v>
      </c>
      <c r="T226">
        <v>5.4</v>
      </c>
    </row>
    <row r="227" spans="1:20" x14ac:dyDescent="0.3">
      <c r="A227" s="15" t="s">
        <v>710</v>
      </c>
      <c r="J227">
        <v>5.7458810219999998</v>
      </c>
      <c r="T227">
        <v>5.401063486</v>
      </c>
    </row>
    <row r="228" spans="1:20" x14ac:dyDescent="0.3">
      <c r="A228" s="15" t="s">
        <v>714</v>
      </c>
      <c r="J228">
        <v>4.1762939799999996</v>
      </c>
      <c r="T228">
        <v>5.402386184</v>
      </c>
    </row>
    <row r="229" spans="1:20" x14ac:dyDescent="0.3">
      <c r="A229" s="15" t="s">
        <v>718</v>
      </c>
      <c r="J229">
        <v>4.9942213019999997</v>
      </c>
      <c r="T229">
        <v>5.41</v>
      </c>
    </row>
    <row r="230" spans="1:20" x14ac:dyDescent="0.3">
      <c r="A230" s="15" t="s">
        <v>721</v>
      </c>
      <c r="J230">
        <v>3.8457698059999998</v>
      </c>
      <c r="T230">
        <v>5.41</v>
      </c>
    </row>
    <row r="231" spans="1:20" x14ac:dyDescent="0.3">
      <c r="A231" s="15" t="s">
        <v>723</v>
      </c>
      <c r="J231">
        <v>5.0939038400000003</v>
      </c>
      <c r="T231">
        <v>5.4184444909999998</v>
      </c>
    </row>
    <row r="232" spans="1:20" x14ac:dyDescent="0.3">
      <c r="A232" s="15" t="s">
        <v>725</v>
      </c>
      <c r="J232">
        <v>6.0792648959999998</v>
      </c>
      <c r="T232">
        <v>5.4492899039999996</v>
      </c>
    </row>
    <row r="233" spans="1:20" x14ac:dyDescent="0.3">
      <c r="A233" s="15" t="s">
        <v>727</v>
      </c>
      <c r="J233">
        <v>6.485536422</v>
      </c>
      <c r="T233">
        <v>5.47</v>
      </c>
    </row>
    <row r="234" spans="1:20" x14ac:dyDescent="0.3">
      <c r="A234" s="15" t="s">
        <v>729</v>
      </c>
      <c r="J234">
        <v>6.4977060360000003</v>
      </c>
      <c r="T234">
        <v>5.4715459019999999</v>
      </c>
    </row>
    <row r="235" spans="1:20" x14ac:dyDescent="0.3">
      <c r="A235" s="15" t="s">
        <v>731</v>
      </c>
      <c r="J235">
        <v>9.633780475</v>
      </c>
      <c r="T235">
        <v>5.48</v>
      </c>
    </row>
    <row r="236" spans="1:20" x14ac:dyDescent="0.3">
      <c r="A236" s="15" t="s">
        <v>733</v>
      </c>
      <c r="J236">
        <v>4.6436824469999998</v>
      </c>
      <c r="T236">
        <v>5.4847364299999999</v>
      </c>
    </row>
    <row r="237" spans="1:20" x14ac:dyDescent="0.3">
      <c r="A237" s="15" t="s">
        <v>734</v>
      </c>
      <c r="J237">
        <v>5.7555208320000002</v>
      </c>
      <c r="T237">
        <v>5.5018209410000001</v>
      </c>
    </row>
    <row r="238" spans="1:20" x14ac:dyDescent="0.3">
      <c r="A238" s="15" t="s">
        <v>735</v>
      </c>
      <c r="J238">
        <v>4.6472541090000004</v>
      </c>
      <c r="T238">
        <v>5.5135055639999999</v>
      </c>
    </row>
    <row r="239" spans="1:20" x14ac:dyDescent="0.3">
      <c r="A239" s="15" t="s">
        <v>736</v>
      </c>
      <c r="J239">
        <v>6.7123370570000001</v>
      </c>
      <c r="T239">
        <v>5.5284481730000001</v>
      </c>
    </row>
    <row r="240" spans="1:20" x14ac:dyDescent="0.3">
      <c r="A240" s="15" t="s">
        <v>738</v>
      </c>
      <c r="J240">
        <v>3.7404578640000001</v>
      </c>
      <c r="T240">
        <v>5.53</v>
      </c>
    </row>
    <row r="241" spans="1:20" x14ac:dyDescent="0.3">
      <c r="A241" s="15" t="s">
        <v>741</v>
      </c>
      <c r="J241">
        <v>3.2952063969999998</v>
      </c>
      <c r="T241">
        <v>5.5379307840000003</v>
      </c>
    </row>
    <row r="242" spans="1:20" x14ac:dyDescent="0.3">
      <c r="A242" s="15" t="s">
        <v>743</v>
      </c>
      <c r="J242">
        <v>5.7103306700000003</v>
      </c>
      <c r="T242">
        <v>5.5383625929999996</v>
      </c>
    </row>
    <row r="243" spans="1:20" x14ac:dyDescent="0.3">
      <c r="A243" s="15" t="s">
        <v>745</v>
      </c>
      <c r="J243">
        <v>7.2519527669999997</v>
      </c>
      <c r="T243">
        <v>5.548889258</v>
      </c>
    </row>
    <row r="244" spans="1:20" x14ac:dyDescent="0.3">
      <c r="A244" s="15" t="s">
        <v>748</v>
      </c>
      <c r="J244">
        <v>5.144553449</v>
      </c>
      <c r="T244">
        <v>5.5541803310000004</v>
      </c>
    </row>
    <row r="245" spans="1:20" x14ac:dyDescent="0.3">
      <c r="A245" s="15" t="s">
        <v>751</v>
      </c>
      <c r="J245">
        <v>6.0787344680000004</v>
      </c>
      <c r="T245">
        <v>5.5599126349999999</v>
      </c>
    </row>
    <row r="246" spans="1:20" x14ac:dyDescent="0.3">
      <c r="A246" s="15" t="s">
        <v>754</v>
      </c>
      <c r="J246">
        <v>4.764547254</v>
      </c>
      <c r="T246">
        <v>5.5708464969999998</v>
      </c>
    </row>
    <row r="247" spans="1:20" x14ac:dyDescent="0.3">
      <c r="A247" s="15" t="s">
        <v>756</v>
      </c>
      <c r="J247">
        <v>6.0101096390000004</v>
      </c>
      <c r="T247">
        <v>5.58</v>
      </c>
    </row>
    <row r="248" spans="1:20" x14ac:dyDescent="0.3">
      <c r="A248" s="15" t="s">
        <v>760</v>
      </c>
      <c r="J248">
        <v>4.8888735219999999</v>
      </c>
      <c r="T248">
        <v>5.588437206</v>
      </c>
    </row>
    <row r="249" spans="1:20" x14ac:dyDescent="0.3">
      <c r="A249" s="15" t="s">
        <v>762</v>
      </c>
      <c r="J249">
        <v>4.6291487790000003</v>
      </c>
      <c r="T249">
        <v>5.5962168300000004</v>
      </c>
    </row>
    <row r="250" spans="1:20" x14ac:dyDescent="0.3">
      <c r="A250" s="15" t="s">
        <v>765</v>
      </c>
      <c r="F250">
        <v>4.8752136559999997</v>
      </c>
      <c r="T250">
        <v>5.61</v>
      </c>
    </row>
    <row r="251" spans="1:20" x14ac:dyDescent="0.3">
      <c r="A251" s="15" t="s">
        <v>769</v>
      </c>
      <c r="F251">
        <v>0.53595062599999999</v>
      </c>
      <c r="T251">
        <v>5.6126753330000003</v>
      </c>
    </row>
    <row r="252" spans="1:20" x14ac:dyDescent="0.3">
      <c r="A252" s="15" t="s">
        <v>773</v>
      </c>
      <c r="F252">
        <v>5.8259069879999998</v>
      </c>
      <c r="T252">
        <v>5.617299848</v>
      </c>
    </row>
    <row r="253" spans="1:20" x14ac:dyDescent="0.3">
      <c r="A253" s="15" t="s">
        <v>776</v>
      </c>
      <c r="H253">
        <v>7.6439117999999997</v>
      </c>
      <c r="T253">
        <v>5.6277535969999999</v>
      </c>
    </row>
    <row r="254" spans="1:20" x14ac:dyDescent="0.3">
      <c r="A254" s="15" t="s">
        <v>781</v>
      </c>
      <c r="G254">
        <v>2.851524135</v>
      </c>
      <c r="T254">
        <v>5.6361808890000002</v>
      </c>
    </row>
    <row r="255" spans="1:20" x14ac:dyDescent="0.3">
      <c r="A255" s="15" t="s">
        <v>782</v>
      </c>
      <c r="I255">
        <v>1.322790006</v>
      </c>
      <c r="T255">
        <v>5.64</v>
      </c>
    </row>
    <row r="256" spans="1:20" x14ac:dyDescent="0.3">
      <c r="A256" s="15" t="s">
        <v>784</v>
      </c>
      <c r="G256">
        <v>3.8710326269999999</v>
      </c>
      <c r="T256">
        <v>5.6488654199999999</v>
      </c>
    </row>
    <row r="257" spans="1:20" x14ac:dyDescent="0.3">
      <c r="A257" s="15" t="s">
        <v>787</v>
      </c>
      <c r="G257">
        <v>8.1499823199999994</v>
      </c>
      <c r="T257">
        <v>5.6515635069999997</v>
      </c>
    </row>
    <row r="258" spans="1:20" x14ac:dyDescent="0.3">
      <c r="A258" s="15" t="s">
        <v>789</v>
      </c>
      <c r="G258">
        <v>4.1124055869999996</v>
      </c>
      <c r="T258">
        <v>5.66</v>
      </c>
    </row>
    <row r="259" spans="1:20" x14ac:dyDescent="0.3">
      <c r="A259" s="15" t="s">
        <v>790</v>
      </c>
      <c r="G259">
        <v>4.0168064179999998</v>
      </c>
      <c r="T259">
        <v>5.6689400120000002</v>
      </c>
    </row>
    <row r="260" spans="1:20" x14ac:dyDescent="0.3">
      <c r="A260" s="15" t="s">
        <v>792</v>
      </c>
      <c r="I260">
        <v>5.0833498390000003</v>
      </c>
      <c r="T260">
        <v>5.67</v>
      </c>
    </row>
    <row r="261" spans="1:20" x14ac:dyDescent="0.3">
      <c r="A261" s="15" t="s">
        <v>795</v>
      </c>
      <c r="G261">
        <v>4.7865454959999996</v>
      </c>
      <c r="T261">
        <v>5.68</v>
      </c>
    </row>
    <row r="262" spans="1:20" x14ac:dyDescent="0.3">
      <c r="A262" s="15" t="s">
        <v>798</v>
      </c>
      <c r="J262">
        <v>6.6183760769999997</v>
      </c>
      <c r="T262">
        <v>5.6833118059999999</v>
      </c>
    </row>
    <row r="263" spans="1:20" x14ac:dyDescent="0.3">
      <c r="A263" s="15" t="s">
        <v>802</v>
      </c>
      <c r="J263">
        <v>8.8315914969999998</v>
      </c>
      <c r="T263">
        <v>5.6928632779999999</v>
      </c>
    </row>
    <row r="264" spans="1:20" x14ac:dyDescent="0.3">
      <c r="A264" s="15" t="s">
        <v>806</v>
      </c>
      <c r="J264">
        <v>4.3176607819999999</v>
      </c>
      <c r="T264">
        <v>5.7</v>
      </c>
    </row>
    <row r="265" spans="1:20" x14ac:dyDescent="0.3">
      <c r="A265" s="15" t="s">
        <v>808</v>
      </c>
      <c r="J265">
        <v>7.4063768049999998</v>
      </c>
      <c r="T265">
        <v>5.7</v>
      </c>
    </row>
    <row r="266" spans="1:20" x14ac:dyDescent="0.3">
      <c r="A266" s="15" t="s">
        <v>810</v>
      </c>
      <c r="J266">
        <v>4.4349076820000004</v>
      </c>
      <c r="T266">
        <v>5.7103306700000003</v>
      </c>
    </row>
    <row r="267" spans="1:20" x14ac:dyDescent="0.3">
      <c r="A267" s="15" t="s">
        <v>812</v>
      </c>
      <c r="J267">
        <v>3.8466605340000002</v>
      </c>
      <c r="T267">
        <v>5.7310074320000002</v>
      </c>
    </row>
    <row r="268" spans="1:20" x14ac:dyDescent="0.3">
      <c r="A268" s="15" t="s">
        <v>814</v>
      </c>
      <c r="J268">
        <v>5.402386184</v>
      </c>
      <c r="T268">
        <v>5.7318279639999998</v>
      </c>
    </row>
    <row r="269" spans="1:20" x14ac:dyDescent="0.3">
      <c r="A269" s="15" t="s">
        <v>817</v>
      </c>
      <c r="J269">
        <v>6.846395223</v>
      </c>
      <c r="T269">
        <v>5.7324705959999998</v>
      </c>
    </row>
    <row r="270" spans="1:20" x14ac:dyDescent="0.3">
      <c r="A270" s="15" t="s">
        <v>819</v>
      </c>
      <c r="J270">
        <v>6.1469806570000003</v>
      </c>
      <c r="T270">
        <v>5.7458810219999998</v>
      </c>
    </row>
    <row r="271" spans="1:20" x14ac:dyDescent="0.3">
      <c r="A271" s="15" t="s">
        <v>821</v>
      </c>
      <c r="J271">
        <v>7.9635402119999998</v>
      </c>
      <c r="T271">
        <v>5.7517205730000001</v>
      </c>
    </row>
    <row r="272" spans="1:20" x14ac:dyDescent="0.3">
      <c r="A272" s="15" t="s">
        <v>823</v>
      </c>
      <c r="I272">
        <v>8.4072565679999993</v>
      </c>
      <c r="T272">
        <v>5.7555208320000002</v>
      </c>
    </row>
    <row r="273" spans="1:20" x14ac:dyDescent="0.3">
      <c r="A273" s="15" t="s">
        <v>826</v>
      </c>
      <c r="G273">
        <v>4.3151897259999998</v>
      </c>
      <c r="T273">
        <v>5.7582361449999997</v>
      </c>
    </row>
    <row r="274" spans="1:20" x14ac:dyDescent="0.3">
      <c r="A274" s="15" t="s">
        <v>830</v>
      </c>
      <c r="G274">
        <v>5.7660586900000004</v>
      </c>
      <c r="T274">
        <v>5.76</v>
      </c>
    </row>
    <row r="275" spans="1:20" x14ac:dyDescent="0.3">
      <c r="A275" s="15" t="s">
        <v>831</v>
      </c>
      <c r="G275">
        <v>5.330528932</v>
      </c>
      <c r="T275">
        <v>5.76</v>
      </c>
    </row>
    <row r="276" spans="1:20" x14ac:dyDescent="0.3">
      <c r="A276" s="15" t="s">
        <v>834</v>
      </c>
      <c r="G276">
        <v>4.28199752</v>
      </c>
      <c r="T276">
        <v>5.7858879239999998</v>
      </c>
    </row>
    <row r="277" spans="1:20" x14ac:dyDescent="0.3">
      <c r="A277" s="15" t="s">
        <v>838</v>
      </c>
      <c r="G277">
        <v>3.4225468210000001</v>
      </c>
      <c r="T277">
        <v>5.7862855829999997</v>
      </c>
    </row>
    <row r="278" spans="1:20" x14ac:dyDescent="0.3">
      <c r="A278" s="15" t="s">
        <v>842</v>
      </c>
      <c r="G278">
        <v>5.7664671910000003</v>
      </c>
      <c r="T278">
        <v>5.7892292049999998</v>
      </c>
    </row>
    <row r="279" spans="1:20" x14ac:dyDescent="0.3">
      <c r="A279" s="15" t="s">
        <v>844</v>
      </c>
      <c r="G279">
        <v>8.5001566569999998</v>
      </c>
      <c r="T279">
        <v>5.79</v>
      </c>
    </row>
    <row r="280" spans="1:20" x14ac:dyDescent="0.3">
      <c r="A280" s="15" t="s">
        <v>846</v>
      </c>
      <c r="J280">
        <v>4.8850943579999999</v>
      </c>
      <c r="T280">
        <v>5.81</v>
      </c>
    </row>
    <row r="281" spans="1:20" x14ac:dyDescent="0.3">
      <c r="A281" s="15" t="s">
        <v>850</v>
      </c>
      <c r="J281">
        <v>2.1625607549999999</v>
      </c>
      <c r="T281">
        <v>5.82</v>
      </c>
    </row>
    <row r="282" spans="1:20" x14ac:dyDescent="0.3">
      <c r="A282" s="15" t="s">
        <v>852</v>
      </c>
      <c r="J282">
        <v>5.6126753330000003</v>
      </c>
      <c r="T282">
        <v>5.8257987179999997</v>
      </c>
    </row>
    <row r="283" spans="1:20" x14ac:dyDescent="0.3">
      <c r="A283" s="15" t="s">
        <v>855</v>
      </c>
      <c r="J283">
        <v>7.2520396729999996</v>
      </c>
      <c r="T283">
        <v>5.83</v>
      </c>
    </row>
    <row r="284" spans="1:20" x14ac:dyDescent="0.3">
      <c r="A284" s="15" t="s">
        <v>857</v>
      </c>
      <c r="J284">
        <v>4.0917650529999996</v>
      </c>
      <c r="T284">
        <v>5.8382261010000001</v>
      </c>
    </row>
    <row r="285" spans="1:20" x14ac:dyDescent="0.3">
      <c r="A285" s="15" t="s">
        <v>859</v>
      </c>
      <c r="J285">
        <v>7.6255582730000002</v>
      </c>
      <c r="T285">
        <v>5.846348087</v>
      </c>
    </row>
    <row r="286" spans="1:20" x14ac:dyDescent="0.3">
      <c r="A286" s="15" t="s">
        <v>861</v>
      </c>
      <c r="J286">
        <v>-0.34689896599999998</v>
      </c>
      <c r="T286">
        <v>5.87</v>
      </c>
    </row>
    <row r="287" spans="1:20" x14ac:dyDescent="0.3">
      <c r="A287" s="15" t="s">
        <v>863</v>
      </c>
      <c r="J287">
        <v>6.7305649059999997</v>
      </c>
      <c r="T287">
        <v>5.8756138020000002</v>
      </c>
    </row>
    <row r="288" spans="1:20" x14ac:dyDescent="0.3">
      <c r="A288" s="15" t="s">
        <v>865</v>
      </c>
      <c r="J288">
        <v>6.6186021530000003</v>
      </c>
      <c r="T288">
        <v>5.8909670680000001</v>
      </c>
    </row>
    <row r="289" spans="1:20" x14ac:dyDescent="0.3">
      <c r="A289" s="15" t="s">
        <v>867</v>
      </c>
      <c r="J289">
        <v>6.9713613490000004</v>
      </c>
      <c r="T289">
        <v>5.9053070239999998</v>
      </c>
    </row>
    <row r="290" spans="1:20" x14ac:dyDescent="0.3">
      <c r="A290" s="15" t="s">
        <v>869</v>
      </c>
      <c r="J290">
        <v>5.6361808890000002</v>
      </c>
      <c r="T290">
        <v>5.9060327719999997</v>
      </c>
    </row>
    <row r="291" spans="1:20" x14ac:dyDescent="0.3">
      <c r="A291" s="15" t="s">
        <v>872</v>
      </c>
      <c r="J291">
        <v>-0.47793729800000001</v>
      </c>
      <c r="T291">
        <v>5.91</v>
      </c>
    </row>
    <row r="292" spans="1:20" x14ac:dyDescent="0.3">
      <c r="A292" s="15" t="s">
        <v>874</v>
      </c>
      <c r="J292">
        <v>5.548889258</v>
      </c>
      <c r="T292">
        <v>5.9535</v>
      </c>
    </row>
    <row r="293" spans="1:20" x14ac:dyDescent="0.3">
      <c r="A293" s="15" t="s">
        <v>876</v>
      </c>
      <c r="J293">
        <v>5.9908380079999999</v>
      </c>
      <c r="T293">
        <v>5.97</v>
      </c>
    </row>
    <row r="294" spans="1:20" x14ac:dyDescent="0.3">
      <c r="A294" s="15" t="s">
        <v>878</v>
      </c>
      <c r="J294">
        <v>8.8438989180000007</v>
      </c>
      <c r="T294">
        <v>5.9908380079999999</v>
      </c>
    </row>
    <row r="295" spans="1:20" x14ac:dyDescent="0.3">
      <c r="A295" s="15" t="s">
        <v>880</v>
      </c>
      <c r="J295">
        <v>8.4124316369999992</v>
      </c>
      <c r="T295">
        <v>6.0069001440000003</v>
      </c>
    </row>
    <row r="296" spans="1:20" x14ac:dyDescent="0.3">
      <c r="A296" s="15" t="s">
        <v>883</v>
      </c>
      <c r="J296">
        <v>5.1648260700000002</v>
      </c>
      <c r="T296">
        <v>6.0101096390000004</v>
      </c>
    </row>
    <row r="297" spans="1:20" x14ac:dyDescent="0.3">
      <c r="A297" s="15" t="s">
        <v>886</v>
      </c>
      <c r="J297">
        <v>6.5984804869999998</v>
      </c>
      <c r="T297">
        <v>6.03</v>
      </c>
    </row>
    <row r="298" spans="1:20" x14ac:dyDescent="0.3">
      <c r="A298" s="15" t="s">
        <v>888</v>
      </c>
      <c r="J298">
        <v>6.7003416329999999</v>
      </c>
      <c r="T298">
        <v>6.0350465289999997</v>
      </c>
    </row>
    <row r="299" spans="1:20" x14ac:dyDescent="0.3">
      <c r="A299" s="15" t="s">
        <v>891</v>
      </c>
      <c r="J299">
        <v>4.8248623640000003</v>
      </c>
      <c r="T299">
        <v>6.04</v>
      </c>
    </row>
    <row r="300" spans="1:20" x14ac:dyDescent="0.3">
      <c r="A300" s="15" t="s">
        <v>893</v>
      </c>
      <c r="J300">
        <v>7.6914488600000004</v>
      </c>
      <c r="T300">
        <v>6.0646723439999999</v>
      </c>
    </row>
    <row r="301" spans="1:20" x14ac:dyDescent="0.3">
      <c r="A301" s="15" t="s">
        <v>895</v>
      </c>
      <c r="J301">
        <v>7.7953084480000001</v>
      </c>
      <c r="T301">
        <v>6.07</v>
      </c>
    </row>
    <row r="302" spans="1:20" x14ac:dyDescent="0.3">
      <c r="A302" s="15" t="s">
        <v>897</v>
      </c>
      <c r="F302">
        <v>1.5997057779999999</v>
      </c>
      <c r="T302">
        <v>6.07</v>
      </c>
    </row>
    <row r="303" spans="1:20" x14ac:dyDescent="0.3">
      <c r="A303" s="15" t="s">
        <v>901</v>
      </c>
      <c r="G303">
        <v>5.7234815609999998</v>
      </c>
      <c r="T303">
        <v>6.0730184669999998</v>
      </c>
    </row>
    <row r="304" spans="1:20" x14ac:dyDescent="0.3">
      <c r="A304" s="15" t="s">
        <v>905</v>
      </c>
      <c r="G304">
        <v>1.796711046</v>
      </c>
      <c r="T304">
        <v>6.0787344680000004</v>
      </c>
    </row>
    <row r="305" spans="1:20" x14ac:dyDescent="0.3">
      <c r="A305" s="15" t="s">
        <v>907</v>
      </c>
      <c r="F305">
        <v>4.322283315</v>
      </c>
      <c r="T305">
        <v>6.0792648959999998</v>
      </c>
    </row>
    <row r="306" spans="1:20" x14ac:dyDescent="0.3">
      <c r="A306" s="15" t="s">
        <v>910</v>
      </c>
      <c r="F306">
        <v>5.4780394870000002</v>
      </c>
      <c r="T306">
        <v>6.1</v>
      </c>
    </row>
    <row r="307" spans="1:20" x14ac:dyDescent="0.3">
      <c r="A307" s="15" t="s">
        <v>913</v>
      </c>
      <c r="F307">
        <v>4.6084822760000002</v>
      </c>
      <c r="T307">
        <v>6.106018154</v>
      </c>
    </row>
    <row r="308" spans="1:20" x14ac:dyDescent="0.3">
      <c r="A308" s="15" t="s">
        <v>917</v>
      </c>
      <c r="F308">
        <v>4.246373889</v>
      </c>
      <c r="T308">
        <v>6.12</v>
      </c>
    </row>
    <row r="309" spans="1:20" x14ac:dyDescent="0.3">
      <c r="A309" s="15" t="s">
        <v>919</v>
      </c>
      <c r="F309">
        <v>3.9638846239999999</v>
      </c>
      <c r="T309">
        <v>6.1231649890000002</v>
      </c>
    </row>
    <row r="310" spans="1:20" x14ac:dyDescent="0.3">
      <c r="A310" s="15" t="s">
        <v>921</v>
      </c>
      <c r="F310">
        <v>8.5253865520000005</v>
      </c>
      <c r="T310">
        <v>6.1469806570000003</v>
      </c>
    </row>
    <row r="311" spans="1:20" x14ac:dyDescent="0.3">
      <c r="A311" s="15" t="s">
        <v>924</v>
      </c>
      <c r="F311">
        <v>6.0800078160000002</v>
      </c>
      <c r="T311">
        <v>6.15</v>
      </c>
    </row>
    <row r="312" spans="1:20" x14ac:dyDescent="0.3">
      <c r="A312" s="15" t="s">
        <v>926</v>
      </c>
      <c r="F312">
        <v>4.3528436389999996</v>
      </c>
      <c r="T312">
        <v>6.1634281870000001</v>
      </c>
    </row>
    <row r="313" spans="1:20" x14ac:dyDescent="0.3">
      <c r="A313" s="15" t="s">
        <v>929</v>
      </c>
      <c r="J313">
        <v>5.1687043819999996</v>
      </c>
      <c r="T313">
        <v>6.1836821659999996</v>
      </c>
    </row>
    <row r="314" spans="1:20" x14ac:dyDescent="0.3">
      <c r="A314" s="15" t="s">
        <v>933</v>
      </c>
      <c r="J314">
        <v>5.8382261010000001</v>
      </c>
      <c r="T314">
        <v>6.1887754749999999</v>
      </c>
    </row>
    <row r="315" spans="1:20" x14ac:dyDescent="0.3">
      <c r="A315" s="15" t="s">
        <v>936</v>
      </c>
      <c r="J315">
        <v>5.5379307840000003</v>
      </c>
      <c r="T315">
        <v>6.19</v>
      </c>
    </row>
    <row r="316" spans="1:20" x14ac:dyDescent="0.3">
      <c r="A316" s="15" t="s">
        <v>939</v>
      </c>
      <c r="J316">
        <v>5.6488654199999999</v>
      </c>
      <c r="T316">
        <v>6.198205143</v>
      </c>
    </row>
    <row r="317" spans="1:20" x14ac:dyDescent="0.3">
      <c r="A317" s="15" t="s">
        <v>942</v>
      </c>
      <c r="J317">
        <v>8.7277832340000003</v>
      </c>
      <c r="T317">
        <v>6.2033232380000003</v>
      </c>
    </row>
    <row r="318" spans="1:20" x14ac:dyDescent="0.3">
      <c r="A318" s="15" t="s">
        <v>944</v>
      </c>
      <c r="J318">
        <v>10.207648839999999</v>
      </c>
      <c r="T318">
        <v>6.2051512170000001</v>
      </c>
    </row>
    <row r="319" spans="1:20" x14ac:dyDescent="0.3">
      <c r="A319" s="15" t="s">
        <v>946</v>
      </c>
      <c r="J319">
        <v>3.9245630650000001</v>
      </c>
      <c r="T319">
        <v>6.21</v>
      </c>
    </row>
    <row r="320" spans="1:20" x14ac:dyDescent="0.3">
      <c r="A320" s="15" t="s">
        <v>949</v>
      </c>
      <c r="J320">
        <v>5.4492899039999996</v>
      </c>
      <c r="T320">
        <v>6.2600288869999998</v>
      </c>
    </row>
    <row r="321" spans="1:20" x14ac:dyDescent="0.3">
      <c r="A321" s="15" t="s">
        <v>952</v>
      </c>
      <c r="J321">
        <v>3.7377188330000002</v>
      </c>
      <c r="T321">
        <v>6.2689454370000002</v>
      </c>
    </row>
    <row r="322" spans="1:20" x14ac:dyDescent="0.3">
      <c r="A322" s="15" t="s">
        <v>955</v>
      </c>
      <c r="J322">
        <v>5.3478659930000001</v>
      </c>
      <c r="T322">
        <v>6.28</v>
      </c>
    </row>
    <row r="323" spans="1:20" x14ac:dyDescent="0.3">
      <c r="A323" s="15" t="s">
        <v>957</v>
      </c>
      <c r="J323">
        <v>6.6230285069999999</v>
      </c>
      <c r="T323">
        <v>6.3</v>
      </c>
    </row>
    <row r="324" spans="1:20" x14ac:dyDescent="0.3">
      <c r="A324" s="15" t="s">
        <v>959</v>
      </c>
      <c r="J324">
        <v>6.6531294159999996</v>
      </c>
      <c r="T324">
        <v>6.308539991</v>
      </c>
    </row>
    <row r="325" spans="1:20" x14ac:dyDescent="0.3">
      <c r="A325" s="15" t="s">
        <v>961</v>
      </c>
      <c r="J325">
        <v>0.91960012700000004</v>
      </c>
      <c r="T325">
        <v>6.31</v>
      </c>
    </row>
    <row r="326" spans="1:20" x14ac:dyDescent="0.3">
      <c r="A326" s="15" t="s">
        <v>962</v>
      </c>
      <c r="J326">
        <v>4.9734529280000004</v>
      </c>
      <c r="T326">
        <v>6.32</v>
      </c>
    </row>
    <row r="327" spans="1:20" x14ac:dyDescent="0.3">
      <c r="A327" s="15" t="s">
        <v>964</v>
      </c>
      <c r="J327">
        <v>6.5283767529999999</v>
      </c>
      <c r="T327">
        <v>6.34</v>
      </c>
    </row>
    <row r="328" spans="1:20" x14ac:dyDescent="0.3">
      <c r="A328" s="15" t="s">
        <v>966</v>
      </c>
      <c r="J328">
        <v>-2.4557819830000001</v>
      </c>
      <c r="T328">
        <v>6.35</v>
      </c>
    </row>
    <row r="329" spans="1:20" x14ac:dyDescent="0.3">
      <c r="A329" s="15" t="s">
        <v>967</v>
      </c>
      <c r="J329">
        <v>4.8986809850000004</v>
      </c>
      <c r="T329">
        <v>6.38</v>
      </c>
    </row>
    <row r="330" spans="1:20" x14ac:dyDescent="0.3">
      <c r="A330" s="15" t="s">
        <v>968</v>
      </c>
      <c r="J330">
        <v>8.0899080800000007</v>
      </c>
      <c r="T330">
        <v>6.3810811520000001</v>
      </c>
    </row>
    <row r="331" spans="1:20" x14ac:dyDescent="0.3">
      <c r="A331" s="15" t="s">
        <v>970</v>
      </c>
      <c r="J331">
        <v>5.3918595820000004</v>
      </c>
      <c r="T331">
        <v>6.3994302440000004</v>
      </c>
    </row>
    <row r="332" spans="1:20" x14ac:dyDescent="0.3">
      <c r="A332" s="15" t="s">
        <v>972</v>
      </c>
      <c r="J332">
        <v>2.7737799769999998</v>
      </c>
      <c r="T332">
        <v>6.42</v>
      </c>
    </row>
    <row r="333" spans="1:20" x14ac:dyDescent="0.3">
      <c r="A333" s="15" t="s">
        <v>973</v>
      </c>
      <c r="J333">
        <v>4.8755664679999997</v>
      </c>
      <c r="T333">
        <v>6.4250723839999999</v>
      </c>
    </row>
    <row r="334" spans="1:20" x14ac:dyDescent="0.3">
      <c r="A334" s="15" t="s">
        <v>974</v>
      </c>
      <c r="J334">
        <v>4.2071453480000001</v>
      </c>
      <c r="T334">
        <v>6.43</v>
      </c>
    </row>
    <row r="335" spans="1:20" x14ac:dyDescent="0.3">
      <c r="A335" s="15" t="s">
        <v>975</v>
      </c>
      <c r="J335">
        <v>4.0277481269999997</v>
      </c>
      <c r="T335">
        <v>6.4380572340000004</v>
      </c>
    </row>
    <row r="336" spans="1:20" x14ac:dyDescent="0.3">
      <c r="A336" s="15" t="s">
        <v>976</v>
      </c>
      <c r="D336">
        <v>3.0885518529999998</v>
      </c>
      <c r="T336">
        <v>6.44</v>
      </c>
    </row>
    <row r="337" spans="1:20" x14ac:dyDescent="0.3">
      <c r="A337" s="15" t="s">
        <v>981</v>
      </c>
      <c r="D337">
        <v>1.887067598</v>
      </c>
      <c r="T337">
        <v>6.4441190510000004</v>
      </c>
    </row>
    <row r="338" spans="1:20" x14ac:dyDescent="0.3">
      <c r="A338" s="15" t="s">
        <v>983</v>
      </c>
      <c r="J338">
        <v>3.945912544</v>
      </c>
      <c r="T338">
        <v>6.45</v>
      </c>
    </row>
    <row r="339" spans="1:20" x14ac:dyDescent="0.3">
      <c r="A339" s="15" t="s">
        <v>986</v>
      </c>
      <c r="J339">
        <v>4.8291091240000004</v>
      </c>
      <c r="T339">
        <v>6.4519132680000002</v>
      </c>
    </row>
    <row r="340" spans="1:20" x14ac:dyDescent="0.3">
      <c r="A340" s="15" t="s">
        <v>988</v>
      </c>
      <c r="J340">
        <v>7.5041806329999998</v>
      </c>
      <c r="T340">
        <v>6.47</v>
      </c>
    </row>
    <row r="341" spans="1:20" x14ac:dyDescent="0.3">
      <c r="A341" s="15" t="s">
        <v>989</v>
      </c>
      <c r="J341">
        <v>5.15136314</v>
      </c>
      <c r="T341">
        <v>6.485536422</v>
      </c>
    </row>
    <row r="342" spans="1:20" x14ac:dyDescent="0.3">
      <c r="A342" s="15" t="s">
        <v>991</v>
      </c>
      <c r="J342">
        <v>7.2879859309999997</v>
      </c>
      <c r="T342">
        <v>6.4977060360000003</v>
      </c>
    </row>
    <row r="343" spans="1:20" x14ac:dyDescent="0.3">
      <c r="A343" s="15" t="s">
        <v>994</v>
      </c>
      <c r="J343">
        <v>4.6002380890000003</v>
      </c>
      <c r="T343">
        <v>6.509839586</v>
      </c>
    </row>
    <row r="344" spans="1:20" x14ac:dyDescent="0.3">
      <c r="A344" s="15" t="s">
        <v>996</v>
      </c>
      <c r="J344">
        <v>5.5383625929999996</v>
      </c>
      <c r="T344">
        <v>6.5140041039999996</v>
      </c>
    </row>
    <row r="345" spans="1:20" x14ac:dyDescent="0.3">
      <c r="A345" s="15" t="s">
        <v>998</v>
      </c>
      <c r="F345">
        <v>4.025961927</v>
      </c>
      <c r="T345">
        <v>6.52</v>
      </c>
    </row>
    <row r="346" spans="1:20" x14ac:dyDescent="0.3">
      <c r="A346" s="15" t="s">
        <v>1000</v>
      </c>
      <c r="F346">
        <v>4.6951264610000001</v>
      </c>
      <c r="T346">
        <v>6.52</v>
      </c>
    </row>
    <row r="347" spans="1:20" x14ac:dyDescent="0.3">
      <c r="A347" s="15" t="s">
        <v>1002</v>
      </c>
      <c r="F347">
        <v>2.0945182710000001</v>
      </c>
      <c r="T347">
        <v>6.5283767529999999</v>
      </c>
    </row>
    <row r="348" spans="1:20" x14ac:dyDescent="0.3">
      <c r="A348" s="15" t="s">
        <v>1004</v>
      </c>
      <c r="F348">
        <v>1.7512861669999999</v>
      </c>
      <c r="T348">
        <v>6.5388365129999997</v>
      </c>
    </row>
    <row r="349" spans="1:20" x14ac:dyDescent="0.3">
      <c r="A349" s="15" t="s">
        <v>1007</v>
      </c>
      <c r="F349">
        <v>3.2257204970000002</v>
      </c>
      <c r="T349">
        <v>6.5498429930000004</v>
      </c>
    </row>
    <row r="350" spans="1:20" x14ac:dyDescent="0.3">
      <c r="A350" s="15" t="s">
        <v>1009</v>
      </c>
      <c r="C350">
        <v>1.827059424</v>
      </c>
      <c r="T350">
        <v>6.5698817070000004</v>
      </c>
    </row>
    <row r="351" spans="1:20" x14ac:dyDescent="0.3">
      <c r="A351" s="15" t="s">
        <v>1012</v>
      </c>
      <c r="C351">
        <v>2.2135804690000001</v>
      </c>
      <c r="T351">
        <v>6.57</v>
      </c>
    </row>
    <row r="352" spans="1:20" x14ac:dyDescent="0.3">
      <c r="A352" s="15" t="s">
        <v>1015</v>
      </c>
      <c r="C352">
        <v>1.854481058</v>
      </c>
      <c r="T352">
        <v>6.57</v>
      </c>
    </row>
    <row r="353" spans="1:20" x14ac:dyDescent="0.3">
      <c r="A353" s="15" t="s">
        <v>1018</v>
      </c>
      <c r="C353">
        <v>0.33502243999999998</v>
      </c>
      <c r="T353">
        <v>6.58</v>
      </c>
    </row>
    <row r="354" spans="1:20" x14ac:dyDescent="0.3">
      <c r="A354" s="15" t="s">
        <v>1020</v>
      </c>
      <c r="C354">
        <v>0.176476419</v>
      </c>
      <c r="T354">
        <v>6.5984804869999998</v>
      </c>
    </row>
    <row r="355" spans="1:20" x14ac:dyDescent="0.3">
      <c r="A355" s="15" t="s">
        <v>1022</v>
      </c>
      <c r="C355">
        <v>0.38490365300000001</v>
      </c>
      <c r="T355">
        <v>6.6183760769999997</v>
      </c>
    </row>
    <row r="356" spans="1:20" x14ac:dyDescent="0.3">
      <c r="A356" s="15" t="s">
        <v>1024</v>
      </c>
      <c r="C356">
        <v>0.51143717899999996</v>
      </c>
      <c r="T356">
        <v>6.6186021530000003</v>
      </c>
    </row>
    <row r="357" spans="1:20" x14ac:dyDescent="0.3">
      <c r="A357" s="15" t="s">
        <v>1026</v>
      </c>
      <c r="C357">
        <v>0.60270095999999995</v>
      </c>
      <c r="T357">
        <v>6.6230285069999999</v>
      </c>
    </row>
    <row r="358" spans="1:20" x14ac:dyDescent="0.3">
      <c r="A358" s="15" t="s">
        <v>1028</v>
      </c>
      <c r="C358">
        <v>-1.2849384619999999</v>
      </c>
      <c r="T358">
        <v>6.6481148829999999</v>
      </c>
    </row>
    <row r="359" spans="1:20" x14ac:dyDescent="0.3">
      <c r="A359" s="15" t="s">
        <v>1030</v>
      </c>
      <c r="C359">
        <v>2.2954539820000002</v>
      </c>
      <c r="T359">
        <v>6.65</v>
      </c>
    </row>
    <row r="360" spans="1:20" x14ac:dyDescent="0.3">
      <c r="A360" s="15" t="s">
        <v>1032</v>
      </c>
      <c r="C360">
        <v>1.4804567340000001</v>
      </c>
      <c r="T360">
        <v>6.6531294159999996</v>
      </c>
    </row>
    <row r="361" spans="1:20" x14ac:dyDescent="0.3">
      <c r="A361" s="15" t="s">
        <v>1034</v>
      </c>
      <c r="F361">
        <v>6.156201727</v>
      </c>
      <c r="T361">
        <v>6.6680268380000003</v>
      </c>
    </row>
    <row r="362" spans="1:20" x14ac:dyDescent="0.3">
      <c r="A362" s="15" t="s">
        <v>1038</v>
      </c>
      <c r="F362">
        <v>5.7384713749999996</v>
      </c>
      <c r="T362">
        <v>6.6736759040000004</v>
      </c>
    </row>
    <row r="363" spans="1:20" x14ac:dyDescent="0.3">
      <c r="A363" s="15" t="s">
        <v>1042</v>
      </c>
      <c r="J363">
        <v>6.3810811520000001</v>
      </c>
      <c r="T363">
        <v>6.6752287639999999</v>
      </c>
    </row>
    <row r="364" spans="1:20" x14ac:dyDescent="0.3">
      <c r="A364" s="15" t="s">
        <v>1045</v>
      </c>
      <c r="J364">
        <v>7.9569574410000001</v>
      </c>
      <c r="T364">
        <v>6.7003416329999999</v>
      </c>
    </row>
    <row r="365" spans="1:20" x14ac:dyDescent="0.3">
      <c r="A365" s="15" t="s">
        <v>1049</v>
      </c>
      <c r="J365">
        <v>10.89504812</v>
      </c>
      <c r="T365">
        <v>6.7123370570000001</v>
      </c>
    </row>
    <row r="366" spans="1:20" x14ac:dyDescent="0.3">
      <c r="A366" s="15" t="s">
        <v>1052</v>
      </c>
      <c r="F366">
        <v>4.6594792079999996</v>
      </c>
      <c r="T366">
        <v>6.7145772929999996</v>
      </c>
    </row>
    <row r="367" spans="1:20" x14ac:dyDescent="0.3">
      <c r="A367" s="15" t="s">
        <v>1055</v>
      </c>
      <c r="F367">
        <v>3.2442603160000001</v>
      </c>
      <c r="T367">
        <v>6.7305649059999997</v>
      </c>
    </row>
    <row r="368" spans="1:20" x14ac:dyDescent="0.3">
      <c r="A368" s="15" t="s">
        <v>1059</v>
      </c>
      <c r="F368">
        <v>5.7302107219999998</v>
      </c>
      <c r="T368">
        <v>6.7400721319999999</v>
      </c>
    </row>
    <row r="369" spans="1:20" x14ac:dyDescent="0.3">
      <c r="A369" s="15" t="s">
        <v>1062</v>
      </c>
      <c r="F369">
        <v>4.230405448</v>
      </c>
      <c r="T369">
        <v>6.76</v>
      </c>
    </row>
    <row r="370" spans="1:20" x14ac:dyDescent="0.3">
      <c r="A370" s="15" t="s">
        <v>1064</v>
      </c>
      <c r="F370">
        <v>5.2616707260000002</v>
      </c>
      <c r="T370">
        <v>6.7635865040000001</v>
      </c>
    </row>
    <row r="371" spans="1:20" x14ac:dyDescent="0.3">
      <c r="A371" s="15" t="s">
        <v>1067</v>
      </c>
      <c r="F371">
        <v>4.531469821</v>
      </c>
      <c r="T371">
        <v>6.7644265079999997</v>
      </c>
    </row>
    <row r="372" spans="1:20" x14ac:dyDescent="0.3">
      <c r="A372" s="15" t="s">
        <v>1070</v>
      </c>
      <c r="F372">
        <v>5.1072790489999997</v>
      </c>
      <c r="T372">
        <v>6.78</v>
      </c>
    </row>
    <row r="373" spans="1:20" x14ac:dyDescent="0.3">
      <c r="A373" s="15" t="s">
        <v>1073</v>
      </c>
      <c r="F373">
        <v>6.1196805550000004</v>
      </c>
      <c r="T373">
        <v>6.7868982740000003</v>
      </c>
    </row>
    <row r="374" spans="1:20" x14ac:dyDescent="0.3">
      <c r="A374" s="15" t="s">
        <v>1076</v>
      </c>
      <c r="F374">
        <v>-0.16115733600000001</v>
      </c>
      <c r="T374">
        <v>6.79</v>
      </c>
    </row>
    <row r="375" spans="1:20" x14ac:dyDescent="0.3">
      <c r="A375" s="15" t="s">
        <v>1078</v>
      </c>
      <c r="F375">
        <v>6.0756205960000003</v>
      </c>
      <c r="T375">
        <v>6.7933891729999996</v>
      </c>
    </row>
    <row r="376" spans="1:20" x14ac:dyDescent="0.3">
      <c r="A376" s="15" t="s">
        <v>1080</v>
      </c>
      <c r="F376">
        <v>4.2834954779999999</v>
      </c>
      <c r="T376">
        <v>6.8</v>
      </c>
    </row>
    <row r="377" spans="1:20" x14ac:dyDescent="0.3">
      <c r="A377" s="15" t="s">
        <v>1083</v>
      </c>
      <c r="F377">
        <v>9.0827475179999997</v>
      </c>
      <c r="T377">
        <v>6.84</v>
      </c>
    </row>
    <row r="378" spans="1:20" x14ac:dyDescent="0.3">
      <c r="A378" s="15" t="s">
        <v>1086</v>
      </c>
      <c r="F378">
        <v>3.2468357640000001</v>
      </c>
      <c r="T378">
        <v>6.8421287450000001</v>
      </c>
    </row>
    <row r="379" spans="1:20" x14ac:dyDescent="0.3">
      <c r="A379" s="15" t="s">
        <v>1089</v>
      </c>
      <c r="F379">
        <v>6.1386799749999996</v>
      </c>
      <c r="T379">
        <v>6.846395223</v>
      </c>
    </row>
    <row r="380" spans="1:20" x14ac:dyDescent="0.3">
      <c r="A380" s="15" t="s">
        <v>1092</v>
      </c>
      <c r="J380">
        <v>3.8442051319999999</v>
      </c>
      <c r="T380">
        <v>6.89</v>
      </c>
    </row>
    <row r="381" spans="1:20" x14ac:dyDescent="0.3">
      <c r="A381" s="15" t="s">
        <v>1096</v>
      </c>
      <c r="J381">
        <v>6.1634281870000001</v>
      </c>
      <c r="T381">
        <v>6.911640147</v>
      </c>
    </row>
    <row r="382" spans="1:20" x14ac:dyDescent="0.3">
      <c r="A382" s="15" t="s">
        <v>1100</v>
      </c>
      <c r="J382">
        <v>9.2752528999999999</v>
      </c>
      <c r="T382">
        <v>6.9201230760000003</v>
      </c>
    </row>
    <row r="383" spans="1:20" x14ac:dyDescent="0.3">
      <c r="A383" s="15" t="s">
        <v>1102</v>
      </c>
      <c r="J383">
        <v>4.8262735890000004</v>
      </c>
      <c r="T383">
        <v>6.9293376110000002</v>
      </c>
    </row>
    <row r="384" spans="1:20" x14ac:dyDescent="0.3">
      <c r="A384" s="15" t="s">
        <v>1104</v>
      </c>
      <c r="J384">
        <v>4.8131399889999997</v>
      </c>
      <c r="T384">
        <v>6.9332123399999999</v>
      </c>
    </row>
    <row r="385" spans="1:20" x14ac:dyDescent="0.3">
      <c r="A385" s="15" t="s">
        <v>1107</v>
      </c>
      <c r="J385">
        <v>8.8799989149999998</v>
      </c>
      <c r="T385">
        <v>6.94</v>
      </c>
    </row>
    <row r="386" spans="1:20" x14ac:dyDescent="0.3">
      <c r="A386" s="15" t="s">
        <v>1111</v>
      </c>
      <c r="J386">
        <v>6.106018154</v>
      </c>
      <c r="T386">
        <v>6.94</v>
      </c>
    </row>
    <row r="387" spans="1:20" x14ac:dyDescent="0.3">
      <c r="A387" s="15" t="s">
        <v>1113</v>
      </c>
      <c r="J387">
        <v>7.2794638330000003</v>
      </c>
      <c r="T387">
        <v>6.94</v>
      </c>
    </row>
    <row r="388" spans="1:20" x14ac:dyDescent="0.3">
      <c r="A388" s="15" t="s">
        <v>1117</v>
      </c>
      <c r="J388">
        <v>3.9994609560000001</v>
      </c>
      <c r="T388">
        <v>6.96</v>
      </c>
    </row>
    <row r="389" spans="1:20" x14ac:dyDescent="0.3">
      <c r="A389" s="15" t="s">
        <v>1119</v>
      </c>
      <c r="J389">
        <v>8.2317117880000001</v>
      </c>
      <c r="T389">
        <v>6.97</v>
      </c>
    </row>
    <row r="390" spans="1:20" x14ac:dyDescent="0.3">
      <c r="A390" s="15" t="s">
        <v>1121</v>
      </c>
      <c r="J390">
        <v>5.5962168300000004</v>
      </c>
      <c r="T390">
        <v>6.9713613490000004</v>
      </c>
    </row>
    <row r="391" spans="1:20" x14ac:dyDescent="0.3">
      <c r="A391" s="15" t="s">
        <v>1123</v>
      </c>
      <c r="F391">
        <v>1.147890852</v>
      </c>
      <c r="T391">
        <v>6.977617306</v>
      </c>
    </row>
    <row r="392" spans="1:20" x14ac:dyDescent="0.3">
      <c r="A392" s="15" t="s">
        <v>1126</v>
      </c>
      <c r="F392">
        <v>5.7749290369999997</v>
      </c>
      <c r="T392">
        <v>6.99</v>
      </c>
    </row>
    <row r="393" spans="1:20" x14ac:dyDescent="0.3">
      <c r="A393" s="15" t="s">
        <v>1128</v>
      </c>
      <c r="F393">
        <v>1.949211655</v>
      </c>
      <c r="T393">
        <v>7.0150641460000003</v>
      </c>
    </row>
    <row r="394" spans="1:20" x14ac:dyDescent="0.3">
      <c r="A394" s="15" t="s">
        <v>1131</v>
      </c>
      <c r="F394">
        <v>4.3584891429999999</v>
      </c>
      <c r="T394">
        <v>7.0607656189999997</v>
      </c>
    </row>
    <row r="395" spans="1:20" x14ac:dyDescent="0.3">
      <c r="A395" s="15" t="s">
        <v>1133</v>
      </c>
      <c r="F395">
        <v>8.9899593289999995</v>
      </c>
      <c r="T395">
        <v>7.09</v>
      </c>
    </row>
    <row r="396" spans="1:20" x14ac:dyDescent="0.3">
      <c r="A396" s="15" t="s">
        <v>1135</v>
      </c>
      <c r="F396">
        <v>8.056160234</v>
      </c>
      <c r="T396">
        <v>7.0963960009999996</v>
      </c>
    </row>
    <row r="397" spans="1:20" x14ac:dyDescent="0.3">
      <c r="A397" s="15" t="s">
        <v>1139</v>
      </c>
      <c r="F397">
        <v>5.0772408249999996</v>
      </c>
      <c r="T397">
        <v>7.0992954099999999</v>
      </c>
    </row>
    <row r="398" spans="1:20" x14ac:dyDescent="0.3">
      <c r="A398" s="15" t="s">
        <v>1141</v>
      </c>
      <c r="F398">
        <v>6.0350240069999996</v>
      </c>
      <c r="T398">
        <v>7.11</v>
      </c>
    </row>
    <row r="399" spans="1:20" x14ac:dyDescent="0.3">
      <c r="A399" s="15" t="s">
        <v>1144</v>
      </c>
      <c r="F399">
        <v>6.1105903169999998</v>
      </c>
      <c r="T399">
        <v>7.12</v>
      </c>
    </row>
    <row r="400" spans="1:20" x14ac:dyDescent="0.3">
      <c r="A400" s="15" t="s">
        <v>1148</v>
      </c>
      <c r="F400">
        <v>4.1164420819999998</v>
      </c>
      <c r="T400">
        <v>7.13</v>
      </c>
    </row>
    <row r="401" spans="1:20" x14ac:dyDescent="0.3">
      <c r="A401" s="15" t="s">
        <v>1150</v>
      </c>
      <c r="F401">
        <v>4.4810051189999998</v>
      </c>
      <c r="T401">
        <v>7.1451345750000002</v>
      </c>
    </row>
    <row r="402" spans="1:20" x14ac:dyDescent="0.3">
      <c r="A402" s="15" t="s">
        <v>1154</v>
      </c>
      <c r="G402">
        <v>5.5383834839999997</v>
      </c>
      <c r="T402">
        <v>7.18</v>
      </c>
    </row>
    <row r="403" spans="1:20" x14ac:dyDescent="0.3">
      <c r="A403" s="15" t="s">
        <v>1158</v>
      </c>
      <c r="G403">
        <v>5.4439821329999996</v>
      </c>
      <c r="T403">
        <v>7.1807014259999997</v>
      </c>
    </row>
    <row r="404" spans="1:20" x14ac:dyDescent="0.3">
      <c r="A404" s="15" t="s">
        <v>1160</v>
      </c>
      <c r="G404">
        <v>5.3107569200000002</v>
      </c>
      <c r="T404">
        <v>7.1854624830000002</v>
      </c>
    </row>
    <row r="405" spans="1:20" x14ac:dyDescent="0.3">
      <c r="A405" s="15" t="s">
        <v>1164</v>
      </c>
      <c r="J405">
        <v>4.1034937109999996</v>
      </c>
      <c r="T405">
        <v>7.2519527669999997</v>
      </c>
    </row>
    <row r="406" spans="1:20" x14ac:dyDescent="0.3">
      <c r="A406" s="15" t="s">
        <v>1167</v>
      </c>
      <c r="J406">
        <v>5.2227978259999999</v>
      </c>
      <c r="T406">
        <v>7.2520396729999996</v>
      </c>
    </row>
    <row r="407" spans="1:20" x14ac:dyDescent="0.3">
      <c r="A407" s="15" t="s">
        <v>1169</v>
      </c>
      <c r="J407">
        <v>4.0325196060000001</v>
      </c>
      <c r="T407">
        <v>7.2560771229999999</v>
      </c>
    </row>
    <row r="408" spans="1:20" x14ac:dyDescent="0.3">
      <c r="A408" s="15" t="s">
        <v>1171</v>
      </c>
      <c r="J408">
        <v>7.0992954099999999</v>
      </c>
      <c r="T408">
        <v>7.2568986689999999</v>
      </c>
    </row>
    <row r="409" spans="1:20" x14ac:dyDescent="0.3">
      <c r="A409" s="15" t="s">
        <v>1173</v>
      </c>
      <c r="J409">
        <v>4.2572328800000001</v>
      </c>
      <c r="T409">
        <v>7.26</v>
      </c>
    </row>
    <row r="410" spans="1:20" x14ac:dyDescent="0.3">
      <c r="A410" s="15" t="s">
        <v>1175</v>
      </c>
      <c r="J410">
        <v>3.4300006820000002</v>
      </c>
      <c r="T410">
        <v>7.26</v>
      </c>
    </row>
    <row r="411" spans="1:20" x14ac:dyDescent="0.3">
      <c r="A411" s="15" t="s">
        <v>1177</v>
      </c>
      <c r="J411">
        <v>3.7625710840000002</v>
      </c>
      <c r="T411">
        <v>7.27</v>
      </c>
    </row>
    <row r="412" spans="1:20" x14ac:dyDescent="0.3">
      <c r="A412" s="15" t="s">
        <v>1179</v>
      </c>
      <c r="J412">
        <v>4.6618520219999997</v>
      </c>
      <c r="T412">
        <v>7.2778163569999998</v>
      </c>
    </row>
    <row r="413" spans="1:20" x14ac:dyDescent="0.3">
      <c r="A413" s="15" t="s">
        <v>1181</v>
      </c>
      <c r="J413">
        <v>4.508045869</v>
      </c>
      <c r="T413">
        <v>7.2794638330000003</v>
      </c>
    </row>
    <row r="414" spans="1:20" x14ac:dyDescent="0.3">
      <c r="A414" s="15" t="s">
        <v>1183</v>
      </c>
      <c r="J414">
        <v>7.2568986689999999</v>
      </c>
      <c r="T414">
        <v>7.2879859309999997</v>
      </c>
    </row>
    <row r="415" spans="1:20" x14ac:dyDescent="0.3">
      <c r="A415" s="15" t="s">
        <v>1185</v>
      </c>
      <c r="J415">
        <v>4.3856015810000004</v>
      </c>
      <c r="T415">
        <v>7.2953639150000003</v>
      </c>
    </row>
    <row r="416" spans="1:20" x14ac:dyDescent="0.3">
      <c r="A416" s="15" t="s">
        <v>1187</v>
      </c>
      <c r="J416">
        <v>5.5708464969999998</v>
      </c>
      <c r="T416">
        <v>7.31</v>
      </c>
    </row>
    <row r="417" spans="1:20" x14ac:dyDescent="0.3">
      <c r="A417" s="15" t="s">
        <v>1191</v>
      </c>
      <c r="J417">
        <v>5.401063486</v>
      </c>
      <c r="T417">
        <v>7.3255839299999996</v>
      </c>
    </row>
    <row r="418" spans="1:20" x14ac:dyDescent="0.3">
      <c r="A418" s="15" t="s">
        <v>1194</v>
      </c>
      <c r="J418">
        <v>3.7895234439999999</v>
      </c>
      <c r="T418">
        <v>7.3316396529999999</v>
      </c>
    </row>
    <row r="419" spans="1:20" x14ac:dyDescent="0.3">
      <c r="A419" s="15" t="s">
        <v>1196</v>
      </c>
      <c r="J419">
        <v>6.198205143</v>
      </c>
      <c r="T419">
        <v>7.34</v>
      </c>
    </row>
    <row r="420" spans="1:20" x14ac:dyDescent="0.3">
      <c r="A420" s="15" t="s">
        <v>1199</v>
      </c>
      <c r="J420">
        <v>8.5218273240000002</v>
      </c>
      <c r="T420">
        <v>7.3671662800000002</v>
      </c>
    </row>
    <row r="421" spans="1:20" x14ac:dyDescent="0.3">
      <c r="A421" s="15" t="s">
        <v>1202</v>
      </c>
      <c r="J421">
        <v>5.2344030349999997</v>
      </c>
      <c r="T421">
        <v>7.3975176219999996</v>
      </c>
    </row>
    <row r="422" spans="1:20" x14ac:dyDescent="0.3">
      <c r="A422" s="15" t="s">
        <v>1205</v>
      </c>
      <c r="J422">
        <v>-1.258331195</v>
      </c>
      <c r="T422">
        <v>7.4047104499999996</v>
      </c>
    </row>
    <row r="423" spans="1:20" x14ac:dyDescent="0.3">
      <c r="A423" s="15" t="s">
        <v>1208</v>
      </c>
      <c r="J423">
        <v>6.5698817070000004</v>
      </c>
      <c r="T423">
        <v>7.4063768049999998</v>
      </c>
    </row>
    <row r="424" spans="1:20" x14ac:dyDescent="0.3">
      <c r="A424" s="15" t="s">
        <v>1210</v>
      </c>
      <c r="J424">
        <v>9.4546056459999992</v>
      </c>
      <c r="T424">
        <v>7.45</v>
      </c>
    </row>
    <row r="425" spans="1:20" x14ac:dyDescent="0.3">
      <c r="A425" s="15" t="s">
        <v>1213</v>
      </c>
      <c r="J425">
        <v>8.0410906050000008</v>
      </c>
      <c r="T425">
        <v>7.4653630150000003</v>
      </c>
    </row>
    <row r="426" spans="1:20" x14ac:dyDescent="0.3">
      <c r="A426" s="15" t="s">
        <v>1215</v>
      </c>
      <c r="J426">
        <v>7.4653630150000003</v>
      </c>
      <c r="T426">
        <v>7.5041806329999998</v>
      </c>
    </row>
    <row r="427" spans="1:20" x14ac:dyDescent="0.3">
      <c r="A427" s="15" t="s">
        <v>1218</v>
      </c>
      <c r="J427">
        <v>7.3975176219999996</v>
      </c>
      <c r="T427">
        <v>7.5257229529999998</v>
      </c>
    </row>
    <row r="428" spans="1:20" x14ac:dyDescent="0.3">
      <c r="A428" s="15" t="s">
        <v>1222</v>
      </c>
      <c r="J428">
        <v>6.6680268380000003</v>
      </c>
      <c r="T428">
        <v>7.542489711</v>
      </c>
    </row>
    <row r="429" spans="1:20" x14ac:dyDescent="0.3">
      <c r="A429" s="15" t="s">
        <v>1225</v>
      </c>
      <c r="J429">
        <v>6.4519132680000002</v>
      </c>
      <c r="T429">
        <v>7.5658294890000004</v>
      </c>
    </row>
    <row r="430" spans="1:20" x14ac:dyDescent="0.3">
      <c r="A430" s="15" t="s">
        <v>1228</v>
      </c>
      <c r="J430">
        <v>4.7446859269999999</v>
      </c>
      <c r="T430">
        <v>7.58</v>
      </c>
    </row>
    <row r="431" spans="1:20" x14ac:dyDescent="0.3">
      <c r="A431" s="15" t="s">
        <v>1231</v>
      </c>
      <c r="J431">
        <v>8.5232636609999997</v>
      </c>
      <c r="T431">
        <v>7.6255582730000002</v>
      </c>
    </row>
    <row r="432" spans="1:20" x14ac:dyDescent="0.3">
      <c r="A432" s="15" t="s">
        <v>1234</v>
      </c>
      <c r="J432">
        <v>7.5658294890000004</v>
      </c>
      <c r="T432">
        <v>7.6598259329999996</v>
      </c>
    </row>
    <row r="433" spans="1:20" x14ac:dyDescent="0.3">
      <c r="A433" s="15" t="s">
        <v>1237</v>
      </c>
      <c r="J433">
        <v>2.5315689880000001</v>
      </c>
      <c r="T433">
        <v>7.6914488600000004</v>
      </c>
    </row>
    <row r="434" spans="1:20" x14ac:dyDescent="0.3">
      <c r="A434" s="15" t="s">
        <v>1239</v>
      </c>
      <c r="J434">
        <v>5.588437206</v>
      </c>
      <c r="T434">
        <v>7.753387332</v>
      </c>
    </row>
    <row r="435" spans="1:20" x14ac:dyDescent="0.3">
      <c r="A435" s="15" t="s">
        <v>1241</v>
      </c>
      <c r="J435">
        <v>6.7933891729999996</v>
      </c>
      <c r="T435">
        <v>7.79</v>
      </c>
    </row>
    <row r="436" spans="1:20" x14ac:dyDescent="0.3">
      <c r="A436" s="15" t="s">
        <v>1243</v>
      </c>
      <c r="J436">
        <v>5.9053070239999998</v>
      </c>
      <c r="T436">
        <v>7.7953084480000001</v>
      </c>
    </row>
    <row r="437" spans="1:20" x14ac:dyDescent="0.3">
      <c r="A437" s="15" t="s">
        <v>1247</v>
      </c>
      <c r="J437">
        <v>2.5792410480000001</v>
      </c>
      <c r="T437">
        <v>7.8015503500000003</v>
      </c>
    </row>
    <row r="438" spans="1:20" x14ac:dyDescent="0.3">
      <c r="A438" s="15" t="s">
        <v>1251</v>
      </c>
      <c r="J438">
        <v>5.3046593949999998</v>
      </c>
      <c r="T438">
        <v>7.8065244859999998</v>
      </c>
    </row>
    <row r="439" spans="1:20" x14ac:dyDescent="0.3">
      <c r="A439" s="15" t="s">
        <v>1254</v>
      </c>
      <c r="J439">
        <v>6.0730184669999998</v>
      </c>
      <c r="T439">
        <v>7.82</v>
      </c>
    </row>
    <row r="440" spans="1:20" x14ac:dyDescent="0.3">
      <c r="A440" s="15" t="s">
        <v>1257</v>
      </c>
      <c r="J440">
        <v>6.4380572340000004</v>
      </c>
      <c r="T440">
        <v>7.86</v>
      </c>
    </row>
    <row r="441" spans="1:20" x14ac:dyDescent="0.3">
      <c r="A441" s="15" t="s">
        <v>1260</v>
      </c>
      <c r="J441">
        <v>4.2364595129999998</v>
      </c>
      <c r="T441">
        <v>7.92</v>
      </c>
    </row>
    <row r="442" spans="1:20" x14ac:dyDescent="0.3">
      <c r="A442" s="15" t="s">
        <v>1262</v>
      </c>
      <c r="J442">
        <v>5.1349042999999996</v>
      </c>
      <c r="T442">
        <v>7.9386607079999996</v>
      </c>
    </row>
    <row r="443" spans="1:20" x14ac:dyDescent="0.3">
      <c r="A443" s="15" t="s">
        <v>1265</v>
      </c>
      <c r="J443">
        <v>4.4785697989999997</v>
      </c>
      <c r="T443">
        <v>7.9569574410000001</v>
      </c>
    </row>
    <row r="444" spans="1:20" x14ac:dyDescent="0.3">
      <c r="A444" s="15" t="s">
        <v>1267</v>
      </c>
      <c r="J444">
        <v>6.5140041039999996</v>
      </c>
      <c r="T444">
        <v>7.96</v>
      </c>
    </row>
    <row r="445" spans="1:20" x14ac:dyDescent="0.3">
      <c r="A445" s="15" t="s">
        <v>1269</v>
      </c>
      <c r="J445">
        <v>6.7400721319999999</v>
      </c>
      <c r="T445">
        <v>7.9635402119999998</v>
      </c>
    </row>
    <row r="446" spans="1:20" x14ac:dyDescent="0.3">
      <c r="A446" s="15" t="s">
        <v>1272</v>
      </c>
      <c r="D446">
        <v>2.0857327219999999</v>
      </c>
      <c r="T446">
        <v>7.97</v>
      </c>
    </row>
    <row r="447" spans="1:20" x14ac:dyDescent="0.3">
      <c r="A447" s="15" t="s">
        <v>1275</v>
      </c>
      <c r="F447">
        <v>2.872987578</v>
      </c>
      <c r="T447">
        <v>7.97</v>
      </c>
    </row>
    <row r="448" spans="1:20" x14ac:dyDescent="0.3">
      <c r="A448" s="15" t="s">
        <v>1278</v>
      </c>
      <c r="F448">
        <v>6.3133655749999997</v>
      </c>
      <c r="T448">
        <v>7.994241658</v>
      </c>
    </row>
    <row r="449" spans="1:20" x14ac:dyDescent="0.3">
      <c r="A449" s="15" t="s">
        <v>1280</v>
      </c>
      <c r="F449">
        <v>3.393167032</v>
      </c>
      <c r="T449">
        <v>8.01</v>
      </c>
    </row>
    <row r="450" spans="1:20" x14ac:dyDescent="0.3">
      <c r="A450" s="15" t="s">
        <v>1282</v>
      </c>
      <c r="J450">
        <v>2.4463352700000001</v>
      </c>
      <c r="T450">
        <v>8.02</v>
      </c>
    </row>
    <row r="451" spans="1:20" x14ac:dyDescent="0.3">
      <c r="A451" s="15" t="s">
        <v>1284</v>
      </c>
      <c r="J451">
        <v>4.0708941650000003</v>
      </c>
      <c r="T451">
        <v>8.0399999999999991</v>
      </c>
    </row>
    <row r="452" spans="1:20" x14ac:dyDescent="0.3">
      <c r="A452" s="15" t="s">
        <v>1288</v>
      </c>
      <c r="J452">
        <v>3.7908441449999999</v>
      </c>
      <c r="T452">
        <v>8.0410906050000008</v>
      </c>
    </row>
    <row r="453" spans="1:20" x14ac:dyDescent="0.3">
      <c r="A453" s="15" t="s">
        <v>1291</v>
      </c>
      <c r="J453">
        <v>5.8257987179999997</v>
      </c>
      <c r="T453">
        <v>8.07</v>
      </c>
    </row>
    <row r="454" spans="1:20" x14ac:dyDescent="0.3">
      <c r="A454" s="15" t="s">
        <v>1294</v>
      </c>
      <c r="J454">
        <v>4.4847655980000001</v>
      </c>
      <c r="T454">
        <v>8.0773019569999995</v>
      </c>
    </row>
    <row r="455" spans="1:20" x14ac:dyDescent="0.3">
      <c r="A455" s="15" t="s">
        <v>1296</v>
      </c>
      <c r="J455">
        <v>5.5135055639999999</v>
      </c>
      <c r="T455">
        <v>8.0870056760000004</v>
      </c>
    </row>
    <row r="456" spans="1:20" x14ac:dyDescent="0.3">
      <c r="A456" s="15" t="s">
        <v>1299</v>
      </c>
      <c r="J456">
        <v>6.7868982740000003</v>
      </c>
      <c r="T456">
        <v>8.0899080800000007</v>
      </c>
    </row>
    <row r="457" spans="1:20" x14ac:dyDescent="0.3">
      <c r="A457" s="15" t="s">
        <v>1301</v>
      </c>
      <c r="J457">
        <v>8.5965912400000004</v>
      </c>
      <c r="T457">
        <v>8.09</v>
      </c>
    </row>
    <row r="458" spans="1:20" x14ac:dyDescent="0.3">
      <c r="A458" s="15" t="s">
        <v>1304</v>
      </c>
      <c r="J458">
        <v>7.4047104499999996</v>
      </c>
      <c r="T458">
        <v>8.1267451620000006</v>
      </c>
    </row>
    <row r="459" spans="1:20" x14ac:dyDescent="0.3">
      <c r="A459" s="15" t="s">
        <v>1306</v>
      </c>
      <c r="J459">
        <v>6.6752287639999999</v>
      </c>
      <c r="T459">
        <v>8.16</v>
      </c>
    </row>
    <row r="460" spans="1:20" x14ac:dyDescent="0.3">
      <c r="A460" s="15" t="s">
        <v>2739</v>
      </c>
      <c r="J460">
        <v>6.6481148829999999</v>
      </c>
      <c r="T460">
        <v>8.1884790610000007</v>
      </c>
    </row>
    <row r="461" spans="1:20" x14ac:dyDescent="0.3">
      <c r="A461" s="15" t="s">
        <v>1312</v>
      </c>
      <c r="G461">
        <v>5.860929574</v>
      </c>
      <c r="T461">
        <v>8.1999999999999993</v>
      </c>
    </row>
    <row r="462" spans="1:20" x14ac:dyDescent="0.3">
      <c r="A462" s="15" t="s">
        <v>1316</v>
      </c>
      <c r="J462">
        <v>3.800112435</v>
      </c>
      <c r="T462">
        <v>8.2100000000000009</v>
      </c>
    </row>
    <row r="463" spans="1:20" x14ac:dyDescent="0.3">
      <c r="A463" s="15" t="s">
        <v>1319</v>
      </c>
      <c r="J463">
        <v>7.8065244859999998</v>
      </c>
      <c r="T463">
        <v>8.2317117880000001</v>
      </c>
    </row>
    <row r="464" spans="1:20" x14ac:dyDescent="0.3">
      <c r="A464" s="15" t="s">
        <v>1322</v>
      </c>
      <c r="J464">
        <v>5.6928632779999999</v>
      </c>
      <c r="T464">
        <v>8.24</v>
      </c>
    </row>
    <row r="465" spans="1:20" x14ac:dyDescent="0.3">
      <c r="A465" s="15" t="s">
        <v>1325</v>
      </c>
      <c r="J465">
        <v>1.547400069</v>
      </c>
      <c r="T465">
        <v>8.2654915150000008</v>
      </c>
    </row>
    <row r="466" spans="1:20" x14ac:dyDescent="0.3">
      <c r="A466" s="15" t="s">
        <v>1327</v>
      </c>
      <c r="J466">
        <v>7.3255839299999996</v>
      </c>
      <c r="T466">
        <v>8.2694332910000004</v>
      </c>
    </row>
    <row r="467" spans="1:20" x14ac:dyDescent="0.3">
      <c r="A467" s="15" t="s">
        <v>1329</v>
      </c>
      <c r="J467">
        <v>3.3966480020000001</v>
      </c>
      <c r="T467">
        <v>8.2939478090000005</v>
      </c>
    </row>
    <row r="468" spans="1:20" x14ac:dyDescent="0.3">
      <c r="A468" s="15" t="s">
        <v>1331</v>
      </c>
      <c r="J468">
        <v>6.9293376110000002</v>
      </c>
      <c r="T468">
        <v>8.2968314440000004</v>
      </c>
    </row>
    <row r="469" spans="1:20" x14ac:dyDescent="0.3">
      <c r="A469" s="15" t="s">
        <v>1333</v>
      </c>
      <c r="F469">
        <v>1.433289115</v>
      </c>
      <c r="T469">
        <v>8.3000000000000007</v>
      </c>
    </row>
    <row r="470" spans="1:20" x14ac:dyDescent="0.3">
      <c r="A470" s="15" t="s">
        <v>1336</v>
      </c>
      <c r="F470">
        <v>3.1352992230000001</v>
      </c>
      <c r="T470">
        <v>8.350550557</v>
      </c>
    </row>
    <row r="471" spans="1:20" x14ac:dyDescent="0.3">
      <c r="A471" s="15" t="s">
        <v>1339</v>
      </c>
      <c r="F471">
        <v>6.6429678399999998</v>
      </c>
      <c r="T471">
        <v>8.3733465309999993</v>
      </c>
    </row>
    <row r="472" spans="1:20" x14ac:dyDescent="0.3">
      <c r="A472" s="15" t="s">
        <v>1343</v>
      </c>
      <c r="F472">
        <v>5.2781259159999996</v>
      </c>
      <c r="T472">
        <v>8.4124316369999992</v>
      </c>
    </row>
    <row r="473" spans="1:20" x14ac:dyDescent="0.3">
      <c r="A473" s="15" t="s">
        <v>1346</v>
      </c>
      <c r="G473">
        <v>8.1074579090000007</v>
      </c>
      <c r="T473">
        <v>8.4600000000000009</v>
      </c>
    </row>
    <row r="474" spans="1:20" x14ac:dyDescent="0.3">
      <c r="A474" s="15" t="s">
        <v>1349</v>
      </c>
      <c r="F474">
        <v>0.40681997800000003</v>
      </c>
      <c r="T474">
        <v>8.4768643539999999</v>
      </c>
    </row>
    <row r="475" spans="1:20" x14ac:dyDescent="0.3">
      <c r="A475" s="15" t="s">
        <v>1351</v>
      </c>
      <c r="I475">
        <v>4.4885053389999996</v>
      </c>
      <c r="T475">
        <v>8.5218273240000002</v>
      </c>
    </row>
    <row r="476" spans="1:20" x14ac:dyDescent="0.3">
      <c r="A476" s="15" t="s">
        <v>1354</v>
      </c>
      <c r="G476">
        <v>4.1153342579999999</v>
      </c>
      <c r="T476">
        <v>8.5232636609999997</v>
      </c>
    </row>
    <row r="477" spans="1:20" x14ac:dyDescent="0.3">
      <c r="A477" s="15" t="s">
        <v>1357</v>
      </c>
      <c r="G477">
        <v>5.7539430449999998</v>
      </c>
      <c r="T477">
        <v>8.5965912400000004</v>
      </c>
    </row>
    <row r="478" spans="1:20" x14ac:dyDescent="0.3">
      <c r="A478" s="15" t="s">
        <v>1360</v>
      </c>
      <c r="G478">
        <v>6.7289763999999996</v>
      </c>
      <c r="T478">
        <v>8.6199999999999992</v>
      </c>
    </row>
    <row r="479" spans="1:20" x14ac:dyDescent="0.3">
      <c r="A479" s="15" t="s">
        <v>1363</v>
      </c>
      <c r="G479">
        <v>4.515502991</v>
      </c>
      <c r="T479">
        <v>8.7277832340000003</v>
      </c>
    </row>
    <row r="480" spans="1:20" x14ac:dyDescent="0.3">
      <c r="A480" s="15" t="s">
        <v>1365</v>
      </c>
      <c r="G480">
        <v>7.0451623860000003</v>
      </c>
      <c r="T480">
        <v>8.74</v>
      </c>
    </row>
    <row r="481" spans="1:20" x14ac:dyDescent="0.3">
      <c r="A481" s="15" t="s">
        <v>1366</v>
      </c>
      <c r="G481">
        <v>4.5743700990000002</v>
      </c>
      <c r="T481">
        <v>8.7866986669999996</v>
      </c>
    </row>
    <row r="482" spans="1:20" x14ac:dyDescent="0.3">
      <c r="A482" s="15" t="s">
        <v>1368</v>
      </c>
      <c r="G482">
        <v>5.7855787210000003</v>
      </c>
      <c r="T482">
        <v>8.8000000000000007</v>
      </c>
    </row>
    <row r="483" spans="1:20" x14ac:dyDescent="0.3">
      <c r="A483" s="15" t="s">
        <v>1371</v>
      </c>
      <c r="G483">
        <v>7.7614681299999999</v>
      </c>
      <c r="T483">
        <v>8.8315914969999998</v>
      </c>
    </row>
    <row r="484" spans="1:20" x14ac:dyDescent="0.3">
      <c r="A484" s="15" t="s">
        <v>1374</v>
      </c>
      <c r="G484">
        <v>6.1037358299999998</v>
      </c>
      <c r="T484">
        <v>8.8438989180000007</v>
      </c>
    </row>
    <row r="485" spans="1:20" x14ac:dyDescent="0.3">
      <c r="A485" s="15" t="s">
        <v>1376</v>
      </c>
      <c r="G485">
        <v>5.0935032119999999</v>
      </c>
      <c r="T485">
        <v>8.8688167789999994</v>
      </c>
    </row>
    <row r="486" spans="1:20" x14ac:dyDescent="0.3">
      <c r="A486" s="15" t="s">
        <v>1378</v>
      </c>
      <c r="G486">
        <v>6.0193783420000004</v>
      </c>
      <c r="T486">
        <v>8.8799989149999998</v>
      </c>
    </row>
    <row r="487" spans="1:20" x14ac:dyDescent="0.3">
      <c r="A487" s="15" t="s">
        <v>1382</v>
      </c>
      <c r="G487">
        <v>8.259712232</v>
      </c>
      <c r="T487">
        <v>8.89</v>
      </c>
    </row>
    <row r="488" spans="1:20" x14ac:dyDescent="0.3">
      <c r="A488" s="15" t="s">
        <v>1385</v>
      </c>
      <c r="J488">
        <v>4.6810544759999999</v>
      </c>
      <c r="T488">
        <v>8.9286055609999995</v>
      </c>
    </row>
    <row r="489" spans="1:20" x14ac:dyDescent="0.3">
      <c r="A489" s="15" t="s">
        <v>1389</v>
      </c>
      <c r="J489">
        <v>3.9561567200000001</v>
      </c>
      <c r="T489">
        <v>9</v>
      </c>
    </row>
    <row r="490" spans="1:20" x14ac:dyDescent="0.3">
      <c r="A490" s="15" t="s">
        <v>1391</v>
      </c>
      <c r="J490">
        <v>7.994241658</v>
      </c>
      <c r="T490">
        <v>9.0399999999999991</v>
      </c>
    </row>
    <row r="491" spans="1:20" x14ac:dyDescent="0.3">
      <c r="A491" s="15" t="s">
        <v>1393</v>
      </c>
      <c r="J491">
        <v>6.8421287450000001</v>
      </c>
      <c r="T491">
        <v>9.2752528999999999</v>
      </c>
    </row>
    <row r="492" spans="1:20" x14ac:dyDescent="0.3">
      <c r="A492" s="15" t="s">
        <v>1396</v>
      </c>
      <c r="J492">
        <v>6.4250723839999999</v>
      </c>
      <c r="T492">
        <v>9.4499999999999993</v>
      </c>
    </row>
    <row r="493" spans="1:20" x14ac:dyDescent="0.3">
      <c r="A493" s="15" t="s">
        <v>1399</v>
      </c>
      <c r="J493">
        <v>6.9201230760000003</v>
      </c>
      <c r="T493">
        <v>9.4546056459999992</v>
      </c>
    </row>
    <row r="494" spans="1:20" x14ac:dyDescent="0.3">
      <c r="A494" s="15" t="s">
        <v>1402</v>
      </c>
      <c r="F494">
        <v>4.6857405649999997</v>
      </c>
      <c r="T494">
        <v>9.51</v>
      </c>
    </row>
    <row r="495" spans="1:20" x14ac:dyDescent="0.3">
      <c r="A495" s="15" t="s">
        <v>1405</v>
      </c>
      <c r="F495">
        <v>7.3450926489999997</v>
      </c>
      <c r="T495">
        <v>9.5568147089999993</v>
      </c>
    </row>
    <row r="496" spans="1:20" x14ac:dyDescent="0.3">
      <c r="A496" s="15" t="s">
        <v>1408</v>
      </c>
      <c r="G496">
        <v>9.0187124189999999</v>
      </c>
      <c r="T496">
        <v>9.5737913060000004</v>
      </c>
    </row>
    <row r="497" spans="1:20" x14ac:dyDescent="0.3">
      <c r="A497" s="15" t="s">
        <v>1410</v>
      </c>
      <c r="G497">
        <v>7.7058101160000003</v>
      </c>
      <c r="T497">
        <v>9.58</v>
      </c>
    </row>
    <row r="498" spans="1:20" x14ac:dyDescent="0.3">
      <c r="A498" s="15" t="s">
        <v>1411</v>
      </c>
      <c r="G498">
        <v>5.1445727290000001</v>
      </c>
      <c r="T498">
        <v>9.633780475</v>
      </c>
    </row>
    <row r="499" spans="1:20" x14ac:dyDescent="0.3">
      <c r="A499" s="15" t="s">
        <v>1413</v>
      </c>
      <c r="G499">
        <v>6.4983951089999996</v>
      </c>
      <c r="T499">
        <v>9.6999999999999993</v>
      </c>
    </row>
    <row r="500" spans="1:20" x14ac:dyDescent="0.3">
      <c r="A500" s="15" t="s">
        <v>1415</v>
      </c>
      <c r="G500">
        <v>5.3700300009999999</v>
      </c>
      <c r="T500">
        <v>9.7899999999999991</v>
      </c>
    </row>
    <row r="501" spans="1:20" x14ac:dyDescent="0.3">
      <c r="A501" s="15" t="s">
        <v>1418</v>
      </c>
      <c r="J501">
        <v>8.8000000000000007</v>
      </c>
      <c r="T501">
        <v>10.18752087</v>
      </c>
    </row>
    <row r="502" spans="1:20" x14ac:dyDescent="0.3">
      <c r="A502" s="15" t="s">
        <v>1422</v>
      </c>
      <c r="J502">
        <v>5.68</v>
      </c>
      <c r="T502">
        <v>10.207648839999999</v>
      </c>
    </row>
    <row r="503" spans="1:20" x14ac:dyDescent="0.3">
      <c r="A503" s="15" t="s">
        <v>1425</v>
      </c>
      <c r="J503">
        <v>8.09</v>
      </c>
      <c r="T503">
        <v>10.220000000000001</v>
      </c>
    </row>
    <row r="504" spans="1:20" x14ac:dyDescent="0.3">
      <c r="A504" s="15" t="s">
        <v>1426</v>
      </c>
      <c r="J504">
        <v>4.4400000000000004</v>
      </c>
      <c r="T504">
        <v>10.89504812</v>
      </c>
    </row>
    <row r="505" spans="1:20" x14ac:dyDescent="0.3">
      <c r="A505" s="15" t="s">
        <v>1428</v>
      </c>
      <c r="J505">
        <v>5.79</v>
      </c>
      <c r="T505">
        <v>11.65135905</v>
      </c>
    </row>
    <row r="506" spans="1:20" x14ac:dyDescent="0.3">
      <c r="A506" s="15" t="s">
        <v>1429</v>
      </c>
      <c r="J506">
        <v>3.83</v>
      </c>
      <c r="T506">
        <v>14.86</v>
      </c>
    </row>
    <row r="507" spans="1:20" x14ac:dyDescent="0.3">
      <c r="A507" s="15" t="s">
        <v>2685</v>
      </c>
      <c r="J507">
        <v>4</v>
      </c>
    </row>
    <row r="508" spans="1:20" x14ac:dyDescent="0.3">
      <c r="A508" s="15" t="s">
        <v>1431</v>
      </c>
      <c r="J508">
        <v>4.75</v>
      </c>
    </row>
    <row r="509" spans="1:20" x14ac:dyDescent="0.3">
      <c r="A509" s="15" t="s">
        <v>1434</v>
      </c>
      <c r="J509">
        <v>7.12</v>
      </c>
    </row>
    <row r="510" spans="1:20" x14ac:dyDescent="0.3">
      <c r="A510" s="15" t="s">
        <v>1436</v>
      </c>
      <c r="F510">
        <v>10.83</v>
      </c>
    </row>
    <row r="511" spans="1:20" x14ac:dyDescent="0.3">
      <c r="A511" s="15" t="s">
        <v>1438</v>
      </c>
      <c r="F511">
        <v>10.63</v>
      </c>
    </row>
    <row r="512" spans="1:20" x14ac:dyDescent="0.3">
      <c r="A512" s="15" t="s">
        <v>1440</v>
      </c>
      <c r="F512">
        <v>7.09</v>
      </c>
    </row>
    <row r="513" spans="1:10" x14ac:dyDescent="0.3">
      <c r="A513" s="15" t="s">
        <v>1442</v>
      </c>
      <c r="F513">
        <v>6.2</v>
      </c>
    </row>
    <row r="514" spans="1:10" x14ac:dyDescent="0.3">
      <c r="A514" s="15" t="s">
        <v>1443</v>
      </c>
      <c r="J514">
        <v>4.33</v>
      </c>
    </row>
    <row r="515" spans="1:10" x14ac:dyDescent="0.3">
      <c r="A515" s="15" t="s">
        <v>1444</v>
      </c>
      <c r="J515">
        <v>6.28</v>
      </c>
    </row>
    <row r="516" spans="1:10" x14ac:dyDescent="0.3">
      <c r="A516" s="15" t="s">
        <v>1445</v>
      </c>
      <c r="J516">
        <v>5.97</v>
      </c>
    </row>
    <row r="517" spans="1:10" x14ac:dyDescent="0.3">
      <c r="A517" s="15" t="s">
        <v>1448</v>
      </c>
      <c r="J517">
        <v>7.27</v>
      </c>
    </row>
    <row r="518" spans="1:10" x14ac:dyDescent="0.3">
      <c r="A518" s="15" t="s">
        <v>1451</v>
      </c>
      <c r="J518">
        <v>5.67</v>
      </c>
    </row>
    <row r="519" spans="1:10" x14ac:dyDescent="0.3">
      <c r="A519" s="15" t="s">
        <v>1454</v>
      </c>
      <c r="J519">
        <v>2.25</v>
      </c>
    </row>
    <row r="520" spans="1:10" x14ac:dyDescent="0.3">
      <c r="A520" s="15" t="s">
        <v>1456</v>
      </c>
      <c r="J520">
        <v>7.97</v>
      </c>
    </row>
    <row r="521" spans="1:10" x14ac:dyDescent="0.3">
      <c r="A521" s="15" t="s">
        <v>1460</v>
      </c>
      <c r="J521">
        <v>5.41</v>
      </c>
    </row>
    <row r="522" spans="1:10" x14ac:dyDescent="0.3">
      <c r="A522" s="15" t="s">
        <v>1463</v>
      </c>
      <c r="J522">
        <v>5.04</v>
      </c>
    </row>
    <row r="523" spans="1:10" x14ac:dyDescent="0.3">
      <c r="A523" s="15" t="s">
        <v>1466</v>
      </c>
      <c r="J523">
        <v>5.24</v>
      </c>
    </row>
    <row r="524" spans="1:10" x14ac:dyDescent="0.3">
      <c r="A524" s="15" t="s">
        <v>1468</v>
      </c>
      <c r="J524">
        <v>3.54</v>
      </c>
    </row>
    <row r="525" spans="1:10" x14ac:dyDescent="0.3">
      <c r="A525" s="15" t="s">
        <v>1471</v>
      </c>
      <c r="J525">
        <v>5.76</v>
      </c>
    </row>
    <row r="526" spans="1:10" x14ac:dyDescent="0.3">
      <c r="A526" s="15" t="s">
        <v>1475</v>
      </c>
      <c r="J526">
        <v>9.6999999999999993</v>
      </c>
    </row>
    <row r="527" spans="1:10" x14ac:dyDescent="0.3">
      <c r="A527" s="15" t="s">
        <v>1477</v>
      </c>
      <c r="J527">
        <v>5.38</v>
      </c>
    </row>
    <row r="528" spans="1:10" x14ac:dyDescent="0.3">
      <c r="A528" s="15" t="s">
        <v>1480</v>
      </c>
      <c r="J528">
        <v>5.01</v>
      </c>
    </row>
    <row r="529" spans="1:10" x14ac:dyDescent="0.3">
      <c r="A529" s="15" t="s">
        <v>1483</v>
      </c>
      <c r="J529">
        <v>7.86</v>
      </c>
    </row>
    <row r="530" spans="1:10" x14ac:dyDescent="0.3">
      <c r="A530" s="15" t="s">
        <v>1486</v>
      </c>
      <c r="F530">
        <v>7.76</v>
      </c>
    </row>
    <row r="531" spans="1:10" x14ac:dyDescent="0.3">
      <c r="A531" s="15" t="s">
        <v>1491</v>
      </c>
      <c r="F531">
        <v>6.26</v>
      </c>
    </row>
    <row r="532" spans="1:10" x14ac:dyDescent="0.3">
      <c r="A532" s="15" t="s">
        <v>1496</v>
      </c>
      <c r="F532">
        <v>4.62</v>
      </c>
    </row>
    <row r="533" spans="1:10" x14ac:dyDescent="0.3">
      <c r="A533" s="15" t="s">
        <v>1498</v>
      </c>
      <c r="F533">
        <v>4.1500000000000004</v>
      </c>
    </row>
    <row r="534" spans="1:10" x14ac:dyDescent="0.3">
      <c r="A534" s="15" t="s">
        <v>1502</v>
      </c>
      <c r="F534">
        <v>7.16</v>
      </c>
    </row>
    <row r="535" spans="1:10" x14ac:dyDescent="0.3">
      <c r="A535" s="15" t="s">
        <v>1504</v>
      </c>
      <c r="F535">
        <v>3.78</v>
      </c>
    </row>
    <row r="536" spans="1:10" x14ac:dyDescent="0.3">
      <c r="A536" s="15" t="s">
        <v>1506</v>
      </c>
      <c r="J536">
        <v>5.36</v>
      </c>
    </row>
    <row r="537" spans="1:10" x14ac:dyDescent="0.3">
      <c r="A537" s="15" t="s">
        <v>1509</v>
      </c>
      <c r="J537">
        <v>9.7899999999999991</v>
      </c>
    </row>
    <row r="538" spans="1:10" x14ac:dyDescent="0.3">
      <c r="A538" s="15" t="s">
        <v>1512</v>
      </c>
      <c r="J538">
        <v>7.34</v>
      </c>
    </row>
    <row r="539" spans="1:10" x14ac:dyDescent="0.3">
      <c r="A539" s="15" t="s">
        <v>1514</v>
      </c>
      <c r="J539">
        <v>6.44</v>
      </c>
    </row>
    <row r="540" spans="1:10" x14ac:dyDescent="0.3">
      <c r="A540" s="15" t="s">
        <v>1515</v>
      </c>
      <c r="J540">
        <v>9.0399999999999991</v>
      </c>
    </row>
    <row r="541" spans="1:10" x14ac:dyDescent="0.3">
      <c r="A541" s="15" t="s">
        <v>1516</v>
      </c>
      <c r="J541">
        <v>5.64</v>
      </c>
    </row>
    <row r="542" spans="1:10" x14ac:dyDescent="0.3">
      <c r="A542" s="15" t="s">
        <v>1518</v>
      </c>
      <c r="J542">
        <v>6.96</v>
      </c>
    </row>
    <row r="543" spans="1:10" x14ac:dyDescent="0.3">
      <c r="A543" s="15" t="s">
        <v>1520</v>
      </c>
      <c r="J543">
        <v>5.48</v>
      </c>
    </row>
    <row r="544" spans="1:10" x14ac:dyDescent="0.3">
      <c r="A544" s="15" t="s">
        <v>1522</v>
      </c>
      <c r="J544">
        <v>5.81</v>
      </c>
    </row>
    <row r="545" spans="1:10" x14ac:dyDescent="0.3">
      <c r="A545" s="15" t="s">
        <v>1524</v>
      </c>
      <c r="J545">
        <v>6.35</v>
      </c>
    </row>
    <row r="546" spans="1:10" x14ac:dyDescent="0.3">
      <c r="A546" s="15" t="s">
        <v>1525</v>
      </c>
      <c r="J546">
        <v>1.06</v>
      </c>
    </row>
    <row r="547" spans="1:10" x14ac:dyDescent="0.3">
      <c r="A547" s="15" t="s">
        <v>1527</v>
      </c>
      <c r="J547">
        <v>5.82</v>
      </c>
    </row>
    <row r="548" spans="1:10" x14ac:dyDescent="0.3">
      <c r="A548" s="15" t="s">
        <v>1529</v>
      </c>
      <c r="J548">
        <v>8.02</v>
      </c>
    </row>
    <row r="549" spans="1:10" x14ac:dyDescent="0.3">
      <c r="A549" s="15" t="s">
        <v>1532</v>
      </c>
      <c r="J549">
        <v>8.01</v>
      </c>
    </row>
    <row r="550" spans="1:10" x14ac:dyDescent="0.3">
      <c r="A550" s="15" t="s">
        <v>1536</v>
      </c>
      <c r="J550">
        <v>5.21</v>
      </c>
    </row>
    <row r="551" spans="1:10" x14ac:dyDescent="0.3">
      <c r="A551" s="15" t="s">
        <v>1538</v>
      </c>
      <c r="J551">
        <v>4.05</v>
      </c>
    </row>
    <row r="552" spans="1:10" x14ac:dyDescent="0.3">
      <c r="A552" s="15" t="s">
        <v>1540</v>
      </c>
      <c r="J552">
        <v>8.6199999999999992</v>
      </c>
    </row>
    <row r="553" spans="1:10" x14ac:dyDescent="0.3">
      <c r="A553" s="15" t="s">
        <v>1543</v>
      </c>
      <c r="J553">
        <v>9.4499999999999993</v>
      </c>
    </row>
    <row r="554" spans="1:10" x14ac:dyDescent="0.3">
      <c r="A554" s="15" t="s">
        <v>1546</v>
      </c>
      <c r="J554">
        <v>2.79</v>
      </c>
    </row>
    <row r="555" spans="1:10" x14ac:dyDescent="0.3">
      <c r="A555" s="15" t="s">
        <v>1549</v>
      </c>
      <c r="I555">
        <v>7.66</v>
      </c>
    </row>
    <row r="556" spans="1:10" x14ac:dyDescent="0.3">
      <c r="A556" s="15" t="s">
        <v>1552</v>
      </c>
      <c r="J556">
        <v>7.96</v>
      </c>
    </row>
    <row r="557" spans="1:10" x14ac:dyDescent="0.3">
      <c r="A557" s="15" t="s">
        <v>1556</v>
      </c>
      <c r="J557">
        <v>5.7</v>
      </c>
    </row>
    <row r="558" spans="1:10" x14ac:dyDescent="0.3">
      <c r="A558" s="15" t="s">
        <v>1558</v>
      </c>
      <c r="H558">
        <v>5.9</v>
      </c>
    </row>
    <row r="559" spans="1:10" x14ac:dyDescent="0.3">
      <c r="A559" s="15" t="s">
        <v>1562</v>
      </c>
      <c r="I559">
        <v>5.39</v>
      </c>
    </row>
    <row r="560" spans="1:10" x14ac:dyDescent="0.3">
      <c r="A560" s="15" t="s">
        <v>1566</v>
      </c>
      <c r="I560">
        <v>7.66</v>
      </c>
    </row>
    <row r="561" spans="1:10" x14ac:dyDescent="0.3">
      <c r="A561" s="15" t="s">
        <v>1570</v>
      </c>
      <c r="G561">
        <v>-2.38</v>
      </c>
    </row>
    <row r="562" spans="1:10" x14ac:dyDescent="0.3">
      <c r="A562" s="15" t="s">
        <v>1574</v>
      </c>
      <c r="G562">
        <v>7.36</v>
      </c>
    </row>
    <row r="563" spans="1:10" x14ac:dyDescent="0.3">
      <c r="A563" s="15" t="s">
        <v>1577</v>
      </c>
      <c r="G563">
        <v>6.24</v>
      </c>
    </row>
    <row r="564" spans="1:10" x14ac:dyDescent="0.3">
      <c r="A564" s="15" t="s">
        <v>1579</v>
      </c>
      <c r="G564">
        <v>6.63</v>
      </c>
    </row>
    <row r="565" spans="1:10" x14ac:dyDescent="0.3">
      <c r="A565" s="15" t="s">
        <v>1582</v>
      </c>
      <c r="I565">
        <v>5.93</v>
      </c>
    </row>
    <row r="566" spans="1:10" x14ac:dyDescent="0.3">
      <c r="A566" s="15" t="s">
        <v>1587</v>
      </c>
      <c r="G566">
        <v>7.23</v>
      </c>
    </row>
    <row r="567" spans="1:10" x14ac:dyDescent="0.3">
      <c r="A567" s="15" t="s">
        <v>2684</v>
      </c>
      <c r="G567">
        <v>5.16</v>
      </c>
    </row>
    <row r="568" spans="1:10" x14ac:dyDescent="0.3">
      <c r="A568" s="15" t="s">
        <v>1589</v>
      </c>
      <c r="J568">
        <v>2.09</v>
      </c>
    </row>
    <row r="569" spans="1:10" x14ac:dyDescent="0.3">
      <c r="A569" s="15" t="s">
        <v>1592</v>
      </c>
      <c r="J569">
        <v>6.94</v>
      </c>
    </row>
    <row r="570" spans="1:10" x14ac:dyDescent="0.3">
      <c r="A570" s="15" t="s">
        <v>1595</v>
      </c>
      <c r="J570">
        <v>4.58</v>
      </c>
    </row>
    <row r="571" spans="1:10" x14ac:dyDescent="0.3">
      <c r="A571" s="15" t="s">
        <v>1597</v>
      </c>
      <c r="J571">
        <v>7.31</v>
      </c>
    </row>
    <row r="572" spans="1:10" x14ac:dyDescent="0.3">
      <c r="A572" s="15" t="s">
        <v>1600</v>
      </c>
      <c r="J572">
        <v>5.9535</v>
      </c>
    </row>
    <row r="573" spans="1:10" x14ac:dyDescent="0.3">
      <c r="A573" s="15" t="s">
        <v>1602</v>
      </c>
      <c r="J573">
        <v>4.1900000000000004</v>
      </c>
    </row>
    <row r="574" spans="1:10" x14ac:dyDescent="0.3">
      <c r="A574" s="15" t="s">
        <v>1604</v>
      </c>
      <c r="G574">
        <v>4.8099999999999996</v>
      </c>
    </row>
    <row r="575" spans="1:10" x14ac:dyDescent="0.3">
      <c r="A575" s="15" t="s">
        <v>1607</v>
      </c>
      <c r="J575">
        <v>5.24</v>
      </c>
    </row>
    <row r="576" spans="1:10" x14ac:dyDescent="0.3">
      <c r="A576" s="15" t="s">
        <v>1609</v>
      </c>
      <c r="J576">
        <v>6.97</v>
      </c>
    </row>
    <row r="577" spans="1:10" x14ac:dyDescent="0.3">
      <c r="A577" s="15" t="s">
        <v>1611</v>
      </c>
      <c r="J577">
        <v>4.0599999999999996</v>
      </c>
    </row>
    <row r="578" spans="1:10" x14ac:dyDescent="0.3">
      <c r="A578" s="15" t="s">
        <v>1614</v>
      </c>
      <c r="J578">
        <v>2.21</v>
      </c>
    </row>
    <row r="579" spans="1:10" x14ac:dyDescent="0.3">
      <c r="A579" s="15" t="s">
        <v>1616</v>
      </c>
      <c r="J579">
        <v>5.83</v>
      </c>
    </row>
    <row r="580" spans="1:10" x14ac:dyDescent="0.3">
      <c r="A580" s="15" t="s">
        <v>1618</v>
      </c>
      <c r="J580">
        <v>5.03</v>
      </c>
    </row>
    <row r="581" spans="1:10" x14ac:dyDescent="0.3">
      <c r="A581" s="15" t="s">
        <v>1620</v>
      </c>
      <c r="J581">
        <v>3.39</v>
      </c>
    </row>
    <row r="582" spans="1:10" x14ac:dyDescent="0.3">
      <c r="A582" s="15" t="s">
        <v>1622</v>
      </c>
      <c r="J582">
        <v>8.1999999999999993</v>
      </c>
    </row>
    <row r="583" spans="1:10" x14ac:dyDescent="0.3">
      <c r="A583" s="15" t="s">
        <v>1624</v>
      </c>
      <c r="J583">
        <v>7.58</v>
      </c>
    </row>
    <row r="584" spans="1:10" x14ac:dyDescent="0.3">
      <c r="A584" s="15" t="s">
        <v>1626</v>
      </c>
      <c r="J584">
        <v>5.58</v>
      </c>
    </row>
    <row r="585" spans="1:10" x14ac:dyDescent="0.3">
      <c r="A585" s="15" t="s">
        <v>1628</v>
      </c>
      <c r="J585">
        <v>3.56</v>
      </c>
    </row>
    <row r="586" spans="1:10" x14ac:dyDescent="0.3">
      <c r="A586" s="15" t="s">
        <v>1630</v>
      </c>
      <c r="J586">
        <v>5.16</v>
      </c>
    </row>
    <row r="587" spans="1:10" x14ac:dyDescent="0.3">
      <c r="A587" s="15" t="s">
        <v>1632</v>
      </c>
      <c r="J587">
        <v>6.76</v>
      </c>
    </row>
    <row r="588" spans="1:10" x14ac:dyDescent="0.3">
      <c r="A588" s="15" t="s">
        <v>1634</v>
      </c>
      <c r="J588">
        <v>4.13</v>
      </c>
    </row>
    <row r="589" spans="1:10" x14ac:dyDescent="0.3">
      <c r="A589" s="15" t="s">
        <v>1637</v>
      </c>
      <c r="J589">
        <v>6.57</v>
      </c>
    </row>
    <row r="590" spans="1:10" x14ac:dyDescent="0.3">
      <c r="A590" s="15" t="s">
        <v>1639</v>
      </c>
      <c r="J590">
        <v>5.66</v>
      </c>
    </row>
    <row r="591" spans="1:10" x14ac:dyDescent="0.3">
      <c r="A591" s="15" t="s">
        <v>1640</v>
      </c>
      <c r="J591">
        <v>4.16</v>
      </c>
    </row>
    <row r="592" spans="1:10" x14ac:dyDescent="0.3">
      <c r="A592" s="15" t="s">
        <v>1642</v>
      </c>
      <c r="J592">
        <v>6.99</v>
      </c>
    </row>
    <row r="593" spans="1:10" x14ac:dyDescent="0.3">
      <c r="A593" s="15" t="s">
        <v>1643</v>
      </c>
      <c r="J593">
        <v>4.01</v>
      </c>
    </row>
    <row r="594" spans="1:10" x14ac:dyDescent="0.3">
      <c r="A594" s="15" t="s">
        <v>1644</v>
      </c>
      <c r="J594">
        <v>6.32</v>
      </c>
    </row>
    <row r="595" spans="1:10" x14ac:dyDescent="0.3">
      <c r="A595" s="15" t="s">
        <v>1645</v>
      </c>
      <c r="J595">
        <v>6.65</v>
      </c>
    </row>
    <row r="596" spans="1:10" x14ac:dyDescent="0.3">
      <c r="A596" s="15" t="s">
        <v>1646</v>
      </c>
      <c r="J596">
        <v>8.24</v>
      </c>
    </row>
    <row r="597" spans="1:10" x14ac:dyDescent="0.3">
      <c r="A597" s="15" t="s">
        <v>1648</v>
      </c>
      <c r="J597">
        <v>5.1100000000000003</v>
      </c>
    </row>
    <row r="598" spans="1:10" x14ac:dyDescent="0.3">
      <c r="A598" s="15" t="s">
        <v>1650</v>
      </c>
      <c r="J598">
        <v>6.34</v>
      </c>
    </row>
    <row r="599" spans="1:10" x14ac:dyDescent="0.3">
      <c r="A599" s="15" t="s">
        <v>1652</v>
      </c>
      <c r="J599">
        <v>7.26</v>
      </c>
    </row>
    <row r="600" spans="1:10" x14ac:dyDescent="0.3">
      <c r="A600" s="15" t="s">
        <v>1654</v>
      </c>
      <c r="J600">
        <v>3.89</v>
      </c>
    </row>
    <row r="601" spans="1:10" x14ac:dyDescent="0.3">
      <c r="A601" s="15" t="s">
        <v>1656</v>
      </c>
      <c r="J601">
        <v>2.89</v>
      </c>
    </row>
    <row r="602" spans="1:10" x14ac:dyDescent="0.3">
      <c r="A602" s="15" t="s">
        <v>1658</v>
      </c>
      <c r="J602">
        <v>1.75</v>
      </c>
    </row>
    <row r="603" spans="1:10" x14ac:dyDescent="0.3">
      <c r="A603" s="15" t="s">
        <v>1660</v>
      </c>
      <c r="J603">
        <v>3.93</v>
      </c>
    </row>
    <row r="604" spans="1:10" x14ac:dyDescent="0.3">
      <c r="A604" s="15" t="s">
        <v>1662</v>
      </c>
      <c r="J604">
        <v>4.9800000000000004</v>
      </c>
    </row>
    <row r="605" spans="1:10" x14ac:dyDescent="0.3">
      <c r="A605" s="15" t="s">
        <v>1664</v>
      </c>
      <c r="J605">
        <v>3.73</v>
      </c>
    </row>
    <row r="606" spans="1:10" x14ac:dyDescent="0.3">
      <c r="A606" s="15" t="s">
        <v>1667</v>
      </c>
      <c r="J606">
        <v>6.58</v>
      </c>
    </row>
    <row r="607" spans="1:10" x14ac:dyDescent="0.3">
      <c r="A607" s="15" t="s">
        <v>1668</v>
      </c>
      <c r="J607">
        <v>5.22</v>
      </c>
    </row>
    <row r="608" spans="1:10" x14ac:dyDescent="0.3">
      <c r="A608" s="15" t="s">
        <v>1671</v>
      </c>
      <c r="J608">
        <v>9</v>
      </c>
    </row>
    <row r="609" spans="1:10" x14ac:dyDescent="0.3">
      <c r="A609" s="15" t="s">
        <v>1672</v>
      </c>
      <c r="J609">
        <v>4.1500000000000004</v>
      </c>
    </row>
    <row r="610" spans="1:10" x14ac:dyDescent="0.3">
      <c r="A610" s="15" t="s">
        <v>1673</v>
      </c>
      <c r="J610">
        <v>6.31</v>
      </c>
    </row>
    <row r="611" spans="1:10" x14ac:dyDescent="0.3">
      <c r="A611" s="15" t="s">
        <v>1674</v>
      </c>
      <c r="J611">
        <v>6.19</v>
      </c>
    </row>
    <row r="612" spans="1:10" x14ac:dyDescent="0.3">
      <c r="A612" s="15" t="s">
        <v>1675</v>
      </c>
      <c r="J612">
        <v>3.58</v>
      </c>
    </row>
    <row r="613" spans="1:10" x14ac:dyDescent="0.3">
      <c r="A613" s="15" t="s">
        <v>1676</v>
      </c>
      <c r="J613">
        <v>5.7</v>
      </c>
    </row>
    <row r="614" spans="1:10" x14ac:dyDescent="0.3">
      <c r="A614" s="15" t="s">
        <v>1678</v>
      </c>
      <c r="J614">
        <v>6.8</v>
      </c>
    </row>
    <row r="615" spans="1:10" x14ac:dyDescent="0.3">
      <c r="A615" s="15" t="s">
        <v>1680</v>
      </c>
      <c r="J615">
        <v>7.97</v>
      </c>
    </row>
    <row r="616" spans="1:10" x14ac:dyDescent="0.3">
      <c r="A616" s="15" t="s">
        <v>1683</v>
      </c>
      <c r="J616">
        <v>8.4600000000000009</v>
      </c>
    </row>
    <row r="617" spans="1:10" x14ac:dyDescent="0.3">
      <c r="A617" s="15" t="s">
        <v>1684</v>
      </c>
      <c r="J617">
        <v>4.82</v>
      </c>
    </row>
    <row r="618" spans="1:10" x14ac:dyDescent="0.3">
      <c r="A618" s="15" t="s">
        <v>1685</v>
      </c>
      <c r="J618">
        <v>6.1</v>
      </c>
    </row>
    <row r="619" spans="1:10" x14ac:dyDescent="0.3">
      <c r="A619" s="15" t="s">
        <v>1687</v>
      </c>
      <c r="J619">
        <v>6.07</v>
      </c>
    </row>
    <row r="620" spans="1:10" x14ac:dyDescent="0.3">
      <c r="A620" s="15" t="s">
        <v>1689</v>
      </c>
      <c r="J620">
        <v>4.13</v>
      </c>
    </row>
    <row r="621" spans="1:10" x14ac:dyDescent="0.3">
      <c r="A621" s="15" t="s">
        <v>1691</v>
      </c>
      <c r="J621">
        <v>6.04</v>
      </c>
    </row>
    <row r="622" spans="1:10" x14ac:dyDescent="0.3">
      <c r="A622" s="15" t="s">
        <v>1692</v>
      </c>
      <c r="J622">
        <v>5.47</v>
      </c>
    </row>
    <row r="623" spans="1:10" x14ac:dyDescent="0.3">
      <c r="A623" s="15" t="s">
        <v>1693</v>
      </c>
      <c r="J623">
        <v>6.12</v>
      </c>
    </row>
    <row r="624" spans="1:10" x14ac:dyDescent="0.3">
      <c r="A624" s="15" t="s">
        <v>1694</v>
      </c>
      <c r="J624">
        <v>5.4</v>
      </c>
    </row>
    <row r="625" spans="1:12" x14ac:dyDescent="0.3">
      <c r="A625" s="15" t="s">
        <v>1695</v>
      </c>
      <c r="J625">
        <v>2.35</v>
      </c>
    </row>
    <row r="626" spans="1:12" x14ac:dyDescent="0.3">
      <c r="A626" s="15" t="s">
        <v>1696</v>
      </c>
      <c r="J626">
        <v>14.86</v>
      </c>
    </row>
    <row r="627" spans="1:12" x14ac:dyDescent="0.3">
      <c r="A627" s="15" t="s">
        <v>1697</v>
      </c>
      <c r="J627">
        <v>4.7699999999999996</v>
      </c>
    </row>
    <row r="628" spans="1:12" x14ac:dyDescent="0.3">
      <c r="A628" s="15" t="s">
        <v>1699</v>
      </c>
      <c r="J628">
        <v>6.45</v>
      </c>
    </row>
    <row r="629" spans="1:12" x14ac:dyDescent="0.3">
      <c r="A629" s="15" t="s">
        <v>1700</v>
      </c>
      <c r="J629">
        <v>1.26</v>
      </c>
    </row>
    <row r="630" spans="1:12" x14ac:dyDescent="0.3">
      <c r="A630" s="15" t="s">
        <v>1701</v>
      </c>
      <c r="J630">
        <v>4.5</v>
      </c>
    </row>
    <row r="631" spans="1:12" x14ac:dyDescent="0.3">
      <c r="A631" s="15" t="s">
        <v>1704</v>
      </c>
      <c r="J631">
        <v>8.3000000000000007</v>
      </c>
    </row>
    <row r="632" spans="1:12" x14ac:dyDescent="0.3">
      <c r="A632" s="15" t="s">
        <v>1705</v>
      </c>
      <c r="J632">
        <v>7.45</v>
      </c>
    </row>
    <row r="633" spans="1:12" x14ac:dyDescent="0.3">
      <c r="A633" s="15" t="s">
        <v>1706</v>
      </c>
      <c r="J633">
        <v>7.82</v>
      </c>
    </row>
    <row r="634" spans="1:12" x14ac:dyDescent="0.3">
      <c r="A634" s="15" t="s">
        <v>1707</v>
      </c>
      <c r="J634">
        <v>8.2100000000000009</v>
      </c>
    </row>
    <row r="635" spans="1:12" x14ac:dyDescent="0.3">
      <c r="A635" s="15" t="s">
        <v>1710</v>
      </c>
      <c r="J635">
        <v>6.43</v>
      </c>
    </row>
    <row r="636" spans="1:12" x14ac:dyDescent="0.3">
      <c r="A636" s="15" t="s">
        <v>1712</v>
      </c>
      <c r="J636">
        <v>7.79</v>
      </c>
    </row>
    <row r="637" spans="1:12" x14ac:dyDescent="0.3">
      <c r="A637" s="15" t="s">
        <v>1713</v>
      </c>
      <c r="E637">
        <v>-1.37</v>
      </c>
    </row>
    <row r="638" spans="1:12" x14ac:dyDescent="0.3">
      <c r="A638" s="15" t="s">
        <v>1736</v>
      </c>
      <c r="L638">
        <v>8.31</v>
      </c>
    </row>
    <row r="639" spans="1:12" x14ac:dyDescent="0.3">
      <c r="A639" s="15" t="s">
        <v>1739</v>
      </c>
      <c r="L639">
        <v>3.3</v>
      </c>
    </row>
    <row r="640" spans="1:12" x14ac:dyDescent="0.3">
      <c r="A640" s="15" t="s">
        <v>1741</v>
      </c>
      <c r="L640">
        <v>5.68</v>
      </c>
    </row>
    <row r="641" spans="1:12" x14ac:dyDescent="0.3">
      <c r="A641" s="15" t="s">
        <v>1745</v>
      </c>
      <c r="L641">
        <v>1.91</v>
      </c>
    </row>
    <row r="642" spans="1:12" x14ac:dyDescent="0.3">
      <c r="A642" s="15" t="s">
        <v>1747</v>
      </c>
      <c r="L642">
        <v>3.81</v>
      </c>
    </row>
    <row r="643" spans="1:12" x14ac:dyDescent="0.3">
      <c r="A643" s="15" t="s">
        <v>1749</v>
      </c>
      <c r="L643">
        <v>8.77</v>
      </c>
    </row>
    <row r="644" spans="1:12" x14ac:dyDescent="0.3">
      <c r="A644" s="15" t="s">
        <v>1751</v>
      </c>
      <c r="L644">
        <v>4.55</v>
      </c>
    </row>
    <row r="645" spans="1:12" x14ac:dyDescent="0.3">
      <c r="A645" s="15" t="s">
        <v>1754</v>
      </c>
      <c r="L645">
        <v>2.75</v>
      </c>
    </row>
    <row r="646" spans="1:12" x14ac:dyDescent="0.3">
      <c r="A646" s="15" t="s">
        <v>1756</v>
      </c>
      <c r="L646">
        <v>1.0900000000000001</v>
      </c>
    </row>
    <row r="647" spans="1:12" x14ac:dyDescent="0.3">
      <c r="A647" s="15" t="s">
        <v>1758</v>
      </c>
      <c r="L647">
        <v>5.43</v>
      </c>
    </row>
    <row r="648" spans="1:12" x14ac:dyDescent="0.3">
      <c r="A648" s="15" t="s">
        <v>1760</v>
      </c>
      <c r="L648">
        <v>5.25</v>
      </c>
    </row>
    <row r="649" spans="1:12" x14ac:dyDescent="0.3">
      <c r="A649" s="15" t="s">
        <v>1762</v>
      </c>
      <c r="L649">
        <v>5.89</v>
      </c>
    </row>
    <row r="650" spans="1:12" x14ac:dyDescent="0.3">
      <c r="A650" s="15" t="s">
        <v>1765</v>
      </c>
      <c r="L650">
        <v>5.78</v>
      </c>
    </row>
    <row r="651" spans="1:12" x14ac:dyDescent="0.3">
      <c r="A651" s="15" t="s">
        <v>2188</v>
      </c>
      <c r="L651">
        <v>5.92</v>
      </c>
    </row>
    <row r="652" spans="1:12" x14ac:dyDescent="0.3">
      <c r="A652" s="15" t="s">
        <v>2190</v>
      </c>
      <c r="L652">
        <v>7.07</v>
      </c>
    </row>
    <row r="653" spans="1:12" x14ac:dyDescent="0.3">
      <c r="A653" s="15" t="s">
        <v>2193</v>
      </c>
      <c r="L653">
        <v>3.32</v>
      </c>
    </row>
    <row r="654" spans="1:12" x14ac:dyDescent="0.3">
      <c r="A654" s="15" t="s">
        <v>2196</v>
      </c>
      <c r="L654">
        <v>6.18</v>
      </c>
    </row>
    <row r="655" spans="1:12" x14ac:dyDescent="0.3">
      <c r="A655" s="15" t="s">
        <v>2198</v>
      </c>
      <c r="L655">
        <v>6.55</v>
      </c>
    </row>
    <row r="656" spans="1:12" x14ac:dyDescent="0.3">
      <c r="A656" s="15" t="s">
        <v>2201</v>
      </c>
      <c r="L656">
        <v>-1.33</v>
      </c>
    </row>
    <row r="657" spans="1:12" x14ac:dyDescent="0.3">
      <c r="A657" s="15" t="s">
        <v>2203</v>
      </c>
      <c r="L657">
        <v>4.96</v>
      </c>
    </row>
    <row r="658" spans="1:12" x14ac:dyDescent="0.3">
      <c r="A658" s="15" t="s">
        <v>2207</v>
      </c>
      <c r="L658">
        <v>1.3</v>
      </c>
    </row>
    <row r="659" spans="1:12" x14ac:dyDescent="0.3">
      <c r="A659" s="15" t="s">
        <v>2209</v>
      </c>
      <c r="L659">
        <v>6.02</v>
      </c>
    </row>
    <row r="660" spans="1:12" x14ac:dyDescent="0.3">
      <c r="A660" s="15" t="s">
        <v>2212</v>
      </c>
      <c r="L660">
        <v>4.24</v>
      </c>
    </row>
    <row r="661" spans="1:12" x14ac:dyDescent="0.3">
      <c r="A661" s="15" t="s">
        <v>2215</v>
      </c>
      <c r="L661">
        <v>4.2699999999999996</v>
      </c>
    </row>
    <row r="662" spans="1:12" x14ac:dyDescent="0.3">
      <c r="A662" s="15" t="s">
        <v>2217</v>
      </c>
      <c r="L662">
        <v>8.5299999999999994</v>
      </c>
    </row>
    <row r="663" spans="1:12" x14ac:dyDescent="0.3">
      <c r="A663" s="15" t="s">
        <v>2219</v>
      </c>
      <c r="L663">
        <v>0.19</v>
      </c>
    </row>
    <row r="664" spans="1:12" x14ac:dyDescent="0.3">
      <c r="A664" s="15" t="s">
        <v>2221</v>
      </c>
      <c r="L664">
        <v>8.01</v>
      </c>
    </row>
    <row r="665" spans="1:12" x14ac:dyDescent="0.3">
      <c r="A665" s="15" t="s">
        <v>2223</v>
      </c>
      <c r="L665">
        <v>7.76</v>
      </c>
    </row>
    <row r="666" spans="1:12" x14ac:dyDescent="0.3">
      <c r="A666" s="15" t="s">
        <v>2225</v>
      </c>
      <c r="L666">
        <v>9.16</v>
      </c>
    </row>
    <row r="667" spans="1:12" x14ac:dyDescent="0.3">
      <c r="A667" s="15" t="s">
        <v>2227</v>
      </c>
      <c r="L667">
        <v>6.65</v>
      </c>
    </row>
    <row r="668" spans="1:12" x14ac:dyDescent="0.3">
      <c r="A668" s="15" t="s">
        <v>2230</v>
      </c>
      <c r="L668">
        <v>5.14</v>
      </c>
    </row>
    <row r="669" spans="1:12" x14ac:dyDescent="0.3">
      <c r="A669" s="15" t="s">
        <v>2232</v>
      </c>
      <c r="L669">
        <v>7.25</v>
      </c>
    </row>
    <row r="670" spans="1:12" x14ac:dyDescent="0.3">
      <c r="A670" s="15" t="s">
        <v>2234</v>
      </c>
      <c r="L670">
        <v>2.95</v>
      </c>
    </row>
    <row r="671" spans="1:12" x14ac:dyDescent="0.3">
      <c r="A671" s="15" t="s">
        <v>2236</v>
      </c>
      <c r="L671">
        <v>9.56</v>
      </c>
    </row>
    <row r="672" spans="1:12" x14ac:dyDescent="0.3">
      <c r="A672" s="15" t="s">
        <v>2238</v>
      </c>
      <c r="L672">
        <v>6.99</v>
      </c>
    </row>
    <row r="673" spans="1:12" x14ac:dyDescent="0.3">
      <c r="A673" s="15" t="s">
        <v>2241</v>
      </c>
      <c r="L673">
        <v>6.27</v>
      </c>
    </row>
    <row r="674" spans="1:12" x14ac:dyDescent="0.3">
      <c r="A674" s="15" t="s">
        <v>2243</v>
      </c>
      <c r="L674">
        <v>7.1</v>
      </c>
    </row>
    <row r="675" spans="1:12" x14ac:dyDescent="0.3">
      <c r="A675" s="15" t="s">
        <v>2245</v>
      </c>
      <c r="L675">
        <v>7.21</v>
      </c>
    </row>
    <row r="676" spans="1:12" x14ac:dyDescent="0.3">
      <c r="A676" s="15" t="s">
        <v>2247</v>
      </c>
      <c r="L676">
        <v>5.29</v>
      </c>
    </row>
    <row r="677" spans="1:12" x14ac:dyDescent="0.3">
      <c r="A677" s="15" t="s">
        <v>2249</v>
      </c>
      <c r="L677">
        <v>4.3600000000000003</v>
      </c>
    </row>
    <row r="678" spans="1:12" x14ac:dyDescent="0.3">
      <c r="A678" s="15" t="s">
        <v>2251</v>
      </c>
      <c r="L678">
        <v>6.02</v>
      </c>
    </row>
    <row r="679" spans="1:12" x14ac:dyDescent="0.3">
      <c r="A679" s="15" t="s">
        <v>2253</v>
      </c>
      <c r="L679">
        <v>9.19</v>
      </c>
    </row>
    <row r="680" spans="1:12" x14ac:dyDescent="0.3">
      <c r="A680" s="15" t="s">
        <v>2255</v>
      </c>
      <c r="L680">
        <v>8.42</v>
      </c>
    </row>
    <row r="681" spans="1:12" x14ac:dyDescent="0.3">
      <c r="A681" s="15" t="s">
        <v>2257</v>
      </c>
      <c r="L681">
        <v>4.59</v>
      </c>
    </row>
    <row r="682" spans="1:12" x14ac:dyDescent="0.3">
      <c r="A682" s="15" t="s">
        <v>2259</v>
      </c>
      <c r="L682">
        <v>6.92</v>
      </c>
    </row>
    <row r="683" spans="1:12" x14ac:dyDescent="0.3">
      <c r="A683" s="15" t="s">
        <v>2261</v>
      </c>
      <c r="L683">
        <v>-1</v>
      </c>
    </row>
    <row r="684" spans="1:12" x14ac:dyDescent="0.3">
      <c r="A684" s="15" t="s">
        <v>2263</v>
      </c>
      <c r="L684">
        <v>5.13</v>
      </c>
    </row>
    <row r="685" spans="1:12" x14ac:dyDescent="0.3">
      <c r="A685" s="15" t="s">
        <v>2265</v>
      </c>
      <c r="L685">
        <v>8</v>
      </c>
    </row>
    <row r="686" spans="1:12" x14ac:dyDescent="0.3">
      <c r="A686" s="15" t="s">
        <v>2267</v>
      </c>
      <c r="L686">
        <v>8.75</v>
      </c>
    </row>
    <row r="687" spans="1:12" x14ac:dyDescent="0.3">
      <c r="A687" s="15" t="s">
        <v>2269</v>
      </c>
      <c r="L687">
        <v>5.83</v>
      </c>
    </row>
    <row r="688" spans="1:12" x14ac:dyDescent="0.3">
      <c r="A688" s="15" t="s">
        <v>2271</v>
      </c>
      <c r="L688">
        <v>5.39</v>
      </c>
    </row>
    <row r="689" spans="1:12" x14ac:dyDescent="0.3">
      <c r="A689" s="15" t="s">
        <v>2273</v>
      </c>
      <c r="L689">
        <v>4.05</v>
      </c>
    </row>
    <row r="690" spans="1:12" x14ac:dyDescent="0.3">
      <c r="A690" s="15" t="s">
        <v>2275</v>
      </c>
      <c r="L690">
        <v>7.73</v>
      </c>
    </row>
    <row r="691" spans="1:12" x14ac:dyDescent="0.3">
      <c r="A691" s="15" t="s">
        <v>2277</v>
      </c>
      <c r="L691">
        <v>5.0599999999999996</v>
      </c>
    </row>
    <row r="692" spans="1:12" x14ac:dyDescent="0.3">
      <c r="A692" s="15" t="s">
        <v>2279</v>
      </c>
      <c r="L692">
        <v>7.73</v>
      </c>
    </row>
    <row r="693" spans="1:12" x14ac:dyDescent="0.3">
      <c r="A693" s="15" t="s">
        <v>2281</v>
      </c>
      <c r="L693">
        <v>3.92</v>
      </c>
    </row>
    <row r="694" spans="1:12" x14ac:dyDescent="0.3">
      <c r="A694" s="15" t="s">
        <v>2285</v>
      </c>
      <c r="L694">
        <v>6.86</v>
      </c>
    </row>
    <row r="695" spans="1:12" x14ac:dyDescent="0.3">
      <c r="A695" s="15" t="s">
        <v>1862</v>
      </c>
      <c r="J695">
        <v>3.24</v>
      </c>
    </row>
    <row r="696" spans="1:12" x14ac:dyDescent="0.3">
      <c r="A696" s="15" t="s">
        <v>1864</v>
      </c>
      <c r="F696">
        <v>8.1999999999999993</v>
      </c>
    </row>
    <row r="697" spans="1:12" x14ac:dyDescent="0.3">
      <c r="A697" s="15" t="s">
        <v>1866</v>
      </c>
      <c r="F697">
        <v>4.51</v>
      </c>
    </row>
    <row r="698" spans="1:12" x14ac:dyDescent="0.3">
      <c r="A698" s="15" t="s">
        <v>1869</v>
      </c>
      <c r="F698">
        <v>5.36</v>
      </c>
    </row>
    <row r="699" spans="1:12" x14ac:dyDescent="0.3">
      <c r="A699" s="15" t="s">
        <v>1873</v>
      </c>
      <c r="F699">
        <v>4.57</v>
      </c>
    </row>
    <row r="700" spans="1:12" x14ac:dyDescent="0.3">
      <c r="A700" s="15" t="s">
        <v>1877</v>
      </c>
      <c r="F700">
        <v>1.55</v>
      </c>
    </row>
    <row r="701" spans="1:12" x14ac:dyDescent="0.3">
      <c r="A701" s="15" t="s">
        <v>1880</v>
      </c>
      <c r="F701">
        <v>4.63</v>
      </c>
    </row>
    <row r="702" spans="1:12" x14ac:dyDescent="0.3">
      <c r="A702" s="15" t="s">
        <v>1882</v>
      </c>
      <c r="F702">
        <v>1.88</v>
      </c>
    </row>
    <row r="703" spans="1:12" x14ac:dyDescent="0.3">
      <c r="A703" s="15" t="s">
        <v>1884</v>
      </c>
      <c r="F703">
        <v>7.63</v>
      </c>
    </row>
    <row r="704" spans="1:12" x14ac:dyDescent="0.3">
      <c r="A704" s="15" t="s">
        <v>1886</v>
      </c>
      <c r="F704">
        <v>4.24</v>
      </c>
    </row>
    <row r="705" spans="1:10" x14ac:dyDescent="0.3">
      <c r="A705" s="15" t="s">
        <v>1887</v>
      </c>
      <c r="F705">
        <v>2.78</v>
      </c>
    </row>
    <row r="706" spans="1:10" x14ac:dyDescent="0.3">
      <c r="A706" s="15" t="s">
        <v>1888</v>
      </c>
      <c r="F706">
        <v>5.48</v>
      </c>
    </row>
    <row r="707" spans="1:10" x14ac:dyDescent="0.3">
      <c r="A707" s="15" t="s">
        <v>1890</v>
      </c>
      <c r="F707">
        <v>7.58</v>
      </c>
    </row>
    <row r="708" spans="1:10" x14ac:dyDescent="0.3">
      <c r="A708" s="15" t="s">
        <v>1891</v>
      </c>
      <c r="J708">
        <v>5.26</v>
      </c>
    </row>
    <row r="709" spans="1:10" x14ac:dyDescent="0.3">
      <c r="A709" s="15" t="s">
        <v>1893</v>
      </c>
      <c r="J709">
        <v>-0.73</v>
      </c>
    </row>
    <row r="710" spans="1:10" x14ac:dyDescent="0.3">
      <c r="A710" s="15" t="s">
        <v>1895</v>
      </c>
      <c r="J710">
        <v>6.47</v>
      </c>
    </row>
    <row r="711" spans="1:10" x14ac:dyDescent="0.3">
      <c r="A711" s="15" t="s">
        <v>1899</v>
      </c>
      <c r="J711">
        <v>4.21</v>
      </c>
    </row>
    <row r="712" spans="1:10" x14ac:dyDescent="0.3">
      <c r="A712" s="15" t="s">
        <v>1901</v>
      </c>
      <c r="J712">
        <v>6.78</v>
      </c>
    </row>
    <row r="713" spans="1:10" x14ac:dyDescent="0.3">
      <c r="A713" s="15" t="s">
        <v>1902</v>
      </c>
      <c r="J713">
        <v>9.58</v>
      </c>
    </row>
    <row r="714" spans="1:10" x14ac:dyDescent="0.3">
      <c r="A714" s="15" t="s">
        <v>1903</v>
      </c>
      <c r="J714">
        <v>5.91</v>
      </c>
    </row>
    <row r="715" spans="1:10" x14ac:dyDescent="0.3">
      <c r="A715" s="15" t="s">
        <v>1904</v>
      </c>
      <c r="F715">
        <v>-0.84</v>
      </c>
    </row>
    <row r="716" spans="1:10" x14ac:dyDescent="0.3">
      <c r="A716" s="15" t="s">
        <v>1906</v>
      </c>
      <c r="F716">
        <v>1.4</v>
      </c>
    </row>
    <row r="717" spans="1:10" x14ac:dyDescent="0.3">
      <c r="A717" s="15" t="s">
        <v>1908</v>
      </c>
      <c r="F717">
        <v>3.22</v>
      </c>
    </row>
    <row r="718" spans="1:10" x14ac:dyDescent="0.3">
      <c r="A718" s="15" t="s">
        <v>1911</v>
      </c>
      <c r="F718">
        <v>1.4</v>
      </c>
    </row>
    <row r="719" spans="1:10" x14ac:dyDescent="0.3">
      <c r="A719" s="15" t="s">
        <v>1914</v>
      </c>
      <c r="J719">
        <v>-1.76</v>
      </c>
    </row>
    <row r="720" spans="1:10" x14ac:dyDescent="0.3">
      <c r="A720" s="15" t="s">
        <v>1917</v>
      </c>
      <c r="J720">
        <v>7.13</v>
      </c>
    </row>
    <row r="721" spans="1:10" x14ac:dyDescent="0.3">
      <c r="A721" s="15" t="s">
        <v>1919</v>
      </c>
      <c r="J721">
        <v>3.52</v>
      </c>
    </row>
    <row r="722" spans="1:10" x14ac:dyDescent="0.3">
      <c r="A722" s="15" t="s">
        <v>1920</v>
      </c>
      <c r="J722">
        <v>6.42</v>
      </c>
    </row>
    <row r="723" spans="1:10" x14ac:dyDescent="0.3">
      <c r="A723" s="15" t="s">
        <v>1921</v>
      </c>
      <c r="J723">
        <v>-1.53</v>
      </c>
    </row>
    <row r="724" spans="1:10" x14ac:dyDescent="0.3">
      <c r="A724" s="15" t="s">
        <v>1923</v>
      </c>
      <c r="J724">
        <v>3.94</v>
      </c>
    </row>
    <row r="725" spans="1:10" x14ac:dyDescent="0.3">
      <c r="A725" s="15" t="s">
        <v>1925</v>
      </c>
      <c r="J725">
        <v>2.95</v>
      </c>
    </row>
    <row r="726" spans="1:10" x14ac:dyDescent="0.3">
      <c r="A726" s="15" t="s">
        <v>1927</v>
      </c>
      <c r="J726">
        <v>5.76</v>
      </c>
    </row>
    <row r="727" spans="1:10" x14ac:dyDescent="0.3">
      <c r="A727" s="15" t="s">
        <v>1929</v>
      </c>
      <c r="J727">
        <v>7.18</v>
      </c>
    </row>
    <row r="728" spans="1:10" x14ac:dyDescent="0.3">
      <c r="A728" s="15" t="s">
        <v>1931</v>
      </c>
      <c r="J728">
        <v>8.74</v>
      </c>
    </row>
    <row r="729" spans="1:10" x14ac:dyDescent="0.3">
      <c r="A729" s="15" t="s">
        <v>1934</v>
      </c>
      <c r="J729">
        <v>6.15</v>
      </c>
    </row>
    <row r="730" spans="1:10" x14ac:dyDescent="0.3">
      <c r="A730" s="15" t="s">
        <v>1936</v>
      </c>
      <c r="J730">
        <v>8.16</v>
      </c>
    </row>
    <row r="731" spans="1:10" x14ac:dyDescent="0.3">
      <c r="A731" s="15" t="s">
        <v>1937</v>
      </c>
      <c r="J731">
        <v>6.57</v>
      </c>
    </row>
    <row r="732" spans="1:10" x14ac:dyDescent="0.3">
      <c r="A732" s="15" t="s">
        <v>1938</v>
      </c>
      <c r="J732">
        <v>6.84</v>
      </c>
    </row>
    <row r="733" spans="1:10" x14ac:dyDescent="0.3">
      <c r="A733" s="15" t="s">
        <v>1939</v>
      </c>
      <c r="J733">
        <v>4.7300000000000004</v>
      </c>
    </row>
    <row r="734" spans="1:10" x14ac:dyDescent="0.3">
      <c r="A734" s="15" t="s">
        <v>1940</v>
      </c>
      <c r="J734">
        <v>6.07</v>
      </c>
    </row>
    <row r="735" spans="1:10" x14ac:dyDescent="0.3">
      <c r="A735" s="15" t="s">
        <v>1944</v>
      </c>
      <c r="J735">
        <v>9.51</v>
      </c>
    </row>
    <row r="736" spans="1:10" x14ac:dyDescent="0.3">
      <c r="A736" s="15" t="s">
        <v>1947</v>
      </c>
      <c r="J736">
        <v>6.94</v>
      </c>
    </row>
    <row r="737" spans="1:10" x14ac:dyDescent="0.3">
      <c r="A737" s="15" t="s">
        <v>1950</v>
      </c>
      <c r="J737">
        <v>4.9800000000000004</v>
      </c>
    </row>
    <row r="738" spans="1:10" x14ac:dyDescent="0.3">
      <c r="A738" s="15" t="s">
        <v>1953</v>
      </c>
      <c r="J738">
        <v>1.76</v>
      </c>
    </row>
    <row r="739" spans="1:10" x14ac:dyDescent="0.3">
      <c r="A739" s="15" t="s">
        <v>1956</v>
      </c>
      <c r="J739">
        <v>8.89</v>
      </c>
    </row>
    <row r="740" spans="1:10" x14ac:dyDescent="0.3">
      <c r="A740" s="15" t="s">
        <v>1958</v>
      </c>
      <c r="J740">
        <v>-0.2</v>
      </c>
    </row>
    <row r="741" spans="1:10" x14ac:dyDescent="0.3">
      <c r="A741" s="15" t="s">
        <v>1961</v>
      </c>
      <c r="J741">
        <v>7.09</v>
      </c>
    </row>
    <row r="742" spans="1:10" x14ac:dyDescent="0.3">
      <c r="A742" s="15" t="s">
        <v>1965</v>
      </c>
      <c r="J742">
        <v>4.8600000000000003</v>
      </c>
    </row>
    <row r="743" spans="1:10" x14ac:dyDescent="0.3">
      <c r="A743" s="15" t="s">
        <v>1967</v>
      </c>
      <c r="J743">
        <v>6.3</v>
      </c>
    </row>
    <row r="744" spans="1:10" x14ac:dyDescent="0.3">
      <c r="A744" s="15" t="s">
        <v>1969</v>
      </c>
      <c r="J744">
        <v>7.11</v>
      </c>
    </row>
    <row r="745" spans="1:10" x14ac:dyDescent="0.3">
      <c r="A745" s="15" t="s">
        <v>1972</v>
      </c>
      <c r="J745">
        <v>5.27</v>
      </c>
    </row>
    <row r="746" spans="1:10" x14ac:dyDescent="0.3">
      <c r="A746" s="15" t="s">
        <v>1975</v>
      </c>
      <c r="J746">
        <v>5.15</v>
      </c>
    </row>
    <row r="747" spans="1:10" x14ac:dyDescent="0.3">
      <c r="A747" s="15" t="s">
        <v>1977</v>
      </c>
      <c r="J747">
        <v>8.0399999999999991</v>
      </c>
    </row>
    <row r="748" spans="1:10" x14ac:dyDescent="0.3">
      <c r="A748" s="15" t="s">
        <v>1979</v>
      </c>
      <c r="J748">
        <v>5.87</v>
      </c>
    </row>
    <row r="749" spans="1:10" x14ac:dyDescent="0.3">
      <c r="A749" s="15" t="s">
        <v>1980</v>
      </c>
      <c r="J749">
        <v>6.52</v>
      </c>
    </row>
    <row r="750" spans="1:10" x14ac:dyDescent="0.3">
      <c r="A750" s="15" t="s">
        <v>1982</v>
      </c>
      <c r="J750">
        <v>3.86</v>
      </c>
    </row>
    <row r="751" spans="1:10" x14ac:dyDescent="0.3">
      <c r="A751" s="15" t="s">
        <v>1985</v>
      </c>
      <c r="J751">
        <v>4.6100000000000003</v>
      </c>
    </row>
    <row r="752" spans="1:10" x14ac:dyDescent="0.3">
      <c r="A752" s="15" t="s">
        <v>1987</v>
      </c>
      <c r="J752">
        <v>6.38</v>
      </c>
    </row>
    <row r="753" spans="1:10" x14ac:dyDescent="0.3">
      <c r="A753" s="15" t="s">
        <v>1989</v>
      </c>
      <c r="J753">
        <v>6.21</v>
      </c>
    </row>
    <row r="754" spans="1:10" x14ac:dyDescent="0.3">
      <c r="A754" s="15" t="s">
        <v>1991</v>
      </c>
      <c r="I754">
        <v>4.51</v>
      </c>
    </row>
    <row r="755" spans="1:10" x14ac:dyDescent="0.3">
      <c r="A755" s="15" t="s">
        <v>1993</v>
      </c>
      <c r="J755">
        <v>5.61</v>
      </c>
    </row>
    <row r="756" spans="1:10" x14ac:dyDescent="0.3">
      <c r="A756" s="15" t="s">
        <v>1995</v>
      </c>
      <c r="J756">
        <v>6.89</v>
      </c>
    </row>
    <row r="757" spans="1:10" x14ac:dyDescent="0.3">
      <c r="A757" s="15" t="s">
        <v>1998</v>
      </c>
      <c r="J757">
        <v>3.45</v>
      </c>
    </row>
    <row r="758" spans="1:10" x14ac:dyDescent="0.3">
      <c r="A758" s="15" t="s">
        <v>1999</v>
      </c>
      <c r="J758">
        <v>10.220000000000001</v>
      </c>
    </row>
    <row r="759" spans="1:10" x14ac:dyDescent="0.3">
      <c r="A759" s="15" t="s">
        <v>2000</v>
      </c>
      <c r="J759">
        <v>3.8</v>
      </c>
    </row>
    <row r="760" spans="1:10" x14ac:dyDescent="0.3">
      <c r="A760" s="15" t="s">
        <v>2002</v>
      </c>
      <c r="J760">
        <v>6.94</v>
      </c>
    </row>
    <row r="761" spans="1:10" x14ac:dyDescent="0.3">
      <c r="A761" s="15" t="s">
        <v>2004</v>
      </c>
      <c r="J761">
        <v>7.26</v>
      </c>
    </row>
    <row r="762" spans="1:10" x14ac:dyDescent="0.3">
      <c r="A762" s="15" t="s">
        <v>2007</v>
      </c>
      <c r="J762">
        <v>6.03</v>
      </c>
    </row>
    <row r="763" spans="1:10" x14ac:dyDescent="0.3">
      <c r="A763" s="15" t="s">
        <v>2009</v>
      </c>
      <c r="G763">
        <v>4.78</v>
      </c>
    </row>
    <row r="764" spans="1:10" x14ac:dyDescent="0.3">
      <c r="A764" s="15" t="s">
        <v>2011</v>
      </c>
      <c r="G764">
        <v>4.38</v>
      </c>
    </row>
    <row r="765" spans="1:10" x14ac:dyDescent="0.3">
      <c r="A765" s="15" t="s">
        <v>2013</v>
      </c>
      <c r="G765">
        <v>5.58</v>
      </c>
    </row>
    <row r="766" spans="1:10" x14ac:dyDescent="0.3">
      <c r="A766" s="15" t="s">
        <v>2015</v>
      </c>
      <c r="G766">
        <v>5.15</v>
      </c>
    </row>
    <row r="767" spans="1:10" x14ac:dyDescent="0.3">
      <c r="A767" s="15" t="s">
        <v>2016</v>
      </c>
      <c r="G767">
        <v>10.26</v>
      </c>
    </row>
    <row r="768" spans="1:10" x14ac:dyDescent="0.3">
      <c r="A768" s="15" t="s">
        <v>2017</v>
      </c>
      <c r="G768">
        <v>5.49</v>
      </c>
    </row>
    <row r="769" spans="1:10" x14ac:dyDescent="0.3">
      <c r="A769" s="15" t="s">
        <v>2019</v>
      </c>
      <c r="G769">
        <v>6.12</v>
      </c>
    </row>
    <row r="770" spans="1:10" x14ac:dyDescent="0.3">
      <c r="A770" s="15" t="s">
        <v>2021</v>
      </c>
      <c r="G770">
        <v>6.23</v>
      </c>
    </row>
    <row r="771" spans="1:10" x14ac:dyDescent="0.3">
      <c r="A771" s="15" t="s">
        <v>2023</v>
      </c>
      <c r="G771">
        <v>1.59</v>
      </c>
    </row>
    <row r="772" spans="1:10" x14ac:dyDescent="0.3">
      <c r="A772" s="15" t="s">
        <v>2025</v>
      </c>
      <c r="G772">
        <v>5.18</v>
      </c>
    </row>
    <row r="773" spans="1:10" x14ac:dyDescent="0.3">
      <c r="A773" s="15" t="s">
        <v>2027</v>
      </c>
      <c r="G773">
        <v>6.86</v>
      </c>
    </row>
    <row r="774" spans="1:10" x14ac:dyDescent="0.3">
      <c r="A774" s="15" t="s">
        <v>2029</v>
      </c>
      <c r="G774">
        <v>5.73</v>
      </c>
    </row>
    <row r="775" spans="1:10" x14ac:dyDescent="0.3">
      <c r="A775" s="15" t="s">
        <v>2031</v>
      </c>
      <c r="J775">
        <v>8.07</v>
      </c>
    </row>
    <row r="776" spans="1:10" x14ac:dyDescent="0.3">
      <c r="A776" s="15" t="s">
        <v>2034</v>
      </c>
      <c r="J776">
        <v>6.79</v>
      </c>
    </row>
    <row r="777" spans="1:10" x14ac:dyDescent="0.3">
      <c r="A777" s="15" t="s">
        <v>2037</v>
      </c>
      <c r="J777">
        <v>4.9000000000000004</v>
      </c>
    </row>
    <row r="778" spans="1:10" x14ac:dyDescent="0.3">
      <c r="A778" s="15" t="s">
        <v>2040</v>
      </c>
      <c r="J778">
        <v>6.52</v>
      </c>
    </row>
    <row r="779" spans="1:10" x14ac:dyDescent="0.3">
      <c r="A779" s="15" t="s">
        <v>2042</v>
      </c>
      <c r="J779">
        <v>7.92</v>
      </c>
    </row>
    <row r="780" spans="1:10" x14ac:dyDescent="0.3">
      <c r="A780" s="15" t="s">
        <v>2044</v>
      </c>
      <c r="J780">
        <v>4.4800000000000004</v>
      </c>
    </row>
    <row r="781" spans="1:10" x14ac:dyDescent="0.3">
      <c r="A781" s="15" t="s">
        <v>2045</v>
      </c>
      <c r="J781">
        <v>5.34</v>
      </c>
    </row>
    <row r="782" spans="1:10" x14ac:dyDescent="0.3">
      <c r="A782" s="15" t="s">
        <v>2047</v>
      </c>
      <c r="J782">
        <v>3.83</v>
      </c>
    </row>
    <row r="783" spans="1:10" x14ac:dyDescent="0.3">
      <c r="A783" s="15" t="s">
        <v>2049</v>
      </c>
      <c r="J783">
        <v>5.53</v>
      </c>
    </row>
    <row r="784" spans="1:10" x14ac:dyDescent="0.3">
      <c r="A784" s="15" t="s">
        <v>2053</v>
      </c>
      <c r="J784">
        <v>5.41</v>
      </c>
    </row>
    <row r="785" spans="1:10" x14ac:dyDescent="0.3">
      <c r="A785" s="15" t="s">
        <v>2055</v>
      </c>
      <c r="G785">
        <v>4.79</v>
      </c>
    </row>
    <row r="786" spans="1:10" x14ac:dyDescent="0.3">
      <c r="A786" s="15" t="s">
        <v>2058</v>
      </c>
      <c r="J786">
        <v>8.8688167789999994</v>
      </c>
    </row>
    <row r="787" spans="1:10" x14ac:dyDescent="0.3">
      <c r="A787" s="15" t="s">
        <v>2060</v>
      </c>
      <c r="J787">
        <v>6.9332123399999999</v>
      </c>
    </row>
    <row r="788" spans="1:10" x14ac:dyDescent="0.3">
      <c r="A788" s="15" t="s">
        <v>2062</v>
      </c>
      <c r="J788">
        <v>4.74909654</v>
      </c>
    </row>
    <row r="789" spans="1:10" x14ac:dyDescent="0.3">
      <c r="A789" s="15" t="s">
        <v>2064</v>
      </c>
      <c r="J789">
        <v>7.2953639150000003</v>
      </c>
    </row>
    <row r="790" spans="1:10" x14ac:dyDescent="0.3">
      <c r="A790" s="15" t="s">
        <v>2066</v>
      </c>
      <c r="J790">
        <v>6.3994302440000004</v>
      </c>
    </row>
    <row r="791" spans="1:10" x14ac:dyDescent="0.3">
      <c r="A791" s="15" t="s">
        <v>2068</v>
      </c>
      <c r="J791">
        <v>5.5599126349999999</v>
      </c>
    </row>
    <row r="792" spans="1:10" x14ac:dyDescent="0.3">
      <c r="A792" s="15" t="s">
        <v>2072</v>
      </c>
      <c r="J792">
        <v>5.7318279639999998</v>
      </c>
    </row>
    <row r="793" spans="1:10" x14ac:dyDescent="0.3">
      <c r="A793" s="15" t="s">
        <v>2075</v>
      </c>
      <c r="J793">
        <v>8.0773019569999995</v>
      </c>
    </row>
    <row r="794" spans="1:10" x14ac:dyDescent="0.3">
      <c r="A794" s="15" t="s">
        <v>2078</v>
      </c>
      <c r="J794">
        <v>5.5284481730000001</v>
      </c>
    </row>
    <row r="795" spans="1:10" x14ac:dyDescent="0.3">
      <c r="A795" s="15" t="s">
        <v>2084</v>
      </c>
      <c r="F795">
        <v>3.5387406850000001</v>
      </c>
    </row>
    <row r="796" spans="1:10" x14ac:dyDescent="0.3">
      <c r="A796" s="15" t="s">
        <v>2086</v>
      </c>
      <c r="F796">
        <v>-0.46485831999999999</v>
      </c>
    </row>
    <row r="797" spans="1:10" x14ac:dyDescent="0.3">
      <c r="A797" s="15" t="s">
        <v>2087</v>
      </c>
      <c r="F797">
        <v>8.2072744239999995</v>
      </c>
    </row>
    <row r="798" spans="1:10" x14ac:dyDescent="0.3">
      <c r="A798" s="15" t="s">
        <v>2088</v>
      </c>
      <c r="H798">
        <v>8.1397045049999992</v>
      </c>
    </row>
    <row r="799" spans="1:10" x14ac:dyDescent="0.3">
      <c r="A799" s="15" t="s">
        <v>2091</v>
      </c>
      <c r="H799">
        <v>1.4538079669999999</v>
      </c>
    </row>
    <row r="800" spans="1:10" x14ac:dyDescent="0.3">
      <c r="A800" s="15" t="s">
        <v>2094</v>
      </c>
      <c r="G800">
        <v>5.767877683</v>
      </c>
    </row>
    <row r="801" spans="1:10" x14ac:dyDescent="0.3">
      <c r="A801" s="15" t="s">
        <v>2096</v>
      </c>
      <c r="G801">
        <v>6.4244729820000002</v>
      </c>
    </row>
    <row r="802" spans="1:10" x14ac:dyDescent="0.3">
      <c r="A802" s="15" t="s">
        <v>2099</v>
      </c>
      <c r="G802">
        <v>7.1919720040000001</v>
      </c>
    </row>
    <row r="803" spans="1:10" x14ac:dyDescent="0.3">
      <c r="A803" s="15" t="s">
        <v>2100</v>
      </c>
      <c r="G803">
        <v>4.7433851579999997</v>
      </c>
    </row>
    <row r="804" spans="1:10" x14ac:dyDescent="0.3">
      <c r="A804" s="15" t="s">
        <v>2104</v>
      </c>
      <c r="G804">
        <v>3.0585517100000001</v>
      </c>
    </row>
    <row r="805" spans="1:10" x14ac:dyDescent="0.3">
      <c r="A805" s="15" t="s">
        <v>2107</v>
      </c>
      <c r="G805">
        <v>4.9877749109999998</v>
      </c>
    </row>
    <row r="806" spans="1:10" x14ac:dyDescent="0.3">
      <c r="A806" s="15" t="s">
        <v>2109</v>
      </c>
      <c r="G806">
        <v>4.556827996</v>
      </c>
    </row>
    <row r="807" spans="1:10" x14ac:dyDescent="0.3">
      <c r="A807" s="15" t="s">
        <v>2112</v>
      </c>
      <c r="I807">
        <v>5.9596984769999999</v>
      </c>
    </row>
    <row r="808" spans="1:10" x14ac:dyDescent="0.3">
      <c r="A808" s="15" t="s">
        <v>2115</v>
      </c>
      <c r="G808">
        <v>7.5123970419999999</v>
      </c>
    </row>
    <row r="809" spans="1:10" x14ac:dyDescent="0.3">
      <c r="A809" s="15" t="s">
        <v>2116</v>
      </c>
      <c r="G809">
        <v>6.362445471</v>
      </c>
    </row>
    <row r="810" spans="1:10" x14ac:dyDescent="0.3">
      <c r="A810" s="15" t="s">
        <v>2120</v>
      </c>
      <c r="G810">
        <v>5.4348119879999999</v>
      </c>
    </row>
    <row r="811" spans="1:10" x14ac:dyDescent="0.3">
      <c r="A811" s="15" t="s">
        <v>2121</v>
      </c>
      <c r="G811">
        <v>1.0860827200000001</v>
      </c>
    </row>
    <row r="812" spans="1:10" x14ac:dyDescent="0.3">
      <c r="A812" s="15" t="s">
        <v>2125</v>
      </c>
      <c r="J812">
        <v>4.5723211050000003</v>
      </c>
    </row>
    <row r="813" spans="1:10" x14ac:dyDescent="0.3">
      <c r="A813" s="15" t="s">
        <v>2128</v>
      </c>
      <c r="J813">
        <v>7.2778163569999998</v>
      </c>
    </row>
    <row r="814" spans="1:10" x14ac:dyDescent="0.3">
      <c r="A814" s="15" t="s">
        <v>2131</v>
      </c>
      <c r="J814">
        <v>5.0836579520000003</v>
      </c>
    </row>
    <row r="815" spans="1:10" x14ac:dyDescent="0.3">
      <c r="A815" s="15" t="s">
        <v>2134</v>
      </c>
      <c r="J815">
        <v>5.0227308099999997</v>
      </c>
    </row>
    <row r="816" spans="1:10" x14ac:dyDescent="0.3">
      <c r="A816" s="15" t="s">
        <v>2136</v>
      </c>
      <c r="F816">
        <v>4.9491772149999997</v>
      </c>
    </row>
    <row r="817" spans="1:10" x14ac:dyDescent="0.3">
      <c r="A817" s="15" t="s">
        <v>2138</v>
      </c>
      <c r="F817">
        <v>8.1565766830000008</v>
      </c>
    </row>
    <row r="818" spans="1:10" x14ac:dyDescent="0.3">
      <c r="A818" s="15" t="s">
        <v>2140</v>
      </c>
      <c r="F818">
        <v>7.9045893879999998</v>
      </c>
    </row>
    <row r="819" spans="1:10" x14ac:dyDescent="0.3">
      <c r="A819" s="15" t="s">
        <v>2142</v>
      </c>
      <c r="F819">
        <v>3.933242618</v>
      </c>
    </row>
    <row r="820" spans="1:10" x14ac:dyDescent="0.3">
      <c r="A820" s="15" t="s">
        <v>2144</v>
      </c>
      <c r="F820">
        <v>6.6764693030000002</v>
      </c>
    </row>
    <row r="821" spans="1:10" x14ac:dyDescent="0.3">
      <c r="A821" s="15" t="s">
        <v>2146</v>
      </c>
      <c r="F821">
        <v>2.2027457859999999</v>
      </c>
    </row>
    <row r="822" spans="1:10" x14ac:dyDescent="0.3">
      <c r="A822" s="15" t="s">
        <v>2148</v>
      </c>
      <c r="J822">
        <v>3.7097121980000001</v>
      </c>
    </row>
    <row r="823" spans="1:10" x14ac:dyDescent="0.3">
      <c r="A823" s="15" t="s">
        <v>2149</v>
      </c>
      <c r="J823">
        <v>7.753387332</v>
      </c>
    </row>
    <row r="824" spans="1:10" x14ac:dyDescent="0.3">
      <c r="A824" s="15" t="s">
        <v>2151</v>
      </c>
      <c r="J824">
        <v>6.308539991</v>
      </c>
    </row>
    <row r="825" spans="1:10" x14ac:dyDescent="0.3">
      <c r="A825" s="15" t="s">
        <v>2154</v>
      </c>
      <c r="J825">
        <v>5.6277535969999999</v>
      </c>
    </row>
    <row r="826" spans="1:10" x14ac:dyDescent="0.3">
      <c r="A826" s="15" t="s">
        <v>2157</v>
      </c>
      <c r="J826">
        <v>6.4441190510000004</v>
      </c>
    </row>
    <row r="827" spans="1:10" x14ac:dyDescent="0.3">
      <c r="A827" s="15" t="s">
        <v>2159</v>
      </c>
      <c r="H827">
        <v>6.6841224730000004</v>
      </c>
    </row>
    <row r="828" spans="1:10" x14ac:dyDescent="0.3">
      <c r="A828" s="15" t="s">
        <v>2160</v>
      </c>
      <c r="F828">
        <v>-0.91725109500000002</v>
      </c>
    </row>
    <row r="829" spans="1:10" x14ac:dyDescent="0.3">
      <c r="A829" s="15" t="s">
        <v>2161</v>
      </c>
      <c r="F829">
        <v>1.733371789</v>
      </c>
    </row>
    <row r="830" spans="1:10" x14ac:dyDescent="0.3">
      <c r="A830" s="15" t="s">
        <v>2162</v>
      </c>
      <c r="F830">
        <v>-0.92919099999999999</v>
      </c>
    </row>
    <row r="831" spans="1:10" x14ac:dyDescent="0.3">
      <c r="A831" s="15" t="s">
        <v>2164</v>
      </c>
      <c r="F831">
        <v>6.3032905000000001</v>
      </c>
    </row>
    <row r="832" spans="1:10" x14ac:dyDescent="0.3">
      <c r="A832" s="15" t="s">
        <v>2165</v>
      </c>
      <c r="F832">
        <v>8.1894783760000003</v>
      </c>
    </row>
    <row r="833" spans="1:3" x14ac:dyDescent="0.3">
      <c r="A833" s="15" t="s">
        <v>1718</v>
      </c>
      <c r="C833">
        <v>-0.27530228699999998</v>
      </c>
    </row>
    <row r="834" spans="1:3" x14ac:dyDescent="0.3">
      <c r="A834" s="15" t="s">
        <v>1720</v>
      </c>
      <c r="C834">
        <v>-0.76427224599999999</v>
      </c>
    </row>
    <row r="835" spans="1:3" x14ac:dyDescent="0.3">
      <c r="A835" s="15" t="s">
        <v>1723</v>
      </c>
      <c r="B835">
        <v>-1.2541429799999999</v>
      </c>
    </row>
    <row r="836" spans="1:3" x14ac:dyDescent="0.3">
      <c r="A836" s="15" t="s">
        <v>1727</v>
      </c>
      <c r="C836">
        <v>-1.413145592</v>
      </c>
    </row>
    <row r="837" spans="1:3" x14ac:dyDescent="0.3">
      <c r="A837" s="15" t="s">
        <v>1730</v>
      </c>
      <c r="C837">
        <v>2.6561990980000001</v>
      </c>
    </row>
    <row r="838" spans="1:3" x14ac:dyDescent="0.3">
      <c r="A838" s="15" t="s">
        <v>1734</v>
      </c>
      <c r="C838">
        <v>4.1568201020000002</v>
      </c>
    </row>
    <row r="839" spans="1:3" x14ac:dyDescent="0.3">
      <c r="A839" s="15" t="s">
        <v>1767</v>
      </c>
      <c r="C839">
        <v>-1.3365580610000001</v>
      </c>
    </row>
    <row r="840" spans="1:3" x14ac:dyDescent="0.3">
      <c r="A840" s="15" t="s">
        <v>1770</v>
      </c>
      <c r="C840">
        <v>3.5803873999999999E-2</v>
      </c>
    </row>
    <row r="841" spans="1:3" x14ac:dyDescent="0.3">
      <c r="A841" s="15" t="s">
        <v>1772</v>
      </c>
      <c r="C841">
        <v>-1.6715452049999999</v>
      </c>
    </row>
    <row r="842" spans="1:3" x14ac:dyDescent="0.3">
      <c r="A842" s="15" t="s">
        <v>1774</v>
      </c>
      <c r="C842">
        <v>0.100789875</v>
      </c>
    </row>
    <row r="843" spans="1:3" x14ac:dyDescent="0.3">
      <c r="A843" s="15" t="s">
        <v>1777</v>
      </c>
      <c r="C843">
        <v>-1.1691658789999999</v>
      </c>
    </row>
    <row r="844" spans="1:3" x14ac:dyDescent="0.3">
      <c r="A844" s="15" t="s">
        <v>1780</v>
      </c>
      <c r="C844">
        <v>-0.79126873200000003</v>
      </c>
    </row>
    <row r="845" spans="1:3" x14ac:dyDescent="0.3">
      <c r="A845" s="15" t="s">
        <v>1782</v>
      </c>
      <c r="C845">
        <v>1.0884486019999999</v>
      </c>
    </row>
    <row r="846" spans="1:3" x14ac:dyDescent="0.3">
      <c r="A846" s="15" t="s">
        <v>1785</v>
      </c>
      <c r="C846">
        <v>0.73120513499999995</v>
      </c>
    </row>
    <row r="847" spans="1:3" x14ac:dyDescent="0.3">
      <c r="A847" s="15" t="s">
        <v>1787</v>
      </c>
      <c r="C847">
        <v>1.1488561859999999</v>
      </c>
    </row>
    <row r="848" spans="1:3" x14ac:dyDescent="0.3">
      <c r="A848" s="15" t="s">
        <v>1789</v>
      </c>
      <c r="C848">
        <v>-0.92334619100000004</v>
      </c>
    </row>
    <row r="849" spans="1:12" x14ac:dyDescent="0.3">
      <c r="A849" s="15" t="s">
        <v>1791</v>
      </c>
      <c r="C849">
        <v>-0.67011379999999998</v>
      </c>
    </row>
    <row r="850" spans="1:12" x14ac:dyDescent="0.3">
      <c r="A850" s="15" t="s">
        <v>1794</v>
      </c>
      <c r="C850">
        <v>9.886901E-3</v>
      </c>
    </row>
    <row r="851" spans="1:12" x14ac:dyDescent="0.3">
      <c r="A851" s="15" t="s">
        <v>1797</v>
      </c>
      <c r="C851">
        <v>-1.0430805439999999</v>
      </c>
    </row>
    <row r="852" spans="1:12" x14ac:dyDescent="0.3">
      <c r="A852" s="15" t="s">
        <v>1799</v>
      </c>
      <c r="C852">
        <v>0.43389958299999998</v>
      </c>
    </row>
    <row r="853" spans="1:12" x14ac:dyDescent="0.3">
      <c r="A853" s="15" t="s">
        <v>1802</v>
      </c>
      <c r="C853">
        <v>-0.81615113100000003</v>
      </c>
    </row>
    <row r="854" spans="1:12" x14ac:dyDescent="0.3">
      <c r="A854" s="15" t="s">
        <v>1806</v>
      </c>
      <c r="C854">
        <v>-1.3236157209999999</v>
      </c>
    </row>
    <row r="855" spans="1:12" x14ac:dyDescent="0.3">
      <c r="A855" s="15" t="s">
        <v>1809</v>
      </c>
      <c r="C855">
        <v>-1.5456571690000001</v>
      </c>
    </row>
    <row r="856" spans="1:12" x14ac:dyDescent="0.3">
      <c r="A856" s="15" t="s">
        <v>1812</v>
      </c>
      <c r="C856">
        <v>-0.47035755200000001</v>
      </c>
    </row>
    <row r="857" spans="1:12" x14ac:dyDescent="0.3">
      <c r="A857" s="15" t="s">
        <v>1814</v>
      </c>
      <c r="C857">
        <v>-1.2004385360000001</v>
      </c>
    </row>
    <row r="858" spans="1:12" x14ac:dyDescent="0.3">
      <c r="A858" s="15" t="s">
        <v>1817</v>
      </c>
      <c r="L858">
        <v>-2.0447229469999999</v>
      </c>
    </row>
    <row r="859" spans="1:12" x14ac:dyDescent="0.3">
      <c r="A859" s="15" t="s">
        <v>1820</v>
      </c>
      <c r="E859">
        <v>-1.2479256569999999</v>
      </c>
    </row>
    <row r="860" spans="1:12" x14ac:dyDescent="0.3">
      <c r="A860" s="15" t="s">
        <v>1823</v>
      </c>
      <c r="L860">
        <v>0.69313988800000004</v>
      </c>
    </row>
    <row r="861" spans="1:12" x14ac:dyDescent="0.3">
      <c r="A861" s="15" t="s">
        <v>1825</v>
      </c>
      <c r="L861">
        <v>0.36959094199999998</v>
      </c>
    </row>
    <row r="862" spans="1:12" x14ac:dyDescent="0.3">
      <c r="A862" s="15" t="s">
        <v>1827</v>
      </c>
      <c r="E862">
        <v>1.180864336</v>
      </c>
    </row>
    <row r="863" spans="1:12" x14ac:dyDescent="0.3">
      <c r="A863" s="15" t="s">
        <v>1830</v>
      </c>
      <c r="L863">
        <v>5.4245378830000002</v>
      </c>
    </row>
    <row r="864" spans="1:12" x14ac:dyDescent="0.3">
      <c r="A864" s="15" t="s">
        <v>1833</v>
      </c>
      <c r="L864">
        <v>5.4664398790000002</v>
      </c>
    </row>
    <row r="865" spans="1:12" x14ac:dyDescent="0.3">
      <c r="A865" s="15" t="s">
        <v>1835</v>
      </c>
      <c r="F865">
        <v>5.1604925460000004</v>
      </c>
    </row>
    <row r="866" spans="1:12" x14ac:dyDescent="0.3">
      <c r="A866" s="15" t="s">
        <v>1838</v>
      </c>
      <c r="L866">
        <v>-1.2188266489999999</v>
      </c>
    </row>
    <row r="867" spans="1:12" x14ac:dyDescent="0.3">
      <c r="A867" s="15" t="s">
        <v>1840</v>
      </c>
      <c r="L867">
        <v>7.2065769839999998</v>
      </c>
    </row>
    <row r="868" spans="1:12" x14ac:dyDescent="0.3">
      <c r="A868" s="15" t="s">
        <v>1842</v>
      </c>
      <c r="L868">
        <v>4.6741738919999998</v>
      </c>
    </row>
    <row r="869" spans="1:12" x14ac:dyDescent="0.3">
      <c r="A869" s="15" t="s">
        <v>1844</v>
      </c>
      <c r="L869">
        <v>3.3765352310000001</v>
      </c>
    </row>
    <row r="870" spans="1:12" x14ac:dyDescent="0.3">
      <c r="A870" s="15" t="s">
        <v>1846</v>
      </c>
      <c r="L870">
        <v>7.1977436279999996</v>
      </c>
    </row>
    <row r="871" spans="1:12" x14ac:dyDescent="0.3">
      <c r="A871" s="15" t="s">
        <v>1848</v>
      </c>
      <c r="L871">
        <v>6.3007440209999999</v>
      </c>
    </row>
    <row r="872" spans="1:12" x14ac:dyDescent="0.3">
      <c r="A872" s="15" t="s">
        <v>1850</v>
      </c>
      <c r="L872">
        <v>3.9466699350000001</v>
      </c>
    </row>
    <row r="873" spans="1:12" x14ac:dyDescent="0.3">
      <c r="A873" s="15" t="s">
        <v>1852</v>
      </c>
      <c r="L873">
        <v>3.5821031269999999</v>
      </c>
    </row>
    <row r="874" spans="1:12" x14ac:dyDescent="0.3">
      <c r="A874" s="15" t="s">
        <v>1855</v>
      </c>
      <c r="L874">
        <v>5.7212481039999998</v>
      </c>
    </row>
    <row r="875" spans="1:12" x14ac:dyDescent="0.3">
      <c r="A875" s="15" t="s">
        <v>1857</v>
      </c>
      <c r="L875">
        <v>7.5137012109999999</v>
      </c>
    </row>
    <row r="876" spans="1:12" x14ac:dyDescent="0.3">
      <c r="A876" s="15" t="s">
        <v>1860</v>
      </c>
      <c r="L876">
        <v>8.603591539</v>
      </c>
    </row>
    <row r="877" spans="1:12" x14ac:dyDescent="0.3">
      <c r="A877" s="15" t="s">
        <v>2166</v>
      </c>
      <c r="L877">
        <v>4.7507726830000001</v>
      </c>
    </row>
    <row r="878" spans="1:12" x14ac:dyDescent="0.3">
      <c r="A878" s="15" t="s">
        <v>2168</v>
      </c>
      <c r="L878">
        <v>0.10775367299999999</v>
      </c>
    </row>
    <row r="879" spans="1:12" x14ac:dyDescent="0.3">
      <c r="A879" s="15" t="s">
        <v>2170</v>
      </c>
      <c r="L879">
        <v>6.3888282790000002</v>
      </c>
    </row>
    <row r="880" spans="1:12" x14ac:dyDescent="0.3">
      <c r="A880" s="15" t="s">
        <v>2172</v>
      </c>
      <c r="L880">
        <v>6.2494094899999997</v>
      </c>
    </row>
    <row r="881" spans="1:12" x14ac:dyDescent="0.3">
      <c r="A881" s="15" t="s">
        <v>2174</v>
      </c>
      <c r="L881">
        <v>4.5339866860000004</v>
      </c>
    </row>
    <row r="882" spans="1:12" x14ac:dyDescent="0.3">
      <c r="A882" s="15" t="s">
        <v>2176</v>
      </c>
      <c r="L882">
        <v>5.9873324280000002</v>
      </c>
    </row>
    <row r="883" spans="1:12" x14ac:dyDescent="0.3">
      <c r="A883" s="15" t="s">
        <v>2178</v>
      </c>
      <c r="L883">
        <v>6.2189635689999996</v>
      </c>
    </row>
    <row r="884" spans="1:12" x14ac:dyDescent="0.3">
      <c r="A884" s="15" t="s">
        <v>2180</v>
      </c>
      <c r="L884">
        <v>6.9397719420000001</v>
      </c>
    </row>
    <row r="885" spans="1:12" x14ac:dyDescent="0.3">
      <c r="A885" s="15" t="s">
        <v>2182</v>
      </c>
      <c r="L885">
        <v>4.1919834649999999</v>
      </c>
    </row>
    <row r="886" spans="1:12" x14ac:dyDescent="0.3">
      <c r="A886" s="15" t="s">
        <v>2184</v>
      </c>
      <c r="L886">
        <v>5.0156221590000003</v>
      </c>
    </row>
    <row r="887" spans="1:12" x14ac:dyDescent="0.3">
      <c r="A887" s="15" t="s">
        <v>2186</v>
      </c>
      <c r="L887">
        <v>9.1052703650000009</v>
      </c>
    </row>
    <row r="888" spans="1:12" x14ac:dyDescent="0.3">
      <c r="A888" s="15" t="s">
        <v>2200</v>
      </c>
      <c r="L888">
        <v>5.5928286270000003</v>
      </c>
    </row>
    <row r="889" spans="1:12" x14ac:dyDescent="0.3">
      <c r="A889" s="15" t="s">
        <v>2287</v>
      </c>
      <c r="K889">
        <v>5.5331506380000004</v>
      </c>
    </row>
    <row r="890" spans="1:12" x14ac:dyDescent="0.3">
      <c r="A890" s="15" t="s">
        <v>2289</v>
      </c>
      <c r="C890">
        <v>0.39691395899999998</v>
      </c>
    </row>
    <row r="891" spans="1:12" x14ac:dyDescent="0.3">
      <c r="A891" s="15" t="s">
        <v>2293</v>
      </c>
      <c r="L891">
        <v>4.3391124400000001</v>
      </c>
    </row>
    <row r="892" spans="1:12" x14ac:dyDescent="0.3">
      <c r="A892" s="15" t="s">
        <v>2295</v>
      </c>
      <c r="L892">
        <v>6.8160371270000004</v>
      </c>
    </row>
    <row r="893" spans="1:12" x14ac:dyDescent="0.3">
      <c r="A893" s="15" t="s">
        <v>2297</v>
      </c>
      <c r="L893">
        <v>6.5984784019999996</v>
      </c>
    </row>
    <row r="894" spans="1:12" x14ac:dyDescent="0.3">
      <c r="A894" s="15" t="s">
        <v>2299</v>
      </c>
      <c r="L894">
        <v>4.2654212060000001</v>
      </c>
    </row>
    <row r="895" spans="1:12" x14ac:dyDescent="0.3">
      <c r="A895" s="15" t="s">
        <v>2301</v>
      </c>
      <c r="L895">
        <v>7.1116463679999997</v>
      </c>
    </row>
    <row r="896" spans="1:12" x14ac:dyDescent="0.3">
      <c r="A896" s="15" t="s">
        <v>2303</v>
      </c>
      <c r="L896">
        <v>3.9123731039999998</v>
      </c>
    </row>
    <row r="897" spans="1:12" x14ac:dyDescent="0.3">
      <c r="A897" s="15" t="s">
        <v>2305</v>
      </c>
      <c r="L897">
        <v>-0.17496372299999999</v>
      </c>
    </row>
    <row r="898" spans="1:12" x14ac:dyDescent="0.3">
      <c r="A898" s="15" t="s">
        <v>2307</v>
      </c>
      <c r="L898">
        <v>-1.4201788950000001</v>
      </c>
    </row>
    <row r="899" spans="1:12" x14ac:dyDescent="0.3">
      <c r="A899" s="15" t="s">
        <v>2309</v>
      </c>
      <c r="L899">
        <v>4.1836923280000002</v>
      </c>
    </row>
    <row r="900" spans="1:12" x14ac:dyDescent="0.3">
      <c r="A900" s="15" t="s">
        <v>2311</v>
      </c>
      <c r="L900">
        <v>6.2343631159999999</v>
      </c>
    </row>
    <row r="901" spans="1:12" x14ac:dyDescent="0.3">
      <c r="A901" s="15" t="s">
        <v>2313</v>
      </c>
      <c r="L901">
        <v>7.2220788010000003</v>
      </c>
    </row>
    <row r="902" spans="1:12" x14ac:dyDescent="0.3">
      <c r="A902" s="15" t="s">
        <v>2316</v>
      </c>
      <c r="L902">
        <v>5.9523365699999999</v>
      </c>
    </row>
    <row r="903" spans="1:12" x14ac:dyDescent="0.3">
      <c r="A903" s="15" t="s">
        <v>2319</v>
      </c>
      <c r="L903">
        <v>6.4356554460000002</v>
      </c>
    </row>
    <row r="904" spans="1:12" x14ac:dyDescent="0.3">
      <c r="A904" s="15" t="s">
        <v>2321</v>
      </c>
      <c r="L904">
        <v>5.9508671089999998</v>
      </c>
    </row>
    <row r="905" spans="1:12" x14ac:dyDescent="0.3">
      <c r="A905" s="15" t="s">
        <v>2323</v>
      </c>
      <c r="L905">
        <v>3.9501788630000001</v>
      </c>
    </row>
    <row r="906" spans="1:12" x14ac:dyDescent="0.3">
      <c r="A906" s="15" t="s">
        <v>2326</v>
      </c>
      <c r="L906">
        <v>9.0923998259999994</v>
      </c>
    </row>
    <row r="907" spans="1:12" x14ac:dyDescent="0.3">
      <c r="A907" s="15" t="s">
        <v>2328</v>
      </c>
      <c r="L907">
        <v>6.4512236940000003</v>
      </c>
    </row>
    <row r="908" spans="1:12" x14ac:dyDescent="0.3">
      <c r="A908" s="15" t="s">
        <v>2330</v>
      </c>
      <c r="L908">
        <v>6.3187365340000001</v>
      </c>
    </row>
    <row r="909" spans="1:12" x14ac:dyDescent="0.3">
      <c r="A909" s="15" t="s">
        <v>2332</v>
      </c>
      <c r="L909">
        <v>4.4551010150000003</v>
      </c>
    </row>
    <row r="910" spans="1:12" x14ac:dyDescent="0.3">
      <c r="A910" s="15" t="s">
        <v>2334</v>
      </c>
      <c r="L910">
        <v>4.7867650050000004</v>
      </c>
    </row>
    <row r="911" spans="1:12" x14ac:dyDescent="0.3">
      <c r="A911" s="15" t="s">
        <v>2337</v>
      </c>
      <c r="L911">
        <v>6.5312558430000003</v>
      </c>
    </row>
    <row r="912" spans="1:12" x14ac:dyDescent="0.3">
      <c r="A912" s="15" t="s">
        <v>2339</v>
      </c>
      <c r="L912">
        <v>5.2436956700000001</v>
      </c>
    </row>
    <row r="913" spans="1:12" x14ac:dyDescent="0.3">
      <c r="A913" s="15" t="s">
        <v>2342</v>
      </c>
      <c r="L913">
        <v>6.7982294169999999</v>
      </c>
    </row>
    <row r="914" spans="1:12" x14ac:dyDescent="0.3">
      <c r="A914" s="15" t="s">
        <v>2344</v>
      </c>
      <c r="L914">
        <v>4.5338786420000003</v>
      </c>
    </row>
    <row r="915" spans="1:12" x14ac:dyDescent="0.3">
      <c r="A915" s="15" t="s">
        <v>2346</v>
      </c>
      <c r="L915">
        <v>5.372867243</v>
      </c>
    </row>
    <row r="916" spans="1:12" x14ac:dyDescent="0.3">
      <c r="A916" s="15" t="s">
        <v>2349</v>
      </c>
      <c r="L916">
        <v>2.9108217700000001</v>
      </c>
    </row>
    <row r="917" spans="1:12" x14ac:dyDescent="0.3">
      <c r="A917" s="15" t="s">
        <v>2351</v>
      </c>
      <c r="L917">
        <v>5.6548415350000001</v>
      </c>
    </row>
    <row r="918" spans="1:12" x14ac:dyDescent="0.3">
      <c r="A918" s="15" t="s">
        <v>2353</v>
      </c>
      <c r="L918">
        <v>6.2884790529999997</v>
      </c>
    </row>
    <row r="919" spans="1:12" x14ac:dyDescent="0.3">
      <c r="A919" s="15" t="s">
        <v>2355</v>
      </c>
      <c r="L919">
        <v>7.6500159810000001</v>
      </c>
    </row>
    <row r="920" spans="1:12" x14ac:dyDescent="0.3">
      <c r="A920" s="15" t="s">
        <v>2357</v>
      </c>
      <c r="L920">
        <v>7.5561050859999996</v>
      </c>
    </row>
    <row r="921" spans="1:12" x14ac:dyDescent="0.3">
      <c r="A921" s="15" t="s">
        <v>2359</v>
      </c>
      <c r="L921">
        <v>5.7633601329999999</v>
      </c>
    </row>
    <row r="922" spans="1:12" x14ac:dyDescent="0.3">
      <c r="A922" s="15" t="s">
        <v>2361</v>
      </c>
      <c r="L922">
        <v>7.638830596</v>
      </c>
    </row>
    <row r="923" spans="1:12" x14ac:dyDescent="0.3">
      <c r="A923" s="15" t="s">
        <v>2363</v>
      </c>
      <c r="L923">
        <v>6.4167942839999998</v>
      </c>
    </row>
    <row r="924" spans="1:12" x14ac:dyDescent="0.3">
      <c r="A924" s="15" t="s">
        <v>2365</v>
      </c>
      <c r="L924">
        <v>1.6365028129999999</v>
      </c>
    </row>
    <row r="925" spans="1:12" x14ac:dyDescent="0.3">
      <c r="A925" s="15" t="s">
        <v>2367</v>
      </c>
      <c r="L925">
        <v>4.7682935710000001</v>
      </c>
    </row>
    <row r="926" spans="1:12" x14ac:dyDescent="0.3">
      <c r="A926" s="15" t="s">
        <v>2369</v>
      </c>
      <c r="L926">
        <v>10.365879319999999</v>
      </c>
    </row>
    <row r="927" spans="1:12" x14ac:dyDescent="0.3">
      <c r="A927" s="15" t="s">
        <v>2371</v>
      </c>
      <c r="L927">
        <v>7.1613572760000004</v>
      </c>
    </row>
    <row r="928" spans="1:12" x14ac:dyDescent="0.3">
      <c r="A928" s="15" t="s">
        <v>2373</v>
      </c>
      <c r="L928">
        <v>7.1330110549999999</v>
      </c>
    </row>
    <row r="929" spans="1:12" x14ac:dyDescent="0.3">
      <c r="A929" s="15" t="s">
        <v>2375</v>
      </c>
      <c r="L929">
        <v>3.893059037</v>
      </c>
    </row>
    <row r="930" spans="1:12" x14ac:dyDescent="0.3">
      <c r="A930" s="15" t="s">
        <v>2377</v>
      </c>
      <c r="L930">
        <v>6.751118806</v>
      </c>
    </row>
    <row r="931" spans="1:12" x14ac:dyDescent="0.3">
      <c r="A931" s="15" t="s">
        <v>2379</v>
      </c>
      <c r="L931">
        <v>5.3668877330000004</v>
      </c>
    </row>
    <row r="932" spans="1:12" x14ac:dyDescent="0.3">
      <c r="A932" s="15" t="s">
        <v>2382</v>
      </c>
      <c r="L932">
        <v>6.8170682840000003</v>
      </c>
    </row>
    <row r="933" spans="1:12" x14ac:dyDescent="0.3">
      <c r="A933" s="15" t="s">
        <v>2384</v>
      </c>
      <c r="L933">
        <v>10.515709879999999</v>
      </c>
    </row>
    <row r="934" spans="1:12" x14ac:dyDescent="0.3">
      <c r="A934" s="15" t="s">
        <v>2386</v>
      </c>
      <c r="L934">
        <v>5.6599003440000004</v>
      </c>
    </row>
    <row r="935" spans="1:12" x14ac:dyDescent="0.3">
      <c r="A935" s="15" t="s">
        <v>2389</v>
      </c>
      <c r="L935">
        <v>5.4825289420000001</v>
      </c>
    </row>
    <row r="936" spans="1:12" x14ac:dyDescent="0.3">
      <c r="A936" s="15" t="s">
        <v>2391</v>
      </c>
      <c r="L936">
        <v>7.2391474010000003</v>
      </c>
    </row>
    <row r="937" spans="1:12" x14ac:dyDescent="0.3">
      <c r="A937" s="15" t="s">
        <v>2393</v>
      </c>
      <c r="L937">
        <v>5.7328943819999996</v>
      </c>
    </row>
    <row r="938" spans="1:12" x14ac:dyDescent="0.3">
      <c r="A938" s="15" t="s">
        <v>2395</v>
      </c>
      <c r="L938">
        <v>6.4573177370000003</v>
      </c>
    </row>
    <row r="939" spans="1:12" x14ac:dyDescent="0.3">
      <c r="A939" s="15" t="s">
        <v>2397</v>
      </c>
      <c r="L939">
        <v>6.7294726100000002</v>
      </c>
    </row>
    <row r="940" spans="1:12" x14ac:dyDescent="0.3">
      <c r="A940" s="15" t="s">
        <v>2399</v>
      </c>
      <c r="L940">
        <v>5.5919840189999999</v>
      </c>
    </row>
    <row r="941" spans="1:12" x14ac:dyDescent="0.3">
      <c r="A941" s="15" t="s">
        <v>2401</v>
      </c>
      <c r="L941">
        <v>6.4195077019999998</v>
      </c>
    </row>
    <row r="942" spans="1:12" x14ac:dyDescent="0.3">
      <c r="A942" s="15" t="s">
        <v>2403</v>
      </c>
      <c r="L942">
        <v>5.2105283419999999</v>
      </c>
    </row>
    <row r="943" spans="1:12" x14ac:dyDescent="0.3">
      <c r="A943" s="15" t="s">
        <v>2405</v>
      </c>
      <c r="L943">
        <v>5.9723008990000004</v>
      </c>
    </row>
    <row r="944" spans="1:12" x14ac:dyDescent="0.3">
      <c r="A944" s="15" t="s">
        <v>2408</v>
      </c>
      <c r="L944">
        <v>3.2054728350000001</v>
      </c>
    </row>
    <row r="945" spans="1:12" x14ac:dyDescent="0.3">
      <c r="A945" s="15" t="s">
        <v>2410</v>
      </c>
      <c r="L945">
        <v>9.4985162150000004</v>
      </c>
    </row>
    <row r="946" spans="1:12" x14ac:dyDescent="0.3">
      <c r="A946" s="15" t="s">
        <v>2412</v>
      </c>
      <c r="L946">
        <v>4.4177687639999998</v>
      </c>
    </row>
    <row r="947" spans="1:12" x14ac:dyDescent="0.3">
      <c r="A947" s="15" t="s">
        <v>2415</v>
      </c>
      <c r="L947">
        <v>5.9358978100000002</v>
      </c>
    </row>
    <row r="948" spans="1:12" x14ac:dyDescent="0.3">
      <c r="A948" s="15" t="s">
        <v>2417</v>
      </c>
      <c r="L948">
        <v>1.9905319109999999</v>
      </c>
    </row>
    <row r="949" spans="1:12" x14ac:dyDescent="0.3">
      <c r="A949" s="15" t="s">
        <v>2419</v>
      </c>
      <c r="L949">
        <v>8.8922701620000009</v>
      </c>
    </row>
    <row r="950" spans="1:12" x14ac:dyDescent="0.3">
      <c r="A950" s="15" t="s">
        <v>2421</v>
      </c>
      <c r="L950">
        <v>6.7974347110000002</v>
      </c>
    </row>
    <row r="951" spans="1:12" x14ac:dyDescent="0.3">
      <c r="A951" s="15" t="s">
        <v>2423</v>
      </c>
      <c r="L951">
        <v>0.80374987600000003</v>
      </c>
    </row>
    <row r="952" spans="1:12" x14ac:dyDescent="0.3">
      <c r="A952" s="15" t="s">
        <v>2426</v>
      </c>
      <c r="L952">
        <v>5.9534398639999999</v>
      </c>
    </row>
    <row r="953" spans="1:12" x14ac:dyDescent="0.3">
      <c r="A953" s="15" t="s">
        <v>2428</v>
      </c>
      <c r="L953">
        <v>6.0384375830000003</v>
      </c>
    </row>
    <row r="954" spans="1:12" x14ac:dyDescent="0.3">
      <c r="A954" s="15" t="s">
        <v>2430</v>
      </c>
      <c r="L954">
        <v>6.3167777620000001</v>
      </c>
    </row>
    <row r="955" spans="1:12" x14ac:dyDescent="0.3">
      <c r="A955" s="15" t="s">
        <v>2432</v>
      </c>
      <c r="L955">
        <v>-0.25282767299999998</v>
      </c>
    </row>
    <row r="956" spans="1:12" x14ac:dyDescent="0.3">
      <c r="A956" s="15" t="s">
        <v>2434</v>
      </c>
      <c r="C956">
        <v>-1.1691658789999999</v>
      </c>
    </row>
    <row r="957" spans="1:12" x14ac:dyDescent="0.3">
      <c r="A957" s="15" t="s">
        <v>2436</v>
      </c>
      <c r="F957">
        <v>7.676698902</v>
      </c>
    </row>
    <row r="958" spans="1:12" x14ac:dyDescent="0.3">
      <c r="A958" s="15" t="s">
        <v>2439</v>
      </c>
      <c r="F958">
        <v>6.4442586869999996</v>
      </c>
    </row>
    <row r="959" spans="1:12" x14ac:dyDescent="0.3">
      <c r="A959" s="15" t="s">
        <v>2442</v>
      </c>
      <c r="F959">
        <v>4.3163154549999998</v>
      </c>
    </row>
    <row r="960" spans="1:12" x14ac:dyDescent="0.3">
      <c r="A960" s="15" t="s">
        <v>2444</v>
      </c>
      <c r="F960">
        <v>10.35901451</v>
      </c>
    </row>
    <row r="961" spans="1:10" x14ac:dyDescent="0.3">
      <c r="A961" s="15" t="s">
        <v>2446</v>
      </c>
      <c r="F961">
        <v>1.172703692</v>
      </c>
    </row>
    <row r="962" spans="1:10" x14ac:dyDescent="0.3">
      <c r="A962" s="15" t="s">
        <v>2447</v>
      </c>
      <c r="F962">
        <v>7.7719955619999999</v>
      </c>
    </row>
    <row r="963" spans="1:10" x14ac:dyDescent="0.3">
      <c r="A963" s="15" t="s">
        <v>2449</v>
      </c>
      <c r="F963">
        <v>-1.3268812729999999</v>
      </c>
    </row>
    <row r="964" spans="1:10" x14ac:dyDescent="0.3">
      <c r="A964" s="15" t="s">
        <v>2451</v>
      </c>
      <c r="F964">
        <v>5.1625018530000002</v>
      </c>
    </row>
    <row r="965" spans="1:10" x14ac:dyDescent="0.3">
      <c r="A965" s="15" t="s">
        <v>2452</v>
      </c>
      <c r="F965">
        <v>9.0988914909999998</v>
      </c>
    </row>
    <row r="966" spans="1:10" x14ac:dyDescent="0.3">
      <c r="A966" s="15" t="s">
        <v>2454</v>
      </c>
      <c r="F966">
        <v>5.1691810089999999</v>
      </c>
    </row>
    <row r="967" spans="1:10" x14ac:dyDescent="0.3">
      <c r="A967" s="15" t="s">
        <v>2455</v>
      </c>
      <c r="F967">
        <v>5.4933990130000003</v>
      </c>
    </row>
    <row r="968" spans="1:10" x14ac:dyDescent="0.3">
      <c r="A968" s="15" t="s">
        <v>2457</v>
      </c>
      <c r="F968">
        <v>5.6464658249999999</v>
      </c>
    </row>
    <row r="969" spans="1:10" x14ac:dyDescent="0.3">
      <c r="A969" s="15" t="s">
        <v>2458</v>
      </c>
      <c r="F969">
        <v>4.5536058810000002</v>
      </c>
    </row>
    <row r="970" spans="1:10" x14ac:dyDescent="0.3">
      <c r="A970" s="15" t="s">
        <v>2461</v>
      </c>
      <c r="F970">
        <v>7.8600513840000001</v>
      </c>
    </row>
    <row r="971" spans="1:10" x14ac:dyDescent="0.3">
      <c r="A971" s="15" t="s">
        <v>2462</v>
      </c>
      <c r="F971">
        <v>8.4021259260000001</v>
      </c>
    </row>
    <row r="972" spans="1:10" x14ac:dyDescent="0.3">
      <c r="A972" s="15" t="s">
        <v>2466</v>
      </c>
      <c r="F972">
        <v>6.2372421649999996</v>
      </c>
    </row>
    <row r="973" spans="1:10" x14ac:dyDescent="0.3">
      <c r="A973" s="15" t="s">
        <v>2473</v>
      </c>
      <c r="F973">
        <v>5.2302281119999998</v>
      </c>
    </row>
    <row r="974" spans="1:10" x14ac:dyDescent="0.3">
      <c r="A974" s="15" t="s">
        <v>2475</v>
      </c>
      <c r="F974">
        <v>2.5178868639999998</v>
      </c>
    </row>
    <row r="975" spans="1:10" x14ac:dyDescent="0.3">
      <c r="A975" s="15" t="s">
        <v>2477</v>
      </c>
      <c r="F975">
        <v>6.2071190280000001</v>
      </c>
    </row>
    <row r="976" spans="1:10" x14ac:dyDescent="0.3">
      <c r="A976" s="15" t="s">
        <v>2479</v>
      </c>
      <c r="J976">
        <v>8.7866986669999996</v>
      </c>
    </row>
    <row r="977" spans="1:10" x14ac:dyDescent="0.3">
      <c r="A977" s="15" t="s">
        <v>2482</v>
      </c>
      <c r="J977">
        <v>3.752539466</v>
      </c>
    </row>
    <row r="978" spans="1:10" x14ac:dyDescent="0.3">
      <c r="A978" s="15" t="s">
        <v>2485</v>
      </c>
      <c r="J978">
        <v>4.143578626</v>
      </c>
    </row>
    <row r="979" spans="1:10" x14ac:dyDescent="0.3">
      <c r="A979" s="15" t="s">
        <v>2492</v>
      </c>
      <c r="J979">
        <v>6.977617306</v>
      </c>
    </row>
    <row r="980" spans="1:10" x14ac:dyDescent="0.3">
      <c r="A980" s="15" t="s">
        <v>2496</v>
      </c>
      <c r="J980">
        <v>6.1231649890000002</v>
      </c>
    </row>
    <row r="981" spans="1:10" x14ac:dyDescent="0.3">
      <c r="A981" s="15" t="s">
        <v>2506</v>
      </c>
      <c r="F981">
        <v>2.5285279159999998</v>
      </c>
    </row>
    <row r="982" spans="1:10" x14ac:dyDescent="0.3">
      <c r="A982" s="15" t="s">
        <v>2507</v>
      </c>
      <c r="F982">
        <v>6.0310133510000004</v>
      </c>
    </row>
    <row r="983" spans="1:10" x14ac:dyDescent="0.3">
      <c r="A983" s="15" t="s">
        <v>2509</v>
      </c>
      <c r="F983">
        <v>5.0406416030000001</v>
      </c>
    </row>
    <row r="984" spans="1:10" x14ac:dyDescent="0.3">
      <c r="A984" s="15" t="s">
        <v>2511</v>
      </c>
      <c r="F984">
        <v>4.5856357570000004</v>
      </c>
    </row>
    <row r="985" spans="1:10" x14ac:dyDescent="0.3">
      <c r="A985" s="15" t="s">
        <v>2514</v>
      </c>
      <c r="J985">
        <v>2.1530488000000001</v>
      </c>
    </row>
    <row r="986" spans="1:10" x14ac:dyDescent="0.3">
      <c r="A986" s="15" t="s">
        <v>2516</v>
      </c>
      <c r="J986">
        <v>4.4628602700000002</v>
      </c>
    </row>
    <row r="987" spans="1:10" x14ac:dyDescent="0.3">
      <c r="A987" s="15" t="s">
        <v>2517</v>
      </c>
      <c r="J987">
        <v>6.2033232380000003</v>
      </c>
    </row>
    <row r="988" spans="1:10" x14ac:dyDescent="0.3">
      <c r="A988" s="15" t="s">
        <v>2518</v>
      </c>
      <c r="J988">
        <v>3.949742799</v>
      </c>
    </row>
    <row r="989" spans="1:10" x14ac:dyDescent="0.3">
      <c r="A989" s="15" t="s">
        <v>2519</v>
      </c>
      <c r="J989">
        <v>5.3447673250000003</v>
      </c>
    </row>
    <row r="990" spans="1:10" x14ac:dyDescent="0.3">
      <c r="A990" s="15" t="s">
        <v>2520</v>
      </c>
      <c r="J990">
        <v>5.4847364299999999</v>
      </c>
    </row>
    <row r="991" spans="1:10" x14ac:dyDescent="0.3">
      <c r="A991" s="15" t="s">
        <v>2522</v>
      </c>
      <c r="J991">
        <v>5.6689400120000002</v>
      </c>
    </row>
    <row r="992" spans="1:10" x14ac:dyDescent="0.3">
      <c r="A992" s="15" t="s">
        <v>2523</v>
      </c>
      <c r="J992">
        <v>5.7858879239999998</v>
      </c>
    </row>
    <row r="993" spans="1:10" x14ac:dyDescent="0.3">
      <c r="A993" s="15" t="s">
        <v>2524</v>
      </c>
      <c r="J993">
        <v>8.4768643539999999</v>
      </c>
    </row>
    <row r="994" spans="1:10" x14ac:dyDescent="0.3">
      <c r="A994" s="15" t="s">
        <v>2525</v>
      </c>
      <c r="J994">
        <v>3.9924647470000001</v>
      </c>
    </row>
    <row r="995" spans="1:10" x14ac:dyDescent="0.3">
      <c r="A995" s="15" t="s">
        <v>2526</v>
      </c>
      <c r="J995">
        <v>5.846348087</v>
      </c>
    </row>
    <row r="996" spans="1:10" x14ac:dyDescent="0.3">
      <c r="A996" s="15" t="s">
        <v>2527</v>
      </c>
      <c r="J996">
        <v>3.9188431449999999</v>
      </c>
    </row>
    <row r="997" spans="1:10" x14ac:dyDescent="0.3">
      <c r="A997" s="15" t="s">
        <v>2528</v>
      </c>
      <c r="F997">
        <v>-0.122695718</v>
      </c>
    </row>
    <row r="998" spans="1:10" x14ac:dyDescent="0.3">
      <c r="A998" s="15" t="s">
        <v>2530</v>
      </c>
      <c r="F998">
        <v>7.5331980180000002</v>
      </c>
    </row>
    <row r="999" spans="1:10" x14ac:dyDescent="0.3">
      <c r="A999" s="15" t="s">
        <v>2532</v>
      </c>
      <c r="F999">
        <v>1.0004153469999999</v>
      </c>
    </row>
    <row r="1000" spans="1:10" x14ac:dyDescent="0.3">
      <c r="A1000" s="15" t="s">
        <v>2534</v>
      </c>
      <c r="F1000">
        <v>9.3910979920000006</v>
      </c>
    </row>
    <row r="1001" spans="1:10" x14ac:dyDescent="0.3">
      <c r="A1001" s="15" t="s">
        <v>2536</v>
      </c>
      <c r="J1001">
        <v>6.5498429930000004</v>
      </c>
    </row>
    <row r="1002" spans="1:10" x14ac:dyDescent="0.3">
      <c r="A1002" s="15" t="s">
        <v>2537</v>
      </c>
      <c r="J1002">
        <v>1.9317109560000001</v>
      </c>
    </row>
    <row r="1003" spans="1:10" x14ac:dyDescent="0.3">
      <c r="A1003" s="15" t="s">
        <v>2540</v>
      </c>
      <c r="J1003">
        <v>7.6493825000000001E-2</v>
      </c>
    </row>
    <row r="1004" spans="1:10" x14ac:dyDescent="0.3">
      <c r="A1004" s="15" t="s">
        <v>2542</v>
      </c>
      <c r="J1004">
        <v>5.7324705959999998</v>
      </c>
    </row>
    <row r="1005" spans="1:10" x14ac:dyDescent="0.3">
      <c r="A1005" s="15" t="s">
        <v>2545</v>
      </c>
      <c r="J1005">
        <v>6.6736759040000004</v>
      </c>
    </row>
    <row r="1006" spans="1:10" x14ac:dyDescent="0.3">
      <c r="A1006" s="15" t="s">
        <v>2546</v>
      </c>
      <c r="J1006">
        <v>2.9757540730000001</v>
      </c>
    </row>
    <row r="1007" spans="1:10" x14ac:dyDescent="0.3">
      <c r="A1007" s="15" t="s">
        <v>2549</v>
      </c>
      <c r="F1007">
        <v>8.1514992339999992</v>
      </c>
    </row>
    <row r="1008" spans="1:10" x14ac:dyDescent="0.3">
      <c r="A1008" s="15" t="s">
        <v>2550</v>
      </c>
      <c r="F1008">
        <v>4.5674128239999998</v>
      </c>
    </row>
    <row r="1009" spans="1:10" x14ac:dyDescent="0.3">
      <c r="A1009" s="15" t="s">
        <v>2552</v>
      </c>
      <c r="F1009">
        <v>6.7541484350000003</v>
      </c>
    </row>
    <row r="1010" spans="1:10" x14ac:dyDescent="0.3">
      <c r="A1010" s="15" t="s">
        <v>2554</v>
      </c>
      <c r="J1010">
        <v>4.3369842680000001</v>
      </c>
    </row>
    <row r="1011" spans="1:10" x14ac:dyDescent="0.3">
      <c r="A1011" s="15" t="s">
        <v>2556</v>
      </c>
      <c r="G1011">
        <v>5.7561244809999996</v>
      </c>
    </row>
    <row r="1012" spans="1:10" x14ac:dyDescent="0.3">
      <c r="A1012" s="15" t="s">
        <v>2557</v>
      </c>
      <c r="G1012">
        <v>5.4081495029999997</v>
      </c>
    </row>
    <row r="1013" spans="1:10" x14ac:dyDescent="0.3">
      <c r="A1013" s="15" t="s">
        <v>2558</v>
      </c>
      <c r="G1013">
        <v>6.6833936920000001</v>
      </c>
    </row>
    <row r="1014" spans="1:10" x14ac:dyDescent="0.3">
      <c r="A1014" s="15" t="s">
        <v>2559</v>
      </c>
      <c r="G1014">
        <v>6.6358109839999999</v>
      </c>
    </row>
    <row r="1015" spans="1:10" x14ac:dyDescent="0.3">
      <c r="A1015" s="15" t="s">
        <v>2560</v>
      </c>
      <c r="G1015">
        <v>1.9911728580000001</v>
      </c>
    </row>
    <row r="1016" spans="1:10" x14ac:dyDescent="0.3">
      <c r="A1016" s="15" t="s">
        <v>2562</v>
      </c>
      <c r="G1016">
        <v>5.8278533020000003</v>
      </c>
    </row>
    <row r="1017" spans="1:10" x14ac:dyDescent="0.3">
      <c r="A1017" s="15" t="s">
        <v>2563</v>
      </c>
      <c r="J1017">
        <v>0.56348616100000004</v>
      </c>
    </row>
    <row r="1018" spans="1:10" x14ac:dyDescent="0.3">
      <c r="A1018" s="15" t="s">
        <v>2565</v>
      </c>
      <c r="J1018">
        <v>8.9286055609999995</v>
      </c>
    </row>
    <row r="1019" spans="1:10" x14ac:dyDescent="0.3">
      <c r="A1019" s="15" t="s">
        <v>2567</v>
      </c>
      <c r="J1019">
        <v>5.8909670680000001</v>
      </c>
    </row>
    <row r="1020" spans="1:10" x14ac:dyDescent="0.3">
      <c r="A1020" s="15" t="s">
        <v>2572</v>
      </c>
      <c r="G1020">
        <v>4.7827868699999998</v>
      </c>
    </row>
    <row r="1021" spans="1:10" x14ac:dyDescent="0.3">
      <c r="A1021" s="15" t="s">
        <v>2574</v>
      </c>
      <c r="G1021">
        <v>4.8630116880000003</v>
      </c>
    </row>
    <row r="1022" spans="1:10" x14ac:dyDescent="0.3">
      <c r="A1022" s="15" t="s">
        <v>2578</v>
      </c>
      <c r="G1022">
        <v>8.0096764</v>
      </c>
    </row>
    <row r="1023" spans="1:10" x14ac:dyDescent="0.3">
      <c r="A1023" s="15" t="s">
        <v>2580</v>
      </c>
      <c r="G1023">
        <v>6.6276773269999998</v>
      </c>
    </row>
    <row r="1024" spans="1:10" x14ac:dyDescent="0.3">
      <c r="A1024" s="15" t="s">
        <v>2582</v>
      </c>
      <c r="G1024">
        <v>7.1829979780000004</v>
      </c>
    </row>
    <row r="1025" spans="1:11" x14ac:dyDescent="0.3">
      <c r="A1025" s="15" t="s">
        <v>2585</v>
      </c>
      <c r="G1025">
        <v>7.2495956589999997</v>
      </c>
    </row>
    <row r="1026" spans="1:11" x14ac:dyDescent="0.3">
      <c r="A1026" s="15" t="s">
        <v>2588</v>
      </c>
      <c r="G1026">
        <v>7.3712855289999997</v>
      </c>
    </row>
    <row r="1027" spans="1:11" x14ac:dyDescent="0.3">
      <c r="A1027" s="15" t="s">
        <v>2590</v>
      </c>
      <c r="G1027">
        <v>5.9642307929999996</v>
      </c>
    </row>
    <row r="1028" spans="1:11" x14ac:dyDescent="0.3">
      <c r="A1028" s="15" t="s">
        <v>2592</v>
      </c>
      <c r="G1028">
        <v>6.4662387350000001</v>
      </c>
    </row>
    <row r="1029" spans="1:11" x14ac:dyDescent="0.3">
      <c r="A1029" s="15" t="s">
        <v>2594</v>
      </c>
      <c r="G1029">
        <v>6.2458319260000001</v>
      </c>
    </row>
    <row r="1030" spans="1:11" x14ac:dyDescent="0.3">
      <c r="A1030" s="15" t="s">
        <v>2596</v>
      </c>
      <c r="G1030">
        <v>8.6048152160000004</v>
      </c>
    </row>
    <row r="1031" spans="1:11" x14ac:dyDescent="0.3">
      <c r="A1031" s="15" t="s">
        <v>2640</v>
      </c>
      <c r="C1031">
        <v>4.303145512077255</v>
      </c>
    </row>
    <row r="1032" spans="1:11" x14ac:dyDescent="0.3">
      <c r="A1032" s="15" t="s">
        <v>2659</v>
      </c>
      <c r="C1032">
        <v>0.65172609636182832</v>
      </c>
    </row>
    <row r="1033" spans="1:11" x14ac:dyDescent="0.3">
      <c r="A1033" s="15" t="s">
        <v>2642</v>
      </c>
      <c r="C1033">
        <v>2.7406756114669628</v>
      </c>
    </row>
    <row r="1034" spans="1:11" x14ac:dyDescent="0.3">
      <c r="A1034" s="15" t="s">
        <v>2658</v>
      </c>
      <c r="C1034">
        <v>-0.37463331092662133</v>
      </c>
    </row>
    <row r="1035" spans="1:11" x14ac:dyDescent="0.3">
      <c r="A1035" s="15" t="s">
        <v>2657</v>
      </c>
      <c r="K1035">
        <v>4.4813557011342304</v>
      </c>
    </row>
    <row r="1036" spans="1:11" x14ac:dyDescent="0.3">
      <c r="A1036" s="15" t="s">
        <v>2656</v>
      </c>
      <c r="K1036">
        <v>4.6636115257952433</v>
      </c>
    </row>
    <row r="1037" spans="1:11" x14ac:dyDescent="0.3">
      <c r="A1037" s="15" t="s">
        <v>2655</v>
      </c>
      <c r="C1037">
        <v>1.5919531131477958</v>
      </c>
    </row>
    <row r="1038" spans="1:11" x14ac:dyDescent="0.3">
      <c r="A1038" s="15" t="s">
        <v>2654</v>
      </c>
      <c r="C1038">
        <v>-0.63101091745464055</v>
      </c>
    </row>
    <row r="1039" spans="1:11" x14ac:dyDescent="0.3">
      <c r="A1039" s="15" t="s">
        <v>2653</v>
      </c>
      <c r="C1039">
        <v>-1.1351922241528278</v>
      </c>
    </row>
    <row r="1040" spans="1:11" x14ac:dyDescent="0.3">
      <c r="A1040" s="15" t="s">
        <v>2652</v>
      </c>
      <c r="C1040">
        <v>1.5747509275122344</v>
      </c>
    </row>
    <row r="1041" spans="1:3" x14ac:dyDescent="0.3">
      <c r="A1041" s="15" t="s">
        <v>2651</v>
      </c>
      <c r="C1041">
        <v>-1.3106764455763671</v>
      </c>
    </row>
    <row r="1042" spans="1:3" x14ac:dyDescent="0.3">
      <c r="A1042" s="15" t="s">
        <v>2650</v>
      </c>
      <c r="C1042">
        <v>2.0368459365255687</v>
      </c>
    </row>
    <row r="1043" spans="1:3" x14ac:dyDescent="0.3">
      <c r="A1043" s="15" t="s">
        <v>2649</v>
      </c>
      <c r="C1043">
        <v>0.6062469160672852</v>
      </c>
    </row>
    <row r="1044" spans="1:3" x14ac:dyDescent="0.3">
      <c r="A1044" s="15" t="s">
        <v>2648</v>
      </c>
      <c r="C1044">
        <v>6.7388229332522256</v>
      </c>
    </row>
    <row r="1045" spans="1:3" x14ac:dyDescent="0.3">
      <c r="A1045" s="15" t="s">
        <v>2647</v>
      </c>
      <c r="C1045">
        <v>4.3163520451468553</v>
      </c>
    </row>
    <row r="1046" spans="1:3" x14ac:dyDescent="0.3">
      <c r="A1046" s="15" t="s">
        <v>2646</v>
      </c>
      <c r="C1046">
        <v>-0.78862924886818908</v>
      </c>
    </row>
    <row r="1047" spans="1:3" x14ac:dyDescent="0.3">
      <c r="A1047" s="15" t="s">
        <v>2645</v>
      </c>
      <c r="C1047">
        <v>1.2578462762450267</v>
      </c>
    </row>
    <row r="1048" spans="1:3" x14ac:dyDescent="0.3">
      <c r="A1048" s="15" t="s">
        <v>2644</v>
      </c>
      <c r="C1048">
        <v>2.0479478071630148</v>
      </c>
    </row>
    <row r="1049" spans="1:3" x14ac:dyDescent="0.3">
      <c r="A1049" s="15" t="s">
        <v>2643</v>
      </c>
      <c r="C1049">
        <v>1.4755743795724348</v>
      </c>
    </row>
    <row r="1050" spans="1:3" x14ac:dyDescent="0.3">
      <c r="A1050" s="15" t="s">
        <v>2641</v>
      </c>
      <c r="C1050">
        <v>2.5328247165417843</v>
      </c>
    </row>
    <row r="1051" spans="1:3" x14ac:dyDescent="0.3">
      <c r="A1051" s="15" t="s">
        <v>2639</v>
      </c>
      <c r="C1051">
        <v>-0.16429921586171181</v>
      </c>
    </row>
    <row r="1052" spans="1:3" x14ac:dyDescent="0.3">
      <c r="A1052" s="15" t="s">
        <v>2638</v>
      </c>
      <c r="C1052">
        <v>1.3105372472643015</v>
      </c>
    </row>
    <row r="1053" spans="1:3" x14ac:dyDescent="0.3">
      <c r="A1053" s="15" t="s">
        <v>2637</v>
      </c>
      <c r="C1053">
        <v>0.12422535017686376</v>
      </c>
    </row>
    <row r="1054" spans="1:3" x14ac:dyDescent="0.3">
      <c r="A1054" s="15" t="s">
        <v>2636</v>
      </c>
      <c r="C1054">
        <v>2.3573002094732995</v>
      </c>
    </row>
    <row r="1055" spans="1:3" x14ac:dyDescent="0.3">
      <c r="A1055" s="15" t="s">
        <v>2635</v>
      </c>
      <c r="C1055">
        <v>-5.8946983736034131E-2</v>
      </c>
    </row>
    <row r="1056" spans="1:3" x14ac:dyDescent="0.3">
      <c r="A1056" s="15" t="s">
        <v>2634</v>
      </c>
      <c r="C1056">
        <v>0.26806939995990509</v>
      </c>
    </row>
    <row r="1057" spans="1:12" x14ac:dyDescent="0.3">
      <c r="A1057" s="15" t="s">
        <v>2633</v>
      </c>
      <c r="C1057">
        <v>-0.3724813647843539</v>
      </c>
    </row>
    <row r="1058" spans="1:12" x14ac:dyDescent="0.3">
      <c r="A1058" s="15" t="s">
        <v>2632</v>
      </c>
      <c r="C1058">
        <v>-0.17834451207978974</v>
      </c>
    </row>
    <row r="1059" spans="1:12" x14ac:dyDescent="0.3">
      <c r="A1059" s="15" t="s">
        <v>2631</v>
      </c>
      <c r="C1059">
        <v>1.6787719117740334</v>
      </c>
    </row>
    <row r="1060" spans="1:12" x14ac:dyDescent="0.3">
      <c r="A1060" s="15" t="s">
        <v>2630</v>
      </c>
      <c r="C1060">
        <v>1.1908353991891509</v>
      </c>
    </row>
    <row r="1061" spans="1:12" x14ac:dyDescent="0.3">
      <c r="A1061" s="15" t="s">
        <v>2629</v>
      </c>
      <c r="C1061">
        <v>1.3894092580109372</v>
      </c>
    </row>
    <row r="1062" spans="1:12" x14ac:dyDescent="0.3">
      <c r="A1062" s="15" t="s">
        <v>2700</v>
      </c>
      <c r="B1062">
        <v>-1.2541429799999999</v>
      </c>
      <c r="C1062">
        <v>39.751919469488236</v>
      </c>
      <c r="D1062">
        <v>7.0613521729999995</v>
      </c>
      <c r="E1062">
        <v>-1.4370613209999998</v>
      </c>
      <c r="F1062">
        <v>1017.0001394879999</v>
      </c>
      <c r="G1062">
        <v>581.99201724800002</v>
      </c>
      <c r="H1062">
        <v>29.821546744999999</v>
      </c>
      <c r="I1062">
        <v>67.122634566000002</v>
      </c>
      <c r="J1062">
        <v>2762.7447134900021</v>
      </c>
      <c r="K1062">
        <v>14.678117864929474</v>
      </c>
      <c r="L1062">
        <v>813.26820959600002</v>
      </c>
    </row>
  </sheetData>
  <sortState xmlns:xlrd2="http://schemas.microsoft.com/office/spreadsheetml/2017/richdata2" ref="T9:T1061">
    <sortCondition ref="T9:T1061"/>
  </sortState>
  <mergeCells count="1">
    <mergeCell ref="Z27:AA27"/>
  </mergeCells>
  <pageMargins left="0.7" right="0.7" top="0.75" bottom="0.75" header="0.3" footer="0.3"/>
  <pageSetup paperSize="9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058"/>
  <sheetViews>
    <sheetView showGridLines="0" topLeftCell="H1" workbookViewId="0">
      <selection activeCell="R8" sqref="N8:R132"/>
    </sheetView>
  </sheetViews>
  <sheetFormatPr defaultColWidth="11.5546875" defaultRowHeight="14.4" x14ac:dyDescent="0.3"/>
  <cols>
    <col min="1" max="1" width="21.6640625" bestFit="1" customWidth="1"/>
    <col min="2" max="2" width="23.88671875" customWidth="1"/>
    <col min="3" max="3" width="12.6640625" customWidth="1"/>
    <col min="4" max="4" width="21.44140625" customWidth="1"/>
    <col min="5" max="5" width="12.6640625" customWidth="1"/>
    <col min="6" max="6" width="14.109375" customWidth="1"/>
    <col min="7" max="7" width="12" customWidth="1"/>
    <col min="8" max="8" width="12.88671875" customWidth="1"/>
    <col min="9" max="9" width="21.44140625" bestFit="1" customWidth="1"/>
    <col min="10" max="10" width="20.44140625" bestFit="1" customWidth="1"/>
    <col min="11" max="11" width="12" customWidth="1"/>
    <col min="12" max="12" width="12.6640625" bestFit="1" customWidth="1"/>
    <col min="13" max="13" width="12" bestFit="1" customWidth="1"/>
  </cols>
  <sheetData>
    <row r="1" spans="1:18" x14ac:dyDescent="0.3">
      <c r="A1" s="8" t="s">
        <v>2747</v>
      </c>
      <c r="B1" t="s">
        <v>2766</v>
      </c>
    </row>
    <row r="2" spans="1:18" x14ac:dyDescent="0.3">
      <c r="A2" s="8" t="s">
        <v>11</v>
      </c>
      <c r="B2" t="s">
        <v>2756</v>
      </c>
    </row>
    <row r="3" spans="1:18" x14ac:dyDescent="0.3">
      <c r="A3" s="8" t="s">
        <v>2714</v>
      </c>
      <c r="B3" t="s">
        <v>2744</v>
      </c>
    </row>
    <row r="5" spans="1:18" x14ac:dyDescent="0.3">
      <c r="A5" s="8" t="s">
        <v>2758</v>
      </c>
      <c r="B5" s="8" t="s">
        <v>2699</v>
      </c>
    </row>
    <row r="6" spans="1:18" x14ac:dyDescent="0.3">
      <c r="B6" t="s">
        <v>2696</v>
      </c>
      <c r="F6" t="s">
        <v>2695</v>
      </c>
    </row>
    <row r="7" spans="1:18" x14ac:dyDescent="0.3">
      <c r="B7" t="s">
        <v>2761</v>
      </c>
      <c r="C7" t="s">
        <v>2763</v>
      </c>
      <c r="E7" t="s">
        <v>2762</v>
      </c>
      <c r="F7" t="s">
        <v>2761</v>
      </c>
      <c r="K7" t="s">
        <v>2763</v>
      </c>
      <c r="L7" t="s">
        <v>2762</v>
      </c>
    </row>
    <row r="8" spans="1:18" x14ac:dyDescent="0.3">
      <c r="A8" s="8" t="s">
        <v>2748</v>
      </c>
      <c r="B8" t="s">
        <v>2750</v>
      </c>
      <c r="C8" t="s">
        <v>2750</v>
      </c>
      <c r="D8" t="s">
        <v>2752</v>
      </c>
      <c r="E8" t="s">
        <v>2750</v>
      </c>
      <c r="F8" t="s">
        <v>2750</v>
      </c>
      <c r="G8" t="s">
        <v>2751</v>
      </c>
      <c r="H8" t="s">
        <v>2753</v>
      </c>
      <c r="I8" t="s">
        <v>2752</v>
      </c>
      <c r="J8" t="s">
        <v>2754</v>
      </c>
      <c r="K8" t="s">
        <v>2750</v>
      </c>
      <c r="L8" t="s">
        <v>2750</v>
      </c>
      <c r="N8" t="s">
        <v>2805</v>
      </c>
      <c r="O8" t="s">
        <v>2806</v>
      </c>
      <c r="P8" t="s">
        <v>2807</v>
      </c>
      <c r="Q8" t="s">
        <v>2808</v>
      </c>
      <c r="R8" t="s">
        <v>2809</v>
      </c>
    </row>
    <row r="9" spans="1:18" x14ac:dyDescent="0.3">
      <c r="A9" s="15" t="s">
        <v>70</v>
      </c>
      <c r="J9">
        <v>4.3997488000000002</v>
      </c>
      <c r="N9">
        <v>-1.6715452049999999</v>
      </c>
      <c r="O9">
        <v>10.515709879999999</v>
      </c>
      <c r="P9">
        <v>-1.2541429799999999</v>
      </c>
      <c r="Q9">
        <v>-2.38</v>
      </c>
      <c r="R9">
        <v>-2.3141301080000001</v>
      </c>
    </row>
    <row r="10" spans="1:18" x14ac:dyDescent="0.3">
      <c r="A10" s="15" t="s">
        <v>75</v>
      </c>
      <c r="J10">
        <v>4.1794235679999998</v>
      </c>
      <c r="N10">
        <v>-1.5456571690000001</v>
      </c>
      <c r="O10">
        <v>9.1052703650000009</v>
      </c>
      <c r="P10">
        <v>1.147890852</v>
      </c>
      <c r="Q10">
        <v>1.0860827200000001</v>
      </c>
      <c r="R10">
        <v>-1.2788375329999999</v>
      </c>
    </row>
    <row r="11" spans="1:18" x14ac:dyDescent="0.3">
      <c r="A11" s="15" t="s">
        <v>79</v>
      </c>
      <c r="J11">
        <v>3.8446096700000001</v>
      </c>
      <c r="N11">
        <v>-1.413145592</v>
      </c>
      <c r="O11">
        <v>9.0923998259999994</v>
      </c>
      <c r="P11">
        <v>1.4</v>
      </c>
      <c r="Q11">
        <v>3.0585517100000001</v>
      </c>
      <c r="R11">
        <v>-0.57820553799999996</v>
      </c>
    </row>
    <row r="12" spans="1:18" x14ac:dyDescent="0.3">
      <c r="A12" s="15" t="s">
        <v>92</v>
      </c>
      <c r="F12">
        <v>4.4643169909999996</v>
      </c>
      <c r="N12">
        <v>-1.3365580610000001</v>
      </c>
      <c r="O12">
        <v>8.8922701620000009</v>
      </c>
      <c r="P12">
        <v>1.4</v>
      </c>
      <c r="Q12">
        <v>4.7433851579999997</v>
      </c>
      <c r="R12">
        <v>0.15858729199999999</v>
      </c>
    </row>
    <row r="13" spans="1:18" x14ac:dyDescent="0.3">
      <c r="A13" s="15" t="s">
        <v>95</v>
      </c>
      <c r="F13">
        <v>3.4035780510000002</v>
      </c>
      <c r="N13">
        <v>-1.3236157209999999</v>
      </c>
      <c r="O13">
        <v>8.75</v>
      </c>
      <c r="P13">
        <v>1.88</v>
      </c>
      <c r="Q13">
        <v>4.7827868699999998</v>
      </c>
      <c r="R13">
        <v>1.2550141539999999</v>
      </c>
    </row>
    <row r="14" spans="1:18" x14ac:dyDescent="0.3">
      <c r="A14" s="15" t="s">
        <v>98</v>
      </c>
      <c r="F14">
        <v>4.8024455939999999</v>
      </c>
      <c r="N14">
        <v>-1.3106764455763671</v>
      </c>
      <c r="O14">
        <v>8.603591539</v>
      </c>
      <c r="P14">
        <v>2.5178868639999998</v>
      </c>
      <c r="Q14">
        <v>4.8630116880000003</v>
      </c>
      <c r="R14">
        <v>1.274868372</v>
      </c>
    </row>
    <row r="15" spans="1:18" x14ac:dyDescent="0.3">
      <c r="A15" s="15" t="s">
        <v>104</v>
      </c>
      <c r="J15">
        <v>6.0069001440000003</v>
      </c>
      <c r="N15">
        <v>-1.2849384619999999</v>
      </c>
      <c r="O15">
        <v>7.73</v>
      </c>
      <c r="P15">
        <v>2.5285279159999998</v>
      </c>
      <c r="Q15">
        <v>5.4081495029999997</v>
      </c>
      <c r="R15">
        <v>1.4389842660000001</v>
      </c>
    </row>
    <row r="16" spans="1:18" x14ac:dyDescent="0.3">
      <c r="A16" s="15" t="s">
        <v>108</v>
      </c>
      <c r="J16">
        <v>2.7035807859999998</v>
      </c>
      <c r="N16">
        <v>-1.2479256569999999</v>
      </c>
      <c r="O16">
        <v>7.6500159810000001</v>
      </c>
      <c r="P16">
        <v>3.22</v>
      </c>
      <c r="Q16">
        <v>5.4348119879999999</v>
      </c>
      <c r="R16">
        <v>1.5300994809999999</v>
      </c>
    </row>
    <row r="17" spans="1:18" x14ac:dyDescent="0.3">
      <c r="A17" s="15" t="s">
        <v>111</v>
      </c>
      <c r="J17">
        <v>3.324742144</v>
      </c>
      <c r="N17">
        <v>-1.2004385360000001</v>
      </c>
      <c r="O17">
        <v>7.5137012109999999</v>
      </c>
      <c r="P17">
        <v>3.2257204970000002</v>
      </c>
      <c r="Q17">
        <v>5.7561244809999996</v>
      </c>
      <c r="R17">
        <v>1.718314814</v>
      </c>
    </row>
    <row r="18" spans="1:18" x14ac:dyDescent="0.3">
      <c r="A18" s="15" t="s">
        <v>115</v>
      </c>
      <c r="J18">
        <v>7.0607656189999997</v>
      </c>
      <c r="N18">
        <v>-1.1691658789999999</v>
      </c>
      <c r="O18">
        <v>7.25</v>
      </c>
      <c r="P18">
        <v>3.2503141499999999</v>
      </c>
      <c r="Q18">
        <v>5.767877683</v>
      </c>
      <c r="R18">
        <v>2.1530488000000001</v>
      </c>
    </row>
    <row r="19" spans="1:18" x14ac:dyDescent="0.3">
      <c r="A19" s="15" t="s">
        <v>118</v>
      </c>
      <c r="J19">
        <v>4.6431023419999997</v>
      </c>
      <c r="N19">
        <v>-1.1691658789999999</v>
      </c>
      <c r="O19">
        <v>7.1977436279999996</v>
      </c>
      <c r="P19">
        <v>3.4035780510000002</v>
      </c>
      <c r="Q19">
        <v>5.7855787210000003</v>
      </c>
      <c r="R19">
        <v>2.1809722819999999</v>
      </c>
    </row>
    <row r="20" spans="1:18" x14ac:dyDescent="0.3">
      <c r="A20" s="15" t="s">
        <v>121</v>
      </c>
      <c r="J20">
        <v>3.9600696860000002</v>
      </c>
      <c r="N20">
        <v>-1.1351922241528278</v>
      </c>
      <c r="O20">
        <v>7.1116463679999997</v>
      </c>
      <c r="P20">
        <v>3.78</v>
      </c>
      <c r="Q20">
        <v>5.8278533020000003</v>
      </c>
      <c r="R20">
        <v>2.31360812</v>
      </c>
    </row>
    <row r="21" spans="1:18" x14ac:dyDescent="0.3">
      <c r="A21" s="15" t="s">
        <v>124</v>
      </c>
      <c r="J21">
        <v>4.088102492</v>
      </c>
      <c r="N21">
        <v>-1.0430805439999999</v>
      </c>
      <c r="O21">
        <v>6.99</v>
      </c>
      <c r="P21">
        <v>4.025961927</v>
      </c>
      <c r="Q21">
        <v>6.6276773269999998</v>
      </c>
      <c r="R21">
        <v>2.3244389860000001</v>
      </c>
    </row>
    <row r="22" spans="1:18" x14ac:dyDescent="0.3">
      <c r="A22" s="15" t="s">
        <v>128</v>
      </c>
      <c r="J22">
        <v>5.2192906209999999</v>
      </c>
      <c r="N22">
        <v>-0.92334619100000004</v>
      </c>
      <c r="O22">
        <v>6.8170682840000003</v>
      </c>
      <c r="P22">
        <v>4.4643169909999996</v>
      </c>
      <c r="Q22">
        <v>6.6833936920000001</v>
      </c>
      <c r="R22">
        <v>2.654092157</v>
      </c>
    </row>
    <row r="23" spans="1:18" x14ac:dyDescent="0.3">
      <c r="A23" s="15" t="s">
        <v>132</v>
      </c>
      <c r="J23">
        <v>5.9060327719999997</v>
      </c>
      <c r="N23">
        <v>-0.81615113100000003</v>
      </c>
      <c r="O23">
        <v>6.8160371270000004</v>
      </c>
      <c r="P23">
        <v>4.5536058810000002</v>
      </c>
      <c r="Q23">
        <v>7.1829979780000004</v>
      </c>
      <c r="R23">
        <v>2.7035807859999998</v>
      </c>
    </row>
    <row r="24" spans="1:18" x14ac:dyDescent="0.3">
      <c r="A24" s="15" t="s">
        <v>138</v>
      </c>
      <c r="J24">
        <v>8.2968314440000004</v>
      </c>
      <c r="N24">
        <v>-0.79126873200000003</v>
      </c>
      <c r="O24">
        <v>6.7982294169999999</v>
      </c>
      <c r="P24">
        <v>4.5674128239999998</v>
      </c>
      <c r="Q24">
        <v>7.3712855289999997</v>
      </c>
      <c r="R24">
        <v>2.883952989</v>
      </c>
    </row>
    <row r="25" spans="1:18" x14ac:dyDescent="0.3">
      <c r="A25" s="15" t="s">
        <v>142</v>
      </c>
      <c r="J25">
        <v>5.5018209410000001</v>
      </c>
      <c r="N25">
        <v>-0.78862924886818908</v>
      </c>
      <c r="O25">
        <v>6.7294726100000002</v>
      </c>
      <c r="P25">
        <v>4.5856357570000004</v>
      </c>
      <c r="Q25">
        <v>8.0096764</v>
      </c>
      <c r="R25">
        <v>2.897610641</v>
      </c>
    </row>
    <row r="26" spans="1:18" x14ac:dyDescent="0.3">
      <c r="A26" s="15" t="s">
        <v>153</v>
      </c>
      <c r="J26">
        <v>4.5318202300000001</v>
      </c>
      <c r="N26">
        <v>-0.76427224599999999</v>
      </c>
      <c r="O26">
        <v>6.55</v>
      </c>
      <c r="P26">
        <v>4.6050565990000001</v>
      </c>
      <c r="R26">
        <v>3.324742144</v>
      </c>
    </row>
    <row r="27" spans="1:18" x14ac:dyDescent="0.3">
      <c r="A27" s="15" t="s">
        <v>157</v>
      </c>
      <c r="J27">
        <v>5.1781479030000002</v>
      </c>
      <c r="N27">
        <v>-0.67011379999999998</v>
      </c>
      <c r="O27">
        <v>6.4512236940000003</v>
      </c>
      <c r="P27">
        <v>4.62</v>
      </c>
      <c r="R27">
        <v>3.3433716809999998</v>
      </c>
    </row>
    <row r="28" spans="1:18" x14ac:dyDescent="0.3">
      <c r="A28" s="15" t="s">
        <v>160</v>
      </c>
      <c r="J28">
        <v>1.718314814</v>
      </c>
      <c r="N28">
        <v>-0.63101091745464055</v>
      </c>
      <c r="O28">
        <v>6.4356554460000002</v>
      </c>
      <c r="P28">
        <v>4.63</v>
      </c>
      <c r="R28">
        <v>3.4851814609999998</v>
      </c>
    </row>
    <row r="29" spans="1:18" x14ac:dyDescent="0.3">
      <c r="A29" s="15" t="s">
        <v>163</v>
      </c>
      <c r="J29">
        <v>5.2861584500000003</v>
      </c>
      <c r="N29">
        <v>-0.47035755200000001</v>
      </c>
      <c r="O29">
        <v>6.4195077019999998</v>
      </c>
      <c r="P29">
        <v>4.6951264610000001</v>
      </c>
      <c r="R29">
        <v>3.5089685340000001</v>
      </c>
    </row>
    <row r="30" spans="1:18" x14ac:dyDescent="0.3">
      <c r="A30" s="15" t="s">
        <v>166</v>
      </c>
      <c r="J30">
        <v>4.8230398069999998</v>
      </c>
      <c r="N30">
        <v>-0.37463331092662133</v>
      </c>
      <c r="O30">
        <v>6.3187365340000001</v>
      </c>
      <c r="P30">
        <v>4.8024455939999999</v>
      </c>
      <c r="R30">
        <v>3.6882286569999998</v>
      </c>
    </row>
    <row r="31" spans="1:18" x14ac:dyDescent="0.3">
      <c r="A31" s="15" t="s">
        <v>168</v>
      </c>
      <c r="J31">
        <v>5.3871017190000003</v>
      </c>
      <c r="N31">
        <v>-0.3724813647843539</v>
      </c>
      <c r="O31">
        <v>6.3007440209999999</v>
      </c>
      <c r="P31">
        <v>4.8049715869999998</v>
      </c>
      <c r="R31">
        <v>3.7713615389999999</v>
      </c>
    </row>
    <row r="32" spans="1:18" x14ac:dyDescent="0.3">
      <c r="A32" s="15" t="s">
        <v>172</v>
      </c>
      <c r="J32">
        <v>4.5592224579999998</v>
      </c>
      <c r="N32">
        <v>-0.27530228699999998</v>
      </c>
      <c r="O32">
        <v>6.2884790529999997</v>
      </c>
      <c r="P32">
        <v>4.9491772149999997</v>
      </c>
      <c r="R32">
        <v>3.8446096700000001</v>
      </c>
    </row>
    <row r="33" spans="1:18" x14ac:dyDescent="0.3">
      <c r="A33" s="15" t="s">
        <v>175</v>
      </c>
      <c r="J33">
        <v>4.6073484660000004</v>
      </c>
      <c r="N33">
        <v>-0.16429921586171181</v>
      </c>
      <c r="O33">
        <v>6.2494094899999997</v>
      </c>
      <c r="P33">
        <v>5.2302281119999998</v>
      </c>
      <c r="R33">
        <v>3.8457698059999998</v>
      </c>
    </row>
    <row r="34" spans="1:18" x14ac:dyDescent="0.3">
      <c r="A34" s="15" t="s">
        <v>178</v>
      </c>
      <c r="J34">
        <v>5.0796075639999998</v>
      </c>
      <c r="N34">
        <v>-5.8946983736034131E-2</v>
      </c>
      <c r="O34">
        <v>6.18</v>
      </c>
      <c r="P34">
        <v>5.3228368670000004</v>
      </c>
      <c r="R34">
        <v>3.893231841</v>
      </c>
    </row>
    <row r="35" spans="1:18" x14ac:dyDescent="0.3">
      <c r="A35" s="15" t="s">
        <v>182</v>
      </c>
      <c r="J35">
        <v>3.6882286569999998</v>
      </c>
      <c r="N35">
        <v>9.886901E-3</v>
      </c>
      <c r="O35">
        <v>6.0384375830000003</v>
      </c>
      <c r="P35">
        <v>5.7112848139999999</v>
      </c>
      <c r="R35">
        <v>3.911619859</v>
      </c>
    </row>
    <row r="36" spans="1:18" x14ac:dyDescent="0.3">
      <c r="A36" s="15" t="s">
        <v>184</v>
      </c>
      <c r="J36">
        <v>4.8968051030000002</v>
      </c>
      <c r="N36">
        <v>3.5803873999999999E-2</v>
      </c>
      <c r="O36">
        <v>5.9873324280000002</v>
      </c>
      <c r="P36">
        <v>5.9248277380000003</v>
      </c>
      <c r="R36">
        <v>3.949742799</v>
      </c>
    </row>
    <row r="37" spans="1:18" x14ac:dyDescent="0.3">
      <c r="A37" s="15" t="s">
        <v>187</v>
      </c>
      <c r="J37">
        <v>4.7695128450000004</v>
      </c>
      <c r="N37">
        <v>0.100789875</v>
      </c>
      <c r="O37">
        <v>5.9723008990000004</v>
      </c>
      <c r="P37">
        <v>6.192243038</v>
      </c>
      <c r="R37">
        <v>3.9600696860000002</v>
      </c>
    </row>
    <row r="38" spans="1:18" x14ac:dyDescent="0.3">
      <c r="A38" s="15" t="s">
        <v>211</v>
      </c>
      <c r="J38">
        <v>3.5089685340000001</v>
      </c>
      <c r="N38">
        <v>0.12422535017686376</v>
      </c>
      <c r="O38">
        <v>5.9523365699999999</v>
      </c>
      <c r="P38">
        <v>6.2</v>
      </c>
      <c r="R38">
        <v>3.9660569749999999</v>
      </c>
    </row>
    <row r="39" spans="1:18" x14ac:dyDescent="0.3">
      <c r="A39" s="15" t="s">
        <v>217</v>
      </c>
      <c r="F39">
        <v>4.8049715869999998</v>
      </c>
      <c r="N39">
        <v>0.26806939995990509</v>
      </c>
      <c r="O39">
        <v>5.9358978100000002</v>
      </c>
      <c r="P39">
        <v>6.2071190280000001</v>
      </c>
      <c r="R39">
        <v>4.088102492</v>
      </c>
    </row>
    <row r="40" spans="1:18" x14ac:dyDescent="0.3">
      <c r="A40" s="15" t="s">
        <v>220</v>
      </c>
      <c r="F40">
        <v>5.7112848139999999</v>
      </c>
      <c r="N40">
        <v>0.39691395899999998</v>
      </c>
      <c r="O40">
        <v>5.92</v>
      </c>
      <c r="P40">
        <v>6.2372421649999996</v>
      </c>
      <c r="R40">
        <v>4.1258487749999997</v>
      </c>
    </row>
    <row r="41" spans="1:18" x14ac:dyDescent="0.3">
      <c r="A41" s="15" t="s">
        <v>224</v>
      </c>
      <c r="J41">
        <v>6.2600288869999998</v>
      </c>
      <c r="N41">
        <v>0.43389958299999998</v>
      </c>
      <c r="O41">
        <v>5.83</v>
      </c>
      <c r="P41">
        <v>6.26</v>
      </c>
      <c r="R41">
        <v>4.143578626</v>
      </c>
    </row>
    <row r="42" spans="1:18" x14ac:dyDescent="0.3">
      <c r="A42" s="15" t="s">
        <v>228</v>
      </c>
      <c r="J42">
        <v>8.1884790610000007</v>
      </c>
      <c r="N42">
        <v>0.60270095999999995</v>
      </c>
      <c r="O42">
        <v>5.78</v>
      </c>
      <c r="P42">
        <v>6.3032905000000001</v>
      </c>
      <c r="R42">
        <v>4.1794235679999998</v>
      </c>
    </row>
    <row r="43" spans="1:18" x14ac:dyDescent="0.3">
      <c r="A43" s="15" t="s">
        <v>232</v>
      </c>
      <c r="J43">
        <v>5.6515635069999997</v>
      </c>
      <c r="N43">
        <v>0.6062469160672852</v>
      </c>
      <c r="O43">
        <v>5.7633601329999999</v>
      </c>
      <c r="P43">
        <v>6.4442586869999996</v>
      </c>
      <c r="R43">
        <v>4.2251110140000003</v>
      </c>
    </row>
    <row r="44" spans="1:18" x14ac:dyDescent="0.3">
      <c r="A44" s="15" t="s">
        <v>236</v>
      </c>
      <c r="J44">
        <v>5.7517205730000001</v>
      </c>
      <c r="N44">
        <v>0.65172609636182832</v>
      </c>
      <c r="O44">
        <v>5.7328943819999996</v>
      </c>
      <c r="P44">
        <v>6.5449959849999999</v>
      </c>
      <c r="R44">
        <v>4.3369842680000001</v>
      </c>
    </row>
    <row r="45" spans="1:18" x14ac:dyDescent="0.3">
      <c r="A45" s="15" t="s">
        <v>240</v>
      </c>
      <c r="J45">
        <v>5.7862855829999997</v>
      </c>
      <c r="N45">
        <v>0.73120513499999995</v>
      </c>
      <c r="O45">
        <v>5.7212481039999998</v>
      </c>
      <c r="P45">
        <v>6.554213861</v>
      </c>
      <c r="R45">
        <v>4.3997488000000002</v>
      </c>
    </row>
    <row r="46" spans="1:18" x14ac:dyDescent="0.3">
      <c r="A46" s="15" t="s">
        <v>244</v>
      </c>
      <c r="J46">
        <v>2.897610641</v>
      </c>
      <c r="N46">
        <v>1.0884486019999999</v>
      </c>
      <c r="O46">
        <v>5.6548415350000001</v>
      </c>
      <c r="P46">
        <v>6.7541484350000003</v>
      </c>
      <c r="R46">
        <v>4.448716224</v>
      </c>
    </row>
    <row r="47" spans="1:18" x14ac:dyDescent="0.3">
      <c r="A47" s="15" t="s">
        <v>247</v>
      </c>
      <c r="J47">
        <v>3.9660569749999999</v>
      </c>
      <c r="N47">
        <v>1.1488561859999999</v>
      </c>
      <c r="O47">
        <v>5.5928286270000003</v>
      </c>
      <c r="P47">
        <v>7.58</v>
      </c>
      <c r="R47">
        <v>4.5318202300000001</v>
      </c>
    </row>
    <row r="48" spans="1:18" x14ac:dyDescent="0.3">
      <c r="A48" s="15" t="s">
        <v>251</v>
      </c>
      <c r="J48">
        <v>4.6095004590000004</v>
      </c>
      <c r="N48">
        <v>1.180864336</v>
      </c>
      <c r="O48">
        <v>5.5331506380000004</v>
      </c>
      <c r="P48">
        <v>7.63</v>
      </c>
      <c r="R48">
        <v>4.5592224579999998</v>
      </c>
    </row>
    <row r="49" spans="1:18" x14ac:dyDescent="0.3">
      <c r="A49" s="15" t="s">
        <v>254</v>
      </c>
      <c r="J49">
        <v>7.2560771229999999</v>
      </c>
      <c r="N49">
        <v>1.2578462762450267</v>
      </c>
      <c r="O49">
        <v>5.4825289420000001</v>
      </c>
      <c r="P49">
        <v>8.1514992339999992</v>
      </c>
      <c r="R49">
        <v>4.5723211050000003</v>
      </c>
    </row>
    <row r="50" spans="1:18" x14ac:dyDescent="0.3">
      <c r="A50" s="15" t="s">
        <v>281</v>
      </c>
      <c r="F50">
        <v>3.2503141499999999</v>
      </c>
      <c r="N50">
        <v>1.3105372472643015</v>
      </c>
      <c r="O50">
        <v>4.7507726830000001</v>
      </c>
      <c r="P50">
        <v>8.1894783760000003</v>
      </c>
      <c r="R50">
        <v>4.5808401099999996</v>
      </c>
    </row>
    <row r="51" spans="1:18" x14ac:dyDescent="0.3">
      <c r="A51" s="15" t="s">
        <v>296</v>
      </c>
      <c r="J51">
        <v>3.7713615389999999</v>
      </c>
      <c r="N51">
        <v>1.3894092580109372</v>
      </c>
      <c r="O51">
        <v>4.6636115257952433</v>
      </c>
      <c r="P51">
        <v>8.4021259260000001</v>
      </c>
      <c r="R51">
        <v>4.6073484660000004</v>
      </c>
    </row>
    <row r="52" spans="1:18" x14ac:dyDescent="0.3">
      <c r="A52" s="15" t="s">
        <v>300</v>
      </c>
      <c r="J52">
        <v>6.911640147</v>
      </c>
      <c r="N52">
        <v>1.4755743795724348</v>
      </c>
      <c r="O52">
        <v>4.5338786420000003</v>
      </c>
      <c r="P52">
        <v>8.9899593289999995</v>
      </c>
      <c r="R52">
        <v>4.6095004590000004</v>
      </c>
    </row>
    <row r="53" spans="1:18" x14ac:dyDescent="0.3">
      <c r="A53" s="15" t="s">
        <v>309</v>
      </c>
      <c r="J53">
        <v>3.911619859</v>
      </c>
      <c r="N53">
        <v>1.5747509275122344</v>
      </c>
      <c r="O53">
        <v>4.4813557011342304</v>
      </c>
      <c r="P53">
        <v>9.0988914909999998</v>
      </c>
      <c r="R53">
        <v>4.6128611279999996</v>
      </c>
    </row>
    <row r="54" spans="1:18" x14ac:dyDescent="0.3">
      <c r="A54" s="15" t="s">
        <v>322</v>
      </c>
      <c r="F54">
        <v>6.554213861</v>
      </c>
      <c r="N54">
        <v>1.5919531131477958</v>
      </c>
      <c r="O54">
        <v>4.2699999999999996</v>
      </c>
      <c r="P54">
        <v>9.3910979920000006</v>
      </c>
      <c r="R54">
        <v>4.6431023419999997</v>
      </c>
    </row>
    <row r="55" spans="1:18" x14ac:dyDescent="0.3">
      <c r="A55" s="15" t="s">
        <v>2727</v>
      </c>
      <c r="J55">
        <v>6.7145772929999996</v>
      </c>
      <c r="N55">
        <v>1.887067598</v>
      </c>
      <c r="O55">
        <v>4.2654212060000001</v>
      </c>
      <c r="R55">
        <v>4.6436824469999998</v>
      </c>
    </row>
    <row r="56" spans="1:18" x14ac:dyDescent="0.3">
      <c r="A56" s="15" t="s">
        <v>333</v>
      </c>
      <c r="J56">
        <v>2.1809722819999999</v>
      </c>
      <c r="N56">
        <v>2.0368459365255687</v>
      </c>
      <c r="O56">
        <v>3.9123731039999998</v>
      </c>
      <c r="R56">
        <v>4.6472541090000004</v>
      </c>
    </row>
    <row r="57" spans="1:18" x14ac:dyDescent="0.3">
      <c r="A57" s="15" t="s">
        <v>337</v>
      </c>
      <c r="J57">
        <v>4.2251110140000003</v>
      </c>
      <c r="N57">
        <v>2.0479478071630148</v>
      </c>
      <c r="O57">
        <v>3.893059037</v>
      </c>
      <c r="R57">
        <v>4.74909654</v>
      </c>
    </row>
    <row r="58" spans="1:18" x14ac:dyDescent="0.3">
      <c r="A58" s="15" t="s">
        <v>340</v>
      </c>
      <c r="J58">
        <v>6.0646723439999999</v>
      </c>
      <c r="N58">
        <v>2.0857327219999999</v>
      </c>
      <c r="O58">
        <v>3.81</v>
      </c>
      <c r="R58">
        <v>4.7695128450000004</v>
      </c>
    </row>
    <row r="59" spans="1:18" x14ac:dyDescent="0.3">
      <c r="A59" s="15" t="s">
        <v>343</v>
      </c>
      <c r="J59">
        <v>4.5808401099999996</v>
      </c>
      <c r="N59">
        <v>2.2135804690000001</v>
      </c>
      <c r="O59">
        <v>2.95</v>
      </c>
      <c r="R59">
        <v>4.8230398069999998</v>
      </c>
    </row>
    <row r="60" spans="1:18" x14ac:dyDescent="0.3">
      <c r="A60" s="15" t="s">
        <v>346</v>
      </c>
      <c r="J60">
        <v>8.3733465309999993</v>
      </c>
      <c r="N60">
        <v>2.3573002094732995</v>
      </c>
      <c r="O60">
        <v>1.3</v>
      </c>
      <c r="R60">
        <v>4.8968051030000002</v>
      </c>
    </row>
    <row r="61" spans="1:18" x14ac:dyDescent="0.3">
      <c r="A61" s="15" t="s">
        <v>348</v>
      </c>
      <c r="J61">
        <v>6.2689454370000002</v>
      </c>
      <c r="N61">
        <v>2.5328247165417843</v>
      </c>
      <c r="O61">
        <v>1.0900000000000001</v>
      </c>
      <c r="R61">
        <v>4.9330720860000001</v>
      </c>
    </row>
    <row r="62" spans="1:18" x14ac:dyDescent="0.3">
      <c r="A62" s="15" t="s">
        <v>351</v>
      </c>
      <c r="J62">
        <v>6.5388365129999997</v>
      </c>
      <c r="N62">
        <v>2.6561990980000001</v>
      </c>
      <c r="O62">
        <v>0.19</v>
      </c>
      <c r="R62">
        <v>5.0208826039999996</v>
      </c>
    </row>
    <row r="63" spans="1:18" x14ac:dyDescent="0.3">
      <c r="A63" s="15" t="s">
        <v>353</v>
      </c>
      <c r="J63">
        <v>5.7310074320000002</v>
      </c>
      <c r="N63">
        <v>2.7406756114669628</v>
      </c>
      <c r="O63">
        <v>0.10775367299999999</v>
      </c>
      <c r="R63">
        <v>5.0227308099999997</v>
      </c>
    </row>
    <row r="64" spans="1:18" x14ac:dyDescent="0.3">
      <c r="A64" s="15" t="s">
        <v>356</v>
      </c>
      <c r="J64">
        <v>4.448716224</v>
      </c>
      <c r="N64">
        <v>3.0885518529999998</v>
      </c>
      <c r="O64">
        <v>-0.25282767299999998</v>
      </c>
      <c r="R64">
        <v>5.0796075639999998</v>
      </c>
    </row>
    <row r="65" spans="1:18" x14ac:dyDescent="0.3">
      <c r="A65" s="15" t="s">
        <v>359</v>
      </c>
      <c r="J65">
        <v>8.0870056760000004</v>
      </c>
      <c r="N65">
        <v>4.1568201020000002</v>
      </c>
      <c r="O65">
        <v>-1.33</v>
      </c>
      <c r="R65">
        <v>5.0836579520000003</v>
      </c>
    </row>
    <row r="66" spans="1:18" x14ac:dyDescent="0.3">
      <c r="A66" s="15" t="s">
        <v>362</v>
      </c>
      <c r="J66">
        <v>2.3244389860000001</v>
      </c>
      <c r="N66">
        <v>4.303145512077255</v>
      </c>
      <c r="R66">
        <v>5.0939038400000003</v>
      </c>
    </row>
    <row r="67" spans="1:18" x14ac:dyDescent="0.3">
      <c r="A67" s="15" t="s">
        <v>396</v>
      </c>
      <c r="J67">
        <v>1.274868372</v>
      </c>
      <c r="N67">
        <v>4.3163520451468553</v>
      </c>
      <c r="R67">
        <v>5.1781479030000002</v>
      </c>
    </row>
    <row r="68" spans="1:18" x14ac:dyDescent="0.3">
      <c r="A68" s="15" t="s">
        <v>398</v>
      </c>
      <c r="J68">
        <v>6.7635865040000001</v>
      </c>
      <c r="N68">
        <v>6.7388229332522256</v>
      </c>
      <c r="R68">
        <v>5.2192906209999999</v>
      </c>
    </row>
    <row r="69" spans="1:18" x14ac:dyDescent="0.3">
      <c r="A69" s="15" t="s">
        <v>401</v>
      </c>
      <c r="J69">
        <v>-1.2788375329999999</v>
      </c>
      <c r="R69">
        <v>5.2861584500000003</v>
      </c>
    </row>
    <row r="70" spans="1:18" x14ac:dyDescent="0.3">
      <c r="A70" s="15" t="s">
        <v>403</v>
      </c>
      <c r="J70">
        <v>8.2939478090000005</v>
      </c>
      <c r="R70">
        <v>5.3447673250000003</v>
      </c>
    </row>
    <row r="71" spans="1:18" x14ac:dyDescent="0.3">
      <c r="A71" s="15" t="s">
        <v>405</v>
      </c>
      <c r="J71">
        <v>7.3671662800000002</v>
      </c>
      <c r="R71">
        <v>5.3730797150000003</v>
      </c>
    </row>
    <row r="72" spans="1:18" x14ac:dyDescent="0.3">
      <c r="A72" s="15" t="s">
        <v>408</v>
      </c>
      <c r="J72">
        <v>2.883952989</v>
      </c>
      <c r="R72">
        <v>5.3871017190000003</v>
      </c>
    </row>
    <row r="73" spans="1:18" x14ac:dyDescent="0.3">
      <c r="A73" s="15" t="s">
        <v>411</v>
      </c>
      <c r="J73">
        <v>9.5568147089999993</v>
      </c>
      <c r="R73">
        <v>5.4184444909999998</v>
      </c>
    </row>
    <row r="74" spans="1:18" x14ac:dyDescent="0.3">
      <c r="A74" s="15" t="s">
        <v>413</v>
      </c>
      <c r="J74">
        <v>5.3730797150000003</v>
      </c>
      <c r="R74">
        <v>5.4715459019999999</v>
      </c>
    </row>
    <row r="75" spans="1:18" x14ac:dyDescent="0.3">
      <c r="A75" s="15" t="s">
        <v>416</v>
      </c>
      <c r="J75">
        <v>6.0350465289999997</v>
      </c>
      <c r="R75">
        <v>5.4847364299999999</v>
      </c>
    </row>
    <row r="76" spans="1:18" x14ac:dyDescent="0.3">
      <c r="A76" s="15" t="s">
        <v>419</v>
      </c>
      <c r="J76">
        <v>5.0208826039999996</v>
      </c>
      <c r="R76">
        <v>5.5018209410000001</v>
      </c>
    </row>
    <row r="77" spans="1:18" x14ac:dyDescent="0.3">
      <c r="A77" s="15" t="s">
        <v>421</v>
      </c>
      <c r="J77">
        <v>5.5541803310000004</v>
      </c>
      <c r="R77">
        <v>5.5541803310000004</v>
      </c>
    </row>
    <row r="78" spans="1:18" x14ac:dyDescent="0.3">
      <c r="A78" s="15" t="s">
        <v>423</v>
      </c>
      <c r="J78">
        <v>6.1836821659999996</v>
      </c>
      <c r="R78">
        <v>5.5962168300000004</v>
      </c>
    </row>
    <row r="79" spans="1:18" x14ac:dyDescent="0.3">
      <c r="A79" s="15" t="s">
        <v>424</v>
      </c>
      <c r="J79">
        <v>8.2654915150000008</v>
      </c>
      <c r="R79">
        <v>5.6515635069999997</v>
      </c>
    </row>
    <row r="80" spans="1:18" x14ac:dyDescent="0.3">
      <c r="A80" s="15" t="s">
        <v>425</v>
      </c>
      <c r="J80">
        <v>6.1887754749999999</v>
      </c>
      <c r="R80">
        <v>5.6833118059999999</v>
      </c>
    </row>
    <row r="81" spans="1:18" x14ac:dyDescent="0.3">
      <c r="A81" s="15" t="s">
        <v>426</v>
      </c>
      <c r="J81">
        <v>5.4184444909999998</v>
      </c>
      <c r="R81">
        <v>5.7310074320000002</v>
      </c>
    </row>
    <row r="82" spans="1:18" x14ac:dyDescent="0.3">
      <c r="A82" s="15" t="s">
        <v>427</v>
      </c>
      <c r="J82">
        <v>7.6598259329999996</v>
      </c>
      <c r="R82">
        <v>5.7517205730000001</v>
      </c>
    </row>
    <row r="83" spans="1:18" x14ac:dyDescent="0.3">
      <c r="A83" s="15" t="s">
        <v>429</v>
      </c>
      <c r="J83">
        <v>4.9330720860000001</v>
      </c>
      <c r="R83">
        <v>5.7555208320000002</v>
      </c>
    </row>
    <row r="84" spans="1:18" x14ac:dyDescent="0.3">
      <c r="A84" s="15" t="s">
        <v>430</v>
      </c>
      <c r="J84">
        <v>3.893231841</v>
      </c>
      <c r="R84">
        <v>5.7582361449999997</v>
      </c>
    </row>
    <row r="85" spans="1:18" x14ac:dyDescent="0.3">
      <c r="A85" s="15" t="s">
        <v>432</v>
      </c>
      <c r="J85">
        <v>1.2550141539999999</v>
      </c>
      <c r="R85">
        <v>5.7862855829999997</v>
      </c>
    </row>
    <row r="86" spans="1:18" x14ac:dyDescent="0.3">
      <c r="A86" s="15" t="s">
        <v>434</v>
      </c>
      <c r="J86">
        <v>7.3316396529999999</v>
      </c>
      <c r="R86">
        <v>5.9060327719999997</v>
      </c>
    </row>
    <row r="87" spans="1:18" x14ac:dyDescent="0.3">
      <c r="A87" s="15" t="s">
        <v>437</v>
      </c>
      <c r="J87">
        <v>-0.57820553799999996</v>
      </c>
      <c r="R87">
        <v>6.0069001440000003</v>
      </c>
    </row>
    <row r="88" spans="1:18" x14ac:dyDescent="0.3">
      <c r="A88" s="15" t="s">
        <v>439</v>
      </c>
      <c r="J88">
        <v>4.1258487749999997</v>
      </c>
      <c r="R88">
        <v>6.0350465289999997</v>
      </c>
    </row>
    <row r="89" spans="1:18" x14ac:dyDescent="0.3">
      <c r="A89" s="15" t="s">
        <v>440</v>
      </c>
      <c r="J89">
        <v>5.7582361449999997</v>
      </c>
      <c r="R89">
        <v>6.0646723439999999</v>
      </c>
    </row>
    <row r="90" spans="1:18" x14ac:dyDescent="0.3">
      <c r="A90" s="15" t="s">
        <v>443</v>
      </c>
      <c r="J90">
        <v>7.1854624830000002</v>
      </c>
      <c r="R90">
        <v>6.0792648959999998</v>
      </c>
    </row>
    <row r="91" spans="1:18" x14ac:dyDescent="0.3">
      <c r="A91" s="15" t="s">
        <v>445</v>
      </c>
      <c r="J91">
        <v>-2.3141301080000001</v>
      </c>
      <c r="R91">
        <v>6.1231649890000002</v>
      </c>
    </row>
    <row r="92" spans="1:18" x14ac:dyDescent="0.3">
      <c r="A92" s="15" t="s">
        <v>448</v>
      </c>
      <c r="J92">
        <v>7.0150641460000003</v>
      </c>
      <c r="R92">
        <v>6.1836821659999996</v>
      </c>
    </row>
    <row r="93" spans="1:18" x14ac:dyDescent="0.3">
      <c r="A93" s="15" t="s">
        <v>450</v>
      </c>
      <c r="J93">
        <v>2.31360812</v>
      </c>
      <c r="R93">
        <v>6.1887754749999999</v>
      </c>
    </row>
    <row r="94" spans="1:18" x14ac:dyDescent="0.3">
      <c r="A94" s="15" t="s">
        <v>453</v>
      </c>
      <c r="J94">
        <v>7.5257229529999998</v>
      </c>
      <c r="R94">
        <v>6.2051512170000001</v>
      </c>
    </row>
    <row r="95" spans="1:18" x14ac:dyDescent="0.3">
      <c r="A95" s="15" t="s">
        <v>456</v>
      </c>
      <c r="J95">
        <v>9.5737913060000004</v>
      </c>
      <c r="R95">
        <v>6.2600288869999998</v>
      </c>
    </row>
    <row r="96" spans="1:18" x14ac:dyDescent="0.3">
      <c r="A96" s="15" t="s">
        <v>459</v>
      </c>
      <c r="J96">
        <v>11.65135905</v>
      </c>
      <c r="R96">
        <v>6.2689454370000002</v>
      </c>
    </row>
    <row r="97" spans="1:18" x14ac:dyDescent="0.3">
      <c r="A97" s="15" t="s">
        <v>461</v>
      </c>
      <c r="J97">
        <v>4.6128611279999996</v>
      </c>
      <c r="R97">
        <v>6.308539991</v>
      </c>
    </row>
    <row r="98" spans="1:18" x14ac:dyDescent="0.3">
      <c r="A98" s="15" t="s">
        <v>511</v>
      </c>
      <c r="F98">
        <v>4.6050565990000001</v>
      </c>
      <c r="R98">
        <v>6.4441190510000004</v>
      </c>
    </row>
    <row r="99" spans="1:18" x14ac:dyDescent="0.3">
      <c r="A99" s="15" t="s">
        <v>517</v>
      </c>
      <c r="F99">
        <v>5.3228368670000004</v>
      </c>
      <c r="R99">
        <v>6.485536422</v>
      </c>
    </row>
    <row r="100" spans="1:18" x14ac:dyDescent="0.3">
      <c r="A100" s="15" t="s">
        <v>521</v>
      </c>
      <c r="F100">
        <v>5.9248277380000003</v>
      </c>
      <c r="R100">
        <v>6.4977060360000003</v>
      </c>
    </row>
    <row r="101" spans="1:18" x14ac:dyDescent="0.3">
      <c r="A101" s="15" t="s">
        <v>524</v>
      </c>
      <c r="F101">
        <v>6.5449959849999999</v>
      </c>
      <c r="R101">
        <v>6.5388365129999997</v>
      </c>
    </row>
    <row r="102" spans="1:18" x14ac:dyDescent="0.3">
      <c r="A102" s="15" t="s">
        <v>537</v>
      </c>
      <c r="F102">
        <v>6.192243038</v>
      </c>
      <c r="R102">
        <v>6.6736759040000004</v>
      </c>
    </row>
    <row r="103" spans="1:18" x14ac:dyDescent="0.3">
      <c r="A103" s="15" t="s">
        <v>572</v>
      </c>
      <c r="J103">
        <v>1.5300994809999999</v>
      </c>
      <c r="R103">
        <v>6.7123370570000001</v>
      </c>
    </row>
    <row r="104" spans="1:18" x14ac:dyDescent="0.3">
      <c r="A104" s="15" t="s">
        <v>576</v>
      </c>
      <c r="J104">
        <v>2.654092157</v>
      </c>
      <c r="R104">
        <v>6.7145772929999996</v>
      </c>
    </row>
    <row r="105" spans="1:18" x14ac:dyDescent="0.3">
      <c r="A105" s="15" t="s">
        <v>2731</v>
      </c>
      <c r="J105">
        <v>8.1267451620000006</v>
      </c>
      <c r="R105">
        <v>6.7635865040000001</v>
      </c>
    </row>
    <row r="106" spans="1:18" x14ac:dyDescent="0.3">
      <c r="A106" s="15" t="s">
        <v>2732</v>
      </c>
      <c r="J106">
        <v>10.18752087</v>
      </c>
      <c r="R106">
        <v>6.911640147</v>
      </c>
    </row>
    <row r="107" spans="1:18" x14ac:dyDescent="0.3">
      <c r="A107" s="15" t="s">
        <v>2733</v>
      </c>
      <c r="J107">
        <v>0.15858729199999999</v>
      </c>
      <c r="R107">
        <v>6.9332123399999999</v>
      </c>
    </row>
    <row r="108" spans="1:18" x14ac:dyDescent="0.3">
      <c r="A108" s="15" t="s">
        <v>2734</v>
      </c>
      <c r="J108">
        <v>7.0963960009999996</v>
      </c>
      <c r="R108">
        <v>7.0150641460000003</v>
      </c>
    </row>
    <row r="109" spans="1:18" x14ac:dyDescent="0.3">
      <c r="A109" s="15" t="s">
        <v>2735</v>
      </c>
      <c r="J109">
        <v>1.4389842660000001</v>
      </c>
      <c r="R109">
        <v>7.0607656189999997</v>
      </c>
    </row>
    <row r="110" spans="1:18" x14ac:dyDescent="0.3">
      <c r="A110" s="15" t="s">
        <v>590</v>
      </c>
      <c r="J110">
        <v>5.6833118059999999</v>
      </c>
      <c r="R110">
        <v>7.0963960009999996</v>
      </c>
    </row>
    <row r="111" spans="1:18" x14ac:dyDescent="0.3">
      <c r="A111" s="15" t="s">
        <v>593</v>
      </c>
      <c r="J111">
        <v>8.350550557</v>
      </c>
      <c r="R111">
        <v>7.1854624830000002</v>
      </c>
    </row>
    <row r="112" spans="1:18" x14ac:dyDescent="0.3">
      <c r="A112" s="15" t="s">
        <v>596</v>
      </c>
      <c r="J112">
        <v>3.4851814609999998</v>
      </c>
      <c r="R112">
        <v>7.2560771229999999</v>
      </c>
    </row>
    <row r="113" spans="1:18" x14ac:dyDescent="0.3">
      <c r="A113" s="15" t="s">
        <v>599</v>
      </c>
      <c r="J113">
        <v>5.4715459019999999</v>
      </c>
      <c r="R113">
        <v>7.3316396529999999</v>
      </c>
    </row>
    <row r="114" spans="1:18" x14ac:dyDescent="0.3">
      <c r="A114" s="15" t="s">
        <v>602</v>
      </c>
      <c r="J114">
        <v>3.3433716809999998</v>
      </c>
      <c r="R114">
        <v>7.3671662800000002</v>
      </c>
    </row>
    <row r="115" spans="1:18" x14ac:dyDescent="0.3">
      <c r="A115" s="15" t="s">
        <v>605</v>
      </c>
      <c r="J115">
        <v>6.2051512170000001</v>
      </c>
      <c r="R115">
        <v>7.5257229529999998</v>
      </c>
    </row>
    <row r="116" spans="1:18" x14ac:dyDescent="0.3">
      <c r="A116" s="15" t="s">
        <v>721</v>
      </c>
      <c r="J116">
        <v>3.8457698059999998</v>
      </c>
      <c r="R116">
        <v>7.6598259329999996</v>
      </c>
    </row>
    <row r="117" spans="1:18" x14ac:dyDescent="0.3">
      <c r="A117" s="15" t="s">
        <v>723</v>
      </c>
      <c r="J117">
        <v>5.0939038400000003</v>
      </c>
      <c r="R117">
        <v>8.0870056760000004</v>
      </c>
    </row>
    <row r="118" spans="1:18" x14ac:dyDescent="0.3">
      <c r="A118" s="15" t="s">
        <v>725</v>
      </c>
      <c r="J118">
        <v>6.0792648959999998</v>
      </c>
      <c r="R118">
        <v>8.1267451620000006</v>
      </c>
    </row>
    <row r="119" spans="1:18" x14ac:dyDescent="0.3">
      <c r="A119" s="15" t="s">
        <v>727</v>
      </c>
      <c r="J119">
        <v>6.485536422</v>
      </c>
      <c r="R119">
        <v>8.1884790610000007</v>
      </c>
    </row>
    <row r="120" spans="1:18" x14ac:dyDescent="0.3">
      <c r="A120" s="15" t="s">
        <v>729</v>
      </c>
      <c r="J120">
        <v>6.4977060360000003</v>
      </c>
      <c r="R120">
        <v>8.2654915150000008</v>
      </c>
    </row>
    <row r="121" spans="1:18" x14ac:dyDescent="0.3">
      <c r="A121" s="15" t="s">
        <v>731</v>
      </c>
      <c r="J121">
        <v>9.633780475</v>
      </c>
      <c r="R121">
        <v>8.2939478090000005</v>
      </c>
    </row>
    <row r="122" spans="1:18" x14ac:dyDescent="0.3">
      <c r="A122" s="15" t="s">
        <v>733</v>
      </c>
      <c r="J122">
        <v>4.6436824469999998</v>
      </c>
      <c r="R122">
        <v>8.2968314440000004</v>
      </c>
    </row>
    <row r="123" spans="1:18" x14ac:dyDescent="0.3">
      <c r="A123" s="15" t="s">
        <v>734</v>
      </c>
      <c r="J123">
        <v>5.7555208320000002</v>
      </c>
      <c r="R123">
        <v>8.350550557</v>
      </c>
    </row>
    <row r="124" spans="1:18" x14ac:dyDescent="0.3">
      <c r="A124" s="15" t="s">
        <v>735</v>
      </c>
      <c r="J124">
        <v>4.6472541090000004</v>
      </c>
      <c r="R124">
        <v>8.3733465309999993</v>
      </c>
    </row>
    <row r="125" spans="1:18" x14ac:dyDescent="0.3">
      <c r="A125" s="15" t="s">
        <v>736</v>
      </c>
      <c r="J125">
        <v>6.7123370570000001</v>
      </c>
      <c r="R125">
        <v>8.7866986669999996</v>
      </c>
    </row>
    <row r="126" spans="1:18" x14ac:dyDescent="0.3">
      <c r="A126" s="15" t="s">
        <v>976</v>
      </c>
      <c r="D126">
        <v>3.0885518529999998</v>
      </c>
      <c r="R126">
        <v>8.8688167789999994</v>
      </c>
    </row>
    <row r="127" spans="1:18" x14ac:dyDescent="0.3">
      <c r="A127" s="15" t="s">
        <v>981</v>
      </c>
      <c r="D127">
        <v>1.887067598</v>
      </c>
      <c r="R127">
        <v>8.9286055609999995</v>
      </c>
    </row>
    <row r="128" spans="1:18" x14ac:dyDescent="0.3">
      <c r="A128" s="15" t="s">
        <v>998</v>
      </c>
      <c r="F128">
        <v>4.025961927</v>
      </c>
      <c r="R128">
        <v>9.5568147089999993</v>
      </c>
    </row>
    <row r="129" spans="1:18" x14ac:dyDescent="0.3">
      <c r="A129" s="15" t="s">
        <v>1000</v>
      </c>
      <c r="F129">
        <v>4.6951264610000001</v>
      </c>
      <c r="R129">
        <v>9.5737913060000004</v>
      </c>
    </row>
    <row r="130" spans="1:18" x14ac:dyDescent="0.3">
      <c r="A130" s="15" t="s">
        <v>1007</v>
      </c>
      <c r="F130">
        <v>3.2257204970000002</v>
      </c>
      <c r="R130">
        <v>9.633780475</v>
      </c>
    </row>
    <row r="131" spans="1:18" x14ac:dyDescent="0.3">
      <c r="A131" s="15" t="s">
        <v>1012</v>
      </c>
      <c r="C131">
        <v>2.2135804690000001</v>
      </c>
      <c r="R131">
        <v>10.18752087</v>
      </c>
    </row>
    <row r="132" spans="1:18" x14ac:dyDescent="0.3">
      <c r="A132" s="15" t="s">
        <v>1026</v>
      </c>
      <c r="C132">
        <v>0.60270095999999995</v>
      </c>
      <c r="R132">
        <v>11.65135905</v>
      </c>
    </row>
    <row r="133" spans="1:18" x14ac:dyDescent="0.3">
      <c r="A133" s="15" t="s">
        <v>1028</v>
      </c>
      <c r="C133">
        <v>-1.2849384619999999</v>
      </c>
    </row>
    <row r="134" spans="1:18" x14ac:dyDescent="0.3">
      <c r="A134" s="15" t="s">
        <v>1121</v>
      </c>
      <c r="J134">
        <v>5.5962168300000004</v>
      </c>
    </row>
    <row r="135" spans="1:18" x14ac:dyDescent="0.3">
      <c r="A135" s="15" t="s">
        <v>1123</v>
      </c>
      <c r="F135">
        <v>1.147890852</v>
      </c>
    </row>
    <row r="136" spans="1:18" x14ac:dyDescent="0.3">
      <c r="A136" s="15" t="s">
        <v>1133</v>
      </c>
      <c r="F136">
        <v>8.9899593289999995</v>
      </c>
    </row>
    <row r="137" spans="1:18" x14ac:dyDescent="0.3">
      <c r="A137" s="15" t="s">
        <v>1272</v>
      </c>
      <c r="D137">
        <v>2.0857327219999999</v>
      </c>
    </row>
    <row r="138" spans="1:18" x14ac:dyDescent="0.3">
      <c r="A138" s="15" t="s">
        <v>1368</v>
      </c>
      <c r="G138">
        <v>5.7855787210000003</v>
      </c>
    </row>
    <row r="139" spans="1:18" x14ac:dyDescent="0.3">
      <c r="A139" s="15" t="s">
        <v>1442</v>
      </c>
      <c r="F139">
        <v>6.2</v>
      </c>
    </row>
    <row r="140" spans="1:18" x14ac:dyDescent="0.3">
      <c r="A140" s="15" t="s">
        <v>1491</v>
      </c>
      <c r="F140">
        <v>6.26</v>
      </c>
    </row>
    <row r="141" spans="1:18" x14ac:dyDescent="0.3">
      <c r="A141" s="15" t="s">
        <v>1496</v>
      </c>
      <c r="F141">
        <v>4.62</v>
      </c>
    </row>
    <row r="142" spans="1:18" x14ac:dyDescent="0.3">
      <c r="A142" s="15" t="s">
        <v>1504</v>
      </c>
      <c r="F142">
        <v>3.78</v>
      </c>
    </row>
    <row r="143" spans="1:18" x14ac:dyDescent="0.3">
      <c r="A143" s="15" t="s">
        <v>1570</v>
      </c>
      <c r="G143">
        <v>-2.38</v>
      </c>
    </row>
    <row r="144" spans="1:18" x14ac:dyDescent="0.3">
      <c r="A144" s="15" t="s">
        <v>1747</v>
      </c>
      <c r="L144">
        <v>3.81</v>
      </c>
    </row>
    <row r="145" spans="1:12" x14ac:dyDescent="0.3">
      <c r="A145" s="15" t="s">
        <v>1756</v>
      </c>
      <c r="L145">
        <v>1.0900000000000001</v>
      </c>
    </row>
    <row r="146" spans="1:12" x14ac:dyDescent="0.3">
      <c r="A146" s="15" t="s">
        <v>1765</v>
      </c>
      <c r="L146">
        <v>5.78</v>
      </c>
    </row>
    <row r="147" spans="1:12" x14ac:dyDescent="0.3">
      <c r="A147" s="15" t="s">
        <v>2188</v>
      </c>
      <c r="L147">
        <v>5.92</v>
      </c>
    </row>
    <row r="148" spans="1:12" x14ac:dyDescent="0.3">
      <c r="A148" s="15" t="s">
        <v>2196</v>
      </c>
      <c r="L148">
        <v>6.18</v>
      </c>
    </row>
    <row r="149" spans="1:12" x14ac:dyDescent="0.3">
      <c r="A149" s="15" t="s">
        <v>2198</v>
      </c>
      <c r="L149">
        <v>6.55</v>
      </c>
    </row>
    <row r="150" spans="1:12" x14ac:dyDescent="0.3">
      <c r="A150" s="15" t="s">
        <v>2201</v>
      </c>
      <c r="L150">
        <v>-1.33</v>
      </c>
    </row>
    <row r="151" spans="1:12" x14ac:dyDescent="0.3">
      <c r="A151" s="15" t="s">
        <v>2207</v>
      </c>
      <c r="L151">
        <v>1.3</v>
      </c>
    </row>
    <row r="152" spans="1:12" x14ac:dyDescent="0.3">
      <c r="A152" s="15" t="s">
        <v>2215</v>
      </c>
      <c r="L152">
        <v>4.2699999999999996</v>
      </c>
    </row>
    <row r="153" spans="1:12" x14ac:dyDescent="0.3">
      <c r="A153" s="15" t="s">
        <v>2219</v>
      </c>
      <c r="L153">
        <v>0.19</v>
      </c>
    </row>
    <row r="154" spans="1:12" x14ac:dyDescent="0.3">
      <c r="A154" s="15" t="s">
        <v>2232</v>
      </c>
      <c r="L154">
        <v>7.25</v>
      </c>
    </row>
    <row r="155" spans="1:12" x14ac:dyDescent="0.3">
      <c r="A155" s="15" t="s">
        <v>2234</v>
      </c>
      <c r="L155">
        <v>2.95</v>
      </c>
    </row>
    <row r="156" spans="1:12" x14ac:dyDescent="0.3">
      <c r="A156" s="15" t="s">
        <v>2238</v>
      </c>
      <c r="L156">
        <v>6.99</v>
      </c>
    </row>
    <row r="157" spans="1:12" x14ac:dyDescent="0.3">
      <c r="A157" s="15" t="s">
        <v>2267</v>
      </c>
      <c r="L157">
        <v>8.75</v>
      </c>
    </row>
    <row r="158" spans="1:12" x14ac:dyDescent="0.3">
      <c r="A158" s="15" t="s">
        <v>2269</v>
      </c>
      <c r="L158">
        <v>5.83</v>
      </c>
    </row>
    <row r="159" spans="1:12" x14ac:dyDescent="0.3">
      <c r="A159" s="15" t="s">
        <v>2275</v>
      </c>
      <c r="L159">
        <v>7.73</v>
      </c>
    </row>
    <row r="160" spans="1:12" x14ac:dyDescent="0.3">
      <c r="A160" s="15" t="s">
        <v>1880</v>
      </c>
      <c r="F160">
        <v>4.63</v>
      </c>
    </row>
    <row r="161" spans="1:10" x14ac:dyDescent="0.3">
      <c r="A161" s="15" t="s">
        <v>1882</v>
      </c>
      <c r="F161">
        <v>1.88</v>
      </c>
    </row>
    <row r="162" spans="1:10" x14ac:dyDescent="0.3">
      <c r="A162" s="15" t="s">
        <v>1884</v>
      </c>
      <c r="F162">
        <v>7.63</v>
      </c>
    </row>
    <row r="163" spans="1:10" x14ac:dyDescent="0.3">
      <c r="A163" s="15" t="s">
        <v>1890</v>
      </c>
      <c r="F163">
        <v>7.58</v>
      </c>
    </row>
    <row r="164" spans="1:10" x14ac:dyDescent="0.3">
      <c r="A164" s="15" t="s">
        <v>1906</v>
      </c>
      <c r="F164">
        <v>1.4</v>
      </c>
    </row>
    <row r="165" spans="1:10" x14ac:dyDescent="0.3">
      <c r="A165" s="15" t="s">
        <v>1908</v>
      </c>
      <c r="F165">
        <v>3.22</v>
      </c>
    </row>
    <row r="166" spans="1:10" x14ac:dyDescent="0.3">
      <c r="A166" s="15" t="s">
        <v>1911</v>
      </c>
      <c r="F166">
        <v>1.4</v>
      </c>
    </row>
    <row r="167" spans="1:10" x14ac:dyDescent="0.3">
      <c r="A167" s="15" t="s">
        <v>2058</v>
      </c>
      <c r="J167">
        <v>8.8688167789999994</v>
      </c>
    </row>
    <row r="168" spans="1:10" x14ac:dyDescent="0.3">
      <c r="A168" s="15" t="s">
        <v>2060</v>
      </c>
      <c r="J168">
        <v>6.9332123399999999</v>
      </c>
    </row>
    <row r="169" spans="1:10" x14ac:dyDescent="0.3">
      <c r="A169" s="15" t="s">
        <v>2062</v>
      </c>
      <c r="J169">
        <v>4.74909654</v>
      </c>
    </row>
    <row r="170" spans="1:10" x14ac:dyDescent="0.3">
      <c r="A170" s="15" t="s">
        <v>2094</v>
      </c>
      <c r="G170">
        <v>5.767877683</v>
      </c>
    </row>
    <row r="171" spans="1:10" x14ac:dyDescent="0.3">
      <c r="A171" s="15" t="s">
        <v>2100</v>
      </c>
      <c r="G171">
        <v>4.7433851579999997</v>
      </c>
    </row>
    <row r="172" spans="1:10" x14ac:dyDescent="0.3">
      <c r="A172" s="15" t="s">
        <v>2104</v>
      </c>
      <c r="G172">
        <v>3.0585517100000001</v>
      </c>
    </row>
    <row r="173" spans="1:10" x14ac:dyDescent="0.3">
      <c r="A173" s="15" t="s">
        <v>2112</v>
      </c>
      <c r="I173">
        <v>5.9596984769999999</v>
      </c>
    </row>
    <row r="174" spans="1:10" x14ac:dyDescent="0.3">
      <c r="A174" s="15" t="s">
        <v>2120</v>
      </c>
      <c r="G174">
        <v>5.4348119879999999</v>
      </c>
    </row>
    <row r="175" spans="1:10" x14ac:dyDescent="0.3">
      <c r="A175" s="15" t="s">
        <v>2121</v>
      </c>
      <c r="G175">
        <v>1.0860827200000001</v>
      </c>
    </row>
    <row r="176" spans="1:10" x14ac:dyDescent="0.3">
      <c r="A176" s="15" t="s">
        <v>2125</v>
      </c>
      <c r="J176">
        <v>4.5723211050000003</v>
      </c>
    </row>
    <row r="177" spans="1:10" x14ac:dyDescent="0.3">
      <c r="A177" s="15" t="s">
        <v>2131</v>
      </c>
      <c r="J177">
        <v>5.0836579520000003</v>
      </c>
    </row>
    <row r="178" spans="1:10" x14ac:dyDescent="0.3">
      <c r="A178" s="15" t="s">
        <v>2134</v>
      </c>
      <c r="J178">
        <v>5.0227308099999997</v>
      </c>
    </row>
    <row r="179" spans="1:10" x14ac:dyDescent="0.3">
      <c r="A179" s="15" t="s">
        <v>2136</v>
      </c>
      <c r="F179">
        <v>4.9491772149999997</v>
      </c>
    </row>
    <row r="180" spans="1:10" x14ac:dyDescent="0.3">
      <c r="A180" s="15" t="s">
        <v>2151</v>
      </c>
      <c r="J180">
        <v>6.308539991</v>
      </c>
    </row>
    <row r="181" spans="1:10" x14ac:dyDescent="0.3">
      <c r="A181" s="15" t="s">
        <v>2157</v>
      </c>
      <c r="J181">
        <v>6.4441190510000004</v>
      </c>
    </row>
    <row r="182" spans="1:10" x14ac:dyDescent="0.3">
      <c r="A182" s="15" t="s">
        <v>2159</v>
      </c>
      <c r="H182">
        <v>6.6841224730000004</v>
      </c>
    </row>
    <row r="183" spans="1:10" x14ac:dyDescent="0.3">
      <c r="A183" s="15" t="s">
        <v>2164</v>
      </c>
      <c r="F183">
        <v>6.3032905000000001</v>
      </c>
    </row>
    <row r="184" spans="1:10" x14ac:dyDescent="0.3">
      <c r="A184" s="15" t="s">
        <v>2165</v>
      </c>
      <c r="F184">
        <v>8.1894783760000003</v>
      </c>
    </row>
    <row r="185" spans="1:10" x14ac:dyDescent="0.3">
      <c r="A185" s="15" t="s">
        <v>1718</v>
      </c>
      <c r="C185">
        <v>-0.27530228699999998</v>
      </c>
    </row>
    <row r="186" spans="1:10" x14ac:dyDescent="0.3">
      <c r="A186" s="15" t="s">
        <v>1720</v>
      </c>
      <c r="C186">
        <v>-0.76427224599999999</v>
      </c>
    </row>
    <row r="187" spans="1:10" x14ac:dyDescent="0.3">
      <c r="A187" s="15" t="s">
        <v>1723</v>
      </c>
      <c r="B187">
        <v>-1.2541429799999999</v>
      </c>
    </row>
    <row r="188" spans="1:10" x14ac:dyDescent="0.3">
      <c r="A188" s="15" t="s">
        <v>1727</v>
      </c>
      <c r="C188">
        <v>-1.413145592</v>
      </c>
    </row>
    <row r="189" spans="1:10" x14ac:dyDescent="0.3">
      <c r="A189" s="15" t="s">
        <v>1730</v>
      </c>
      <c r="C189">
        <v>2.6561990980000001</v>
      </c>
    </row>
    <row r="190" spans="1:10" x14ac:dyDescent="0.3">
      <c r="A190" s="15" t="s">
        <v>1734</v>
      </c>
      <c r="C190">
        <v>4.1568201020000002</v>
      </c>
    </row>
    <row r="191" spans="1:10" x14ac:dyDescent="0.3">
      <c r="A191" s="15" t="s">
        <v>1767</v>
      </c>
      <c r="C191">
        <v>-1.3365580610000001</v>
      </c>
    </row>
    <row r="192" spans="1:10" x14ac:dyDescent="0.3">
      <c r="A192" s="15" t="s">
        <v>1770</v>
      </c>
      <c r="C192">
        <v>3.5803873999999999E-2</v>
      </c>
    </row>
    <row r="193" spans="1:3" x14ac:dyDescent="0.3">
      <c r="A193" s="15" t="s">
        <v>1772</v>
      </c>
      <c r="C193">
        <v>-1.6715452049999999</v>
      </c>
    </row>
    <row r="194" spans="1:3" x14ac:dyDescent="0.3">
      <c r="A194" s="15" t="s">
        <v>1774</v>
      </c>
      <c r="C194">
        <v>0.100789875</v>
      </c>
    </row>
    <row r="195" spans="1:3" x14ac:dyDescent="0.3">
      <c r="A195" s="15" t="s">
        <v>1777</v>
      </c>
      <c r="C195">
        <v>-1.1691658789999999</v>
      </c>
    </row>
    <row r="196" spans="1:3" x14ac:dyDescent="0.3">
      <c r="A196" s="15" t="s">
        <v>1780</v>
      </c>
      <c r="C196">
        <v>-0.79126873200000003</v>
      </c>
    </row>
    <row r="197" spans="1:3" x14ac:dyDescent="0.3">
      <c r="A197" s="15" t="s">
        <v>1782</v>
      </c>
      <c r="C197">
        <v>1.0884486019999999</v>
      </c>
    </row>
    <row r="198" spans="1:3" x14ac:dyDescent="0.3">
      <c r="A198" s="15" t="s">
        <v>1785</v>
      </c>
      <c r="C198">
        <v>0.73120513499999995</v>
      </c>
    </row>
    <row r="199" spans="1:3" x14ac:dyDescent="0.3">
      <c r="A199" s="15" t="s">
        <v>1787</v>
      </c>
      <c r="C199">
        <v>1.1488561859999999</v>
      </c>
    </row>
    <row r="200" spans="1:3" x14ac:dyDescent="0.3">
      <c r="A200" s="15" t="s">
        <v>1789</v>
      </c>
      <c r="C200">
        <v>-0.92334619100000004</v>
      </c>
    </row>
    <row r="201" spans="1:3" x14ac:dyDescent="0.3">
      <c r="A201" s="15" t="s">
        <v>1791</v>
      </c>
      <c r="C201">
        <v>-0.67011379999999998</v>
      </c>
    </row>
    <row r="202" spans="1:3" x14ac:dyDescent="0.3">
      <c r="A202" s="15" t="s">
        <v>1794</v>
      </c>
      <c r="C202">
        <v>9.886901E-3</v>
      </c>
    </row>
    <row r="203" spans="1:3" x14ac:dyDescent="0.3">
      <c r="A203" s="15" t="s">
        <v>1797</v>
      </c>
      <c r="C203">
        <v>-1.0430805439999999</v>
      </c>
    </row>
    <row r="204" spans="1:3" x14ac:dyDescent="0.3">
      <c r="A204" s="15" t="s">
        <v>1799</v>
      </c>
      <c r="C204">
        <v>0.43389958299999998</v>
      </c>
    </row>
    <row r="205" spans="1:3" x14ac:dyDescent="0.3">
      <c r="A205" s="15" t="s">
        <v>1802</v>
      </c>
      <c r="C205">
        <v>-0.81615113100000003</v>
      </c>
    </row>
    <row r="206" spans="1:3" x14ac:dyDescent="0.3">
      <c r="A206" s="15" t="s">
        <v>1806</v>
      </c>
      <c r="C206">
        <v>-1.3236157209999999</v>
      </c>
    </row>
    <row r="207" spans="1:3" x14ac:dyDescent="0.3">
      <c r="A207" s="15" t="s">
        <v>1809</v>
      </c>
      <c r="C207">
        <v>-1.5456571690000001</v>
      </c>
    </row>
    <row r="208" spans="1:3" x14ac:dyDescent="0.3">
      <c r="A208" s="15" t="s">
        <v>1812</v>
      </c>
      <c r="C208">
        <v>-0.47035755200000001</v>
      </c>
    </row>
    <row r="209" spans="1:12" x14ac:dyDescent="0.3">
      <c r="A209" s="15" t="s">
        <v>1814</v>
      </c>
      <c r="C209">
        <v>-1.2004385360000001</v>
      </c>
    </row>
    <row r="210" spans="1:12" x14ac:dyDescent="0.3">
      <c r="A210" s="15" t="s">
        <v>1820</v>
      </c>
      <c r="E210">
        <v>-1.2479256569999999</v>
      </c>
    </row>
    <row r="211" spans="1:12" x14ac:dyDescent="0.3">
      <c r="A211" s="15" t="s">
        <v>1827</v>
      </c>
      <c r="E211">
        <v>1.180864336</v>
      </c>
    </row>
    <row r="212" spans="1:12" x14ac:dyDescent="0.3">
      <c r="A212" s="15" t="s">
        <v>1846</v>
      </c>
      <c r="L212">
        <v>7.1977436279999996</v>
      </c>
    </row>
    <row r="213" spans="1:12" x14ac:dyDescent="0.3">
      <c r="A213" s="15" t="s">
        <v>1848</v>
      </c>
      <c r="L213">
        <v>6.3007440209999999</v>
      </c>
    </row>
    <row r="214" spans="1:12" x14ac:dyDescent="0.3">
      <c r="A214" s="15" t="s">
        <v>1855</v>
      </c>
      <c r="L214">
        <v>5.7212481039999998</v>
      </c>
    </row>
    <row r="215" spans="1:12" x14ac:dyDescent="0.3">
      <c r="A215" s="15" t="s">
        <v>1857</v>
      </c>
      <c r="L215">
        <v>7.5137012109999999</v>
      </c>
    </row>
    <row r="216" spans="1:12" x14ac:dyDescent="0.3">
      <c r="A216" s="15" t="s">
        <v>1860</v>
      </c>
      <c r="L216">
        <v>8.603591539</v>
      </c>
    </row>
    <row r="217" spans="1:12" x14ac:dyDescent="0.3">
      <c r="A217" s="15" t="s">
        <v>2166</v>
      </c>
      <c r="L217">
        <v>4.7507726830000001</v>
      </c>
    </row>
    <row r="218" spans="1:12" x14ac:dyDescent="0.3">
      <c r="A218" s="15" t="s">
        <v>2168</v>
      </c>
      <c r="L218">
        <v>0.10775367299999999</v>
      </c>
    </row>
    <row r="219" spans="1:12" x14ac:dyDescent="0.3">
      <c r="A219" s="15" t="s">
        <v>2172</v>
      </c>
      <c r="L219">
        <v>6.2494094899999997</v>
      </c>
    </row>
    <row r="220" spans="1:12" x14ac:dyDescent="0.3">
      <c r="A220" s="15" t="s">
        <v>2176</v>
      </c>
      <c r="L220">
        <v>5.9873324280000002</v>
      </c>
    </row>
    <row r="221" spans="1:12" x14ac:dyDescent="0.3">
      <c r="A221" s="15" t="s">
        <v>2186</v>
      </c>
      <c r="L221">
        <v>9.1052703650000009</v>
      </c>
    </row>
    <row r="222" spans="1:12" x14ac:dyDescent="0.3">
      <c r="A222" s="15" t="s">
        <v>2200</v>
      </c>
      <c r="L222">
        <v>5.5928286270000003</v>
      </c>
    </row>
    <row r="223" spans="1:12" x14ac:dyDescent="0.3">
      <c r="A223" s="15" t="s">
        <v>2287</v>
      </c>
      <c r="K223">
        <v>5.5331506380000004</v>
      </c>
    </row>
    <row r="224" spans="1:12" x14ac:dyDescent="0.3">
      <c r="A224" s="15" t="s">
        <v>2289</v>
      </c>
      <c r="C224">
        <v>0.39691395899999998</v>
      </c>
    </row>
    <row r="225" spans="1:12" x14ac:dyDescent="0.3">
      <c r="A225" s="15" t="s">
        <v>2295</v>
      </c>
      <c r="L225">
        <v>6.8160371270000004</v>
      </c>
    </row>
    <row r="226" spans="1:12" x14ac:dyDescent="0.3">
      <c r="A226" s="15" t="s">
        <v>2299</v>
      </c>
      <c r="L226">
        <v>4.2654212060000001</v>
      </c>
    </row>
    <row r="227" spans="1:12" x14ac:dyDescent="0.3">
      <c r="A227" s="15" t="s">
        <v>2301</v>
      </c>
      <c r="L227">
        <v>7.1116463679999997</v>
      </c>
    </row>
    <row r="228" spans="1:12" x14ac:dyDescent="0.3">
      <c r="A228" s="15" t="s">
        <v>2303</v>
      </c>
      <c r="L228">
        <v>3.9123731039999998</v>
      </c>
    </row>
    <row r="229" spans="1:12" x14ac:dyDescent="0.3">
      <c r="A229" s="15" t="s">
        <v>2316</v>
      </c>
      <c r="L229">
        <v>5.9523365699999999</v>
      </c>
    </row>
    <row r="230" spans="1:12" x14ac:dyDescent="0.3">
      <c r="A230" s="15" t="s">
        <v>2319</v>
      </c>
      <c r="L230">
        <v>6.4356554460000002</v>
      </c>
    </row>
    <row r="231" spans="1:12" x14ac:dyDescent="0.3">
      <c r="A231" s="15" t="s">
        <v>2326</v>
      </c>
      <c r="L231">
        <v>9.0923998259999994</v>
      </c>
    </row>
    <row r="232" spans="1:12" x14ac:dyDescent="0.3">
      <c r="A232" s="15" t="s">
        <v>2328</v>
      </c>
      <c r="L232">
        <v>6.4512236940000003</v>
      </c>
    </row>
    <row r="233" spans="1:12" x14ac:dyDescent="0.3">
      <c r="A233" s="15" t="s">
        <v>2330</v>
      </c>
      <c r="L233">
        <v>6.3187365340000001</v>
      </c>
    </row>
    <row r="234" spans="1:12" x14ac:dyDescent="0.3">
      <c r="A234" s="15" t="s">
        <v>2342</v>
      </c>
      <c r="L234">
        <v>6.7982294169999999</v>
      </c>
    </row>
    <row r="235" spans="1:12" x14ac:dyDescent="0.3">
      <c r="A235" s="15" t="s">
        <v>2344</v>
      </c>
      <c r="L235">
        <v>4.5338786420000003</v>
      </c>
    </row>
    <row r="236" spans="1:12" x14ac:dyDescent="0.3">
      <c r="A236" s="15" t="s">
        <v>2351</v>
      </c>
      <c r="L236">
        <v>5.6548415350000001</v>
      </c>
    </row>
    <row r="237" spans="1:12" x14ac:dyDescent="0.3">
      <c r="A237" s="15" t="s">
        <v>2353</v>
      </c>
      <c r="L237">
        <v>6.2884790529999997</v>
      </c>
    </row>
    <row r="238" spans="1:12" x14ac:dyDescent="0.3">
      <c r="A238" s="15" t="s">
        <v>2355</v>
      </c>
      <c r="L238">
        <v>7.6500159810000001</v>
      </c>
    </row>
    <row r="239" spans="1:12" x14ac:dyDescent="0.3">
      <c r="A239" s="15" t="s">
        <v>2359</v>
      </c>
      <c r="L239">
        <v>5.7633601329999999</v>
      </c>
    </row>
    <row r="240" spans="1:12" x14ac:dyDescent="0.3">
      <c r="A240" s="15" t="s">
        <v>2375</v>
      </c>
      <c r="L240">
        <v>3.893059037</v>
      </c>
    </row>
    <row r="241" spans="1:12" x14ac:dyDescent="0.3">
      <c r="A241" s="15" t="s">
        <v>2382</v>
      </c>
      <c r="L241">
        <v>6.8170682840000003</v>
      </c>
    </row>
    <row r="242" spans="1:12" x14ac:dyDescent="0.3">
      <c r="A242" s="15" t="s">
        <v>2384</v>
      </c>
      <c r="L242">
        <v>10.515709879999999</v>
      </c>
    </row>
    <row r="243" spans="1:12" x14ac:dyDescent="0.3">
      <c r="A243" s="15" t="s">
        <v>2389</v>
      </c>
      <c r="L243">
        <v>5.4825289420000001</v>
      </c>
    </row>
    <row r="244" spans="1:12" x14ac:dyDescent="0.3">
      <c r="A244" s="15" t="s">
        <v>2393</v>
      </c>
      <c r="L244">
        <v>5.7328943819999996</v>
      </c>
    </row>
    <row r="245" spans="1:12" x14ac:dyDescent="0.3">
      <c r="A245" s="15" t="s">
        <v>2397</v>
      </c>
      <c r="L245">
        <v>6.7294726100000002</v>
      </c>
    </row>
    <row r="246" spans="1:12" x14ac:dyDescent="0.3">
      <c r="A246" s="15" t="s">
        <v>2401</v>
      </c>
      <c r="L246">
        <v>6.4195077019999998</v>
      </c>
    </row>
    <row r="247" spans="1:12" x14ac:dyDescent="0.3">
      <c r="A247" s="15" t="s">
        <v>2405</v>
      </c>
      <c r="L247">
        <v>5.9723008990000004</v>
      </c>
    </row>
    <row r="248" spans="1:12" x14ac:dyDescent="0.3">
      <c r="A248" s="15" t="s">
        <v>2415</v>
      </c>
      <c r="L248">
        <v>5.9358978100000002</v>
      </c>
    </row>
    <row r="249" spans="1:12" x14ac:dyDescent="0.3">
      <c r="A249" s="15" t="s">
        <v>2419</v>
      </c>
      <c r="L249">
        <v>8.8922701620000009</v>
      </c>
    </row>
    <row r="250" spans="1:12" x14ac:dyDescent="0.3">
      <c r="A250" s="15" t="s">
        <v>2428</v>
      </c>
      <c r="L250">
        <v>6.0384375830000003</v>
      </c>
    </row>
    <row r="251" spans="1:12" x14ac:dyDescent="0.3">
      <c r="A251" s="15" t="s">
        <v>2432</v>
      </c>
      <c r="L251">
        <v>-0.25282767299999998</v>
      </c>
    </row>
    <row r="252" spans="1:12" x14ac:dyDescent="0.3">
      <c r="A252" s="15" t="s">
        <v>2434</v>
      </c>
      <c r="C252">
        <v>-1.1691658789999999</v>
      </c>
    </row>
    <row r="253" spans="1:12" x14ac:dyDescent="0.3">
      <c r="A253" s="15" t="s">
        <v>2439</v>
      </c>
      <c r="F253">
        <v>6.4442586869999996</v>
      </c>
    </row>
    <row r="254" spans="1:12" x14ac:dyDescent="0.3">
      <c r="A254" s="15" t="s">
        <v>2452</v>
      </c>
      <c r="F254">
        <v>9.0988914909999998</v>
      </c>
    </row>
    <row r="255" spans="1:12" x14ac:dyDescent="0.3">
      <c r="A255" s="15" t="s">
        <v>2458</v>
      </c>
      <c r="F255">
        <v>4.5536058810000002</v>
      </c>
    </row>
    <row r="256" spans="1:12" x14ac:dyDescent="0.3">
      <c r="A256" s="15" t="s">
        <v>2462</v>
      </c>
      <c r="F256">
        <v>8.4021259260000001</v>
      </c>
    </row>
    <row r="257" spans="1:10" x14ac:dyDescent="0.3">
      <c r="A257" s="15" t="s">
        <v>2466</v>
      </c>
      <c r="F257">
        <v>6.2372421649999996</v>
      </c>
    </row>
    <row r="258" spans="1:10" x14ac:dyDescent="0.3">
      <c r="A258" s="15" t="s">
        <v>2473</v>
      </c>
      <c r="F258">
        <v>5.2302281119999998</v>
      </c>
    </row>
    <row r="259" spans="1:10" x14ac:dyDescent="0.3">
      <c r="A259" s="15" t="s">
        <v>2475</v>
      </c>
      <c r="F259">
        <v>2.5178868639999998</v>
      </c>
    </row>
    <row r="260" spans="1:10" x14ac:dyDescent="0.3">
      <c r="A260" s="15" t="s">
        <v>2477</v>
      </c>
      <c r="F260">
        <v>6.2071190280000001</v>
      </c>
    </row>
    <row r="261" spans="1:10" x14ac:dyDescent="0.3">
      <c r="A261" s="15" t="s">
        <v>2479</v>
      </c>
      <c r="J261">
        <v>8.7866986669999996</v>
      </c>
    </row>
    <row r="262" spans="1:10" x14ac:dyDescent="0.3">
      <c r="A262" s="15" t="s">
        <v>2485</v>
      </c>
      <c r="J262">
        <v>4.143578626</v>
      </c>
    </row>
    <row r="263" spans="1:10" x14ac:dyDescent="0.3">
      <c r="A263" s="15" t="s">
        <v>2496</v>
      </c>
      <c r="J263">
        <v>6.1231649890000002</v>
      </c>
    </row>
    <row r="264" spans="1:10" x14ac:dyDescent="0.3">
      <c r="A264" s="15" t="s">
        <v>2506</v>
      </c>
      <c r="F264">
        <v>2.5285279159999998</v>
      </c>
    </row>
    <row r="265" spans="1:10" x14ac:dyDescent="0.3">
      <c r="A265" s="15" t="s">
        <v>2511</v>
      </c>
      <c r="F265">
        <v>4.5856357570000004</v>
      </c>
    </row>
    <row r="266" spans="1:10" x14ac:dyDescent="0.3">
      <c r="A266" s="15" t="s">
        <v>2514</v>
      </c>
      <c r="J266">
        <v>2.1530488000000001</v>
      </c>
    </row>
    <row r="267" spans="1:10" x14ac:dyDescent="0.3">
      <c r="A267" s="15" t="s">
        <v>2518</v>
      </c>
      <c r="J267">
        <v>3.949742799</v>
      </c>
    </row>
    <row r="268" spans="1:10" x14ac:dyDescent="0.3">
      <c r="A268" s="15" t="s">
        <v>2519</v>
      </c>
      <c r="J268">
        <v>5.3447673250000003</v>
      </c>
    </row>
    <row r="269" spans="1:10" x14ac:dyDescent="0.3">
      <c r="A269" s="15" t="s">
        <v>2520</v>
      </c>
      <c r="J269">
        <v>5.4847364299999999</v>
      </c>
    </row>
    <row r="270" spans="1:10" x14ac:dyDescent="0.3">
      <c r="A270" s="15" t="s">
        <v>2534</v>
      </c>
      <c r="F270">
        <v>9.3910979920000006</v>
      </c>
    </row>
    <row r="271" spans="1:10" x14ac:dyDescent="0.3">
      <c r="A271" s="15" t="s">
        <v>2545</v>
      </c>
      <c r="J271">
        <v>6.6736759040000004</v>
      </c>
    </row>
    <row r="272" spans="1:10" x14ac:dyDescent="0.3">
      <c r="A272" s="15" t="s">
        <v>2549</v>
      </c>
      <c r="F272">
        <v>8.1514992339999992</v>
      </c>
    </row>
    <row r="273" spans="1:10" x14ac:dyDescent="0.3">
      <c r="A273" s="15" t="s">
        <v>2550</v>
      </c>
      <c r="F273">
        <v>4.5674128239999998</v>
      </c>
    </row>
    <row r="274" spans="1:10" x14ac:dyDescent="0.3">
      <c r="A274" s="15" t="s">
        <v>2552</v>
      </c>
      <c r="F274">
        <v>6.7541484350000003</v>
      </c>
    </row>
    <row r="275" spans="1:10" x14ac:dyDescent="0.3">
      <c r="A275" s="15" t="s">
        <v>2554</v>
      </c>
      <c r="J275">
        <v>4.3369842680000001</v>
      </c>
    </row>
    <row r="276" spans="1:10" x14ac:dyDescent="0.3">
      <c r="A276" s="15" t="s">
        <v>2556</v>
      </c>
      <c r="G276">
        <v>5.7561244809999996</v>
      </c>
    </row>
    <row r="277" spans="1:10" x14ac:dyDescent="0.3">
      <c r="A277" s="15" t="s">
        <v>2557</v>
      </c>
      <c r="G277">
        <v>5.4081495029999997</v>
      </c>
    </row>
    <row r="278" spans="1:10" x14ac:dyDescent="0.3">
      <c r="A278" s="15" t="s">
        <v>2558</v>
      </c>
      <c r="G278">
        <v>6.6833936920000001</v>
      </c>
    </row>
    <row r="279" spans="1:10" x14ac:dyDescent="0.3">
      <c r="A279" s="15" t="s">
        <v>2562</v>
      </c>
      <c r="G279">
        <v>5.8278533020000003</v>
      </c>
    </row>
    <row r="280" spans="1:10" x14ac:dyDescent="0.3">
      <c r="A280" s="15" t="s">
        <v>2565</v>
      </c>
      <c r="J280">
        <v>8.9286055609999995</v>
      </c>
    </row>
    <row r="281" spans="1:10" x14ac:dyDescent="0.3">
      <c r="A281" s="15" t="s">
        <v>2572</v>
      </c>
      <c r="G281">
        <v>4.7827868699999998</v>
      </c>
    </row>
    <row r="282" spans="1:10" x14ac:dyDescent="0.3">
      <c r="A282" s="15" t="s">
        <v>2574</v>
      </c>
      <c r="G282">
        <v>4.8630116880000003</v>
      </c>
    </row>
    <row r="283" spans="1:10" x14ac:dyDescent="0.3">
      <c r="A283" s="15" t="s">
        <v>2578</v>
      </c>
      <c r="G283">
        <v>8.0096764</v>
      </c>
    </row>
    <row r="284" spans="1:10" x14ac:dyDescent="0.3">
      <c r="A284" s="15" t="s">
        <v>2580</v>
      </c>
      <c r="G284">
        <v>6.6276773269999998</v>
      </c>
    </row>
    <row r="285" spans="1:10" x14ac:dyDescent="0.3">
      <c r="A285" s="15" t="s">
        <v>2582</v>
      </c>
      <c r="G285">
        <v>7.1829979780000004</v>
      </c>
    </row>
    <row r="286" spans="1:10" x14ac:dyDescent="0.3">
      <c r="A286" s="15" t="s">
        <v>2588</v>
      </c>
      <c r="G286">
        <v>7.3712855289999997</v>
      </c>
    </row>
    <row r="287" spans="1:10" x14ac:dyDescent="0.3">
      <c r="A287" s="15" t="s">
        <v>2640</v>
      </c>
      <c r="C287">
        <v>4.303145512077255</v>
      </c>
    </row>
    <row r="288" spans="1:10" x14ac:dyDescent="0.3">
      <c r="A288" s="15" t="s">
        <v>2659</v>
      </c>
      <c r="C288">
        <v>0.65172609636182832</v>
      </c>
    </row>
    <row r="289" spans="1:11" x14ac:dyDescent="0.3">
      <c r="A289" s="15" t="s">
        <v>2642</v>
      </c>
      <c r="C289">
        <v>2.7406756114669628</v>
      </c>
    </row>
    <row r="290" spans="1:11" x14ac:dyDescent="0.3">
      <c r="A290" s="15" t="s">
        <v>2658</v>
      </c>
      <c r="C290">
        <v>-0.37463331092662133</v>
      </c>
    </row>
    <row r="291" spans="1:11" x14ac:dyDescent="0.3">
      <c r="A291" s="15" t="s">
        <v>2657</v>
      </c>
      <c r="K291">
        <v>4.4813557011342304</v>
      </c>
    </row>
    <row r="292" spans="1:11" x14ac:dyDescent="0.3">
      <c r="A292" s="15" t="s">
        <v>2656</v>
      </c>
      <c r="K292">
        <v>4.6636115257952433</v>
      </c>
    </row>
    <row r="293" spans="1:11" x14ac:dyDescent="0.3">
      <c r="A293" s="15" t="s">
        <v>2655</v>
      </c>
      <c r="C293">
        <v>1.5919531131477958</v>
      </c>
    </row>
    <row r="294" spans="1:11" x14ac:dyDescent="0.3">
      <c r="A294" s="15" t="s">
        <v>2654</v>
      </c>
      <c r="C294">
        <v>-0.63101091745464055</v>
      </c>
    </row>
    <row r="295" spans="1:11" x14ac:dyDescent="0.3">
      <c r="A295" s="15" t="s">
        <v>2653</v>
      </c>
      <c r="C295">
        <v>-1.1351922241528278</v>
      </c>
    </row>
    <row r="296" spans="1:11" x14ac:dyDescent="0.3">
      <c r="A296" s="15" t="s">
        <v>2652</v>
      </c>
      <c r="C296">
        <v>1.5747509275122344</v>
      </c>
    </row>
    <row r="297" spans="1:11" x14ac:dyDescent="0.3">
      <c r="A297" s="15" t="s">
        <v>2651</v>
      </c>
      <c r="C297">
        <v>-1.3106764455763671</v>
      </c>
    </row>
    <row r="298" spans="1:11" x14ac:dyDescent="0.3">
      <c r="A298" s="15" t="s">
        <v>2650</v>
      </c>
      <c r="C298">
        <v>2.0368459365255687</v>
      </c>
    </row>
    <row r="299" spans="1:11" x14ac:dyDescent="0.3">
      <c r="A299" s="15" t="s">
        <v>2649</v>
      </c>
      <c r="C299">
        <v>0.6062469160672852</v>
      </c>
    </row>
    <row r="300" spans="1:11" x14ac:dyDescent="0.3">
      <c r="A300" s="15" t="s">
        <v>2648</v>
      </c>
      <c r="C300">
        <v>6.7388229332522256</v>
      </c>
    </row>
    <row r="301" spans="1:11" x14ac:dyDescent="0.3">
      <c r="A301" s="15" t="s">
        <v>2647</v>
      </c>
      <c r="C301">
        <v>4.3163520451468553</v>
      </c>
    </row>
    <row r="302" spans="1:11" x14ac:dyDescent="0.3">
      <c r="A302" s="15" t="s">
        <v>2646</v>
      </c>
      <c r="C302">
        <v>-0.78862924886818908</v>
      </c>
    </row>
    <row r="303" spans="1:11" x14ac:dyDescent="0.3">
      <c r="A303" s="15" t="s">
        <v>2645</v>
      </c>
      <c r="C303">
        <v>1.2578462762450267</v>
      </c>
    </row>
    <row r="304" spans="1:11" x14ac:dyDescent="0.3">
      <c r="A304" s="15" t="s">
        <v>2644</v>
      </c>
      <c r="C304">
        <v>2.0479478071630148</v>
      </c>
    </row>
    <row r="305" spans="1:12" x14ac:dyDescent="0.3">
      <c r="A305" s="15" t="s">
        <v>2643</v>
      </c>
      <c r="C305">
        <v>1.4755743795724348</v>
      </c>
    </row>
    <row r="306" spans="1:12" x14ac:dyDescent="0.3">
      <c r="A306" s="15" t="s">
        <v>2641</v>
      </c>
      <c r="C306">
        <v>2.5328247165417843</v>
      </c>
    </row>
    <row r="307" spans="1:12" x14ac:dyDescent="0.3">
      <c r="A307" s="15" t="s">
        <v>2639</v>
      </c>
      <c r="C307">
        <v>-0.16429921586171181</v>
      </c>
    </row>
    <row r="308" spans="1:12" x14ac:dyDescent="0.3">
      <c r="A308" s="15" t="s">
        <v>2638</v>
      </c>
      <c r="C308">
        <v>1.3105372472643015</v>
      </c>
    </row>
    <row r="309" spans="1:12" x14ac:dyDescent="0.3">
      <c r="A309" s="15" t="s">
        <v>2637</v>
      </c>
      <c r="C309">
        <v>0.12422535017686376</v>
      </c>
    </row>
    <row r="310" spans="1:12" x14ac:dyDescent="0.3">
      <c r="A310" s="15" t="s">
        <v>2636</v>
      </c>
      <c r="C310">
        <v>2.3573002094732995</v>
      </c>
    </row>
    <row r="311" spans="1:12" x14ac:dyDescent="0.3">
      <c r="A311" s="15" t="s">
        <v>2635</v>
      </c>
      <c r="C311">
        <v>-5.8946983736034131E-2</v>
      </c>
    </row>
    <row r="312" spans="1:12" x14ac:dyDescent="0.3">
      <c r="A312" s="15" t="s">
        <v>2634</v>
      </c>
      <c r="C312">
        <v>0.26806939995990509</v>
      </c>
    </row>
    <row r="313" spans="1:12" x14ac:dyDescent="0.3">
      <c r="A313" s="15" t="s">
        <v>2633</v>
      </c>
      <c r="C313">
        <v>-0.3724813647843539</v>
      </c>
    </row>
    <row r="314" spans="1:12" x14ac:dyDescent="0.3">
      <c r="A314" s="15" t="s">
        <v>2629</v>
      </c>
      <c r="C314">
        <v>1.3894092580109372</v>
      </c>
    </row>
    <row r="315" spans="1:12" x14ac:dyDescent="0.3">
      <c r="A315" s="15" t="s">
        <v>2700</v>
      </c>
      <c r="B315">
        <v>-1.2541429799999999</v>
      </c>
      <c r="C315">
        <v>28.195365781604838</v>
      </c>
      <c r="D315">
        <v>7.0613521729999995</v>
      </c>
      <c r="E315">
        <v>-6.7061320999999952E-2</v>
      </c>
      <c r="F315">
        <v>236.37737074399999</v>
      </c>
      <c r="G315">
        <v>86.009244750000008</v>
      </c>
      <c r="H315">
        <v>6.6841224730000004</v>
      </c>
      <c r="I315">
        <v>5.9596984769999999</v>
      </c>
      <c r="J315">
        <v>655.14320439799974</v>
      </c>
      <c r="K315">
        <v>14.678117864929474</v>
      </c>
      <c r="L315">
        <v>305.61135002299989</v>
      </c>
    </row>
    <row r="830" spans="9:9" x14ac:dyDescent="0.3">
      <c r="I830">
        <v>-0.27530228699999998</v>
      </c>
    </row>
    <row r="831" spans="9:9" x14ac:dyDescent="0.3">
      <c r="I831">
        <v>-0.76427224599999999</v>
      </c>
    </row>
    <row r="833" spans="9:9" x14ac:dyDescent="0.3">
      <c r="I833">
        <v>-1.413145592</v>
      </c>
    </row>
    <row r="834" spans="9:9" x14ac:dyDescent="0.3">
      <c r="I834">
        <v>2.6561990980000001</v>
      </c>
    </row>
    <row r="835" spans="9:9" x14ac:dyDescent="0.3">
      <c r="I835">
        <v>4.1568201020000002</v>
      </c>
    </row>
    <row r="836" spans="9:9" x14ac:dyDescent="0.3">
      <c r="I836">
        <v>-1.3365580610000001</v>
      </c>
    </row>
    <row r="837" spans="9:9" x14ac:dyDescent="0.3">
      <c r="I837">
        <v>3.5803873999999999E-2</v>
      </c>
    </row>
    <row r="838" spans="9:9" x14ac:dyDescent="0.3">
      <c r="I838">
        <v>-1.6715452049999999</v>
      </c>
    </row>
    <row r="839" spans="9:9" x14ac:dyDescent="0.3">
      <c r="I839">
        <v>0.100789875</v>
      </c>
    </row>
    <row r="840" spans="9:9" x14ac:dyDescent="0.3">
      <c r="I840">
        <v>-1.1691658789999999</v>
      </c>
    </row>
    <row r="841" spans="9:9" x14ac:dyDescent="0.3">
      <c r="I841">
        <v>-0.79126873200000003</v>
      </c>
    </row>
    <row r="842" spans="9:9" x14ac:dyDescent="0.3">
      <c r="I842">
        <v>1.0884486019999999</v>
      </c>
    </row>
    <row r="843" spans="9:9" x14ac:dyDescent="0.3">
      <c r="I843">
        <v>0.73120513499999995</v>
      </c>
    </row>
    <row r="844" spans="9:9" x14ac:dyDescent="0.3">
      <c r="I844">
        <v>1.1488561859999999</v>
      </c>
    </row>
    <row r="845" spans="9:9" x14ac:dyDescent="0.3">
      <c r="I845">
        <v>-0.92334619100000004</v>
      </c>
    </row>
    <row r="846" spans="9:9" x14ac:dyDescent="0.3">
      <c r="I846">
        <v>-0.67011379999999998</v>
      </c>
    </row>
    <row r="847" spans="9:9" x14ac:dyDescent="0.3">
      <c r="I847">
        <v>9.886901E-3</v>
      </c>
    </row>
    <row r="848" spans="9:9" x14ac:dyDescent="0.3">
      <c r="I848">
        <v>-1.0430805439999999</v>
      </c>
    </row>
    <row r="849" spans="9:9" x14ac:dyDescent="0.3">
      <c r="I849">
        <v>0.43389958299999998</v>
      </c>
    </row>
    <row r="850" spans="9:9" x14ac:dyDescent="0.3">
      <c r="I850">
        <v>-0.81615113100000003</v>
      </c>
    </row>
    <row r="851" spans="9:9" x14ac:dyDescent="0.3">
      <c r="I851">
        <v>-1.3236157209999999</v>
      </c>
    </row>
    <row r="852" spans="9:9" x14ac:dyDescent="0.3">
      <c r="I852">
        <v>-1.5456571690000001</v>
      </c>
    </row>
    <row r="853" spans="9:9" x14ac:dyDescent="0.3">
      <c r="I853">
        <v>-0.47035755200000001</v>
      </c>
    </row>
    <row r="854" spans="9:9" x14ac:dyDescent="0.3">
      <c r="I854">
        <v>-1.2004385360000001</v>
      </c>
    </row>
    <row r="886" spans="9:9" x14ac:dyDescent="0.3">
      <c r="I886">
        <v>5.5331506380000004</v>
      </c>
    </row>
    <row r="887" spans="9:9" x14ac:dyDescent="0.3">
      <c r="I887">
        <v>0.39691395899999998</v>
      </c>
    </row>
    <row r="953" spans="9:9" x14ac:dyDescent="0.3">
      <c r="I953">
        <v>-1.1691658789999999</v>
      </c>
    </row>
    <row r="1028" spans="9:9" x14ac:dyDescent="0.3">
      <c r="I1028">
        <v>4.303145512077255</v>
      </c>
    </row>
    <row r="1029" spans="9:9" x14ac:dyDescent="0.3">
      <c r="I1029">
        <v>0.65172609636182832</v>
      </c>
    </row>
    <row r="1030" spans="9:9" x14ac:dyDescent="0.3">
      <c r="I1030">
        <v>2.7406756114669628</v>
      </c>
    </row>
    <row r="1031" spans="9:9" x14ac:dyDescent="0.3">
      <c r="I1031">
        <v>-0.37463331092662133</v>
      </c>
    </row>
    <row r="1032" spans="9:9" x14ac:dyDescent="0.3">
      <c r="I1032">
        <v>4.4813557011342304</v>
      </c>
    </row>
    <row r="1033" spans="9:9" x14ac:dyDescent="0.3">
      <c r="I1033">
        <v>4.6636115257952433</v>
      </c>
    </row>
    <row r="1034" spans="9:9" x14ac:dyDescent="0.3">
      <c r="I1034">
        <v>1.5919531131477958</v>
      </c>
    </row>
    <row r="1035" spans="9:9" x14ac:dyDescent="0.3">
      <c r="I1035">
        <v>-0.63101091745464055</v>
      </c>
    </row>
    <row r="1036" spans="9:9" x14ac:dyDescent="0.3">
      <c r="I1036">
        <v>-1.1351922241528278</v>
      </c>
    </row>
    <row r="1037" spans="9:9" x14ac:dyDescent="0.3">
      <c r="I1037">
        <v>1.5747509275122344</v>
      </c>
    </row>
    <row r="1038" spans="9:9" x14ac:dyDescent="0.3">
      <c r="I1038">
        <v>-1.3106764455763671</v>
      </c>
    </row>
    <row r="1039" spans="9:9" x14ac:dyDescent="0.3">
      <c r="I1039">
        <v>2.0368459365255687</v>
      </c>
    </row>
    <row r="1040" spans="9:9" x14ac:dyDescent="0.3">
      <c r="I1040">
        <v>0.6062469160672852</v>
      </c>
    </row>
    <row r="1041" spans="9:9" x14ac:dyDescent="0.3">
      <c r="I1041">
        <v>6.7388229332522256</v>
      </c>
    </row>
    <row r="1042" spans="9:9" x14ac:dyDescent="0.3">
      <c r="I1042">
        <v>4.3163520451468553</v>
      </c>
    </row>
    <row r="1043" spans="9:9" x14ac:dyDescent="0.3">
      <c r="I1043">
        <v>-0.78862924886818908</v>
      </c>
    </row>
    <row r="1044" spans="9:9" x14ac:dyDescent="0.3">
      <c r="I1044">
        <v>1.2578462762450267</v>
      </c>
    </row>
    <row r="1045" spans="9:9" x14ac:dyDescent="0.3">
      <c r="I1045">
        <v>2.0479478071630148</v>
      </c>
    </row>
    <row r="1046" spans="9:9" x14ac:dyDescent="0.3">
      <c r="I1046">
        <v>1.4755743795724348</v>
      </c>
    </row>
    <row r="1047" spans="9:9" x14ac:dyDescent="0.3">
      <c r="I1047">
        <v>2.5328247165417843</v>
      </c>
    </row>
    <row r="1048" spans="9:9" x14ac:dyDescent="0.3">
      <c r="I1048">
        <v>-0.16429921586171181</v>
      </c>
    </row>
    <row r="1049" spans="9:9" x14ac:dyDescent="0.3">
      <c r="I1049">
        <v>1.3105372472643015</v>
      </c>
    </row>
    <row r="1050" spans="9:9" x14ac:dyDescent="0.3">
      <c r="I1050">
        <v>0.12422535017686376</v>
      </c>
    </row>
    <row r="1051" spans="9:9" x14ac:dyDescent="0.3">
      <c r="I1051">
        <v>2.3573002094732995</v>
      </c>
    </row>
    <row r="1052" spans="9:9" x14ac:dyDescent="0.3">
      <c r="I1052">
        <v>-5.8946983736034131E-2</v>
      </c>
    </row>
    <row r="1053" spans="9:9" x14ac:dyDescent="0.3">
      <c r="I1053">
        <v>0.26806939995990509</v>
      </c>
    </row>
    <row r="1054" spans="9:9" x14ac:dyDescent="0.3">
      <c r="I1054">
        <v>-0.3724813647843539</v>
      </c>
    </row>
    <row r="1058" spans="9:9" x14ac:dyDescent="0.3">
      <c r="I1058">
        <v>1.3894092580109372</v>
      </c>
    </row>
  </sheetData>
  <sortState xmlns:xlrd2="http://schemas.microsoft.com/office/spreadsheetml/2017/richdata2" ref="R9:R316">
    <sortCondition ref="R9:R316"/>
  </sortState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756"/>
  <sheetViews>
    <sheetView showGridLines="0" topLeftCell="B1" workbookViewId="0">
      <selection activeCell="T8" sqref="N8:T382"/>
    </sheetView>
  </sheetViews>
  <sheetFormatPr defaultColWidth="11.44140625" defaultRowHeight="14.4" x14ac:dyDescent="0.3"/>
  <cols>
    <col min="1" max="1" width="21.6640625" bestFit="1" customWidth="1"/>
    <col min="2" max="2" width="23.88671875" customWidth="1"/>
    <col min="3" max="3" width="6" customWidth="1"/>
    <col min="4" max="4" width="14.109375" customWidth="1"/>
    <col min="5" max="5" width="12.6640625" customWidth="1"/>
    <col min="6" max="6" width="12.88671875" customWidth="1"/>
    <col min="7" max="7" width="21.44140625" customWidth="1"/>
    <col min="8" max="8" width="20.44140625" customWidth="1"/>
    <col min="9" max="9" width="12.6640625" customWidth="1"/>
    <col min="10" max="10" width="20.44140625" bestFit="1" customWidth="1"/>
    <col min="11" max="11" width="12" customWidth="1"/>
    <col min="12" max="12" width="12.6640625" bestFit="1" customWidth="1"/>
    <col min="13" max="13" width="12" bestFit="1" customWidth="1"/>
  </cols>
  <sheetData>
    <row r="1" spans="1:20" x14ac:dyDescent="0.3">
      <c r="A1" s="8" t="s">
        <v>2747</v>
      </c>
      <c r="B1" t="s">
        <v>2766</v>
      </c>
    </row>
    <row r="2" spans="1:20" x14ac:dyDescent="0.3">
      <c r="A2" s="8" t="s">
        <v>11</v>
      </c>
      <c r="B2" t="s">
        <v>2756</v>
      </c>
    </row>
    <row r="3" spans="1:20" x14ac:dyDescent="0.3">
      <c r="A3" s="8" t="s">
        <v>2714</v>
      </c>
      <c r="B3" t="s">
        <v>2715</v>
      </c>
    </row>
    <row r="5" spans="1:20" x14ac:dyDescent="0.3">
      <c r="A5" s="8" t="s">
        <v>2758</v>
      </c>
      <c r="B5" s="8" t="s">
        <v>2699</v>
      </c>
    </row>
    <row r="6" spans="1:20" x14ac:dyDescent="0.3">
      <c r="B6" t="s">
        <v>2696</v>
      </c>
      <c r="D6" t="s">
        <v>2695</v>
      </c>
    </row>
    <row r="7" spans="1:20" x14ac:dyDescent="0.3">
      <c r="B7" t="s">
        <v>2763</v>
      </c>
      <c r="C7" t="s">
        <v>2762</v>
      </c>
      <c r="D7" t="s">
        <v>2761</v>
      </c>
      <c r="I7" t="s">
        <v>2762</v>
      </c>
    </row>
    <row r="8" spans="1:20" x14ac:dyDescent="0.3">
      <c r="A8" s="8" t="s">
        <v>2748</v>
      </c>
      <c r="B8" t="s">
        <v>2750</v>
      </c>
      <c r="C8" t="s">
        <v>2750</v>
      </c>
      <c r="D8" t="s">
        <v>2750</v>
      </c>
      <c r="E8" t="s">
        <v>2751</v>
      </c>
      <c r="F8" t="s">
        <v>2753</v>
      </c>
      <c r="G8" t="s">
        <v>2752</v>
      </c>
      <c r="H8" t="s">
        <v>2754</v>
      </c>
      <c r="I8" t="s">
        <v>2750</v>
      </c>
      <c r="N8" t="s">
        <v>2812</v>
      </c>
      <c r="O8" t="s">
        <v>2811</v>
      </c>
      <c r="P8" t="s">
        <v>2813</v>
      </c>
      <c r="Q8" t="s">
        <v>2814</v>
      </c>
      <c r="R8" t="s">
        <v>2815</v>
      </c>
      <c r="S8" t="s">
        <v>2816</v>
      </c>
      <c r="T8" t="s">
        <v>2817</v>
      </c>
    </row>
    <row r="9" spans="1:20" x14ac:dyDescent="0.3">
      <c r="A9" s="15" t="s">
        <v>82</v>
      </c>
      <c r="D9">
        <v>3.948775355</v>
      </c>
      <c r="N9">
        <v>-1.37</v>
      </c>
      <c r="O9">
        <v>-2.0447229469999999</v>
      </c>
      <c r="P9">
        <v>-1.3268812729999999</v>
      </c>
      <c r="Q9">
        <v>-2.895262486</v>
      </c>
      <c r="R9">
        <v>1.322790006</v>
      </c>
      <c r="S9">
        <v>1.4538079669999999</v>
      </c>
      <c r="T9">
        <v>-2.4557819830000001</v>
      </c>
    </row>
    <row r="10" spans="1:20" x14ac:dyDescent="0.3">
      <c r="A10" s="15" t="s">
        <v>86</v>
      </c>
      <c r="D10">
        <v>4.9823085220000003</v>
      </c>
      <c r="N10">
        <v>-0.17834451207978974</v>
      </c>
      <c r="O10">
        <v>-1.4201788950000001</v>
      </c>
      <c r="P10">
        <v>-0.92919099999999999</v>
      </c>
      <c r="Q10">
        <v>0.467414779</v>
      </c>
      <c r="R10">
        <v>4.4885053389999996</v>
      </c>
      <c r="S10">
        <v>5.9</v>
      </c>
      <c r="T10">
        <v>-1.76</v>
      </c>
    </row>
    <row r="11" spans="1:20" x14ac:dyDescent="0.3">
      <c r="A11" s="15" t="s">
        <v>88</v>
      </c>
      <c r="D11">
        <v>5.9628827610000004</v>
      </c>
      <c r="N11">
        <v>0.176476419</v>
      </c>
      <c r="O11">
        <v>-1.2188266489999999</v>
      </c>
      <c r="P11">
        <v>-0.91725109500000002</v>
      </c>
      <c r="Q11">
        <v>1.59</v>
      </c>
      <c r="R11">
        <v>4.51</v>
      </c>
      <c r="S11">
        <v>7.6439117999999997</v>
      </c>
      <c r="T11">
        <v>-1.53</v>
      </c>
    </row>
    <row r="12" spans="1:20" x14ac:dyDescent="0.3">
      <c r="A12" s="15" t="s">
        <v>90</v>
      </c>
      <c r="D12">
        <v>6.0764559</v>
      </c>
      <c r="N12">
        <v>0.33502243999999998</v>
      </c>
      <c r="O12">
        <v>-1</v>
      </c>
      <c r="P12">
        <v>-0.84</v>
      </c>
      <c r="Q12">
        <v>1.796711046</v>
      </c>
      <c r="R12">
        <v>5.0833498390000003</v>
      </c>
      <c r="S12">
        <v>8.1397045049999992</v>
      </c>
      <c r="T12">
        <v>-1.258331195</v>
      </c>
    </row>
    <row r="13" spans="1:20" x14ac:dyDescent="0.3">
      <c r="A13" s="15" t="s">
        <v>100</v>
      </c>
      <c r="E13">
        <v>3.952182455</v>
      </c>
      <c r="N13">
        <v>0.38490365300000001</v>
      </c>
      <c r="O13">
        <v>-0.17496372299999999</v>
      </c>
      <c r="P13">
        <v>-0.81580938400000003</v>
      </c>
      <c r="Q13">
        <v>1.9911728580000001</v>
      </c>
      <c r="R13">
        <v>5.2005087730000001</v>
      </c>
      <c r="T13">
        <v>-0.73</v>
      </c>
    </row>
    <row r="14" spans="1:20" x14ac:dyDescent="0.3">
      <c r="A14" s="15" t="s">
        <v>102</v>
      </c>
      <c r="E14">
        <v>5.1865954820000004</v>
      </c>
      <c r="N14">
        <v>0.51143717899999996</v>
      </c>
      <c r="O14">
        <v>0.36959094199999998</v>
      </c>
      <c r="P14">
        <v>-0.46485831999999999</v>
      </c>
      <c r="Q14">
        <v>2.851524135</v>
      </c>
      <c r="R14">
        <v>5.39</v>
      </c>
      <c r="T14">
        <v>-0.47793729800000001</v>
      </c>
    </row>
    <row r="15" spans="1:20" x14ac:dyDescent="0.3">
      <c r="A15" s="15" t="s">
        <v>135</v>
      </c>
      <c r="E15">
        <v>5.7995827579999997</v>
      </c>
      <c r="N15">
        <v>1.1908353991891509</v>
      </c>
      <c r="O15">
        <v>0.69313988800000004</v>
      </c>
      <c r="P15">
        <v>-0.16115733600000001</v>
      </c>
      <c r="Q15">
        <v>2.922561001</v>
      </c>
      <c r="R15">
        <v>5.5105255639999999</v>
      </c>
      <c r="T15">
        <v>-0.34689896599999998</v>
      </c>
    </row>
    <row r="16" spans="1:20" x14ac:dyDescent="0.3">
      <c r="A16" s="15" t="s">
        <v>137</v>
      </c>
      <c r="G16">
        <v>5.5105255639999999</v>
      </c>
      <c r="N16">
        <v>1.4804567340000001</v>
      </c>
      <c r="O16">
        <v>0.80374987600000003</v>
      </c>
      <c r="P16">
        <v>-0.122695718</v>
      </c>
      <c r="Q16">
        <v>3.4225468210000001</v>
      </c>
      <c r="R16">
        <v>5.93</v>
      </c>
      <c r="T16">
        <v>-0.2</v>
      </c>
    </row>
    <row r="17" spans="1:20" x14ac:dyDescent="0.3">
      <c r="A17" s="15" t="s">
        <v>145</v>
      </c>
      <c r="D17">
        <v>-0.81580938400000003</v>
      </c>
      <c r="N17">
        <v>1.6787719117740334</v>
      </c>
      <c r="O17">
        <v>1.6365028129999999</v>
      </c>
      <c r="P17">
        <v>-5.6964437999999999E-2</v>
      </c>
      <c r="Q17">
        <v>3.8710326269999999</v>
      </c>
      <c r="R17">
        <v>7.66</v>
      </c>
      <c r="T17">
        <v>7.6493825000000001E-2</v>
      </c>
    </row>
    <row r="18" spans="1:20" x14ac:dyDescent="0.3">
      <c r="A18" s="15" t="s">
        <v>149</v>
      </c>
      <c r="D18">
        <v>3.5513198770000001</v>
      </c>
      <c r="N18">
        <v>1.827059424</v>
      </c>
      <c r="O18">
        <v>1.91</v>
      </c>
      <c r="P18">
        <v>0.111754046</v>
      </c>
      <c r="Q18">
        <v>3.952182455</v>
      </c>
      <c r="R18">
        <v>7.66</v>
      </c>
      <c r="T18">
        <v>0.37729802800000001</v>
      </c>
    </row>
    <row r="19" spans="1:20" x14ac:dyDescent="0.3">
      <c r="A19" s="15" t="s">
        <v>189</v>
      </c>
      <c r="D19">
        <v>4.2139024129999996</v>
      </c>
      <c r="N19">
        <v>1.854481058</v>
      </c>
      <c r="O19">
        <v>1.9905319109999999</v>
      </c>
      <c r="P19">
        <v>0.40681997800000003</v>
      </c>
      <c r="Q19">
        <v>4.0168064179999998</v>
      </c>
      <c r="R19">
        <v>8.4072565679999993</v>
      </c>
      <c r="T19">
        <v>0.56348616100000004</v>
      </c>
    </row>
    <row r="20" spans="1:20" x14ac:dyDescent="0.3">
      <c r="A20" s="15" t="s">
        <v>191</v>
      </c>
      <c r="D20">
        <v>7.2537320149999998</v>
      </c>
      <c r="N20">
        <v>2.2954539820000002</v>
      </c>
      <c r="O20">
        <v>2.75</v>
      </c>
      <c r="P20">
        <v>0.53595062599999999</v>
      </c>
      <c r="Q20">
        <v>4.1120330669999996</v>
      </c>
      <c r="T20">
        <v>0.81650156399999996</v>
      </c>
    </row>
    <row r="21" spans="1:20" x14ac:dyDescent="0.3">
      <c r="A21" s="15" t="s">
        <v>193</v>
      </c>
      <c r="D21">
        <v>5.1336446750000002</v>
      </c>
      <c r="O21">
        <v>2.9108217700000001</v>
      </c>
      <c r="P21">
        <v>0.61832394099999999</v>
      </c>
      <c r="Q21">
        <v>4.1124055869999996</v>
      </c>
      <c r="T21">
        <v>0.90360723799999998</v>
      </c>
    </row>
    <row r="22" spans="1:20" x14ac:dyDescent="0.3">
      <c r="A22" s="15" t="s">
        <v>195</v>
      </c>
      <c r="D22">
        <v>2.8765267209999998</v>
      </c>
      <c r="O22">
        <v>3.2054728350000001</v>
      </c>
      <c r="P22">
        <v>1.0004153469999999</v>
      </c>
      <c r="Q22">
        <v>4.1153342579999999</v>
      </c>
      <c r="T22">
        <v>0.91960012700000004</v>
      </c>
    </row>
    <row r="23" spans="1:20" x14ac:dyDescent="0.3">
      <c r="A23" s="15" t="s">
        <v>197</v>
      </c>
      <c r="D23">
        <v>3.7441635230000001</v>
      </c>
      <c r="O23">
        <v>3.3</v>
      </c>
      <c r="P23">
        <v>1.168013886</v>
      </c>
      <c r="Q23">
        <v>4.28199752</v>
      </c>
      <c r="T23">
        <v>1.06</v>
      </c>
    </row>
    <row r="24" spans="1:20" x14ac:dyDescent="0.3">
      <c r="A24" s="15" t="s">
        <v>199</v>
      </c>
      <c r="D24">
        <v>5.8903332739999996</v>
      </c>
      <c r="O24">
        <v>3.32</v>
      </c>
      <c r="P24">
        <v>1.172703692</v>
      </c>
      <c r="Q24">
        <v>4.3151897259999998</v>
      </c>
      <c r="T24">
        <v>1.26</v>
      </c>
    </row>
    <row r="25" spans="1:20" x14ac:dyDescent="0.3">
      <c r="A25" s="15" t="s">
        <v>202</v>
      </c>
      <c r="D25">
        <v>6.6044703440000001</v>
      </c>
      <c r="O25">
        <v>3.3765352310000001</v>
      </c>
      <c r="P25">
        <v>1.433289115</v>
      </c>
      <c r="Q25">
        <v>4.38</v>
      </c>
      <c r="T25">
        <v>1.547400069</v>
      </c>
    </row>
    <row r="26" spans="1:20" x14ac:dyDescent="0.3">
      <c r="A26" s="15" t="s">
        <v>204</v>
      </c>
      <c r="D26">
        <v>5.443776164</v>
      </c>
      <c r="O26">
        <v>3.5821031269999999</v>
      </c>
      <c r="P26">
        <v>1.55</v>
      </c>
      <c r="Q26">
        <v>4.515502991</v>
      </c>
      <c r="T26">
        <v>1.75</v>
      </c>
    </row>
    <row r="27" spans="1:20" x14ac:dyDescent="0.3">
      <c r="A27" s="15" t="s">
        <v>207</v>
      </c>
      <c r="D27">
        <v>5.7431126629999998</v>
      </c>
      <c r="O27">
        <v>3.92</v>
      </c>
      <c r="P27">
        <v>1.5997057779999999</v>
      </c>
      <c r="Q27">
        <v>4.5326032730000003</v>
      </c>
      <c r="T27">
        <v>1.76</v>
      </c>
    </row>
    <row r="28" spans="1:20" x14ac:dyDescent="0.3">
      <c r="A28" s="15" t="s">
        <v>215</v>
      </c>
      <c r="D28">
        <v>4.4258503400000002</v>
      </c>
      <c r="O28">
        <v>3.9466699350000001</v>
      </c>
      <c r="P28">
        <v>1.733371789</v>
      </c>
      <c r="Q28">
        <v>4.556827996</v>
      </c>
      <c r="T28">
        <v>1.9317109560000001</v>
      </c>
    </row>
    <row r="29" spans="1:20" x14ac:dyDescent="0.3">
      <c r="A29" s="15" t="s">
        <v>257</v>
      </c>
      <c r="E29">
        <v>5.5113824869999997</v>
      </c>
      <c r="O29">
        <v>3.9501788630000001</v>
      </c>
      <c r="P29">
        <v>1.7512861669999999</v>
      </c>
      <c r="Q29">
        <v>4.5743700990000002</v>
      </c>
      <c r="T29">
        <v>2.09</v>
      </c>
    </row>
    <row r="30" spans="1:20" x14ac:dyDescent="0.3">
      <c r="A30" s="15" t="s">
        <v>260</v>
      </c>
      <c r="E30">
        <v>2.922561001</v>
      </c>
      <c r="O30">
        <v>4.05</v>
      </c>
      <c r="P30">
        <v>1.9093675530000001</v>
      </c>
      <c r="Q30">
        <v>4.6109550500000003</v>
      </c>
      <c r="T30">
        <v>2.1625607549999999</v>
      </c>
    </row>
    <row r="31" spans="1:20" x14ac:dyDescent="0.3">
      <c r="A31" s="15" t="s">
        <v>262</v>
      </c>
      <c r="E31">
        <v>4.7383537110000002</v>
      </c>
      <c r="O31">
        <v>4.1836923280000002</v>
      </c>
      <c r="P31">
        <v>1.949211655</v>
      </c>
      <c r="Q31">
        <v>4.6983978000000004</v>
      </c>
      <c r="T31">
        <v>2.21</v>
      </c>
    </row>
    <row r="32" spans="1:20" x14ac:dyDescent="0.3">
      <c r="A32" s="15" t="s">
        <v>266</v>
      </c>
      <c r="E32">
        <v>5.8449120849999998</v>
      </c>
      <c r="O32">
        <v>4.1919834649999999</v>
      </c>
      <c r="P32">
        <v>2.0945182710000001</v>
      </c>
      <c r="Q32">
        <v>4.7065184760000003</v>
      </c>
      <c r="T32">
        <v>2.25</v>
      </c>
    </row>
    <row r="33" spans="1:20" x14ac:dyDescent="0.3">
      <c r="A33" s="15" t="s">
        <v>270</v>
      </c>
      <c r="E33">
        <v>0.467414779</v>
      </c>
      <c r="O33">
        <v>4.24</v>
      </c>
      <c r="P33">
        <v>2.2027457859999999</v>
      </c>
      <c r="Q33">
        <v>4.7383537110000002</v>
      </c>
      <c r="T33">
        <v>2.317942435</v>
      </c>
    </row>
    <row r="34" spans="1:20" x14ac:dyDescent="0.3">
      <c r="A34" s="15" t="s">
        <v>273</v>
      </c>
      <c r="E34">
        <v>4.6983978000000004</v>
      </c>
      <c r="O34">
        <v>4.3391124400000001</v>
      </c>
      <c r="P34">
        <v>2.78</v>
      </c>
      <c r="Q34">
        <v>4.78</v>
      </c>
      <c r="T34">
        <v>2.35</v>
      </c>
    </row>
    <row r="35" spans="1:20" x14ac:dyDescent="0.3">
      <c r="A35" s="15" t="s">
        <v>274</v>
      </c>
      <c r="D35">
        <v>3.3866399129999998</v>
      </c>
      <c r="O35">
        <v>4.3600000000000003</v>
      </c>
      <c r="P35">
        <v>2.872987578</v>
      </c>
      <c r="Q35">
        <v>4.7865454959999996</v>
      </c>
      <c r="T35">
        <v>2.4463352700000001</v>
      </c>
    </row>
    <row r="36" spans="1:20" x14ac:dyDescent="0.3">
      <c r="A36" s="15" t="s">
        <v>277</v>
      </c>
      <c r="D36">
        <v>5.344649457</v>
      </c>
      <c r="O36">
        <v>4.4177687639999998</v>
      </c>
      <c r="P36">
        <v>2.8765267209999998</v>
      </c>
      <c r="Q36">
        <v>4.79</v>
      </c>
      <c r="T36">
        <v>2.5315689880000001</v>
      </c>
    </row>
    <row r="37" spans="1:20" x14ac:dyDescent="0.3">
      <c r="A37" s="15" t="s">
        <v>284</v>
      </c>
      <c r="E37">
        <v>6.1371202760000001</v>
      </c>
      <c r="O37">
        <v>4.4551010150000003</v>
      </c>
      <c r="P37">
        <v>3.1352992230000001</v>
      </c>
      <c r="Q37">
        <v>4.8099999999999996</v>
      </c>
      <c r="T37">
        <v>2.5792410480000001</v>
      </c>
    </row>
    <row r="38" spans="1:20" x14ac:dyDescent="0.3">
      <c r="A38" s="15" t="s">
        <v>288</v>
      </c>
      <c r="E38">
        <v>-2.895262486</v>
      </c>
      <c r="O38">
        <v>4.5339866860000004</v>
      </c>
      <c r="P38">
        <v>3.2442603160000001</v>
      </c>
      <c r="Q38">
        <v>4.8121593779999996</v>
      </c>
      <c r="T38">
        <v>2.7737799769999998</v>
      </c>
    </row>
    <row r="39" spans="1:20" x14ac:dyDescent="0.3">
      <c r="A39" s="15" t="s">
        <v>290</v>
      </c>
      <c r="G39">
        <v>5.2005087730000001</v>
      </c>
      <c r="O39">
        <v>4.55</v>
      </c>
      <c r="P39">
        <v>3.2468357640000001</v>
      </c>
      <c r="Q39">
        <v>4.8688173519999998</v>
      </c>
      <c r="T39">
        <v>2.79</v>
      </c>
    </row>
    <row r="40" spans="1:20" x14ac:dyDescent="0.3">
      <c r="A40" s="15" t="s">
        <v>293</v>
      </c>
      <c r="E40">
        <v>4.5326032730000003</v>
      </c>
      <c r="O40">
        <v>4.59</v>
      </c>
      <c r="P40">
        <v>3.3415363149999999</v>
      </c>
      <c r="Q40">
        <v>4.9877749109999998</v>
      </c>
      <c r="T40">
        <v>2.89</v>
      </c>
    </row>
    <row r="41" spans="1:20" x14ac:dyDescent="0.3">
      <c r="A41" s="15" t="s">
        <v>303</v>
      </c>
      <c r="H41">
        <v>5.8756138020000002</v>
      </c>
      <c r="O41">
        <v>4.6741738919999998</v>
      </c>
      <c r="P41">
        <v>3.3866399129999998</v>
      </c>
      <c r="Q41">
        <v>5.0935032119999999</v>
      </c>
      <c r="T41">
        <v>2.897333508</v>
      </c>
    </row>
    <row r="42" spans="1:20" x14ac:dyDescent="0.3">
      <c r="A42" s="15" t="s">
        <v>304</v>
      </c>
      <c r="H42">
        <v>5.1767454129999999</v>
      </c>
      <c r="O42">
        <v>4.7682935710000001</v>
      </c>
      <c r="P42">
        <v>3.393167032</v>
      </c>
      <c r="Q42">
        <v>5.1445727290000001</v>
      </c>
      <c r="T42">
        <v>2.95</v>
      </c>
    </row>
    <row r="43" spans="1:20" x14ac:dyDescent="0.3">
      <c r="A43" s="15" t="s">
        <v>313</v>
      </c>
      <c r="D43">
        <v>6.8961018080000001</v>
      </c>
      <c r="O43">
        <v>4.7867650050000004</v>
      </c>
      <c r="P43">
        <v>3.5387406850000001</v>
      </c>
      <c r="Q43">
        <v>5.15</v>
      </c>
      <c r="T43">
        <v>2.9757540730000001</v>
      </c>
    </row>
    <row r="44" spans="1:20" x14ac:dyDescent="0.3">
      <c r="A44" s="15" t="s">
        <v>314</v>
      </c>
      <c r="D44">
        <v>5.8003058950000002</v>
      </c>
      <c r="O44">
        <v>4.96</v>
      </c>
      <c r="P44">
        <v>3.5513198770000001</v>
      </c>
      <c r="Q44">
        <v>5.16</v>
      </c>
      <c r="T44">
        <v>3.24</v>
      </c>
    </row>
    <row r="45" spans="1:20" x14ac:dyDescent="0.3">
      <c r="A45" s="15" t="s">
        <v>317</v>
      </c>
      <c r="D45">
        <v>1.168013886</v>
      </c>
      <c r="O45">
        <v>5.0156221590000003</v>
      </c>
      <c r="P45">
        <v>3.6856636429999998</v>
      </c>
      <c r="Q45">
        <v>5.18</v>
      </c>
      <c r="T45">
        <v>3.2952063969999998</v>
      </c>
    </row>
    <row r="46" spans="1:20" x14ac:dyDescent="0.3">
      <c r="A46" s="15" t="s">
        <v>319</v>
      </c>
      <c r="D46">
        <v>8.3990171500000006</v>
      </c>
      <c r="O46">
        <v>5.0599999999999996</v>
      </c>
      <c r="P46">
        <v>3.7017147690000001</v>
      </c>
      <c r="Q46">
        <v>5.1865954820000004</v>
      </c>
      <c r="T46">
        <v>3.39</v>
      </c>
    </row>
    <row r="47" spans="1:20" x14ac:dyDescent="0.3">
      <c r="A47" s="15" t="s">
        <v>321</v>
      </c>
      <c r="D47">
        <v>3.3415363149999999</v>
      </c>
      <c r="O47">
        <v>5.13</v>
      </c>
      <c r="P47">
        <v>3.7441635230000001</v>
      </c>
      <c r="Q47">
        <v>5.2198509839999998</v>
      </c>
      <c r="T47">
        <v>3.3966480020000001</v>
      </c>
    </row>
    <row r="48" spans="1:20" x14ac:dyDescent="0.3">
      <c r="A48" s="15" t="s">
        <v>369</v>
      </c>
      <c r="E48">
        <v>4.1120330669999996</v>
      </c>
      <c r="O48">
        <v>5.14</v>
      </c>
      <c r="P48">
        <v>3.8405516149999999</v>
      </c>
      <c r="Q48">
        <v>5.3107569200000002</v>
      </c>
      <c r="T48">
        <v>3.4300006820000002</v>
      </c>
    </row>
    <row r="49" spans="1:20" x14ac:dyDescent="0.3">
      <c r="A49" s="15" t="s">
        <v>372</v>
      </c>
      <c r="E49">
        <v>10.37520372</v>
      </c>
      <c r="O49">
        <v>5.2105283419999999</v>
      </c>
      <c r="P49">
        <v>3.9089561320000001</v>
      </c>
      <c r="Q49">
        <v>5.330528932</v>
      </c>
      <c r="T49">
        <v>3.45</v>
      </c>
    </row>
    <row r="50" spans="1:20" x14ac:dyDescent="0.3">
      <c r="A50" s="15" t="s">
        <v>376</v>
      </c>
      <c r="E50">
        <v>5.9527155970000001</v>
      </c>
      <c r="O50">
        <v>5.2436956700000001</v>
      </c>
      <c r="P50">
        <v>3.933242618</v>
      </c>
      <c r="Q50">
        <v>5.3700300009999999</v>
      </c>
      <c r="T50">
        <v>3.52</v>
      </c>
    </row>
    <row r="51" spans="1:20" x14ac:dyDescent="0.3">
      <c r="A51" s="15" t="s">
        <v>380</v>
      </c>
      <c r="E51">
        <v>5.2198509839999998</v>
      </c>
      <c r="O51">
        <v>5.25</v>
      </c>
      <c r="P51">
        <v>3.948775355</v>
      </c>
      <c r="Q51">
        <v>5.4439821329999996</v>
      </c>
      <c r="T51">
        <v>3.54</v>
      </c>
    </row>
    <row r="52" spans="1:20" x14ac:dyDescent="0.3">
      <c r="A52" s="15" t="s">
        <v>383</v>
      </c>
      <c r="D52">
        <v>4.4356855120000001</v>
      </c>
      <c r="O52">
        <v>5.29</v>
      </c>
      <c r="P52">
        <v>3.9638846239999999</v>
      </c>
      <c r="Q52">
        <v>5.49</v>
      </c>
      <c r="T52">
        <v>3.56</v>
      </c>
    </row>
    <row r="53" spans="1:20" x14ac:dyDescent="0.3">
      <c r="A53" s="15" t="s">
        <v>388</v>
      </c>
      <c r="D53">
        <v>3.8405516149999999</v>
      </c>
      <c r="O53">
        <v>5.3668877330000004</v>
      </c>
      <c r="P53">
        <v>4.0697583960000001</v>
      </c>
      <c r="Q53">
        <v>5.5113824869999997</v>
      </c>
      <c r="T53">
        <v>3.58</v>
      </c>
    </row>
    <row r="54" spans="1:20" x14ac:dyDescent="0.3">
      <c r="A54" s="15" t="s">
        <v>390</v>
      </c>
      <c r="D54">
        <v>4.379715461</v>
      </c>
      <c r="O54">
        <v>5.372867243</v>
      </c>
      <c r="P54">
        <v>4.1106608509999996</v>
      </c>
      <c r="Q54">
        <v>5.5383834839999997</v>
      </c>
      <c r="T54">
        <v>3.7097121980000001</v>
      </c>
    </row>
    <row r="55" spans="1:20" x14ac:dyDescent="0.3">
      <c r="A55" s="15" t="s">
        <v>394</v>
      </c>
      <c r="D55">
        <v>6.0682074530000003</v>
      </c>
      <c r="O55">
        <v>5.39</v>
      </c>
      <c r="P55">
        <v>4.1164420819999998</v>
      </c>
      <c r="Q55">
        <v>5.58</v>
      </c>
      <c r="T55">
        <v>3.73</v>
      </c>
    </row>
    <row r="56" spans="1:20" x14ac:dyDescent="0.3">
      <c r="A56" s="15" t="s">
        <v>464</v>
      </c>
      <c r="D56">
        <v>6.4770186030000003</v>
      </c>
      <c r="O56">
        <v>5.4245378830000002</v>
      </c>
      <c r="P56">
        <v>4.1500000000000004</v>
      </c>
      <c r="Q56">
        <v>5.6042188250000002</v>
      </c>
      <c r="T56">
        <v>3.7377188330000002</v>
      </c>
    </row>
    <row r="57" spans="1:20" x14ac:dyDescent="0.3">
      <c r="A57" s="15" t="s">
        <v>468</v>
      </c>
      <c r="D57">
        <v>6.7603138889999999</v>
      </c>
      <c r="O57">
        <v>5.43</v>
      </c>
      <c r="P57">
        <v>4.2139024129999996</v>
      </c>
      <c r="Q57">
        <v>5.7234815609999998</v>
      </c>
      <c r="T57">
        <v>3.7404578640000001</v>
      </c>
    </row>
    <row r="58" spans="1:20" x14ac:dyDescent="0.3">
      <c r="A58" s="15" t="s">
        <v>471</v>
      </c>
      <c r="D58">
        <v>4.0697583960000001</v>
      </c>
      <c r="O58">
        <v>5.4664398790000002</v>
      </c>
      <c r="P58">
        <v>4.230405448</v>
      </c>
      <c r="Q58">
        <v>5.73</v>
      </c>
      <c r="T58">
        <v>3.752539466</v>
      </c>
    </row>
    <row r="59" spans="1:20" x14ac:dyDescent="0.3">
      <c r="A59" s="15" t="s">
        <v>474</v>
      </c>
      <c r="D59">
        <v>0.111754046</v>
      </c>
      <c r="O59">
        <v>5.5919840189999999</v>
      </c>
      <c r="P59">
        <v>4.24</v>
      </c>
      <c r="Q59">
        <v>5.7539430449999998</v>
      </c>
      <c r="T59">
        <v>3.7625710840000002</v>
      </c>
    </row>
    <row r="60" spans="1:20" x14ac:dyDescent="0.3">
      <c r="A60" s="15" t="s">
        <v>477</v>
      </c>
      <c r="D60">
        <v>4.8131155190000001</v>
      </c>
      <c r="O60">
        <v>5.6599003440000004</v>
      </c>
      <c r="P60">
        <v>4.246373889</v>
      </c>
      <c r="Q60">
        <v>5.7660586900000004</v>
      </c>
      <c r="T60">
        <v>3.7895234439999999</v>
      </c>
    </row>
    <row r="61" spans="1:20" x14ac:dyDescent="0.3">
      <c r="A61" s="15" t="s">
        <v>479</v>
      </c>
      <c r="D61">
        <v>5.7410995170000003</v>
      </c>
      <c r="O61">
        <v>5.68</v>
      </c>
      <c r="P61">
        <v>4.2834954779999999</v>
      </c>
      <c r="Q61">
        <v>5.7664671910000003</v>
      </c>
      <c r="T61">
        <v>3.7908441449999999</v>
      </c>
    </row>
    <row r="62" spans="1:20" x14ac:dyDescent="0.3">
      <c r="A62" s="15" t="s">
        <v>481</v>
      </c>
      <c r="D62">
        <v>7.9814159839999999</v>
      </c>
      <c r="O62">
        <v>5.89</v>
      </c>
      <c r="P62">
        <v>4.3163154549999998</v>
      </c>
      <c r="Q62">
        <v>5.7995827579999997</v>
      </c>
      <c r="T62">
        <v>3.8</v>
      </c>
    </row>
    <row r="63" spans="1:20" x14ac:dyDescent="0.3">
      <c r="A63" s="15" t="s">
        <v>483</v>
      </c>
      <c r="D63">
        <v>6.8188227599999998</v>
      </c>
      <c r="O63">
        <v>5.9508671089999998</v>
      </c>
      <c r="P63">
        <v>4.322283315</v>
      </c>
      <c r="Q63">
        <v>5.8449120849999998</v>
      </c>
      <c r="T63">
        <v>3.800112435</v>
      </c>
    </row>
    <row r="64" spans="1:20" x14ac:dyDescent="0.3">
      <c r="A64" s="15" t="s">
        <v>485</v>
      </c>
      <c r="D64">
        <v>4.808334544</v>
      </c>
      <c r="O64">
        <v>5.9534398639999999</v>
      </c>
      <c r="P64">
        <v>4.3528436389999996</v>
      </c>
      <c r="Q64">
        <v>5.860929574</v>
      </c>
      <c r="T64">
        <v>3.83</v>
      </c>
    </row>
    <row r="65" spans="1:20" x14ac:dyDescent="0.3">
      <c r="A65" s="15" t="s">
        <v>489</v>
      </c>
      <c r="D65">
        <v>6.5896696109999997</v>
      </c>
      <c r="O65">
        <v>6.02</v>
      </c>
      <c r="P65">
        <v>4.3584891429999999</v>
      </c>
      <c r="Q65">
        <v>5.9527155970000001</v>
      </c>
      <c r="T65">
        <v>3.83</v>
      </c>
    </row>
    <row r="66" spans="1:20" x14ac:dyDescent="0.3">
      <c r="A66" s="15" t="s">
        <v>491</v>
      </c>
      <c r="D66">
        <v>6.9645427370000004</v>
      </c>
      <c r="O66">
        <v>6.02</v>
      </c>
      <c r="P66">
        <v>4.379715461</v>
      </c>
      <c r="Q66">
        <v>5.9642307929999996</v>
      </c>
      <c r="T66">
        <v>3.8442051319999999</v>
      </c>
    </row>
    <row r="67" spans="1:20" x14ac:dyDescent="0.3">
      <c r="A67" s="15" t="s">
        <v>494</v>
      </c>
      <c r="D67">
        <v>8.0739581870000006</v>
      </c>
      <c r="O67">
        <v>6.2189635689999996</v>
      </c>
      <c r="P67">
        <v>4.4258503400000002</v>
      </c>
      <c r="Q67">
        <v>6.0193783420000004</v>
      </c>
      <c r="T67">
        <v>3.8466605340000002</v>
      </c>
    </row>
    <row r="68" spans="1:20" x14ac:dyDescent="0.3">
      <c r="A68" s="15" t="s">
        <v>2728</v>
      </c>
      <c r="D68">
        <v>5.8582856139999997</v>
      </c>
      <c r="O68">
        <v>6.2343631159999999</v>
      </c>
      <c r="P68">
        <v>4.4356855120000001</v>
      </c>
      <c r="Q68">
        <v>6.1037358299999998</v>
      </c>
      <c r="T68">
        <v>3.86</v>
      </c>
    </row>
    <row r="69" spans="1:20" x14ac:dyDescent="0.3">
      <c r="A69" s="15" t="s">
        <v>2729</v>
      </c>
      <c r="D69">
        <v>4.1106608509999996</v>
      </c>
      <c r="O69">
        <v>6.27</v>
      </c>
      <c r="P69">
        <v>4.464710288</v>
      </c>
      <c r="Q69">
        <v>6.12</v>
      </c>
      <c r="T69">
        <v>3.89</v>
      </c>
    </row>
    <row r="70" spans="1:20" x14ac:dyDescent="0.3">
      <c r="A70" s="15" t="s">
        <v>2730</v>
      </c>
      <c r="D70">
        <v>5.072076161</v>
      </c>
      <c r="O70">
        <v>6.3167777620000001</v>
      </c>
      <c r="P70">
        <v>4.4810051189999998</v>
      </c>
      <c r="Q70">
        <v>6.1371202760000001</v>
      </c>
      <c r="T70">
        <v>3.9188431449999999</v>
      </c>
    </row>
    <row r="71" spans="1:20" x14ac:dyDescent="0.3">
      <c r="A71" s="15" t="s">
        <v>501</v>
      </c>
      <c r="D71">
        <v>1.9093675530000001</v>
      </c>
      <c r="O71">
        <v>6.3888282790000002</v>
      </c>
      <c r="P71">
        <v>4.51</v>
      </c>
      <c r="Q71">
        <v>6.23</v>
      </c>
      <c r="T71">
        <v>3.9245630650000001</v>
      </c>
    </row>
    <row r="72" spans="1:20" x14ac:dyDescent="0.3">
      <c r="A72" s="15" t="s">
        <v>505</v>
      </c>
      <c r="D72">
        <v>6.5694843069999997</v>
      </c>
      <c r="O72">
        <v>6.4167942839999998</v>
      </c>
      <c r="P72">
        <v>4.531469821</v>
      </c>
      <c r="Q72">
        <v>6.24</v>
      </c>
      <c r="T72">
        <v>3.93</v>
      </c>
    </row>
    <row r="73" spans="1:20" x14ac:dyDescent="0.3">
      <c r="A73" s="15" t="s">
        <v>507</v>
      </c>
      <c r="D73">
        <v>7.0540299370000001</v>
      </c>
      <c r="O73">
        <v>6.4573177370000003</v>
      </c>
      <c r="P73">
        <v>4.57</v>
      </c>
      <c r="Q73">
        <v>6.2458319260000001</v>
      </c>
      <c r="T73">
        <v>3.94</v>
      </c>
    </row>
    <row r="74" spans="1:20" x14ac:dyDescent="0.3">
      <c r="A74" s="15" t="s">
        <v>514</v>
      </c>
      <c r="D74">
        <v>6.8856542919999999</v>
      </c>
      <c r="O74">
        <v>6.5312558430000003</v>
      </c>
      <c r="P74">
        <v>4.6084822760000002</v>
      </c>
      <c r="Q74">
        <v>6.362445471</v>
      </c>
      <c r="T74">
        <v>3.945912544</v>
      </c>
    </row>
    <row r="75" spans="1:20" x14ac:dyDescent="0.3">
      <c r="A75" s="15" t="s">
        <v>526</v>
      </c>
      <c r="D75">
        <v>4.9925662529999997</v>
      </c>
      <c r="O75">
        <v>6.5984784019999996</v>
      </c>
      <c r="P75">
        <v>4.6594792079999996</v>
      </c>
      <c r="Q75">
        <v>6.3993178049999999</v>
      </c>
      <c r="T75">
        <v>3.9561567200000001</v>
      </c>
    </row>
    <row r="76" spans="1:20" x14ac:dyDescent="0.3">
      <c r="A76" s="15" t="s">
        <v>529</v>
      </c>
      <c r="D76">
        <v>6.1629435580000003</v>
      </c>
      <c r="O76">
        <v>6.65</v>
      </c>
      <c r="P76">
        <v>4.6857405649999997</v>
      </c>
      <c r="Q76">
        <v>6.4244729820000002</v>
      </c>
      <c r="T76">
        <v>3.9924647470000001</v>
      </c>
    </row>
    <row r="77" spans="1:20" x14ac:dyDescent="0.3">
      <c r="A77" s="15" t="s">
        <v>531</v>
      </c>
      <c r="D77">
        <v>4.464710288</v>
      </c>
      <c r="O77">
        <v>6.751118806</v>
      </c>
      <c r="P77">
        <v>4.7742457500000004</v>
      </c>
      <c r="Q77">
        <v>6.4662387350000001</v>
      </c>
      <c r="T77">
        <v>3.9994609560000001</v>
      </c>
    </row>
    <row r="78" spans="1:20" x14ac:dyDescent="0.3">
      <c r="A78" s="15" t="s">
        <v>534</v>
      </c>
      <c r="D78">
        <v>6.0893230389999999</v>
      </c>
      <c r="O78">
        <v>6.7974347110000002</v>
      </c>
      <c r="P78">
        <v>4.808334544</v>
      </c>
      <c r="Q78">
        <v>6.4983951089999996</v>
      </c>
      <c r="T78">
        <v>4</v>
      </c>
    </row>
    <row r="79" spans="1:20" x14ac:dyDescent="0.3">
      <c r="A79" s="15" t="s">
        <v>541</v>
      </c>
      <c r="E79">
        <v>4.6109550500000003</v>
      </c>
      <c r="O79">
        <v>6.86</v>
      </c>
      <c r="P79">
        <v>4.8131155190000001</v>
      </c>
      <c r="Q79">
        <v>6.63</v>
      </c>
      <c r="T79">
        <v>4.01</v>
      </c>
    </row>
    <row r="80" spans="1:20" x14ac:dyDescent="0.3">
      <c r="A80" s="15" t="s">
        <v>545</v>
      </c>
      <c r="D80">
        <v>5.66600898</v>
      </c>
      <c r="O80">
        <v>6.92</v>
      </c>
      <c r="P80">
        <v>4.8752136559999997</v>
      </c>
      <c r="Q80">
        <v>6.6358109839999999</v>
      </c>
      <c r="T80">
        <v>4.0277481269999997</v>
      </c>
    </row>
    <row r="81" spans="1:20" x14ac:dyDescent="0.3">
      <c r="A81" s="15" t="s">
        <v>547</v>
      </c>
      <c r="D81">
        <v>8.0738753039999995</v>
      </c>
      <c r="O81">
        <v>6.9397719420000001</v>
      </c>
      <c r="P81">
        <v>4.9566857960000004</v>
      </c>
      <c r="Q81">
        <v>6.7289763999999996</v>
      </c>
      <c r="T81">
        <v>4.0325196060000001</v>
      </c>
    </row>
    <row r="82" spans="1:20" x14ac:dyDescent="0.3">
      <c r="A82" s="15" t="s">
        <v>550</v>
      </c>
      <c r="D82">
        <v>4.7742457500000004</v>
      </c>
      <c r="O82">
        <v>7.07</v>
      </c>
      <c r="P82">
        <v>4.9823085220000003</v>
      </c>
      <c r="Q82">
        <v>6.86</v>
      </c>
      <c r="T82">
        <v>4.05</v>
      </c>
    </row>
    <row r="83" spans="1:20" x14ac:dyDescent="0.3">
      <c r="A83" s="15" t="s">
        <v>554</v>
      </c>
      <c r="D83">
        <v>6.4322336260000004</v>
      </c>
      <c r="O83">
        <v>7.1</v>
      </c>
      <c r="P83">
        <v>4.9925662529999997</v>
      </c>
      <c r="Q83">
        <v>7.0451623860000003</v>
      </c>
      <c r="T83">
        <v>4.0599999999999996</v>
      </c>
    </row>
    <row r="84" spans="1:20" x14ac:dyDescent="0.3">
      <c r="A84" s="15" t="s">
        <v>556</v>
      </c>
      <c r="D84">
        <v>5.0462848190000003</v>
      </c>
      <c r="O84">
        <v>7.1330110549999999</v>
      </c>
      <c r="P84">
        <v>5.0406416030000001</v>
      </c>
      <c r="Q84">
        <v>7.1919720040000001</v>
      </c>
      <c r="T84">
        <v>4.0708941650000003</v>
      </c>
    </row>
    <row r="85" spans="1:20" x14ac:dyDescent="0.3">
      <c r="A85" s="15" t="s">
        <v>560</v>
      </c>
      <c r="D85">
        <v>3.9089561320000001</v>
      </c>
      <c r="O85">
        <v>7.1613572760000004</v>
      </c>
      <c r="P85">
        <v>5.0462848190000003</v>
      </c>
      <c r="Q85">
        <v>7.23</v>
      </c>
      <c r="T85">
        <v>4.0917650529999996</v>
      </c>
    </row>
    <row r="86" spans="1:20" x14ac:dyDescent="0.3">
      <c r="A86" s="15" t="s">
        <v>563</v>
      </c>
      <c r="D86">
        <v>9.3064498990000004</v>
      </c>
      <c r="O86">
        <v>7.2065769839999998</v>
      </c>
      <c r="P86">
        <v>5.067095804</v>
      </c>
      <c r="Q86">
        <v>7.2495956589999997</v>
      </c>
      <c r="T86">
        <v>4.1034937109999996</v>
      </c>
    </row>
    <row r="87" spans="1:20" x14ac:dyDescent="0.3">
      <c r="A87" s="15" t="s">
        <v>566</v>
      </c>
      <c r="D87">
        <v>5.067095804</v>
      </c>
      <c r="O87">
        <v>7.21</v>
      </c>
      <c r="P87">
        <v>5.072076161</v>
      </c>
      <c r="Q87">
        <v>7.36</v>
      </c>
      <c r="T87">
        <v>4.13</v>
      </c>
    </row>
    <row r="88" spans="1:20" x14ac:dyDescent="0.3">
      <c r="A88" s="15" t="s">
        <v>568</v>
      </c>
      <c r="D88">
        <v>3.7017147690000001</v>
      </c>
      <c r="O88">
        <v>7.2220788010000003</v>
      </c>
      <c r="P88">
        <v>5.0772408249999996</v>
      </c>
      <c r="Q88">
        <v>7.5123970419999999</v>
      </c>
      <c r="T88">
        <v>4.13</v>
      </c>
    </row>
    <row r="89" spans="1:20" x14ac:dyDescent="0.3">
      <c r="A89" s="15" t="s">
        <v>570</v>
      </c>
      <c r="D89">
        <v>6.1575288090000004</v>
      </c>
      <c r="O89">
        <v>7.2391474010000003</v>
      </c>
      <c r="P89">
        <v>5.1072790489999997</v>
      </c>
      <c r="Q89">
        <v>7.7058101160000003</v>
      </c>
      <c r="T89">
        <v>4.1500000000000004</v>
      </c>
    </row>
    <row r="90" spans="1:20" x14ac:dyDescent="0.3">
      <c r="A90" s="15" t="s">
        <v>2736</v>
      </c>
      <c r="E90">
        <v>4.8688173519999998</v>
      </c>
      <c r="O90">
        <v>7.5561050859999996</v>
      </c>
      <c r="P90">
        <v>5.1336446750000002</v>
      </c>
      <c r="Q90">
        <v>7.7614681299999999</v>
      </c>
      <c r="T90">
        <v>4.16</v>
      </c>
    </row>
    <row r="91" spans="1:20" x14ac:dyDescent="0.3">
      <c r="A91" s="15" t="s">
        <v>615</v>
      </c>
      <c r="E91">
        <v>6.3993178049999999</v>
      </c>
      <c r="O91">
        <v>7.638830596</v>
      </c>
      <c r="P91">
        <v>5.1503156480000003</v>
      </c>
      <c r="Q91">
        <v>8.1074579090000007</v>
      </c>
      <c r="T91">
        <v>4.1762939799999996</v>
      </c>
    </row>
    <row r="92" spans="1:20" x14ac:dyDescent="0.3">
      <c r="A92" s="15" t="s">
        <v>2737</v>
      </c>
      <c r="E92">
        <v>4.8121593779999996</v>
      </c>
      <c r="O92">
        <v>7.73</v>
      </c>
      <c r="P92">
        <v>5.1604925460000004</v>
      </c>
      <c r="Q92">
        <v>8.1499823199999994</v>
      </c>
      <c r="T92">
        <v>4.1900000000000004</v>
      </c>
    </row>
    <row r="93" spans="1:20" x14ac:dyDescent="0.3">
      <c r="A93" s="15" t="s">
        <v>2738</v>
      </c>
      <c r="E93">
        <v>5.6042188250000002</v>
      </c>
      <c r="O93">
        <v>7.76</v>
      </c>
      <c r="P93">
        <v>5.1625018530000002</v>
      </c>
      <c r="Q93">
        <v>8.259712232</v>
      </c>
      <c r="T93">
        <v>4.2071453480000001</v>
      </c>
    </row>
    <row r="94" spans="1:20" x14ac:dyDescent="0.3">
      <c r="A94" s="15" t="s">
        <v>622</v>
      </c>
      <c r="E94">
        <v>4.7065184760000003</v>
      </c>
      <c r="O94">
        <v>8</v>
      </c>
      <c r="P94">
        <v>5.1691810089999999</v>
      </c>
      <c r="Q94">
        <v>8.5001566569999998</v>
      </c>
      <c r="T94">
        <v>4.21</v>
      </c>
    </row>
    <row r="95" spans="1:20" x14ac:dyDescent="0.3">
      <c r="A95" s="15" t="s">
        <v>648</v>
      </c>
      <c r="H95">
        <v>7.9386607079999996</v>
      </c>
      <c r="O95">
        <v>8.01</v>
      </c>
      <c r="P95">
        <v>5.2616707260000002</v>
      </c>
      <c r="Q95">
        <v>8.6048152160000004</v>
      </c>
      <c r="T95">
        <v>4.2364595129999998</v>
      </c>
    </row>
    <row r="96" spans="1:20" x14ac:dyDescent="0.3">
      <c r="A96" s="15" t="s">
        <v>651</v>
      </c>
      <c r="H96">
        <v>7.1807014259999997</v>
      </c>
      <c r="O96">
        <v>8.31</v>
      </c>
      <c r="P96">
        <v>5.2781259159999996</v>
      </c>
      <c r="Q96">
        <v>9.0187124189999999</v>
      </c>
      <c r="T96">
        <v>4.2572328800000001</v>
      </c>
    </row>
    <row r="97" spans="1:20" x14ac:dyDescent="0.3">
      <c r="A97" s="15" t="s">
        <v>653</v>
      </c>
      <c r="H97">
        <v>4.4308366399999999</v>
      </c>
      <c r="O97">
        <v>8.42</v>
      </c>
      <c r="P97">
        <v>5.344649457</v>
      </c>
      <c r="Q97">
        <v>10.26</v>
      </c>
      <c r="T97">
        <v>4.3176607819999999</v>
      </c>
    </row>
    <row r="98" spans="1:20" x14ac:dyDescent="0.3">
      <c r="A98" s="15" t="s">
        <v>655</v>
      </c>
      <c r="H98">
        <v>5.0049874790000004</v>
      </c>
      <c r="O98">
        <v>8.5299999999999994</v>
      </c>
      <c r="P98">
        <v>5.36</v>
      </c>
      <c r="Q98">
        <v>10.37520372</v>
      </c>
      <c r="T98">
        <v>4.33</v>
      </c>
    </row>
    <row r="99" spans="1:20" x14ac:dyDescent="0.3">
      <c r="A99" s="15" t="s">
        <v>659</v>
      </c>
      <c r="H99">
        <v>0.81650156399999996</v>
      </c>
      <c r="O99">
        <v>8.77</v>
      </c>
      <c r="P99">
        <v>5.443776164</v>
      </c>
      <c r="T99">
        <v>4.3856015810000004</v>
      </c>
    </row>
    <row r="100" spans="1:20" x14ac:dyDescent="0.3">
      <c r="A100" s="15" t="s">
        <v>660</v>
      </c>
      <c r="H100">
        <v>6.7644265079999997</v>
      </c>
      <c r="O100">
        <v>9.16</v>
      </c>
      <c r="P100">
        <v>5.4780394870000002</v>
      </c>
      <c r="T100">
        <v>4.4308366399999999</v>
      </c>
    </row>
    <row r="101" spans="1:20" x14ac:dyDescent="0.3">
      <c r="A101" s="15" t="s">
        <v>662</v>
      </c>
      <c r="H101">
        <v>2.897333508</v>
      </c>
      <c r="O101">
        <v>9.19</v>
      </c>
      <c r="P101">
        <v>5.48</v>
      </c>
      <c r="T101">
        <v>4.4349076820000004</v>
      </c>
    </row>
    <row r="102" spans="1:20" x14ac:dyDescent="0.3">
      <c r="A102" s="15" t="s">
        <v>663</v>
      </c>
      <c r="H102">
        <v>0.37729802800000001</v>
      </c>
      <c r="O102">
        <v>9.4985162150000004</v>
      </c>
      <c r="P102">
        <v>5.4933990130000003</v>
      </c>
      <c r="T102">
        <v>4.4400000000000004</v>
      </c>
    </row>
    <row r="103" spans="1:20" x14ac:dyDescent="0.3">
      <c r="A103" s="15" t="s">
        <v>666</v>
      </c>
      <c r="H103">
        <v>7.8015503500000003</v>
      </c>
      <c r="O103">
        <v>9.56</v>
      </c>
      <c r="P103">
        <v>5.5760675280000003</v>
      </c>
      <c r="T103">
        <v>4.4628602700000002</v>
      </c>
    </row>
    <row r="104" spans="1:20" x14ac:dyDescent="0.3">
      <c r="A104" s="15" t="s">
        <v>669</v>
      </c>
      <c r="H104">
        <v>0.90360723799999998</v>
      </c>
      <c r="O104">
        <v>10.365879319999999</v>
      </c>
      <c r="P104">
        <v>5.6464658249999999</v>
      </c>
      <c r="T104">
        <v>4.4785697989999997</v>
      </c>
    </row>
    <row r="105" spans="1:20" x14ac:dyDescent="0.3">
      <c r="A105" s="15" t="s">
        <v>671</v>
      </c>
      <c r="H105">
        <v>2.317942435</v>
      </c>
      <c r="P105">
        <v>5.66600898</v>
      </c>
      <c r="T105">
        <v>4.4800000000000004</v>
      </c>
    </row>
    <row r="106" spans="1:20" x14ac:dyDescent="0.3">
      <c r="A106" s="15" t="s">
        <v>674</v>
      </c>
      <c r="H106">
        <v>8.2694332910000004</v>
      </c>
      <c r="P106">
        <v>5.7302107219999998</v>
      </c>
      <c r="T106">
        <v>4.4847655980000001</v>
      </c>
    </row>
    <row r="107" spans="1:20" x14ac:dyDescent="0.3">
      <c r="A107" s="15" t="s">
        <v>677</v>
      </c>
      <c r="D107">
        <v>5.1503156480000003</v>
      </c>
      <c r="P107">
        <v>5.7384713749999996</v>
      </c>
      <c r="T107">
        <v>4.5</v>
      </c>
    </row>
    <row r="108" spans="1:20" x14ac:dyDescent="0.3">
      <c r="A108" s="15" t="s">
        <v>679</v>
      </c>
      <c r="D108">
        <v>-5.6964437999999999E-2</v>
      </c>
      <c r="P108">
        <v>5.7410995170000003</v>
      </c>
      <c r="T108">
        <v>4.508045869</v>
      </c>
    </row>
    <row r="109" spans="1:20" x14ac:dyDescent="0.3">
      <c r="A109" s="15" t="s">
        <v>681</v>
      </c>
      <c r="D109">
        <v>5.5760675280000003</v>
      </c>
      <c r="P109">
        <v>5.7431126629999998</v>
      </c>
      <c r="T109">
        <v>4.58</v>
      </c>
    </row>
    <row r="110" spans="1:20" x14ac:dyDescent="0.3">
      <c r="A110" s="15" t="s">
        <v>682</v>
      </c>
      <c r="D110">
        <v>7.6557207829999996</v>
      </c>
      <c r="P110">
        <v>5.7749290369999997</v>
      </c>
      <c r="T110">
        <v>4.6002380890000003</v>
      </c>
    </row>
    <row r="111" spans="1:20" x14ac:dyDescent="0.3">
      <c r="A111" s="15" t="s">
        <v>683</v>
      </c>
      <c r="D111">
        <v>3.6856636429999998</v>
      </c>
      <c r="P111">
        <v>5.8003058950000002</v>
      </c>
      <c r="T111">
        <v>4.6100000000000003</v>
      </c>
    </row>
    <row r="112" spans="1:20" x14ac:dyDescent="0.3">
      <c r="A112" s="15" t="s">
        <v>686</v>
      </c>
      <c r="D112">
        <v>5.8003834210000003</v>
      </c>
      <c r="P112">
        <v>5.8003834210000003</v>
      </c>
      <c r="T112">
        <v>4.6291487790000003</v>
      </c>
    </row>
    <row r="113" spans="1:20" x14ac:dyDescent="0.3">
      <c r="A113" s="15" t="s">
        <v>688</v>
      </c>
      <c r="D113">
        <v>4.9566857960000004</v>
      </c>
      <c r="P113">
        <v>5.8259069879999998</v>
      </c>
      <c r="T113">
        <v>4.6618520219999997</v>
      </c>
    </row>
    <row r="114" spans="1:20" x14ac:dyDescent="0.3">
      <c r="A114" s="15" t="s">
        <v>690</v>
      </c>
      <c r="D114">
        <v>0.61832394099999999</v>
      </c>
      <c r="P114">
        <v>5.8582856139999997</v>
      </c>
      <c r="T114">
        <v>4.6810544759999999</v>
      </c>
    </row>
    <row r="115" spans="1:20" x14ac:dyDescent="0.3">
      <c r="A115" s="15" t="s">
        <v>692</v>
      </c>
      <c r="H115">
        <v>6.509839586</v>
      </c>
      <c r="P115">
        <v>5.8903332739999996</v>
      </c>
      <c r="T115">
        <v>4.7300000000000004</v>
      </c>
    </row>
    <row r="116" spans="1:20" x14ac:dyDescent="0.3">
      <c r="A116" s="15" t="s">
        <v>696</v>
      </c>
      <c r="H116">
        <v>7.1451345750000002</v>
      </c>
      <c r="P116">
        <v>5.9628827610000004</v>
      </c>
      <c r="T116">
        <v>4.7446859269999999</v>
      </c>
    </row>
    <row r="117" spans="1:20" x14ac:dyDescent="0.3">
      <c r="A117" s="15" t="s">
        <v>699</v>
      </c>
      <c r="H117">
        <v>7.542489711</v>
      </c>
      <c r="P117">
        <v>6.0310133510000004</v>
      </c>
      <c r="T117">
        <v>4.75</v>
      </c>
    </row>
    <row r="118" spans="1:20" x14ac:dyDescent="0.3">
      <c r="A118" s="15" t="s">
        <v>702</v>
      </c>
      <c r="H118">
        <v>5.7892292049999998</v>
      </c>
      <c r="P118">
        <v>6.0350240069999996</v>
      </c>
      <c r="T118">
        <v>4.764547254</v>
      </c>
    </row>
    <row r="119" spans="1:20" x14ac:dyDescent="0.3">
      <c r="A119" s="15" t="s">
        <v>706</v>
      </c>
      <c r="H119">
        <v>5.617299848</v>
      </c>
      <c r="P119">
        <v>6.0682074530000003</v>
      </c>
      <c r="T119">
        <v>4.7699999999999996</v>
      </c>
    </row>
    <row r="120" spans="1:20" x14ac:dyDescent="0.3">
      <c r="A120" s="15" t="s">
        <v>710</v>
      </c>
      <c r="H120">
        <v>5.7458810219999998</v>
      </c>
      <c r="P120">
        <v>6.0756205960000003</v>
      </c>
      <c r="T120">
        <v>4.8131399889999997</v>
      </c>
    </row>
    <row r="121" spans="1:20" x14ac:dyDescent="0.3">
      <c r="A121" s="15" t="s">
        <v>714</v>
      </c>
      <c r="H121">
        <v>4.1762939799999996</v>
      </c>
      <c r="P121">
        <v>6.0764559</v>
      </c>
      <c r="T121">
        <v>4.82</v>
      </c>
    </row>
    <row r="122" spans="1:20" x14ac:dyDescent="0.3">
      <c r="A122" s="15" t="s">
        <v>718</v>
      </c>
      <c r="H122">
        <v>4.9942213019999997</v>
      </c>
      <c r="P122">
        <v>6.0800078160000002</v>
      </c>
      <c r="T122">
        <v>4.8248623640000003</v>
      </c>
    </row>
    <row r="123" spans="1:20" x14ac:dyDescent="0.3">
      <c r="A123" s="15" t="s">
        <v>738</v>
      </c>
      <c r="H123">
        <v>3.7404578640000001</v>
      </c>
      <c r="P123">
        <v>6.0893230389999999</v>
      </c>
      <c r="T123">
        <v>4.8262735890000004</v>
      </c>
    </row>
    <row r="124" spans="1:20" x14ac:dyDescent="0.3">
      <c r="A124" s="15" t="s">
        <v>741</v>
      </c>
      <c r="H124">
        <v>3.2952063969999998</v>
      </c>
      <c r="P124">
        <v>6.1105903169999998</v>
      </c>
      <c r="T124">
        <v>4.8291091240000004</v>
      </c>
    </row>
    <row r="125" spans="1:20" x14ac:dyDescent="0.3">
      <c r="A125" s="15" t="s">
        <v>743</v>
      </c>
      <c r="H125">
        <v>5.7103306700000003</v>
      </c>
      <c r="P125">
        <v>6.1196805550000004</v>
      </c>
      <c r="T125">
        <v>4.8600000000000003</v>
      </c>
    </row>
    <row r="126" spans="1:20" x14ac:dyDescent="0.3">
      <c r="A126" s="15" t="s">
        <v>745</v>
      </c>
      <c r="H126">
        <v>7.2519527669999997</v>
      </c>
      <c r="P126">
        <v>6.1386799749999996</v>
      </c>
      <c r="T126">
        <v>4.8755664679999997</v>
      </c>
    </row>
    <row r="127" spans="1:20" x14ac:dyDescent="0.3">
      <c r="A127" s="15" t="s">
        <v>748</v>
      </c>
      <c r="H127">
        <v>5.144553449</v>
      </c>
      <c r="P127">
        <v>6.156201727</v>
      </c>
      <c r="T127">
        <v>4.8850943579999999</v>
      </c>
    </row>
    <row r="128" spans="1:20" x14ac:dyDescent="0.3">
      <c r="A128" s="15" t="s">
        <v>751</v>
      </c>
      <c r="H128">
        <v>6.0787344680000004</v>
      </c>
      <c r="P128">
        <v>6.1575288090000004</v>
      </c>
      <c r="T128">
        <v>4.8888735219999999</v>
      </c>
    </row>
    <row r="129" spans="1:20" x14ac:dyDescent="0.3">
      <c r="A129" s="15" t="s">
        <v>754</v>
      </c>
      <c r="H129">
        <v>4.764547254</v>
      </c>
      <c r="P129">
        <v>6.1629435580000003</v>
      </c>
      <c r="T129">
        <v>4.8986809850000004</v>
      </c>
    </row>
    <row r="130" spans="1:20" x14ac:dyDescent="0.3">
      <c r="A130" s="15" t="s">
        <v>756</v>
      </c>
      <c r="H130">
        <v>6.0101096390000004</v>
      </c>
      <c r="P130">
        <v>6.3133655749999997</v>
      </c>
      <c r="T130">
        <v>4.9000000000000004</v>
      </c>
    </row>
    <row r="131" spans="1:20" x14ac:dyDescent="0.3">
      <c r="A131" s="15" t="s">
        <v>760</v>
      </c>
      <c r="H131">
        <v>4.8888735219999999</v>
      </c>
      <c r="P131">
        <v>6.4322336260000004</v>
      </c>
      <c r="T131">
        <v>4.9734529280000004</v>
      </c>
    </row>
    <row r="132" spans="1:20" x14ac:dyDescent="0.3">
      <c r="A132" s="15" t="s">
        <v>762</v>
      </c>
      <c r="H132">
        <v>4.6291487790000003</v>
      </c>
      <c r="P132">
        <v>6.4770186030000003</v>
      </c>
      <c r="T132">
        <v>4.9800000000000004</v>
      </c>
    </row>
    <row r="133" spans="1:20" x14ac:dyDescent="0.3">
      <c r="A133" s="15" t="s">
        <v>765</v>
      </c>
      <c r="D133">
        <v>4.8752136559999997</v>
      </c>
      <c r="P133">
        <v>6.5694843069999997</v>
      </c>
      <c r="T133">
        <v>4.9800000000000004</v>
      </c>
    </row>
    <row r="134" spans="1:20" x14ac:dyDescent="0.3">
      <c r="A134" s="15" t="s">
        <v>769</v>
      </c>
      <c r="D134">
        <v>0.53595062599999999</v>
      </c>
      <c r="P134">
        <v>6.5896696109999997</v>
      </c>
      <c r="T134">
        <v>4.9942213019999997</v>
      </c>
    </row>
    <row r="135" spans="1:20" x14ac:dyDescent="0.3">
      <c r="A135" s="15" t="s">
        <v>773</v>
      </c>
      <c r="D135">
        <v>5.8259069879999998</v>
      </c>
      <c r="P135">
        <v>6.6044703440000001</v>
      </c>
      <c r="T135">
        <v>5.0049874790000004</v>
      </c>
    </row>
    <row r="136" spans="1:20" x14ac:dyDescent="0.3">
      <c r="A136" s="15" t="s">
        <v>776</v>
      </c>
      <c r="F136">
        <v>7.6439117999999997</v>
      </c>
      <c r="P136">
        <v>6.6429678399999998</v>
      </c>
      <c r="T136">
        <v>5.01</v>
      </c>
    </row>
    <row r="137" spans="1:20" x14ac:dyDescent="0.3">
      <c r="A137" s="15" t="s">
        <v>781</v>
      </c>
      <c r="E137">
        <v>2.851524135</v>
      </c>
      <c r="P137">
        <v>6.6764693030000002</v>
      </c>
      <c r="T137">
        <v>5.03</v>
      </c>
    </row>
    <row r="138" spans="1:20" x14ac:dyDescent="0.3">
      <c r="A138" s="15" t="s">
        <v>782</v>
      </c>
      <c r="G138">
        <v>1.322790006</v>
      </c>
      <c r="P138">
        <v>6.7603138889999999</v>
      </c>
      <c r="T138">
        <v>5.04</v>
      </c>
    </row>
    <row r="139" spans="1:20" x14ac:dyDescent="0.3">
      <c r="A139" s="15" t="s">
        <v>784</v>
      </c>
      <c r="E139">
        <v>3.8710326269999999</v>
      </c>
      <c r="P139">
        <v>6.8188227599999998</v>
      </c>
      <c r="T139">
        <v>5.1100000000000003</v>
      </c>
    </row>
    <row r="140" spans="1:20" x14ac:dyDescent="0.3">
      <c r="A140" s="15" t="s">
        <v>787</v>
      </c>
      <c r="E140">
        <v>8.1499823199999994</v>
      </c>
      <c r="P140">
        <v>6.8856542919999999</v>
      </c>
      <c r="T140">
        <v>5.1349042999999996</v>
      </c>
    </row>
    <row r="141" spans="1:20" x14ac:dyDescent="0.3">
      <c r="A141" s="15" t="s">
        <v>789</v>
      </c>
      <c r="E141">
        <v>4.1124055869999996</v>
      </c>
      <c r="P141">
        <v>6.8961018080000001</v>
      </c>
      <c r="T141">
        <v>5.144553449</v>
      </c>
    </row>
    <row r="142" spans="1:20" x14ac:dyDescent="0.3">
      <c r="A142" s="15" t="s">
        <v>790</v>
      </c>
      <c r="E142">
        <v>4.0168064179999998</v>
      </c>
      <c r="P142">
        <v>6.9645427370000004</v>
      </c>
      <c r="T142">
        <v>5.15</v>
      </c>
    </row>
    <row r="143" spans="1:20" x14ac:dyDescent="0.3">
      <c r="A143" s="15" t="s">
        <v>792</v>
      </c>
      <c r="G143">
        <v>5.0833498390000003</v>
      </c>
      <c r="P143">
        <v>7.0540299370000001</v>
      </c>
      <c r="T143">
        <v>5.15136314</v>
      </c>
    </row>
    <row r="144" spans="1:20" x14ac:dyDescent="0.3">
      <c r="A144" s="15" t="s">
        <v>795</v>
      </c>
      <c r="E144">
        <v>4.7865454959999996</v>
      </c>
      <c r="P144">
        <v>7.09</v>
      </c>
      <c r="T144">
        <v>5.16</v>
      </c>
    </row>
    <row r="145" spans="1:20" x14ac:dyDescent="0.3">
      <c r="A145" s="15" t="s">
        <v>798</v>
      </c>
      <c r="H145">
        <v>6.6183760769999997</v>
      </c>
      <c r="P145">
        <v>7.16</v>
      </c>
      <c r="T145">
        <v>5.1648260700000002</v>
      </c>
    </row>
    <row r="146" spans="1:20" x14ac:dyDescent="0.3">
      <c r="A146" s="15" t="s">
        <v>802</v>
      </c>
      <c r="H146">
        <v>8.8315914969999998</v>
      </c>
      <c r="P146">
        <v>7.2537320149999998</v>
      </c>
      <c r="T146">
        <v>5.1687043819999996</v>
      </c>
    </row>
    <row r="147" spans="1:20" x14ac:dyDescent="0.3">
      <c r="A147" s="15" t="s">
        <v>806</v>
      </c>
      <c r="H147">
        <v>4.3176607819999999</v>
      </c>
      <c r="P147">
        <v>7.3450926489999997</v>
      </c>
      <c r="T147">
        <v>5.1767454129999999</v>
      </c>
    </row>
    <row r="148" spans="1:20" x14ac:dyDescent="0.3">
      <c r="A148" s="15" t="s">
        <v>808</v>
      </c>
      <c r="H148">
        <v>7.4063768049999998</v>
      </c>
      <c r="P148">
        <v>7.5331980180000002</v>
      </c>
      <c r="T148">
        <v>5.21</v>
      </c>
    </row>
    <row r="149" spans="1:20" x14ac:dyDescent="0.3">
      <c r="A149" s="15" t="s">
        <v>810</v>
      </c>
      <c r="H149">
        <v>4.4349076820000004</v>
      </c>
      <c r="P149">
        <v>7.6557207829999996</v>
      </c>
      <c r="T149">
        <v>5.22</v>
      </c>
    </row>
    <row r="150" spans="1:20" x14ac:dyDescent="0.3">
      <c r="A150" s="15" t="s">
        <v>812</v>
      </c>
      <c r="H150">
        <v>3.8466605340000002</v>
      </c>
      <c r="P150">
        <v>7.676698902</v>
      </c>
      <c r="T150">
        <v>5.2227978259999999</v>
      </c>
    </row>
    <row r="151" spans="1:20" x14ac:dyDescent="0.3">
      <c r="A151" s="15" t="s">
        <v>814</v>
      </c>
      <c r="H151">
        <v>5.402386184</v>
      </c>
      <c r="P151">
        <v>7.76</v>
      </c>
      <c r="T151">
        <v>5.2344030349999997</v>
      </c>
    </row>
    <row r="152" spans="1:20" x14ac:dyDescent="0.3">
      <c r="A152" s="15" t="s">
        <v>817</v>
      </c>
      <c r="H152">
        <v>6.846395223</v>
      </c>
      <c r="P152">
        <v>7.7719955619999999</v>
      </c>
      <c r="T152">
        <v>5.24</v>
      </c>
    </row>
    <row r="153" spans="1:20" x14ac:dyDescent="0.3">
      <c r="A153" s="15" t="s">
        <v>819</v>
      </c>
      <c r="H153">
        <v>6.1469806570000003</v>
      </c>
      <c r="P153">
        <v>7.8600513840000001</v>
      </c>
      <c r="T153">
        <v>5.24</v>
      </c>
    </row>
    <row r="154" spans="1:20" x14ac:dyDescent="0.3">
      <c r="A154" s="15" t="s">
        <v>821</v>
      </c>
      <c r="H154">
        <v>7.9635402119999998</v>
      </c>
      <c r="P154">
        <v>7.9045893879999998</v>
      </c>
      <c r="T154">
        <v>5.26</v>
      </c>
    </row>
    <row r="155" spans="1:20" x14ac:dyDescent="0.3">
      <c r="A155" s="15" t="s">
        <v>823</v>
      </c>
      <c r="G155">
        <v>8.4072565679999993</v>
      </c>
      <c r="P155">
        <v>7.9814159839999999</v>
      </c>
      <c r="T155">
        <v>5.27</v>
      </c>
    </row>
    <row r="156" spans="1:20" x14ac:dyDescent="0.3">
      <c r="A156" s="15" t="s">
        <v>826</v>
      </c>
      <c r="E156">
        <v>4.3151897259999998</v>
      </c>
      <c r="P156">
        <v>8.056160234</v>
      </c>
      <c r="T156">
        <v>5.3046593949999998</v>
      </c>
    </row>
    <row r="157" spans="1:20" x14ac:dyDescent="0.3">
      <c r="A157" s="15" t="s">
        <v>830</v>
      </c>
      <c r="E157">
        <v>5.7660586900000004</v>
      </c>
      <c r="P157">
        <v>8.0738753039999995</v>
      </c>
      <c r="T157">
        <v>5.34</v>
      </c>
    </row>
    <row r="158" spans="1:20" x14ac:dyDescent="0.3">
      <c r="A158" s="15" t="s">
        <v>831</v>
      </c>
      <c r="E158">
        <v>5.330528932</v>
      </c>
      <c r="P158">
        <v>8.0739581870000006</v>
      </c>
      <c r="T158">
        <v>5.3478659930000001</v>
      </c>
    </row>
    <row r="159" spans="1:20" x14ac:dyDescent="0.3">
      <c r="A159" s="15" t="s">
        <v>834</v>
      </c>
      <c r="E159">
        <v>4.28199752</v>
      </c>
      <c r="P159">
        <v>8.1565766830000008</v>
      </c>
      <c r="T159">
        <v>5.36</v>
      </c>
    </row>
    <row r="160" spans="1:20" x14ac:dyDescent="0.3">
      <c r="A160" s="15" t="s">
        <v>838</v>
      </c>
      <c r="E160">
        <v>3.4225468210000001</v>
      </c>
      <c r="P160">
        <v>8.1999999999999993</v>
      </c>
      <c r="T160">
        <v>5.38</v>
      </c>
    </row>
    <row r="161" spans="1:20" x14ac:dyDescent="0.3">
      <c r="A161" s="15" t="s">
        <v>842</v>
      </c>
      <c r="E161">
        <v>5.7664671910000003</v>
      </c>
      <c r="P161">
        <v>8.2072744239999995</v>
      </c>
      <c r="T161">
        <v>5.3918595820000004</v>
      </c>
    </row>
    <row r="162" spans="1:20" x14ac:dyDescent="0.3">
      <c r="A162" s="15" t="s">
        <v>844</v>
      </c>
      <c r="E162">
        <v>8.5001566569999998</v>
      </c>
      <c r="P162">
        <v>8.3990171500000006</v>
      </c>
      <c r="T162">
        <v>5.4</v>
      </c>
    </row>
    <row r="163" spans="1:20" x14ac:dyDescent="0.3">
      <c r="A163" s="15" t="s">
        <v>846</v>
      </c>
      <c r="H163">
        <v>4.8850943579999999</v>
      </c>
      <c r="P163">
        <v>8.5253865520000005</v>
      </c>
      <c r="T163">
        <v>5.401063486</v>
      </c>
    </row>
    <row r="164" spans="1:20" x14ac:dyDescent="0.3">
      <c r="A164" s="15" t="s">
        <v>850</v>
      </c>
      <c r="H164">
        <v>2.1625607549999999</v>
      </c>
      <c r="P164">
        <v>9.0827475179999997</v>
      </c>
      <c r="T164">
        <v>5.402386184</v>
      </c>
    </row>
    <row r="165" spans="1:20" x14ac:dyDescent="0.3">
      <c r="A165" s="15" t="s">
        <v>852</v>
      </c>
      <c r="H165">
        <v>5.6126753330000003</v>
      </c>
      <c r="P165">
        <v>9.3064498990000004</v>
      </c>
      <c r="T165">
        <v>5.41</v>
      </c>
    </row>
    <row r="166" spans="1:20" x14ac:dyDescent="0.3">
      <c r="A166" s="15" t="s">
        <v>855</v>
      </c>
      <c r="H166">
        <v>7.2520396729999996</v>
      </c>
      <c r="P166">
        <v>10.35901451</v>
      </c>
      <c r="T166">
        <v>5.41</v>
      </c>
    </row>
    <row r="167" spans="1:20" x14ac:dyDescent="0.3">
      <c r="A167" s="15" t="s">
        <v>857</v>
      </c>
      <c r="H167">
        <v>4.0917650529999996</v>
      </c>
      <c r="P167">
        <v>10.63</v>
      </c>
      <c r="T167">
        <v>5.4492899039999996</v>
      </c>
    </row>
    <row r="168" spans="1:20" x14ac:dyDescent="0.3">
      <c r="A168" s="15" t="s">
        <v>859</v>
      </c>
      <c r="H168">
        <v>7.6255582730000002</v>
      </c>
      <c r="P168">
        <v>10.83</v>
      </c>
      <c r="T168">
        <v>5.47</v>
      </c>
    </row>
    <row r="169" spans="1:20" x14ac:dyDescent="0.3">
      <c r="A169" s="15" t="s">
        <v>861</v>
      </c>
      <c r="H169">
        <v>-0.34689896599999998</v>
      </c>
      <c r="T169">
        <v>5.48</v>
      </c>
    </row>
    <row r="170" spans="1:20" x14ac:dyDescent="0.3">
      <c r="A170" s="15" t="s">
        <v>863</v>
      </c>
      <c r="H170">
        <v>6.7305649059999997</v>
      </c>
      <c r="T170">
        <v>5.5135055639999999</v>
      </c>
    </row>
    <row r="171" spans="1:20" x14ac:dyDescent="0.3">
      <c r="A171" s="15" t="s">
        <v>865</v>
      </c>
      <c r="H171">
        <v>6.6186021530000003</v>
      </c>
      <c r="T171">
        <v>5.5284481730000001</v>
      </c>
    </row>
    <row r="172" spans="1:20" x14ac:dyDescent="0.3">
      <c r="A172" s="15" t="s">
        <v>867</v>
      </c>
      <c r="H172">
        <v>6.9713613490000004</v>
      </c>
      <c r="T172">
        <v>5.53</v>
      </c>
    </row>
    <row r="173" spans="1:20" x14ac:dyDescent="0.3">
      <c r="A173" s="15" t="s">
        <v>869</v>
      </c>
      <c r="H173">
        <v>5.6361808890000002</v>
      </c>
      <c r="T173">
        <v>5.5379307840000003</v>
      </c>
    </row>
    <row r="174" spans="1:20" x14ac:dyDescent="0.3">
      <c r="A174" s="15" t="s">
        <v>872</v>
      </c>
      <c r="H174">
        <v>-0.47793729800000001</v>
      </c>
      <c r="T174">
        <v>5.5383625929999996</v>
      </c>
    </row>
    <row r="175" spans="1:20" x14ac:dyDescent="0.3">
      <c r="A175" s="15" t="s">
        <v>874</v>
      </c>
      <c r="H175">
        <v>5.548889258</v>
      </c>
      <c r="T175">
        <v>5.548889258</v>
      </c>
    </row>
    <row r="176" spans="1:20" x14ac:dyDescent="0.3">
      <c r="A176" s="15" t="s">
        <v>876</v>
      </c>
      <c r="H176">
        <v>5.9908380079999999</v>
      </c>
      <c r="T176">
        <v>5.5599126349999999</v>
      </c>
    </row>
    <row r="177" spans="1:20" x14ac:dyDescent="0.3">
      <c r="A177" s="15" t="s">
        <v>878</v>
      </c>
      <c r="H177">
        <v>8.8438989180000007</v>
      </c>
      <c r="T177">
        <v>5.5708464969999998</v>
      </c>
    </row>
    <row r="178" spans="1:20" x14ac:dyDescent="0.3">
      <c r="A178" s="15" t="s">
        <v>880</v>
      </c>
      <c r="H178">
        <v>8.4124316369999992</v>
      </c>
      <c r="T178">
        <v>5.58</v>
      </c>
    </row>
    <row r="179" spans="1:20" x14ac:dyDescent="0.3">
      <c r="A179" s="15" t="s">
        <v>883</v>
      </c>
      <c r="H179">
        <v>5.1648260700000002</v>
      </c>
      <c r="T179">
        <v>5.588437206</v>
      </c>
    </row>
    <row r="180" spans="1:20" x14ac:dyDescent="0.3">
      <c r="A180" s="15" t="s">
        <v>886</v>
      </c>
      <c r="H180">
        <v>6.5984804869999998</v>
      </c>
      <c r="T180">
        <v>5.61</v>
      </c>
    </row>
    <row r="181" spans="1:20" x14ac:dyDescent="0.3">
      <c r="A181" s="15" t="s">
        <v>888</v>
      </c>
      <c r="H181">
        <v>6.7003416329999999</v>
      </c>
      <c r="T181">
        <v>5.6126753330000003</v>
      </c>
    </row>
    <row r="182" spans="1:20" x14ac:dyDescent="0.3">
      <c r="A182" s="15" t="s">
        <v>891</v>
      </c>
      <c r="H182">
        <v>4.8248623640000003</v>
      </c>
      <c r="T182">
        <v>5.617299848</v>
      </c>
    </row>
    <row r="183" spans="1:20" x14ac:dyDescent="0.3">
      <c r="A183" s="15" t="s">
        <v>893</v>
      </c>
      <c r="H183">
        <v>7.6914488600000004</v>
      </c>
      <c r="T183">
        <v>5.6277535969999999</v>
      </c>
    </row>
    <row r="184" spans="1:20" x14ac:dyDescent="0.3">
      <c r="A184" s="15" t="s">
        <v>895</v>
      </c>
      <c r="H184">
        <v>7.7953084480000001</v>
      </c>
      <c r="T184">
        <v>5.6361808890000002</v>
      </c>
    </row>
    <row r="185" spans="1:20" x14ac:dyDescent="0.3">
      <c r="A185" s="15" t="s">
        <v>897</v>
      </c>
      <c r="D185">
        <v>1.5997057779999999</v>
      </c>
      <c r="T185">
        <v>5.64</v>
      </c>
    </row>
    <row r="186" spans="1:20" x14ac:dyDescent="0.3">
      <c r="A186" s="15" t="s">
        <v>901</v>
      </c>
      <c r="E186">
        <v>5.7234815609999998</v>
      </c>
      <c r="T186">
        <v>5.6488654199999999</v>
      </c>
    </row>
    <row r="187" spans="1:20" x14ac:dyDescent="0.3">
      <c r="A187" s="15" t="s">
        <v>905</v>
      </c>
      <c r="E187">
        <v>1.796711046</v>
      </c>
      <c r="T187">
        <v>5.66</v>
      </c>
    </row>
    <row r="188" spans="1:20" x14ac:dyDescent="0.3">
      <c r="A188" s="15" t="s">
        <v>907</v>
      </c>
      <c r="D188">
        <v>4.322283315</v>
      </c>
      <c r="T188">
        <v>5.6689400120000002</v>
      </c>
    </row>
    <row r="189" spans="1:20" x14ac:dyDescent="0.3">
      <c r="A189" s="15" t="s">
        <v>910</v>
      </c>
      <c r="D189">
        <v>5.4780394870000002</v>
      </c>
      <c r="T189">
        <v>5.67</v>
      </c>
    </row>
    <row r="190" spans="1:20" x14ac:dyDescent="0.3">
      <c r="A190" s="15" t="s">
        <v>913</v>
      </c>
      <c r="D190">
        <v>4.6084822760000002</v>
      </c>
      <c r="T190">
        <v>5.68</v>
      </c>
    </row>
    <row r="191" spans="1:20" x14ac:dyDescent="0.3">
      <c r="A191" s="15" t="s">
        <v>917</v>
      </c>
      <c r="D191">
        <v>4.246373889</v>
      </c>
      <c r="T191">
        <v>5.6928632779999999</v>
      </c>
    </row>
    <row r="192" spans="1:20" x14ac:dyDescent="0.3">
      <c r="A192" s="15" t="s">
        <v>919</v>
      </c>
      <c r="D192">
        <v>3.9638846239999999</v>
      </c>
      <c r="T192">
        <v>5.7</v>
      </c>
    </row>
    <row r="193" spans="1:20" x14ac:dyDescent="0.3">
      <c r="A193" s="15" t="s">
        <v>921</v>
      </c>
      <c r="D193">
        <v>8.5253865520000005</v>
      </c>
      <c r="T193">
        <v>5.7</v>
      </c>
    </row>
    <row r="194" spans="1:20" x14ac:dyDescent="0.3">
      <c r="A194" s="15" t="s">
        <v>924</v>
      </c>
      <c r="D194">
        <v>6.0800078160000002</v>
      </c>
      <c r="T194">
        <v>5.7103306700000003</v>
      </c>
    </row>
    <row r="195" spans="1:20" x14ac:dyDescent="0.3">
      <c r="A195" s="15" t="s">
        <v>926</v>
      </c>
      <c r="D195">
        <v>4.3528436389999996</v>
      </c>
      <c r="T195">
        <v>5.7318279639999998</v>
      </c>
    </row>
    <row r="196" spans="1:20" x14ac:dyDescent="0.3">
      <c r="A196" s="15" t="s">
        <v>929</v>
      </c>
      <c r="H196">
        <v>5.1687043819999996</v>
      </c>
      <c r="T196">
        <v>5.7324705959999998</v>
      </c>
    </row>
    <row r="197" spans="1:20" x14ac:dyDescent="0.3">
      <c r="A197" s="15" t="s">
        <v>933</v>
      </c>
      <c r="H197">
        <v>5.8382261010000001</v>
      </c>
      <c r="T197">
        <v>5.7458810219999998</v>
      </c>
    </row>
    <row r="198" spans="1:20" x14ac:dyDescent="0.3">
      <c r="A198" s="15" t="s">
        <v>936</v>
      </c>
      <c r="H198">
        <v>5.5379307840000003</v>
      </c>
      <c r="T198">
        <v>5.76</v>
      </c>
    </row>
    <row r="199" spans="1:20" x14ac:dyDescent="0.3">
      <c r="A199" s="15" t="s">
        <v>939</v>
      </c>
      <c r="H199">
        <v>5.6488654199999999</v>
      </c>
      <c r="T199">
        <v>5.76</v>
      </c>
    </row>
    <row r="200" spans="1:20" x14ac:dyDescent="0.3">
      <c r="A200" s="15" t="s">
        <v>942</v>
      </c>
      <c r="H200">
        <v>8.7277832340000003</v>
      </c>
      <c r="T200">
        <v>5.7858879239999998</v>
      </c>
    </row>
    <row r="201" spans="1:20" x14ac:dyDescent="0.3">
      <c r="A201" s="15" t="s">
        <v>944</v>
      </c>
      <c r="H201">
        <v>10.207648839999999</v>
      </c>
      <c r="T201">
        <v>5.7892292049999998</v>
      </c>
    </row>
    <row r="202" spans="1:20" x14ac:dyDescent="0.3">
      <c r="A202" s="15" t="s">
        <v>946</v>
      </c>
      <c r="H202">
        <v>3.9245630650000001</v>
      </c>
      <c r="T202">
        <v>5.79</v>
      </c>
    </row>
    <row r="203" spans="1:20" x14ac:dyDescent="0.3">
      <c r="A203" s="15" t="s">
        <v>949</v>
      </c>
      <c r="H203">
        <v>5.4492899039999996</v>
      </c>
      <c r="T203">
        <v>5.81</v>
      </c>
    </row>
    <row r="204" spans="1:20" x14ac:dyDescent="0.3">
      <c r="A204" s="15" t="s">
        <v>952</v>
      </c>
      <c r="H204">
        <v>3.7377188330000002</v>
      </c>
      <c r="T204">
        <v>5.82</v>
      </c>
    </row>
    <row r="205" spans="1:20" x14ac:dyDescent="0.3">
      <c r="A205" s="15" t="s">
        <v>955</v>
      </c>
      <c r="H205">
        <v>5.3478659930000001</v>
      </c>
      <c r="T205">
        <v>5.8257987179999997</v>
      </c>
    </row>
    <row r="206" spans="1:20" x14ac:dyDescent="0.3">
      <c r="A206" s="15" t="s">
        <v>957</v>
      </c>
      <c r="H206">
        <v>6.6230285069999999</v>
      </c>
      <c r="T206">
        <v>5.83</v>
      </c>
    </row>
    <row r="207" spans="1:20" x14ac:dyDescent="0.3">
      <c r="A207" s="15" t="s">
        <v>959</v>
      </c>
      <c r="H207">
        <v>6.6531294159999996</v>
      </c>
      <c r="T207">
        <v>5.8382261010000001</v>
      </c>
    </row>
    <row r="208" spans="1:20" x14ac:dyDescent="0.3">
      <c r="A208" s="15" t="s">
        <v>961</v>
      </c>
      <c r="H208">
        <v>0.91960012700000004</v>
      </c>
      <c r="T208">
        <v>5.846348087</v>
      </c>
    </row>
    <row r="209" spans="1:20" x14ac:dyDescent="0.3">
      <c r="A209" s="15" t="s">
        <v>962</v>
      </c>
      <c r="H209">
        <v>4.9734529280000004</v>
      </c>
      <c r="T209">
        <v>5.87</v>
      </c>
    </row>
    <row r="210" spans="1:20" x14ac:dyDescent="0.3">
      <c r="A210" s="15" t="s">
        <v>964</v>
      </c>
      <c r="H210">
        <v>6.5283767529999999</v>
      </c>
      <c r="T210">
        <v>5.8756138020000002</v>
      </c>
    </row>
    <row r="211" spans="1:20" x14ac:dyDescent="0.3">
      <c r="A211" s="15" t="s">
        <v>966</v>
      </c>
      <c r="H211">
        <v>-2.4557819830000001</v>
      </c>
      <c r="T211">
        <v>5.8909670680000001</v>
      </c>
    </row>
    <row r="212" spans="1:20" x14ac:dyDescent="0.3">
      <c r="A212" s="15" t="s">
        <v>967</v>
      </c>
      <c r="H212">
        <v>4.8986809850000004</v>
      </c>
      <c r="T212">
        <v>5.9053070239999998</v>
      </c>
    </row>
    <row r="213" spans="1:20" x14ac:dyDescent="0.3">
      <c r="A213" s="15" t="s">
        <v>968</v>
      </c>
      <c r="H213">
        <v>8.0899080800000007</v>
      </c>
      <c r="T213">
        <v>5.91</v>
      </c>
    </row>
    <row r="214" spans="1:20" x14ac:dyDescent="0.3">
      <c r="A214" s="15" t="s">
        <v>970</v>
      </c>
      <c r="H214">
        <v>5.3918595820000004</v>
      </c>
      <c r="T214">
        <v>5.9535</v>
      </c>
    </row>
    <row r="215" spans="1:20" x14ac:dyDescent="0.3">
      <c r="A215" s="15" t="s">
        <v>972</v>
      </c>
      <c r="H215">
        <v>2.7737799769999998</v>
      </c>
      <c r="T215">
        <v>5.97</v>
      </c>
    </row>
    <row r="216" spans="1:20" x14ac:dyDescent="0.3">
      <c r="A216" s="15" t="s">
        <v>973</v>
      </c>
      <c r="H216">
        <v>4.8755664679999997</v>
      </c>
      <c r="T216">
        <v>5.9908380079999999</v>
      </c>
    </row>
    <row r="217" spans="1:20" x14ac:dyDescent="0.3">
      <c r="A217" s="15" t="s">
        <v>974</v>
      </c>
      <c r="H217">
        <v>4.2071453480000001</v>
      </c>
      <c r="T217">
        <v>6.0101096390000004</v>
      </c>
    </row>
    <row r="218" spans="1:20" x14ac:dyDescent="0.3">
      <c r="A218" s="15" t="s">
        <v>975</v>
      </c>
      <c r="H218">
        <v>4.0277481269999997</v>
      </c>
      <c r="T218">
        <v>6.03</v>
      </c>
    </row>
    <row r="219" spans="1:20" x14ac:dyDescent="0.3">
      <c r="A219" s="15" t="s">
        <v>983</v>
      </c>
      <c r="H219">
        <v>3.945912544</v>
      </c>
      <c r="T219">
        <v>6.04</v>
      </c>
    </row>
    <row r="220" spans="1:20" x14ac:dyDescent="0.3">
      <c r="A220" s="15" t="s">
        <v>986</v>
      </c>
      <c r="H220">
        <v>4.8291091240000004</v>
      </c>
      <c r="T220">
        <v>6.07</v>
      </c>
    </row>
    <row r="221" spans="1:20" x14ac:dyDescent="0.3">
      <c r="A221" s="15" t="s">
        <v>988</v>
      </c>
      <c r="H221">
        <v>7.5041806329999998</v>
      </c>
      <c r="T221">
        <v>6.07</v>
      </c>
    </row>
    <row r="222" spans="1:20" x14ac:dyDescent="0.3">
      <c r="A222" s="15" t="s">
        <v>989</v>
      </c>
      <c r="H222">
        <v>5.15136314</v>
      </c>
      <c r="T222">
        <v>6.0730184669999998</v>
      </c>
    </row>
    <row r="223" spans="1:20" x14ac:dyDescent="0.3">
      <c r="A223" s="15" t="s">
        <v>991</v>
      </c>
      <c r="H223">
        <v>7.2879859309999997</v>
      </c>
      <c r="T223">
        <v>6.0787344680000004</v>
      </c>
    </row>
    <row r="224" spans="1:20" x14ac:dyDescent="0.3">
      <c r="A224" s="15" t="s">
        <v>994</v>
      </c>
      <c r="H224">
        <v>4.6002380890000003</v>
      </c>
      <c r="T224">
        <v>6.1</v>
      </c>
    </row>
    <row r="225" spans="1:20" x14ac:dyDescent="0.3">
      <c r="A225" s="15" t="s">
        <v>996</v>
      </c>
      <c r="H225">
        <v>5.5383625929999996</v>
      </c>
      <c r="T225">
        <v>6.106018154</v>
      </c>
    </row>
    <row r="226" spans="1:20" x14ac:dyDescent="0.3">
      <c r="A226" s="15" t="s">
        <v>1002</v>
      </c>
      <c r="D226">
        <v>2.0945182710000001</v>
      </c>
      <c r="T226">
        <v>6.12</v>
      </c>
    </row>
    <row r="227" spans="1:20" x14ac:dyDescent="0.3">
      <c r="A227" s="15" t="s">
        <v>1004</v>
      </c>
      <c r="D227">
        <v>1.7512861669999999</v>
      </c>
      <c r="T227">
        <v>6.1469806570000003</v>
      </c>
    </row>
    <row r="228" spans="1:20" x14ac:dyDescent="0.3">
      <c r="A228" s="15" t="s">
        <v>1009</v>
      </c>
      <c r="B228">
        <v>1.827059424</v>
      </c>
      <c r="T228">
        <v>6.15</v>
      </c>
    </row>
    <row r="229" spans="1:20" x14ac:dyDescent="0.3">
      <c r="A229" s="15" t="s">
        <v>1015</v>
      </c>
      <c r="B229">
        <v>1.854481058</v>
      </c>
      <c r="T229">
        <v>6.1634281870000001</v>
      </c>
    </row>
    <row r="230" spans="1:20" x14ac:dyDescent="0.3">
      <c r="A230" s="15" t="s">
        <v>1018</v>
      </c>
      <c r="B230">
        <v>0.33502243999999998</v>
      </c>
      <c r="T230">
        <v>6.19</v>
      </c>
    </row>
    <row r="231" spans="1:20" x14ac:dyDescent="0.3">
      <c r="A231" s="15" t="s">
        <v>1020</v>
      </c>
      <c r="B231">
        <v>0.176476419</v>
      </c>
      <c r="T231">
        <v>6.198205143</v>
      </c>
    </row>
    <row r="232" spans="1:20" x14ac:dyDescent="0.3">
      <c r="A232" s="15" t="s">
        <v>1022</v>
      </c>
      <c r="B232">
        <v>0.38490365300000001</v>
      </c>
      <c r="T232">
        <v>6.2033232380000003</v>
      </c>
    </row>
    <row r="233" spans="1:20" x14ac:dyDescent="0.3">
      <c r="A233" s="15" t="s">
        <v>1024</v>
      </c>
      <c r="B233">
        <v>0.51143717899999996</v>
      </c>
      <c r="T233">
        <v>6.21</v>
      </c>
    </row>
    <row r="234" spans="1:20" x14ac:dyDescent="0.3">
      <c r="A234" s="15" t="s">
        <v>1030</v>
      </c>
      <c r="B234">
        <v>2.2954539820000002</v>
      </c>
      <c r="T234">
        <v>6.28</v>
      </c>
    </row>
    <row r="235" spans="1:20" x14ac:dyDescent="0.3">
      <c r="A235" s="15" t="s">
        <v>1032</v>
      </c>
      <c r="B235">
        <v>1.4804567340000001</v>
      </c>
      <c r="T235">
        <v>6.3</v>
      </c>
    </row>
    <row r="236" spans="1:20" x14ac:dyDescent="0.3">
      <c r="A236" s="15" t="s">
        <v>1034</v>
      </c>
      <c r="D236">
        <v>6.156201727</v>
      </c>
      <c r="T236">
        <v>6.31</v>
      </c>
    </row>
    <row r="237" spans="1:20" x14ac:dyDescent="0.3">
      <c r="A237" s="15" t="s">
        <v>1038</v>
      </c>
      <c r="D237">
        <v>5.7384713749999996</v>
      </c>
      <c r="T237">
        <v>6.32</v>
      </c>
    </row>
    <row r="238" spans="1:20" x14ac:dyDescent="0.3">
      <c r="A238" s="15" t="s">
        <v>1042</v>
      </c>
      <c r="H238">
        <v>6.3810811520000001</v>
      </c>
      <c r="T238">
        <v>6.34</v>
      </c>
    </row>
    <row r="239" spans="1:20" x14ac:dyDescent="0.3">
      <c r="A239" s="15" t="s">
        <v>1045</v>
      </c>
      <c r="H239">
        <v>7.9569574410000001</v>
      </c>
      <c r="T239">
        <v>6.35</v>
      </c>
    </row>
    <row r="240" spans="1:20" x14ac:dyDescent="0.3">
      <c r="A240" s="15" t="s">
        <v>1049</v>
      </c>
      <c r="H240">
        <v>10.89504812</v>
      </c>
      <c r="T240">
        <v>6.38</v>
      </c>
    </row>
    <row r="241" spans="1:20" x14ac:dyDescent="0.3">
      <c r="A241" s="15" t="s">
        <v>1052</v>
      </c>
      <c r="D241">
        <v>4.6594792079999996</v>
      </c>
      <c r="T241">
        <v>6.3810811520000001</v>
      </c>
    </row>
    <row r="242" spans="1:20" x14ac:dyDescent="0.3">
      <c r="A242" s="15" t="s">
        <v>1055</v>
      </c>
      <c r="D242">
        <v>3.2442603160000001</v>
      </c>
      <c r="T242">
        <v>6.3994302440000004</v>
      </c>
    </row>
    <row r="243" spans="1:20" x14ac:dyDescent="0.3">
      <c r="A243" s="15" t="s">
        <v>1059</v>
      </c>
      <c r="D243">
        <v>5.7302107219999998</v>
      </c>
      <c r="T243">
        <v>6.42</v>
      </c>
    </row>
    <row r="244" spans="1:20" x14ac:dyDescent="0.3">
      <c r="A244" s="15" t="s">
        <v>1062</v>
      </c>
      <c r="D244">
        <v>4.230405448</v>
      </c>
      <c r="T244">
        <v>6.4250723839999999</v>
      </c>
    </row>
    <row r="245" spans="1:20" x14ac:dyDescent="0.3">
      <c r="A245" s="15" t="s">
        <v>1064</v>
      </c>
      <c r="D245">
        <v>5.2616707260000002</v>
      </c>
      <c r="T245">
        <v>6.43</v>
      </c>
    </row>
    <row r="246" spans="1:20" x14ac:dyDescent="0.3">
      <c r="A246" s="15" t="s">
        <v>1067</v>
      </c>
      <c r="D246">
        <v>4.531469821</v>
      </c>
      <c r="T246">
        <v>6.4380572340000004</v>
      </c>
    </row>
    <row r="247" spans="1:20" x14ac:dyDescent="0.3">
      <c r="A247" s="15" t="s">
        <v>1070</v>
      </c>
      <c r="D247">
        <v>5.1072790489999997</v>
      </c>
      <c r="T247">
        <v>6.44</v>
      </c>
    </row>
    <row r="248" spans="1:20" x14ac:dyDescent="0.3">
      <c r="A248" s="15" t="s">
        <v>1073</v>
      </c>
      <c r="D248">
        <v>6.1196805550000004</v>
      </c>
      <c r="T248">
        <v>6.45</v>
      </c>
    </row>
    <row r="249" spans="1:20" x14ac:dyDescent="0.3">
      <c r="A249" s="15" t="s">
        <v>1076</v>
      </c>
      <c r="D249">
        <v>-0.16115733600000001</v>
      </c>
      <c r="T249">
        <v>6.4519132680000002</v>
      </c>
    </row>
    <row r="250" spans="1:20" x14ac:dyDescent="0.3">
      <c r="A250" s="15" t="s">
        <v>1078</v>
      </c>
      <c r="D250">
        <v>6.0756205960000003</v>
      </c>
      <c r="T250">
        <v>6.47</v>
      </c>
    </row>
    <row r="251" spans="1:20" x14ac:dyDescent="0.3">
      <c r="A251" s="15" t="s">
        <v>1080</v>
      </c>
      <c r="D251">
        <v>4.2834954779999999</v>
      </c>
      <c r="T251">
        <v>6.509839586</v>
      </c>
    </row>
    <row r="252" spans="1:20" x14ac:dyDescent="0.3">
      <c r="A252" s="15" t="s">
        <v>1083</v>
      </c>
      <c r="D252">
        <v>9.0827475179999997</v>
      </c>
      <c r="T252">
        <v>6.5140041039999996</v>
      </c>
    </row>
    <row r="253" spans="1:20" x14ac:dyDescent="0.3">
      <c r="A253" s="15" t="s">
        <v>1086</v>
      </c>
      <c r="D253">
        <v>3.2468357640000001</v>
      </c>
      <c r="T253">
        <v>6.52</v>
      </c>
    </row>
    <row r="254" spans="1:20" x14ac:dyDescent="0.3">
      <c r="A254" s="15" t="s">
        <v>1089</v>
      </c>
      <c r="D254">
        <v>6.1386799749999996</v>
      </c>
      <c r="T254">
        <v>6.52</v>
      </c>
    </row>
    <row r="255" spans="1:20" x14ac:dyDescent="0.3">
      <c r="A255" s="15" t="s">
        <v>1092</v>
      </c>
      <c r="H255">
        <v>3.8442051319999999</v>
      </c>
      <c r="T255">
        <v>6.5283767529999999</v>
      </c>
    </row>
    <row r="256" spans="1:20" x14ac:dyDescent="0.3">
      <c r="A256" s="15" t="s">
        <v>1096</v>
      </c>
      <c r="H256">
        <v>6.1634281870000001</v>
      </c>
      <c r="T256">
        <v>6.5498429930000004</v>
      </c>
    </row>
    <row r="257" spans="1:20" x14ac:dyDescent="0.3">
      <c r="A257" s="15" t="s">
        <v>1100</v>
      </c>
      <c r="H257">
        <v>9.2752528999999999</v>
      </c>
      <c r="T257">
        <v>6.5698817070000004</v>
      </c>
    </row>
    <row r="258" spans="1:20" x14ac:dyDescent="0.3">
      <c r="A258" s="15" t="s">
        <v>1102</v>
      </c>
      <c r="H258">
        <v>4.8262735890000004</v>
      </c>
      <c r="T258">
        <v>6.57</v>
      </c>
    </row>
    <row r="259" spans="1:20" x14ac:dyDescent="0.3">
      <c r="A259" s="15" t="s">
        <v>1104</v>
      </c>
      <c r="H259">
        <v>4.8131399889999997</v>
      </c>
      <c r="T259">
        <v>6.57</v>
      </c>
    </row>
    <row r="260" spans="1:20" x14ac:dyDescent="0.3">
      <c r="A260" s="15" t="s">
        <v>1107</v>
      </c>
      <c r="H260">
        <v>8.8799989149999998</v>
      </c>
      <c r="T260">
        <v>6.58</v>
      </c>
    </row>
    <row r="261" spans="1:20" x14ac:dyDescent="0.3">
      <c r="A261" s="15" t="s">
        <v>1111</v>
      </c>
      <c r="H261">
        <v>6.106018154</v>
      </c>
      <c r="T261">
        <v>6.5984804869999998</v>
      </c>
    </row>
    <row r="262" spans="1:20" x14ac:dyDescent="0.3">
      <c r="A262" s="15" t="s">
        <v>1113</v>
      </c>
      <c r="H262">
        <v>7.2794638330000003</v>
      </c>
      <c r="T262">
        <v>6.6183760769999997</v>
      </c>
    </row>
    <row r="263" spans="1:20" x14ac:dyDescent="0.3">
      <c r="A263" s="15" t="s">
        <v>1117</v>
      </c>
      <c r="H263">
        <v>3.9994609560000001</v>
      </c>
      <c r="T263">
        <v>6.6186021530000003</v>
      </c>
    </row>
    <row r="264" spans="1:20" x14ac:dyDescent="0.3">
      <c r="A264" s="15" t="s">
        <v>1119</v>
      </c>
      <c r="H264">
        <v>8.2317117880000001</v>
      </c>
      <c r="T264">
        <v>6.6230285069999999</v>
      </c>
    </row>
    <row r="265" spans="1:20" x14ac:dyDescent="0.3">
      <c r="A265" s="15" t="s">
        <v>1126</v>
      </c>
      <c r="D265">
        <v>5.7749290369999997</v>
      </c>
      <c r="T265">
        <v>6.6481148829999999</v>
      </c>
    </row>
    <row r="266" spans="1:20" x14ac:dyDescent="0.3">
      <c r="A266" s="15" t="s">
        <v>1128</v>
      </c>
      <c r="D266">
        <v>1.949211655</v>
      </c>
      <c r="T266">
        <v>6.65</v>
      </c>
    </row>
    <row r="267" spans="1:20" x14ac:dyDescent="0.3">
      <c r="A267" s="15" t="s">
        <v>1131</v>
      </c>
      <c r="D267">
        <v>4.3584891429999999</v>
      </c>
      <c r="T267">
        <v>6.6531294159999996</v>
      </c>
    </row>
    <row r="268" spans="1:20" x14ac:dyDescent="0.3">
      <c r="A268" s="15" t="s">
        <v>1135</v>
      </c>
      <c r="D268">
        <v>8.056160234</v>
      </c>
      <c r="T268">
        <v>6.6680268380000003</v>
      </c>
    </row>
    <row r="269" spans="1:20" x14ac:dyDescent="0.3">
      <c r="A269" s="15" t="s">
        <v>1139</v>
      </c>
      <c r="D269">
        <v>5.0772408249999996</v>
      </c>
      <c r="T269">
        <v>6.6752287639999999</v>
      </c>
    </row>
    <row r="270" spans="1:20" x14ac:dyDescent="0.3">
      <c r="A270" s="15" t="s">
        <v>1141</v>
      </c>
      <c r="D270">
        <v>6.0350240069999996</v>
      </c>
      <c r="T270">
        <v>6.7003416329999999</v>
      </c>
    </row>
    <row r="271" spans="1:20" x14ac:dyDescent="0.3">
      <c r="A271" s="15" t="s">
        <v>1144</v>
      </c>
      <c r="D271">
        <v>6.1105903169999998</v>
      </c>
      <c r="T271">
        <v>6.7305649059999997</v>
      </c>
    </row>
    <row r="272" spans="1:20" x14ac:dyDescent="0.3">
      <c r="A272" s="15" t="s">
        <v>1148</v>
      </c>
      <c r="D272">
        <v>4.1164420819999998</v>
      </c>
      <c r="T272">
        <v>6.7400721319999999</v>
      </c>
    </row>
    <row r="273" spans="1:20" x14ac:dyDescent="0.3">
      <c r="A273" s="15" t="s">
        <v>1150</v>
      </c>
      <c r="D273">
        <v>4.4810051189999998</v>
      </c>
      <c r="T273">
        <v>6.76</v>
      </c>
    </row>
    <row r="274" spans="1:20" x14ac:dyDescent="0.3">
      <c r="A274" s="15" t="s">
        <v>1154</v>
      </c>
      <c r="E274">
        <v>5.5383834839999997</v>
      </c>
      <c r="T274">
        <v>6.7644265079999997</v>
      </c>
    </row>
    <row r="275" spans="1:20" x14ac:dyDescent="0.3">
      <c r="A275" s="15" t="s">
        <v>1158</v>
      </c>
      <c r="E275">
        <v>5.4439821329999996</v>
      </c>
      <c r="T275">
        <v>6.78</v>
      </c>
    </row>
    <row r="276" spans="1:20" x14ac:dyDescent="0.3">
      <c r="A276" s="15" t="s">
        <v>1160</v>
      </c>
      <c r="E276">
        <v>5.3107569200000002</v>
      </c>
      <c r="T276">
        <v>6.7868982740000003</v>
      </c>
    </row>
    <row r="277" spans="1:20" x14ac:dyDescent="0.3">
      <c r="A277" s="15" t="s">
        <v>1164</v>
      </c>
      <c r="H277">
        <v>4.1034937109999996</v>
      </c>
      <c r="T277">
        <v>6.79</v>
      </c>
    </row>
    <row r="278" spans="1:20" x14ac:dyDescent="0.3">
      <c r="A278" s="15" t="s">
        <v>1167</v>
      </c>
      <c r="H278">
        <v>5.2227978259999999</v>
      </c>
      <c r="T278">
        <v>6.7933891729999996</v>
      </c>
    </row>
    <row r="279" spans="1:20" x14ac:dyDescent="0.3">
      <c r="A279" s="15" t="s">
        <v>1169</v>
      </c>
      <c r="H279">
        <v>4.0325196060000001</v>
      </c>
      <c r="T279">
        <v>6.8</v>
      </c>
    </row>
    <row r="280" spans="1:20" x14ac:dyDescent="0.3">
      <c r="A280" s="15" t="s">
        <v>1171</v>
      </c>
      <c r="H280">
        <v>7.0992954099999999</v>
      </c>
      <c r="T280">
        <v>6.84</v>
      </c>
    </row>
    <row r="281" spans="1:20" x14ac:dyDescent="0.3">
      <c r="A281" s="15" t="s">
        <v>1173</v>
      </c>
      <c r="H281">
        <v>4.2572328800000001</v>
      </c>
      <c r="T281">
        <v>6.8421287450000001</v>
      </c>
    </row>
    <row r="282" spans="1:20" x14ac:dyDescent="0.3">
      <c r="A282" s="15" t="s">
        <v>1175</v>
      </c>
      <c r="H282">
        <v>3.4300006820000002</v>
      </c>
      <c r="T282">
        <v>6.846395223</v>
      </c>
    </row>
    <row r="283" spans="1:20" x14ac:dyDescent="0.3">
      <c r="A283" s="15" t="s">
        <v>1177</v>
      </c>
      <c r="H283">
        <v>3.7625710840000002</v>
      </c>
      <c r="T283">
        <v>6.89</v>
      </c>
    </row>
    <row r="284" spans="1:20" x14ac:dyDescent="0.3">
      <c r="A284" s="15" t="s">
        <v>1179</v>
      </c>
      <c r="H284">
        <v>4.6618520219999997</v>
      </c>
      <c r="T284">
        <v>6.9201230760000003</v>
      </c>
    </row>
    <row r="285" spans="1:20" x14ac:dyDescent="0.3">
      <c r="A285" s="15" t="s">
        <v>1181</v>
      </c>
      <c r="H285">
        <v>4.508045869</v>
      </c>
      <c r="T285">
        <v>6.9293376110000002</v>
      </c>
    </row>
    <row r="286" spans="1:20" x14ac:dyDescent="0.3">
      <c r="A286" s="15" t="s">
        <v>1183</v>
      </c>
      <c r="H286">
        <v>7.2568986689999999</v>
      </c>
      <c r="T286">
        <v>6.94</v>
      </c>
    </row>
    <row r="287" spans="1:20" x14ac:dyDescent="0.3">
      <c r="A287" s="15" t="s">
        <v>1185</v>
      </c>
      <c r="H287">
        <v>4.3856015810000004</v>
      </c>
      <c r="T287">
        <v>6.94</v>
      </c>
    </row>
    <row r="288" spans="1:20" x14ac:dyDescent="0.3">
      <c r="A288" s="15" t="s">
        <v>1187</v>
      </c>
      <c r="H288">
        <v>5.5708464969999998</v>
      </c>
      <c r="T288">
        <v>6.94</v>
      </c>
    </row>
    <row r="289" spans="1:20" x14ac:dyDescent="0.3">
      <c r="A289" s="15" t="s">
        <v>1191</v>
      </c>
      <c r="H289">
        <v>5.401063486</v>
      </c>
      <c r="T289">
        <v>6.96</v>
      </c>
    </row>
    <row r="290" spans="1:20" x14ac:dyDescent="0.3">
      <c r="A290" s="15" t="s">
        <v>1194</v>
      </c>
      <c r="H290">
        <v>3.7895234439999999</v>
      </c>
      <c r="T290">
        <v>6.97</v>
      </c>
    </row>
    <row r="291" spans="1:20" x14ac:dyDescent="0.3">
      <c r="A291" s="15" t="s">
        <v>1196</v>
      </c>
      <c r="H291">
        <v>6.198205143</v>
      </c>
      <c r="T291">
        <v>6.9713613490000004</v>
      </c>
    </row>
    <row r="292" spans="1:20" x14ac:dyDescent="0.3">
      <c r="A292" s="15" t="s">
        <v>1199</v>
      </c>
      <c r="H292">
        <v>8.5218273240000002</v>
      </c>
      <c r="T292">
        <v>6.977617306</v>
      </c>
    </row>
    <row r="293" spans="1:20" x14ac:dyDescent="0.3">
      <c r="A293" s="15" t="s">
        <v>1202</v>
      </c>
      <c r="H293">
        <v>5.2344030349999997</v>
      </c>
      <c r="T293">
        <v>6.99</v>
      </c>
    </row>
    <row r="294" spans="1:20" x14ac:dyDescent="0.3">
      <c r="A294" s="15" t="s">
        <v>1205</v>
      </c>
      <c r="H294">
        <v>-1.258331195</v>
      </c>
      <c r="T294">
        <v>7.09</v>
      </c>
    </row>
    <row r="295" spans="1:20" x14ac:dyDescent="0.3">
      <c r="A295" s="15" t="s">
        <v>1208</v>
      </c>
      <c r="H295">
        <v>6.5698817070000004</v>
      </c>
      <c r="T295">
        <v>7.0992954099999999</v>
      </c>
    </row>
    <row r="296" spans="1:20" x14ac:dyDescent="0.3">
      <c r="A296" s="15" t="s">
        <v>1210</v>
      </c>
      <c r="H296">
        <v>9.4546056459999992</v>
      </c>
      <c r="T296">
        <v>7.11</v>
      </c>
    </row>
    <row r="297" spans="1:20" x14ac:dyDescent="0.3">
      <c r="A297" s="15" t="s">
        <v>1213</v>
      </c>
      <c r="H297">
        <v>8.0410906050000008</v>
      </c>
      <c r="T297">
        <v>7.12</v>
      </c>
    </row>
    <row r="298" spans="1:20" x14ac:dyDescent="0.3">
      <c r="A298" s="15" t="s">
        <v>1215</v>
      </c>
      <c r="H298">
        <v>7.4653630150000003</v>
      </c>
      <c r="T298">
        <v>7.13</v>
      </c>
    </row>
    <row r="299" spans="1:20" x14ac:dyDescent="0.3">
      <c r="A299" s="15" t="s">
        <v>1218</v>
      </c>
      <c r="H299">
        <v>7.3975176219999996</v>
      </c>
      <c r="T299">
        <v>7.1451345750000002</v>
      </c>
    </row>
    <row r="300" spans="1:20" x14ac:dyDescent="0.3">
      <c r="A300" s="15" t="s">
        <v>1222</v>
      </c>
      <c r="H300">
        <v>6.6680268380000003</v>
      </c>
      <c r="T300">
        <v>7.18</v>
      </c>
    </row>
    <row r="301" spans="1:20" x14ac:dyDescent="0.3">
      <c r="A301" s="15" t="s">
        <v>1225</v>
      </c>
      <c r="H301">
        <v>6.4519132680000002</v>
      </c>
      <c r="T301">
        <v>7.1807014259999997</v>
      </c>
    </row>
    <row r="302" spans="1:20" x14ac:dyDescent="0.3">
      <c r="A302" s="15" t="s">
        <v>1228</v>
      </c>
      <c r="H302">
        <v>4.7446859269999999</v>
      </c>
      <c r="T302">
        <v>7.2519527669999997</v>
      </c>
    </row>
    <row r="303" spans="1:20" x14ac:dyDescent="0.3">
      <c r="A303" s="15" t="s">
        <v>1231</v>
      </c>
      <c r="H303">
        <v>8.5232636609999997</v>
      </c>
      <c r="T303">
        <v>7.2520396729999996</v>
      </c>
    </row>
    <row r="304" spans="1:20" x14ac:dyDescent="0.3">
      <c r="A304" s="15" t="s">
        <v>1234</v>
      </c>
      <c r="H304">
        <v>7.5658294890000004</v>
      </c>
      <c r="T304">
        <v>7.2568986689999999</v>
      </c>
    </row>
    <row r="305" spans="1:20" x14ac:dyDescent="0.3">
      <c r="A305" s="15" t="s">
        <v>1237</v>
      </c>
      <c r="H305">
        <v>2.5315689880000001</v>
      </c>
      <c r="T305">
        <v>7.26</v>
      </c>
    </row>
    <row r="306" spans="1:20" x14ac:dyDescent="0.3">
      <c r="A306" s="15" t="s">
        <v>1239</v>
      </c>
      <c r="H306">
        <v>5.588437206</v>
      </c>
      <c r="T306">
        <v>7.26</v>
      </c>
    </row>
    <row r="307" spans="1:20" x14ac:dyDescent="0.3">
      <c r="A307" s="15" t="s">
        <v>1241</v>
      </c>
      <c r="H307">
        <v>6.7933891729999996</v>
      </c>
      <c r="T307">
        <v>7.27</v>
      </c>
    </row>
    <row r="308" spans="1:20" x14ac:dyDescent="0.3">
      <c r="A308" s="15" t="s">
        <v>1243</v>
      </c>
      <c r="H308">
        <v>5.9053070239999998</v>
      </c>
      <c r="T308">
        <v>7.2778163569999998</v>
      </c>
    </row>
    <row r="309" spans="1:20" x14ac:dyDescent="0.3">
      <c r="A309" s="15" t="s">
        <v>1247</v>
      </c>
      <c r="H309">
        <v>2.5792410480000001</v>
      </c>
      <c r="T309">
        <v>7.2794638330000003</v>
      </c>
    </row>
    <row r="310" spans="1:20" x14ac:dyDescent="0.3">
      <c r="A310" s="15" t="s">
        <v>1251</v>
      </c>
      <c r="H310">
        <v>5.3046593949999998</v>
      </c>
      <c r="T310">
        <v>7.2879859309999997</v>
      </c>
    </row>
    <row r="311" spans="1:20" x14ac:dyDescent="0.3">
      <c r="A311" s="15" t="s">
        <v>1254</v>
      </c>
      <c r="H311">
        <v>6.0730184669999998</v>
      </c>
      <c r="T311">
        <v>7.2953639150000003</v>
      </c>
    </row>
    <row r="312" spans="1:20" x14ac:dyDescent="0.3">
      <c r="A312" s="15" t="s">
        <v>1257</v>
      </c>
      <c r="H312">
        <v>6.4380572340000004</v>
      </c>
      <c r="T312">
        <v>7.31</v>
      </c>
    </row>
    <row r="313" spans="1:20" x14ac:dyDescent="0.3">
      <c r="A313" s="15" t="s">
        <v>1260</v>
      </c>
      <c r="H313">
        <v>4.2364595129999998</v>
      </c>
      <c r="T313">
        <v>7.3255839299999996</v>
      </c>
    </row>
    <row r="314" spans="1:20" x14ac:dyDescent="0.3">
      <c r="A314" s="15" t="s">
        <v>1262</v>
      </c>
      <c r="H314">
        <v>5.1349042999999996</v>
      </c>
      <c r="T314">
        <v>7.34</v>
      </c>
    </row>
    <row r="315" spans="1:20" x14ac:dyDescent="0.3">
      <c r="A315" s="15" t="s">
        <v>1265</v>
      </c>
      <c r="H315">
        <v>4.4785697989999997</v>
      </c>
      <c r="T315">
        <v>7.3975176219999996</v>
      </c>
    </row>
    <row r="316" spans="1:20" x14ac:dyDescent="0.3">
      <c r="A316" s="15" t="s">
        <v>1267</v>
      </c>
      <c r="H316">
        <v>6.5140041039999996</v>
      </c>
      <c r="T316">
        <v>7.4047104499999996</v>
      </c>
    </row>
    <row r="317" spans="1:20" x14ac:dyDescent="0.3">
      <c r="A317" s="15" t="s">
        <v>1269</v>
      </c>
      <c r="H317">
        <v>6.7400721319999999</v>
      </c>
      <c r="T317">
        <v>7.4063768049999998</v>
      </c>
    </row>
    <row r="318" spans="1:20" x14ac:dyDescent="0.3">
      <c r="A318" s="15" t="s">
        <v>1275</v>
      </c>
      <c r="D318">
        <v>2.872987578</v>
      </c>
      <c r="T318">
        <v>7.45</v>
      </c>
    </row>
    <row r="319" spans="1:20" x14ac:dyDescent="0.3">
      <c r="A319" s="15" t="s">
        <v>1278</v>
      </c>
      <c r="D319">
        <v>6.3133655749999997</v>
      </c>
      <c r="T319">
        <v>7.4653630150000003</v>
      </c>
    </row>
    <row r="320" spans="1:20" x14ac:dyDescent="0.3">
      <c r="A320" s="15" t="s">
        <v>1280</v>
      </c>
      <c r="D320">
        <v>3.393167032</v>
      </c>
      <c r="T320">
        <v>7.5041806329999998</v>
      </c>
    </row>
    <row r="321" spans="1:20" x14ac:dyDescent="0.3">
      <c r="A321" s="15" t="s">
        <v>1282</v>
      </c>
      <c r="H321">
        <v>2.4463352700000001</v>
      </c>
      <c r="T321">
        <v>7.542489711</v>
      </c>
    </row>
    <row r="322" spans="1:20" x14ac:dyDescent="0.3">
      <c r="A322" s="15" t="s">
        <v>1284</v>
      </c>
      <c r="H322">
        <v>4.0708941650000003</v>
      </c>
      <c r="T322">
        <v>7.5658294890000004</v>
      </c>
    </row>
    <row r="323" spans="1:20" x14ac:dyDescent="0.3">
      <c r="A323" s="15" t="s">
        <v>1288</v>
      </c>
      <c r="H323">
        <v>3.7908441449999999</v>
      </c>
      <c r="T323">
        <v>7.58</v>
      </c>
    </row>
    <row r="324" spans="1:20" x14ac:dyDescent="0.3">
      <c r="A324" s="15" t="s">
        <v>1291</v>
      </c>
      <c r="H324">
        <v>5.8257987179999997</v>
      </c>
      <c r="T324">
        <v>7.6255582730000002</v>
      </c>
    </row>
    <row r="325" spans="1:20" x14ac:dyDescent="0.3">
      <c r="A325" s="15" t="s">
        <v>1294</v>
      </c>
      <c r="H325">
        <v>4.4847655980000001</v>
      </c>
      <c r="T325">
        <v>7.6914488600000004</v>
      </c>
    </row>
    <row r="326" spans="1:20" x14ac:dyDescent="0.3">
      <c r="A326" s="15" t="s">
        <v>1296</v>
      </c>
      <c r="H326">
        <v>5.5135055639999999</v>
      </c>
      <c r="T326">
        <v>7.753387332</v>
      </c>
    </row>
    <row r="327" spans="1:20" x14ac:dyDescent="0.3">
      <c r="A327" s="15" t="s">
        <v>1299</v>
      </c>
      <c r="H327">
        <v>6.7868982740000003</v>
      </c>
      <c r="T327">
        <v>7.79</v>
      </c>
    </row>
    <row r="328" spans="1:20" x14ac:dyDescent="0.3">
      <c r="A328" s="15" t="s">
        <v>1301</v>
      </c>
      <c r="H328">
        <v>8.5965912400000004</v>
      </c>
      <c r="T328">
        <v>7.7953084480000001</v>
      </c>
    </row>
    <row r="329" spans="1:20" x14ac:dyDescent="0.3">
      <c r="A329" s="15" t="s">
        <v>1304</v>
      </c>
      <c r="H329">
        <v>7.4047104499999996</v>
      </c>
      <c r="T329">
        <v>7.8015503500000003</v>
      </c>
    </row>
    <row r="330" spans="1:20" x14ac:dyDescent="0.3">
      <c r="A330" s="15" t="s">
        <v>1306</v>
      </c>
      <c r="H330">
        <v>6.6752287639999999</v>
      </c>
      <c r="T330">
        <v>7.8065244859999998</v>
      </c>
    </row>
    <row r="331" spans="1:20" x14ac:dyDescent="0.3">
      <c r="A331" s="15" t="s">
        <v>2739</v>
      </c>
      <c r="H331">
        <v>6.6481148829999999</v>
      </c>
      <c r="T331">
        <v>7.82</v>
      </c>
    </row>
    <row r="332" spans="1:20" x14ac:dyDescent="0.3">
      <c r="A332" s="15" t="s">
        <v>1312</v>
      </c>
      <c r="E332">
        <v>5.860929574</v>
      </c>
      <c r="T332">
        <v>7.86</v>
      </c>
    </row>
    <row r="333" spans="1:20" x14ac:dyDescent="0.3">
      <c r="A333" s="15" t="s">
        <v>1316</v>
      </c>
      <c r="H333">
        <v>3.800112435</v>
      </c>
      <c r="T333">
        <v>7.92</v>
      </c>
    </row>
    <row r="334" spans="1:20" x14ac:dyDescent="0.3">
      <c r="A334" s="15" t="s">
        <v>1319</v>
      </c>
      <c r="H334">
        <v>7.8065244859999998</v>
      </c>
      <c r="T334">
        <v>7.9386607079999996</v>
      </c>
    </row>
    <row r="335" spans="1:20" x14ac:dyDescent="0.3">
      <c r="A335" s="15" t="s">
        <v>1322</v>
      </c>
      <c r="H335">
        <v>5.6928632779999999</v>
      </c>
      <c r="T335">
        <v>7.9569574410000001</v>
      </c>
    </row>
    <row r="336" spans="1:20" x14ac:dyDescent="0.3">
      <c r="A336" s="15" t="s">
        <v>1325</v>
      </c>
      <c r="H336">
        <v>1.547400069</v>
      </c>
      <c r="T336">
        <v>7.96</v>
      </c>
    </row>
    <row r="337" spans="1:20" x14ac:dyDescent="0.3">
      <c r="A337" s="15" t="s">
        <v>1327</v>
      </c>
      <c r="H337">
        <v>7.3255839299999996</v>
      </c>
      <c r="T337">
        <v>7.9635402119999998</v>
      </c>
    </row>
    <row r="338" spans="1:20" x14ac:dyDescent="0.3">
      <c r="A338" s="15" t="s">
        <v>1329</v>
      </c>
      <c r="H338">
        <v>3.3966480020000001</v>
      </c>
      <c r="T338">
        <v>7.97</v>
      </c>
    </row>
    <row r="339" spans="1:20" x14ac:dyDescent="0.3">
      <c r="A339" s="15" t="s">
        <v>1331</v>
      </c>
      <c r="H339">
        <v>6.9293376110000002</v>
      </c>
      <c r="T339">
        <v>7.97</v>
      </c>
    </row>
    <row r="340" spans="1:20" x14ac:dyDescent="0.3">
      <c r="A340" s="15" t="s">
        <v>1333</v>
      </c>
      <c r="D340">
        <v>1.433289115</v>
      </c>
      <c r="T340">
        <v>7.994241658</v>
      </c>
    </row>
    <row r="341" spans="1:20" x14ac:dyDescent="0.3">
      <c r="A341" s="15" t="s">
        <v>1336</v>
      </c>
      <c r="D341">
        <v>3.1352992230000001</v>
      </c>
      <c r="T341">
        <v>8.01</v>
      </c>
    </row>
    <row r="342" spans="1:20" x14ac:dyDescent="0.3">
      <c r="A342" s="15" t="s">
        <v>1339</v>
      </c>
      <c r="D342">
        <v>6.6429678399999998</v>
      </c>
      <c r="T342">
        <v>8.02</v>
      </c>
    </row>
    <row r="343" spans="1:20" x14ac:dyDescent="0.3">
      <c r="A343" s="15" t="s">
        <v>1343</v>
      </c>
      <c r="D343">
        <v>5.2781259159999996</v>
      </c>
      <c r="T343">
        <v>8.0399999999999991</v>
      </c>
    </row>
    <row r="344" spans="1:20" x14ac:dyDescent="0.3">
      <c r="A344" s="15" t="s">
        <v>1346</v>
      </c>
      <c r="E344">
        <v>8.1074579090000007</v>
      </c>
      <c r="T344">
        <v>8.0410906050000008</v>
      </c>
    </row>
    <row r="345" spans="1:20" x14ac:dyDescent="0.3">
      <c r="A345" s="15" t="s">
        <v>1349</v>
      </c>
      <c r="D345">
        <v>0.40681997800000003</v>
      </c>
      <c r="T345">
        <v>8.07</v>
      </c>
    </row>
    <row r="346" spans="1:20" x14ac:dyDescent="0.3">
      <c r="A346" s="15" t="s">
        <v>1351</v>
      </c>
      <c r="G346">
        <v>4.4885053389999996</v>
      </c>
      <c r="T346">
        <v>8.0773019569999995</v>
      </c>
    </row>
    <row r="347" spans="1:20" x14ac:dyDescent="0.3">
      <c r="A347" s="15" t="s">
        <v>1354</v>
      </c>
      <c r="E347">
        <v>4.1153342579999999</v>
      </c>
      <c r="T347">
        <v>8.0899080800000007</v>
      </c>
    </row>
    <row r="348" spans="1:20" x14ac:dyDescent="0.3">
      <c r="A348" s="15" t="s">
        <v>1357</v>
      </c>
      <c r="E348">
        <v>5.7539430449999998</v>
      </c>
      <c r="T348">
        <v>8.09</v>
      </c>
    </row>
    <row r="349" spans="1:20" x14ac:dyDescent="0.3">
      <c r="A349" s="15" t="s">
        <v>1360</v>
      </c>
      <c r="E349">
        <v>6.7289763999999996</v>
      </c>
      <c r="T349">
        <v>8.16</v>
      </c>
    </row>
    <row r="350" spans="1:20" x14ac:dyDescent="0.3">
      <c r="A350" s="15" t="s">
        <v>1363</v>
      </c>
      <c r="E350">
        <v>4.515502991</v>
      </c>
      <c r="T350">
        <v>8.1999999999999993</v>
      </c>
    </row>
    <row r="351" spans="1:20" x14ac:dyDescent="0.3">
      <c r="A351" s="15" t="s">
        <v>1365</v>
      </c>
      <c r="E351">
        <v>7.0451623860000003</v>
      </c>
      <c r="T351">
        <v>8.2100000000000009</v>
      </c>
    </row>
    <row r="352" spans="1:20" x14ac:dyDescent="0.3">
      <c r="A352" s="15" t="s">
        <v>1366</v>
      </c>
      <c r="E352">
        <v>4.5743700990000002</v>
      </c>
      <c r="T352">
        <v>8.2317117880000001</v>
      </c>
    </row>
    <row r="353" spans="1:20" x14ac:dyDescent="0.3">
      <c r="A353" s="15" t="s">
        <v>1371</v>
      </c>
      <c r="E353">
        <v>7.7614681299999999</v>
      </c>
      <c r="T353">
        <v>8.24</v>
      </c>
    </row>
    <row r="354" spans="1:20" x14ac:dyDescent="0.3">
      <c r="A354" s="15" t="s">
        <v>1374</v>
      </c>
      <c r="E354">
        <v>6.1037358299999998</v>
      </c>
      <c r="T354">
        <v>8.2694332910000004</v>
      </c>
    </row>
    <row r="355" spans="1:20" x14ac:dyDescent="0.3">
      <c r="A355" s="15" t="s">
        <v>1376</v>
      </c>
      <c r="E355">
        <v>5.0935032119999999</v>
      </c>
      <c r="T355">
        <v>8.3000000000000007</v>
      </c>
    </row>
    <row r="356" spans="1:20" x14ac:dyDescent="0.3">
      <c r="A356" s="15" t="s">
        <v>1378</v>
      </c>
      <c r="E356">
        <v>6.0193783420000004</v>
      </c>
      <c r="T356">
        <v>8.4124316369999992</v>
      </c>
    </row>
    <row r="357" spans="1:20" x14ac:dyDescent="0.3">
      <c r="A357" s="15" t="s">
        <v>1382</v>
      </c>
      <c r="E357">
        <v>8.259712232</v>
      </c>
      <c r="T357">
        <v>8.4600000000000009</v>
      </c>
    </row>
    <row r="358" spans="1:20" x14ac:dyDescent="0.3">
      <c r="A358" s="15" t="s">
        <v>1385</v>
      </c>
      <c r="H358">
        <v>4.6810544759999999</v>
      </c>
      <c r="T358">
        <v>8.4768643539999999</v>
      </c>
    </row>
    <row r="359" spans="1:20" x14ac:dyDescent="0.3">
      <c r="A359" s="15" t="s">
        <v>1389</v>
      </c>
      <c r="H359">
        <v>3.9561567200000001</v>
      </c>
      <c r="T359">
        <v>8.5218273240000002</v>
      </c>
    </row>
    <row r="360" spans="1:20" x14ac:dyDescent="0.3">
      <c r="A360" s="15" t="s">
        <v>1391</v>
      </c>
      <c r="H360">
        <v>7.994241658</v>
      </c>
      <c r="T360">
        <v>8.5232636609999997</v>
      </c>
    </row>
    <row r="361" spans="1:20" x14ac:dyDescent="0.3">
      <c r="A361" s="15" t="s">
        <v>1393</v>
      </c>
      <c r="H361">
        <v>6.8421287450000001</v>
      </c>
      <c r="T361">
        <v>8.5965912400000004</v>
      </c>
    </row>
    <row r="362" spans="1:20" x14ac:dyDescent="0.3">
      <c r="A362" s="15" t="s">
        <v>1396</v>
      </c>
      <c r="H362">
        <v>6.4250723839999999</v>
      </c>
      <c r="T362">
        <v>8.6199999999999992</v>
      </c>
    </row>
    <row r="363" spans="1:20" x14ac:dyDescent="0.3">
      <c r="A363" s="15" t="s">
        <v>1399</v>
      </c>
      <c r="H363">
        <v>6.9201230760000003</v>
      </c>
      <c r="T363">
        <v>8.7277832340000003</v>
      </c>
    </row>
    <row r="364" spans="1:20" x14ac:dyDescent="0.3">
      <c r="A364" s="15" t="s">
        <v>1402</v>
      </c>
      <c r="D364">
        <v>4.6857405649999997</v>
      </c>
      <c r="T364">
        <v>8.74</v>
      </c>
    </row>
    <row r="365" spans="1:20" x14ac:dyDescent="0.3">
      <c r="A365" s="15" t="s">
        <v>1405</v>
      </c>
      <c r="D365">
        <v>7.3450926489999997</v>
      </c>
      <c r="T365">
        <v>8.8000000000000007</v>
      </c>
    </row>
    <row r="366" spans="1:20" x14ac:dyDescent="0.3">
      <c r="A366" s="15" t="s">
        <v>1408</v>
      </c>
      <c r="E366">
        <v>9.0187124189999999</v>
      </c>
      <c r="T366">
        <v>8.8315914969999998</v>
      </c>
    </row>
    <row r="367" spans="1:20" x14ac:dyDescent="0.3">
      <c r="A367" s="15" t="s">
        <v>1410</v>
      </c>
      <c r="E367">
        <v>7.7058101160000003</v>
      </c>
      <c r="T367">
        <v>8.8438989180000007</v>
      </c>
    </row>
    <row r="368" spans="1:20" x14ac:dyDescent="0.3">
      <c r="A368" s="15" t="s">
        <v>1411</v>
      </c>
      <c r="E368">
        <v>5.1445727290000001</v>
      </c>
      <c r="T368">
        <v>8.8799989149999998</v>
      </c>
    </row>
    <row r="369" spans="1:20" x14ac:dyDescent="0.3">
      <c r="A369" s="15" t="s">
        <v>1413</v>
      </c>
      <c r="E369">
        <v>6.4983951089999996</v>
      </c>
      <c r="T369">
        <v>8.89</v>
      </c>
    </row>
    <row r="370" spans="1:20" x14ac:dyDescent="0.3">
      <c r="A370" s="15" t="s">
        <v>1415</v>
      </c>
      <c r="E370">
        <v>5.3700300009999999</v>
      </c>
      <c r="T370">
        <v>9</v>
      </c>
    </row>
    <row r="371" spans="1:20" x14ac:dyDescent="0.3">
      <c r="A371" s="15" t="s">
        <v>1418</v>
      </c>
      <c r="H371">
        <v>8.8000000000000007</v>
      </c>
      <c r="T371">
        <v>9.0399999999999991</v>
      </c>
    </row>
    <row r="372" spans="1:20" x14ac:dyDescent="0.3">
      <c r="A372" s="15" t="s">
        <v>1422</v>
      </c>
      <c r="H372">
        <v>5.68</v>
      </c>
      <c r="T372">
        <v>9.2752528999999999</v>
      </c>
    </row>
    <row r="373" spans="1:20" x14ac:dyDescent="0.3">
      <c r="A373" s="15" t="s">
        <v>1425</v>
      </c>
      <c r="H373">
        <v>8.09</v>
      </c>
      <c r="T373">
        <v>9.4499999999999993</v>
      </c>
    </row>
    <row r="374" spans="1:20" x14ac:dyDescent="0.3">
      <c r="A374" s="15" t="s">
        <v>1426</v>
      </c>
      <c r="H374">
        <v>4.4400000000000004</v>
      </c>
      <c r="T374">
        <v>9.4546056459999992</v>
      </c>
    </row>
    <row r="375" spans="1:20" x14ac:dyDescent="0.3">
      <c r="A375" s="15" t="s">
        <v>1428</v>
      </c>
      <c r="H375">
        <v>5.79</v>
      </c>
      <c r="T375">
        <v>9.51</v>
      </c>
    </row>
    <row r="376" spans="1:20" x14ac:dyDescent="0.3">
      <c r="A376" s="15" t="s">
        <v>1429</v>
      </c>
      <c r="H376">
        <v>3.83</v>
      </c>
      <c r="T376">
        <v>9.58</v>
      </c>
    </row>
    <row r="377" spans="1:20" x14ac:dyDescent="0.3">
      <c r="A377" s="15" t="s">
        <v>2685</v>
      </c>
      <c r="H377">
        <v>4</v>
      </c>
      <c r="T377">
        <v>9.6999999999999993</v>
      </c>
    </row>
    <row r="378" spans="1:20" x14ac:dyDescent="0.3">
      <c r="A378" s="15" t="s">
        <v>1431</v>
      </c>
      <c r="H378">
        <v>4.75</v>
      </c>
      <c r="T378">
        <v>9.7899999999999991</v>
      </c>
    </row>
    <row r="379" spans="1:20" x14ac:dyDescent="0.3">
      <c r="A379" s="15" t="s">
        <v>1434</v>
      </c>
      <c r="H379">
        <v>7.12</v>
      </c>
      <c r="T379">
        <v>10.207648839999999</v>
      </c>
    </row>
    <row r="380" spans="1:20" x14ac:dyDescent="0.3">
      <c r="A380" s="15" t="s">
        <v>1436</v>
      </c>
      <c r="D380">
        <v>10.83</v>
      </c>
      <c r="T380">
        <v>10.220000000000001</v>
      </c>
    </row>
    <row r="381" spans="1:20" x14ac:dyDescent="0.3">
      <c r="A381" s="15" t="s">
        <v>1438</v>
      </c>
      <c r="D381">
        <v>10.63</v>
      </c>
      <c r="T381">
        <v>10.89504812</v>
      </c>
    </row>
    <row r="382" spans="1:20" x14ac:dyDescent="0.3">
      <c r="A382" s="15" t="s">
        <v>1440</v>
      </c>
      <c r="D382">
        <v>7.09</v>
      </c>
      <c r="T382">
        <v>14.86</v>
      </c>
    </row>
    <row r="383" spans="1:20" x14ac:dyDescent="0.3">
      <c r="A383" s="15" t="s">
        <v>1443</v>
      </c>
      <c r="H383">
        <v>4.33</v>
      </c>
    </row>
    <row r="384" spans="1:20" x14ac:dyDescent="0.3">
      <c r="A384" s="15" t="s">
        <v>1444</v>
      </c>
      <c r="H384">
        <v>6.28</v>
      </c>
    </row>
    <row r="385" spans="1:8" x14ac:dyDescent="0.3">
      <c r="A385" s="15" t="s">
        <v>1445</v>
      </c>
      <c r="H385">
        <v>5.97</v>
      </c>
    </row>
    <row r="386" spans="1:8" x14ac:dyDescent="0.3">
      <c r="A386" s="15" t="s">
        <v>1448</v>
      </c>
      <c r="H386">
        <v>7.27</v>
      </c>
    </row>
    <row r="387" spans="1:8" x14ac:dyDescent="0.3">
      <c r="A387" s="15" t="s">
        <v>1451</v>
      </c>
      <c r="H387">
        <v>5.67</v>
      </c>
    </row>
    <row r="388" spans="1:8" x14ac:dyDescent="0.3">
      <c r="A388" s="15" t="s">
        <v>1454</v>
      </c>
      <c r="H388">
        <v>2.25</v>
      </c>
    </row>
    <row r="389" spans="1:8" x14ac:dyDescent="0.3">
      <c r="A389" s="15" t="s">
        <v>1456</v>
      </c>
      <c r="H389">
        <v>7.97</v>
      </c>
    </row>
    <row r="390" spans="1:8" x14ac:dyDescent="0.3">
      <c r="A390" s="15" t="s">
        <v>1460</v>
      </c>
      <c r="H390">
        <v>5.41</v>
      </c>
    </row>
    <row r="391" spans="1:8" x14ac:dyDescent="0.3">
      <c r="A391" s="15" t="s">
        <v>1463</v>
      </c>
      <c r="H391">
        <v>5.04</v>
      </c>
    </row>
    <row r="392" spans="1:8" x14ac:dyDescent="0.3">
      <c r="A392" s="15" t="s">
        <v>1466</v>
      </c>
      <c r="H392">
        <v>5.24</v>
      </c>
    </row>
    <row r="393" spans="1:8" x14ac:dyDescent="0.3">
      <c r="A393" s="15" t="s">
        <v>1468</v>
      </c>
      <c r="H393">
        <v>3.54</v>
      </c>
    </row>
    <row r="394" spans="1:8" x14ac:dyDescent="0.3">
      <c r="A394" s="15" t="s">
        <v>1471</v>
      </c>
      <c r="H394">
        <v>5.76</v>
      </c>
    </row>
    <row r="395" spans="1:8" x14ac:dyDescent="0.3">
      <c r="A395" s="15" t="s">
        <v>1475</v>
      </c>
      <c r="H395">
        <v>9.6999999999999993</v>
      </c>
    </row>
    <row r="396" spans="1:8" x14ac:dyDescent="0.3">
      <c r="A396" s="15" t="s">
        <v>1477</v>
      </c>
      <c r="H396">
        <v>5.38</v>
      </c>
    </row>
    <row r="397" spans="1:8" x14ac:dyDescent="0.3">
      <c r="A397" s="15" t="s">
        <v>1480</v>
      </c>
      <c r="H397">
        <v>5.01</v>
      </c>
    </row>
    <row r="398" spans="1:8" x14ac:dyDescent="0.3">
      <c r="A398" s="15" t="s">
        <v>1483</v>
      </c>
      <c r="H398">
        <v>7.86</v>
      </c>
    </row>
    <row r="399" spans="1:8" x14ac:dyDescent="0.3">
      <c r="A399" s="15" t="s">
        <v>1486</v>
      </c>
      <c r="D399">
        <v>7.76</v>
      </c>
    </row>
    <row r="400" spans="1:8" x14ac:dyDescent="0.3">
      <c r="A400" s="15" t="s">
        <v>1498</v>
      </c>
      <c r="D400">
        <v>4.1500000000000004</v>
      </c>
    </row>
    <row r="401" spans="1:8" x14ac:dyDescent="0.3">
      <c r="A401" s="15" t="s">
        <v>1502</v>
      </c>
      <c r="D401">
        <v>7.16</v>
      </c>
    </row>
    <row r="402" spans="1:8" x14ac:dyDescent="0.3">
      <c r="A402" s="15" t="s">
        <v>1506</v>
      </c>
      <c r="H402">
        <v>5.36</v>
      </c>
    </row>
    <row r="403" spans="1:8" x14ac:dyDescent="0.3">
      <c r="A403" s="15" t="s">
        <v>1509</v>
      </c>
      <c r="H403">
        <v>9.7899999999999991</v>
      </c>
    </row>
    <row r="404" spans="1:8" x14ac:dyDescent="0.3">
      <c r="A404" s="15" t="s">
        <v>1512</v>
      </c>
      <c r="H404">
        <v>7.34</v>
      </c>
    </row>
    <row r="405" spans="1:8" x14ac:dyDescent="0.3">
      <c r="A405" s="15" t="s">
        <v>1514</v>
      </c>
      <c r="H405">
        <v>6.44</v>
      </c>
    </row>
    <row r="406" spans="1:8" x14ac:dyDescent="0.3">
      <c r="A406" s="15" t="s">
        <v>1515</v>
      </c>
      <c r="H406">
        <v>9.0399999999999991</v>
      </c>
    </row>
    <row r="407" spans="1:8" x14ac:dyDescent="0.3">
      <c r="A407" s="15" t="s">
        <v>1516</v>
      </c>
      <c r="H407">
        <v>5.64</v>
      </c>
    </row>
    <row r="408" spans="1:8" x14ac:dyDescent="0.3">
      <c r="A408" s="15" t="s">
        <v>1518</v>
      </c>
      <c r="H408">
        <v>6.96</v>
      </c>
    </row>
    <row r="409" spans="1:8" x14ac:dyDescent="0.3">
      <c r="A409" s="15" t="s">
        <v>1520</v>
      </c>
      <c r="H409">
        <v>5.48</v>
      </c>
    </row>
    <row r="410" spans="1:8" x14ac:dyDescent="0.3">
      <c r="A410" s="15" t="s">
        <v>1522</v>
      </c>
      <c r="H410">
        <v>5.81</v>
      </c>
    </row>
    <row r="411" spans="1:8" x14ac:dyDescent="0.3">
      <c r="A411" s="15" t="s">
        <v>1524</v>
      </c>
      <c r="H411">
        <v>6.35</v>
      </c>
    </row>
    <row r="412" spans="1:8" x14ac:dyDescent="0.3">
      <c r="A412" s="15" t="s">
        <v>1525</v>
      </c>
      <c r="H412">
        <v>1.06</v>
      </c>
    </row>
    <row r="413" spans="1:8" x14ac:dyDescent="0.3">
      <c r="A413" s="15" t="s">
        <v>1527</v>
      </c>
      <c r="H413">
        <v>5.82</v>
      </c>
    </row>
    <row r="414" spans="1:8" x14ac:dyDescent="0.3">
      <c r="A414" s="15" t="s">
        <v>1529</v>
      </c>
      <c r="H414">
        <v>8.02</v>
      </c>
    </row>
    <row r="415" spans="1:8" x14ac:dyDescent="0.3">
      <c r="A415" s="15" t="s">
        <v>1532</v>
      </c>
      <c r="H415">
        <v>8.01</v>
      </c>
    </row>
    <row r="416" spans="1:8" x14ac:dyDescent="0.3">
      <c r="A416" s="15" t="s">
        <v>1536</v>
      </c>
      <c r="H416">
        <v>5.21</v>
      </c>
    </row>
    <row r="417" spans="1:8" x14ac:dyDescent="0.3">
      <c r="A417" s="15" t="s">
        <v>1538</v>
      </c>
      <c r="H417">
        <v>4.05</v>
      </c>
    </row>
    <row r="418" spans="1:8" x14ac:dyDescent="0.3">
      <c r="A418" s="15" t="s">
        <v>1540</v>
      </c>
      <c r="H418">
        <v>8.6199999999999992</v>
      </c>
    </row>
    <row r="419" spans="1:8" x14ac:dyDescent="0.3">
      <c r="A419" s="15" t="s">
        <v>1543</v>
      </c>
      <c r="H419">
        <v>9.4499999999999993</v>
      </c>
    </row>
    <row r="420" spans="1:8" x14ac:dyDescent="0.3">
      <c r="A420" s="15" t="s">
        <v>1546</v>
      </c>
      <c r="H420">
        <v>2.79</v>
      </c>
    </row>
    <row r="421" spans="1:8" x14ac:dyDescent="0.3">
      <c r="A421" s="15" t="s">
        <v>1549</v>
      </c>
      <c r="G421">
        <v>7.66</v>
      </c>
    </row>
    <row r="422" spans="1:8" x14ac:dyDescent="0.3">
      <c r="A422" s="15" t="s">
        <v>1552</v>
      </c>
      <c r="H422">
        <v>7.96</v>
      </c>
    </row>
    <row r="423" spans="1:8" x14ac:dyDescent="0.3">
      <c r="A423" s="15" t="s">
        <v>1556</v>
      </c>
      <c r="H423">
        <v>5.7</v>
      </c>
    </row>
    <row r="424" spans="1:8" x14ac:dyDescent="0.3">
      <c r="A424" s="15" t="s">
        <v>1558</v>
      </c>
      <c r="F424">
        <v>5.9</v>
      </c>
    </row>
    <row r="425" spans="1:8" x14ac:dyDescent="0.3">
      <c r="A425" s="15" t="s">
        <v>1562</v>
      </c>
      <c r="G425">
        <v>5.39</v>
      </c>
    </row>
    <row r="426" spans="1:8" x14ac:dyDescent="0.3">
      <c r="A426" s="15" t="s">
        <v>1566</v>
      </c>
      <c r="G426">
        <v>7.66</v>
      </c>
    </row>
    <row r="427" spans="1:8" x14ac:dyDescent="0.3">
      <c r="A427" s="15" t="s">
        <v>1574</v>
      </c>
      <c r="E427">
        <v>7.36</v>
      </c>
    </row>
    <row r="428" spans="1:8" x14ac:dyDescent="0.3">
      <c r="A428" s="15" t="s">
        <v>1577</v>
      </c>
      <c r="E428">
        <v>6.24</v>
      </c>
    </row>
    <row r="429" spans="1:8" x14ac:dyDescent="0.3">
      <c r="A429" s="15" t="s">
        <v>1579</v>
      </c>
      <c r="E429">
        <v>6.63</v>
      </c>
    </row>
    <row r="430" spans="1:8" x14ac:dyDescent="0.3">
      <c r="A430" s="15" t="s">
        <v>1582</v>
      </c>
      <c r="G430">
        <v>5.93</v>
      </c>
    </row>
    <row r="431" spans="1:8" x14ac:dyDescent="0.3">
      <c r="A431" s="15" t="s">
        <v>1587</v>
      </c>
      <c r="E431">
        <v>7.23</v>
      </c>
    </row>
    <row r="432" spans="1:8" x14ac:dyDescent="0.3">
      <c r="A432" s="15" t="s">
        <v>2684</v>
      </c>
      <c r="E432">
        <v>5.16</v>
      </c>
    </row>
    <row r="433" spans="1:8" x14ac:dyDescent="0.3">
      <c r="A433" s="15" t="s">
        <v>1589</v>
      </c>
      <c r="H433">
        <v>2.09</v>
      </c>
    </row>
    <row r="434" spans="1:8" x14ac:dyDescent="0.3">
      <c r="A434" s="15" t="s">
        <v>1592</v>
      </c>
      <c r="H434">
        <v>6.94</v>
      </c>
    </row>
    <row r="435" spans="1:8" x14ac:dyDescent="0.3">
      <c r="A435" s="15" t="s">
        <v>1595</v>
      </c>
      <c r="H435">
        <v>4.58</v>
      </c>
    </row>
    <row r="436" spans="1:8" x14ac:dyDescent="0.3">
      <c r="A436" s="15" t="s">
        <v>1597</v>
      </c>
      <c r="H436">
        <v>7.31</v>
      </c>
    </row>
    <row r="437" spans="1:8" x14ac:dyDescent="0.3">
      <c r="A437" s="15" t="s">
        <v>1600</v>
      </c>
      <c r="H437">
        <v>5.9535</v>
      </c>
    </row>
    <row r="438" spans="1:8" x14ac:dyDescent="0.3">
      <c r="A438" s="15" t="s">
        <v>1602</v>
      </c>
      <c r="H438">
        <v>4.1900000000000004</v>
      </c>
    </row>
    <row r="439" spans="1:8" x14ac:dyDescent="0.3">
      <c r="A439" s="15" t="s">
        <v>1604</v>
      </c>
      <c r="E439">
        <v>4.8099999999999996</v>
      </c>
    </row>
    <row r="440" spans="1:8" x14ac:dyDescent="0.3">
      <c r="A440" s="15" t="s">
        <v>1607</v>
      </c>
      <c r="H440">
        <v>5.24</v>
      </c>
    </row>
    <row r="441" spans="1:8" x14ac:dyDescent="0.3">
      <c r="A441" s="15" t="s">
        <v>1609</v>
      </c>
      <c r="H441">
        <v>6.97</v>
      </c>
    </row>
    <row r="442" spans="1:8" x14ac:dyDescent="0.3">
      <c r="A442" s="15" t="s">
        <v>1611</v>
      </c>
      <c r="H442">
        <v>4.0599999999999996</v>
      </c>
    </row>
    <row r="443" spans="1:8" x14ac:dyDescent="0.3">
      <c r="A443" s="15" t="s">
        <v>1614</v>
      </c>
      <c r="H443">
        <v>2.21</v>
      </c>
    </row>
    <row r="444" spans="1:8" x14ac:dyDescent="0.3">
      <c r="A444" s="15" t="s">
        <v>1616</v>
      </c>
      <c r="H444">
        <v>5.83</v>
      </c>
    </row>
    <row r="445" spans="1:8" x14ac:dyDescent="0.3">
      <c r="A445" s="15" t="s">
        <v>1618</v>
      </c>
      <c r="H445">
        <v>5.03</v>
      </c>
    </row>
    <row r="446" spans="1:8" x14ac:dyDescent="0.3">
      <c r="A446" s="15" t="s">
        <v>1620</v>
      </c>
      <c r="H446">
        <v>3.39</v>
      </c>
    </row>
    <row r="447" spans="1:8" x14ac:dyDescent="0.3">
      <c r="A447" s="15" t="s">
        <v>1622</v>
      </c>
      <c r="H447">
        <v>8.1999999999999993</v>
      </c>
    </row>
    <row r="448" spans="1:8" x14ac:dyDescent="0.3">
      <c r="A448" s="15" t="s">
        <v>1624</v>
      </c>
      <c r="H448">
        <v>7.58</v>
      </c>
    </row>
    <row r="449" spans="1:8" x14ac:dyDescent="0.3">
      <c r="A449" s="15" t="s">
        <v>1626</v>
      </c>
      <c r="H449">
        <v>5.58</v>
      </c>
    </row>
    <row r="450" spans="1:8" x14ac:dyDescent="0.3">
      <c r="A450" s="15" t="s">
        <v>1628</v>
      </c>
      <c r="H450">
        <v>3.56</v>
      </c>
    </row>
    <row r="451" spans="1:8" x14ac:dyDescent="0.3">
      <c r="A451" s="15" t="s">
        <v>1630</v>
      </c>
      <c r="H451">
        <v>5.16</v>
      </c>
    </row>
    <row r="452" spans="1:8" x14ac:dyDescent="0.3">
      <c r="A452" s="15" t="s">
        <v>1632</v>
      </c>
      <c r="H452">
        <v>6.76</v>
      </c>
    </row>
    <row r="453" spans="1:8" x14ac:dyDescent="0.3">
      <c r="A453" s="15" t="s">
        <v>1634</v>
      </c>
      <c r="H453">
        <v>4.13</v>
      </c>
    </row>
    <row r="454" spans="1:8" x14ac:dyDescent="0.3">
      <c r="A454" s="15" t="s">
        <v>1637</v>
      </c>
      <c r="H454">
        <v>6.57</v>
      </c>
    </row>
    <row r="455" spans="1:8" x14ac:dyDescent="0.3">
      <c r="A455" s="15" t="s">
        <v>1639</v>
      </c>
      <c r="H455">
        <v>5.66</v>
      </c>
    </row>
    <row r="456" spans="1:8" x14ac:dyDescent="0.3">
      <c r="A456" s="15" t="s">
        <v>1640</v>
      </c>
      <c r="H456">
        <v>4.16</v>
      </c>
    </row>
    <row r="457" spans="1:8" x14ac:dyDescent="0.3">
      <c r="A457" s="15" t="s">
        <v>1642</v>
      </c>
      <c r="H457">
        <v>6.99</v>
      </c>
    </row>
    <row r="458" spans="1:8" x14ac:dyDescent="0.3">
      <c r="A458" s="15" t="s">
        <v>1643</v>
      </c>
      <c r="H458">
        <v>4.01</v>
      </c>
    </row>
    <row r="459" spans="1:8" x14ac:dyDescent="0.3">
      <c r="A459" s="15" t="s">
        <v>1644</v>
      </c>
      <c r="H459">
        <v>6.32</v>
      </c>
    </row>
    <row r="460" spans="1:8" x14ac:dyDescent="0.3">
      <c r="A460" s="15" t="s">
        <v>1645</v>
      </c>
      <c r="H460">
        <v>6.65</v>
      </c>
    </row>
    <row r="461" spans="1:8" x14ac:dyDescent="0.3">
      <c r="A461" s="15" t="s">
        <v>1646</v>
      </c>
      <c r="H461">
        <v>8.24</v>
      </c>
    </row>
    <row r="462" spans="1:8" x14ac:dyDescent="0.3">
      <c r="A462" s="15" t="s">
        <v>1648</v>
      </c>
      <c r="H462">
        <v>5.1100000000000003</v>
      </c>
    </row>
    <row r="463" spans="1:8" x14ac:dyDescent="0.3">
      <c r="A463" s="15" t="s">
        <v>1650</v>
      </c>
      <c r="H463">
        <v>6.34</v>
      </c>
    </row>
    <row r="464" spans="1:8" x14ac:dyDescent="0.3">
      <c r="A464" s="15" t="s">
        <v>1652</v>
      </c>
      <c r="H464">
        <v>7.26</v>
      </c>
    </row>
    <row r="465" spans="1:8" x14ac:dyDescent="0.3">
      <c r="A465" s="15" t="s">
        <v>1654</v>
      </c>
      <c r="H465">
        <v>3.89</v>
      </c>
    </row>
    <row r="466" spans="1:8" x14ac:dyDescent="0.3">
      <c r="A466" s="15" t="s">
        <v>1656</v>
      </c>
      <c r="H466">
        <v>2.89</v>
      </c>
    </row>
    <row r="467" spans="1:8" x14ac:dyDescent="0.3">
      <c r="A467" s="15" t="s">
        <v>1658</v>
      </c>
      <c r="H467">
        <v>1.75</v>
      </c>
    </row>
    <row r="468" spans="1:8" x14ac:dyDescent="0.3">
      <c r="A468" s="15" t="s">
        <v>1660</v>
      </c>
      <c r="H468">
        <v>3.93</v>
      </c>
    </row>
    <row r="469" spans="1:8" x14ac:dyDescent="0.3">
      <c r="A469" s="15" t="s">
        <v>1662</v>
      </c>
      <c r="H469">
        <v>4.9800000000000004</v>
      </c>
    </row>
    <row r="470" spans="1:8" x14ac:dyDescent="0.3">
      <c r="A470" s="15" t="s">
        <v>1664</v>
      </c>
      <c r="H470">
        <v>3.73</v>
      </c>
    </row>
    <row r="471" spans="1:8" x14ac:dyDescent="0.3">
      <c r="A471" s="15" t="s">
        <v>1667</v>
      </c>
      <c r="H471">
        <v>6.58</v>
      </c>
    </row>
    <row r="472" spans="1:8" x14ac:dyDescent="0.3">
      <c r="A472" s="15" t="s">
        <v>1668</v>
      </c>
      <c r="H472">
        <v>5.22</v>
      </c>
    </row>
    <row r="473" spans="1:8" x14ac:dyDescent="0.3">
      <c r="A473" s="15" t="s">
        <v>1671</v>
      </c>
      <c r="H473">
        <v>9</v>
      </c>
    </row>
    <row r="474" spans="1:8" x14ac:dyDescent="0.3">
      <c r="A474" s="15" t="s">
        <v>1672</v>
      </c>
      <c r="H474">
        <v>4.1500000000000004</v>
      </c>
    </row>
    <row r="475" spans="1:8" x14ac:dyDescent="0.3">
      <c r="A475" s="15" t="s">
        <v>1673</v>
      </c>
      <c r="H475">
        <v>6.31</v>
      </c>
    </row>
    <row r="476" spans="1:8" x14ac:dyDescent="0.3">
      <c r="A476" s="15" t="s">
        <v>1674</v>
      </c>
      <c r="H476">
        <v>6.19</v>
      </c>
    </row>
    <row r="477" spans="1:8" x14ac:dyDescent="0.3">
      <c r="A477" s="15" t="s">
        <v>1675</v>
      </c>
      <c r="H477">
        <v>3.58</v>
      </c>
    </row>
    <row r="478" spans="1:8" x14ac:dyDescent="0.3">
      <c r="A478" s="15" t="s">
        <v>1676</v>
      </c>
      <c r="H478">
        <v>5.7</v>
      </c>
    </row>
    <row r="479" spans="1:8" x14ac:dyDescent="0.3">
      <c r="A479" s="15" t="s">
        <v>1678</v>
      </c>
      <c r="H479">
        <v>6.8</v>
      </c>
    </row>
    <row r="480" spans="1:8" x14ac:dyDescent="0.3">
      <c r="A480" s="15" t="s">
        <v>1680</v>
      </c>
      <c r="H480">
        <v>7.97</v>
      </c>
    </row>
    <row r="481" spans="1:8" x14ac:dyDescent="0.3">
      <c r="A481" s="15" t="s">
        <v>1683</v>
      </c>
      <c r="H481">
        <v>8.4600000000000009</v>
      </c>
    </row>
    <row r="482" spans="1:8" x14ac:dyDescent="0.3">
      <c r="A482" s="15" t="s">
        <v>1684</v>
      </c>
      <c r="H482">
        <v>4.82</v>
      </c>
    </row>
    <row r="483" spans="1:8" x14ac:dyDescent="0.3">
      <c r="A483" s="15" t="s">
        <v>1685</v>
      </c>
      <c r="H483">
        <v>6.1</v>
      </c>
    </row>
    <row r="484" spans="1:8" x14ac:dyDescent="0.3">
      <c r="A484" s="15" t="s">
        <v>1687</v>
      </c>
      <c r="H484">
        <v>6.07</v>
      </c>
    </row>
    <row r="485" spans="1:8" x14ac:dyDescent="0.3">
      <c r="A485" s="15" t="s">
        <v>1689</v>
      </c>
      <c r="H485">
        <v>4.13</v>
      </c>
    </row>
    <row r="486" spans="1:8" x14ac:dyDescent="0.3">
      <c r="A486" s="15" t="s">
        <v>1691</v>
      </c>
      <c r="H486">
        <v>6.04</v>
      </c>
    </row>
    <row r="487" spans="1:8" x14ac:dyDescent="0.3">
      <c r="A487" s="15" t="s">
        <v>1692</v>
      </c>
      <c r="H487">
        <v>5.47</v>
      </c>
    </row>
    <row r="488" spans="1:8" x14ac:dyDescent="0.3">
      <c r="A488" s="15" t="s">
        <v>1693</v>
      </c>
      <c r="H488">
        <v>6.12</v>
      </c>
    </row>
    <row r="489" spans="1:8" x14ac:dyDescent="0.3">
      <c r="A489" s="15" t="s">
        <v>1694</v>
      </c>
      <c r="H489">
        <v>5.4</v>
      </c>
    </row>
    <row r="490" spans="1:8" x14ac:dyDescent="0.3">
      <c r="A490" s="15" t="s">
        <v>1695</v>
      </c>
      <c r="H490">
        <v>2.35</v>
      </c>
    </row>
    <row r="491" spans="1:8" x14ac:dyDescent="0.3">
      <c r="A491" s="15" t="s">
        <v>1696</v>
      </c>
      <c r="H491">
        <v>14.86</v>
      </c>
    </row>
    <row r="492" spans="1:8" x14ac:dyDescent="0.3">
      <c r="A492" s="15" t="s">
        <v>1697</v>
      </c>
      <c r="H492">
        <v>4.7699999999999996</v>
      </c>
    </row>
    <row r="493" spans="1:8" x14ac:dyDescent="0.3">
      <c r="A493" s="15" t="s">
        <v>1699</v>
      </c>
      <c r="H493">
        <v>6.45</v>
      </c>
    </row>
    <row r="494" spans="1:8" x14ac:dyDescent="0.3">
      <c r="A494" s="15" t="s">
        <v>1700</v>
      </c>
      <c r="H494">
        <v>1.26</v>
      </c>
    </row>
    <row r="495" spans="1:8" x14ac:dyDescent="0.3">
      <c r="A495" s="15" t="s">
        <v>1701</v>
      </c>
      <c r="H495">
        <v>4.5</v>
      </c>
    </row>
    <row r="496" spans="1:8" x14ac:dyDescent="0.3">
      <c r="A496" s="15" t="s">
        <v>1704</v>
      </c>
      <c r="H496">
        <v>8.3000000000000007</v>
      </c>
    </row>
    <row r="497" spans="1:9" x14ac:dyDescent="0.3">
      <c r="A497" s="15" t="s">
        <v>1705</v>
      </c>
      <c r="H497">
        <v>7.45</v>
      </c>
    </row>
    <row r="498" spans="1:9" x14ac:dyDescent="0.3">
      <c r="A498" s="15" t="s">
        <v>1706</v>
      </c>
      <c r="H498">
        <v>7.82</v>
      </c>
    </row>
    <row r="499" spans="1:9" x14ac:dyDescent="0.3">
      <c r="A499" s="15" t="s">
        <v>1707</v>
      </c>
      <c r="H499">
        <v>8.2100000000000009</v>
      </c>
    </row>
    <row r="500" spans="1:9" x14ac:dyDescent="0.3">
      <c r="A500" s="15" t="s">
        <v>1710</v>
      </c>
      <c r="H500">
        <v>6.43</v>
      </c>
    </row>
    <row r="501" spans="1:9" x14ac:dyDescent="0.3">
      <c r="A501" s="15" t="s">
        <v>1712</v>
      </c>
      <c r="H501">
        <v>7.79</v>
      </c>
    </row>
    <row r="502" spans="1:9" x14ac:dyDescent="0.3">
      <c r="A502" s="15" t="s">
        <v>1713</v>
      </c>
      <c r="C502">
        <v>-1.37</v>
      </c>
    </row>
    <row r="503" spans="1:9" x14ac:dyDescent="0.3">
      <c r="A503" s="15" t="s">
        <v>1736</v>
      </c>
      <c r="I503">
        <v>8.31</v>
      </c>
    </row>
    <row r="504" spans="1:9" x14ac:dyDescent="0.3">
      <c r="A504" s="15" t="s">
        <v>1739</v>
      </c>
      <c r="I504">
        <v>3.3</v>
      </c>
    </row>
    <row r="505" spans="1:9" x14ac:dyDescent="0.3">
      <c r="A505" s="15" t="s">
        <v>1741</v>
      </c>
      <c r="I505">
        <v>5.68</v>
      </c>
    </row>
    <row r="506" spans="1:9" x14ac:dyDescent="0.3">
      <c r="A506" s="15" t="s">
        <v>1745</v>
      </c>
      <c r="I506">
        <v>1.91</v>
      </c>
    </row>
    <row r="507" spans="1:9" x14ac:dyDescent="0.3">
      <c r="A507" s="15" t="s">
        <v>1749</v>
      </c>
      <c r="I507">
        <v>8.77</v>
      </c>
    </row>
    <row r="508" spans="1:9" x14ac:dyDescent="0.3">
      <c r="A508" s="15" t="s">
        <v>1751</v>
      </c>
      <c r="I508">
        <v>4.55</v>
      </c>
    </row>
    <row r="509" spans="1:9" x14ac:dyDescent="0.3">
      <c r="A509" s="15" t="s">
        <v>1754</v>
      </c>
      <c r="I509">
        <v>2.75</v>
      </c>
    </row>
    <row r="510" spans="1:9" x14ac:dyDescent="0.3">
      <c r="A510" s="15" t="s">
        <v>1758</v>
      </c>
      <c r="I510">
        <v>5.43</v>
      </c>
    </row>
    <row r="511" spans="1:9" x14ac:dyDescent="0.3">
      <c r="A511" s="15" t="s">
        <v>1760</v>
      </c>
      <c r="I511">
        <v>5.25</v>
      </c>
    </row>
    <row r="512" spans="1:9" x14ac:dyDescent="0.3">
      <c r="A512" s="15" t="s">
        <v>1762</v>
      </c>
      <c r="I512">
        <v>5.89</v>
      </c>
    </row>
    <row r="513" spans="1:9" x14ac:dyDescent="0.3">
      <c r="A513" s="15" t="s">
        <v>2190</v>
      </c>
      <c r="I513">
        <v>7.07</v>
      </c>
    </row>
    <row r="514" spans="1:9" x14ac:dyDescent="0.3">
      <c r="A514" s="15" t="s">
        <v>2193</v>
      </c>
      <c r="I514">
        <v>3.32</v>
      </c>
    </row>
    <row r="515" spans="1:9" x14ac:dyDescent="0.3">
      <c r="A515" s="15" t="s">
        <v>2203</v>
      </c>
      <c r="I515">
        <v>4.96</v>
      </c>
    </row>
    <row r="516" spans="1:9" x14ac:dyDescent="0.3">
      <c r="A516" s="15" t="s">
        <v>2209</v>
      </c>
      <c r="I516">
        <v>6.02</v>
      </c>
    </row>
    <row r="517" spans="1:9" x14ac:dyDescent="0.3">
      <c r="A517" s="15" t="s">
        <v>2212</v>
      </c>
      <c r="I517">
        <v>4.24</v>
      </c>
    </row>
    <row r="518" spans="1:9" x14ac:dyDescent="0.3">
      <c r="A518" s="15" t="s">
        <v>2217</v>
      </c>
      <c r="I518">
        <v>8.5299999999999994</v>
      </c>
    </row>
    <row r="519" spans="1:9" x14ac:dyDescent="0.3">
      <c r="A519" s="15" t="s">
        <v>2221</v>
      </c>
      <c r="I519">
        <v>8.01</v>
      </c>
    </row>
    <row r="520" spans="1:9" x14ac:dyDescent="0.3">
      <c r="A520" s="15" t="s">
        <v>2223</v>
      </c>
      <c r="I520">
        <v>7.76</v>
      </c>
    </row>
    <row r="521" spans="1:9" x14ac:dyDescent="0.3">
      <c r="A521" s="15" t="s">
        <v>2225</v>
      </c>
      <c r="I521">
        <v>9.16</v>
      </c>
    </row>
    <row r="522" spans="1:9" x14ac:dyDescent="0.3">
      <c r="A522" s="15" t="s">
        <v>2227</v>
      </c>
      <c r="I522">
        <v>6.65</v>
      </c>
    </row>
    <row r="523" spans="1:9" x14ac:dyDescent="0.3">
      <c r="A523" s="15" t="s">
        <v>2230</v>
      </c>
      <c r="I523">
        <v>5.14</v>
      </c>
    </row>
    <row r="524" spans="1:9" x14ac:dyDescent="0.3">
      <c r="A524" s="15" t="s">
        <v>2236</v>
      </c>
      <c r="I524">
        <v>9.56</v>
      </c>
    </row>
    <row r="525" spans="1:9" x14ac:dyDescent="0.3">
      <c r="A525" s="15" t="s">
        <v>2241</v>
      </c>
      <c r="I525">
        <v>6.27</v>
      </c>
    </row>
    <row r="526" spans="1:9" x14ac:dyDescent="0.3">
      <c r="A526" s="15" t="s">
        <v>2243</v>
      </c>
      <c r="I526">
        <v>7.1</v>
      </c>
    </row>
    <row r="527" spans="1:9" x14ac:dyDescent="0.3">
      <c r="A527" s="15" t="s">
        <v>2245</v>
      </c>
      <c r="I527">
        <v>7.21</v>
      </c>
    </row>
    <row r="528" spans="1:9" x14ac:dyDescent="0.3">
      <c r="A528" s="15" t="s">
        <v>2247</v>
      </c>
      <c r="I528">
        <v>5.29</v>
      </c>
    </row>
    <row r="529" spans="1:9" x14ac:dyDescent="0.3">
      <c r="A529" s="15" t="s">
        <v>2249</v>
      </c>
      <c r="I529">
        <v>4.3600000000000003</v>
      </c>
    </row>
    <row r="530" spans="1:9" x14ac:dyDescent="0.3">
      <c r="A530" s="15" t="s">
        <v>2251</v>
      </c>
      <c r="I530">
        <v>6.02</v>
      </c>
    </row>
    <row r="531" spans="1:9" x14ac:dyDescent="0.3">
      <c r="A531" s="15" t="s">
        <v>2253</v>
      </c>
      <c r="I531">
        <v>9.19</v>
      </c>
    </row>
    <row r="532" spans="1:9" x14ac:dyDescent="0.3">
      <c r="A532" s="15" t="s">
        <v>2255</v>
      </c>
      <c r="I532">
        <v>8.42</v>
      </c>
    </row>
    <row r="533" spans="1:9" x14ac:dyDescent="0.3">
      <c r="A533" s="15" t="s">
        <v>2257</v>
      </c>
      <c r="I533">
        <v>4.59</v>
      </c>
    </row>
    <row r="534" spans="1:9" x14ac:dyDescent="0.3">
      <c r="A534" s="15" t="s">
        <v>2259</v>
      </c>
      <c r="I534">
        <v>6.92</v>
      </c>
    </row>
    <row r="535" spans="1:9" x14ac:dyDescent="0.3">
      <c r="A535" s="15" t="s">
        <v>2261</v>
      </c>
      <c r="I535">
        <v>-1</v>
      </c>
    </row>
    <row r="536" spans="1:9" x14ac:dyDescent="0.3">
      <c r="A536" s="15" t="s">
        <v>2263</v>
      </c>
      <c r="I536">
        <v>5.13</v>
      </c>
    </row>
    <row r="537" spans="1:9" x14ac:dyDescent="0.3">
      <c r="A537" s="15" t="s">
        <v>2265</v>
      </c>
      <c r="I537">
        <v>8</v>
      </c>
    </row>
    <row r="538" spans="1:9" x14ac:dyDescent="0.3">
      <c r="A538" s="15" t="s">
        <v>2271</v>
      </c>
      <c r="I538">
        <v>5.39</v>
      </c>
    </row>
    <row r="539" spans="1:9" x14ac:dyDescent="0.3">
      <c r="A539" s="15" t="s">
        <v>2273</v>
      </c>
      <c r="I539">
        <v>4.05</v>
      </c>
    </row>
    <row r="540" spans="1:9" x14ac:dyDescent="0.3">
      <c r="A540" s="15" t="s">
        <v>2277</v>
      </c>
      <c r="I540">
        <v>5.0599999999999996</v>
      </c>
    </row>
    <row r="541" spans="1:9" x14ac:dyDescent="0.3">
      <c r="A541" s="15" t="s">
        <v>2279</v>
      </c>
      <c r="I541">
        <v>7.73</v>
      </c>
    </row>
    <row r="542" spans="1:9" x14ac:dyDescent="0.3">
      <c r="A542" s="15" t="s">
        <v>2281</v>
      </c>
      <c r="I542">
        <v>3.92</v>
      </c>
    </row>
    <row r="543" spans="1:9" x14ac:dyDescent="0.3">
      <c r="A543" s="15" t="s">
        <v>2285</v>
      </c>
      <c r="I543">
        <v>6.86</v>
      </c>
    </row>
    <row r="544" spans="1:9" x14ac:dyDescent="0.3">
      <c r="A544" s="15" t="s">
        <v>1862</v>
      </c>
      <c r="H544">
        <v>3.24</v>
      </c>
    </row>
    <row r="545" spans="1:8" x14ac:dyDescent="0.3">
      <c r="A545" s="15" t="s">
        <v>1864</v>
      </c>
      <c r="D545">
        <v>8.1999999999999993</v>
      </c>
    </row>
    <row r="546" spans="1:8" x14ac:dyDescent="0.3">
      <c r="A546" s="15" t="s">
        <v>1866</v>
      </c>
      <c r="D546">
        <v>4.51</v>
      </c>
    </row>
    <row r="547" spans="1:8" x14ac:dyDescent="0.3">
      <c r="A547" s="15" t="s">
        <v>1869</v>
      </c>
      <c r="D547">
        <v>5.36</v>
      </c>
    </row>
    <row r="548" spans="1:8" x14ac:dyDescent="0.3">
      <c r="A548" s="15" t="s">
        <v>1873</v>
      </c>
      <c r="D548">
        <v>4.57</v>
      </c>
    </row>
    <row r="549" spans="1:8" x14ac:dyDescent="0.3">
      <c r="A549" s="15" t="s">
        <v>1877</v>
      </c>
      <c r="D549">
        <v>1.55</v>
      </c>
    </row>
    <row r="550" spans="1:8" x14ac:dyDescent="0.3">
      <c r="A550" s="15" t="s">
        <v>1886</v>
      </c>
      <c r="D550">
        <v>4.24</v>
      </c>
    </row>
    <row r="551" spans="1:8" x14ac:dyDescent="0.3">
      <c r="A551" s="15" t="s">
        <v>1887</v>
      </c>
      <c r="D551">
        <v>2.78</v>
      </c>
    </row>
    <row r="552" spans="1:8" x14ac:dyDescent="0.3">
      <c r="A552" s="15" t="s">
        <v>1888</v>
      </c>
      <c r="D552">
        <v>5.48</v>
      </c>
    </row>
    <row r="553" spans="1:8" x14ac:dyDescent="0.3">
      <c r="A553" s="15" t="s">
        <v>1891</v>
      </c>
      <c r="H553">
        <v>5.26</v>
      </c>
    </row>
    <row r="554" spans="1:8" x14ac:dyDescent="0.3">
      <c r="A554" s="15" t="s">
        <v>1893</v>
      </c>
      <c r="H554">
        <v>-0.73</v>
      </c>
    </row>
    <row r="555" spans="1:8" x14ac:dyDescent="0.3">
      <c r="A555" s="15" t="s">
        <v>1895</v>
      </c>
      <c r="H555">
        <v>6.47</v>
      </c>
    </row>
    <row r="556" spans="1:8" x14ac:dyDescent="0.3">
      <c r="A556" s="15" t="s">
        <v>1899</v>
      </c>
      <c r="H556">
        <v>4.21</v>
      </c>
    </row>
    <row r="557" spans="1:8" x14ac:dyDescent="0.3">
      <c r="A557" s="15" t="s">
        <v>1901</v>
      </c>
      <c r="H557">
        <v>6.78</v>
      </c>
    </row>
    <row r="558" spans="1:8" x14ac:dyDescent="0.3">
      <c r="A558" s="15" t="s">
        <v>1902</v>
      </c>
      <c r="H558">
        <v>9.58</v>
      </c>
    </row>
    <row r="559" spans="1:8" x14ac:dyDescent="0.3">
      <c r="A559" s="15" t="s">
        <v>1903</v>
      </c>
      <c r="H559">
        <v>5.91</v>
      </c>
    </row>
    <row r="560" spans="1:8" x14ac:dyDescent="0.3">
      <c r="A560" s="15" t="s">
        <v>1904</v>
      </c>
      <c r="D560">
        <v>-0.84</v>
      </c>
    </row>
    <row r="561" spans="1:8" x14ac:dyDescent="0.3">
      <c r="A561" s="15" t="s">
        <v>1914</v>
      </c>
      <c r="H561">
        <v>-1.76</v>
      </c>
    </row>
    <row r="562" spans="1:8" x14ac:dyDescent="0.3">
      <c r="A562" s="15" t="s">
        <v>1917</v>
      </c>
      <c r="H562">
        <v>7.13</v>
      </c>
    </row>
    <row r="563" spans="1:8" x14ac:dyDescent="0.3">
      <c r="A563" s="15" t="s">
        <v>1919</v>
      </c>
      <c r="H563">
        <v>3.52</v>
      </c>
    </row>
    <row r="564" spans="1:8" x14ac:dyDescent="0.3">
      <c r="A564" s="15" t="s">
        <v>1920</v>
      </c>
      <c r="H564">
        <v>6.42</v>
      </c>
    </row>
    <row r="565" spans="1:8" x14ac:dyDescent="0.3">
      <c r="A565" s="15" t="s">
        <v>1921</v>
      </c>
      <c r="H565">
        <v>-1.53</v>
      </c>
    </row>
    <row r="566" spans="1:8" x14ac:dyDescent="0.3">
      <c r="A566" s="15" t="s">
        <v>1923</v>
      </c>
      <c r="H566">
        <v>3.94</v>
      </c>
    </row>
    <row r="567" spans="1:8" x14ac:dyDescent="0.3">
      <c r="A567" s="15" t="s">
        <v>1925</v>
      </c>
      <c r="H567">
        <v>2.95</v>
      </c>
    </row>
    <row r="568" spans="1:8" x14ac:dyDescent="0.3">
      <c r="A568" s="15" t="s">
        <v>1927</v>
      </c>
      <c r="H568">
        <v>5.76</v>
      </c>
    </row>
    <row r="569" spans="1:8" x14ac:dyDescent="0.3">
      <c r="A569" s="15" t="s">
        <v>1929</v>
      </c>
      <c r="H569">
        <v>7.18</v>
      </c>
    </row>
    <row r="570" spans="1:8" x14ac:dyDescent="0.3">
      <c r="A570" s="15" t="s">
        <v>1931</v>
      </c>
      <c r="H570">
        <v>8.74</v>
      </c>
    </row>
    <row r="571" spans="1:8" x14ac:dyDescent="0.3">
      <c r="A571" s="15" t="s">
        <v>1934</v>
      </c>
      <c r="H571">
        <v>6.15</v>
      </c>
    </row>
    <row r="572" spans="1:8" x14ac:dyDescent="0.3">
      <c r="A572" s="15" t="s">
        <v>1936</v>
      </c>
      <c r="H572">
        <v>8.16</v>
      </c>
    </row>
    <row r="573" spans="1:8" x14ac:dyDescent="0.3">
      <c r="A573" s="15" t="s">
        <v>1937</v>
      </c>
      <c r="H573">
        <v>6.57</v>
      </c>
    </row>
    <row r="574" spans="1:8" x14ac:dyDescent="0.3">
      <c r="A574" s="15" t="s">
        <v>1938</v>
      </c>
      <c r="H574">
        <v>6.84</v>
      </c>
    </row>
    <row r="575" spans="1:8" x14ac:dyDescent="0.3">
      <c r="A575" s="15" t="s">
        <v>1939</v>
      </c>
      <c r="H575">
        <v>4.7300000000000004</v>
      </c>
    </row>
    <row r="576" spans="1:8" x14ac:dyDescent="0.3">
      <c r="A576" s="15" t="s">
        <v>1940</v>
      </c>
      <c r="H576">
        <v>6.07</v>
      </c>
    </row>
    <row r="577" spans="1:8" x14ac:dyDescent="0.3">
      <c r="A577" s="15" t="s">
        <v>1944</v>
      </c>
      <c r="H577">
        <v>9.51</v>
      </c>
    </row>
    <row r="578" spans="1:8" x14ac:dyDescent="0.3">
      <c r="A578" s="15" t="s">
        <v>1947</v>
      </c>
      <c r="H578">
        <v>6.94</v>
      </c>
    </row>
    <row r="579" spans="1:8" x14ac:dyDescent="0.3">
      <c r="A579" s="15" t="s">
        <v>1950</v>
      </c>
      <c r="H579">
        <v>4.9800000000000004</v>
      </c>
    </row>
    <row r="580" spans="1:8" x14ac:dyDescent="0.3">
      <c r="A580" s="15" t="s">
        <v>1953</v>
      </c>
      <c r="H580">
        <v>1.76</v>
      </c>
    </row>
    <row r="581" spans="1:8" x14ac:dyDescent="0.3">
      <c r="A581" s="15" t="s">
        <v>1956</v>
      </c>
      <c r="H581">
        <v>8.89</v>
      </c>
    </row>
    <row r="582" spans="1:8" x14ac:dyDescent="0.3">
      <c r="A582" s="15" t="s">
        <v>1958</v>
      </c>
      <c r="H582">
        <v>-0.2</v>
      </c>
    </row>
    <row r="583" spans="1:8" x14ac:dyDescent="0.3">
      <c r="A583" s="15" t="s">
        <v>1961</v>
      </c>
      <c r="H583">
        <v>7.09</v>
      </c>
    </row>
    <row r="584" spans="1:8" x14ac:dyDescent="0.3">
      <c r="A584" s="15" t="s">
        <v>1965</v>
      </c>
      <c r="H584">
        <v>4.8600000000000003</v>
      </c>
    </row>
    <row r="585" spans="1:8" x14ac:dyDescent="0.3">
      <c r="A585" s="15" t="s">
        <v>1967</v>
      </c>
      <c r="H585">
        <v>6.3</v>
      </c>
    </row>
    <row r="586" spans="1:8" x14ac:dyDescent="0.3">
      <c r="A586" s="15" t="s">
        <v>1969</v>
      </c>
      <c r="H586">
        <v>7.11</v>
      </c>
    </row>
    <row r="587" spans="1:8" x14ac:dyDescent="0.3">
      <c r="A587" s="15" t="s">
        <v>1972</v>
      </c>
      <c r="H587">
        <v>5.27</v>
      </c>
    </row>
    <row r="588" spans="1:8" x14ac:dyDescent="0.3">
      <c r="A588" s="15" t="s">
        <v>1975</v>
      </c>
      <c r="H588">
        <v>5.15</v>
      </c>
    </row>
    <row r="589" spans="1:8" x14ac:dyDescent="0.3">
      <c r="A589" s="15" t="s">
        <v>1977</v>
      </c>
      <c r="H589">
        <v>8.0399999999999991</v>
      </c>
    </row>
    <row r="590" spans="1:8" x14ac:dyDescent="0.3">
      <c r="A590" s="15" t="s">
        <v>1979</v>
      </c>
      <c r="H590">
        <v>5.87</v>
      </c>
    </row>
    <row r="591" spans="1:8" x14ac:dyDescent="0.3">
      <c r="A591" s="15" t="s">
        <v>1980</v>
      </c>
      <c r="H591">
        <v>6.52</v>
      </c>
    </row>
    <row r="592" spans="1:8" x14ac:dyDescent="0.3">
      <c r="A592" s="15" t="s">
        <v>1982</v>
      </c>
      <c r="H592">
        <v>3.86</v>
      </c>
    </row>
    <row r="593" spans="1:8" x14ac:dyDescent="0.3">
      <c r="A593" s="15" t="s">
        <v>1985</v>
      </c>
      <c r="H593">
        <v>4.6100000000000003</v>
      </c>
    </row>
    <row r="594" spans="1:8" x14ac:dyDescent="0.3">
      <c r="A594" s="15" t="s">
        <v>1987</v>
      </c>
      <c r="H594">
        <v>6.38</v>
      </c>
    </row>
    <row r="595" spans="1:8" x14ac:dyDescent="0.3">
      <c r="A595" s="15" t="s">
        <v>1989</v>
      </c>
      <c r="H595">
        <v>6.21</v>
      </c>
    </row>
    <row r="596" spans="1:8" x14ac:dyDescent="0.3">
      <c r="A596" s="15" t="s">
        <v>1991</v>
      </c>
      <c r="G596">
        <v>4.51</v>
      </c>
    </row>
    <row r="597" spans="1:8" x14ac:dyDescent="0.3">
      <c r="A597" s="15" t="s">
        <v>1993</v>
      </c>
      <c r="H597">
        <v>5.61</v>
      </c>
    </row>
    <row r="598" spans="1:8" x14ac:dyDescent="0.3">
      <c r="A598" s="15" t="s">
        <v>1995</v>
      </c>
      <c r="H598">
        <v>6.89</v>
      </c>
    </row>
    <row r="599" spans="1:8" x14ac:dyDescent="0.3">
      <c r="A599" s="15" t="s">
        <v>1998</v>
      </c>
      <c r="H599">
        <v>3.45</v>
      </c>
    </row>
    <row r="600" spans="1:8" x14ac:dyDescent="0.3">
      <c r="A600" s="15" t="s">
        <v>1999</v>
      </c>
      <c r="H600">
        <v>10.220000000000001</v>
      </c>
    </row>
    <row r="601" spans="1:8" x14ac:dyDescent="0.3">
      <c r="A601" s="15" t="s">
        <v>2000</v>
      </c>
      <c r="H601">
        <v>3.8</v>
      </c>
    </row>
    <row r="602" spans="1:8" x14ac:dyDescent="0.3">
      <c r="A602" s="15" t="s">
        <v>2002</v>
      </c>
      <c r="H602">
        <v>6.94</v>
      </c>
    </row>
    <row r="603" spans="1:8" x14ac:dyDescent="0.3">
      <c r="A603" s="15" t="s">
        <v>2004</v>
      </c>
      <c r="H603">
        <v>7.26</v>
      </c>
    </row>
    <row r="604" spans="1:8" x14ac:dyDescent="0.3">
      <c r="A604" s="15" t="s">
        <v>2007</v>
      </c>
      <c r="H604">
        <v>6.03</v>
      </c>
    </row>
    <row r="605" spans="1:8" x14ac:dyDescent="0.3">
      <c r="A605" s="15" t="s">
        <v>2009</v>
      </c>
      <c r="E605">
        <v>4.78</v>
      </c>
    </row>
    <row r="606" spans="1:8" x14ac:dyDescent="0.3">
      <c r="A606" s="15" t="s">
        <v>2011</v>
      </c>
      <c r="E606">
        <v>4.38</v>
      </c>
    </row>
    <row r="607" spans="1:8" x14ac:dyDescent="0.3">
      <c r="A607" s="15" t="s">
        <v>2013</v>
      </c>
      <c r="E607">
        <v>5.58</v>
      </c>
    </row>
    <row r="608" spans="1:8" x14ac:dyDescent="0.3">
      <c r="A608" s="15" t="s">
        <v>2015</v>
      </c>
      <c r="E608">
        <v>5.15</v>
      </c>
    </row>
    <row r="609" spans="1:8" x14ac:dyDescent="0.3">
      <c r="A609" s="15" t="s">
        <v>2016</v>
      </c>
      <c r="E609">
        <v>10.26</v>
      </c>
    </row>
    <row r="610" spans="1:8" x14ac:dyDescent="0.3">
      <c r="A610" s="15" t="s">
        <v>2017</v>
      </c>
      <c r="E610">
        <v>5.49</v>
      </c>
    </row>
    <row r="611" spans="1:8" x14ac:dyDescent="0.3">
      <c r="A611" s="15" t="s">
        <v>2019</v>
      </c>
      <c r="E611">
        <v>6.12</v>
      </c>
    </row>
    <row r="612" spans="1:8" x14ac:dyDescent="0.3">
      <c r="A612" s="15" t="s">
        <v>2021</v>
      </c>
      <c r="E612">
        <v>6.23</v>
      </c>
    </row>
    <row r="613" spans="1:8" x14ac:dyDescent="0.3">
      <c r="A613" s="15" t="s">
        <v>2023</v>
      </c>
      <c r="E613">
        <v>1.59</v>
      </c>
    </row>
    <row r="614" spans="1:8" x14ac:dyDescent="0.3">
      <c r="A614" s="15" t="s">
        <v>2025</v>
      </c>
      <c r="E614">
        <v>5.18</v>
      </c>
    </row>
    <row r="615" spans="1:8" x14ac:dyDescent="0.3">
      <c r="A615" s="15" t="s">
        <v>2027</v>
      </c>
      <c r="E615">
        <v>6.86</v>
      </c>
    </row>
    <row r="616" spans="1:8" x14ac:dyDescent="0.3">
      <c r="A616" s="15" t="s">
        <v>2029</v>
      </c>
      <c r="E616">
        <v>5.73</v>
      </c>
    </row>
    <row r="617" spans="1:8" x14ac:dyDescent="0.3">
      <c r="A617" s="15" t="s">
        <v>2031</v>
      </c>
      <c r="H617">
        <v>8.07</v>
      </c>
    </row>
    <row r="618" spans="1:8" x14ac:dyDescent="0.3">
      <c r="A618" s="15" t="s">
        <v>2034</v>
      </c>
      <c r="H618">
        <v>6.79</v>
      </c>
    </row>
    <row r="619" spans="1:8" x14ac:dyDescent="0.3">
      <c r="A619" s="15" t="s">
        <v>2037</v>
      </c>
      <c r="H619">
        <v>4.9000000000000004</v>
      </c>
    </row>
    <row r="620" spans="1:8" x14ac:dyDescent="0.3">
      <c r="A620" s="15" t="s">
        <v>2040</v>
      </c>
      <c r="H620">
        <v>6.52</v>
      </c>
    </row>
    <row r="621" spans="1:8" x14ac:dyDescent="0.3">
      <c r="A621" s="15" t="s">
        <v>2042</v>
      </c>
      <c r="H621">
        <v>7.92</v>
      </c>
    </row>
    <row r="622" spans="1:8" x14ac:dyDescent="0.3">
      <c r="A622" s="15" t="s">
        <v>2044</v>
      </c>
      <c r="H622">
        <v>4.4800000000000004</v>
      </c>
    </row>
    <row r="623" spans="1:8" x14ac:dyDescent="0.3">
      <c r="A623" s="15" t="s">
        <v>2045</v>
      </c>
      <c r="H623">
        <v>5.34</v>
      </c>
    </row>
    <row r="624" spans="1:8" x14ac:dyDescent="0.3">
      <c r="A624" s="15" t="s">
        <v>2047</v>
      </c>
      <c r="H624">
        <v>3.83</v>
      </c>
    </row>
    <row r="625" spans="1:8" x14ac:dyDescent="0.3">
      <c r="A625" s="15" t="s">
        <v>2049</v>
      </c>
      <c r="H625">
        <v>5.53</v>
      </c>
    </row>
    <row r="626" spans="1:8" x14ac:dyDescent="0.3">
      <c r="A626" s="15" t="s">
        <v>2053</v>
      </c>
      <c r="H626">
        <v>5.41</v>
      </c>
    </row>
    <row r="627" spans="1:8" x14ac:dyDescent="0.3">
      <c r="A627" s="15" t="s">
        <v>2055</v>
      </c>
      <c r="E627">
        <v>4.79</v>
      </c>
    </row>
    <row r="628" spans="1:8" x14ac:dyDescent="0.3">
      <c r="A628" s="15" t="s">
        <v>2064</v>
      </c>
      <c r="H628">
        <v>7.2953639150000003</v>
      </c>
    </row>
    <row r="629" spans="1:8" x14ac:dyDescent="0.3">
      <c r="A629" s="15" t="s">
        <v>2066</v>
      </c>
      <c r="H629">
        <v>6.3994302440000004</v>
      </c>
    </row>
    <row r="630" spans="1:8" x14ac:dyDescent="0.3">
      <c r="A630" s="15" t="s">
        <v>2068</v>
      </c>
      <c r="H630">
        <v>5.5599126349999999</v>
      </c>
    </row>
    <row r="631" spans="1:8" x14ac:dyDescent="0.3">
      <c r="A631" s="15" t="s">
        <v>2072</v>
      </c>
      <c r="H631">
        <v>5.7318279639999998</v>
      </c>
    </row>
    <row r="632" spans="1:8" x14ac:dyDescent="0.3">
      <c r="A632" s="15" t="s">
        <v>2075</v>
      </c>
      <c r="H632">
        <v>8.0773019569999995</v>
      </c>
    </row>
    <row r="633" spans="1:8" x14ac:dyDescent="0.3">
      <c r="A633" s="15" t="s">
        <v>2078</v>
      </c>
      <c r="H633">
        <v>5.5284481730000001</v>
      </c>
    </row>
    <row r="634" spans="1:8" x14ac:dyDescent="0.3">
      <c r="A634" s="15" t="s">
        <v>2084</v>
      </c>
      <c r="D634">
        <v>3.5387406850000001</v>
      </c>
    </row>
    <row r="635" spans="1:8" x14ac:dyDescent="0.3">
      <c r="A635" s="15" t="s">
        <v>2086</v>
      </c>
      <c r="D635">
        <v>-0.46485831999999999</v>
      </c>
    </row>
    <row r="636" spans="1:8" x14ac:dyDescent="0.3">
      <c r="A636" s="15" t="s">
        <v>2087</v>
      </c>
      <c r="D636">
        <v>8.2072744239999995</v>
      </c>
    </row>
    <row r="637" spans="1:8" x14ac:dyDescent="0.3">
      <c r="A637" s="15" t="s">
        <v>2088</v>
      </c>
      <c r="F637">
        <v>8.1397045049999992</v>
      </c>
    </row>
    <row r="638" spans="1:8" x14ac:dyDescent="0.3">
      <c r="A638" s="15" t="s">
        <v>2091</v>
      </c>
      <c r="F638">
        <v>1.4538079669999999</v>
      </c>
    </row>
    <row r="639" spans="1:8" x14ac:dyDescent="0.3">
      <c r="A639" s="15" t="s">
        <v>2096</v>
      </c>
      <c r="E639">
        <v>6.4244729820000002</v>
      </c>
    </row>
    <row r="640" spans="1:8" x14ac:dyDescent="0.3">
      <c r="A640" s="15" t="s">
        <v>2099</v>
      </c>
      <c r="E640">
        <v>7.1919720040000001</v>
      </c>
    </row>
    <row r="641" spans="1:8" x14ac:dyDescent="0.3">
      <c r="A641" s="15" t="s">
        <v>2107</v>
      </c>
      <c r="E641">
        <v>4.9877749109999998</v>
      </c>
    </row>
    <row r="642" spans="1:8" x14ac:dyDescent="0.3">
      <c r="A642" s="15" t="s">
        <v>2109</v>
      </c>
      <c r="E642">
        <v>4.556827996</v>
      </c>
    </row>
    <row r="643" spans="1:8" x14ac:dyDescent="0.3">
      <c r="A643" s="15" t="s">
        <v>2115</v>
      </c>
      <c r="E643">
        <v>7.5123970419999999</v>
      </c>
    </row>
    <row r="644" spans="1:8" x14ac:dyDescent="0.3">
      <c r="A644" s="15" t="s">
        <v>2116</v>
      </c>
      <c r="E644">
        <v>6.362445471</v>
      </c>
    </row>
    <row r="645" spans="1:8" x14ac:dyDescent="0.3">
      <c r="A645" s="15" t="s">
        <v>2128</v>
      </c>
      <c r="H645">
        <v>7.2778163569999998</v>
      </c>
    </row>
    <row r="646" spans="1:8" x14ac:dyDescent="0.3">
      <c r="A646" s="15" t="s">
        <v>2138</v>
      </c>
      <c r="D646">
        <v>8.1565766830000008</v>
      </c>
    </row>
    <row r="647" spans="1:8" x14ac:dyDescent="0.3">
      <c r="A647" s="15" t="s">
        <v>2140</v>
      </c>
      <c r="D647">
        <v>7.9045893879999998</v>
      </c>
    </row>
    <row r="648" spans="1:8" x14ac:dyDescent="0.3">
      <c r="A648" s="15" t="s">
        <v>2142</v>
      </c>
      <c r="D648">
        <v>3.933242618</v>
      </c>
    </row>
    <row r="649" spans="1:8" x14ac:dyDescent="0.3">
      <c r="A649" s="15" t="s">
        <v>2144</v>
      </c>
      <c r="D649">
        <v>6.6764693030000002</v>
      </c>
    </row>
    <row r="650" spans="1:8" x14ac:dyDescent="0.3">
      <c r="A650" s="15" t="s">
        <v>2146</v>
      </c>
      <c r="D650">
        <v>2.2027457859999999</v>
      </c>
    </row>
    <row r="651" spans="1:8" x14ac:dyDescent="0.3">
      <c r="A651" s="15" t="s">
        <v>2148</v>
      </c>
      <c r="H651">
        <v>3.7097121980000001</v>
      </c>
    </row>
    <row r="652" spans="1:8" x14ac:dyDescent="0.3">
      <c r="A652" s="15" t="s">
        <v>2149</v>
      </c>
      <c r="H652">
        <v>7.753387332</v>
      </c>
    </row>
    <row r="653" spans="1:8" x14ac:dyDescent="0.3">
      <c r="A653" s="15" t="s">
        <v>2154</v>
      </c>
      <c r="H653">
        <v>5.6277535969999999</v>
      </c>
    </row>
    <row r="654" spans="1:8" x14ac:dyDescent="0.3">
      <c r="A654" s="15" t="s">
        <v>2160</v>
      </c>
      <c r="D654">
        <v>-0.91725109500000002</v>
      </c>
    </row>
    <row r="655" spans="1:8" x14ac:dyDescent="0.3">
      <c r="A655" s="15" t="s">
        <v>2161</v>
      </c>
      <c r="D655">
        <v>1.733371789</v>
      </c>
    </row>
    <row r="656" spans="1:8" x14ac:dyDescent="0.3">
      <c r="A656" s="15" t="s">
        <v>2162</v>
      </c>
      <c r="D656">
        <v>-0.92919099999999999</v>
      </c>
    </row>
    <row r="657" spans="1:9" x14ac:dyDescent="0.3">
      <c r="A657" s="15" t="s">
        <v>1817</v>
      </c>
      <c r="I657">
        <v>-2.0447229469999999</v>
      </c>
    </row>
    <row r="658" spans="1:9" x14ac:dyDescent="0.3">
      <c r="A658" s="15" t="s">
        <v>1823</v>
      </c>
      <c r="I658">
        <v>0.69313988800000004</v>
      </c>
    </row>
    <row r="659" spans="1:9" x14ac:dyDescent="0.3">
      <c r="A659" s="15" t="s">
        <v>1825</v>
      </c>
      <c r="I659">
        <v>0.36959094199999998</v>
      </c>
    </row>
    <row r="660" spans="1:9" x14ac:dyDescent="0.3">
      <c r="A660" s="15" t="s">
        <v>1830</v>
      </c>
      <c r="I660">
        <v>5.4245378830000002</v>
      </c>
    </row>
    <row r="661" spans="1:9" x14ac:dyDescent="0.3">
      <c r="A661" s="15" t="s">
        <v>1833</v>
      </c>
      <c r="I661">
        <v>5.4664398790000002</v>
      </c>
    </row>
    <row r="662" spans="1:9" x14ac:dyDescent="0.3">
      <c r="A662" s="15" t="s">
        <v>1835</v>
      </c>
      <c r="D662">
        <v>5.1604925460000004</v>
      </c>
    </row>
    <row r="663" spans="1:9" x14ac:dyDescent="0.3">
      <c r="A663" s="15" t="s">
        <v>1838</v>
      </c>
      <c r="I663">
        <v>-1.2188266489999999</v>
      </c>
    </row>
    <row r="664" spans="1:9" x14ac:dyDescent="0.3">
      <c r="A664" s="15" t="s">
        <v>1840</v>
      </c>
      <c r="I664">
        <v>7.2065769839999998</v>
      </c>
    </row>
    <row r="665" spans="1:9" x14ac:dyDescent="0.3">
      <c r="A665" s="15" t="s">
        <v>1842</v>
      </c>
      <c r="I665">
        <v>4.6741738919999998</v>
      </c>
    </row>
    <row r="666" spans="1:9" x14ac:dyDescent="0.3">
      <c r="A666" s="15" t="s">
        <v>1844</v>
      </c>
      <c r="I666">
        <v>3.3765352310000001</v>
      </c>
    </row>
    <row r="667" spans="1:9" x14ac:dyDescent="0.3">
      <c r="A667" s="15" t="s">
        <v>1850</v>
      </c>
      <c r="I667">
        <v>3.9466699350000001</v>
      </c>
    </row>
    <row r="668" spans="1:9" x14ac:dyDescent="0.3">
      <c r="A668" s="15" t="s">
        <v>1852</v>
      </c>
      <c r="I668">
        <v>3.5821031269999999</v>
      </c>
    </row>
    <row r="669" spans="1:9" x14ac:dyDescent="0.3">
      <c r="A669" s="15" t="s">
        <v>2170</v>
      </c>
      <c r="I669">
        <v>6.3888282790000002</v>
      </c>
    </row>
    <row r="670" spans="1:9" x14ac:dyDescent="0.3">
      <c r="A670" s="15" t="s">
        <v>2174</v>
      </c>
      <c r="I670">
        <v>4.5339866860000004</v>
      </c>
    </row>
    <row r="671" spans="1:9" x14ac:dyDescent="0.3">
      <c r="A671" s="15" t="s">
        <v>2178</v>
      </c>
      <c r="I671">
        <v>6.2189635689999996</v>
      </c>
    </row>
    <row r="672" spans="1:9" x14ac:dyDescent="0.3">
      <c r="A672" s="15" t="s">
        <v>2180</v>
      </c>
      <c r="I672">
        <v>6.9397719420000001</v>
      </c>
    </row>
    <row r="673" spans="1:9" x14ac:dyDescent="0.3">
      <c r="A673" s="15" t="s">
        <v>2182</v>
      </c>
      <c r="I673">
        <v>4.1919834649999999</v>
      </c>
    </row>
    <row r="674" spans="1:9" x14ac:dyDescent="0.3">
      <c r="A674" s="15" t="s">
        <v>2184</v>
      </c>
      <c r="I674">
        <v>5.0156221590000003</v>
      </c>
    </row>
    <row r="675" spans="1:9" x14ac:dyDescent="0.3">
      <c r="A675" s="15" t="s">
        <v>2293</v>
      </c>
      <c r="I675">
        <v>4.3391124400000001</v>
      </c>
    </row>
    <row r="676" spans="1:9" x14ac:dyDescent="0.3">
      <c r="A676" s="15" t="s">
        <v>2297</v>
      </c>
      <c r="I676">
        <v>6.5984784019999996</v>
      </c>
    </row>
    <row r="677" spans="1:9" x14ac:dyDescent="0.3">
      <c r="A677" s="15" t="s">
        <v>2305</v>
      </c>
      <c r="I677">
        <v>-0.17496372299999999</v>
      </c>
    </row>
    <row r="678" spans="1:9" x14ac:dyDescent="0.3">
      <c r="A678" s="15" t="s">
        <v>2307</v>
      </c>
      <c r="I678">
        <v>-1.4201788950000001</v>
      </c>
    </row>
    <row r="679" spans="1:9" x14ac:dyDescent="0.3">
      <c r="A679" s="15" t="s">
        <v>2309</v>
      </c>
      <c r="I679">
        <v>4.1836923280000002</v>
      </c>
    </row>
    <row r="680" spans="1:9" x14ac:dyDescent="0.3">
      <c r="A680" s="15" t="s">
        <v>2311</v>
      </c>
      <c r="I680">
        <v>6.2343631159999999</v>
      </c>
    </row>
    <row r="681" spans="1:9" x14ac:dyDescent="0.3">
      <c r="A681" s="15" t="s">
        <v>2313</v>
      </c>
      <c r="I681">
        <v>7.2220788010000003</v>
      </c>
    </row>
    <row r="682" spans="1:9" x14ac:dyDescent="0.3">
      <c r="A682" s="15" t="s">
        <v>2321</v>
      </c>
      <c r="I682">
        <v>5.9508671089999998</v>
      </c>
    </row>
    <row r="683" spans="1:9" x14ac:dyDescent="0.3">
      <c r="A683" s="15" t="s">
        <v>2323</v>
      </c>
      <c r="I683">
        <v>3.9501788630000001</v>
      </c>
    </row>
    <row r="684" spans="1:9" x14ac:dyDescent="0.3">
      <c r="A684" s="15" t="s">
        <v>2332</v>
      </c>
      <c r="I684">
        <v>4.4551010150000003</v>
      </c>
    </row>
    <row r="685" spans="1:9" x14ac:dyDescent="0.3">
      <c r="A685" s="15" t="s">
        <v>2334</v>
      </c>
      <c r="I685">
        <v>4.7867650050000004</v>
      </c>
    </row>
    <row r="686" spans="1:9" x14ac:dyDescent="0.3">
      <c r="A686" s="15" t="s">
        <v>2337</v>
      </c>
      <c r="I686">
        <v>6.5312558430000003</v>
      </c>
    </row>
    <row r="687" spans="1:9" x14ac:dyDescent="0.3">
      <c r="A687" s="15" t="s">
        <v>2339</v>
      </c>
      <c r="I687">
        <v>5.2436956700000001</v>
      </c>
    </row>
    <row r="688" spans="1:9" x14ac:dyDescent="0.3">
      <c r="A688" s="15" t="s">
        <v>2346</v>
      </c>
      <c r="I688">
        <v>5.372867243</v>
      </c>
    </row>
    <row r="689" spans="1:9" x14ac:dyDescent="0.3">
      <c r="A689" s="15" t="s">
        <v>2349</v>
      </c>
      <c r="I689">
        <v>2.9108217700000001</v>
      </c>
    </row>
    <row r="690" spans="1:9" x14ac:dyDescent="0.3">
      <c r="A690" s="15" t="s">
        <v>2357</v>
      </c>
      <c r="I690">
        <v>7.5561050859999996</v>
      </c>
    </row>
    <row r="691" spans="1:9" x14ac:dyDescent="0.3">
      <c r="A691" s="15" t="s">
        <v>2361</v>
      </c>
      <c r="I691">
        <v>7.638830596</v>
      </c>
    </row>
    <row r="692" spans="1:9" x14ac:dyDescent="0.3">
      <c r="A692" s="15" t="s">
        <v>2363</v>
      </c>
      <c r="I692">
        <v>6.4167942839999998</v>
      </c>
    </row>
    <row r="693" spans="1:9" x14ac:dyDescent="0.3">
      <c r="A693" s="15" t="s">
        <v>2365</v>
      </c>
      <c r="I693">
        <v>1.6365028129999999</v>
      </c>
    </row>
    <row r="694" spans="1:9" x14ac:dyDescent="0.3">
      <c r="A694" s="15" t="s">
        <v>2367</v>
      </c>
      <c r="I694">
        <v>4.7682935710000001</v>
      </c>
    </row>
    <row r="695" spans="1:9" x14ac:dyDescent="0.3">
      <c r="A695" s="15" t="s">
        <v>2369</v>
      </c>
      <c r="I695">
        <v>10.365879319999999</v>
      </c>
    </row>
    <row r="696" spans="1:9" x14ac:dyDescent="0.3">
      <c r="A696" s="15" t="s">
        <v>2371</v>
      </c>
      <c r="I696">
        <v>7.1613572760000004</v>
      </c>
    </row>
    <row r="697" spans="1:9" x14ac:dyDescent="0.3">
      <c r="A697" s="15" t="s">
        <v>2373</v>
      </c>
      <c r="I697">
        <v>7.1330110549999999</v>
      </c>
    </row>
    <row r="698" spans="1:9" x14ac:dyDescent="0.3">
      <c r="A698" s="15" t="s">
        <v>2377</v>
      </c>
      <c r="I698">
        <v>6.751118806</v>
      </c>
    </row>
    <row r="699" spans="1:9" x14ac:dyDescent="0.3">
      <c r="A699" s="15" t="s">
        <v>2379</v>
      </c>
      <c r="I699">
        <v>5.3668877330000004</v>
      </c>
    </row>
    <row r="700" spans="1:9" x14ac:dyDescent="0.3">
      <c r="A700" s="15" t="s">
        <v>2386</v>
      </c>
      <c r="I700">
        <v>5.6599003440000004</v>
      </c>
    </row>
    <row r="701" spans="1:9" x14ac:dyDescent="0.3">
      <c r="A701" s="15" t="s">
        <v>2391</v>
      </c>
      <c r="I701">
        <v>7.2391474010000003</v>
      </c>
    </row>
    <row r="702" spans="1:9" x14ac:dyDescent="0.3">
      <c r="A702" s="15" t="s">
        <v>2395</v>
      </c>
      <c r="I702">
        <v>6.4573177370000003</v>
      </c>
    </row>
    <row r="703" spans="1:9" x14ac:dyDescent="0.3">
      <c r="A703" s="15" t="s">
        <v>2399</v>
      </c>
      <c r="I703">
        <v>5.5919840189999999</v>
      </c>
    </row>
    <row r="704" spans="1:9" x14ac:dyDescent="0.3">
      <c r="A704" s="15" t="s">
        <v>2403</v>
      </c>
      <c r="I704">
        <v>5.2105283419999999</v>
      </c>
    </row>
    <row r="705" spans="1:9" x14ac:dyDescent="0.3">
      <c r="A705" s="15" t="s">
        <v>2408</v>
      </c>
      <c r="I705">
        <v>3.2054728350000001</v>
      </c>
    </row>
    <row r="706" spans="1:9" x14ac:dyDescent="0.3">
      <c r="A706" s="15" t="s">
        <v>2410</v>
      </c>
      <c r="I706">
        <v>9.4985162150000004</v>
      </c>
    </row>
    <row r="707" spans="1:9" x14ac:dyDescent="0.3">
      <c r="A707" s="15" t="s">
        <v>2412</v>
      </c>
      <c r="I707">
        <v>4.4177687639999998</v>
      </c>
    </row>
    <row r="708" spans="1:9" x14ac:dyDescent="0.3">
      <c r="A708" s="15" t="s">
        <v>2417</v>
      </c>
      <c r="I708">
        <v>1.9905319109999999</v>
      </c>
    </row>
    <row r="709" spans="1:9" x14ac:dyDescent="0.3">
      <c r="A709" s="15" t="s">
        <v>2421</v>
      </c>
      <c r="I709">
        <v>6.7974347110000002</v>
      </c>
    </row>
    <row r="710" spans="1:9" x14ac:dyDescent="0.3">
      <c r="A710" s="15" t="s">
        <v>2423</v>
      </c>
      <c r="I710">
        <v>0.80374987600000003</v>
      </c>
    </row>
    <row r="711" spans="1:9" x14ac:dyDescent="0.3">
      <c r="A711" s="15" t="s">
        <v>2426</v>
      </c>
      <c r="I711">
        <v>5.9534398639999999</v>
      </c>
    </row>
    <row r="712" spans="1:9" x14ac:dyDescent="0.3">
      <c r="A712" s="15" t="s">
        <v>2430</v>
      </c>
      <c r="I712">
        <v>6.3167777620000001</v>
      </c>
    </row>
    <row r="713" spans="1:9" x14ac:dyDescent="0.3">
      <c r="A713" s="15" t="s">
        <v>2436</v>
      </c>
      <c r="D713">
        <v>7.676698902</v>
      </c>
    </row>
    <row r="714" spans="1:9" x14ac:dyDescent="0.3">
      <c r="A714" s="15" t="s">
        <v>2442</v>
      </c>
      <c r="D714">
        <v>4.3163154549999998</v>
      </c>
    </row>
    <row r="715" spans="1:9" x14ac:dyDescent="0.3">
      <c r="A715" s="15" t="s">
        <v>2444</v>
      </c>
      <c r="D715">
        <v>10.35901451</v>
      </c>
    </row>
    <row r="716" spans="1:9" x14ac:dyDescent="0.3">
      <c r="A716" s="15" t="s">
        <v>2446</v>
      </c>
      <c r="D716">
        <v>1.172703692</v>
      </c>
    </row>
    <row r="717" spans="1:9" x14ac:dyDescent="0.3">
      <c r="A717" s="15" t="s">
        <v>2447</v>
      </c>
      <c r="D717">
        <v>7.7719955619999999</v>
      </c>
    </row>
    <row r="718" spans="1:9" x14ac:dyDescent="0.3">
      <c r="A718" s="15" t="s">
        <v>2449</v>
      </c>
      <c r="D718">
        <v>-1.3268812729999999</v>
      </c>
    </row>
    <row r="719" spans="1:9" x14ac:dyDescent="0.3">
      <c r="A719" s="15" t="s">
        <v>2451</v>
      </c>
      <c r="D719">
        <v>5.1625018530000002</v>
      </c>
    </row>
    <row r="720" spans="1:9" x14ac:dyDescent="0.3">
      <c r="A720" s="15" t="s">
        <v>2454</v>
      </c>
      <c r="D720">
        <v>5.1691810089999999</v>
      </c>
    </row>
    <row r="721" spans="1:8" x14ac:dyDescent="0.3">
      <c r="A721" s="15" t="s">
        <v>2455</v>
      </c>
      <c r="D721">
        <v>5.4933990130000003</v>
      </c>
    </row>
    <row r="722" spans="1:8" x14ac:dyDescent="0.3">
      <c r="A722" s="15" t="s">
        <v>2457</v>
      </c>
      <c r="D722">
        <v>5.6464658249999999</v>
      </c>
    </row>
    <row r="723" spans="1:8" x14ac:dyDescent="0.3">
      <c r="A723" s="15" t="s">
        <v>2461</v>
      </c>
      <c r="D723">
        <v>7.8600513840000001</v>
      </c>
    </row>
    <row r="724" spans="1:8" x14ac:dyDescent="0.3">
      <c r="A724" s="15" t="s">
        <v>2482</v>
      </c>
      <c r="H724">
        <v>3.752539466</v>
      </c>
    </row>
    <row r="725" spans="1:8" x14ac:dyDescent="0.3">
      <c r="A725" s="15" t="s">
        <v>2492</v>
      </c>
      <c r="H725">
        <v>6.977617306</v>
      </c>
    </row>
    <row r="726" spans="1:8" x14ac:dyDescent="0.3">
      <c r="A726" s="15" t="s">
        <v>2507</v>
      </c>
      <c r="D726">
        <v>6.0310133510000004</v>
      </c>
    </row>
    <row r="727" spans="1:8" x14ac:dyDescent="0.3">
      <c r="A727" s="15" t="s">
        <v>2509</v>
      </c>
      <c r="D727">
        <v>5.0406416030000001</v>
      </c>
    </row>
    <row r="728" spans="1:8" x14ac:dyDescent="0.3">
      <c r="A728" s="15" t="s">
        <v>2516</v>
      </c>
      <c r="H728">
        <v>4.4628602700000002</v>
      </c>
    </row>
    <row r="729" spans="1:8" x14ac:dyDescent="0.3">
      <c r="A729" s="15" t="s">
        <v>2517</v>
      </c>
      <c r="H729">
        <v>6.2033232380000003</v>
      </c>
    </row>
    <row r="730" spans="1:8" x14ac:dyDescent="0.3">
      <c r="A730" s="15" t="s">
        <v>2522</v>
      </c>
      <c r="H730">
        <v>5.6689400120000002</v>
      </c>
    </row>
    <row r="731" spans="1:8" x14ac:dyDescent="0.3">
      <c r="A731" s="15" t="s">
        <v>2523</v>
      </c>
      <c r="H731">
        <v>5.7858879239999998</v>
      </c>
    </row>
    <row r="732" spans="1:8" x14ac:dyDescent="0.3">
      <c r="A732" s="15" t="s">
        <v>2524</v>
      </c>
      <c r="H732">
        <v>8.4768643539999999</v>
      </c>
    </row>
    <row r="733" spans="1:8" x14ac:dyDescent="0.3">
      <c r="A733" s="15" t="s">
        <v>2525</v>
      </c>
      <c r="H733">
        <v>3.9924647470000001</v>
      </c>
    </row>
    <row r="734" spans="1:8" x14ac:dyDescent="0.3">
      <c r="A734" s="15" t="s">
        <v>2526</v>
      </c>
      <c r="H734">
        <v>5.846348087</v>
      </c>
    </row>
    <row r="735" spans="1:8" x14ac:dyDescent="0.3">
      <c r="A735" s="15" t="s">
        <v>2527</v>
      </c>
      <c r="H735">
        <v>3.9188431449999999</v>
      </c>
    </row>
    <row r="736" spans="1:8" x14ac:dyDescent="0.3">
      <c r="A736" s="15" t="s">
        <v>2528</v>
      </c>
      <c r="D736">
        <v>-0.122695718</v>
      </c>
    </row>
    <row r="737" spans="1:8" x14ac:dyDescent="0.3">
      <c r="A737" s="15" t="s">
        <v>2530</v>
      </c>
      <c r="D737">
        <v>7.5331980180000002</v>
      </c>
    </row>
    <row r="738" spans="1:8" x14ac:dyDescent="0.3">
      <c r="A738" s="15" t="s">
        <v>2532</v>
      </c>
      <c r="D738">
        <v>1.0004153469999999</v>
      </c>
    </row>
    <row r="739" spans="1:8" x14ac:dyDescent="0.3">
      <c r="A739" s="15" t="s">
        <v>2536</v>
      </c>
      <c r="H739">
        <v>6.5498429930000004</v>
      </c>
    </row>
    <row r="740" spans="1:8" x14ac:dyDescent="0.3">
      <c r="A740" s="15" t="s">
        <v>2537</v>
      </c>
      <c r="H740">
        <v>1.9317109560000001</v>
      </c>
    </row>
    <row r="741" spans="1:8" x14ac:dyDescent="0.3">
      <c r="A741" s="15" t="s">
        <v>2540</v>
      </c>
      <c r="H741">
        <v>7.6493825000000001E-2</v>
      </c>
    </row>
    <row r="742" spans="1:8" x14ac:dyDescent="0.3">
      <c r="A742" s="15" t="s">
        <v>2542</v>
      </c>
      <c r="H742">
        <v>5.7324705959999998</v>
      </c>
    </row>
    <row r="743" spans="1:8" x14ac:dyDescent="0.3">
      <c r="A743" s="15" t="s">
        <v>2546</v>
      </c>
      <c r="H743">
        <v>2.9757540730000001</v>
      </c>
    </row>
    <row r="744" spans="1:8" x14ac:dyDescent="0.3">
      <c r="A744" s="15" t="s">
        <v>2559</v>
      </c>
      <c r="E744">
        <v>6.6358109839999999</v>
      </c>
    </row>
    <row r="745" spans="1:8" x14ac:dyDescent="0.3">
      <c r="A745" s="15" t="s">
        <v>2560</v>
      </c>
      <c r="E745">
        <v>1.9911728580000001</v>
      </c>
    </row>
    <row r="746" spans="1:8" x14ac:dyDescent="0.3">
      <c r="A746" s="15" t="s">
        <v>2563</v>
      </c>
      <c r="H746">
        <v>0.56348616100000004</v>
      </c>
    </row>
    <row r="747" spans="1:8" x14ac:dyDescent="0.3">
      <c r="A747" s="15" t="s">
        <v>2567</v>
      </c>
      <c r="H747">
        <v>5.8909670680000001</v>
      </c>
    </row>
    <row r="748" spans="1:8" x14ac:dyDescent="0.3">
      <c r="A748" s="15" t="s">
        <v>2585</v>
      </c>
      <c r="E748">
        <v>7.2495956589999997</v>
      </c>
    </row>
    <row r="749" spans="1:8" x14ac:dyDescent="0.3">
      <c r="A749" s="15" t="s">
        <v>2590</v>
      </c>
      <c r="E749">
        <v>5.9642307929999996</v>
      </c>
    </row>
    <row r="750" spans="1:8" x14ac:dyDescent="0.3">
      <c r="A750" s="15" t="s">
        <v>2592</v>
      </c>
      <c r="E750">
        <v>6.4662387350000001</v>
      </c>
    </row>
    <row r="751" spans="1:8" x14ac:dyDescent="0.3">
      <c r="A751" s="15" t="s">
        <v>2594</v>
      </c>
      <c r="E751">
        <v>6.2458319260000001</v>
      </c>
    </row>
    <row r="752" spans="1:8" x14ac:dyDescent="0.3">
      <c r="A752" s="15" t="s">
        <v>2596</v>
      </c>
      <c r="E752">
        <v>8.6048152160000004</v>
      </c>
    </row>
    <row r="753" spans="1:9" x14ac:dyDescent="0.3">
      <c r="A753" s="15" t="s">
        <v>2632</v>
      </c>
      <c r="B753">
        <v>-0.17834451207978974</v>
      </c>
    </row>
    <row r="754" spans="1:9" x14ac:dyDescent="0.3">
      <c r="A754" s="15" t="s">
        <v>2631</v>
      </c>
      <c r="B754">
        <v>1.6787719117740334</v>
      </c>
    </row>
    <row r="755" spans="1:9" x14ac:dyDescent="0.3">
      <c r="A755" s="15" t="s">
        <v>2630</v>
      </c>
      <c r="B755">
        <v>1.1908353991891509</v>
      </c>
    </row>
    <row r="756" spans="1:9" x14ac:dyDescent="0.3">
      <c r="A756" s="15" t="s">
        <v>2700</v>
      </c>
      <c r="B756">
        <v>11.556553687883396</v>
      </c>
      <c r="C756">
        <v>-1.37</v>
      </c>
      <c r="D756">
        <v>780.62276874399993</v>
      </c>
      <c r="E756">
        <v>495.98277249799997</v>
      </c>
      <c r="F756">
        <v>23.137424272000001</v>
      </c>
      <c r="G756">
        <v>61.162936088999999</v>
      </c>
      <c r="H756">
        <v>2107.601509092</v>
      </c>
      <c r="I756">
        <v>507.65685957299996</v>
      </c>
    </row>
  </sheetData>
  <sortState xmlns:xlrd2="http://schemas.microsoft.com/office/spreadsheetml/2017/richdata2" ref="T9:T755">
    <sortCondition ref="T8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Daten_2013-2018</vt:lpstr>
      <vt:lpstr>% par groupes chasse Reg</vt:lpstr>
      <vt:lpstr>boxplot d2Hf juv chasse</vt:lpstr>
      <vt:lpstr>boxplot  d2Hreg adu chasse</vt:lpstr>
      <vt:lpstr>boxplot_dH2_prélèvements_ArcJU</vt:lpstr>
      <vt:lpstr>comparaisons origine d2Hreg juv</vt:lpstr>
      <vt:lpstr>comparaisons saisons d2Hreg adu</vt:lpstr>
      <vt:lpstr>comparaisons saisons d2Hreg ad2</vt:lpstr>
      <vt:lpstr>PC_adultes_dH&amp;dN</vt:lpstr>
      <vt:lpstr>dH&amp;dN juv</vt:lpstr>
      <vt:lpstr>dH&amp;dN adu_2a7</vt:lpstr>
      <vt:lpstr>dN (2)</vt:lpstr>
      <vt:lpstr>dN adu</vt:lpstr>
      <vt:lpstr>dN juv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BOHNENSTENGEL Thierry</dc:creator>
  <cp:lastModifiedBy>Steffen Oppel</cp:lastModifiedBy>
  <dcterms:created xsi:type="dcterms:W3CDTF">2019-02-20T15:06:30Z</dcterms:created>
  <dcterms:modified xsi:type="dcterms:W3CDTF">2025-11-11T10:06:49Z</dcterms:modified>
</cp:coreProperties>
</file>